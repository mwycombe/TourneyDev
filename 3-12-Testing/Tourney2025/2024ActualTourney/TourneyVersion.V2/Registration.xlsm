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updateLinks="never" codeName="ThisWorkbook"/>
  <bookViews>
    <workbookView xWindow="420" yWindow="1290" windowWidth="20730" windowHeight="11760" tabRatio="753" activeTab="3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7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Player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71" i="1" l="1"/>
  <c r="R71" i="1" s="1"/>
  <c r="S71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70" i="1"/>
  <c r="R70" i="1" s="1"/>
  <c r="S70" i="1"/>
  <c r="T197" i="1"/>
  <c r="O197" i="1" s="1"/>
  <c r="S197" i="1"/>
  <c r="T196" i="1"/>
  <c r="O196" i="1" s="1"/>
  <c r="S196" i="1"/>
  <c r="T69" i="1"/>
  <c r="S69" i="1" s="1"/>
  <c r="R69" i="1"/>
  <c r="T195" i="1"/>
  <c r="O195" i="1" s="1"/>
  <c r="S195" i="1"/>
  <c r="T68" i="1"/>
  <c r="S68" i="1" s="1"/>
  <c r="R68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67" i="1"/>
  <c r="R67" i="1" s="1"/>
  <c r="S67" i="1"/>
  <c r="T188" i="1"/>
  <c r="O188" i="1" s="1"/>
  <c r="S188" i="1"/>
  <c r="T187" i="1"/>
  <c r="O187" i="1" s="1"/>
  <c r="S187" i="1"/>
  <c r="T186" i="1"/>
  <c r="O186" i="1" s="1"/>
  <c r="S186" i="1"/>
  <c r="T66" i="1"/>
  <c r="R66" i="1" s="1"/>
  <c r="S66" i="1"/>
  <c r="T65" i="1"/>
  <c r="R65" i="1" s="1"/>
  <c r="S65" i="1"/>
  <c r="T185" i="1"/>
  <c r="O185" i="1" s="1"/>
  <c r="S185" i="1"/>
  <c r="T184" i="1"/>
  <c r="O184" i="1" s="1"/>
  <c r="S184" i="1"/>
  <c r="T64" i="1"/>
  <c r="R64" i="1" s="1"/>
  <c r="S64" i="1"/>
  <c r="T183" i="1"/>
  <c r="O183" i="1" s="1"/>
  <c r="S183" i="1"/>
  <c r="T182" i="1"/>
  <c r="O182" i="1" s="1"/>
  <c r="S182" i="1"/>
  <c r="T181" i="1"/>
  <c r="O181" i="1" s="1"/>
  <c r="S181" i="1"/>
  <c r="T63" i="1"/>
  <c r="S63" i="1" s="1"/>
  <c r="R63" i="1"/>
  <c r="T62" i="1"/>
  <c r="S62" i="1" s="1"/>
  <c r="R62" i="1"/>
  <c r="T61" i="1"/>
  <c r="R61" i="1" s="1"/>
  <c r="S6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60" i="1"/>
  <c r="S60" i="1" s="1"/>
  <c r="R60" i="1"/>
  <c r="T176" i="1"/>
  <c r="O176" i="1" s="1"/>
  <c r="S176" i="1"/>
  <c r="T59" i="1"/>
  <c r="O59" i="1" s="1"/>
  <c r="S59" i="1"/>
  <c r="T58" i="1"/>
  <c r="R58" i="1" s="1"/>
  <c r="S58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57" i="1"/>
  <c r="R57" i="1" s="1"/>
  <c r="S57" i="1"/>
  <c r="T171" i="1"/>
  <c r="O171" i="1" s="1"/>
  <c r="S171" i="1"/>
  <c r="T170" i="1"/>
  <c r="O170" i="1" s="1"/>
  <c r="S170" i="1"/>
  <c r="T56" i="1"/>
  <c r="R56" i="1" s="1"/>
  <c r="S56" i="1"/>
  <c r="T55" i="1"/>
  <c r="R55" i="1" s="1"/>
  <c r="S55" i="1"/>
  <c r="T54" i="1"/>
  <c r="R54" i="1" s="1"/>
  <c r="S54" i="1"/>
  <c r="T53" i="1"/>
  <c r="S53" i="1" s="1"/>
  <c r="R53" i="1"/>
  <c r="T169" i="1"/>
  <c r="O169" i="1" s="1"/>
  <c r="S169" i="1"/>
  <c r="T168" i="1"/>
  <c r="O168" i="1" s="1"/>
  <c r="S168" i="1"/>
  <c r="T52" i="1"/>
  <c r="R52" i="1" s="1"/>
  <c r="S52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51" i="1"/>
  <c r="R51" i="1" s="1"/>
  <c r="S51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50" i="1"/>
  <c r="R50" i="1" s="1"/>
  <c r="S50" i="1"/>
  <c r="T157" i="1"/>
  <c r="O157" i="1" s="1"/>
  <c r="S157" i="1"/>
  <c r="T156" i="1"/>
  <c r="O156" i="1" s="1"/>
  <c r="S156" i="1"/>
  <c r="T49" i="1"/>
  <c r="R49" i="1" s="1"/>
  <c r="S49" i="1"/>
  <c r="T155" i="1"/>
  <c r="O155" i="1" s="1"/>
  <c r="S155" i="1"/>
  <c r="T48" i="1"/>
  <c r="S48" i="1" s="1"/>
  <c r="R48" i="1"/>
  <c r="T154" i="1"/>
  <c r="O154" i="1" s="1"/>
  <c r="S154" i="1"/>
  <c r="T153" i="1"/>
  <c r="O153" i="1" s="1"/>
  <c r="S153" i="1"/>
  <c r="T47" i="1"/>
  <c r="O47" i="1" s="1"/>
  <c r="S47" i="1"/>
  <c r="T46" i="1"/>
  <c r="S46" i="1" s="1"/>
  <c r="R46" i="1"/>
  <c r="T152" i="1"/>
  <c r="O152" i="1" s="1"/>
  <c r="S152" i="1"/>
  <c r="T151" i="1"/>
  <c r="O151" i="1" s="1"/>
  <c r="S151" i="1"/>
  <c r="T150" i="1"/>
  <c r="O150" i="1" s="1"/>
  <c r="S150" i="1"/>
  <c r="T45" i="1"/>
  <c r="S45" i="1" s="1"/>
  <c r="R45" i="1"/>
  <c r="T149" i="1"/>
  <c r="O149" i="1" s="1"/>
  <c r="S149" i="1"/>
  <c r="T148" i="1"/>
  <c r="O148" i="1" s="1"/>
  <c r="S148" i="1"/>
  <c r="T147" i="1"/>
  <c r="O147" i="1" s="1"/>
  <c r="S147" i="1"/>
  <c r="T44" i="1"/>
  <c r="R44" i="1" s="1"/>
  <c r="S44" i="1"/>
  <c r="T146" i="1"/>
  <c r="O146" i="1" s="1"/>
  <c r="S146" i="1"/>
  <c r="T145" i="1"/>
  <c r="O145" i="1" s="1"/>
  <c r="S145" i="1"/>
  <c r="T43" i="1"/>
  <c r="S43" i="1" s="1"/>
  <c r="R43" i="1"/>
  <c r="T144" i="1"/>
  <c r="O144" i="1" s="1"/>
  <c r="S144" i="1"/>
  <c r="T143" i="1"/>
  <c r="O143" i="1" s="1"/>
  <c r="S143" i="1"/>
  <c r="T142" i="1"/>
  <c r="O142" i="1" s="1"/>
  <c r="S142" i="1"/>
  <c r="T42" i="1"/>
  <c r="O42" i="1" s="1"/>
  <c r="S42" i="1"/>
  <c r="T141" i="1"/>
  <c r="O141" i="1" s="1"/>
  <c r="S141" i="1"/>
  <c r="T41" i="1"/>
  <c r="S41" i="1" s="1"/>
  <c r="R41" i="1"/>
  <c r="T40" i="1"/>
  <c r="R40" i="1" s="1"/>
  <c r="S40" i="1"/>
  <c r="T140" i="1"/>
  <c r="R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39" i="1"/>
  <c r="O39" i="1" s="1"/>
  <c r="S39" i="1"/>
  <c r="T130" i="1"/>
  <c r="O130" i="1" s="1"/>
  <c r="S130" i="1"/>
  <c r="T129" i="1"/>
  <c r="O129" i="1" s="1"/>
  <c r="S129" i="1"/>
  <c r="T128" i="1"/>
  <c r="O128" i="1" s="1"/>
  <c r="S128" i="1"/>
  <c r="T38" i="1"/>
  <c r="S38" i="1" s="1"/>
  <c r="R38" i="1"/>
  <c r="T127" i="1"/>
  <c r="O127" i="1" s="1"/>
  <c r="S127" i="1"/>
  <c r="T126" i="1"/>
  <c r="O126" i="1" s="1"/>
  <c r="S126" i="1"/>
  <c r="T125" i="1"/>
  <c r="O125" i="1" s="1"/>
  <c r="S125" i="1"/>
  <c r="T37" i="1"/>
  <c r="R37" i="1" s="1"/>
  <c r="S37" i="1"/>
  <c r="T36" i="1"/>
  <c r="R36" i="1" s="1"/>
  <c r="S36" i="1"/>
  <c r="T124" i="1"/>
  <c r="O124" i="1" s="1"/>
  <c r="S124" i="1"/>
  <c r="T123" i="1"/>
  <c r="O123" i="1" s="1"/>
  <c r="S123" i="1"/>
  <c r="T122" i="1"/>
  <c r="O122" i="1" s="1"/>
  <c r="S122" i="1"/>
  <c r="T35" i="1"/>
  <c r="R35" i="1" s="1"/>
  <c r="S35" i="1"/>
  <c r="T34" i="1"/>
  <c r="R34" i="1" s="1"/>
  <c r="S34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33" i="1"/>
  <c r="T32" i="1"/>
  <c r="T31" i="1"/>
  <c r="S31" i="1" s="1"/>
  <c r="R31" i="1"/>
  <c r="T30" i="1"/>
  <c r="S30" i="1" s="1"/>
  <c r="R30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29" i="1"/>
  <c r="S29" i="1" s="1"/>
  <c r="R29" i="1"/>
  <c r="T28" i="1"/>
  <c r="R28" i="1" s="1"/>
  <c r="S28" i="1"/>
  <c r="T27" i="1"/>
  <c r="R27" i="1" s="1"/>
  <c r="S27" i="1"/>
  <c r="T108" i="1"/>
  <c r="O108" i="1" s="1"/>
  <c r="S108" i="1"/>
  <c r="T26" i="1"/>
  <c r="R26" i="1" s="1"/>
  <c r="S26" i="1"/>
  <c r="T107" i="1"/>
  <c r="O107" i="1" s="1"/>
  <c r="S107" i="1"/>
  <c r="T25" i="1"/>
  <c r="R25" i="1" s="1"/>
  <c r="S25" i="1"/>
  <c r="T106" i="1"/>
  <c r="O106" i="1" s="1"/>
  <c r="S106" i="1"/>
  <c r="T105" i="1"/>
  <c r="O105" i="1" s="1"/>
  <c r="S105" i="1"/>
  <c r="T24" i="1"/>
  <c r="O24" i="1" s="1"/>
  <c r="S24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23" i="1"/>
  <c r="R23" i="1" s="1"/>
  <c r="S23" i="1"/>
  <c r="T99" i="1"/>
  <c r="O99" i="1" s="1"/>
  <c r="S99" i="1"/>
  <c r="T22" i="1"/>
  <c r="O22" i="1" s="1"/>
  <c r="R22" i="1"/>
  <c r="T98" i="1"/>
  <c r="O98" i="1" s="1"/>
  <c r="S98" i="1"/>
  <c r="T97" i="1"/>
  <c r="O97" i="1" s="1"/>
  <c r="S97" i="1"/>
  <c r="T21" i="1"/>
  <c r="S21" i="1" s="1"/>
  <c r="R21" i="1"/>
  <c r="T20" i="1"/>
  <c r="R20" i="1" s="1"/>
  <c r="S20" i="1"/>
  <c r="T96" i="1"/>
  <c r="O96" i="1" s="1"/>
  <c r="S96" i="1"/>
  <c r="T95" i="1"/>
  <c r="O95" i="1" s="1"/>
  <c r="S95" i="1"/>
  <c r="T19" i="1"/>
  <c r="R19" i="1" s="1"/>
  <c r="S19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O87" i="1" s="1"/>
  <c r="S87" i="1"/>
  <c r="T86" i="1"/>
  <c r="O86" i="1" s="1"/>
  <c r="S86" i="1"/>
  <c r="T18" i="1"/>
  <c r="R18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17" i="1"/>
  <c r="R17" i="1" s="1"/>
  <c r="S17" i="1"/>
  <c r="T80" i="1"/>
  <c r="O80" i="1" s="1"/>
  <c r="S80" i="1"/>
  <c r="T79" i="1"/>
  <c r="O79" i="1" s="1"/>
  <c r="S79" i="1"/>
  <c r="T16" i="1"/>
  <c r="R16" i="1" s="1"/>
  <c r="S16" i="1"/>
  <c r="T15" i="1"/>
  <c r="R15" i="1" s="1"/>
  <c r="S15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14" i="1"/>
  <c r="S14" i="1" s="1"/>
  <c r="R14" i="1"/>
  <c r="T13" i="1"/>
  <c r="R13" i="1" s="1"/>
  <c r="S13" i="1"/>
  <c r="T12" i="1"/>
  <c r="R12" i="1" s="1"/>
  <c r="S12" i="1"/>
  <c r="R108" i="1" l="1"/>
  <c r="R161" i="1"/>
  <c r="R105" i="1"/>
  <c r="R163" i="1"/>
  <c r="R83" i="1"/>
  <c r="R176" i="1"/>
  <c r="R178" i="1"/>
  <c r="R77" i="1"/>
  <c r="R86" i="1"/>
  <c r="R120" i="1"/>
  <c r="R125" i="1"/>
  <c r="R132" i="1"/>
  <c r="R157" i="1"/>
  <c r="R159" i="1"/>
  <c r="R177" i="1"/>
  <c r="R117" i="1"/>
  <c r="R124" i="1"/>
  <c r="R130" i="1"/>
  <c r="R152" i="1"/>
  <c r="R158" i="1"/>
  <c r="R164" i="1"/>
  <c r="R167" i="1"/>
  <c r="R172" i="1"/>
  <c r="R179" i="1"/>
  <c r="R189" i="1"/>
  <c r="R195" i="1"/>
  <c r="R74" i="1"/>
  <c r="R92" i="1"/>
  <c r="R96" i="1"/>
  <c r="R199" i="1"/>
  <c r="R116" i="1"/>
  <c r="R73" i="1"/>
  <c r="R94" i="1"/>
  <c r="R102" i="1"/>
  <c r="R107" i="1"/>
  <c r="R110" i="1"/>
  <c r="R137" i="1"/>
  <c r="R165" i="1"/>
  <c r="R169" i="1"/>
  <c r="R186" i="1"/>
  <c r="R192" i="1"/>
  <c r="R197" i="1"/>
  <c r="R201" i="1"/>
  <c r="R112" i="1"/>
  <c r="R115" i="1"/>
  <c r="R200" i="1"/>
  <c r="R78" i="1"/>
  <c r="R84" i="1"/>
  <c r="R90" i="1"/>
  <c r="R93" i="1"/>
  <c r="R95" i="1"/>
  <c r="R98" i="1"/>
  <c r="R104" i="1"/>
  <c r="R106" i="1"/>
  <c r="R111" i="1"/>
  <c r="R114" i="1"/>
  <c r="R100" i="1"/>
  <c r="R103" i="1"/>
  <c r="R121" i="1"/>
  <c r="R136" i="1"/>
  <c r="R142" i="1"/>
  <c r="R147" i="1"/>
  <c r="R151" i="1"/>
  <c r="R155" i="1"/>
  <c r="R171" i="1"/>
  <c r="R173" i="1"/>
  <c r="R133" i="1"/>
  <c r="R145" i="1"/>
  <c r="R149" i="1"/>
  <c r="R156" i="1"/>
  <c r="R170" i="1"/>
  <c r="R181" i="1"/>
  <c r="R187" i="1"/>
  <c r="R196" i="1"/>
  <c r="R72" i="1"/>
  <c r="R80" i="1"/>
  <c r="R82" i="1"/>
  <c r="R88" i="1"/>
  <c r="R91" i="1"/>
  <c r="R97" i="1"/>
  <c r="R99" i="1"/>
  <c r="R101" i="1"/>
  <c r="R109" i="1"/>
  <c r="R113" i="1"/>
  <c r="R119" i="1"/>
  <c r="R123" i="1"/>
  <c r="R127" i="1"/>
  <c r="R129" i="1"/>
  <c r="R131" i="1"/>
  <c r="R135" i="1"/>
  <c r="R139" i="1"/>
  <c r="R144" i="1"/>
  <c r="R146" i="1"/>
  <c r="R148" i="1"/>
  <c r="R150" i="1"/>
  <c r="R154" i="1"/>
  <c r="R160" i="1"/>
  <c r="R162" i="1"/>
  <c r="R166" i="1"/>
  <c r="R168" i="1"/>
  <c r="R174" i="1"/>
  <c r="R180" i="1"/>
  <c r="R182" i="1"/>
  <c r="R184" i="1"/>
  <c r="R188" i="1"/>
  <c r="R190" i="1"/>
  <c r="R194" i="1"/>
  <c r="R76" i="1"/>
  <c r="R75" i="1"/>
  <c r="R79" i="1"/>
  <c r="R81" i="1"/>
  <c r="R85" i="1"/>
  <c r="R87" i="1"/>
  <c r="R118" i="1"/>
  <c r="R122" i="1"/>
  <c r="R126" i="1"/>
  <c r="R128" i="1"/>
  <c r="R134" i="1"/>
  <c r="R138" i="1"/>
  <c r="R141" i="1"/>
  <c r="R143" i="1"/>
  <c r="R153" i="1"/>
  <c r="R193" i="1"/>
  <c r="R198" i="1"/>
  <c r="R175" i="1"/>
  <c r="R183" i="1"/>
  <c r="R185" i="1"/>
  <c r="R191" i="1"/>
  <c r="O65" i="1"/>
  <c r="R42" i="1"/>
  <c r="O35" i="1"/>
  <c r="O36" i="1"/>
  <c r="O62" i="1"/>
  <c r="O66" i="1"/>
  <c r="O67" i="1"/>
  <c r="O30" i="1"/>
  <c r="R39" i="1"/>
  <c r="O61" i="1"/>
  <c r="R89" i="1"/>
  <c r="R47" i="1"/>
  <c r="O19" i="1"/>
  <c r="O20" i="1"/>
  <c r="O25" i="1"/>
  <c r="O26" i="1"/>
  <c r="O27" i="1"/>
  <c r="O28" i="1"/>
  <c r="O29" i="1"/>
  <c r="O140" i="1"/>
  <c r="O40" i="1"/>
  <c r="O41" i="1"/>
  <c r="O45" i="1"/>
  <c r="O70" i="1"/>
  <c r="O71" i="1"/>
  <c r="S22" i="1"/>
  <c r="O31" i="1"/>
  <c r="O44" i="1"/>
  <c r="O69" i="1"/>
  <c r="O34" i="1"/>
  <c r="O43" i="1"/>
  <c r="O60" i="1"/>
  <c r="O64" i="1"/>
  <c r="O68" i="1"/>
  <c r="R24" i="1"/>
  <c r="O37" i="1"/>
  <c r="O63" i="1"/>
  <c r="O12" i="1"/>
  <c r="O13" i="1"/>
  <c r="O14" i="1"/>
  <c r="O15" i="1"/>
  <c r="O16" i="1"/>
  <c r="O17" i="1"/>
  <c r="O49" i="1"/>
  <c r="O50" i="1"/>
  <c r="O51" i="1"/>
  <c r="O52" i="1"/>
  <c r="O53" i="1"/>
  <c r="O54" i="1"/>
  <c r="O55" i="1"/>
  <c r="O56" i="1"/>
  <c r="O57" i="1"/>
  <c r="O58" i="1"/>
  <c r="O23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<sst xmlns="http://schemas.openxmlformats.org/spreadsheetml/2006/main" count="1771" uniqueCount="763">
  <si>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</si>
  <si>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</si>
  <si>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</si>
  <si>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</si>
  <si>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</si>
  <si>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</si>
  <si>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</si>
  <si>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</si>
  <si>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</si>
  <si>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</si>
  <si>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</si>
  <si>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</si>
  <si>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</si>
  <si>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</si>
  <si>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</si>
  <si>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</si>
  <si>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</si>
  <si>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</si>
  <si>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</si>
  <si>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</si>
  <si>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</si>
  <si>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</si>
  <si>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</si>
  <si>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</si>
  <si>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</si>
  <si>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</si>
  <si>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</si>
  <si>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</si>
  <si>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</si>
  <si>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</si>
  <si>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</si>
  <si>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</si>
  <si>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</si>
  <si>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</si>
  <si>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</si>
  <si>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</si>
  <si>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</si>
  <si>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</si>
  <si>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</si>
  <si>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</si>
  <si>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</si>
  <si>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</si>
  <si>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</si>
  <si>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</si>
  <si>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</si>
  <si>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</si>
  <si>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</si>
  <si>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</si>
  <si>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</si>
  <si>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</si>
  <si>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</si>
  <si>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</si>
  <si>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</si>
  <si>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</si>
  <si>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</si>
  <si>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</si>
  <si>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</si>
  <si>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</si>
  <si>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</si>
  <si>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</si>
  <si>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</si>
  <si>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</si>
  <si>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</si>
  <si>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</si>
  <si>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</si>
  <si>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</si>
  <si>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</si>
  <si>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</si>
  <si>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</si>
  <si>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</si>
  <si>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</si>
  <si>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</si>
  <si>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</si>
  <si>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</si>
  <si>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</si>
  <si>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</si>
  <si>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</si>
  <si>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</si>
  <si>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</si>
  <si>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</si>
  <si>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</si>
  <si>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</si>
  <si>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</si>
  <si>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</si>
  <si>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</si>
  <si>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</si>
  <si>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</si>
  <si>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</si>
  <si>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</si>
  <si>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</si>
  <si>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</si>
  <si>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</si>
  <si>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</si>
  <si>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</si>
  <si>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</si>
  <si>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</si>
  <si>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</si>
  <si>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</si>
  <si>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</si>
  <si>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</si>
  <si>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</si>
  <si>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</si>
  <si>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</si>
  <si>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</si>
  <si>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</si>
  <si>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</si>
  <si>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</si>
  <si>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</si>
  <si>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</si>
  <si>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</si>
  <si>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</si>
  <si>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</si>
  <si>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</si>
  <si>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</si>
  <si>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</si>
  <si>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</si>
  <si>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</si>
  <si>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</si>
  <si>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</si>
  <si>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</si>
  <si>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</si>
  <si>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</si>
  <si>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</si>
  <si>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</si>
  <si>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</si>
  <si>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</si>
  <si>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</si>
  <si>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</si>
  <si>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</si>
  <si>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</si>
  <si>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</si>
  <si>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</si>
  <si>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</si>
  <si>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</si>
  <si>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</si>
  <si>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</si>
  <si>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</si>
  <si>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</si>
  <si>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</si>
  <si>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</si>
  <si>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</si>
  <si>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</si>
  <si>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</si>
  <si>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</si>
  <si>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</si>
  <si>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</si>
  <si>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</si>
  <si>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</si>
  <si>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</si>
  <si>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</si>
  <si>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</si>
  <si>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</si>
  <si>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</si>
  <si>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</si>
  <si>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</si>
  <si>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</si>
  <si>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</si>
  <si>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</si>
  <si>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</si>
  <si>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</si>
  <si>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</si>
  <si>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</si>
  <si>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</si>
  <si>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</si>
  <si>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</si>
  <si>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</si>
  <si>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</si>
  <si>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</si>
  <si>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</si>
  <si>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</si>
  <si>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</si>
  <si>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</si>
  <si>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</si>
  <si>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</si>
  <si>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</si>
  <si>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</si>
  <si>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</si>
  <si>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</si>
  <si>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</si>
  <si>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</si>
  <si>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</si>
  <si>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</si>
  <si>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</si>
  <si>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</si>
  <si>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</si>
  <si>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</si>
  <si>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</si>
  <si>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</si>
  <si>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</si>
  <si>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</si>
  <si>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</si>
  <si>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</si>
  <si>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</si>
  <si>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</si>
  <si>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</si>
  <si>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</si>
  <si>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</si>
  <si>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</si>
  <si>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</si>
  <si>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</si>
  <si>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</si>
  <si>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</si>
  <si>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</si>
  <si>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</si>
  <si>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</si>
  <si>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</si>
  <si>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</si>
  <si>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</si>
  <si>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</si>
  <si>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</si>
  <si>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</si>
  <si>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</si>
  <si>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</si>
  <si>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</si>
  <si>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</si>
  <si>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</si>
  <si>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</si>
  <si>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</si>
  <si>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</si>
  <si>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</si>
  <si>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</si>
  <si>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</si>
  <si>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</si>
  <si>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</si>
  <si>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</si>
  <si>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</si>
  <si>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</si>
  <si>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</si>
  <si>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</si>
  <si>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</si>
  <si>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</si>
  <si>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</si>
  <si>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</si>
  <si>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</si>
  <si>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</si>
  <si>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</si>
  <si>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</si>
  <si>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</si>
  <si>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</si>
  <si>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</si>
  <si>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</si>
  <si>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</si>
  <si>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</si>
  <si>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</si>
  <si>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</si>
  <si>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</si>
  <si>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</si>
  <si>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</si>
  <si>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</si>
  <si>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</si>
  <si>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</si>
  <si>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</si>
  <si>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</si>
  <si>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</si>
  <si>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</si>
  <si>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</si>
  <si>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</si>
  <si>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</si>
  <si>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</si>
  <si>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</si>
  <si>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</si>
  <si>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</si>
  <si>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</si>
  <si>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</si>
  <si>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</si>
  <si>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</si>
  <si>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</si>
  <si>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</si>
  <si>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</si>
  <si>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</si>
  <si>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</si>
  <si>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</si>
  <si>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</si>
  <si>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</si>
  <si>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</si>
  <si>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</si>
  <si>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</si>
  <si>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</si>
  <si>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</si>
  <si>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</si>
  <si>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</si>
  <si>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</si>
  <si>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</si>
  <si>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</si>
  <si>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</si>
  <si>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</si>
  <si>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</si>
  <si>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</si>
  <si>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</si>
  <si>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</si>
  <si>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</si>
  <si>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</si>
  <si>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</si>
  <si>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</si>
  <si>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</si>
  <si>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</si>
  <si>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</si>
  <si>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</si>
  <si>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</si>
  <si>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</si>
  <si>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</si>
  <si>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</si>
  <si>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</si>
  <si>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</si>
  <si>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</si>
  <si>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</si>
  <si>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</si>
  <si>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</si>
  <si>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</si>
  <si>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</si>
  <si>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</si>
  <si>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</si>
  <si>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</si>
  <si>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</si>
  <si>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</si>
  <si>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</si>
  <si>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</si>
  <si>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</si>
  <si>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</si>
  <si>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</si>
  <si>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</si>
  <si>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</si>
  <si>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</si>
  <si>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</si>
  <si>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</si>
  <si>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</si>
  <si>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</si>
  <si>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</si>
  <si>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</si>
  <si>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</si>
  <si>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</si>
  <si>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</si>
  <si>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</si>
  <si>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</si>
  <si>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</si>
  <si>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</si>
  <si>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</si>
  <si>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</si>
  <si>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</si>
  <si>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</si>
  <si>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</si>
  <si>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</si>
  <si>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</si>
  <si>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</si>
  <si>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</si>
  <si>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</si>
  <si>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</si>
  <si>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</si>
  <si>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</si>
  <si>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</si>
  <si>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</si>
  <si>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</si>
  <si>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</si>
  <si>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</si>
  <si>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</si>
  <si>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</si>
  <si>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</si>
  <si>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</si>
  <si>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</si>
  <si>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</si>
  <si>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</si>
  <si>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</si>
  <si>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</si>
  <si>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</si>
  <si>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</si>
  <si>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</si>
  <si>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</si>
  <si>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</si>
  <si>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</si>
  <si>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</si>
  <si>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</si>
  <si>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</si>
  <si>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</si>
  <si>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</si>
  <si>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</si>
  <si>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</si>
  <si>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</si>
  <si>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</si>
  <si>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</si>
  <si>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</si>
  <si>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</si>
  <si>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</si>
  <si>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</si>
  <si>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</si>
  <si>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</si>
  <si>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</si>
  <si>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</si>
  <si>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</si>
  <si>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</si>
  <si>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</si>
  <si>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</si>
  <si>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</si>
  <si>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</si>
  <si>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</si>
  <si>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</si>
  <si>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</si>
  <si>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</si>
  <si>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</si>
  <si>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</si>
  <si>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</si>
  <si>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</si>
  <si>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</si>
  <si>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</si>
  <si>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</si>
  <si>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</si>
  <si>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</si>
  <si>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</si>
  <si>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</si>
  <si>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</si>
  <si>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</si>
  <si>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</si>
  <si>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</si>
  <si>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</si>
  <si>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</si>
  <si>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</si>
  <si>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</si>
  <si>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</si>
  <si>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</si>
  <si>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</si>
  <si>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</si>
  <si>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</si>
  <si>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</si>
  <si>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</si>
  <si>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</si>
  <si>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</si>
  <si>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</si>
  <si>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</si>
  <si>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</si>
  <si>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</si>
  <si>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</si>
  <si>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</si>
  <si>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</si>
  <si>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</si>
  <si>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</si>
  <si>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</si>
  <si>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</si>
  <si>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</si>
  <si>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</si>
  <si>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</si>
  <si>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</si>
  <si>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</si>
  <si>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</si>
  <si>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</si>
  <si>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</si>
  <si>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</si>
  <si>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</si>
  <si>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</si>
  <si>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</si>
  <si>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</si>
  <si>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</si>
  <si>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</si>
  <si>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</si>
  <si>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</si>
  <si>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</si>
  <si>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</si>
  <si>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</si>
  <si>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</si>
  <si>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</si>
  <si>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</si>
  <si>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</si>
  <si>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</si>
  <si>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</si>
  <si>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</si>
  <si>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</si>
  <si>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</si>
  <si>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</si>
  <si>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</si>
  <si>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</si>
  <si>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</si>
  <si>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</si>
  <si>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</si>
  <si>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</si>
  <si>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</si>
  <si>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</si>
  <si>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</si>
  <si>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</si>
  <si>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</si>
  <si>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</si>
  <si>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</si>
  <si>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</si>
  <si>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</si>
  <si>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</si>
  <si>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</si>
  <si>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</si>
  <si>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</si>
  <si>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</si>
  <si>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</si>
  <si>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</si>
  <si>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</si>
  <si>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</si>
  <si>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</si>
  <si>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</si>
  <si>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</si>
  <si>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</si>
  <si>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</si>
  <si>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</si>
  <si>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</si>
  <si>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</si>
  <si>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</si>
  <si>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</si>
  <si>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</si>
  <si>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</si>
  <si>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</si>
  <si>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</si>
  <si>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</si>
  <si>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</si>
  <si>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</si>
  <si>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</si>
  <si>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</si>
  <si>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</si>
  <si>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</si>
  <si>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</si>
  <si>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</si>
  <si>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</si>
  <si>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</si>
  <si>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</si>
  <si>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</si>
  <si>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</si>
  <si>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</si>
  <si>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</si>
  <si>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</si>
  <si>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</si>
  <si>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</si>
  <si>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</si>
  <si>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</si>
  <si>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</si>
  <si>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</si>
  <si>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</si>
  <si>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</si>
  <si>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</si>
  <si>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</si>
  <si>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</si>
  <si>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</si>
  <si>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</si>
  <si>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</si>
  <si>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</si>
  <si>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</si>
  <si>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</si>
  <si>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</si>
  <si>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</si>
  <si>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</si>
  <si>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</si>
  <si>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</si>
  <si>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</si>
  <si>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</si>
  <si>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</si>
  <si>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</si>
  <si>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</si>
  <si>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</si>
  <si>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</si>
  <si>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</si>
  <si>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</si>
  <si>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</si>
  <si>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</si>
  <si>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</si>
  <si>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</si>
  <si>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</si>
  <si>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</si>
  <si>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</si>
  <si>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</si>
  <si>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</si>
  <si>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</si>
  <si>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</si>
  <si>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</si>
  <si>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</si>
  <si>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</si>
  <si>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</si>
  <si>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</si>
  <si>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</si>
  <si>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</si>
  <si>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</si>
  <si>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</si>
  <si>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</si>
  <si>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</si>
  <si>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</si>
  <si>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</si>
  <si>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</si>
  <si>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</si>
  <si>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</si>
  <si>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</si>
  <si>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</si>
  <si>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</si>
  <si>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</si>
  <si>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</si>
  <si>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</si>
  <si>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</si>
  <si>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</si>
  <si>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</si>
  <si>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</si>
  <si>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</si>
  <si>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</si>
  <si>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</si>
  <si>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</si>
  <si>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</si>
  <si>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</si>
  <si>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</si>
  <si>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</si>
  <si>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</si>
  <si>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</si>
  <si>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</si>
  <si>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</si>
  <si>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</si>
  <si>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</si>
  <si>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</si>
  <si>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</si>
  <si>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</si>
  <si>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</si>
  <si>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</si>
  <si>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</si>
  <si>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</si>
  <si>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</si>
  <si>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</si>
  <si>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</si>
  <si>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</si>
  <si>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</si>
  <si>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</si>
  <si>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</si>
  <si>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</si>
  <si>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</si>
  <si>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</si>
  <si>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</si>
  <si>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</si>
  <si>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</si>
  <si>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</si>
  <si>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</si>
  <si>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</si>
  <si>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</si>
  <si>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</si>
  <si>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</si>
  <si>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</si>
  <si>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</si>
  <si>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</si>
  <si>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</si>
  <si>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</si>
  <si>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</si>
  <si>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</si>
  <si>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</si>
  <si>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</si>
  <si>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</si>
  <si>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</si>
  <si>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</si>
  <si>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</si>
  <si>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</si>
  <si>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</si>
  <si>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</si>
  <si>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</si>
  <si>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</si>
  <si>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</si>
  <si>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</si>
  <si>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</si>
  <si>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</si>
  <si>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</si>
  <si>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</si>
  <si>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</si>
  <si>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</si>
  <si>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</si>
  <si>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</si>
  <si>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</si>
  <si>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</si>
  <si>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</si>
  <si>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</si>
  <si>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</si>
  <si>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</si>
  <si>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</si>
  <si>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</si>
  <si>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</si>
  <si>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</si>
  <si>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</si>
  <si>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</si>
  <si>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</si>
  <si>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</si>
  <si>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</si>
  <si>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</si>
  <si>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</si>
  <si>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</si>
  <si>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</si>
  <si>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</si>
  <si>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</si>
  <si>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</si>
  <si>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</si>
  <si>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</si>
  <si>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</si>
  <si>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</si>
  <si>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</si>
  <si>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</si>
  <si>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</si>
  <si>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</si>
  <si>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</si>
  <si>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</si>
  <si>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</si>
  <si>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</si>
  <si>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</si>
  <si>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</si>
  <si>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</si>
  <si>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</si>
  <si>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</si>
  <si>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</si>
  <si>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</si>
  <si>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</si>
  <si>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The Moose Lodge</t>
  </si>
  <si>
    <t>Napa, Ca 94558</t>
  </si>
  <si>
    <t>C</t>
  </si>
  <si>
    <t>Roland Hall</t>
  </si>
  <si>
    <t>Yvonne Bowers</t>
  </si>
  <si>
    <t>Michael Rogers</t>
  </si>
  <si>
    <t>roland26h@yahoo.com</t>
  </si>
  <si>
    <t>cribbageclub100@gmail.com</t>
  </si>
  <si>
    <t>707.738.0799</t>
  </si>
  <si>
    <t>Alechus Jr., James</t>
  </si>
  <si>
    <t>Alechus Sr., James</t>
  </si>
  <si>
    <t>CA3773L</t>
  </si>
  <si>
    <t>jim.carmen71@outlook.com</t>
  </si>
  <si>
    <t>$</t>
  </si>
  <si>
    <t>CA-0072CL</t>
  </si>
  <si>
    <t>elmolover0904@yahoo.com</t>
  </si>
  <si>
    <t>0708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</si>
  <si>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</si>
  <si>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</si>
  <si>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</si>
  <si>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</si>
  <si>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</si>
  <si>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</si>
  <si>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</si>
  <si>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</si>
  <si>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</si>
  <si>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</si>
  <si>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</si>
  <si>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</si>
  <si>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</si>
  <si>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</si>
  <si>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</si>
  <si>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</si>
  <si>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</si>
  <si>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</si>
  <si>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</si>
  <si>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</si>
  <si>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</si>
  <si>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</si>
  <si>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</si>
  <si>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</si>
  <si>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</si>
  <si>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</si>
  <si>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</si>
  <si>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</si>
  <si>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</si>
  <si>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</si>
  <si>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</si>
  <si>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</si>
  <si>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</si>
  <si>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</si>
  <si>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</si>
  <si>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</si>
  <si>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</si>
  <si>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</si>
  <si>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</si>
  <si>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</si>
  <si>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</si>
  <si>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</si>
  <si>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</si>
  <si>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</si>
  <si>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</si>
  <si>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</si>
  <si>
    <t>Napa Wine Country Spring 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</si>
</sst>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5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5"/>
  <sheetViews>
    <sheetView workbookViewId="0">
      <selection activeCell="C3" sqref="C3:G3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9" t="s">
        <v>609</v>
      </c>
      <c r="D1" s="120"/>
      <c r="E1" s="121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2" t="s">
        <v>762</v>
      </c>
      <c r="D3" s="123"/>
      <c r="E3" s="123"/>
      <c r="F3" s="123"/>
      <c r="G3" s="124"/>
    </row>
    <row r="4" spans="1:8" ht="15.75" thickBot="1" x14ac:dyDescent="0.3"/>
    <row r="5" spans="1:8" ht="16.5" thickBot="1" x14ac:dyDescent="0.3">
      <c r="A5" s="71" t="s">
        <v>610</v>
      </c>
      <c r="C5" s="122" t="s">
        <v>699</v>
      </c>
      <c r="D5" s="123"/>
      <c r="E5" s="123"/>
      <c r="F5" s="123"/>
      <c r="G5" s="124"/>
    </row>
    <row r="6" spans="1:8" ht="15.75" thickBot="1" x14ac:dyDescent="0.3">
      <c r="H6" s="72"/>
    </row>
    <row r="7" spans="1:8" ht="16.5" thickBot="1" x14ac:dyDescent="0.3">
      <c r="A7" s="71" t="s">
        <v>611</v>
      </c>
      <c r="C7" s="122" t="s">
        <v>700</v>
      </c>
      <c r="D7" s="123"/>
      <c r="E7" s="123"/>
      <c r="F7" s="123"/>
      <c r="G7" s="124"/>
    </row>
    <row r="8" spans="1:8" ht="15.75" thickBot="1" x14ac:dyDescent="0.3"/>
    <row r="9" spans="1:8" ht="16.5" thickBot="1" x14ac:dyDescent="0.3">
      <c r="A9" s="71" t="s">
        <v>421</v>
      </c>
      <c r="C9" s="106">
        <v>45402</v>
      </c>
    </row>
    <row r="10" spans="1:8" ht="15.75" thickBot="1" x14ac:dyDescent="0.3"/>
    <row r="11" spans="1:8" ht="16.5" thickBot="1" x14ac:dyDescent="0.3">
      <c r="A11" s="71" t="s">
        <v>612</v>
      </c>
      <c r="C11" s="117" t="s">
        <v>702</v>
      </c>
      <c r="D11" s="118"/>
      <c r="E11" s="117" t="s">
        <v>703</v>
      </c>
      <c r="F11" s="118"/>
      <c r="G11" s="117" t="s">
        <v>704</v>
      </c>
      <c r="H11" s="118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7" t="s">
        <v>705</v>
      </c>
      <c r="D13" s="118"/>
      <c r="E13" s="117" t="s">
        <v>706</v>
      </c>
      <c r="F13" s="118"/>
      <c r="G13" s="117" t="s">
        <v>562</v>
      </c>
      <c r="H13" s="118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7" t="s">
        <v>707</v>
      </c>
      <c r="D15" s="118"/>
      <c r="E15" s="117"/>
      <c r="F15" s="118"/>
      <c r="G15" s="117"/>
      <c r="H15" s="118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5"/>
  <sheetViews>
    <sheetView topLeftCell="A2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5" t="s">
        <v>609</v>
      </c>
      <c r="D2" s="126"/>
      <c r="E2" s="126"/>
      <c r="F2" s="126"/>
      <c r="G2" s="127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 t="s">
        <v>762</v>
      </c>
      <c r="C4" s="128"/>
      <c r="D4" s="128"/>
      <c r="E4" s="128"/>
      <c r="F4" s="128"/>
    </row>
    <row r="5" spans="1:7" x14ac:dyDescent="0.25">
      <c r="A5" s="4" t="s">
        <v>616</v>
      </c>
      <c r="B5" s="129" t="s">
        <v>699</v>
      </c>
      <c r="C5" s="129"/>
      <c r="D5" s="129"/>
      <c r="E5" s="129"/>
      <c r="F5" s="129"/>
    </row>
    <row r="6" spans="1:7" x14ac:dyDescent="0.25">
      <c r="A6" s="4" t="s">
        <v>617</v>
      </c>
      <c r="B6" s="129" t="s">
        <v>700</v>
      </c>
      <c r="C6" s="129"/>
      <c r="D6" s="129"/>
      <c r="E6" s="129"/>
      <c r="F6" s="129"/>
    </row>
    <row r="7" spans="1:7" x14ac:dyDescent="0.25">
      <c r="A7" s="4" t="s">
        <v>618</v>
      </c>
      <c r="B7" s="80">
        <v>45402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0" t="s">
        <v>623</v>
      </c>
      <c r="D15" s="130"/>
      <c r="E15" s="130"/>
      <c r="F15" s="130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>
        <v>0</v>
      </c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>
      <formula1>"10, 20, 50"</formula1>
    </dataValidation>
    <dataValidation type="list" operator="equal" allowBlank="1" showInputMessage="1" showErrorMessage="1" sqref="C17:F17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 t="s">
        <v>762</v>
      </c>
      <c r="C4" s="128"/>
      <c r="D4" s="128"/>
      <c r="E4" s="128"/>
      <c r="F4" s="128"/>
    </row>
    <row r="5" spans="1:7" x14ac:dyDescent="0.25">
      <c r="A5" s="4" t="s">
        <v>616</v>
      </c>
      <c r="B5" s="79" t="s">
        <v>699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700</v>
      </c>
    </row>
    <row r="7" spans="1:7" x14ac:dyDescent="0.25">
      <c r="A7" s="4" t="s">
        <v>618</v>
      </c>
      <c r="B7" s="80">
        <v>45402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0" t="s">
        <v>636</v>
      </c>
      <c r="D15" s="130"/>
      <c r="E15" s="130"/>
      <c r="F15" s="130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>
      <formula1>"10, 20, 50"</formula1>
    </dataValidation>
    <dataValidation type="list" allowBlank="1" showInputMessage="1" showErrorMessage="1" sqref="C17:F17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11"/>
  <sheetViews>
    <sheetView showZeros="0"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4" t="s">
        <v>762</v>
      </c>
      <c r="L2" s="134"/>
      <c r="M2" s="134"/>
      <c r="N2" s="134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4" t="s">
        <v>699</v>
      </c>
      <c r="L3" s="134"/>
      <c r="M3" s="134"/>
      <c r="N3" s="134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4" t="s">
        <v>700</v>
      </c>
      <c r="L4" s="134"/>
      <c r="M4" s="134"/>
      <c r="N4" s="134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5">
        <v>45402</v>
      </c>
      <c r="L5" s="135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07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08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60</v>
      </c>
      <c r="C10" s="31"/>
      <c r="D10" s="31"/>
      <c r="E10" s="17"/>
      <c r="F10" s="17"/>
      <c r="G10" s="17"/>
      <c r="H10" s="100">
        <f>COUNTIF(H12:H411,"&lt;&gt;" &amp; "")</f>
        <v>50</v>
      </c>
      <c r="I10" s="100">
        <f t="shared" ref="I10:N10" si="0">COUNTIF(I12:I411,"&lt;&gt;" &amp; "")</f>
        <v>32</v>
      </c>
      <c r="J10" s="100">
        <f t="shared" si="0"/>
        <v>36</v>
      </c>
      <c r="K10" s="100">
        <f t="shared" si="0"/>
        <v>16</v>
      </c>
      <c r="L10" s="100">
        <f t="shared" si="0"/>
        <v>14</v>
      </c>
      <c r="M10" s="100">
        <f t="shared" si="0"/>
        <v>2</v>
      </c>
      <c r="N10" s="100">
        <f t="shared" si="0"/>
        <v>10</v>
      </c>
      <c r="O10" s="99">
        <f>SUM(O12:O411)</f>
        <v>920</v>
      </c>
      <c r="P10" s="32"/>
      <c r="Q10" s="25"/>
      <c r="R10" s="33">
        <f>SUM(R12:R411)</f>
        <v>4640</v>
      </c>
      <c r="S10" s="33">
        <f>SUM(S12:S411)</f>
        <v>1900</v>
      </c>
      <c r="T10" s="33">
        <f>SUM(T12:T411)</f>
        <v>6540</v>
      </c>
      <c r="U10" s="30">
        <f>COUNTIF(U12:U411,"&lt;&gt;" &amp; "")</f>
        <v>4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708</v>
      </c>
      <c r="D12" s="5"/>
      <c r="E12" s="6" t="s">
        <v>6</v>
      </c>
      <c r="F12" s="48"/>
      <c r="G12" s="109"/>
      <c r="H12" s="49">
        <v>1</v>
      </c>
      <c r="I12" s="47"/>
      <c r="J12" s="47">
        <v>1</v>
      </c>
      <c r="K12" s="47"/>
      <c r="L12" s="47"/>
      <c r="M12" s="47"/>
      <c r="N12" s="47"/>
      <c r="O12" s="94">
        <f t="shared" ref="O12:O17" si="2">T12*N12</f>
        <v>0</v>
      </c>
      <c r="P12" s="47" t="s">
        <v>701</v>
      </c>
      <c r="Q12" s="47">
        <v>909</v>
      </c>
      <c r="R12" s="95">
        <f t="shared" ref="R12:R31" si="3">IF(OR(P12="c",P12="C"),+T12,"")</f>
        <v>100</v>
      </c>
      <c r="S12" s="95" t="str">
        <f t="shared" ref="S12:S17" si="4">IF(OR(P12="$",N12=1),+T12,"")</f>
        <v/>
      </c>
      <c r="T12" s="96">
        <f>H12*[1]!FMainPool1Fee+I12*[1]!FMainPool2Fee+J12*[1]!FMainPool3Fee+K12*[1]!FMainPool4Fee+B12*[1]!FMainEntryFee</f>
        <v>100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709</v>
      </c>
      <c r="D13" s="5" t="s">
        <v>103</v>
      </c>
      <c r="E13" s="6" t="s">
        <v>710</v>
      </c>
      <c r="F13" s="48">
        <v>9169894301</v>
      </c>
      <c r="G13" s="109" t="s">
        <v>711</v>
      </c>
      <c r="H13" s="49">
        <v>1</v>
      </c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701</v>
      </c>
      <c r="Q13" s="47">
        <v>909</v>
      </c>
      <c r="R13" s="95">
        <f t="shared" si="3"/>
        <v>100</v>
      </c>
      <c r="S13" s="95" t="str">
        <f t="shared" si="4"/>
        <v/>
      </c>
      <c r="T13" s="96">
        <f>H13*[1]!FMainPool1Fee+I13*[1]!FMainPool2Fee+J13*[1]!FMainPool3Fee+K13*[1]!FMainPool4Fee+B13*[1]!FMainEntryFee</f>
        <v>100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4" t="s">
        <v>445</v>
      </c>
      <c r="G14" s="12" t="s">
        <v>446</v>
      </c>
      <c r="H14" s="49">
        <v>1</v>
      </c>
      <c r="I14" s="47"/>
      <c r="J14" s="47"/>
      <c r="K14" s="47"/>
      <c r="L14" s="47"/>
      <c r="M14" s="47"/>
      <c r="N14" s="47">
        <v>1</v>
      </c>
      <c r="O14" s="94">
        <f t="shared" si="2"/>
        <v>80</v>
      </c>
      <c r="P14" s="47" t="s">
        <v>712</v>
      </c>
      <c r="Q14" s="47"/>
      <c r="R14" s="95" t="str">
        <f t="shared" si="3"/>
        <v/>
      </c>
      <c r="S14" s="95">
        <f t="shared" si="4"/>
        <v>80</v>
      </c>
      <c r="T14" s="96">
        <f>H14*[1]!FMainPool1Fee+I14*[1]!FMainPool2Fee+J14*[1]!FMainPool3Fee+K14*[1]!FMainPool4Fee+B14*[1]!FMainEntryFee</f>
        <v>80</v>
      </c>
      <c r="U14" s="51"/>
    </row>
    <row r="15" spans="1:21" x14ac:dyDescent="0.25">
      <c r="A15" s="46">
        <f t="shared" si="1"/>
        <v>4</v>
      </c>
      <c r="B15" s="47">
        <v>1</v>
      </c>
      <c r="C15" s="5" t="s">
        <v>27</v>
      </c>
      <c r="D15" s="5" t="s">
        <v>28</v>
      </c>
      <c r="E15" s="6" t="s">
        <v>713</v>
      </c>
      <c r="F15" s="48">
        <v>4087325550</v>
      </c>
      <c r="G15" s="12" t="s">
        <v>452</v>
      </c>
      <c r="H15" s="49">
        <v>1</v>
      </c>
      <c r="I15" s="47">
        <v>1</v>
      </c>
      <c r="J15" s="47">
        <v>1</v>
      </c>
      <c r="K15" s="47">
        <v>1</v>
      </c>
      <c r="L15" s="47">
        <v>1</v>
      </c>
      <c r="M15" s="47"/>
      <c r="N15" s="47"/>
      <c r="O15" s="94">
        <f t="shared" si="2"/>
        <v>0</v>
      </c>
      <c r="P15" s="47" t="s">
        <v>701</v>
      </c>
      <c r="Q15" s="47">
        <v>1015</v>
      </c>
      <c r="R15" s="95">
        <f t="shared" si="3"/>
        <v>160</v>
      </c>
      <c r="S15" s="95" t="str">
        <f t="shared" si="4"/>
        <v/>
      </c>
      <c r="T15" s="96">
        <f>H15*[1]!FMainPool1Fee+I15*[1]!FMainPool2Fee+J15*[1]!FMainPool3Fee+K15*[1]!FMainPool4Fee+B15*[1]!FMainEntryFee</f>
        <v>160</v>
      </c>
      <c r="U15" s="51"/>
    </row>
    <row r="16" spans="1:21" x14ac:dyDescent="0.25">
      <c r="A16" s="46">
        <f t="shared" si="1"/>
        <v>5</v>
      </c>
      <c r="B16" s="47">
        <v>1</v>
      </c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>
        <v>1</v>
      </c>
      <c r="I16" s="47">
        <v>1</v>
      </c>
      <c r="J16" s="47">
        <v>1</v>
      </c>
      <c r="K16" s="47">
        <v>1</v>
      </c>
      <c r="L16" s="47"/>
      <c r="M16" s="47"/>
      <c r="N16" s="47"/>
      <c r="O16" s="94">
        <f t="shared" si="2"/>
        <v>0</v>
      </c>
      <c r="P16" s="47" t="s">
        <v>701</v>
      </c>
      <c r="Q16" s="47">
        <v>3403</v>
      </c>
      <c r="R16" s="95">
        <f t="shared" si="3"/>
        <v>160</v>
      </c>
      <c r="S16" s="95" t="str">
        <f t="shared" si="4"/>
        <v/>
      </c>
      <c r="T16" s="96">
        <f>H16*[1]!FMainPool1Fee+I16*[1]!FMainPool2Fee+J16*[1]!FMainPool3Fee+K16*[1]!FMainPool4Fee+B16*[1]!FMainEntryFee</f>
        <v>160</v>
      </c>
      <c r="U16" s="51"/>
    </row>
    <row r="17" spans="1:21" x14ac:dyDescent="0.25">
      <c r="A17" s="46">
        <f t="shared" si="1"/>
        <v>6</v>
      </c>
      <c r="B17" s="47">
        <v>1</v>
      </c>
      <c r="C17" s="68" t="s">
        <v>643</v>
      </c>
      <c r="D17" s="68" t="s">
        <v>173</v>
      </c>
      <c r="E17" s="92" t="s">
        <v>644</v>
      </c>
      <c r="F17" s="113">
        <v>5305666454</v>
      </c>
      <c r="G17" s="111" t="s">
        <v>714</v>
      </c>
      <c r="H17" s="49">
        <v>1</v>
      </c>
      <c r="I17" s="47"/>
      <c r="J17" s="47"/>
      <c r="K17" s="47"/>
      <c r="L17" s="47">
        <v>1</v>
      </c>
      <c r="M17" s="47"/>
      <c r="N17" s="47"/>
      <c r="O17" s="94">
        <f t="shared" si="2"/>
        <v>0</v>
      </c>
      <c r="P17" s="47" t="s">
        <v>701</v>
      </c>
      <c r="Q17" s="112" t="s">
        <v>715</v>
      </c>
      <c r="R17" s="95">
        <f t="shared" si="3"/>
        <v>80</v>
      </c>
      <c r="S17" s="95" t="str">
        <f t="shared" si="4"/>
        <v/>
      </c>
      <c r="T17" s="96">
        <f>H17*[1]!FMainPool1Fee+I17*[1]!FMainPool2Fee+J17*[1]!FMainPool3Fee+K17*[1]!FMainPool4Fee+B17*[1]!FMainEntryFee</f>
        <v>80</v>
      </c>
      <c r="U17" s="51"/>
    </row>
    <row r="18" spans="1:21" x14ac:dyDescent="0.25">
      <c r="A18" s="46">
        <f t="shared" si="1"/>
        <v>7</v>
      </c>
      <c r="B18" s="47">
        <v>1</v>
      </c>
      <c r="C18" s="7" t="s">
        <v>716</v>
      </c>
      <c r="D18" s="7" t="s">
        <v>67</v>
      </c>
      <c r="E18" s="8" t="s">
        <v>717</v>
      </c>
      <c r="F18" s="55">
        <v>7075994896</v>
      </c>
      <c r="G18" s="111" t="s">
        <v>718</v>
      </c>
      <c r="H18" s="49">
        <v>1</v>
      </c>
      <c r="I18" s="47">
        <v>1</v>
      </c>
      <c r="J18" s="47">
        <v>1</v>
      </c>
      <c r="K18" s="47"/>
      <c r="L18" s="47">
        <v>1</v>
      </c>
      <c r="M18" s="47"/>
      <c r="N18" s="47"/>
      <c r="O18" s="94"/>
      <c r="P18" s="47" t="s">
        <v>712</v>
      </c>
      <c r="Q18" s="47"/>
      <c r="R18" s="95" t="str">
        <f t="shared" si="3"/>
        <v/>
      </c>
      <c r="S18" s="95">
        <v>110</v>
      </c>
      <c r="T18" s="96">
        <f>H18*[1]!FMainPool1Fee+I18*[1]!FMainPool2Fee+J18*[1]!FMainPool3Fee+K18*[1]!FMainPool4Fee+B18*[1]!FMainEntryFee</f>
        <v>110</v>
      </c>
      <c r="U18" s="51"/>
    </row>
    <row r="19" spans="1:21" x14ac:dyDescent="0.25">
      <c r="A19" s="46">
        <f t="shared" si="1"/>
        <v>8</v>
      </c>
      <c r="B19" s="47">
        <v>1</v>
      </c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>
        <v>1</v>
      </c>
      <c r="I19" s="47"/>
      <c r="J19" s="47"/>
      <c r="K19" s="47"/>
      <c r="L19" s="47">
        <v>1</v>
      </c>
      <c r="M19" s="47"/>
      <c r="N19" s="47"/>
      <c r="O19" s="94">
        <f>T19*N19</f>
        <v>0</v>
      </c>
      <c r="P19" s="47" t="s">
        <v>701</v>
      </c>
      <c r="Q19" s="47">
        <v>171</v>
      </c>
      <c r="R19" s="95">
        <f t="shared" si="3"/>
        <v>80</v>
      </c>
      <c r="S19" s="95" t="str">
        <f t="shared" ref="S19:S31" si="5">IF(OR(P19="$",N19=1),+T19,"")</f>
        <v/>
      </c>
      <c r="T19" s="96">
        <f>H19*[1]!FMainPool1Fee+I19*[1]!FMainPool2Fee+J19*[1]!FMainPool3Fee+K19*[1]!FMainPool4Fee+B19*[1]!FMainEntryFee</f>
        <v>80</v>
      </c>
      <c r="U19" s="51"/>
    </row>
    <row r="20" spans="1:21" x14ac:dyDescent="0.25">
      <c r="A20" s="46">
        <f t="shared" si="1"/>
        <v>9</v>
      </c>
      <c r="B20" s="47">
        <v>1</v>
      </c>
      <c r="C20" s="15" t="s">
        <v>647</v>
      </c>
      <c r="D20" s="15" t="s">
        <v>45</v>
      </c>
      <c r="E20" s="10" t="s">
        <v>648</v>
      </c>
      <c r="F20" s="110">
        <v>7079744711</v>
      </c>
      <c r="G20" s="111" t="s">
        <v>649</v>
      </c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 t="s">
        <v>701</v>
      </c>
      <c r="Q20" s="47">
        <v>1075</v>
      </c>
      <c r="R20" s="95">
        <f t="shared" si="3"/>
        <v>70</v>
      </c>
      <c r="S20" s="95" t="str">
        <f t="shared" si="5"/>
        <v/>
      </c>
      <c r="T20" s="96">
        <f>H20*[1]!FMainPool1Fee+I20*[1]!FMainPool2Fee+J20*[1]!FMainPool3Fee+K20*[1]!FMainPool4Fee+B20*[1]!FMainEntryFee</f>
        <v>70</v>
      </c>
      <c r="U20" s="51"/>
    </row>
    <row r="21" spans="1:21" x14ac:dyDescent="0.25">
      <c r="A21" s="46">
        <f t="shared" si="1"/>
        <v>10</v>
      </c>
      <c r="B21" s="47">
        <v>1</v>
      </c>
      <c r="C21" s="15" t="s">
        <v>721</v>
      </c>
      <c r="D21" s="15" t="s">
        <v>67</v>
      </c>
      <c r="E21" s="10" t="s">
        <v>722</v>
      </c>
      <c r="F21" s="110">
        <v>7075027980</v>
      </c>
      <c r="G21" s="111" t="s">
        <v>723</v>
      </c>
      <c r="H21" s="49">
        <v>1</v>
      </c>
      <c r="I21" s="47">
        <v>1</v>
      </c>
      <c r="J21" s="47">
        <v>1</v>
      </c>
      <c r="K21" s="47"/>
      <c r="L21" s="47"/>
      <c r="M21" s="47"/>
      <c r="N21" s="47"/>
      <c r="O21" s="94"/>
      <c r="P21" s="47" t="s">
        <v>712</v>
      </c>
      <c r="Q21" s="47"/>
      <c r="R21" s="95" t="str">
        <f t="shared" si="3"/>
        <v/>
      </c>
      <c r="S21" s="95">
        <f t="shared" si="5"/>
        <v>110</v>
      </c>
      <c r="T21" s="96">
        <f>H21*[1]!FMainPool1Fee+I21*[1]!FMainPool2Fee+J21*[1]!FMainPool3Fee+K21*[1]!FMainPool4Fee+B21*[1]!FMainEntryFee</f>
        <v>110</v>
      </c>
      <c r="U21" s="51"/>
    </row>
    <row r="22" spans="1:21" x14ac:dyDescent="0.25">
      <c r="A22" s="46">
        <f t="shared" si="1"/>
        <v>11</v>
      </c>
      <c r="B22" s="47">
        <v>1</v>
      </c>
      <c r="C22" s="7" t="s">
        <v>86</v>
      </c>
      <c r="D22" s="7" t="s">
        <v>64</v>
      </c>
      <c r="E22" s="8" t="s">
        <v>87</v>
      </c>
      <c r="F22" s="60">
        <v>7073175740</v>
      </c>
      <c r="G22" s="109" t="s">
        <v>474</v>
      </c>
      <c r="H22" s="49">
        <v>1</v>
      </c>
      <c r="I22" s="47"/>
      <c r="J22" s="47">
        <v>1</v>
      </c>
      <c r="K22" s="47"/>
      <c r="L22" s="47"/>
      <c r="M22" s="47"/>
      <c r="N22" s="47"/>
      <c r="O22" s="94">
        <f t="shared" ref="O22:O31" si="6">T22*N22</f>
        <v>0</v>
      </c>
      <c r="P22" s="47" t="s">
        <v>712</v>
      </c>
      <c r="Q22" s="47"/>
      <c r="R22" s="95" t="str">
        <f t="shared" si="3"/>
        <v/>
      </c>
      <c r="S22" s="95">
        <f t="shared" si="5"/>
        <v>100</v>
      </c>
      <c r="T22" s="96">
        <f>H22*[1]!FMainPool1Fee+I22*[1]!FMainPool2Fee+J22*[1]!FMainPool3Fee+K22*[1]!FMainPool4Fee+B22*[1]!FMainEntryFee</f>
        <v>100</v>
      </c>
      <c r="U22" s="51"/>
    </row>
    <row r="23" spans="1:21" x14ac:dyDescent="0.25">
      <c r="A23" s="46">
        <f t="shared" si="1"/>
        <v>12</v>
      </c>
      <c r="B23" s="47">
        <v>1</v>
      </c>
      <c r="C23" s="15" t="s">
        <v>650</v>
      </c>
      <c r="D23" s="15" t="s">
        <v>5</v>
      </c>
      <c r="E23" s="10" t="s">
        <v>651</v>
      </c>
      <c r="F23" s="110">
        <v>2793335535</v>
      </c>
      <c r="G23" s="15"/>
      <c r="H23" s="49">
        <v>1</v>
      </c>
      <c r="I23" s="47">
        <v>1</v>
      </c>
      <c r="J23" s="47">
        <v>1</v>
      </c>
      <c r="K23" s="47"/>
      <c r="L23" s="47">
        <v>1</v>
      </c>
      <c r="M23" s="47"/>
      <c r="N23" s="47"/>
      <c r="O23" s="94">
        <f t="shared" si="6"/>
        <v>0</v>
      </c>
      <c r="P23" s="47" t="s">
        <v>701</v>
      </c>
      <c r="Q23" s="47">
        <v>1299</v>
      </c>
      <c r="R23" s="95">
        <f t="shared" si="3"/>
        <v>110</v>
      </c>
      <c r="S23" s="95" t="str">
        <f t="shared" si="5"/>
        <v/>
      </c>
      <c r="T23" s="96">
        <f>H23*[1]!FMainPool1Fee+I23*[1]!FMainPool2Fee+J23*[1]!FMainPool3Fee+K23*[1]!FMainPool4Fee+B23*[1]!FMainEntryFee</f>
        <v>110</v>
      </c>
      <c r="U23" s="51"/>
    </row>
    <row r="24" spans="1:21" x14ac:dyDescent="0.25">
      <c r="A24" s="46">
        <f t="shared" si="1"/>
        <v>13</v>
      </c>
      <c r="B24" s="47">
        <v>1</v>
      </c>
      <c r="C24" s="7" t="s">
        <v>108</v>
      </c>
      <c r="D24" s="7" t="s">
        <v>72</v>
      </c>
      <c r="E24" s="8" t="s">
        <v>109</v>
      </c>
      <c r="F24" s="110" t="s">
        <v>483</v>
      </c>
      <c r="G24" s="12" t="s">
        <v>484</v>
      </c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 t="shared" si="6"/>
        <v>0</v>
      </c>
      <c r="P24" s="47" t="s">
        <v>701</v>
      </c>
      <c r="Q24" s="47">
        <v>1974</v>
      </c>
      <c r="R24" s="95">
        <f t="shared" si="3"/>
        <v>110</v>
      </c>
      <c r="S24" s="95" t="str">
        <f t="shared" si="5"/>
        <v/>
      </c>
      <c r="T24" s="96">
        <f>H24*[1]!FMainPool1Fee+I24*[1]!FMainPool2Fee+J24*[1]!FMainPool3Fee+K24*[1]!FMainPool4Fee+B24*[1]!FMainEntryFee</f>
        <v>110</v>
      </c>
      <c r="U24" s="51"/>
    </row>
    <row r="25" spans="1:21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2" t="s">
        <v>488</v>
      </c>
      <c r="G25" s="12" t="s">
        <v>468</v>
      </c>
      <c r="H25" s="49">
        <v>1</v>
      </c>
      <c r="I25" s="47">
        <v>1</v>
      </c>
      <c r="J25" s="47">
        <v>1</v>
      </c>
      <c r="K25" s="47">
        <v>1</v>
      </c>
      <c r="L25" s="47"/>
      <c r="M25" s="47"/>
      <c r="N25" s="47"/>
      <c r="O25" s="94">
        <f t="shared" si="6"/>
        <v>0</v>
      </c>
      <c r="P25" s="47" t="s">
        <v>701</v>
      </c>
      <c r="Q25" s="47">
        <v>2213</v>
      </c>
      <c r="R25" s="95">
        <f t="shared" si="3"/>
        <v>160</v>
      </c>
      <c r="S25" s="95" t="str">
        <f t="shared" si="5"/>
        <v/>
      </c>
      <c r="T25" s="96">
        <f>H25*[1]!FMainPool1Fee+I25*[1]!FMainPool2Fee+J25*[1]!FMainPool3Fee+K25*[1]!FMainPool4Fee+B25*[1]!FMainEntryFee</f>
        <v>160</v>
      </c>
      <c r="U25" s="51"/>
    </row>
    <row r="26" spans="1:21" x14ac:dyDescent="0.25">
      <c r="A26" s="46">
        <f t="shared" si="1"/>
        <v>15</v>
      </c>
      <c r="B26" s="47">
        <v>1</v>
      </c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>
        <v>1</v>
      </c>
      <c r="I26" s="47">
        <v>1</v>
      </c>
      <c r="J26" s="47">
        <v>1</v>
      </c>
      <c r="K26" s="47">
        <v>1</v>
      </c>
      <c r="L26" s="47"/>
      <c r="M26" s="47"/>
      <c r="N26" s="47"/>
      <c r="O26" s="94">
        <f t="shared" si="6"/>
        <v>0</v>
      </c>
      <c r="P26" s="47" t="s">
        <v>701</v>
      </c>
      <c r="Q26" s="47">
        <v>4008</v>
      </c>
      <c r="R26" s="95">
        <f t="shared" si="3"/>
        <v>160</v>
      </c>
      <c r="S26" s="95" t="str">
        <f t="shared" si="5"/>
        <v/>
      </c>
      <c r="T26" s="96">
        <f>H26*[1]!FMainPool1Fee+I26*[1]!FMainPool2Fee+J26*[1]!FMainPool3Fee+K26*[1]!FMainPool4Fee+B26*[1]!FMainEntryFee</f>
        <v>160</v>
      </c>
      <c r="U26" s="51"/>
    </row>
    <row r="27" spans="1:21" x14ac:dyDescent="0.25">
      <c r="A27" s="46">
        <f t="shared" si="1"/>
        <v>16</v>
      </c>
      <c r="B27" s="47">
        <v>1</v>
      </c>
      <c r="C27" s="5" t="s">
        <v>124</v>
      </c>
      <c r="D27" s="5" t="s">
        <v>72</v>
      </c>
      <c r="E27" s="6" t="s">
        <v>125</v>
      </c>
      <c r="F27" s="59">
        <v>7073225806</v>
      </c>
      <c r="G27" s="109" t="s">
        <v>491</v>
      </c>
      <c r="H27" s="49"/>
      <c r="I27" s="47"/>
      <c r="J27" s="47"/>
      <c r="K27" s="47"/>
      <c r="L27" s="47"/>
      <c r="M27" s="47"/>
      <c r="N27" s="47"/>
      <c r="O27" s="94">
        <f t="shared" si="6"/>
        <v>0</v>
      </c>
      <c r="P27" s="47" t="s">
        <v>701</v>
      </c>
      <c r="Q27" s="47">
        <v>1795</v>
      </c>
      <c r="R27" s="95">
        <f t="shared" si="3"/>
        <v>70</v>
      </c>
      <c r="S27" s="95" t="str">
        <f t="shared" si="5"/>
        <v/>
      </c>
      <c r="T27" s="96">
        <f>H27*[1]!FMainPool1Fee+I27*[1]!FMainPool2Fee+J27*[1]!FMainPool3Fee+K27*[1]!FMainPool4Fee+B27*[1]!FMainEntryFee</f>
        <v>70</v>
      </c>
      <c r="U27" s="51"/>
    </row>
    <row r="28" spans="1:21" x14ac:dyDescent="0.25">
      <c r="A28" s="46">
        <f t="shared" si="1"/>
        <v>17</v>
      </c>
      <c r="B28" s="47">
        <v>1</v>
      </c>
      <c r="C28" s="5" t="s">
        <v>724</v>
      </c>
      <c r="D28" s="5" t="s">
        <v>185</v>
      </c>
      <c r="E28" s="6" t="s">
        <v>725</v>
      </c>
      <c r="F28" s="59">
        <v>9258406622</v>
      </c>
      <c r="G28" s="109" t="s">
        <v>726</v>
      </c>
      <c r="H28" s="49">
        <v>1</v>
      </c>
      <c r="I28" s="47"/>
      <c r="J28" s="47"/>
      <c r="K28" s="47"/>
      <c r="L28" s="47"/>
      <c r="M28" s="47"/>
      <c r="N28" s="47"/>
      <c r="O28" s="94">
        <f t="shared" si="6"/>
        <v>0</v>
      </c>
      <c r="P28" s="47" t="s">
        <v>701</v>
      </c>
      <c r="Q28" s="47">
        <v>1208</v>
      </c>
      <c r="R28" s="95">
        <f t="shared" si="3"/>
        <v>80</v>
      </c>
      <c r="S28" s="95" t="str">
        <f t="shared" si="5"/>
        <v/>
      </c>
      <c r="T28" s="96">
        <f>H28*[1]!FMainPool1Fee+I28*[1]!FMainPool2Fee+J28*[1]!FMainPool3Fee+K28*[1]!FMainPool4Fee+B28*[1]!FMainEntryFee</f>
        <v>80</v>
      </c>
      <c r="U28" s="51"/>
    </row>
    <row r="29" spans="1:21" x14ac:dyDescent="0.25">
      <c r="A29" s="46">
        <f t="shared" si="1"/>
        <v>18</v>
      </c>
      <c r="B29" s="47">
        <v>1</v>
      </c>
      <c r="C29" s="7" t="s">
        <v>126</v>
      </c>
      <c r="D29" s="7" t="s">
        <v>127</v>
      </c>
      <c r="E29" s="8" t="s">
        <v>128</v>
      </c>
      <c r="F29" s="110" t="s">
        <v>492</v>
      </c>
      <c r="G29" s="12" t="s">
        <v>493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 t="shared" si="6"/>
        <v>160</v>
      </c>
      <c r="P29" s="47" t="s">
        <v>712</v>
      </c>
      <c r="Q29" s="47"/>
      <c r="R29" s="95" t="str">
        <f t="shared" si="3"/>
        <v/>
      </c>
      <c r="S29" s="95">
        <f t="shared" si="5"/>
        <v>160</v>
      </c>
      <c r="T29" s="96">
        <f>H29*[1]!FMainPool1Fee+I29*[1]!FMainPool2Fee+J29*[1]!FMainPool3Fee+K29*[1]!FMainPool4Fee+B29*[1]!FMainEntryFee</f>
        <v>160</v>
      </c>
      <c r="U29" s="51"/>
    </row>
    <row r="30" spans="1:21" x14ac:dyDescent="0.25">
      <c r="A30" s="46">
        <f t="shared" si="1"/>
        <v>19</v>
      </c>
      <c r="B30" s="47">
        <v>1</v>
      </c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>
        <v>1</v>
      </c>
      <c r="I30" s="47">
        <v>1</v>
      </c>
      <c r="J30" s="47">
        <v>1</v>
      </c>
      <c r="K30" s="47">
        <v>1</v>
      </c>
      <c r="L30" s="47">
        <v>1</v>
      </c>
      <c r="M30" s="47"/>
      <c r="N30" s="47"/>
      <c r="O30" s="94">
        <f t="shared" si="6"/>
        <v>0</v>
      </c>
      <c r="P30" s="47" t="s">
        <v>712</v>
      </c>
      <c r="Q30" s="47"/>
      <c r="R30" s="95" t="str">
        <f t="shared" si="3"/>
        <v/>
      </c>
      <c r="S30" s="95">
        <f t="shared" si="5"/>
        <v>160</v>
      </c>
      <c r="T30" s="96">
        <f>H30*[1]!FMainPool1Fee+I30*[1]!FMainPool2Fee+J30*[1]!FMainPool3Fee+K30*[1]!FMainPool4Fee+B30*[1]!FMainEntryFee</f>
        <v>160</v>
      </c>
      <c r="U30" s="51"/>
    </row>
    <row r="31" spans="1:21" x14ac:dyDescent="0.25">
      <c r="A31" s="46">
        <f t="shared" si="1"/>
        <v>20</v>
      </c>
      <c r="B31" s="47">
        <v>1</v>
      </c>
      <c r="C31" s="15" t="s">
        <v>656</v>
      </c>
      <c r="D31" s="15" t="s">
        <v>409</v>
      </c>
      <c r="E31" s="10" t="s">
        <v>657</v>
      </c>
      <c r="F31" s="110">
        <v>5103043540</v>
      </c>
      <c r="G31" s="111" t="s">
        <v>727</v>
      </c>
      <c r="H31" s="49">
        <v>1</v>
      </c>
      <c r="I31" s="47"/>
      <c r="J31" s="47"/>
      <c r="K31" s="47"/>
      <c r="L31" s="47"/>
      <c r="M31" s="47"/>
      <c r="N31" s="47">
        <v>1</v>
      </c>
      <c r="O31" s="94">
        <f t="shared" si="6"/>
        <v>80</v>
      </c>
      <c r="P31" s="47" t="s">
        <v>712</v>
      </c>
      <c r="Q31" s="47"/>
      <c r="R31" s="95" t="str">
        <f t="shared" si="3"/>
        <v/>
      </c>
      <c r="S31" s="95">
        <f t="shared" si="5"/>
        <v>80</v>
      </c>
      <c r="T31" s="96">
        <f>H31*[1]!FMainPool1Fee+I31*[1]!FMainPool2Fee+J31*[1]!FMainPool3Fee+K31*[1]!FMainPool4Fee+B31*[1]!FMainEntryFee</f>
        <v>80</v>
      </c>
      <c r="U31" s="51"/>
    </row>
    <row r="32" spans="1:21" x14ac:dyDescent="0.25">
      <c r="A32" s="46">
        <f t="shared" si="1"/>
        <v>21</v>
      </c>
      <c r="B32" s="47">
        <v>1</v>
      </c>
      <c r="C32" s="15" t="s">
        <v>728</v>
      </c>
      <c r="D32" s="15" t="s">
        <v>729</v>
      </c>
      <c r="E32" s="10" t="s">
        <v>730</v>
      </c>
      <c r="F32" s="110">
        <v>5309277047</v>
      </c>
      <c r="G32" s="116" t="s">
        <v>731</v>
      </c>
      <c r="H32" s="49">
        <v>1</v>
      </c>
      <c r="I32" s="47">
        <v>1</v>
      </c>
      <c r="J32" s="47">
        <v>1</v>
      </c>
      <c r="K32" s="47">
        <v>1</v>
      </c>
      <c r="L32" s="47"/>
      <c r="M32" s="47"/>
      <c r="N32" s="47"/>
      <c r="O32" s="94"/>
      <c r="P32" s="47" t="s">
        <v>701</v>
      </c>
      <c r="Q32" s="47">
        <v>6681</v>
      </c>
      <c r="R32" s="95">
        <v>160</v>
      </c>
      <c r="S32" s="95"/>
      <c r="T32" s="96">
        <f>H32*[1]!FMainPool1Fee+I32*[1]!FMainPool2Fee+J32*[1]!FMainPool3Fee+K32*[1]!FMainPool4Fee+B32*[1]!FMainEntryFee</f>
        <v>160</v>
      </c>
      <c r="U32" s="51"/>
    </row>
    <row r="33" spans="1:21" x14ac:dyDescent="0.25">
      <c r="A33" s="46">
        <f t="shared" si="1"/>
        <v>22</v>
      </c>
      <c r="B33" s="47">
        <v>1</v>
      </c>
      <c r="C33" s="15" t="s">
        <v>732</v>
      </c>
      <c r="D33" s="15" t="s">
        <v>729</v>
      </c>
      <c r="E33" s="10" t="s">
        <v>733</v>
      </c>
      <c r="F33" s="110">
        <v>5309277048</v>
      </c>
      <c r="G33" s="111" t="s">
        <v>734</v>
      </c>
      <c r="H33" s="49">
        <v>1</v>
      </c>
      <c r="I33" s="47">
        <v>1</v>
      </c>
      <c r="J33" s="47">
        <v>1</v>
      </c>
      <c r="K33" s="47">
        <v>1</v>
      </c>
      <c r="L33" s="47"/>
      <c r="M33" s="47"/>
      <c r="N33" s="47"/>
      <c r="O33" s="94"/>
      <c r="P33" s="47" t="s">
        <v>701</v>
      </c>
      <c r="Q33" s="47">
        <v>6681</v>
      </c>
      <c r="R33" s="95">
        <v>160</v>
      </c>
      <c r="S33" s="95"/>
      <c r="T33" s="96">
        <f>H33*[1]!FMainPool1Fee+I33*[1]!FMainPool2Fee+J33*[1]!FMainPool3Fee+K33*[1]!FMainPool4Fee+B33*[1]!FMainEntryFee</f>
        <v>160</v>
      </c>
      <c r="U33" s="51"/>
    </row>
    <row r="34" spans="1:21" x14ac:dyDescent="0.25">
      <c r="A34" s="46">
        <f t="shared" si="1"/>
        <v>23</v>
      </c>
      <c r="B34" s="47">
        <v>1</v>
      </c>
      <c r="C34" s="7" t="s">
        <v>158</v>
      </c>
      <c r="D34" s="7" t="s">
        <v>159</v>
      </c>
      <c r="E34" s="8" t="s">
        <v>160</v>
      </c>
      <c r="F34" s="110" t="s">
        <v>504</v>
      </c>
      <c r="G34" s="12" t="s">
        <v>468</v>
      </c>
      <c r="H34" s="49">
        <v>1</v>
      </c>
      <c r="I34" s="47">
        <v>1</v>
      </c>
      <c r="J34" s="47">
        <v>1</v>
      </c>
      <c r="K34" s="47"/>
      <c r="L34" s="47"/>
      <c r="M34" s="47"/>
      <c r="N34" s="47"/>
      <c r="O34" s="94">
        <f>T34*N34</f>
        <v>0</v>
      </c>
      <c r="P34" s="47" t="s">
        <v>701</v>
      </c>
      <c r="Q34" s="47">
        <v>8899</v>
      </c>
      <c r="R34" s="95">
        <f t="shared" ref="R34:R58" si="7">IF(OR(P34="c",P34="C"),+T34,"")</f>
        <v>110</v>
      </c>
      <c r="S34" s="95" t="str">
        <f t="shared" ref="S34:S65" si="8">IF(OR(P34="$",N34=1),+T34,"")</f>
        <v/>
      </c>
      <c r="T34" s="96">
        <f>H34*[1]!FMainPool1Fee+I34*[1]!FMainPool2Fee+J34*[1]!FMainPool3Fee+K34*[1]!FMainPool4Fee+B34*[1]!FMainEntryFee</f>
        <v>110</v>
      </c>
      <c r="U34" s="51"/>
    </row>
    <row r="35" spans="1:21" x14ac:dyDescent="0.25">
      <c r="A35" s="46">
        <f t="shared" si="1"/>
        <v>24</v>
      </c>
      <c r="B35" s="47">
        <v>1</v>
      </c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>
        <v>1</v>
      </c>
      <c r="I35" s="47"/>
      <c r="J35" s="47"/>
      <c r="K35" s="47"/>
      <c r="L35" s="47"/>
      <c r="M35" s="47"/>
      <c r="N35" s="47"/>
      <c r="O35" s="94">
        <f>T35*N35</f>
        <v>0</v>
      </c>
      <c r="P35" s="47" t="s">
        <v>701</v>
      </c>
      <c r="Q35" s="47">
        <v>2548</v>
      </c>
      <c r="R35" s="95">
        <f t="shared" si="7"/>
        <v>80</v>
      </c>
      <c r="S35" s="95" t="str">
        <f t="shared" si="8"/>
        <v/>
      </c>
      <c r="T35" s="96">
        <f>H35*[1]!FMainPool1Fee+I35*[1]!FMainPool2Fee+J35*[1]!FMainPool3Fee+K35*[1]!FMainPool4Fee+B35*[1]!FMainEntryFee</f>
        <v>80</v>
      </c>
      <c r="U35" s="51"/>
    </row>
    <row r="36" spans="1:21" x14ac:dyDescent="0.25">
      <c r="A36" s="46">
        <f t="shared" si="1"/>
        <v>25</v>
      </c>
      <c r="B36" s="47">
        <v>1</v>
      </c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>
        <v>1</v>
      </c>
      <c r="I36" s="47">
        <v>1</v>
      </c>
      <c r="J36" s="47">
        <v>1</v>
      </c>
      <c r="K36" s="47"/>
      <c r="L36" s="47"/>
      <c r="M36" s="47"/>
      <c r="N36" s="47"/>
      <c r="O36" s="94">
        <f>T36*N36</f>
        <v>0</v>
      </c>
      <c r="P36" s="47" t="s">
        <v>701</v>
      </c>
      <c r="Q36" s="47">
        <v>7240</v>
      </c>
      <c r="R36" s="95">
        <f t="shared" si="7"/>
        <v>110</v>
      </c>
      <c r="S36" s="95" t="str">
        <f t="shared" si="8"/>
        <v/>
      </c>
      <c r="T36" s="96">
        <f>H36*[1]!FMainPool1Fee+I36*[1]!FMainPool2Fee+J36*[1]!FMainPool3Fee+K36*[1]!FMainPool4Fee+B36*[1]!FMainEntryFee</f>
        <v>110</v>
      </c>
      <c r="U36" s="51"/>
    </row>
    <row r="37" spans="1:21" x14ac:dyDescent="0.25">
      <c r="A37" s="46">
        <f t="shared" si="1"/>
        <v>26</v>
      </c>
      <c r="B37" s="47">
        <v>1</v>
      </c>
      <c r="C37" s="5" t="s">
        <v>175</v>
      </c>
      <c r="D37" s="5" t="s">
        <v>72</v>
      </c>
      <c r="E37" s="6" t="s">
        <v>176</v>
      </c>
      <c r="F37" s="48">
        <v>7079536818</v>
      </c>
      <c r="G37" s="109" t="s">
        <v>735</v>
      </c>
      <c r="H37" s="49">
        <v>1</v>
      </c>
      <c r="I37" s="47"/>
      <c r="J37" s="47"/>
      <c r="K37" s="47"/>
      <c r="L37" s="47"/>
      <c r="M37" s="47"/>
      <c r="N37" s="47"/>
      <c r="O37" s="94">
        <f>T37*N37</f>
        <v>0</v>
      </c>
      <c r="P37" s="47" t="s">
        <v>701</v>
      </c>
      <c r="Q37" s="47">
        <v>170</v>
      </c>
      <c r="R37" s="95">
        <f t="shared" si="7"/>
        <v>80</v>
      </c>
      <c r="S37" s="95" t="str">
        <f t="shared" si="8"/>
        <v/>
      </c>
      <c r="T37" s="96">
        <f>H37*[1]!FMainPool1Fee+I37*[1]!FMainPool2Fee+J37*[1]!FMainPool3Fee+K37*[1]!FMainPool4Fee+B37*[1]!FMainEntryFee</f>
        <v>80</v>
      </c>
      <c r="U37" s="51"/>
    </row>
    <row r="38" spans="1:21" x14ac:dyDescent="0.25">
      <c r="A38" s="46">
        <f t="shared" si="1"/>
        <v>27</v>
      </c>
      <c r="B38" s="47">
        <v>1</v>
      </c>
      <c r="C38" s="5" t="s">
        <v>184</v>
      </c>
      <c r="D38" s="5" t="s">
        <v>185</v>
      </c>
      <c r="E38" s="6" t="s">
        <v>186</v>
      </c>
      <c r="F38" s="113" t="s">
        <v>513</v>
      </c>
      <c r="G38" s="12" t="s">
        <v>468</v>
      </c>
      <c r="H38" s="49">
        <v>1</v>
      </c>
      <c r="I38" s="47"/>
      <c r="J38" s="47"/>
      <c r="K38" s="47"/>
      <c r="L38" s="47"/>
      <c r="M38" s="47"/>
      <c r="N38" s="47">
        <v>1</v>
      </c>
      <c r="O38" s="94">
        <v>80</v>
      </c>
      <c r="P38" s="47" t="s">
        <v>712</v>
      </c>
      <c r="Q38" s="47"/>
      <c r="R38" s="95" t="str">
        <f t="shared" si="7"/>
        <v/>
      </c>
      <c r="S38" s="95">
        <f t="shared" si="8"/>
        <v>80</v>
      </c>
      <c r="T38" s="96">
        <f>H38*[1]!FMainPool1Fee+I38*[1]!FMainPool2Fee+J38*[1]!FMainPool3Fee+K38*[1]!FMainPool4Fee+B38*[1]!FMainEntryFee</f>
        <v>80</v>
      </c>
      <c r="U38" s="51"/>
    </row>
    <row r="39" spans="1:21" x14ac:dyDescent="0.25">
      <c r="A39" s="46">
        <f t="shared" si="1"/>
        <v>28</v>
      </c>
      <c r="B39" s="47">
        <v>1</v>
      </c>
      <c r="C39" s="7" t="s">
        <v>196</v>
      </c>
      <c r="D39" s="7" t="s">
        <v>64</v>
      </c>
      <c r="E39" s="8" t="s">
        <v>197</v>
      </c>
      <c r="F39" s="55">
        <v>4084722020</v>
      </c>
      <c r="G39" s="109" t="s">
        <v>518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 t="shared" ref="O39:O45" si="9">T39*N39</f>
        <v>0</v>
      </c>
      <c r="P39" s="47" t="s">
        <v>701</v>
      </c>
      <c r="Q39" s="47">
        <v>5206</v>
      </c>
      <c r="R39" s="95">
        <f t="shared" si="7"/>
        <v>160</v>
      </c>
      <c r="S39" s="95" t="str">
        <f t="shared" si="8"/>
        <v/>
      </c>
      <c r="T39" s="96">
        <f>H39*[1]!FMainPool1Fee+I39*[1]!FMainPool2Fee+J39*[1]!FMainPool3Fee+K39*[1]!FMainPool4Fee+B39*[1]!FMainEntryFee</f>
        <v>160</v>
      </c>
      <c r="U39" s="51"/>
    </row>
    <row r="40" spans="1:21" x14ac:dyDescent="0.25">
      <c r="A40" s="46">
        <f t="shared" si="1"/>
        <v>29</v>
      </c>
      <c r="B40" s="47">
        <v>1</v>
      </c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>
        <v>1</v>
      </c>
      <c r="I40" s="47"/>
      <c r="J40" s="47"/>
      <c r="K40" s="47"/>
      <c r="L40" s="47">
        <v>1</v>
      </c>
      <c r="M40" s="47"/>
      <c r="N40" s="47"/>
      <c r="O40" s="94">
        <f t="shared" si="9"/>
        <v>0</v>
      </c>
      <c r="P40" s="47" t="s">
        <v>701</v>
      </c>
      <c r="Q40" s="47">
        <v>4900</v>
      </c>
      <c r="R40" s="95">
        <f t="shared" si="7"/>
        <v>80</v>
      </c>
      <c r="S40" s="95" t="str">
        <f t="shared" si="8"/>
        <v/>
      </c>
      <c r="T40" s="96">
        <f>H40*[1]!FMainPool1Fee+I40*[1]!FMainPool2Fee+J40*[1]!FMainPool3Fee+K40*[1]!FMainPool4Fee+B40*[1]!FMainEntryFee</f>
        <v>80</v>
      </c>
      <c r="U40" s="51"/>
    </row>
    <row r="41" spans="1:21" x14ac:dyDescent="0.25">
      <c r="A41" s="46">
        <f t="shared" si="1"/>
        <v>30</v>
      </c>
      <c r="B41" s="47">
        <v>1</v>
      </c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>
        <v>1</v>
      </c>
      <c r="I41" s="47"/>
      <c r="J41" s="47"/>
      <c r="K41" s="47"/>
      <c r="L41" s="47">
        <v>1</v>
      </c>
      <c r="M41" s="47"/>
      <c r="N41" s="47"/>
      <c r="O41" s="94">
        <f t="shared" si="9"/>
        <v>0</v>
      </c>
      <c r="P41" s="47" t="s">
        <v>712</v>
      </c>
      <c r="Q41" s="47"/>
      <c r="R41" s="95" t="str">
        <f t="shared" si="7"/>
        <v/>
      </c>
      <c r="S41" s="95">
        <f t="shared" si="8"/>
        <v>80</v>
      </c>
      <c r="T41" s="96">
        <f>H41*[1]!FMainPool1Fee+I41*[1]!FMainPool2Fee+J41*[1]!FMainPool3Fee+K41*[1]!FMainPool4Fee+B41*[1]!FMainEntryFee</f>
        <v>80</v>
      </c>
      <c r="U41" s="51">
        <v>1</v>
      </c>
    </row>
    <row r="42" spans="1:21" x14ac:dyDescent="0.25">
      <c r="A42" s="46">
        <f t="shared" si="1"/>
        <v>31</v>
      </c>
      <c r="B42" s="47">
        <v>1</v>
      </c>
      <c r="C42" s="15" t="s">
        <v>666</v>
      </c>
      <c r="D42" s="15" t="s">
        <v>667</v>
      </c>
      <c r="E42" s="10" t="s">
        <v>668</v>
      </c>
      <c r="F42" s="113">
        <v>8315959920</v>
      </c>
      <c r="G42" s="111" t="s">
        <v>737</v>
      </c>
      <c r="H42" s="49">
        <v>1</v>
      </c>
      <c r="I42" s="47"/>
      <c r="J42" s="47"/>
      <c r="K42" s="47"/>
      <c r="L42" s="47"/>
      <c r="M42" s="47"/>
      <c r="N42" s="47"/>
      <c r="O42" s="94">
        <f t="shared" si="9"/>
        <v>0</v>
      </c>
      <c r="P42" s="47" t="s">
        <v>701</v>
      </c>
      <c r="Q42" s="47">
        <v>16285</v>
      </c>
      <c r="R42" s="95">
        <f t="shared" si="7"/>
        <v>80</v>
      </c>
      <c r="S42" s="95" t="str">
        <f t="shared" si="8"/>
        <v/>
      </c>
      <c r="T42" s="96">
        <f>H42*[1]!FMainPool1Fee+I42*[1]!FMainPool2Fee+J42*[1]!FMainPool3Fee+K42*[1]!FMainPool4Fee+B42*[1]!FMainEntryFee</f>
        <v>80</v>
      </c>
      <c r="U42" s="51"/>
    </row>
    <row r="43" spans="1:21" x14ac:dyDescent="0.25">
      <c r="A43" s="46">
        <f t="shared" si="1"/>
        <v>32</v>
      </c>
      <c r="B43" s="47">
        <v>1</v>
      </c>
      <c r="C43" s="15" t="s">
        <v>669</v>
      </c>
      <c r="D43" s="15" t="s">
        <v>159</v>
      </c>
      <c r="E43" s="10" t="s">
        <v>670</v>
      </c>
      <c r="F43" s="113">
        <v>5104930824</v>
      </c>
      <c r="G43" s="111" t="s">
        <v>671</v>
      </c>
      <c r="H43" s="49">
        <v>1</v>
      </c>
      <c r="I43" s="47"/>
      <c r="J43" s="47"/>
      <c r="K43" s="47"/>
      <c r="L43" s="47">
        <v>1</v>
      </c>
      <c r="M43" s="47"/>
      <c r="N43" s="47">
        <v>1</v>
      </c>
      <c r="O43" s="94">
        <f t="shared" si="9"/>
        <v>80</v>
      </c>
      <c r="P43" s="47" t="s">
        <v>712</v>
      </c>
      <c r="Q43" s="47"/>
      <c r="R43" s="95" t="str">
        <f t="shared" si="7"/>
        <v/>
      </c>
      <c r="S43" s="95">
        <f t="shared" si="8"/>
        <v>80</v>
      </c>
      <c r="T43" s="96">
        <f>H43*[1]!FMainPool1Fee+I43*[1]!FMainPool2Fee+J43*[1]!FMainPool3Fee+K43*[1]!FMainPool4Fee+B43*[1]!FMainEntryFee</f>
        <v>80</v>
      </c>
      <c r="U43" s="51"/>
    </row>
    <row r="44" spans="1:21" x14ac:dyDescent="0.25">
      <c r="A44" s="46">
        <f t="shared" si="1"/>
        <v>33</v>
      </c>
      <c r="B44" s="47">
        <v>1</v>
      </c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>
        <v>1</v>
      </c>
      <c r="I44" s="47">
        <v>1</v>
      </c>
      <c r="J44" s="47">
        <v>1</v>
      </c>
      <c r="K44" s="47">
        <v>1</v>
      </c>
      <c r="L44" s="47">
        <v>1</v>
      </c>
      <c r="M44" s="47"/>
      <c r="N44" s="47"/>
      <c r="O44" s="94">
        <f t="shared" si="9"/>
        <v>0</v>
      </c>
      <c r="P44" s="47" t="s">
        <v>701</v>
      </c>
      <c r="Q44" s="47">
        <v>5878</v>
      </c>
      <c r="R44" s="95">
        <f t="shared" si="7"/>
        <v>160</v>
      </c>
      <c r="S44" s="95" t="str">
        <f t="shared" si="8"/>
        <v/>
      </c>
      <c r="T44" s="96">
        <f>H44*[1]!FMainPool1Fee+I44*[1]!FMainPool2Fee+J44*[1]!FMainPool3Fee+K44*[1]!FMainPool4Fee+B44*[1]!FMainEntryFee</f>
        <v>160</v>
      </c>
      <c r="U44" s="51"/>
    </row>
    <row r="45" spans="1:21" x14ac:dyDescent="0.25">
      <c r="A45" s="46">
        <f t="shared" si="1"/>
        <v>34</v>
      </c>
      <c r="B45" s="47">
        <v>1</v>
      </c>
      <c r="C45" s="5" t="s">
        <v>738</v>
      </c>
      <c r="D45" s="5" t="s">
        <v>45</v>
      </c>
      <c r="E45" s="6" t="s">
        <v>739</v>
      </c>
      <c r="F45" s="113">
        <v>7072279891</v>
      </c>
      <c r="G45" s="109" t="s">
        <v>740</v>
      </c>
      <c r="H45" s="49">
        <v>1</v>
      </c>
      <c r="I45" s="47">
        <v>1</v>
      </c>
      <c r="J45" s="47">
        <v>1</v>
      </c>
      <c r="K45" s="47">
        <v>1</v>
      </c>
      <c r="L45" s="47"/>
      <c r="M45" s="47"/>
      <c r="N45" s="47"/>
      <c r="O45" s="94">
        <f t="shared" si="9"/>
        <v>0</v>
      </c>
      <c r="P45" s="47" t="s">
        <v>712</v>
      </c>
      <c r="Q45" s="47"/>
      <c r="R45" s="95" t="str">
        <f t="shared" si="7"/>
        <v/>
      </c>
      <c r="S45" s="95">
        <f t="shared" si="8"/>
        <v>160</v>
      </c>
      <c r="T45" s="96">
        <f>H45*[1]!FMainPool1Fee+I45*[1]!FMainPool2Fee+J45*[1]!FMainPool3Fee+K45*[1]!FMainPool4Fee+B45*[1]!FMainEntryFee</f>
        <v>160</v>
      </c>
      <c r="U45" s="51"/>
    </row>
    <row r="46" spans="1:21" x14ac:dyDescent="0.25">
      <c r="A46" s="46">
        <f t="shared" si="1"/>
        <v>35</v>
      </c>
      <c r="B46" s="47">
        <v>1</v>
      </c>
      <c r="C46" s="15" t="s">
        <v>672</v>
      </c>
      <c r="D46" s="15" t="s">
        <v>350</v>
      </c>
      <c r="E46" s="10" t="s">
        <v>673</v>
      </c>
      <c r="F46" s="113">
        <v>7078892101</v>
      </c>
      <c r="G46" s="15"/>
      <c r="H46" s="49">
        <v>1</v>
      </c>
      <c r="I46" s="47">
        <v>1</v>
      </c>
      <c r="J46" s="47">
        <v>1</v>
      </c>
      <c r="K46" s="47"/>
      <c r="L46" s="47"/>
      <c r="M46" s="47"/>
      <c r="N46" s="47">
        <v>1</v>
      </c>
      <c r="O46" s="94">
        <v>110</v>
      </c>
      <c r="P46" s="47" t="s">
        <v>712</v>
      </c>
      <c r="Q46" s="47"/>
      <c r="R46" s="95" t="str">
        <f t="shared" si="7"/>
        <v/>
      </c>
      <c r="S46" s="95">
        <f t="shared" si="8"/>
        <v>110</v>
      </c>
      <c r="T46" s="96">
        <f>H46*[1]!FMainPool1Fee+I46*[1]!FMainPool2Fee+J46*[1]!FMainPool3Fee+K46*[1]!FMainPool4Fee+B46*[1]!FMainEntryFee</f>
        <v>110</v>
      </c>
      <c r="U46" s="51">
        <v>1</v>
      </c>
    </row>
    <row r="47" spans="1:21" x14ac:dyDescent="0.25">
      <c r="A47" s="46">
        <f t="shared" si="1"/>
        <v>36</v>
      </c>
      <c r="B47" s="47">
        <v>1</v>
      </c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>
        <v>1</v>
      </c>
      <c r="I47" s="47">
        <v>1</v>
      </c>
      <c r="J47" s="47">
        <v>1</v>
      </c>
      <c r="K47" s="47">
        <v>1</v>
      </c>
      <c r="L47" s="47"/>
      <c r="M47" s="47"/>
      <c r="N47" s="47"/>
      <c r="O47" s="94">
        <f>T47*N47</f>
        <v>0</v>
      </c>
      <c r="P47" s="47" t="s">
        <v>701</v>
      </c>
      <c r="Q47" s="47">
        <v>2491</v>
      </c>
      <c r="R47" s="95">
        <f t="shared" si="7"/>
        <v>160</v>
      </c>
      <c r="S47" s="95" t="str">
        <f t="shared" si="8"/>
        <v/>
      </c>
      <c r="T47" s="96">
        <f>H47*[1]!FMainPool1Fee+I47*[1]!FMainPool2Fee+J47*[1]!FMainPool3Fee+K47*[1]!FMainPool4Fee+B47*[1]!FMainEntryFee</f>
        <v>160</v>
      </c>
      <c r="U47" s="51"/>
    </row>
    <row r="48" spans="1:21" x14ac:dyDescent="0.25">
      <c r="A48" s="46">
        <f t="shared" si="1"/>
        <v>37</v>
      </c>
      <c r="B48" s="47">
        <v>1</v>
      </c>
      <c r="C48" s="7" t="s">
        <v>741</v>
      </c>
      <c r="D48" s="7"/>
      <c r="E48" s="8" t="s">
        <v>742</v>
      </c>
      <c r="F48" s="55"/>
      <c r="G48" s="109" t="s">
        <v>743</v>
      </c>
      <c r="H48" s="49"/>
      <c r="I48" s="47"/>
      <c r="J48" s="47">
        <v>1</v>
      </c>
      <c r="K48" s="47"/>
      <c r="L48" s="47"/>
      <c r="M48" s="47"/>
      <c r="N48" s="47">
        <v>1</v>
      </c>
      <c r="O48" s="94">
        <v>90</v>
      </c>
      <c r="P48" s="47" t="s">
        <v>712</v>
      </c>
      <c r="Q48" s="47"/>
      <c r="R48" s="95" t="str">
        <f t="shared" si="7"/>
        <v/>
      </c>
      <c r="S48" s="95">
        <f t="shared" si="8"/>
        <v>90</v>
      </c>
      <c r="T48" s="96">
        <f>H48*[1]!FMainPool1Fee+I48*[1]!FMainPool2Fee+J48*[1]!FMainPool3Fee+K48*[1]!FMainPool4Fee+B48*[1]!FMainEntryFee</f>
        <v>90</v>
      </c>
      <c r="U48" s="51"/>
    </row>
    <row r="49" spans="1:21" x14ac:dyDescent="0.25">
      <c r="A49" s="46">
        <f t="shared" si="1"/>
        <v>38</v>
      </c>
      <c r="B49" s="47">
        <v>1</v>
      </c>
      <c r="C49" s="15" t="s">
        <v>744</v>
      </c>
      <c r="D49" s="15" t="s">
        <v>232</v>
      </c>
      <c r="E49" s="10" t="s">
        <v>745</v>
      </c>
      <c r="F49" s="113">
        <v>9254081849</v>
      </c>
      <c r="G49" s="111" t="s">
        <v>746</v>
      </c>
      <c r="H49" s="49">
        <v>1</v>
      </c>
      <c r="I49" s="47"/>
      <c r="J49" s="47"/>
      <c r="K49" s="47"/>
      <c r="L49" s="47"/>
      <c r="M49" s="47"/>
      <c r="N49" s="47"/>
      <c r="O49" s="94">
        <f t="shared" ref="O49:O80" si="10">T49*N49</f>
        <v>0</v>
      </c>
      <c r="P49" s="47" t="s">
        <v>701</v>
      </c>
      <c r="Q49" s="47">
        <v>776</v>
      </c>
      <c r="R49" s="95">
        <f t="shared" si="7"/>
        <v>80</v>
      </c>
      <c r="S49" s="95" t="str">
        <f t="shared" si="8"/>
        <v/>
      </c>
      <c r="T49" s="96">
        <f>H49*[1]!FMainPool1Fee+I49*[1]!FMainPool2Fee+J49*[1]!FMainPool3Fee+K49*[1]!FMainPool4Fee+B49*[1]!FMainEntryFee</f>
        <v>80</v>
      </c>
      <c r="U49" s="51"/>
    </row>
    <row r="50" spans="1:21" x14ac:dyDescent="0.25">
      <c r="A50" s="46">
        <f t="shared" si="1"/>
        <v>39</v>
      </c>
      <c r="B50" s="47">
        <v>1</v>
      </c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>
        <v>1</v>
      </c>
      <c r="I50" s="47">
        <v>1</v>
      </c>
      <c r="J50" s="47">
        <v>1</v>
      </c>
      <c r="K50" s="47"/>
      <c r="L50" s="47"/>
      <c r="M50" s="47">
        <v>1</v>
      </c>
      <c r="N50" s="47"/>
      <c r="O50" s="94">
        <f t="shared" si="10"/>
        <v>0</v>
      </c>
      <c r="P50" s="47" t="s">
        <v>701</v>
      </c>
      <c r="Q50" s="47">
        <v>16285</v>
      </c>
      <c r="R50" s="95">
        <f t="shared" si="7"/>
        <v>110</v>
      </c>
      <c r="S50" s="95" t="str">
        <f t="shared" si="8"/>
        <v/>
      </c>
      <c r="T50" s="96">
        <f>H50*[1]!FMainPool1Fee+I50*[1]!FMainPool2Fee+J50*[1]!FMainPool3Fee+K50*[1]!FMainPool4Fee+B50*[1]!FMainEntryFee</f>
        <v>110</v>
      </c>
      <c r="U50" s="51"/>
    </row>
    <row r="51" spans="1:21" x14ac:dyDescent="0.25">
      <c r="A51" s="46">
        <f t="shared" si="1"/>
        <v>40</v>
      </c>
      <c r="B51" s="47">
        <v>1</v>
      </c>
      <c r="C51" s="7" t="s">
        <v>292</v>
      </c>
      <c r="D51" s="7" t="s">
        <v>293</v>
      </c>
      <c r="E51" s="8" t="s">
        <v>294</v>
      </c>
      <c r="F51" s="62">
        <v>9253780132</v>
      </c>
      <c r="G51" s="12" t="s">
        <v>555</v>
      </c>
      <c r="H51" s="49">
        <v>1</v>
      </c>
      <c r="I51" s="47">
        <v>1</v>
      </c>
      <c r="J51" s="47">
        <v>1</v>
      </c>
      <c r="K51" s="47"/>
      <c r="L51" s="47"/>
      <c r="M51" s="47"/>
      <c r="N51" s="47"/>
      <c r="O51" s="94">
        <f t="shared" si="10"/>
        <v>0</v>
      </c>
      <c r="P51" s="47" t="s">
        <v>701</v>
      </c>
      <c r="Q51" s="47">
        <v>5196</v>
      </c>
      <c r="R51" s="95">
        <f t="shared" si="7"/>
        <v>110</v>
      </c>
      <c r="S51" s="95" t="str">
        <f t="shared" si="8"/>
        <v/>
      </c>
      <c r="T51" s="96">
        <f>H51*[1]!FMainPool1Fee+I51*[1]!FMainPool2Fee+J51*[1]!FMainPool3Fee+K51*[1]!FMainPool4Fee+B51*[1]!FMainEntryFee</f>
        <v>110</v>
      </c>
      <c r="U51" s="51">
        <v>1</v>
      </c>
    </row>
    <row r="52" spans="1:21" x14ac:dyDescent="0.25">
      <c r="A52" s="46">
        <f t="shared" si="1"/>
        <v>41</v>
      </c>
      <c r="B52" s="47">
        <v>1</v>
      </c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>
        <v>1</v>
      </c>
      <c r="I52" s="47">
        <v>1</v>
      </c>
      <c r="J52" s="47">
        <v>1</v>
      </c>
      <c r="K52" s="47"/>
      <c r="L52" s="47"/>
      <c r="M52" s="47"/>
      <c r="N52" s="47"/>
      <c r="O52" s="94">
        <f t="shared" si="10"/>
        <v>0</v>
      </c>
      <c r="P52" s="47" t="s">
        <v>701</v>
      </c>
      <c r="Q52" s="47">
        <v>7346</v>
      </c>
      <c r="R52" s="95">
        <f t="shared" si="7"/>
        <v>110</v>
      </c>
      <c r="S52" s="95" t="str">
        <f t="shared" si="8"/>
        <v/>
      </c>
      <c r="T52" s="96">
        <f>H52*[1]!FMainPool1Fee+I52*[1]!FMainPool2Fee+J52*[1]!FMainPool3Fee+K52*[1]!FMainPool4Fee+B52*[1]!FMainEntryFee</f>
        <v>110</v>
      </c>
      <c r="U52" s="51"/>
    </row>
    <row r="53" spans="1:21" x14ac:dyDescent="0.25">
      <c r="A53" s="46">
        <f t="shared" si="1"/>
        <v>42</v>
      </c>
      <c r="B53" s="47">
        <v>1</v>
      </c>
      <c r="C53" s="15" t="s">
        <v>680</v>
      </c>
      <c r="D53" s="15" t="s">
        <v>91</v>
      </c>
      <c r="E53" s="10" t="s">
        <v>681</v>
      </c>
      <c r="F53" s="113"/>
      <c r="G53" s="15"/>
      <c r="H53" s="49">
        <v>1</v>
      </c>
      <c r="I53" s="47"/>
      <c r="J53" s="47">
        <v>1</v>
      </c>
      <c r="K53" s="47"/>
      <c r="L53" s="47"/>
      <c r="M53" s="47"/>
      <c r="N53" s="47">
        <v>1</v>
      </c>
      <c r="O53" s="94">
        <f t="shared" si="10"/>
        <v>100</v>
      </c>
      <c r="P53" s="47" t="s">
        <v>712</v>
      </c>
      <c r="Q53" s="47"/>
      <c r="R53" s="95" t="str">
        <f t="shared" si="7"/>
        <v/>
      </c>
      <c r="S53" s="95">
        <f t="shared" si="8"/>
        <v>100</v>
      </c>
      <c r="T53" s="96">
        <f>H53*[1]!FMainPool1Fee+I53*[1]!FMainPool2Fee+J53*[1]!FMainPool3Fee+K53*[1]!FMainPool4Fee+B53*[1]!FMainEntryFee</f>
        <v>100</v>
      </c>
      <c r="U53" s="51"/>
    </row>
    <row r="54" spans="1:21" x14ac:dyDescent="0.25">
      <c r="A54" s="46">
        <f t="shared" si="1"/>
        <v>43</v>
      </c>
      <c r="B54" s="47">
        <v>1</v>
      </c>
      <c r="C54" s="7" t="s">
        <v>316</v>
      </c>
      <c r="D54" s="7" t="s">
        <v>45</v>
      </c>
      <c r="E54" s="8" t="s">
        <v>317</v>
      </c>
      <c r="F54" s="55">
        <v>5105046905</v>
      </c>
      <c r="G54" s="109" t="s">
        <v>562</v>
      </c>
      <c r="H54" s="49">
        <v>1</v>
      </c>
      <c r="I54" s="47">
        <v>1</v>
      </c>
      <c r="J54" s="47">
        <v>1</v>
      </c>
      <c r="K54" s="47">
        <v>1</v>
      </c>
      <c r="L54" s="47">
        <v>1</v>
      </c>
      <c r="M54" s="47"/>
      <c r="N54" s="47"/>
      <c r="O54" s="94">
        <f t="shared" si="10"/>
        <v>0</v>
      </c>
      <c r="P54" s="47" t="s">
        <v>701</v>
      </c>
      <c r="Q54" s="47">
        <v>4939</v>
      </c>
      <c r="R54" s="95">
        <f t="shared" si="7"/>
        <v>160</v>
      </c>
      <c r="S54" s="95" t="str">
        <f t="shared" si="8"/>
        <v/>
      </c>
      <c r="T54" s="96">
        <f>H54*[1]!FMainPool1Fee+I54*[1]!FMainPool2Fee+J54*[1]!FMainPool3Fee+K54*[1]!FMainPool4Fee+B54*[1]!FMainEntryFee</f>
        <v>160</v>
      </c>
      <c r="U54" s="51">
        <v>1</v>
      </c>
    </row>
    <row r="55" spans="1:21" x14ac:dyDescent="0.25">
      <c r="A55" s="46">
        <f t="shared" si="1"/>
        <v>44</v>
      </c>
      <c r="B55" s="47">
        <v>1</v>
      </c>
      <c r="C55" s="5" t="s">
        <v>318</v>
      </c>
      <c r="D55" s="5" t="s">
        <v>148</v>
      </c>
      <c r="E55" s="6" t="s">
        <v>319</v>
      </c>
      <c r="F55" s="113" t="s">
        <v>563</v>
      </c>
      <c r="G55" s="12" t="s">
        <v>564</v>
      </c>
      <c r="H55" s="49">
        <v>1</v>
      </c>
      <c r="I55" s="47">
        <v>1</v>
      </c>
      <c r="J55" s="47">
        <v>1</v>
      </c>
      <c r="K55" s="47">
        <v>1</v>
      </c>
      <c r="L55" s="47"/>
      <c r="M55" s="47"/>
      <c r="N55" s="47"/>
      <c r="O55" s="94">
        <f t="shared" si="10"/>
        <v>0</v>
      </c>
      <c r="P55" s="47" t="s">
        <v>701</v>
      </c>
      <c r="Q55" s="47">
        <v>141</v>
      </c>
      <c r="R55" s="95">
        <f t="shared" si="7"/>
        <v>160</v>
      </c>
      <c r="S55" s="95" t="str">
        <f t="shared" si="8"/>
        <v/>
      </c>
      <c r="T55" s="96">
        <f>H55*[1]!FMainPool1Fee+I55*[1]!FMainPool2Fee+J55*[1]!FMainPool3Fee+K55*[1]!FMainPool4Fee+B55*[1]!FMainEntryFee</f>
        <v>160</v>
      </c>
      <c r="U55" s="51"/>
    </row>
    <row r="56" spans="1:21" x14ac:dyDescent="0.25">
      <c r="A56" s="46">
        <f t="shared" si="1"/>
        <v>45</v>
      </c>
      <c r="B56" s="47">
        <v>1</v>
      </c>
      <c r="C56" s="5" t="s">
        <v>747</v>
      </c>
      <c r="D56" s="5" t="s">
        <v>211</v>
      </c>
      <c r="E56" s="6" t="s">
        <v>748</v>
      </c>
      <c r="F56" s="113">
        <v>4086670073</v>
      </c>
      <c r="G56" s="111" t="s">
        <v>749</v>
      </c>
      <c r="H56" s="49"/>
      <c r="I56" s="47"/>
      <c r="J56" s="47"/>
      <c r="K56" s="47"/>
      <c r="L56" s="47"/>
      <c r="M56" s="47"/>
      <c r="N56" s="47"/>
      <c r="O56" s="94">
        <f t="shared" si="10"/>
        <v>0</v>
      </c>
      <c r="P56" s="47" t="s">
        <v>701</v>
      </c>
      <c r="Q56" s="47">
        <v>1034</v>
      </c>
      <c r="R56" s="95">
        <f t="shared" si="7"/>
        <v>70</v>
      </c>
      <c r="S56" s="95" t="str">
        <f t="shared" si="8"/>
        <v/>
      </c>
      <c r="T56" s="96">
        <f>H56*[1]!FMainPool1Fee+I56*[1]!FMainPool2Fee+J56*[1]!FMainPool3Fee+K56*[1]!FMainPool4Fee+B56*[1]!FMainEntryFee</f>
        <v>70</v>
      </c>
      <c r="U56" s="51"/>
    </row>
    <row r="57" spans="1:21" x14ac:dyDescent="0.25">
      <c r="A57" s="46">
        <f t="shared" si="1"/>
        <v>46</v>
      </c>
      <c r="B57" s="47">
        <v>1</v>
      </c>
      <c r="C57" s="7" t="s">
        <v>750</v>
      </c>
      <c r="D57" s="7" t="s">
        <v>45</v>
      </c>
      <c r="E57" s="8" t="s">
        <v>751</v>
      </c>
      <c r="F57" s="58">
        <v>7072944291</v>
      </c>
      <c r="G57" s="109" t="s">
        <v>752</v>
      </c>
      <c r="H57" s="49">
        <v>1</v>
      </c>
      <c r="I57" s="47"/>
      <c r="J57" s="47"/>
      <c r="K57" s="47"/>
      <c r="L57" s="47"/>
      <c r="M57" s="47"/>
      <c r="N57" s="47"/>
      <c r="O57" s="94">
        <f t="shared" si="10"/>
        <v>0</v>
      </c>
      <c r="P57" s="47" t="s">
        <v>701</v>
      </c>
      <c r="Q57" s="47">
        <v>1376</v>
      </c>
      <c r="R57" s="95">
        <f t="shared" si="7"/>
        <v>80</v>
      </c>
      <c r="S57" s="95" t="str">
        <f t="shared" si="8"/>
        <v/>
      </c>
      <c r="T57" s="96">
        <f>H57*[1]!FMainPool1Fee+I57*[1]!FMainPool2Fee+J57*[1]!FMainPool3Fee+K57*[1]!FMainPool4Fee+B57*[1]!FMainEntryFee</f>
        <v>80</v>
      </c>
      <c r="U57" s="51"/>
    </row>
    <row r="58" spans="1:21" x14ac:dyDescent="0.25">
      <c r="A58" s="46">
        <f t="shared" si="1"/>
        <v>47</v>
      </c>
      <c r="B58" s="47">
        <v>1</v>
      </c>
      <c r="C58" s="5" t="s">
        <v>336</v>
      </c>
      <c r="D58" s="5" t="s">
        <v>67</v>
      </c>
      <c r="E58" s="6" t="s">
        <v>337</v>
      </c>
      <c r="F58" s="61">
        <v>7075991826</v>
      </c>
      <c r="G58" s="12" t="s">
        <v>570</v>
      </c>
      <c r="H58" s="49">
        <v>1</v>
      </c>
      <c r="I58" s="47">
        <v>1</v>
      </c>
      <c r="J58" s="47">
        <v>1</v>
      </c>
      <c r="K58" s="47">
        <v>1</v>
      </c>
      <c r="L58" s="47">
        <v>1</v>
      </c>
      <c r="M58" s="47"/>
      <c r="N58" s="47"/>
      <c r="O58" s="94">
        <f t="shared" si="10"/>
        <v>0</v>
      </c>
      <c r="P58" s="47" t="s">
        <v>701</v>
      </c>
      <c r="Q58" s="47">
        <v>1508</v>
      </c>
      <c r="R58" s="95">
        <f t="shared" si="7"/>
        <v>160</v>
      </c>
      <c r="S58" s="95" t="str">
        <f t="shared" si="8"/>
        <v/>
      </c>
      <c r="T58" s="96">
        <f>H58*[1]!FMainPool1Fee+I58*[1]!FMainPool2Fee+J58*[1]!FMainPool3Fee+K58*[1]!FMainPool4Fee+B58*[1]!FMainEntryFee</f>
        <v>160</v>
      </c>
      <c r="U58" s="51"/>
    </row>
    <row r="59" spans="1:21" x14ac:dyDescent="0.25">
      <c r="A59" s="46">
        <f t="shared" si="1"/>
        <v>48</v>
      </c>
      <c r="B59" s="47">
        <v>1</v>
      </c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>
        <v>1</v>
      </c>
      <c r="I59" s="47">
        <v>1</v>
      </c>
      <c r="J59" s="47">
        <v>1</v>
      </c>
      <c r="K59" s="47">
        <v>1</v>
      </c>
      <c r="L59" s="47">
        <v>1</v>
      </c>
      <c r="M59" s="47"/>
      <c r="N59" s="47"/>
      <c r="O59" s="94">
        <f t="shared" si="10"/>
        <v>0</v>
      </c>
      <c r="P59" s="47" t="s">
        <v>701</v>
      </c>
      <c r="Q59" s="47">
        <v>1508</v>
      </c>
      <c r="R59" s="95">
        <v>160</v>
      </c>
      <c r="S59" s="95" t="str">
        <f t="shared" si="8"/>
        <v/>
      </c>
      <c r="T59" s="96">
        <f>H59*[1]!FMainPool1Fee+I59*[1]!FMainPool2Fee+J59*[1]!FMainPool3Fee+K59*[1]!FMainPool4Fee+B59*[1]!FMainEntryFee</f>
        <v>160</v>
      </c>
      <c r="U59" s="51"/>
    </row>
    <row r="60" spans="1:21" ht="15.75" x14ac:dyDescent="0.25">
      <c r="A60" s="46">
        <f t="shared" si="1"/>
        <v>49</v>
      </c>
      <c r="B60" s="47">
        <v>1</v>
      </c>
      <c r="C60" s="14" t="s">
        <v>753</v>
      </c>
      <c r="D60" s="14" t="s">
        <v>754</v>
      </c>
      <c r="E60" s="6" t="s">
        <v>755</v>
      </c>
      <c r="F60" s="48">
        <v>7752876408</v>
      </c>
      <c r="G60" s="109" t="s">
        <v>756</v>
      </c>
      <c r="H60" s="49">
        <v>1</v>
      </c>
      <c r="I60" s="47"/>
      <c r="J60" s="47"/>
      <c r="K60" s="47"/>
      <c r="L60" s="47"/>
      <c r="M60" s="47"/>
      <c r="N60" s="47"/>
      <c r="O60" s="94">
        <f t="shared" si="10"/>
        <v>0</v>
      </c>
      <c r="P60" s="47" t="s">
        <v>712</v>
      </c>
      <c r="Q60" s="47"/>
      <c r="R60" s="95" t="str">
        <f t="shared" ref="R60:R91" si="11">IF(OR(P60="c",P60="C"),+T60,"")</f>
        <v/>
      </c>
      <c r="S60" s="95">
        <f t="shared" si="8"/>
        <v>80</v>
      </c>
      <c r="T60" s="96">
        <f>H60*[1]!FMainPool1Fee+I60*[1]!FMainPool2Fee+J60*[1]!FMainPool3Fee+K60*[1]!FMainPool4Fee+B60*[1]!FMainEntryFee</f>
        <v>80</v>
      </c>
      <c r="U60" s="51"/>
    </row>
    <row r="61" spans="1:21" x14ac:dyDescent="0.25">
      <c r="A61" s="46">
        <f t="shared" si="1"/>
        <v>50</v>
      </c>
      <c r="B61" s="47">
        <v>1</v>
      </c>
      <c r="C61" s="5" t="s">
        <v>349</v>
      </c>
      <c r="D61" s="5" t="s">
        <v>350</v>
      </c>
      <c r="E61" s="6" t="s">
        <v>351</v>
      </c>
      <c r="F61" s="61">
        <v>7076641532</v>
      </c>
      <c r="G61" s="109" t="s">
        <v>576</v>
      </c>
      <c r="H61" s="49"/>
      <c r="I61" s="47">
        <v>1</v>
      </c>
      <c r="J61" s="47">
        <v>1</v>
      </c>
      <c r="K61" s="47"/>
      <c r="L61" s="47"/>
      <c r="M61" s="47"/>
      <c r="N61" s="47"/>
      <c r="O61" s="94">
        <f t="shared" si="10"/>
        <v>0</v>
      </c>
      <c r="P61" s="47" t="s">
        <v>701</v>
      </c>
      <c r="Q61" s="47">
        <v>204</v>
      </c>
      <c r="R61" s="95">
        <f t="shared" si="11"/>
        <v>100</v>
      </c>
      <c r="S61" s="95" t="str">
        <f t="shared" si="8"/>
        <v/>
      </c>
      <c r="T61" s="96">
        <f>H61*[1]!FMainPool1Fee+I61*[1]!FMainPool2Fee+J61*[1]!FMainPool3Fee+K61*[1]!FMainPool4Fee+B61*[1]!FMainEntryFee</f>
        <v>100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352</v>
      </c>
      <c r="D62" s="5" t="s">
        <v>45</v>
      </c>
      <c r="E62" s="6" t="s">
        <v>353</v>
      </c>
      <c r="F62" s="114" t="s">
        <v>577</v>
      </c>
      <c r="G62" s="12" t="s">
        <v>578</v>
      </c>
      <c r="H62" s="49">
        <v>1</v>
      </c>
      <c r="I62" s="47">
        <v>1</v>
      </c>
      <c r="J62" s="47">
        <v>1</v>
      </c>
      <c r="K62" s="47"/>
      <c r="L62" s="47"/>
      <c r="M62" s="47"/>
      <c r="N62" s="47"/>
      <c r="O62" s="94">
        <f t="shared" si="10"/>
        <v>0</v>
      </c>
      <c r="P62" s="47" t="s">
        <v>712</v>
      </c>
      <c r="Q62" s="47"/>
      <c r="R62" s="95" t="str">
        <f t="shared" si="11"/>
        <v/>
      </c>
      <c r="S62" s="95">
        <f t="shared" si="8"/>
        <v>110</v>
      </c>
      <c r="T62" s="96">
        <f>H62*[1]!FMainPool1Fee+I62*[1]!FMainPool2Fee+J62*[1]!FMainPool3Fee+K62*[1]!FMainPool4Fee+B62*[1]!FMainEntryFee</f>
        <v>110</v>
      </c>
      <c r="U62" s="51"/>
    </row>
    <row r="63" spans="1:21" x14ac:dyDescent="0.25">
      <c r="A63" s="46">
        <f t="shared" si="1"/>
        <v>52</v>
      </c>
      <c r="B63" s="47">
        <v>1</v>
      </c>
      <c r="C63" s="5" t="s">
        <v>757</v>
      </c>
      <c r="D63" s="5" t="s">
        <v>45</v>
      </c>
      <c r="E63" s="6" t="s">
        <v>758</v>
      </c>
      <c r="F63" s="113">
        <v>7074804517</v>
      </c>
      <c r="G63" s="109" t="s">
        <v>759</v>
      </c>
      <c r="H63" s="49"/>
      <c r="I63" s="47"/>
      <c r="J63" s="47"/>
      <c r="K63" s="47"/>
      <c r="L63" s="47"/>
      <c r="M63" s="47"/>
      <c r="N63" s="47"/>
      <c r="O63" s="94">
        <f t="shared" si="10"/>
        <v>0</v>
      </c>
      <c r="P63" s="47" t="s">
        <v>712</v>
      </c>
      <c r="Q63" s="47"/>
      <c r="R63" s="95" t="str">
        <f t="shared" si="11"/>
        <v/>
      </c>
      <c r="S63" s="95">
        <f t="shared" si="8"/>
        <v>70</v>
      </c>
      <c r="T63" s="96">
        <f>H63*[1]!FMainPool1Fee+I63*[1]!FMainPool2Fee+J63*[1]!FMainPool3Fee+K63*[1]!FMainPool4Fee+B63*[1]!FMainEntryFee</f>
        <v>70</v>
      </c>
      <c r="U63" s="51"/>
    </row>
    <row r="64" spans="1:21" x14ac:dyDescent="0.25">
      <c r="A64" s="46">
        <f t="shared" si="1"/>
        <v>53</v>
      </c>
      <c r="B64" s="47">
        <v>1</v>
      </c>
      <c r="C64" s="5" t="s">
        <v>361</v>
      </c>
      <c r="D64" s="5" t="s">
        <v>45</v>
      </c>
      <c r="E64" s="6" t="s">
        <v>362</v>
      </c>
      <c r="F64" s="48">
        <v>5303666465</v>
      </c>
      <c r="G64" s="109" t="s">
        <v>582</v>
      </c>
      <c r="H64" s="49"/>
      <c r="I64" s="47">
        <v>1</v>
      </c>
      <c r="J64" s="47">
        <v>1</v>
      </c>
      <c r="K64" s="47"/>
      <c r="L64" s="47"/>
      <c r="M64" s="47"/>
      <c r="N64" s="47"/>
      <c r="O64" s="94">
        <f t="shared" si="10"/>
        <v>0</v>
      </c>
      <c r="P64" s="47" t="s">
        <v>701</v>
      </c>
      <c r="Q64" s="47">
        <v>8223</v>
      </c>
      <c r="R64" s="95">
        <f t="shared" si="11"/>
        <v>100</v>
      </c>
      <c r="S64" s="95" t="str">
        <f t="shared" si="8"/>
        <v/>
      </c>
      <c r="T64" s="96">
        <f>H64*[1]!FMainPool1Fee+I64*[1]!FMainPool2Fee+J64*[1]!FMainPool3Fee+K64*[1]!FMainPool4Fee+B64*[1]!FMainEntryFee</f>
        <v>100</v>
      </c>
      <c r="U64" s="51"/>
    </row>
    <row r="65" spans="1:21" x14ac:dyDescent="0.25">
      <c r="A65" s="46">
        <f t="shared" si="1"/>
        <v>54</v>
      </c>
      <c r="B65" s="47">
        <v>1</v>
      </c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>
        <v>1</v>
      </c>
      <c r="I65" s="47">
        <v>1</v>
      </c>
      <c r="J65" s="47">
        <v>1</v>
      </c>
      <c r="K65" s="47"/>
      <c r="L65" s="47"/>
      <c r="M65" s="47"/>
      <c r="N65" s="47"/>
      <c r="O65" s="94">
        <f t="shared" si="10"/>
        <v>0</v>
      </c>
      <c r="P65" s="47" t="s">
        <v>701</v>
      </c>
      <c r="Q65" s="47">
        <v>677</v>
      </c>
      <c r="R65" s="95">
        <f t="shared" si="11"/>
        <v>110</v>
      </c>
      <c r="S65" s="95" t="str">
        <f t="shared" si="8"/>
        <v/>
      </c>
      <c r="T65" s="96">
        <f>H65*[1]!FMainPool1Fee+I65*[1]!FMainPool2Fee+J65*[1]!FMainPool3Fee+K65*[1]!FMainPool4Fee+B65*[1]!FMainEntryFee</f>
        <v>110</v>
      </c>
      <c r="U65" s="51"/>
    </row>
    <row r="66" spans="1:21" x14ac:dyDescent="0.25">
      <c r="A66" s="46">
        <f t="shared" si="1"/>
        <v>55</v>
      </c>
      <c r="B66" s="47">
        <v>1</v>
      </c>
      <c r="C66" s="7" t="s">
        <v>369</v>
      </c>
      <c r="D66" s="7" t="s">
        <v>45</v>
      </c>
      <c r="E66" s="88" t="s">
        <v>370</v>
      </c>
      <c r="F66" s="55" t="s">
        <v>586</v>
      </c>
      <c r="G66" s="12" t="s">
        <v>587</v>
      </c>
      <c r="H66" s="49">
        <v>1</v>
      </c>
      <c r="I66" s="47"/>
      <c r="J66" s="47"/>
      <c r="K66" s="47"/>
      <c r="L66" s="47"/>
      <c r="M66" s="47">
        <v>1</v>
      </c>
      <c r="N66" s="47"/>
      <c r="O66" s="94">
        <f t="shared" si="10"/>
        <v>0</v>
      </c>
      <c r="P66" s="47" t="s">
        <v>701</v>
      </c>
      <c r="Q66" s="47">
        <v>677</v>
      </c>
      <c r="R66" s="95">
        <f t="shared" si="11"/>
        <v>80</v>
      </c>
      <c r="S66" s="95" t="str">
        <f t="shared" ref="S66:S97" si="12">IF(OR(P66="$",N66=1),+T66,"")</f>
        <v/>
      </c>
      <c r="T66" s="96">
        <f>H66*[1]!FMainPool1Fee+I66*[1]!FMainPool2Fee+J66*[1]!FMainPool3Fee+K66*[1]!FMainPool4Fee+B66*[1]!FMainEntryFee</f>
        <v>80</v>
      </c>
      <c r="U66" s="51"/>
    </row>
    <row r="67" spans="1:21" x14ac:dyDescent="0.25">
      <c r="A67" s="46">
        <f t="shared" si="1"/>
        <v>56</v>
      </c>
      <c r="B67" s="47">
        <v>1</v>
      </c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>
        <v>1</v>
      </c>
      <c r="I67" s="47"/>
      <c r="J67" s="47"/>
      <c r="K67" s="47"/>
      <c r="L67" s="47"/>
      <c r="M67" s="47"/>
      <c r="N67" s="47"/>
      <c r="O67" s="94">
        <f t="shared" si="10"/>
        <v>0</v>
      </c>
      <c r="P67" s="47" t="s">
        <v>701</v>
      </c>
      <c r="Q67" s="47">
        <v>2480</v>
      </c>
      <c r="R67" s="95">
        <f t="shared" si="11"/>
        <v>80</v>
      </c>
      <c r="S67" s="95" t="str">
        <f t="shared" si="12"/>
        <v/>
      </c>
      <c r="T67" s="96">
        <f>H67*[1]!FMainPool1Fee+I67*[1]!FMainPool2Fee+J67*[1]!FMainPool3Fee+K67*[1]!FMainPool4Fee+B67*[1]!FMainEntryFee</f>
        <v>80</v>
      </c>
      <c r="U67" s="51"/>
    </row>
    <row r="68" spans="1:21" x14ac:dyDescent="0.25">
      <c r="A68" s="46">
        <f t="shared" si="1"/>
        <v>57</v>
      </c>
      <c r="B68" s="47">
        <v>1</v>
      </c>
      <c r="C68" s="5" t="s">
        <v>396</v>
      </c>
      <c r="D68" s="5" t="s">
        <v>72</v>
      </c>
      <c r="E68" s="6" t="s">
        <v>397</v>
      </c>
      <c r="F68" s="48">
        <v>7075290228</v>
      </c>
      <c r="G68" s="109" t="s">
        <v>597</v>
      </c>
      <c r="H68" s="49"/>
      <c r="I68" s="47"/>
      <c r="J68" s="47"/>
      <c r="K68" s="47"/>
      <c r="L68" s="47"/>
      <c r="M68" s="47"/>
      <c r="N68" s="47">
        <v>1</v>
      </c>
      <c r="O68" s="94">
        <f t="shared" si="10"/>
        <v>70</v>
      </c>
      <c r="P68" s="47" t="s">
        <v>712</v>
      </c>
      <c r="Q68" s="47"/>
      <c r="R68" s="95" t="str">
        <f t="shared" si="11"/>
        <v/>
      </c>
      <c r="S68" s="95">
        <f t="shared" si="12"/>
        <v>70</v>
      </c>
      <c r="T68" s="96">
        <f>H68*[1]!FMainPool1Fee+I68*[1]!FMainPool2Fee+J68*[1]!FMainPool3Fee+K68*[1]!FMainPool4Fee+B68*[1]!FMainEntryFee</f>
        <v>70</v>
      </c>
      <c r="U68" s="51"/>
    </row>
    <row r="69" spans="1:21" x14ac:dyDescent="0.25">
      <c r="A69" s="46">
        <f t="shared" si="1"/>
        <v>58</v>
      </c>
      <c r="B69" s="47">
        <v>1</v>
      </c>
      <c r="C69" s="7" t="s">
        <v>760</v>
      </c>
      <c r="D69" s="7" t="s">
        <v>409</v>
      </c>
      <c r="E69" s="8" t="s">
        <v>761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>
        <v>1</v>
      </c>
      <c r="O69" s="94">
        <f t="shared" si="10"/>
        <v>70</v>
      </c>
      <c r="P69" s="47" t="s">
        <v>712</v>
      </c>
      <c r="Q69" s="47"/>
      <c r="R69" s="95" t="str">
        <f t="shared" si="11"/>
        <v/>
      </c>
      <c r="S69" s="95">
        <f t="shared" si="12"/>
        <v>70</v>
      </c>
      <c r="T69" s="96">
        <f>H69*[1]!FMainPool1Fee+I69*[1]!FMainPool2Fee+J69*[1]!FMainPool3Fee+K69*[1]!FMainPool4Fee+B69*[1]!FMainEntryFee</f>
        <v>70</v>
      </c>
      <c r="U69" s="51"/>
    </row>
    <row r="70" spans="1:21" x14ac:dyDescent="0.25">
      <c r="A70" s="46">
        <f t="shared" si="1"/>
        <v>59</v>
      </c>
      <c r="B70" s="47">
        <v>1</v>
      </c>
      <c r="C70" s="5" t="s">
        <v>406</v>
      </c>
      <c r="D70" s="5" t="s">
        <v>45</v>
      </c>
      <c r="E70" s="6" t="s">
        <v>407</v>
      </c>
      <c r="F70" s="48">
        <v>7078150886</v>
      </c>
      <c r="G70" s="109" t="s">
        <v>600</v>
      </c>
      <c r="H70" s="49"/>
      <c r="I70" s="47">
        <v>1</v>
      </c>
      <c r="J70" s="47">
        <v>1</v>
      </c>
      <c r="K70" s="47"/>
      <c r="L70" s="47"/>
      <c r="M70" s="47"/>
      <c r="N70" s="47"/>
      <c r="O70" s="94">
        <f t="shared" si="10"/>
        <v>0</v>
      </c>
      <c r="P70" s="47" t="s">
        <v>701</v>
      </c>
      <c r="Q70" s="47">
        <v>3948</v>
      </c>
      <c r="R70" s="95">
        <f t="shared" si="11"/>
        <v>100</v>
      </c>
      <c r="S70" s="95" t="str">
        <f t="shared" si="12"/>
        <v/>
      </c>
      <c r="T70" s="96">
        <f>H70*[1]!FMainPool1Fee+I70*[1]!FMainPool2Fee+J70*[1]!FMainPool3Fee+K70*[1]!FMainPool4Fee+B70*[1]!FMainEntryFee</f>
        <v>100</v>
      </c>
      <c r="U70" s="51"/>
    </row>
    <row r="71" spans="1:21" x14ac:dyDescent="0.25">
      <c r="A71" s="46">
        <f t="shared" si="1"/>
        <v>60</v>
      </c>
      <c r="B71" s="47">
        <v>1</v>
      </c>
      <c r="C71" s="15" t="s">
        <v>692</v>
      </c>
      <c r="D71" s="15" t="s">
        <v>159</v>
      </c>
      <c r="E71" s="10" t="s">
        <v>693</v>
      </c>
      <c r="F71" s="113">
        <v>5103661378</v>
      </c>
      <c r="G71" s="109" t="s">
        <v>694</v>
      </c>
      <c r="H71" s="49">
        <v>1</v>
      </c>
      <c r="I71" s="47">
        <v>1</v>
      </c>
      <c r="J71" s="47"/>
      <c r="K71" s="47"/>
      <c r="L71" s="47"/>
      <c r="M71" s="47"/>
      <c r="N71" s="47"/>
      <c r="O71" s="94">
        <f t="shared" si="10"/>
        <v>0</v>
      </c>
      <c r="P71" s="47" t="s">
        <v>701</v>
      </c>
      <c r="Q71" s="47">
        <v>317</v>
      </c>
      <c r="R71" s="95">
        <f t="shared" si="11"/>
        <v>90</v>
      </c>
      <c r="S71" s="95" t="str">
        <f t="shared" si="12"/>
        <v/>
      </c>
      <c r="T71" s="96">
        <f>H71*[1]!FMainPool1Fee+I71*[1]!FMainPool2Fee+J71*[1]!FMainPool3Fee+K71*[1]!FMainPool4Fee+B71*[1]!FMainEntryFee</f>
        <v>90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4">
        <f t="shared" si="10"/>
        <v>0</v>
      </c>
      <c r="P72" s="47" t="s">
        <v>701</v>
      </c>
      <c r="Q72" s="47"/>
      <c r="R72" s="95">
        <f t="shared" si="11"/>
        <v>0</v>
      </c>
      <c r="S72" s="95" t="str">
        <f t="shared" si="12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61">
        <v>9098875893</v>
      </c>
      <c r="G73" s="109" t="s">
        <v>448</v>
      </c>
      <c r="H73" s="49"/>
      <c r="I73" s="47"/>
      <c r="J73" s="47"/>
      <c r="K73" s="47"/>
      <c r="L73" s="47"/>
      <c r="M73" s="47"/>
      <c r="N73" s="47"/>
      <c r="O73" s="94">
        <f t="shared" si="10"/>
        <v>0</v>
      </c>
      <c r="P73" s="47" t="s">
        <v>701</v>
      </c>
      <c r="Q73" s="47"/>
      <c r="R73" s="95">
        <f t="shared" si="11"/>
        <v>0</v>
      </c>
      <c r="S73" s="95" t="str">
        <f t="shared" si="12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4">
        <f t="shared" si="10"/>
        <v>0</v>
      </c>
      <c r="P74" s="47" t="s">
        <v>701</v>
      </c>
      <c r="Q74" s="47"/>
      <c r="R74" s="95">
        <f t="shared" si="11"/>
        <v>0</v>
      </c>
      <c r="S74" s="95" t="str">
        <f t="shared" si="12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4">
        <f t="shared" si="10"/>
        <v>0</v>
      </c>
      <c r="P75" s="47" t="s">
        <v>701</v>
      </c>
      <c r="Q75" s="47"/>
      <c r="R75" s="95">
        <f t="shared" si="11"/>
        <v>0</v>
      </c>
      <c r="S75" s="95" t="str">
        <f t="shared" si="12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13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09" t="s">
        <v>451</v>
      </c>
      <c r="H76" s="49"/>
      <c r="I76" s="47"/>
      <c r="J76" s="47"/>
      <c r="K76" s="47"/>
      <c r="L76" s="47"/>
      <c r="M76" s="47"/>
      <c r="N76" s="47"/>
      <c r="O76" s="94">
        <f t="shared" si="10"/>
        <v>0</v>
      </c>
      <c r="P76" s="47" t="s">
        <v>701</v>
      </c>
      <c r="Q76" s="47"/>
      <c r="R76" s="95">
        <f t="shared" si="11"/>
        <v>0</v>
      </c>
      <c r="S76" s="95" t="str">
        <f t="shared" si="12"/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13"/>
        <v>66</v>
      </c>
      <c r="B77" s="47"/>
      <c r="C77" s="15" t="s">
        <v>697</v>
      </c>
      <c r="D77" s="103"/>
      <c r="E77" s="30" t="s">
        <v>698</v>
      </c>
      <c r="F77" s="115"/>
      <c r="G77" s="103"/>
      <c r="H77" s="49"/>
      <c r="I77" s="47"/>
      <c r="J77" s="47"/>
      <c r="K77" s="47"/>
      <c r="L77" s="47"/>
      <c r="M77" s="47"/>
      <c r="N77" s="47"/>
      <c r="O77" s="94">
        <f t="shared" si="10"/>
        <v>0</v>
      </c>
      <c r="P77" s="47" t="s">
        <v>701</v>
      </c>
      <c r="Q77" s="47"/>
      <c r="R77" s="95">
        <f t="shared" si="11"/>
        <v>0</v>
      </c>
      <c r="S77" s="95" t="str">
        <f t="shared" si="12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13"/>
        <v>67</v>
      </c>
      <c r="B78" s="47"/>
      <c r="C78" s="15" t="s">
        <v>640</v>
      </c>
      <c r="D78" s="15" t="s">
        <v>641</v>
      </c>
      <c r="E78" s="10" t="s">
        <v>642</v>
      </c>
      <c r="F78" s="113"/>
      <c r="G78" s="15"/>
      <c r="H78" s="49"/>
      <c r="I78" s="47"/>
      <c r="J78" s="47"/>
      <c r="K78" s="47"/>
      <c r="L78" s="47"/>
      <c r="M78" s="47"/>
      <c r="N78" s="47"/>
      <c r="O78" s="94">
        <f t="shared" si="10"/>
        <v>0</v>
      </c>
      <c r="P78" s="47" t="s">
        <v>701</v>
      </c>
      <c r="Q78" s="47"/>
      <c r="R78" s="95">
        <f t="shared" si="11"/>
        <v>0</v>
      </c>
      <c r="S78" s="95" t="str">
        <f t="shared" si="12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13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09" t="s">
        <v>454</v>
      </c>
      <c r="H79" s="49"/>
      <c r="I79" s="47"/>
      <c r="J79" s="47"/>
      <c r="K79" s="47"/>
      <c r="L79" s="47"/>
      <c r="M79" s="47"/>
      <c r="N79" s="47"/>
      <c r="O79" s="94">
        <f t="shared" si="10"/>
        <v>0</v>
      </c>
      <c r="P79" s="47" t="s">
        <v>701</v>
      </c>
      <c r="Q79" s="47"/>
      <c r="R79" s="95">
        <f t="shared" si="11"/>
        <v>0</v>
      </c>
      <c r="S79" s="95" t="str">
        <f t="shared" si="12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13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4">
        <f t="shared" si="10"/>
        <v>0</v>
      </c>
      <c r="P80" s="47" t="s">
        <v>701</v>
      </c>
      <c r="Q80" s="47"/>
      <c r="R80" s="95">
        <f t="shared" si="11"/>
        <v>0</v>
      </c>
      <c r="S80" s="95" t="str">
        <f t="shared" si="12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13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4">
        <f t="shared" ref="O81:O112" si="14">T81*N81</f>
        <v>0</v>
      </c>
      <c r="P81" s="47" t="s">
        <v>701</v>
      </c>
      <c r="Q81" s="47"/>
      <c r="R81" s="95">
        <f t="shared" si="11"/>
        <v>0</v>
      </c>
      <c r="S81" s="95" t="str">
        <f t="shared" si="12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13"/>
        <v>71</v>
      </c>
      <c r="B82" s="47"/>
      <c r="C82" s="15" t="s">
        <v>645</v>
      </c>
      <c r="D82" s="15" t="s">
        <v>39</v>
      </c>
      <c r="E82" s="10" t="s">
        <v>646</v>
      </c>
      <c r="F82" s="113"/>
      <c r="G82" s="15"/>
      <c r="H82" s="49"/>
      <c r="I82" s="47"/>
      <c r="J82" s="47"/>
      <c r="K82" s="47"/>
      <c r="L82" s="47"/>
      <c r="M82" s="47"/>
      <c r="N82" s="47"/>
      <c r="O82" s="94">
        <f t="shared" si="14"/>
        <v>0</v>
      </c>
      <c r="P82" s="47" t="s">
        <v>701</v>
      </c>
      <c r="Q82" s="47"/>
      <c r="R82" s="95">
        <f t="shared" si="11"/>
        <v>0</v>
      </c>
      <c r="S82" s="95" t="str">
        <f t="shared" si="12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13"/>
        <v>72</v>
      </c>
      <c r="B83" s="47"/>
      <c r="C83" s="5" t="s">
        <v>41</v>
      </c>
      <c r="D83" s="5" t="s">
        <v>42</v>
      </c>
      <c r="E83" s="6" t="s">
        <v>43</v>
      </c>
      <c r="F83" s="113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4">
        <f t="shared" si="14"/>
        <v>0</v>
      </c>
      <c r="P83" s="47" t="s">
        <v>701</v>
      </c>
      <c r="Q83" s="47"/>
      <c r="R83" s="95">
        <f t="shared" si="11"/>
        <v>0</v>
      </c>
      <c r="S83" s="95" t="str">
        <f t="shared" si="12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13"/>
        <v>73</v>
      </c>
      <c r="B84" s="47"/>
      <c r="C84" s="7" t="s">
        <v>44</v>
      </c>
      <c r="D84" s="7" t="s">
        <v>45</v>
      </c>
      <c r="E84" s="8" t="s">
        <v>46</v>
      </c>
      <c r="F84" s="62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4">
        <f t="shared" si="14"/>
        <v>0</v>
      </c>
      <c r="P84" s="47" t="s">
        <v>701</v>
      </c>
      <c r="Q84" s="47"/>
      <c r="R84" s="95">
        <f t="shared" si="11"/>
        <v>0</v>
      </c>
      <c r="S84" s="95" t="str">
        <f t="shared" si="12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13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4">
        <f t="shared" si="14"/>
        <v>0</v>
      </c>
      <c r="P85" s="47" t="s">
        <v>701</v>
      </c>
      <c r="Q85" s="47"/>
      <c r="R85" s="95">
        <f t="shared" si="11"/>
        <v>0</v>
      </c>
      <c r="S85" s="95" t="str">
        <f t="shared" si="12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13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4">
        <f t="shared" si="14"/>
        <v>0</v>
      </c>
      <c r="P86" s="47" t="s">
        <v>701</v>
      </c>
      <c r="Q86" s="47"/>
      <c r="R86" s="95">
        <f t="shared" si="11"/>
        <v>0</v>
      </c>
      <c r="S86" s="95" t="str">
        <f t="shared" si="12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13"/>
        <v>76</v>
      </c>
      <c r="B87" s="47"/>
      <c r="C87" s="5" t="s">
        <v>52</v>
      </c>
      <c r="D87" s="7" t="s">
        <v>45</v>
      </c>
      <c r="E87" s="6" t="s">
        <v>53</v>
      </c>
      <c r="F87" s="61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4">
        <f t="shared" si="14"/>
        <v>0</v>
      </c>
      <c r="P87" s="47" t="s">
        <v>701</v>
      </c>
      <c r="Q87" s="47"/>
      <c r="R87" s="95">
        <f t="shared" si="11"/>
        <v>0</v>
      </c>
      <c r="S87" s="95" t="str">
        <f t="shared" si="12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13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4">
        <f t="shared" si="14"/>
        <v>0</v>
      </c>
      <c r="P88" s="47" t="s">
        <v>701</v>
      </c>
      <c r="Q88" s="47"/>
      <c r="R88" s="95">
        <f t="shared" si="11"/>
        <v>0</v>
      </c>
      <c r="S88" s="95" t="str">
        <f t="shared" si="12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13"/>
        <v>78</v>
      </c>
      <c r="B89" s="47"/>
      <c r="C89" s="5" t="s">
        <v>719</v>
      </c>
      <c r="D89" s="5" t="s">
        <v>235</v>
      </c>
      <c r="E89" s="6" t="s">
        <v>720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 t="shared" si="14"/>
        <v>0</v>
      </c>
      <c r="P89" s="47" t="s">
        <v>701</v>
      </c>
      <c r="Q89" s="47">
        <v>4818</v>
      </c>
      <c r="R89" s="95">
        <f t="shared" si="11"/>
        <v>0</v>
      </c>
      <c r="S89" s="95" t="str">
        <f t="shared" si="12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13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4">
        <f t="shared" si="14"/>
        <v>0</v>
      </c>
      <c r="P90" s="47" t="s">
        <v>701</v>
      </c>
      <c r="Q90" s="47"/>
      <c r="R90" s="95">
        <f t="shared" si="11"/>
        <v>0</v>
      </c>
      <c r="S90" s="95" t="str">
        <f t="shared" si="12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13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4">
        <f t="shared" si="14"/>
        <v>0</v>
      </c>
      <c r="P91" s="47" t="s">
        <v>701</v>
      </c>
      <c r="Q91" s="47"/>
      <c r="R91" s="95">
        <f t="shared" si="11"/>
        <v>0</v>
      </c>
      <c r="S91" s="95" t="str">
        <f t="shared" si="12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13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4">
        <f t="shared" si="14"/>
        <v>0</v>
      </c>
      <c r="P92" s="47" t="s">
        <v>701</v>
      </c>
      <c r="Q92" s="47"/>
      <c r="R92" s="95">
        <f t="shared" ref="R92:R123" si="15">IF(OR(P92="c",P92="C"),+T92,"")</f>
        <v>0</v>
      </c>
      <c r="S92" s="95" t="str">
        <f t="shared" si="12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13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4">
        <f t="shared" si="14"/>
        <v>0</v>
      </c>
      <c r="P93" s="47" t="s">
        <v>701</v>
      </c>
      <c r="Q93" s="47"/>
      <c r="R93" s="95">
        <f t="shared" si="15"/>
        <v>0</v>
      </c>
      <c r="S93" s="95" t="str">
        <f t="shared" si="12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13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09" t="s">
        <v>467</v>
      </c>
      <c r="H94" s="49"/>
      <c r="I94" s="47"/>
      <c r="J94" s="47"/>
      <c r="K94" s="47"/>
      <c r="L94" s="47"/>
      <c r="M94" s="47"/>
      <c r="N94" s="47"/>
      <c r="O94" s="94">
        <f t="shared" si="14"/>
        <v>0</v>
      </c>
      <c r="P94" s="47" t="s">
        <v>701</v>
      </c>
      <c r="Q94" s="47"/>
      <c r="R94" s="95">
        <f t="shared" si="15"/>
        <v>0</v>
      </c>
      <c r="S94" s="95" t="str">
        <f t="shared" si="12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13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4">
        <f t="shared" si="14"/>
        <v>0</v>
      </c>
      <c r="P95" s="47" t="s">
        <v>701</v>
      </c>
      <c r="Q95" s="47"/>
      <c r="R95" s="95">
        <f t="shared" si="15"/>
        <v>0</v>
      </c>
      <c r="S95" s="95" t="str">
        <f t="shared" si="12"/>
        <v/>
      </c>
      <c r="T95" s="96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13"/>
        <v>85</v>
      </c>
      <c r="B96" s="47"/>
      <c r="C96" s="7" t="s">
        <v>77</v>
      </c>
      <c r="D96" s="7" t="s">
        <v>78</v>
      </c>
      <c r="E96" s="9" t="s">
        <v>79</v>
      </c>
      <c r="F96" s="113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4">
        <f t="shared" si="14"/>
        <v>0</v>
      </c>
      <c r="P96" s="47" t="s">
        <v>701</v>
      </c>
      <c r="Q96" s="47"/>
      <c r="R96" s="95">
        <f t="shared" si="15"/>
        <v>0</v>
      </c>
      <c r="S96" s="95" t="str">
        <f t="shared" si="12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13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4">
        <f t="shared" si="14"/>
        <v>0</v>
      </c>
      <c r="P97" s="47" t="s">
        <v>701</v>
      </c>
      <c r="Q97" s="47"/>
      <c r="R97" s="95">
        <f t="shared" si="15"/>
        <v>0</v>
      </c>
      <c r="S97" s="95" t="str">
        <f t="shared" si="12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13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4">
        <f t="shared" si="14"/>
        <v>0</v>
      </c>
      <c r="P98" s="47" t="s">
        <v>701</v>
      </c>
      <c r="Q98" s="47"/>
      <c r="R98" s="95">
        <f t="shared" si="15"/>
        <v>0</v>
      </c>
      <c r="S98" s="95" t="str">
        <f t="shared" ref="S98:S129" si="16">IF(OR(P98="$",N98=1),+T98,"")</f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13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4">
        <f t="shared" si="14"/>
        <v>0</v>
      </c>
      <c r="P99" s="47" t="s">
        <v>701</v>
      </c>
      <c r="Q99" s="47"/>
      <c r="R99" s="95">
        <f t="shared" si="15"/>
        <v>0</v>
      </c>
      <c r="S99" s="95" t="str">
        <f t="shared" si="16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13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4">
        <f t="shared" si="14"/>
        <v>0</v>
      </c>
      <c r="P100" s="47" t="s">
        <v>701</v>
      </c>
      <c r="Q100" s="47"/>
      <c r="R100" s="95">
        <f t="shared" si="15"/>
        <v>0</v>
      </c>
      <c r="S100" s="95" t="str">
        <f t="shared" si="16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13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4">
        <f t="shared" si="14"/>
        <v>0</v>
      </c>
      <c r="P101" s="47" t="s">
        <v>701</v>
      </c>
      <c r="Q101" s="47"/>
      <c r="R101" s="95">
        <f t="shared" si="15"/>
        <v>0</v>
      </c>
      <c r="S101" s="95" t="str">
        <f t="shared" si="16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13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4">
        <f t="shared" si="14"/>
        <v>0</v>
      </c>
      <c r="P102" s="47" t="s">
        <v>701</v>
      </c>
      <c r="Q102" s="47"/>
      <c r="R102" s="95">
        <f t="shared" si="15"/>
        <v>0</v>
      </c>
      <c r="S102" s="95" t="str">
        <f t="shared" si="16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13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4">
        <f t="shared" si="14"/>
        <v>0</v>
      </c>
      <c r="P103" s="47" t="s">
        <v>701</v>
      </c>
      <c r="Q103" s="47"/>
      <c r="R103" s="95">
        <f t="shared" si="15"/>
        <v>0</v>
      </c>
      <c r="S103" s="95" t="str">
        <f t="shared" si="16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13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4">
        <f t="shared" si="14"/>
        <v>0</v>
      </c>
      <c r="P104" s="47" t="s">
        <v>701</v>
      </c>
      <c r="Q104" s="47"/>
      <c r="R104" s="95">
        <f t="shared" si="15"/>
        <v>0</v>
      </c>
      <c r="S104" s="95" t="str">
        <f t="shared" si="16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13"/>
        <v>94</v>
      </c>
      <c r="B105" s="47"/>
      <c r="C105" s="7" t="s">
        <v>110</v>
      </c>
      <c r="D105" s="7" t="s">
        <v>20</v>
      </c>
      <c r="E105" s="8" t="s">
        <v>111</v>
      </c>
      <c r="F105" s="113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4">
        <f t="shared" si="14"/>
        <v>0</v>
      </c>
      <c r="P105" s="47" t="s">
        <v>701</v>
      </c>
      <c r="Q105" s="47"/>
      <c r="R105" s="95">
        <f t="shared" si="15"/>
        <v>0</v>
      </c>
      <c r="S105" s="95" t="str">
        <f t="shared" si="16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13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4">
        <f t="shared" si="14"/>
        <v>0</v>
      </c>
      <c r="P106" s="47" t="s">
        <v>701</v>
      </c>
      <c r="Q106" s="47"/>
      <c r="R106" s="95">
        <f t="shared" si="15"/>
        <v>0</v>
      </c>
      <c r="S106" s="95" t="str">
        <f t="shared" si="16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13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 t="shared" si="14"/>
        <v>0</v>
      </c>
      <c r="P107" s="47" t="s">
        <v>701</v>
      </c>
      <c r="Q107" s="47"/>
      <c r="R107" s="95">
        <f t="shared" si="15"/>
        <v>0</v>
      </c>
      <c r="S107" s="95" t="str">
        <f t="shared" si="16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13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4">
        <f t="shared" si="14"/>
        <v>0</v>
      </c>
      <c r="P108" s="47" t="s">
        <v>701</v>
      </c>
      <c r="Q108" s="47"/>
      <c r="R108" s="95">
        <f t="shared" si="15"/>
        <v>0</v>
      </c>
      <c r="S108" s="95" t="str">
        <f t="shared" si="16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13"/>
        <v>98</v>
      </c>
      <c r="B109" s="47"/>
      <c r="C109" s="5" t="s">
        <v>129</v>
      </c>
      <c r="D109" s="5" t="s">
        <v>130</v>
      </c>
      <c r="E109" s="6" t="s">
        <v>131</v>
      </c>
      <c r="F109" s="61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4"/>
        <v>0</v>
      </c>
      <c r="P109" s="47" t="s">
        <v>701</v>
      </c>
      <c r="Q109" s="47"/>
      <c r="R109" s="95">
        <f t="shared" si="15"/>
        <v>0</v>
      </c>
      <c r="S109" s="95" t="str">
        <f t="shared" si="16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13"/>
        <v>99</v>
      </c>
      <c r="B110" s="47"/>
      <c r="C110" s="15" t="s">
        <v>652</v>
      </c>
      <c r="D110" s="15" t="s">
        <v>45</v>
      </c>
      <c r="E110" s="10" t="s">
        <v>653</v>
      </c>
      <c r="F110" s="110"/>
      <c r="G110" s="15"/>
      <c r="H110" s="49"/>
      <c r="I110" s="47"/>
      <c r="J110" s="47"/>
      <c r="K110" s="47"/>
      <c r="L110" s="47"/>
      <c r="M110" s="47"/>
      <c r="N110" s="47"/>
      <c r="O110" s="94">
        <f t="shared" si="14"/>
        <v>0</v>
      </c>
      <c r="P110" s="47" t="s">
        <v>701</v>
      </c>
      <c r="Q110" s="47"/>
      <c r="R110" s="95">
        <f t="shared" si="15"/>
        <v>0</v>
      </c>
      <c r="S110" s="95" t="str">
        <f t="shared" si="16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13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4"/>
        <v>0</v>
      </c>
      <c r="P111" s="47" t="s">
        <v>701</v>
      </c>
      <c r="Q111" s="47"/>
      <c r="R111" s="95">
        <f t="shared" si="15"/>
        <v>0</v>
      </c>
      <c r="S111" s="95" t="str">
        <f t="shared" si="16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13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9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4"/>
        <v>0</v>
      </c>
      <c r="P112" s="47" t="s">
        <v>701</v>
      </c>
      <c r="Q112" s="47"/>
      <c r="R112" s="95">
        <f t="shared" si="15"/>
        <v>0</v>
      </c>
      <c r="S112" s="95" t="str">
        <f t="shared" si="16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13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9" t="s">
        <v>496</v>
      </c>
      <c r="H113" s="49"/>
      <c r="I113" s="47"/>
      <c r="J113" s="47"/>
      <c r="K113" s="47"/>
      <c r="L113" s="47"/>
      <c r="M113" s="47"/>
      <c r="N113" s="47"/>
      <c r="O113" s="94">
        <f t="shared" ref="O113:O144" si="17">T113*N113</f>
        <v>0</v>
      </c>
      <c r="P113" s="47" t="s">
        <v>701</v>
      </c>
      <c r="Q113" s="47"/>
      <c r="R113" s="95">
        <f t="shared" si="15"/>
        <v>0</v>
      </c>
      <c r="S113" s="95" t="str">
        <f t="shared" si="16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13"/>
        <v>103</v>
      </c>
      <c r="B114" s="47"/>
      <c r="C114" s="15" t="s">
        <v>654</v>
      </c>
      <c r="D114" s="15" t="s">
        <v>45</v>
      </c>
      <c r="E114" s="10" t="s">
        <v>655</v>
      </c>
      <c r="F114" s="113"/>
      <c r="G114" s="15"/>
      <c r="H114" s="49"/>
      <c r="I114" s="47"/>
      <c r="J114" s="47"/>
      <c r="K114" s="47"/>
      <c r="L114" s="47"/>
      <c r="M114" s="47"/>
      <c r="N114" s="47"/>
      <c r="O114" s="94">
        <f t="shared" si="17"/>
        <v>0</v>
      </c>
      <c r="P114" s="47" t="s">
        <v>701</v>
      </c>
      <c r="Q114" s="47"/>
      <c r="R114" s="95">
        <f t="shared" si="15"/>
        <v>0</v>
      </c>
      <c r="S114" s="95" t="str">
        <f t="shared" si="16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13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 t="shared" si="17"/>
        <v>0</v>
      </c>
      <c r="P115" s="47" t="s">
        <v>701</v>
      </c>
      <c r="Q115" s="47"/>
      <c r="R115" s="95">
        <f t="shared" si="15"/>
        <v>0</v>
      </c>
      <c r="S115" s="95" t="str">
        <f t="shared" si="16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13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4">
        <f t="shared" si="17"/>
        <v>0</v>
      </c>
      <c r="P116" s="47" t="s">
        <v>701</v>
      </c>
      <c r="Q116" s="47"/>
      <c r="R116" s="95">
        <f t="shared" si="15"/>
        <v>0</v>
      </c>
      <c r="S116" s="95" t="str">
        <f t="shared" si="16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13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09" t="s">
        <v>500</v>
      </c>
      <c r="H117" s="49"/>
      <c r="I117" s="47"/>
      <c r="J117" s="47"/>
      <c r="K117" s="47"/>
      <c r="L117" s="47"/>
      <c r="M117" s="47"/>
      <c r="N117" s="47"/>
      <c r="O117" s="94">
        <f t="shared" si="17"/>
        <v>0</v>
      </c>
      <c r="P117" s="47" t="s">
        <v>701</v>
      </c>
      <c r="Q117" s="47"/>
      <c r="R117" s="95">
        <f t="shared" si="15"/>
        <v>0</v>
      </c>
      <c r="S117" s="95" t="str">
        <f t="shared" si="16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13"/>
        <v>107</v>
      </c>
      <c r="B118" s="47"/>
      <c r="C118" s="15" t="s">
        <v>658</v>
      </c>
      <c r="D118" s="15" t="s">
        <v>191</v>
      </c>
      <c r="E118" s="10" t="s">
        <v>659</v>
      </c>
      <c r="F118" s="113"/>
      <c r="G118" s="109" t="s">
        <v>660</v>
      </c>
      <c r="H118" s="49"/>
      <c r="I118" s="47"/>
      <c r="J118" s="47"/>
      <c r="K118" s="47"/>
      <c r="L118" s="47"/>
      <c r="M118" s="47"/>
      <c r="N118" s="47"/>
      <c r="O118" s="94">
        <f t="shared" si="17"/>
        <v>0</v>
      </c>
      <c r="P118" s="47" t="s">
        <v>701</v>
      </c>
      <c r="Q118" s="47"/>
      <c r="R118" s="95">
        <f t="shared" si="15"/>
        <v>0</v>
      </c>
      <c r="S118" s="95" t="str">
        <f t="shared" si="16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13"/>
        <v>108</v>
      </c>
      <c r="B119" s="47"/>
      <c r="C119" s="15" t="s">
        <v>661</v>
      </c>
      <c r="D119" s="15" t="s">
        <v>33</v>
      </c>
      <c r="E119" s="10" t="s">
        <v>662</v>
      </c>
      <c r="F119" s="113"/>
      <c r="G119" s="109" t="s">
        <v>663</v>
      </c>
      <c r="H119" s="49"/>
      <c r="I119" s="47"/>
      <c r="J119" s="47"/>
      <c r="K119" s="47"/>
      <c r="L119" s="47"/>
      <c r="M119" s="47"/>
      <c r="N119" s="47"/>
      <c r="O119" s="94">
        <f t="shared" si="17"/>
        <v>0</v>
      </c>
      <c r="P119" s="47" t="s">
        <v>701</v>
      </c>
      <c r="Q119" s="47"/>
      <c r="R119" s="95">
        <f t="shared" si="15"/>
        <v>0</v>
      </c>
      <c r="S119" s="95" t="str">
        <f t="shared" si="16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13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09" t="s">
        <v>501</v>
      </c>
      <c r="H120" s="49"/>
      <c r="I120" s="47"/>
      <c r="J120" s="47"/>
      <c r="K120" s="47"/>
      <c r="L120" s="47"/>
      <c r="M120" s="47"/>
      <c r="N120" s="47"/>
      <c r="O120" s="94">
        <f t="shared" si="17"/>
        <v>0</v>
      </c>
      <c r="P120" s="47" t="s">
        <v>701</v>
      </c>
      <c r="Q120" s="47"/>
      <c r="R120" s="95">
        <f t="shared" si="15"/>
        <v>0</v>
      </c>
      <c r="S120" s="95" t="str">
        <f t="shared" si="16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13"/>
        <v>110</v>
      </c>
      <c r="B121" s="47"/>
      <c r="C121" s="5" t="s">
        <v>155</v>
      </c>
      <c r="D121" s="5" t="s">
        <v>156</v>
      </c>
      <c r="E121" s="6" t="s">
        <v>157</v>
      </c>
      <c r="F121" s="61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7"/>
        <v>0</v>
      </c>
      <c r="P121" s="47" t="s">
        <v>701</v>
      </c>
      <c r="Q121" s="47"/>
      <c r="R121" s="95">
        <f t="shared" si="15"/>
        <v>0</v>
      </c>
      <c r="S121" s="95" t="str">
        <f t="shared" si="16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13"/>
        <v>111</v>
      </c>
      <c r="B122" s="47"/>
      <c r="C122" s="5" t="s">
        <v>163</v>
      </c>
      <c r="D122" s="13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4">
        <f t="shared" si="17"/>
        <v>0</v>
      </c>
      <c r="P122" s="47" t="s">
        <v>701</v>
      </c>
      <c r="Q122" s="47"/>
      <c r="R122" s="95">
        <f t="shared" si="15"/>
        <v>0</v>
      </c>
      <c r="S122" s="95" t="str">
        <f t="shared" si="16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13"/>
        <v>112</v>
      </c>
      <c r="B123" s="47"/>
      <c r="C123" s="5" t="s">
        <v>166</v>
      </c>
      <c r="D123" s="13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4">
        <f t="shared" si="17"/>
        <v>0</v>
      </c>
      <c r="P123" s="47" t="s">
        <v>701</v>
      </c>
      <c r="Q123" s="47"/>
      <c r="R123" s="95">
        <f t="shared" si="15"/>
        <v>0</v>
      </c>
      <c r="S123" s="95" t="str">
        <f t="shared" si="16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13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4">
        <f t="shared" si="17"/>
        <v>0</v>
      </c>
      <c r="P124" s="47" t="s">
        <v>701</v>
      </c>
      <c r="Q124" s="47"/>
      <c r="R124" s="95">
        <f t="shared" ref="R124:R155" si="18">IF(OR(P124="c",P124="C"),+T124,"")</f>
        <v>0</v>
      </c>
      <c r="S124" s="95" t="str">
        <f t="shared" si="16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13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4">
        <f t="shared" si="17"/>
        <v>0</v>
      </c>
      <c r="P125" s="47" t="s">
        <v>701</v>
      </c>
      <c r="Q125" s="47"/>
      <c r="R125" s="95">
        <f t="shared" si="18"/>
        <v>0</v>
      </c>
      <c r="S125" s="95" t="str">
        <f t="shared" si="16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13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4">
        <f t="shared" si="17"/>
        <v>0</v>
      </c>
      <c r="P126" s="47" t="s">
        <v>701</v>
      </c>
      <c r="Q126" s="47"/>
      <c r="R126" s="95">
        <f t="shared" si="18"/>
        <v>0</v>
      </c>
      <c r="S126" s="95" t="str">
        <f t="shared" si="16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13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4">
        <f t="shared" si="17"/>
        <v>0</v>
      </c>
      <c r="P127" s="47" t="s">
        <v>701</v>
      </c>
      <c r="Q127" s="47"/>
      <c r="R127" s="95">
        <f t="shared" si="18"/>
        <v>0</v>
      </c>
      <c r="S127" s="95" t="str">
        <f t="shared" si="16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13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4">
        <f t="shared" si="17"/>
        <v>0</v>
      </c>
      <c r="P128" s="47" t="s">
        <v>701</v>
      </c>
      <c r="Q128" s="47"/>
      <c r="R128" s="95">
        <f t="shared" si="18"/>
        <v>0</v>
      </c>
      <c r="S128" s="95" t="str">
        <f t="shared" si="16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13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4">
        <f t="shared" si="17"/>
        <v>0</v>
      </c>
      <c r="P129" s="47" t="s">
        <v>701</v>
      </c>
      <c r="Q129" s="47"/>
      <c r="R129" s="95">
        <f t="shared" si="18"/>
        <v>0</v>
      </c>
      <c r="S129" s="95" t="str">
        <f t="shared" si="16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13"/>
        <v>119</v>
      </c>
      <c r="B130" s="47"/>
      <c r="C130" s="5" t="s">
        <v>193</v>
      </c>
      <c r="D130" s="5" t="s">
        <v>194</v>
      </c>
      <c r="E130" s="6" t="s">
        <v>195</v>
      </c>
      <c r="F130" s="113" t="s">
        <v>736</v>
      </c>
      <c r="G130" s="109" t="s">
        <v>517</v>
      </c>
      <c r="H130" s="49"/>
      <c r="I130" s="47"/>
      <c r="J130" s="47"/>
      <c r="K130" s="47"/>
      <c r="L130" s="47"/>
      <c r="M130" s="47"/>
      <c r="N130" s="47"/>
      <c r="O130" s="94">
        <f t="shared" si="17"/>
        <v>0</v>
      </c>
      <c r="P130" s="47" t="s">
        <v>701</v>
      </c>
      <c r="Q130" s="47"/>
      <c r="R130" s="95">
        <f t="shared" si="18"/>
        <v>0</v>
      </c>
      <c r="S130" s="95" t="str">
        <f t="shared" ref="S130:S161" si="19">IF(OR(P130="$",N130=1),+T130,"")</f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13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4">
        <f t="shared" si="17"/>
        <v>0</v>
      </c>
      <c r="P131" s="47" t="s">
        <v>701</v>
      </c>
      <c r="Q131" s="47"/>
      <c r="R131" s="95">
        <f t="shared" si="18"/>
        <v>0</v>
      </c>
      <c r="S131" s="95" t="str">
        <f t="shared" si="19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13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4">
        <f t="shared" si="17"/>
        <v>0</v>
      </c>
      <c r="P132" s="47" t="s">
        <v>701</v>
      </c>
      <c r="Q132" s="47"/>
      <c r="R132" s="95">
        <f t="shared" si="18"/>
        <v>0</v>
      </c>
      <c r="S132" s="95" t="str">
        <f t="shared" si="19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13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09" t="s">
        <v>521</v>
      </c>
      <c r="H133" s="49"/>
      <c r="I133" s="47"/>
      <c r="J133" s="47"/>
      <c r="K133" s="47"/>
      <c r="L133" s="47"/>
      <c r="M133" s="47"/>
      <c r="N133" s="47"/>
      <c r="O133" s="94">
        <f t="shared" si="17"/>
        <v>0</v>
      </c>
      <c r="P133" s="47" t="s">
        <v>701</v>
      </c>
      <c r="Q133" s="47"/>
      <c r="R133" s="95">
        <f t="shared" si="18"/>
        <v>0</v>
      </c>
      <c r="S133" s="95" t="str">
        <f t="shared" si="19"/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13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4">
        <f t="shared" si="17"/>
        <v>0</v>
      </c>
      <c r="P134" s="47" t="s">
        <v>701</v>
      </c>
      <c r="Q134" s="47"/>
      <c r="R134" s="95">
        <f t="shared" si="18"/>
        <v>0</v>
      </c>
      <c r="S134" s="95" t="str">
        <f t="shared" si="19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13"/>
        <v>124</v>
      </c>
      <c r="B135" s="47"/>
      <c r="C135" s="5" t="s">
        <v>213</v>
      </c>
      <c r="D135" s="5" t="s">
        <v>214</v>
      </c>
      <c r="E135" s="6" t="s">
        <v>215</v>
      </c>
      <c r="F135" s="61"/>
      <c r="G135" s="12" t="s">
        <v>522</v>
      </c>
      <c r="H135" s="49"/>
      <c r="I135" s="47"/>
      <c r="J135" s="47"/>
      <c r="K135" s="47"/>
      <c r="L135" s="47"/>
      <c r="M135" s="47"/>
      <c r="N135" s="47"/>
      <c r="O135" s="94">
        <f t="shared" si="17"/>
        <v>0</v>
      </c>
      <c r="P135" s="47" t="s">
        <v>701</v>
      </c>
      <c r="Q135" s="47"/>
      <c r="R135" s="95">
        <f t="shared" si="18"/>
        <v>0</v>
      </c>
      <c r="S135" s="95" t="str">
        <f t="shared" si="19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13"/>
        <v>125</v>
      </c>
      <c r="B136" s="47"/>
      <c r="C136" s="15" t="s">
        <v>664</v>
      </c>
      <c r="D136" s="15" t="s">
        <v>39</v>
      </c>
      <c r="E136" s="10" t="s">
        <v>665</v>
      </c>
      <c r="F136" s="113"/>
      <c r="G136" s="12" t="s">
        <v>523</v>
      </c>
      <c r="H136" s="49"/>
      <c r="I136" s="47"/>
      <c r="J136" s="47"/>
      <c r="K136" s="47"/>
      <c r="L136" s="47"/>
      <c r="M136" s="47"/>
      <c r="N136" s="47"/>
      <c r="O136" s="94">
        <f t="shared" si="17"/>
        <v>0</v>
      </c>
      <c r="P136" s="47" t="s">
        <v>701</v>
      </c>
      <c r="Q136" s="47"/>
      <c r="R136" s="95">
        <f t="shared" si="18"/>
        <v>0</v>
      </c>
      <c r="S136" s="95" t="str">
        <f t="shared" si="19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13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4">
        <f t="shared" si="17"/>
        <v>0</v>
      </c>
      <c r="P137" s="47" t="s">
        <v>701</v>
      </c>
      <c r="Q137" s="47"/>
      <c r="R137" s="95">
        <f t="shared" si="18"/>
        <v>0</v>
      </c>
      <c r="S137" s="95" t="str">
        <f t="shared" si="19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13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4">
        <f t="shared" si="17"/>
        <v>0</v>
      </c>
      <c r="P138" s="47" t="s">
        <v>701</v>
      </c>
      <c r="Q138" s="47"/>
      <c r="R138" s="95">
        <f t="shared" si="18"/>
        <v>0</v>
      </c>
      <c r="S138" s="95" t="str">
        <f t="shared" si="19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13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4">
        <f t="shared" si="17"/>
        <v>0</v>
      </c>
      <c r="P139" s="47" t="s">
        <v>701</v>
      </c>
      <c r="Q139" s="47"/>
      <c r="R139" s="95">
        <f t="shared" si="18"/>
        <v>0</v>
      </c>
      <c r="S139" s="95" t="str">
        <f t="shared" si="19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20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09" t="s">
        <v>525</v>
      </c>
      <c r="H140" s="49"/>
      <c r="I140" s="47"/>
      <c r="J140" s="47"/>
      <c r="K140" s="47"/>
      <c r="L140" s="47"/>
      <c r="M140" s="47"/>
      <c r="N140" s="47"/>
      <c r="O140" s="94">
        <f t="shared" si="17"/>
        <v>0</v>
      </c>
      <c r="P140" s="47" t="s">
        <v>701</v>
      </c>
      <c r="Q140" s="47">
        <v>1059</v>
      </c>
      <c r="R140" s="95">
        <f t="shared" si="18"/>
        <v>0</v>
      </c>
      <c r="S140" s="95" t="str">
        <f t="shared" si="19"/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20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4">
        <f t="shared" si="17"/>
        <v>0</v>
      </c>
      <c r="P141" s="47" t="s">
        <v>701</v>
      </c>
      <c r="Q141" s="47"/>
      <c r="R141" s="95">
        <f t="shared" si="18"/>
        <v>0</v>
      </c>
      <c r="S141" s="95" t="str">
        <f t="shared" si="19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20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4">
        <f t="shared" si="17"/>
        <v>0</v>
      </c>
      <c r="P142" s="47" t="s">
        <v>701</v>
      </c>
      <c r="Q142" s="47"/>
      <c r="R142" s="95">
        <f t="shared" si="18"/>
        <v>0</v>
      </c>
      <c r="S142" s="95" t="str">
        <f t="shared" si="19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20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4">
        <f t="shared" si="17"/>
        <v>0</v>
      </c>
      <c r="P143" s="47" t="s">
        <v>701</v>
      </c>
      <c r="Q143" s="47"/>
      <c r="R143" s="95">
        <f t="shared" si="18"/>
        <v>0</v>
      </c>
      <c r="S143" s="95" t="str">
        <f t="shared" si="19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20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17"/>
        <v>0</v>
      </c>
      <c r="P144" s="47" t="s">
        <v>701</v>
      </c>
      <c r="Q144" s="47"/>
      <c r="R144" s="95">
        <f t="shared" si="18"/>
        <v>0</v>
      </c>
      <c r="S144" s="95" t="str">
        <f t="shared" si="19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20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4">
        <f t="shared" ref="O145:O176" si="21">T145*N145</f>
        <v>0</v>
      </c>
      <c r="P145" s="47" t="s">
        <v>701</v>
      </c>
      <c r="Q145" s="47"/>
      <c r="R145" s="95">
        <f t="shared" si="18"/>
        <v>0</v>
      </c>
      <c r="S145" s="95" t="str">
        <f t="shared" si="19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20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4">
        <f t="shared" si="21"/>
        <v>0</v>
      </c>
      <c r="P146" s="47" t="s">
        <v>701</v>
      </c>
      <c r="Q146" s="47"/>
      <c r="R146" s="95">
        <f t="shared" si="18"/>
        <v>0</v>
      </c>
      <c r="S146" s="95" t="str">
        <f t="shared" si="19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20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4">
        <f t="shared" si="21"/>
        <v>0</v>
      </c>
      <c r="P147" s="47" t="s">
        <v>701</v>
      </c>
      <c r="Q147" s="47"/>
      <c r="R147" s="95">
        <f t="shared" si="18"/>
        <v>0</v>
      </c>
      <c r="S147" s="95" t="str">
        <f t="shared" si="19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20"/>
        <v>137</v>
      </c>
      <c r="B148" s="47"/>
      <c r="C148" s="5" t="s">
        <v>254</v>
      </c>
      <c r="D148" s="5" t="s">
        <v>255</v>
      </c>
      <c r="E148" s="6" t="s">
        <v>256</v>
      </c>
      <c r="F148" s="114" t="s">
        <v>535</v>
      </c>
      <c r="G148" s="109" t="s">
        <v>536</v>
      </c>
      <c r="H148" s="49"/>
      <c r="I148" s="47"/>
      <c r="J148" s="47"/>
      <c r="K148" s="47"/>
      <c r="L148" s="47"/>
      <c r="M148" s="47"/>
      <c r="N148" s="47"/>
      <c r="O148" s="94">
        <f t="shared" si="21"/>
        <v>0</v>
      </c>
      <c r="P148" s="47" t="s">
        <v>701</v>
      </c>
      <c r="Q148" s="47"/>
      <c r="R148" s="95">
        <f t="shared" si="18"/>
        <v>0</v>
      </c>
      <c r="S148" s="95" t="str">
        <f t="shared" si="19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20"/>
        <v>138</v>
      </c>
      <c r="B149" s="47"/>
      <c r="C149" s="5" t="s">
        <v>257</v>
      </c>
      <c r="D149" s="5" t="s">
        <v>255</v>
      </c>
      <c r="E149" s="6" t="s">
        <v>258</v>
      </c>
      <c r="F149" s="113" t="s">
        <v>535</v>
      </c>
      <c r="G149" s="109" t="s">
        <v>537</v>
      </c>
      <c r="H149" s="49"/>
      <c r="I149" s="47"/>
      <c r="J149" s="47"/>
      <c r="K149" s="47"/>
      <c r="L149" s="47"/>
      <c r="M149" s="47"/>
      <c r="N149" s="47"/>
      <c r="O149" s="94">
        <f t="shared" si="21"/>
        <v>0</v>
      </c>
      <c r="P149" s="47" t="s">
        <v>701</v>
      </c>
      <c r="Q149" s="47"/>
      <c r="R149" s="95">
        <f t="shared" si="18"/>
        <v>0</v>
      </c>
      <c r="S149" s="95" t="str">
        <f t="shared" si="19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20"/>
        <v>139</v>
      </c>
      <c r="B150" s="47"/>
      <c r="C150" s="5" t="s">
        <v>261</v>
      </c>
      <c r="D150" s="5" t="s">
        <v>262</v>
      </c>
      <c r="E150" s="6" t="s">
        <v>263</v>
      </c>
      <c r="F150" s="113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4">
        <f t="shared" si="21"/>
        <v>0</v>
      </c>
      <c r="P150" s="47" t="s">
        <v>701</v>
      </c>
      <c r="Q150" s="47"/>
      <c r="R150" s="95">
        <f t="shared" si="18"/>
        <v>0</v>
      </c>
      <c r="S150" s="95" t="str">
        <f t="shared" si="19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20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4">
        <f t="shared" si="21"/>
        <v>0</v>
      </c>
      <c r="P151" s="47" t="s">
        <v>701</v>
      </c>
      <c r="Q151" s="47"/>
      <c r="R151" s="95">
        <f t="shared" si="18"/>
        <v>0</v>
      </c>
      <c r="S151" s="95" t="str">
        <f t="shared" si="19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20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4">
        <f t="shared" si="21"/>
        <v>0</v>
      </c>
      <c r="P152" s="47" t="s">
        <v>701</v>
      </c>
      <c r="Q152" s="47"/>
      <c r="R152" s="95">
        <f t="shared" si="18"/>
        <v>0</v>
      </c>
      <c r="S152" s="95" t="str">
        <f t="shared" si="19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20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4">
        <f t="shared" si="21"/>
        <v>0</v>
      </c>
      <c r="P153" s="47" t="s">
        <v>701</v>
      </c>
      <c r="Q153" s="47"/>
      <c r="R153" s="95">
        <f t="shared" si="18"/>
        <v>0</v>
      </c>
      <c r="S153" s="95" t="str">
        <f t="shared" si="19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20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90" t="s">
        <v>546</v>
      </c>
      <c r="H154" s="49"/>
      <c r="I154" s="47"/>
      <c r="J154" s="47"/>
      <c r="K154" s="47"/>
      <c r="L154" s="47"/>
      <c r="M154" s="47"/>
      <c r="N154" s="47"/>
      <c r="O154" s="94">
        <f t="shared" si="21"/>
        <v>0</v>
      </c>
      <c r="P154" s="47" t="s">
        <v>701</v>
      </c>
      <c r="Q154" s="47"/>
      <c r="R154" s="95">
        <f t="shared" si="18"/>
        <v>0</v>
      </c>
      <c r="S154" s="95" t="str">
        <f t="shared" si="19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20"/>
        <v>144</v>
      </c>
      <c r="B155" s="47"/>
      <c r="C155" s="15" t="s">
        <v>674</v>
      </c>
      <c r="D155" s="15" t="s">
        <v>159</v>
      </c>
      <c r="E155" s="10" t="s">
        <v>675</v>
      </c>
      <c r="F155" s="113"/>
      <c r="G155" s="111" t="s">
        <v>676</v>
      </c>
      <c r="H155" s="49"/>
      <c r="I155" s="47"/>
      <c r="J155" s="47"/>
      <c r="K155" s="47"/>
      <c r="L155" s="47"/>
      <c r="M155" s="47"/>
      <c r="N155" s="47"/>
      <c r="O155" s="94">
        <f t="shared" si="21"/>
        <v>0</v>
      </c>
      <c r="P155" s="47" t="s">
        <v>701</v>
      </c>
      <c r="Q155" s="47"/>
      <c r="R155" s="95">
        <f t="shared" si="18"/>
        <v>0</v>
      </c>
      <c r="S155" s="95" t="str">
        <f t="shared" si="19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20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4">
        <f t="shared" si="21"/>
        <v>0</v>
      </c>
      <c r="P156" s="47" t="s">
        <v>701</v>
      </c>
      <c r="Q156" s="47"/>
      <c r="R156" s="95">
        <f t="shared" ref="R156:R187" si="22">IF(OR(P156="c",P156="C"),+T156,"")</f>
        <v>0</v>
      </c>
      <c r="S156" s="95" t="str">
        <f t="shared" si="19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20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4">
        <f t="shared" si="21"/>
        <v>0</v>
      </c>
      <c r="P157" s="47" t="s">
        <v>701</v>
      </c>
      <c r="Q157" s="47"/>
      <c r="R157" s="95">
        <f t="shared" si="22"/>
        <v>0</v>
      </c>
      <c r="S157" s="95" t="str">
        <f t="shared" si="19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20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4">
        <f t="shared" si="21"/>
        <v>0</v>
      </c>
      <c r="P158" s="47" t="s">
        <v>701</v>
      </c>
      <c r="Q158" s="47"/>
      <c r="R158" s="95">
        <f t="shared" si="22"/>
        <v>0</v>
      </c>
      <c r="S158" s="95" t="str">
        <f t="shared" si="19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20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4">
        <f t="shared" si="21"/>
        <v>0</v>
      </c>
      <c r="P159" s="47" t="s">
        <v>701</v>
      </c>
      <c r="Q159" s="47"/>
      <c r="R159" s="95">
        <f t="shared" si="22"/>
        <v>0</v>
      </c>
      <c r="S159" s="95" t="str">
        <f t="shared" si="19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20"/>
        <v>149</v>
      </c>
      <c r="B160" s="47"/>
      <c r="C160" s="15" t="s">
        <v>677</v>
      </c>
      <c r="D160" s="15" t="s">
        <v>678</v>
      </c>
      <c r="E160" s="10" t="s">
        <v>662</v>
      </c>
      <c r="F160" s="113"/>
      <c r="G160" s="109" t="s">
        <v>679</v>
      </c>
      <c r="H160" s="49"/>
      <c r="I160" s="47"/>
      <c r="J160" s="47"/>
      <c r="K160" s="47"/>
      <c r="L160" s="47"/>
      <c r="M160" s="47"/>
      <c r="N160" s="47"/>
      <c r="O160" s="94">
        <f t="shared" si="21"/>
        <v>0</v>
      </c>
      <c r="P160" s="47" t="s">
        <v>701</v>
      </c>
      <c r="Q160" s="47"/>
      <c r="R160" s="95">
        <f t="shared" si="22"/>
        <v>0</v>
      </c>
      <c r="S160" s="95" t="str">
        <f t="shared" si="19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20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4">
        <f t="shared" si="21"/>
        <v>0</v>
      </c>
      <c r="P161" s="47" t="s">
        <v>701</v>
      </c>
      <c r="Q161" s="47"/>
      <c r="R161" s="95">
        <f t="shared" si="22"/>
        <v>0</v>
      </c>
      <c r="S161" s="95" t="str">
        <f t="shared" si="19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20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4">
        <f t="shared" si="21"/>
        <v>0</v>
      </c>
      <c r="P162" s="47" t="s">
        <v>701</v>
      </c>
      <c r="Q162" s="47"/>
      <c r="R162" s="95">
        <f t="shared" si="22"/>
        <v>0</v>
      </c>
      <c r="S162" s="95" t="str">
        <f t="shared" ref="S162:S193" si="23">IF(OR(P162="$",N162=1),+T162,"")</f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20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4">
        <f t="shared" si="21"/>
        <v>0</v>
      </c>
      <c r="P163" s="47" t="s">
        <v>701</v>
      </c>
      <c r="Q163" s="47"/>
      <c r="R163" s="95">
        <f t="shared" si="22"/>
        <v>0</v>
      </c>
      <c r="S163" s="95" t="str">
        <f t="shared" si="23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20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4">
        <f t="shared" si="21"/>
        <v>0</v>
      </c>
      <c r="P164" s="47" t="s">
        <v>701</v>
      </c>
      <c r="Q164" s="47"/>
      <c r="R164" s="95">
        <f t="shared" si="22"/>
        <v>0</v>
      </c>
      <c r="S164" s="95" t="str">
        <f t="shared" si="23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20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4">
        <f t="shared" si="21"/>
        <v>0</v>
      </c>
      <c r="P165" s="47" t="s">
        <v>701</v>
      </c>
      <c r="Q165" s="47"/>
      <c r="R165" s="95">
        <f t="shared" si="22"/>
        <v>0</v>
      </c>
      <c r="S165" s="95" t="str">
        <f t="shared" si="23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20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4">
        <f t="shared" si="21"/>
        <v>0</v>
      </c>
      <c r="P166" s="47" t="s">
        <v>701</v>
      </c>
      <c r="Q166" s="47"/>
      <c r="R166" s="95">
        <f t="shared" si="22"/>
        <v>0</v>
      </c>
      <c r="S166" s="95" t="str">
        <f t="shared" si="23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20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4">
        <f t="shared" si="21"/>
        <v>0</v>
      </c>
      <c r="P167" s="47" t="s">
        <v>701</v>
      </c>
      <c r="Q167" s="47"/>
      <c r="R167" s="95">
        <f t="shared" si="22"/>
        <v>0</v>
      </c>
      <c r="S167" s="95" t="str">
        <f t="shared" si="23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20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4">
        <f t="shared" si="21"/>
        <v>0</v>
      </c>
      <c r="P168" s="47" t="s">
        <v>701</v>
      </c>
      <c r="Q168" s="47"/>
      <c r="R168" s="95">
        <f t="shared" si="22"/>
        <v>0</v>
      </c>
      <c r="S168" s="95" t="str">
        <f t="shared" si="23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20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 t="shared" si="21"/>
        <v>0</v>
      </c>
      <c r="P169" s="47" t="s">
        <v>701</v>
      </c>
      <c r="Q169" s="47"/>
      <c r="R169" s="95">
        <f t="shared" si="22"/>
        <v>0</v>
      </c>
      <c r="S169" s="95" t="str">
        <f t="shared" si="23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20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4">
        <f t="shared" si="21"/>
        <v>0</v>
      </c>
      <c r="P170" s="47" t="s">
        <v>701</v>
      </c>
      <c r="Q170" s="47"/>
      <c r="R170" s="95">
        <f t="shared" si="22"/>
        <v>0</v>
      </c>
      <c r="S170" s="95" t="str">
        <f t="shared" si="23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20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4">
        <f t="shared" si="21"/>
        <v>0</v>
      </c>
      <c r="P171" s="47" t="s">
        <v>701</v>
      </c>
      <c r="Q171" s="47"/>
      <c r="R171" s="95">
        <f t="shared" si="22"/>
        <v>0</v>
      </c>
      <c r="S171" s="95" t="str">
        <f t="shared" si="23"/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20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4">
        <f t="shared" si="21"/>
        <v>0</v>
      </c>
      <c r="P172" s="47" t="s">
        <v>701</v>
      </c>
      <c r="Q172" s="47"/>
      <c r="R172" s="95">
        <f t="shared" si="22"/>
        <v>0</v>
      </c>
      <c r="S172" s="95" t="str">
        <f t="shared" si="23"/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20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09" t="s">
        <v>568</v>
      </c>
      <c r="H173" s="49"/>
      <c r="I173" s="47"/>
      <c r="J173" s="47"/>
      <c r="K173" s="47"/>
      <c r="L173" s="47"/>
      <c r="M173" s="47"/>
      <c r="N173" s="47"/>
      <c r="O173" s="94">
        <f t="shared" si="21"/>
        <v>0</v>
      </c>
      <c r="P173" s="47" t="s">
        <v>701</v>
      </c>
      <c r="Q173" s="47"/>
      <c r="R173" s="95">
        <f t="shared" si="22"/>
        <v>0</v>
      </c>
      <c r="S173" s="95" t="str">
        <f t="shared" si="23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20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4">
        <f t="shared" si="21"/>
        <v>0</v>
      </c>
      <c r="P174" s="47" t="s">
        <v>701</v>
      </c>
      <c r="Q174" s="47"/>
      <c r="R174" s="95">
        <f t="shared" si="22"/>
        <v>0</v>
      </c>
      <c r="S174" s="95" t="str">
        <f t="shared" si="23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20"/>
        <v>164</v>
      </c>
      <c r="B175" s="47"/>
      <c r="C175" s="15" t="s">
        <v>682</v>
      </c>
      <c r="D175" s="15" t="s">
        <v>81</v>
      </c>
      <c r="E175" s="10" t="s">
        <v>683</v>
      </c>
      <c r="F175" s="113"/>
      <c r="G175" s="109" t="s">
        <v>684</v>
      </c>
      <c r="H175" s="49"/>
      <c r="I175" s="47"/>
      <c r="J175" s="47"/>
      <c r="K175" s="47"/>
      <c r="L175" s="47"/>
      <c r="M175" s="47"/>
      <c r="N175" s="47"/>
      <c r="O175" s="94">
        <f t="shared" si="21"/>
        <v>0</v>
      </c>
      <c r="P175" s="47" t="s">
        <v>701</v>
      </c>
      <c r="Q175" s="47"/>
      <c r="R175" s="95">
        <f t="shared" si="22"/>
        <v>0</v>
      </c>
      <c r="S175" s="95" t="str">
        <f t="shared" si="23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20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4">
        <f t="shared" si="21"/>
        <v>0</v>
      </c>
      <c r="P176" s="47" t="s">
        <v>701</v>
      </c>
      <c r="Q176" s="47"/>
      <c r="R176" s="95">
        <f t="shared" si="22"/>
        <v>0</v>
      </c>
      <c r="S176" s="95" t="str">
        <f t="shared" si="23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20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09" t="s">
        <v>573</v>
      </c>
      <c r="H177" s="49"/>
      <c r="I177" s="47"/>
      <c r="J177" s="47"/>
      <c r="K177" s="47"/>
      <c r="L177" s="47"/>
      <c r="M177" s="47"/>
      <c r="N177" s="47"/>
      <c r="O177" s="94">
        <f t="shared" ref="O177:O201" si="24">T177*N177</f>
        <v>0</v>
      </c>
      <c r="P177" s="47" t="s">
        <v>701</v>
      </c>
      <c r="Q177" s="47"/>
      <c r="R177" s="95">
        <f t="shared" si="22"/>
        <v>0</v>
      </c>
      <c r="S177" s="95" t="str">
        <f t="shared" si="23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20"/>
        <v>167</v>
      </c>
      <c r="B178" s="47"/>
      <c r="C178" s="15" t="s">
        <v>685</v>
      </c>
      <c r="D178" s="15" t="s">
        <v>45</v>
      </c>
      <c r="E178" s="10" t="s">
        <v>686</v>
      </c>
      <c r="F178" s="113">
        <v>7752876408</v>
      </c>
      <c r="G178" s="15"/>
      <c r="H178" s="49"/>
      <c r="I178" s="47"/>
      <c r="J178" s="47"/>
      <c r="K178" s="47"/>
      <c r="L178" s="47"/>
      <c r="M178" s="47"/>
      <c r="N178" s="47"/>
      <c r="O178" s="94">
        <f t="shared" si="24"/>
        <v>0</v>
      </c>
      <c r="P178" s="47" t="s">
        <v>701</v>
      </c>
      <c r="Q178" s="47"/>
      <c r="R178" s="95">
        <f t="shared" si="22"/>
        <v>0</v>
      </c>
      <c r="S178" s="95" t="str">
        <f t="shared" si="23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20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4">
        <f t="shared" si="24"/>
        <v>0</v>
      </c>
      <c r="P179" s="47" t="s">
        <v>701</v>
      </c>
      <c r="Q179" s="47"/>
      <c r="R179" s="95">
        <f t="shared" si="22"/>
        <v>0</v>
      </c>
      <c r="S179" s="95" t="str">
        <f t="shared" si="23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20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09" t="s">
        <v>575</v>
      </c>
      <c r="H180" s="49"/>
      <c r="I180" s="47"/>
      <c r="J180" s="47"/>
      <c r="K180" s="47"/>
      <c r="L180" s="47"/>
      <c r="M180" s="47"/>
      <c r="N180" s="47"/>
      <c r="O180" s="94">
        <f t="shared" si="24"/>
        <v>0</v>
      </c>
      <c r="P180" s="47" t="s">
        <v>701</v>
      </c>
      <c r="Q180" s="47"/>
      <c r="R180" s="95">
        <f t="shared" si="22"/>
        <v>0</v>
      </c>
      <c r="S180" s="95" t="str">
        <f t="shared" si="23"/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20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4">
        <f t="shared" si="24"/>
        <v>0</v>
      </c>
      <c r="P181" s="47" t="s">
        <v>701</v>
      </c>
      <c r="Q181" s="47"/>
      <c r="R181" s="95">
        <f t="shared" si="22"/>
        <v>0</v>
      </c>
      <c r="S181" s="95" t="str">
        <f t="shared" si="23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20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4">
        <f t="shared" si="24"/>
        <v>0</v>
      </c>
      <c r="P182" s="47" t="s">
        <v>701</v>
      </c>
      <c r="Q182" s="47"/>
      <c r="R182" s="95">
        <f t="shared" si="22"/>
        <v>0</v>
      </c>
      <c r="S182" s="95" t="str">
        <f t="shared" si="23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20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4">
        <f t="shared" si="24"/>
        <v>0</v>
      </c>
      <c r="P183" s="47" t="s">
        <v>701</v>
      </c>
      <c r="Q183" s="47"/>
      <c r="R183" s="95">
        <f t="shared" si="22"/>
        <v>0</v>
      </c>
      <c r="S183" s="95" t="str">
        <f t="shared" si="23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20"/>
        <v>173</v>
      </c>
      <c r="B184" s="47"/>
      <c r="C184" s="15" t="s">
        <v>687</v>
      </c>
      <c r="D184" s="15" t="s">
        <v>199</v>
      </c>
      <c r="E184" s="10" t="s">
        <v>662</v>
      </c>
      <c r="F184" s="113"/>
      <c r="G184" s="109" t="s">
        <v>688</v>
      </c>
      <c r="H184" s="49"/>
      <c r="I184" s="47"/>
      <c r="J184" s="47"/>
      <c r="K184" s="47"/>
      <c r="L184" s="47"/>
      <c r="M184" s="47"/>
      <c r="N184" s="47"/>
      <c r="O184" s="94">
        <f t="shared" si="24"/>
        <v>0</v>
      </c>
      <c r="P184" s="47" t="s">
        <v>701</v>
      </c>
      <c r="Q184" s="47"/>
      <c r="R184" s="95">
        <f t="shared" si="22"/>
        <v>0</v>
      </c>
      <c r="S184" s="95" t="str">
        <f t="shared" si="23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20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4">
        <f t="shared" si="24"/>
        <v>0</v>
      </c>
      <c r="P185" s="47" t="s">
        <v>701</v>
      </c>
      <c r="Q185" s="47"/>
      <c r="R185" s="95">
        <f t="shared" si="22"/>
        <v>0</v>
      </c>
      <c r="S185" s="95" t="str">
        <f t="shared" si="23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20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4">
        <f t="shared" si="24"/>
        <v>0</v>
      </c>
      <c r="P186" s="47" t="s">
        <v>701</v>
      </c>
      <c r="Q186" s="47"/>
      <c r="R186" s="95">
        <f t="shared" si="22"/>
        <v>0</v>
      </c>
      <c r="S186" s="95" t="str">
        <f t="shared" si="23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20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4">
        <f t="shared" si="24"/>
        <v>0</v>
      </c>
      <c r="P187" s="47" t="s">
        <v>701</v>
      </c>
      <c r="Q187" s="47"/>
      <c r="R187" s="95">
        <f t="shared" si="22"/>
        <v>0</v>
      </c>
      <c r="S187" s="95" t="str">
        <f t="shared" si="23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20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4">
        <f t="shared" si="24"/>
        <v>0</v>
      </c>
      <c r="P188" s="47" t="s">
        <v>701</v>
      </c>
      <c r="Q188" s="47"/>
      <c r="R188" s="95">
        <f t="shared" ref="R188:R201" si="25">IF(OR(P188="c",P188="C"),+T188,"")</f>
        <v>0</v>
      </c>
      <c r="S188" s="95" t="str">
        <f t="shared" si="23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20"/>
        <v>178</v>
      </c>
      <c r="B189" s="47"/>
      <c r="C189" s="5" t="s">
        <v>383</v>
      </c>
      <c r="D189" s="5" t="s">
        <v>185</v>
      </c>
      <c r="E189" s="6" t="s">
        <v>384</v>
      </c>
      <c r="F189" s="113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4">
        <f t="shared" si="24"/>
        <v>0</v>
      </c>
      <c r="P189" s="47" t="s">
        <v>701</v>
      </c>
      <c r="Q189" s="47"/>
      <c r="R189" s="95">
        <f t="shared" si="25"/>
        <v>0</v>
      </c>
      <c r="S189" s="95" t="str">
        <f t="shared" si="23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20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4">
        <f t="shared" si="24"/>
        <v>0</v>
      </c>
      <c r="P190" s="47" t="s">
        <v>701</v>
      </c>
      <c r="Q190" s="47"/>
      <c r="R190" s="95">
        <f t="shared" si="25"/>
        <v>0</v>
      </c>
      <c r="S190" s="95" t="str">
        <f t="shared" si="23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20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4">
        <f t="shared" si="24"/>
        <v>0</v>
      </c>
      <c r="P191" s="47" t="s">
        <v>701</v>
      </c>
      <c r="Q191" s="47"/>
      <c r="R191" s="95">
        <f t="shared" si="25"/>
        <v>0</v>
      </c>
      <c r="S191" s="95" t="str">
        <f t="shared" si="23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20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4">
        <f t="shared" si="24"/>
        <v>0</v>
      </c>
      <c r="P192" s="47" t="s">
        <v>701</v>
      </c>
      <c r="Q192" s="47"/>
      <c r="R192" s="95">
        <f t="shared" si="25"/>
        <v>0</v>
      </c>
      <c r="S192" s="95" t="str">
        <f t="shared" si="23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20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4">
        <f t="shared" si="24"/>
        <v>0</v>
      </c>
      <c r="P193" s="47" t="s">
        <v>701</v>
      </c>
      <c r="Q193" s="47"/>
      <c r="R193" s="95">
        <f t="shared" si="25"/>
        <v>0</v>
      </c>
      <c r="S193" s="95" t="str">
        <f t="shared" si="23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20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4">
        <f t="shared" si="24"/>
        <v>0</v>
      </c>
      <c r="P194" s="47" t="s">
        <v>701</v>
      </c>
      <c r="Q194" s="47"/>
      <c r="R194" s="95">
        <f t="shared" si="25"/>
        <v>0</v>
      </c>
      <c r="S194" s="95" t="str">
        <f t="shared" ref="S194:S201" si="26">IF(OR(P194="$",N194=1),+T194,"")</f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20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4">
        <f t="shared" si="24"/>
        <v>0</v>
      </c>
      <c r="P195" s="47" t="s">
        <v>701</v>
      </c>
      <c r="Q195" s="47"/>
      <c r="R195" s="95">
        <f t="shared" si="25"/>
        <v>0</v>
      </c>
      <c r="S195" s="95" t="str">
        <f t="shared" si="26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20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4">
        <f t="shared" si="24"/>
        <v>0</v>
      </c>
      <c r="P196" s="47" t="s">
        <v>701</v>
      </c>
      <c r="Q196" s="47"/>
      <c r="R196" s="95">
        <f t="shared" si="25"/>
        <v>0</v>
      </c>
      <c r="S196" s="95" t="str">
        <f t="shared" si="26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20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4">
        <f t="shared" si="24"/>
        <v>0</v>
      </c>
      <c r="P197" s="47" t="s">
        <v>701</v>
      </c>
      <c r="Q197" s="47"/>
      <c r="R197" s="95">
        <f t="shared" si="25"/>
        <v>0</v>
      </c>
      <c r="S197" s="95" t="str">
        <f t="shared" si="26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20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09" t="s">
        <v>601</v>
      </c>
      <c r="H198" s="49"/>
      <c r="I198" s="47"/>
      <c r="J198" s="47"/>
      <c r="K198" s="47"/>
      <c r="L198" s="47"/>
      <c r="M198" s="47"/>
      <c r="N198" s="47"/>
      <c r="O198" s="94">
        <f t="shared" si="24"/>
        <v>0</v>
      </c>
      <c r="P198" s="47" t="s">
        <v>701</v>
      </c>
      <c r="Q198" s="47"/>
      <c r="R198" s="95">
        <f t="shared" si="25"/>
        <v>0</v>
      </c>
      <c r="S198" s="95" t="str">
        <f t="shared" si="26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20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4"/>
        <v>0</v>
      </c>
      <c r="P199" s="47" t="s">
        <v>701</v>
      </c>
      <c r="Q199" s="47"/>
      <c r="R199" s="95">
        <f t="shared" si="25"/>
        <v>0</v>
      </c>
      <c r="S199" s="95" t="str">
        <f t="shared" si="26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20"/>
        <v>189</v>
      </c>
      <c r="B200" s="47"/>
      <c r="C200" s="5" t="s">
        <v>414</v>
      </c>
      <c r="D200" s="5" t="s">
        <v>412</v>
      </c>
      <c r="E200" s="6" t="s">
        <v>415</v>
      </c>
      <c r="F200" s="113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4">
        <f t="shared" si="24"/>
        <v>0</v>
      </c>
      <c r="P200" s="47" t="s">
        <v>701</v>
      </c>
      <c r="Q200" s="47"/>
      <c r="R200" s="95">
        <f t="shared" si="25"/>
        <v>0</v>
      </c>
      <c r="S200" s="95" t="str">
        <f t="shared" si="26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20"/>
        <v>190</v>
      </c>
      <c r="B201" s="47"/>
      <c r="C201" s="15" t="s">
        <v>689</v>
      </c>
      <c r="D201" s="15" t="s">
        <v>690</v>
      </c>
      <c r="E201" s="10" t="s">
        <v>691</v>
      </c>
      <c r="F201" s="113"/>
      <c r="G201" s="15"/>
      <c r="H201" s="49"/>
      <c r="I201" s="47"/>
      <c r="J201" s="47"/>
      <c r="K201" s="47"/>
      <c r="L201" s="47"/>
      <c r="M201" s="47"/>
      <c r="N201" s="47"/>
      <c r="O201" s="94">
        <f t="shared" si="24"/>
        <v>0</v>
      </c>
      <c r="P201" s="47" t="s">
        <v>701</v>
      </c>
      <c r="Q201" s="47"/>
      <c r="R201" s="95">
        <f t="shared" si="25"/>
        <v>0</v>
      </c>
      <c r="S201" s="95" t="str">
        <f t="shared" si="26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20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27">T202*N202</f>
        <v>0</v>
      </c>
      <c r="P202" s="50"/>
      <c r="Q202" s="50"/>
      <c r="R202" s="95" t="str">
        <f t="shared" ref="R202:R203" si="28">IF(OR(P202="c",P202="C"),+T202,"")</f>
        <v/>
      </c>
      <c r="S202" s="95" t="str">
        <f t="shared" ref="S202:S203" si="29">IF(OR(P202="$",N202=1),+T202,"")</f>
        <v/>
      </c>
      <c r="T202" s="96">
        <f t="shared" ref="T202:T203" si="30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20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27"/>
        <v>0</v>
      </c>
      <c r="P203" s="50"/>
      <c r="Q203" s="50"/>
      <c r="R203" s="95" t="str">
        <f t="shared" si="28"/>
        <v/>
      </c>
      <c r="S203" s="95" t="str">
        <f t="shared" si="29"/>
        <v/>
      </c>
      <c r="T203" s="96">
        <f t="shared" si="30"/>
        <v>0</v>
      </c>
      <c r="U203" s="51"/>
    </row>
    <row r="204" spans="1:21" x14ac:dyDescent="0.25">
      <c r="A204" s="46">
        <f t="shared" ref="A204:A267" si="31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32">T204*N204</f>
        <v>0</v>
      </c>
      <c r="P204" s="50"/>
      <c r="Q204" s="50"/>
      <c r="R204" s="95" t="str">
        <f t="shared" ref="R204:R267" si="33">IF(OR(P204="c",P204="C"),+T204,"")</f>
        <v/>
      </c>
      <c r="S204" s="95" t="str">
        <f t="shared" ref="S204:S267" si="34">IF(OR(P204="$",N204=1),+T204,"")</f>
        <v/>
      </c>
      <c r="T204" s="96">
        <f t="shared" ref="T204:T267" si="35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31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32"/>
        <v>0</v>
      </c>
      <c r="P205" s="50"/>
      <c r="Q205" s="50"/>
      <c r="R205" s="95" t="str">
        <f t="shared" si="33"/>
        <v/>
      </c>
      <c r="S205" s="95" t="str">
        <f t="shared" si="34"/>
        <v/>
      </c>
      <c r="T205" s="96">
        <f t="shared" si="35"/>
        <v>0</v>
      </c>
      <c r="U205" s="51"/>
    </row>
    <row r="206" spans="1:21" x14ac:dyDescent="0.25">
      <c r="A206" s="46">
        <f t="shared" si="31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32"/>
        <v>0</v>
      </c>
      <c r="P206" s="50"/>
      <c r="Q206" s="50"/>
      <c r="R206" s="95" t="str">
        <f t="shared" si="33"/>
        <v/>
      </c>
      <c r="S206" s="95" t="str">
        <f t="shared" si="34"/>
        <v/>
      </c>
      <c r="T206" s="96">
        <f t="shared" si="35"/>
        <v>0</v>
      </c>
      <c r="U206" s="51"/>
    </row>
    <row r="207" spans="1:21" x14ac:dyDescent="0.25">
      <c r="A207" s="46">
        <f t="shared" si="31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32"/>
        <v>0</v>
      </c>
      <c r="P207" s="50"/>
      <c r="Q207" s="50"/>
      <c r="R207" s="95" t="str">
        <f t="shared" si="33"/>
        <v/>
      </c>
      <c r="S207" s="95" t="str">
        <f t="shared" si="34"/>
        <v/>
      </c>
      <c r="T207" s="96">
        <f t="shared" si="35"/>
        <v>0</v>
      </c>
      <c r="U207" s="51"/>
    </row>
    <row r="208" spans="1:21" x14ac:dyDescent="0.25">
      <c r="A208" s="46">
        <f t="shared" si="31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32"/>
        <v>0</v>
      </c>
      <c r="P208" s="50"/>
      <c r="Q208" s="50"/>
      <c r="R208" s="95" t="str">
        <f t="shared" si="33"/>
        <v/>
      </c>
      <c r="S208" s="95" t="str">
        <f t="shared" si="34"/>
        <v/>
      </c>
      <c r="T208" s="96">
        <f t="shared" si="35"/>
        <v>0</v>
      </c>
      <c r="U208" s="51"/>
    </row>
    <row r="209" spans="1:21" x14ac:dyDescent="0.25">
      <c r="A209" s="46">
        <f t="shared" si="31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32"/>
        <v>0</v>
      </c>
      <c r="P209" s="50"/>
      <c r="Q209" s="50"/>
      <c r="R209" s="95" t="str">
        <f t="shared" si="33"/>
        <v/>
      </c>
      <c r="S209" s="95" t="str">
        <f t="shared" si="34"/>
        <v/>
      </c>
      <c r="T209" s="96">
        <f t="shared" si="35"/>
        <v>0</v>
      </c>
      <c r="U209" s="51"/>
    </row>
    <row r="210" spans="1:21" x14ac:dyDescent="0.25">
      <c r="A210" s="46">
        <f t="shared" si="31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32"/>
        <v>0</v>
      </c>
      <c r="P210" s="50"/>
      <c r="Q210" s="50"/>
      <c r="R210" s="95" t="str">
        <f t="shared" si="33"/>
        <v/>
      </c>
      <c r="S210" s="95" t="str">
        <f t="shared" si="34"/>
        <v/>
      </c>
      <c r="T210" s="96">
        <f t="shared" si="35"/>
        <v>0</v>
      </c>
      <c r="U210" s="51"/>
    </row>
    <row r="211" spans="1:21" x14ac:dyDescent="0.25">
      <c r="A211" s="46">
        <f t="shared" si="31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32"/>
        <v>0</v>
      </c>
      <c r="P211" s="50"/>
      <c r="Q211" s="50"/>
      <c r="R211" s="95" t="str">
        <f t="shared" si="33"/>
        <v/>
      </c>
      <c r="S211" s="95" t="str">
        <f t="shared" si="34"/>
        <v/>
      </c>
      <c r="T211" s="96">
        <f t="shared" si="35"/>
        <v>0</v>
      </c>
      <c r="U211" s="51"/>
    </row>
    <row r="212" spans="1:21" x14ac:dyDescent="0.25">
      <c r="A212" s="46">
        <f t="shared" si="31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32"/>
        <v>0</v>
      </c>
      <c r="P212" s="50"/>
      <c r="Q212" s="50"/>
      <c r="R212" s="95" t="str">
        <f t="shared" si="33"/>
        <v/>
      </c>
      <c r="S212" s="95" t="str">
        <f t="shared" si="34"/>
        <v/>
      </c>
      <c r="T212" s="96">
        <f t="shared" si="35"/>
        <v>0</v>
      </c>
      <c r="U212" s="51"/>
    </row>
    <row r="213" spans="1:21" x14ac:dyDescent="0.25">
      <c r="A213" s="46">
        <f t="shared" si="31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32"/>
        <v>0</v>
      </c>
      <c r="P213" s="50"/>
      <c r="Q213" s="50"/>
      <c r="R213" s="95" t="str">
        <f t="shared" si="33"/>
        <v/>
      </c>
      <c r="S213" s="95" t="str">
        <f t="shared" si="34"/>
        <v/>
      </c>
      <c r="T213" s="96">
        <f t="shared" si="35"/>
        <v>0</v>
      </c>
      <c r="U213" s="51"/>
    </row>
    <row r="214" spans="1:21" x14ac:dyDescent="0.25">
      <c r="A214" s="46">
        <f t="shared" si="31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32"/>
        <v>0</v>
      </c>
      <c r="P214" s="50"/>
      <c r="Q214" s="50"/>
      <c r="R214" s="95" t="str">
        <f t="shared" si="33"/>
        <v/>
      </c>
      <c r="S214" s="95" t="str">
        <f t="shared" si="34"/>
        <v/>
      </c>
      <c r="T214" s="96">
        <f t="shared" si="35"/>
        <v>0</v>
      </c>
      <c r="U214" s="51"/>
    </row>
    <row r="215" spans="1:21" x14ac:dyDescent="0.25">
      <c r="A215" s="46">
        <f t="shared" si="31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32"/>
        <v>0</v>
      </c>
      <c r="P215" s="50"/>
      <c r="Q215" s="50"/>
      <c r="R215" s="95" t="str">
        <f t="shared" si="33"/>
        <v/>
      </c>
      <c r="S215" s="95" t="str">
        <f t="shared" si="34"/>
        <v/>
      </c>
      <c r="T215" s="96">
        <f t="shared" si="35"/>
        <v>0</v>
      </c>
      <c r="U215" s="51"/>
    </row>
    <row r="216" spans="1:21" x14ac:dyDescent="0.25">
      <c r="A216" s="46">
        <f t="shared" si="31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32"/>
        <v>0</v>
      </c>
      <c r="P216" s="50"/>
      <c r="Q216" s="50"/>
      <c r="R216" s="95" t="str">
        <f t="shared" si="33"/>
        <v/>
      </c>
      <c r="S216" s="95" t="str">
        <f t="shared" si="34"/>
        <v/>
      </c>
      <c r="T216" s="96">
        <f t="shared" si="35"/>
        <v>0</v>
      </c>
      <c r="U216" s="51"/>
    </row>
    <row r="217" spans="1:21" x14ac:dyDescent="0.25">
      <c r="A217" s="46">
        <f t="shared" si="31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32"/>
        <v>0</v>
      </c>
      <c r="P217" s="50"/>
      <c r="Q217" s="50"/>
      <c r="R217" s="95" t="str">
        <f t="shared" si="33"/>
        <v/>
      </c>
      <c r="S217" s="95" t="str">
        <f t="shared" si="34"/>
        <v/>
      </c>
      <c r="T217" s="96">
        <f t="shared" si="35"/>
        <v>0</v>
      </c>
      <c r="U217" s="51"/>
    </row>
    <row r="218" spans="1:21" x14ac:dyDescent="0.25">
      <c r="A218" s="46">
        <f t="shared" si="31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32"/>
        <v>0</v>
      </c>
      <c r="P218" s="50"/>
      <c r="Q218" s="50"/>
      <c r="R218" s="95" t="str">
        <f t="shared" si="33"/>
        <v/>
      </c>
      <c r="S218" s="95" t="str">
        <f t="shared" si="34"/>
        <v/>
      </c>
      <c r="T218" s="96">
        <f t="shared" si="35"/>
        <v>0</v>
      </c>
      <c r="U218" s="51"/>
    </row>
    <row r="219" spans="1:21" x14ac:dyDescent="0.25">
      <c r="A219" s="46">
        <f t="shared" si="31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32"/>
        <v>0</v>
      </c>
      <c r="P219" s="50"/>
      <c r="Q219" s="50"/>
      <c r="R219" s="95" t="str">
        <f t="shared" si="33"/>
        <v/>
      </c>
      <c r="S219" s="95" t="str">
        <f t="shared" si="34"/>
        <v/>
      </c>
      <c r="T219" s="96">
        <f t="shared" si="35"/>
        <v>0</v>
      </c>
      <c r="U219" s="51"/>
    </row>
    <row r="220" spans="1:21" x14ac:dyDescent="0.25">
      <c r="A220" s="46">
        <f t="shared" si="31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32"/>
        <v>0</v>
      </c>
      <c r="P220" s="50"/>
      <c r="Q220" s="50"/>
      <c r="R220" s="95" t="str">
        <f t="shared" si="33"/>
        <v/>
      </c>
      <c r="S220" s="95" t="str">
        <f t="shared" si="34"/>
        <v/>
      </c>
      <c r="T220" s="96">
        <f t="shared" si="35"/>
        <v>0</v>
      </c>
      <c r="U220" s="51"/>
    </row>
    <row r="221" spans="1:21" x14ac:dyDescent="0.25">
      <c r="A221" s="46">
        <f t="shared" si="31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32"/>
        <v>0</v>
      </c>
      <c r="P221" s="50"/>
      <c r="Q221" s="50"/>
      <c r="R221" s="95" t="str">
        <f t="shared" si="33"/>
        <v/>
      </c>
      <c r="S221" s="95" t="str">
        <f t="shared" si="34"/>
        <v/>
      </c>
      <c r="T221" s="96">
        <f t="shared" si="35"/>
        <v>0</v>
      </c>
      <c r="U221" s="51"/>
    </row>
    <row r="222" spans="1:21" x14ac:dyDescent="0.25">
      <c r="A222" s="46">
        <f t="shared" si="31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32"/>
        <v>0</v>
      </c>
      <c r="P222" s="50"/>
      <c r="Q222" s="50"/>
      <c r="R222" s="95" t="str">
        <f t="shared" si="33"/>
        <v/>
      </c>
      <c r="S222" s="95" t="str">
        <f t="shared" si="34"/>
        <v/>
      </c>
      <c r="T222" s="96">
        <f t="shared" si="35"/>
        <v>0</v>
      </c>
      <c r="U222" s="51"/>
    </row>
    <row r="223" spans="1:21" x14ac:dyDescent="0.25">
      <c r="A223" s="46">
        <f t="shared" si="31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32"/>
        <v>0</v>
      </c>
      <c r="P223" s="50"/>
      <c r="Q223" s="50"/>
      <c r="R223" s="95" t="str">
        <f t="shared" si="33"/>
        <v/>
      </c>
      <c r="S223" s="95" t="str">
        <f t="shared" si="34"/>
        <v/>
      </c>
      <c r="T223" s="96">
        <f t="shared" si="35"/>
        <v>0</v>
      </c>
      <c r="U223" s="51"/>
    </row>
    <row r="224" spans="1:21" x14ac:dyDescent="0.25">
      <c r="A224" s="46">
        <f t="shared" si="31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32"/>
        <v>0</v>
      </c>
      <c r="P224" s="50"/>
      <c r="Q224" s="50"/>
      <c r="R224" s="95" t="str">
        <f t="shared" si="33"/>
        <v/>
      </c>
      <c r="S224" s="95" t="str">
        <f t="shared" si="34"/>
        <v/>
      </c>
      <c r="T224" s="96">
        <f t="shared" si="35"/>
        <v>0</v>
      </c>
      <c r="U224" s="51"/>
    </row>
    <row r="225" spans="1:21" x14ac:dyDescent="0.25">
      <c r="A225" s="46">
        <f t="shared" si="31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32"/>
        <v>0</v>
      </c>
      <c r="P225" s="50"/>
      <c r="Q225" s="50"/>
      <c r="R225" s="95" t="str">
        <f t="shared" si="33"/>
        <v/>
      </c>
      <c r="S225" s="95" t="str">
        <f t="shared" si="34"/>
        <v/>
      </c>
      <c r="T225" s="96">
        <f t="shared" si="35"/>
        <v>0</v>
      </c>
      <c r="U225" s="51"/>
    </row>
    <row r="226" spans="1:21" x14ac:dyDescent="0.25">
      <c r="A226" s="46">
        <f t="shared" si="31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32"/>
        <v>0</v>
      </c>
      <c r="P226" s="50"/>
      <c r="Q226" s="50"/>
      <c r="R226" s="95" t="str">
        <f t="shared" si="33"/>
        <v/>
      </c>
      <c r="S226" s="95" t="str">
        <f t="shared" si="34"/>
        <v/>
      </c>
      <c r="T226" s="96">
        <f t="shared" si="35"/>
        <v>0</v>
      </c>
      <c r="U226" s="51"/>
    </row>
    <row r="227" spans="1:21" x14ac:dyDescent="0.25">
      <c r="A227" s="46">
        <f t="shared" si="31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32"/>
        <v>0</v>
      </c>
      <c r="P227" s="50"/>
      <c r="Q227" s="50"/>
      <c r="R227" s="95" t="str">
        <f t="shared" si="33"/>
        <v/>
      </c>
      <c r="S227" s="95" t="str">
        <f t="shared" si="34"/>
        <v/>
      </c>
      <c r="T227" s="96">
        <f t="shared" si="35"/>
        <v>0</v>
      </c>
      <c r="U227" s="51"/>
    </row>
    <row r="228" spans="1:21" x14ac:dyDescent="0.25">
      <c r="A228" s="46">
        <f t="shared" si="31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32"/>
        <v>0</v>
      </c>
      <c r="P228" s="50"/>
      <c r="Q228" s="50"/>
      <c r="R228" s="95" t="str">
        <f t="shared" si="33"/>
        <v/>
      </c>
      <c r="S228" s="95" t="str">
        <f t="shared" si="34"/>
        <v/>
      </c>
      <c r="T228" s="96">
        <f t="shared" si="35"/>
        <v>0</v>
      </c>
      <c r="U228" s="51"/>
    </row>
    <row r="229" spans="1:21" x14ac:dyDescent="0.25">
      <c r="A229" s="46">
        <f t="shared" si="31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32"/>
        <v>0</v>
      </c>
      <c r="P229" s="50"/>
      <c r="Q229" s="50"/>
      <c r="R229" s="95" t="str">
        <f t="shared" si="33"/>
        <v/>
      </c>
      <c r="S229" s="95" t="str">
        <f t="shared" si="34"/>
        <v/>
      </c>
      <c r="T229" s="96">
        <f t="shared" si="35"/>
        <v>0</v>
      </c>
      <c r="U229" s="51"/>
    </row>
    <row r="230" spans="1:21" x14ac:dyDescent="0.25">
      <c r="A230" s="46">
        <f t="shared" si="31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32"/>
        <v>0</v>
      </c>
      <c r="P230" s="50"/>
      <c r="Q230" s="50"/>
      <c r="R230" s="95" t="str">
        <f t="shared" si="33"/>
        <v/>
      </c>
      <c r="S230" s="95" t="str">
        <f t="shared" si="34"/>
        <v/>
      </c>
      <c r="T230" s="96">
        <f t="shared" si="35"/>
        <v>0</v>
      </c>
      <c r="U230" s="51"/>
    </row>
    <row r="231" spans="1:21" x14ac:dyDescent="0.25">
      <c r="A231" s="46">
        <f t="shared" si="31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32"/>
        <v>0</v>
      </c>
      <c r="P231" s="50"/>
      <c r="Q231" s="50"/>
      <c r="R231" s="95" t="str">
        <f t="shared" si="33"/>
        <v/>
      </c>
      <c r="S231" s="95" t="str">
        <f t="shared" si="34"/>
        <v/>
      </c>
      <c r="T231" s="96">
        <f t="shared" si="35"/>
        <v>0</v>
      </c>
      <c r="U231" s="51"/>
    </row>
    <row r="232" spans="1:21" x14ac:dyDescent="0.25">
      <c r="A232" s="46">
        <f t="shared" si="31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32"/>
        <v>0</v>
      </c>
      <c r="P232" s="50"/>
      <c r="Q232" s="50"/>
      <c r="R232" s="95" t="str">
        <f t="shared" si="33"/>
        <v/>
      </c>
      <c r="S232" s="95" t="str">
        <f t="shared" si="34"/>
        <v/>
      </c>
      <c r="T232" s="96">
        <f t="shared" si="35"/>
        <v>0</v>
      </c>
      <c r="U232" s="51"/>
    </row>
    <row r="233" spans="1:21" x14ac:dyDescent="0.25">
      <c r="A233" s="46">
        <f t="shared" si="31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32"/>
        <v>0</v>
      </c>
      <c r="P233" s="50"/>
      <c r="Q233" s="50"/>
      <c r="R233" s="95" t="str">
        <f t="shared" si="33"/>
        <v/>
      </c>
      <c r="S233" s="95" t="str">
        <f t="shared" si="34"/>
        <v/>
      </c>
      <c r="T233" s="96">
        <f t="shared" si="35"/>
        <v>0</v>
      </c>
      <c r="U233" s="51"/>
    </row>
    <row r="234" spans="1:21" x14ac:dyDescent="0.25">
      <c r="A234" s="46">
        <f t="shared" si="31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32"/>
        <v>0</v>
      </c>
      <c r="P234" s="50"/>
      <c r="Q234" s="50"/>
      <c r="R234" s="95" t="str">
        <f t="shared" si="33"/>
        <v/>
      </c>
      <c r="S234" s="95" t="str">
        <f t="shared" si="34"/>
        <v/>
      </c>
      <c r="T234" s="96">
        <f t="shared" si="35"/>
        <v>0</v>
      </c>
      <c r="U234" s="51"/>
    </row>
    <row r="235" spans="1:21" x14ac:dyDescent="0.25">
      <c r="A235" s="46">
        <f t="shared" si="31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32"/>
        <v>0</v>
      </c>
      <c r="P235" s="50"/>
      <c r="Q235" s="50"/>
      <c r="R235" s="95" t="str">
        <f t="shared" si="33"/>
        <v/>
      </c>
      <c r="S235" s="95" t="str">
        <f t="shared" si="34"/>
        <v/>
      </c>
      <c r="T235" s="96">
        <f t="shared" si="35"/>
        <v>0</v>
      </c>
      <c r="U235" s="51"/>
    </row>
    <row r="236" spans="1:21" x14ac:dyDescent="0.25">
      <c r="A236" s="46">
        <f t="shared" si="31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32"/>
        <v>0</v>
      </c>
      <c r="P236" s="50"/>
      <c r="Q236" s="50"/>
      <c r="R236" s="95" t="str">
        <f t="shared" si="33"/>
        <v/>
      </c>
      <c r="S236" s="95" t="str">
        <f t="shared" si="34"/>
        <v/>
      </c>
      <c r="T236" s="96">
        <f t="shared" si="35"/>
        <v>0</v>
      </c>
      <c r="U236" s="51"/>
    </row>
    <row r="237" spans="1:21" x14ac:dyDescent="0.25">
      <c r="A237" s="46">
        <f t="shared" si="31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32"/>
        <v>0</v>
      </c>
      <c r="P237" s="50"/>
      <c r="Q237" s="50"/>
      <c r="R237" s="95" t="str">
        <f t="shared" si="33"/>
        <v/>
      </c>
      <c r="S237" s="95" t="str">
        <f t="shared" si="34"/>
        <v/>
      </c>
      <c r="T237" s="96">
        <f t="shared" si="35"/>
        <v>0</v>
      </c>
      <c r="U237" s="51"/>
    </row>
    <row r="238" spans="1:21" x14ac:dyDescent="0.25">
      <c r="A238" s="46">
        <f t="shared" si="31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32"/>
        <v>0</v>
      </c>
      <c r="P238" s="50"/>
      <c r="Q238" s="50"/>
      <c r="R238" s="95" t="str">
        <f t="shared" si="33"/>
        <v/>
      </c>
      <c r="S238" s="95" t="str">
        <f t="shared" si="34"/>
        <v/>
      </c>
      <c r="T238" s="96">
        <f t="shared" si="35"/>
        <v>0</v>
      </c>
      <c r="U238" s="51"/>
    </row>
    <row r="239" spans="1:21" x14ac:dyDescent="0.25">
      <c r="A239" s="46">
        <f t="shared" si="31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32"/>
        <v>0</v>
      </c>
      <c r="P239" s="50"/>
      <c r="Q239" s="50"/>
      <c r="R239" s="95" t="str">
        <f t="shared" si="33"/>
        <v/>
      </c>
      <c r="S239" s="95" t="str">
        <f t="shared" si="34"/>
        <v/>
      </c>
      <c r="T239" s="96">
        <f t="shared" si="35"/>
        <v>0</v>
      </c>
      <c r="U239" s="51"/>
    </row>
    <row r="240" spans="1:21" x14ac:dyDescent="0.25">
      <c r="A240" s="46">
        <f t="shared" si="31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32"/>
        <v>0</v>
      </c>
      <c r="P240" s="50"/>
      <c r="Q240" s="50"/>
      <c r="R240" s="95" t="str">
        <f t="shared" si="33"/>
        <v/>
      </c>
      <c r="S240" s="95" t="str">
        <f t="shared" si="34"/>
        <v/>
      </c>
      <c r="T240" s="96">
        <f t="shared" si="35"/>
        <v>0</v>
      </c>
      <c r="U240" s="51"/>
    </row>
    <row r="241" spans="1:21" x14ac:dyDescent="0.25">
      <c r="A241" s="46">
        <f t="shared" si="31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32"/>
        <v>0</v>
      </c>
      <c r="P241" s="50"/>
      <c r="Q241" s="50"/>
      <c r="R241" s="95" t="str">
        <f t="shared" si="33"/>
        <v/>
      </c>
      <c r="S241" s="95" t="str">
        <f t="shared" si="34"/>
        <v/>
      </c>
      <c r="T241" s="96">
        <f t="shared" si="35"/>
        <v>0</v>
      </c>
      <c r="U241" s="51"/>
    </row>
    <row r="242" spans="1:21" x14ac:dyDescent="0.25">
      <c r="A242" s="46">
        <f t="shared" si="31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32"/>
        <v>0</v>
      </c>
      <c r="P242" s="50"/>
      <c r="Q242" s="50"/>
      <c r="R242" s="95" t="str">
        <f t="shared" si="33"/>
        <v/>
      </c>
      <c r="S242" s="95" t="str">
        <f t="shared" si="34"/>
        <v/>
      </c>
      <c r="T242" s="96">
        <f t="shared" si="35"/>
        <v>0</v>
      </c>
      <c r="U242" s="51"/>
    </row>
    <row r="243" spans="1:21" x14ac:dyDescent="0.25">
      <c r="A243" s="46">
        <f t="shared" si="31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32"/>
        <v>0</v>
      </c>
      <c r="P243" s="50"/>
      <c r="Q243" s="50"/>
      <c r="R243" s="95" t="str">
        <f t="shared" si="33"/>
        <v/>
      </c>
      <c r="S243" s="95" t="str">
        <f t="shared" si="34"/>
        <v/>
      </c>
      <c r="T243" s="96">
        <f t="shared" si="35"/>
        <v>0</v>
      </c>
      <c r="U243" s="51"/>
    </row>
    <row r="244" spans="1:21" x14ac:dyDescent="0.25">
      <c r="A244" s="46">
        <f t="shared" si="31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32"/>
        <v>0</v>
      </c>
      <c r="P244" s="50"/>
      <c r="Q244" s="50"/>
      <c r="R244" s="95" t="str">
        <f t="shared" si="33"/>
        <v/>
      </c>
      <c r="S244" s="95" t="str">
        <f t="shared" si="34"/>
        <v/>
      </c>
      <c r="T244" s="96">
        <f t="shared" si="35"/>
        <v>0</v>
      </c>
      <c r="U244" s="51"/>
    </row>
    <row r="245" spans="1:21" x14ac:dyDescent="0.25">
      <c r="A245" s="46">
        <f t="shared" si="31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32"/>
        <v>0</v>
      </c>
      <c r="P245" s="50"/>
      <c r="Q245" s="50"/>
      <c r="R245" s="95" t="str">
        <f t="shared" si="33"/>
        <v/>
      </c>
      <c r="S245" s="95" t="str">
        <f t="shared" si="34"/>
        <v/>
      </c>
      <c r="T245" s="96">
        <f t="shared" si="35"/>
        <v>0</v>
      </c>
      <c r="U245" s="51"/>
    </row>
    <row r="246" spans="1:21" x14ac:dyDescent="0.25">
      <c r="A246" s="46">
        <f t="shared" si="31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32"/>
        <v>0</v>
      </c>
      <c r="P246" s="50"/>
      <c r="Q246" s="50"/>
      <c r="R246" s="95" t="str">
        <f t="shared" si="33"/>
        <v/>
      </c>
      <c r="S246" s="95" t="str">
        <f t="shared" si="34"/>
        <v/>
      </c>
      <c r="T246" s="96">
        <f t="shared" si="35"/>
        <v>0</v>
      </c>
      <c r="U246" s="51"/>
    </row>
    <row r="247" spans="1:21" x14ac:dyDescent="0.25">
      <c r="A247" s="46">
        <f t="shared" si="31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32"/>
        <v>0</v>
      </c>
      <c r="P247" s="50"/>
      <c r="Q247" s="50"/>
      <c r="R247" s="95" t="str">
        <f t="shared" si="33"/>
        <v/>
      </c>
      <c r="S247" s="95" t="str">
        <f t="shared" si="34"/>
        <v/>
      </c>
      <c r="T247" s="96">
        <f t="shared" si="35"/>
        <v>0</v>
      </c>
      <c r="U247" s="51"/>
    </row>
    <row r="248" spans="1:21" x14ac:dyDescent="0.25">
      <c r="A248" s="46">
        <f t="shared" si="31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32"/>
        <v>0</v>
      </c>
      <c r="P248" s="50"/>
      <c r="Q248" s="50"/>
      <c r="R248" s="95" t="str">
        <f t="shared" si="33"/>
        <v/>
      </c>
      <c r="S248" s="95" t="str">
        <f t="shared" si="34"/>
        <v/>
      </c>
      <c r="T248" s="96">
        <f t="shared" si="35"/>
        <v>0</v>
      </c>
      <c r="U248" s="51"/>
    </row>
    <row r="249" spans="1:21" x14ac:dyDescent="0.25">
      <c r="A249" s="46">
        <f t="shared" si="31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32"/>
        <v>0</v>
      </c>
      <c r="P249" s="50"/>
      <c r="Q249" s="50"/>
      <c r="R249" s="95" t="str">
        <f t="shared" si="33"/>
        <v/>
      </c>
      <c r="S249" s="95" t="str">
        <f t="shared" si="34"/>
        <v/>
      </c>
      <c r="T249" s="96">
        <f t="shared" si="35"/>
        <v>0</v>
      </c>
      <c r="U249" s="51"/>
    </row>
    <row r="250" spans="1:21" x14ac:dyDescent="0.25">
      <c r="A250" s="46">
        <f t="shared" si="31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32"/>
        <v>0</v>
      </c>
      <c r="P250" s="50"/>
      <c r="Q250" s="50"/>
      <c r="R250" s="95" t="str">
        <f t="shared" si="33"/>
        <v/>
      </c>
      <c r="S250" s="95" t="str">
        <f t="shared" si="34"/>
        <v/>
      </c>
      <c r="T250" s="96">
        <f t="shared" si="35"/>
        <v>0</v>
      </c>
      <c r="U250" s="51"/>
    </row>
    <row r="251" spans="1:21" x14ac:dyDescent="0.25">
      <c r="A251" s="46">
        <f t="shared" si="31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32"/>
        <v>0</v>
      </c>
      <c r="P251" s="50"/>
      <c r="Q251" s="50"/>
      <c r="R251" s="95" t="str">
        <f t="shared" si="33"/>
        <v/>
      </c>
      <c r="S251" s="95" t="str">
        <f t="shared" si="34"/>
        <v/>
      </c>
      <c r="T251" s="96">
        <f t="shared" si="35"/>
        <v>0</v>
      </c>
      <c r="U251" s="51"/>
    </row>
    <row r="252" spans="1:21" x14ac:dyDescent="0.25">
      <c r="A252" s="46">
        <f t="shared" si="31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32"/>
        <v>0</v>
      </c>
      <c r="P252" s="50"/>
      <c r="Q252" s="50"/>
      <c r="R252" s="95" t="str">
        <f t="shared" si="33"/>
        <v/>
      </c>
      <c r="S252" s="95" t="str">
        <f t="shared" si="34"/>
        <v/>
      </c>
      <c r="T252" s="96">
        <f t="shared" si="35"/>
        <v>0</v>
      </c>
      <c r="U252" s="51"/>
    </row>
    <row r="253" spans="1:21" x14ac:dyDescent="0.25">
      <c r="A253" s="46">
        <f t="shared" si="31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32"/>
        <v>0</v>
      </c>
      <c r="P253" s="50"/>
      <c r="Q253" s="50"/>
      <c r="R253" s="95" t="str">
        <f t="shared" si="33"/>
        <v/>
      </c>
      <c r="S253" s="95" t="str">
        <f t="shared" si="34"/>
        <v/>
      </c>
      <c r="T253" s="96">
        <f t="shared" si="35"/>
        <v>0</v>
      </c>
      <c r="U253" s="51"/>
    </row>
    <row r="254" spans="1:21" x14ac:dyDescent="0.25">
      <c r="A254" s="46">
        <f t="shared" si="31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32"/>
        <v>0</v>
      </c>
      <c r="P254" s="50"/>
      <c r="Q254" s="50"/>
      <c r="R254" s="95" t="str">
        <f t="shared" si="33"/>
        <v/>
      </c>
      <c r="S254" s="95" t="str">
        <f t="shared" si="34"/>
        <v/>
      </c>
      <c r="T254" s="96">
        <f t="shared" si="35"/>
        <v>0</v>
      </c>
      <c r="U254" s="51"/>
    </row>
    <row r="255" spans="1:21" x14ac:dyDescent="0.25">
      <c r="A255" s="46">
        <f t="shared" si="31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32"/>
        <v>0</v>
      </c>
      <c r="P255" s="50"/>
      <c r="Q255" s="50"/>
      <c r="R255" s="95" t="str">
        <f t="shared" si="33"/>
        <v/>
      </c>
      <c r="S255" s="95" t="str">
        <f t="shared" si="34"/>
        <v/>
      </c>
      <c r="T255" s="96">
        <f t="shared" si="35"/>
        <v>0</v>
      </c>
      <c r="U255" s="51"/>
    </row>
    <row r="256" spans="1:21" x14ac:dyDescent="0.25">
      <c r="A256" s="46">
        <f t="shared" si="31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32"/>
        <v>0</v>
      </c>
      <c r="P256" s="50"/>
      <c r="Q256" s="50"/>
      <c r="R256" s="95" t="str">
        <f t="shared" si="33"/>
        <v/>
      </c>
      <c r="S256" s="95" t="str">
        <f t="shared" si="34"/>
        <v/>
      </c>
      <c r="T256" s="96">
        <f t="shared" si="35"/>
        <v>0</v>
      </c>
      <c r="U256" s="51"/>
    </row>
    <row r="257" spans="1:21" x14ac:dyDescent="0.25">
      <c r="A257" s="46">
        <f t="shared" si="31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32"/>
        <v>0</v>
      </c>
      <c r="P257" s="50"/>
      <c r="Q257" s="50"/>
      <c r="R257" s="95" t="str">
        <f t="shared" si="33"/>
        <v/>
      </c>
      <c r="S257" s="95" t="str">
        <f t="shared" si="34"/>
        <v/>
      </c>
      <c r="T257" s="96">
        <f t="shared" si="35"/>
        <v>0</v>
      </c>
      <c r="U257" s="51"/>
    </row>
    <row r="258" spans="1:21" x14ac:dyDescent="0.25">
      <c r="A258" s="46">
        <f t="shared" si="31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32"/>
        <v>0</v>
      </c>
      <c r="P258" s="50"/>
      <c r="Q258" s="50"/>
      <c r="R258" s="95" t="str">
        <f t="shared" si="33"/>
        <v/>
      </c>
      <c r="S258" s="95" t="str">
        <f t="shared" si="34"/>
        <v/>
      </c>
      <c r="T258" s="96">
        <f t="shared" si="35"/>
        <v>0</v>
      </c>
      <c r="U258" s="51"/>
    </row>
    <row r="259" spans="1:21" x14ac:dyDescent="0.25">
      <c r="A259" s="46">
        <f t="shared" si="31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32"/>
        <v>0</v>
      </c>
      <c r="P259" s="50"/>
      <c r="Q259" s="50"/>
      <c r="R259" s="95" t="str">
        <f t="shared" si="33"/>
        <v/>
      </c>
      <c r="S259" s="95" t="str">
        <f t="shared" si="34"/>
        <v/>
      </c>
      <c r="T259" s="96">
        <f t="shared" si="35"/>
        <v>0</v>
      </c>
      <c r="U259" s="51"/>
    </row>
    <row r="260" spans="1:21" x14ac:dyDescent="0.25">
      <c r="A260" s="46">
        <f t="shared" si="31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32"/>
        <v>0</v>
      </c>
      <c r="P260" s="50"/>
      <c r="Q260" s="50"/>
      <c r="R260" s="95" t="str">
        <f t="shared" si="33"/>
        <v/>
      </c>
      <c r="S260" s="95" t="str">
        <f t="shared" si="34"/>
        <v/>
      </c>
      <c r="T260" s="96">
        <f t="shared" si="35"/>
        <v>0</v>
      </c>
      <c r="U260" s="51"/>
    </row>
    <row r="261" spans="1:21" x14ac:dyDescent="0.25">
      <c r="A261" s="46">
        <f t="shared" si="31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32"/>
        <v>0</v>
      </c>
      <c r="P261" s="50"/>
      <c r="Q261" s="50"/>
      <c r="R261" s="95" t="str">
        <f t="shared" si="33"/>
        <v/>
      </c>
      <c r="S261" s="95" t="str">
        <f t="shared" si="34"/>
        <v/>
      </c>
      <c r="T261" s="96">
        <f t="shared" si="35"/>
        <v>0</v>
      </c>
      <c r="U261" s="51"/>
    </row>
    <row r="262" spans="1:21" x14ac:dyDescent="0.25">
      <c r="A262" s="46">
        <f t="shared" si="31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32"/>
        <v>0</v>
      </c>
      <c r="P262" s="50"/>
      <c r="Q262" s="50"/>
      <c r="R262" s="95" t="str">
        <f t="shared" si="33"/>
        <v/>
      </c>
      <c r="S262" s="95" t="str">
        <f t="shared" si="34"/>
        <v/>
      </c>
      <c r="T262" s="96">
        <f t="shared" si="35"/>
        <v>0</v>
      </c>
      <c r="U262" s="51"/>
    </row>
    <row r="263" spans="1:21" x14ac:dyDescent="0.25">
      <c r="A263" s="46">
        <f t="shared" si="31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32"/>
        <v>0</v>
      </c>
      <c r="P263" s="50"/>
      <c r="Q263" s="50"/>
      <c r="R263" s="95" t="str">
        <f t="shared" si="33"/>
        <v/>
      </c>
      <c r="S263" s="95" t="str">
        <f t="shared" si="34"/>
        <v/>
      </c>
      <c r="T263" s="96">
        <f t="shared" si="35"/>
        <v>0</v>
      </c>
      <c r="U263" s="51"/>
    </row>
    <row r="264" spans="1:21" x14ac:dyDescent="0.25">
      <c r="A264" s="46">
        <f t="shared" si="31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32"/>
        <v>0</v>
      </c>
      <c r="P264" s="50"/>
      <c r="Q264" s="50"/>
      <c r="R264" s="95" t="str">
        <f t="shared" si="33"/>
        <v/>
      </c>
      <c r="S264" s="95" t="str">
        <f t="shared" si="34"/>
        <v/>
      </c>
      <c r="T264" s="96">
        <f t="shared" si="35"/>
        <v>0</v>
      </c>
      <c r="U264" s="51"/>
    </row>
    <row r="265" spans="1:21" x14ac:dyDescent="0.25">
      <c r="A265" s="46">
        <f t="shared" si="31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32"/>
        <v>0</v>
      </c>
      <c r="P265" s="50"/>
      <c r="Q265" s="50"/>
      <c r="R265" s="95" t="str">
        <f t="shared" si="33"/>
        <v/>
      </c>
      <c r="S265" s="95" t="str">
        <f t="shared" si="34"/>
        <v/>
      </c>
      <c r="T265" s="96">
        <f t="shared" si="35"/>
        <v>0</v>
      </c>
      <c r="U265" s="51"/>
    </row>
    <row r="266" spans="1:21" x14ac:dyDescent="0.25">
      <c r="A266" s="46">
        <f t="shared" si="31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32"/>
        <v>0</v>
      </c>
      <c r="P266" s="50"/>
      <c r="Q266" s="50"/>
      <c r="R266" s="95" t="str">
        <f t="shared" si="33"/>
        <v/>
      </c>
      <c r="S266" s="95" t="str">
        <f t="shared" si="34"/>
        <v/>
      </c>
      <c r="T266" s="96">
        <f t="shared" si="35"/>
        <v>0</v>
      </c>
      <c r="U266" s="51"/>
    </row>
    <row r="267" spans="1:21" x14ac:dyDescent="0.25">
      <c r="A267" s="46">
        <f t="shared" si="31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32"/>
        <v>0</v>
      </c>
      <c r="P267" s="50"/>
      <c r="Q267" s="50"/>
      <c r="R267" s="95" t="str">
        <f t="shared" si="33"/>
        <v/>
      </c>
      <c r="S267" s="95" t="str">
        <f t="shared" si="34"/>
        <v/>
      </c>
      <c r="T267" s="96">
        <f t="shared" si="35"/>
        <v>0</v>
      </c>
      <c r="U267" s="51"/>
    </row>
    <row r="268" spans="1:21" x14ac:dyDescent="0.25">
      <c r="A268" s="46">
        <f t="shared" ref="A268:A331" si="36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7">T268*N268</f>
        <v>0</v>
      </c>
      <c r="P268" s="50"/>
      <c r="Q268" s="50"/>
      <c r="R268" s="95" t="str">
        <f t="shared" ref="R268:R331" si="38">IF(OR(P268="c",P268="C"),+T268,"")</f>
        <v/>
      </c>
      <c r="S268" s="95" t="str">
        <f t="shared" ref="S268:S331" si="39">IF(OR(P268="$",N268=1),+T268,"")</f>
        <v/>
      </c>
      <c r="T268" s="96">
        <f t="shared" ref="T268:T331" si="40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6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7"/>
        <v>0</v>
      </c>
      <c r="P269" s="50"/>
      <c r="Q269" s="50"/>
      <c r="R269" s="95" t="str">
        <f t="shared" si="38"/>
        <v/>
      </c>
      <c r="S269" s="95" t="str">
        <f t="shared" si="39"/>
        <v/>
      </c>
      <c r="T269" s="96">
        <f t="shared" si="40"/>
        <v>0</v>
      </c>
      <c r="U269" s="51"/>
    </row>
    <row r="270" spans="1:21" x14ac:dyDescent="0.25">
      <c r="A270" s="46">
        <f t="shared" si="36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7"/>
        <v>0</v>
      </c>
      <c r="P270" s="50"/>
      <c r="Q270" s="50"/>
      <c r="R270" s="95" t="str">
        <f t="shared" si="38"/>
        <v/>
      </c>
      <c r="S270" s="95" t="str">
        <f t="shared" si="39"/>
        <v/>
      </c>
      <c r="T270" s="96">
        <f t="shared" si="40"/>
        <v>0</v>
      </c>
      <c r="U270" s="51"/>
    </row>
    <row r="271" spans="1:21" x14ac:dyDescent="0.25">
      <c r="A271" s="46">
        <f t="shared" si="36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7"/>
        <v>0</v>
      </c>
      <c r="P271" s="50"/>
      <c r="Q271" s="50"/>
      <c r="R271" s="95" t="str">
        <f t="shared" si="38"/>
        <v/>
      </c>
      <c r="S271" s="95" t="str">
        <f t="shared" si="39"/>
        <v/>
      </c>
      <c r="T271" s="96">
        <f t="shared" si="40"/>
        <v>0</v>
      </c>
      <c r="U271" s="51"/>
    </row>
    <row r="272" spans="1:21" x14ac:dyDescent="0.25">
      <c r="A272" s="46">
        <f t="shared" si="36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7"/>
        <v>0</v>
      </c>
      <c r="P272" s="50"/>
      <c r="Q272" s="50"/>
      <c r="R272" s="95" t="str">
        <f t="shared" si="38"/>
        <v/>
      </c>
      <c r="S272" s="95" t="str">
        <f t="shared" si="39"/>
        <v/>
      </c>
      <c r="T272" s="96">
        <f t="shared" si="40"/>
        <v>0</v>
      </c>
      <c r="U272" s="51"/>
    </row>
    <row r="273" spans="1:21" x14ac:dyDescent="0.25">
      <c r="A273" s="46">
        <f t="shared" si="36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7"/>
        <v>0</v>
      </c>
      <c r="P273" s="50"/>
      <c r="Q273" s="50"/>
      <c r="R273" s="95" t="str">
        <f t="shared" si="38"/>
        <v/>
      </c>
      <c r="S273" s="95" t="str">
        <f t="shared" si="39"/>
        <v/>
      </c>
      <c r="T273" s="96">
        <f t="shared" si="40"/>
        <v>0</v>
      </c>
      <c r="U273" s="51"/>
    </row>
    <row r="274" spans="1:21" x14ac:dyDescent="0.25">
      <c r="A274" s="46">
        <f t="shared" si="36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7"/>
        <v>0</v>
      </c>
      <c r="P274" s="50"/>
      <c r="Q274" s="50"/>
      <c r="R274" s="95" t="str">
        <f t="shared" si="38"/>
        <v/>
      </c>
      <c r="S274" s="95" t="str">
        <f t="shared" si="39"/>
        <v/>
      </c>
      <c r="T274" s="96">
        <f t="shared" si="40"/>
        <v>0</v>
      </c>
      <c r="U274" s="51"/>
    </row>
    <row r="275" spans="1:21" x14ac:dyDescent="0.25">
      <c r="A275" s="46">
        <f t="shared" si="36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7"/>
        <v>0</v>
      </c>
      <c r="P275" s="50"/>
      <c r="Q275" s="50"/>
      <c r="R275" s="95" t="str">
        <f t="shared" si="38"/>
        <v/>
      </c>
      <c r="S275" s="95" t="str">
        <f t="shared" si="39"/>
        <v/>
      </c>
      <c r="T275" s="96">
        <f t="shared" si="40"/>
        <v>0</v>
      </c>
      <c r="U275" s="51"/>
    </row>
    <row r="276" spans="1:21" x14ac:dyDescent="0.25">
      <c r="A276" s="46">
        <f t="shared" si="36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7"/>
        <v>0</v>
      </c>
      <c r="P276" s="50"/>
      <c r="Q276" s="50"/>
      <c r="R276" s="95" t="str">
        <f t="shared" si="38"/>
        <v/>
      </c>
      <c r="S276" s="95" t="str">
        <f t="shared" si="39"/>
        <v/>
      </c>
      <c r="T276" s="96">
        <f t="shared" si="40"/>
        <v>0</v>
      </c>
      <c r="U276" s="51"/>
    </row>
    <row r="277" spans="1:21" x14ac:dyDescent="0.25">
      <c r="A277" s="46">
        <f t="shared" si="36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7"/>
        <v>0</v>
      </c>
      <c r="P277" s="50"/>
      <c r="Q277" s="50"/>
      <c r="R277" s="95" t="str">
        <f t="shared" si="38"/>
        <v/>
      </c>
      <c r="S277" s="95" t="str">
        <f t="shared" si="39"/>
        <v/>
      </c>
      <c r="T277" s="96">
        <f t="shared" si="40"/>
        <v>0</v>
      </c>
      <c r="U277" s="51"/>
    </row>
    <row r="278" spans="1:21" x14ac:dyDescent="0.25">
      <c r="A278" s="46">
        <f t="shared" si="36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7"/>
        <v>0</v>
      </c>
      <c r="P278" s="50"/>
      <c r="Q278" s="50"/>
      <c r="R278" s="95" t="str">
        <f t="shared" si="38"/>
        <v/>
      </c>
      <c r="S278" s="95" t="str">
        <f t="shared" si="39"/>
        <v/>
      </c>
      <c r="T278" s="96">
        <f t="shared" si="40"/>
        <v>0</v>
      </c>
      <c r="U278" s="51"/>
    </row>
    <row r="279" spans="1:21" x14ac:dyDescent="0.25">
      <c r="A279" s="46">
        <f t="shared" si="36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7"/>
        <v>0</v>
      </c>
      <c r="P279" s="50"/>
      <c r="Q279" s="50"/>
      <c r="R279" s="95" t="str">
        <f t="shared" si="38"/>
        <v/>
      </c>
      <c r="S279" s="95" t="str">
        <f t="shared" si="39"/>
        <v/>
      </c>
      <c r="T279" s="96">
        <f t="shared" si="40"/>
        <v>0</v>
      </c>
      <c r="U279" s="51"/>
    </row>
    <row r="280" spans="1:21" x14ac:dyDescent="0.25">
      <c r="A280" s="46">
        <f t="shared" si="36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7"/>
        <v>0</v>
      </c>
      <c r="P280" s="50"/>
      <c r="Q280" s="50"/>
      <c r="R280" s="95" t="str">
        <f t="shared" si="38"/>
        <v/>
      </c>
      <c r="S280" s="95" t="str">
        <f t="shared" si="39"/>
        <v/>
      </c>
      <c r="T280" s="96">
        <f t="shared" si="40"/>
        <v>0</v>
      </c>
      <c r="U280" s="51"/>
    </row>
    <row r="281" spans="1:21" x14ac:dyDescent="0.25">
      <c r="A281" s="46">
        <f t="shared" si="36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7"/>
        <v>0</v>
      </c>
      <c r="P281" s="50"/>
      <c r="Q281" s="50"/>
      <c r="R281" s="95" t="str">
        <f t="shared" si="38"/>
        <v/>
      </c>
      <c r="S281" s="95" t="str">
        <f t="shared" si="39"/>
        <v/>
      </c>
      <c r="T281" s="96">
        <f t="shared" si="40"/>
        <v>0</v>
      </c>
      <c r="U281" s="51"/>
    </row>
    <row r="282" spans="1:21" x14ac:dyDescent="0.25">
      <c r="A282" s="46">
        <f t="shared" si="36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7"/>
        <v>0</v>
      </c>
      <c r="P282" s="50"/>
      <c r="Q282" s="50"/>
      <c r="R282" s="95" t="str">
        <f t="shared" si="38"/>
        <v/>
      </c>
      <c r="S282" s="95" t="str">
        <f t="shared" si="39"/>
        <v/>
      </c>
      <c r="T282" s="96">
        <f t="shared" si="40"/>
        <v>0</v>
      </c>
      <c r="U282" s="51"/>
    </row>
    <row r="283" spans="1:21" x14ac:dyDescent="0.25">
      <c r="A283" s="46">
        <f t="shared" si="36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7"/>
        <v>0</v>
      </c>
      <c r="P283" s="50"/>
      <c r="Q283" s="50"/>
      <c r="R283" s="95" t="str">
        <f t="shared" si="38"/>
        <v/>
      </c>
      <c r="S283" s="95" t="str">
        <f t="shared" si="39"/>
        <v/>
      </c>
      <c r="T283" s="96">
        <f t="shared" si="40"/>
        <v>0</v>
      </c>
      <c r="U283" s="51"/>
    </row>
    <row r="284" spans="1:21" x14ac:dyDescent="0.25">
      <c r="A284" s="46">
        <f t="shared" si="36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7"/>
        <v>0</v>
      </c>
      <c r="P284" s="50"/>
      <c r="Q284" s="50"/>
      <c r="R284" s="95" t="str">
        <f t="shared" si="38"/>
        <v/>
      </c>
      <c r="S284" s="95" t="str">
        <f t="shared" si="39"/>
        <v/>
      </c>
      <c r="T284" s="96">
        <f t="shared" si="40"/>
        <v>0</v>
      </c>
      <c r="U284" s="51"/>
    </row>
    <row r="285" spans="1:21" x14ac:dyDescent="0.25">
      <c r="A285" s="46">
        <f t="shared" si="36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7"/>
        <v>0</v>
      </c>
      <c r="P285" s="50"/>
      <c r="Q285" s="50"/>
      <c r="R285" s="95" t="str">
        <f t="shared" si="38"/>
        <v/>
      </c>
      <c r="S285" s="95" t="str">
        <f t="shared" si="39"/>
        <v/>
      </c>
      <c r="T285" s="96">
        <f t="shared" si="40"/>
        <v>0</v>
      </c>
      <c r="U285" s="51"/>
    </row>
    <row r="286" spans="1:21" x14ac:dyDescent="0.25">
      <c r="A286" s="46">
        <f t="shared" si="36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7"/>
        <v>0</v>
      </c>
      <c r="P286" s="50"/>
      <c r="Q286" s="50"/>
      <c r="R286" s="95" t="str">
        <f t="shared" si="38"/>
        <v/>
      </c>
      <c r="S286" s="95" t="str">
        <f t="shared" si="39"/>
        <v/>
      </c>
      <c r="T286" s="96">
        <f t="shared" si="40"/>
        <v>0</v>
      </c>
      <c r="U286" s="51"/>
    </row>
    <row r="287" spans="1:21" x14ac:dyDescent="0.25">
      <c r="A287" s="46">
        <f t="shared" si="36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7"/>
        <v>0</v>
      </c>
      <c r="P287" s="50"/>
      <c r="Q287" s="50"/>
      <c r="R287" s="95" t="str">
        <f t="shared" si="38"/>
        <v/>
      </c>
      <c r="S287" s="95" t="str">
        <f t="shared" si="39"/>
        <v/>
      </c>
      <c r="T287" s="96">
        <f t="shared" si="40"/>
        <v>0</v>
      </c>
      <c r="U287" s="51"/>
    </row>
    <row r="288" spans="1:21" x14ac:dyDescent="0.25">
      <c r="A288" s="46">
        <f t="shared" si="36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7"/>
        <v>0</v>
      </c>
      <c r="P288" s="50"/>
      <c r="Q288" s="50"/>
      <c r="R288" s="95" t="str">
        <f t="shared" si="38"/>
        <v/>
      </c>
      <c r="S288" s="95" t="str">
        <f t="shared" si="39"/>
        <v/>
      </c>
      <c r="T288" s="96">
        <f t="shared" si="40"/>
        <v>0</v>
      </c>
      <c r="U288" s="51"/>
    </row>
    <row r="289" spans="1:21" x14ac:dyDescent="0.25">
      <c r="A289" s="46">
        <f t="shared" si="36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7"/>
        <v>0</v>
      </c>
      <c r="P289" s="50"/>
      <c r="Q289" s="50"/>
      <c r="R289" s="95" t="str">
        <f t="shared" si="38"/>
        <v/>
      </c>
      <c r="S289" s="95" t="str">
        <f t="shared" si="39"/>
        <v/>
      </c>
      <c r="T289" s="96">
        <f t="shared" si="40"/>
        <v>0</v>
      </c>
      <c r="U289" s="51"/>
    </row>
    <row r="290" spans="1:21" x14ac:dyDescent="0.25">
      <c r="A290" s="46">
        <f t="shared" si="36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7"/>
        <v>0</v>
      </c>
      <c r="P290" s="50"/>
      <c r="Q290" s="50"/>
      <c r="R290" s="95" t="str">
        <f t="shared" si="38"/>
        <v/>
      </c>
      <c r="S290" s="95" t="str">
        <f t="shared" si="39"/>
        <v/>
      </c>
      <c r="T290" s="96">
        <f t="shared" si="40"/>
        <v>0</v>
      </c>
      <c r="U290" s="51"/>
    </row>
    <row r="291" spans="1:21" x14ac:dyDescent="0.25">
      <c r="A291" s="46">
        <f t="shared" si="36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7"/>
        <v>0</v>
      </c>
      <c r="P291" s="50"/>
      <c r="Q291" s="50"/>
      <c r="R291" s="95" t="str">
        <f t="shared" si="38"/>
        <v/>
      </c>
      <c r="S291" s="95" t="str">
        <f t="shared" si="39"/>
        <v/>
      </c>
      <c r="T291" s="96">
        <f t="shared" si="40"/>
        <v>0</v>
      </c>
      <c r="U291" s="51"/>
    </row>
    <row r="292" spans="1:21" x14ac:dyDescent="0.25">
      <c r="A292" s="46">
        <f t="shared" si="36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7"/>
        <v>0</v>
      </c>
      <c r="P292" s="50"/>
      <c r="Q292" s="50"/>
      <c r="R292" s="95" t="str">
        <f t="shared" si="38"/>
        <v/>
      </c>
      <c r="S292" s="95" t="str">
        <f t="shared" si="39"/>
        <v/>
      </c>
      <c r="T292" s="96">
        <f t="shared" si="40"/>
        <v>0</v>
      </c>
      <c r="U292" s="51"/>
    </row>
    <row r="293" spans="1:21" x14ac:dyDescent="0.25">
      <c r="A293" s="46">
        <f t="shared" si="36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7"/>
        <v>0</v>
      </c>
      <c r="P293" s="50"/>
      <c r="Q293" s="50"/>
      <c r="R293" s="95" t="str">
        <f t="shared" si="38"/>
        <v/>
      </c>
      <c r="S293" s="95" t="str">
        <f t="shared" si="39"/>
        <v/>
      </c>
      <c r="T293" s="96">
        <f t="shared" si="40"/>
        <v>0</v>
      </c>
      <c r="U293" s="51"/>
    </row>
    <row r="294" spans="1:21" x14ac:dyDescent="0.25">
      <c r="A294" s="46">
        <f t="shared" si="36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7"/>
        <v>0</v>
      </c>
      <c r="P294" s="50"/>
      <c r="Q294" s="50"/>
      <c r="R294" s="95" t="str">
        <f t="shared" si="38"/>
        <v/>
      </c>
      <c r="S294" s="95" t="str">
        <f t="shared" si="39"/>
        <v/>
      </c>
      <c r="T294" s="96">
        <f t="shared" si="40"/>
        <v>0</v>
      </c>
      <c r="U294" s="51"/>
    </row>
    <row r="295" spans="1:21" x14ac:dyDescent="0.25">
      <c r="A295" s="46">
        <f t="shared" si="36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7"/>
        <v>0</v>
      </c>
      <c r="P295" s="50"/>
      <c r="Q295" s="50"/>
      <c r="R295" s="95" t="str">
        <f t="shared" si="38"/>
        <v/>
      </c>
      <c r="S295" s="95" t="str">
        <f t="shared" si="39"/>
        <v/>
      </c>
      <c r="T295" s="96">
        <f t="shared" si="40"/>
        <v>0</v>
      </c>
      <c r="U295" s="51"/>
    </row>
    <row r="296" spans="1:21" x14ac:dyDescent="0.25">
      <c r="A296" s="46">
        <f t="shared" si="36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7"/>
        <v>0</v>
      </c>
      <c r="P296" s="50"/>
      <c r="Q296" s="50"/>
      <c r="R296" s="95" t="str">
        <f t="shared" si="38"/>
        <v/>
      </c>
      <c r="S296" s="95" t="str">
        <f t="shared" si="39"/>
        <v/>
      </c>
      <c r="T296" s="96">
        <f t="shared" si="40"/>
        <v>0</v>
      </c>
      <c r="U296" s="51"/>
    </row>
    <row r="297" spans="1:21" x14ac:dyDescent="0.25">
      <c r="A297" s="46">
        <f t="shared" si="36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7"/>
        <v>0</v>
      </c>
      <c r="P297" s="50"/>
      <c r="Q297" s="50"/>
      <c r="R297" s="95" t="str">
        <f t="shared" si="38"/>
        <v/>
      </c>
      <c r="S297" s="95" t="str">
        <f t="shared" si="39"/>
        <v/>
      </c>
      <c r="T297" s="96">
        <f t="shared" si="40"/>
        <v>0</v>
      </c>
      <c r="U297" s="51"/>
    </row>
    <row r="298" spans="1:21" x14ac:dyDescent="0.25">
      <c r="A298" s="46">
        <f t="shared" si="36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7"/>
        <v>0</v>
      </c>
      <c r="P298" s="50"/>
      <c r="Q298" s="50"/>
      <c r="R298" s="95" t="str">
        <f t="shared" si="38"/>
        <v/>
      </c>
      <c r="S298" s="95" t="str">
        <f t="shared" si="39"/>
        <v/>
      </c>
      <c r="T298" s="96">
        <f t="shared" si="40"/>
        <v>0</v>
      </c>
      <c r="U298" s="51"/>
    </row>
    <row r="299" spans="1:21" x14ac:dyDescent="0.25">
      <c r="A299" s="46">
        <f t="shared" si="36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7"/>
        <v>0</v>
      </c>
      <c r="P299" s="50"/>
      <c r="Q299" s="50"/>
      <c r="R299" s="95" t="str">
        <f t="shared" si="38"/>
        <v/>
      </c>
      <c r="S299" s="95" t="str">
        <f t="shared" si="39"/>
        <v/>
      </c>
      <c r="T299" s="96">
        <f t="shared" si="40"/>
        <v>0</v>
      </c>
      <c r="U299" s="51"/>
    </row>
    <row r="300" spans="1:21" x14ac:dyDescent="0.25">
      <c r="A300" s="46">
        <f t="shared" si="36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7"/>
        <v>0</v>
      </c>
      <c r="P300" s="50"/>
      <c r="Q300" s="50"/>
      <c r="R300" s="95" t="str">
        <f t="shared" si="38"/>
        <v/>
      </c>
      <c r="S300" s="95" t="str">
        <f t="shared" si="39"/>
        <v/>
      </c>
      <c r="T300" s="96">
        <f t="shared" si="40"/>
        <v>0</v>
      </c>
      <c r="U300" s="51"/>
    </row>
    <row r="301" spans="1:21" x14ac:dyDescent="0.25">
      <c r="A301" s="46">
        <f t="shared" si="36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7"/>
        <v>0</v>
      </c>
      <c r="P301" s="50"/>
      <c r="Q301" s="50"/>
      <c r="R301" s="95" t="str">
        <f t="shared" si="38"/>
        <v/>
      </c>
      <c r="S301" s="95" t="str">
        <f t="shared" si="39"/>
        <v/>
      </c>
      <c r="T301" s="96">
        <f t="shared" si="40"/>
        <v>0</v>
      </c>
      <c r="U301" s="51"/>
    </row>
    <row r="302" spans="1:21" x14ac:dyDescent="0.25">
      <c r="A302" s="46">
        <f t="shared" si="36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7"/>
        <v>0</v>
      </c>
      <c r="P302" s="50"/>
      <c r="Q302" s="50"/>
      <c r="R302" s="95" t="str">
        <f t="shared" si="38"/>
        <v/>
      </c>
      <c r="S302" s="95" t="str">
        <f t="shared" si="39"/>
        <v/>
      </c>
      <c r="T302" s="96">
        <f t="shared" si="40"/>
        <v>0</v>
      </c>
      <c r="U302" s="51"/>
    </row>
    <row r="303" spans="1:21" x14ac:dyDescent="0.25">
      <c r="A303" s="46">
        <f t="shared" si="36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7"/>
        <v>0</v>
      </c>
      <c r="P303" s="50"/>
      <c r="Q303" s="50"/>
      <c r="R303" s="95" t="str">
        <f t="shared" si="38"/>
        <v/>
      </c>
      <c r="S303" s="95" t="str">
        <f t="shared" si="39"/>
        <v/>
      </c>
      <c r="T303" s="96">
        <f t="shared" si="40"/>
        <v>0</v>
      </c>
      <c r="U303" s="51"/>
    </row>
    <row r="304" spans="1:21" x14ac:dyDescent="0.25">
      <c r="A304" s="46">
        <f t="shared" si="36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7"/>
        <v>0</v>
      </c>
      <c r="P304" s="50"/>
      <c r="Q304" s="50"/>
      <c r="R304" s="95" t="str">
        <f t="shared" si="38"/>
        <v/>
      </c>
      <c r="S304" s="95" t="str">
        <f t="shared" si="39"/>
        <v/>
      </c>
      <c r="T304" s="96">
        <f t="shared" si="40"/>
        <v>0</v>
      </c>
      <c r="U304" s="51"/>
    </row>
    <row r="305" spans="1:21" x14ac:dyDescent="0.25">
      <c r="A305" s="46">
        <f t="shared" si="36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7"/>
        <v>0</v>
      </c>
      <c r="P305" s="50"/>
      <c r="Q305" s="50"/>
      <c r="R305" s="95" t="str">
        <f t="shared" si="38"/>
        <v/>
      </c>
      <c r="S305" s="95" t="str">
        <f t="shared" si="39"/>
        <v/>
      </c>
      <c r="T305" s="96">
        <f t="shared" si="40"/>
        <v>0</v>
      </c>
      <c r="U305" s="51"/>
    </row>
    <row r="306" spans="1:21" x14ac:dyDescent="0.25">
      <c r="A306" s="46">
        <f t="shared" si="36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7"/>
        <v>0</v>
      </c>
      <c r="P306" s="50"/>
      <c r="Q306" s="50"/>
      <c r="R306" s="95" t="str">
        <f t="shared" si="38"/>
        <v/>
      </c>
      <c r="S306" s="95" t="str">
        <f t="shared" si="39"/>
        <v/>
      </c>
      <c r="T306" s="96">
        <f t="shared" si="40"/>
        <v>0</v>
      </c>
      <c r="U306" s="51"/>
    </row>
    <row r="307" spans="1:21" x14ac:dyDescent="0.25">
      <c r="A307" s="46">
        <f t="shared" si="36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7"/>
        <v>0</v>
      </c>
      <c r="P307" s="50"/>
      <c r="Q307" s="50"/>
      <c r="R307" s="95" t="str">
        <f t="shared" si="38"/>
        <v/>
      </c>
      <c r="S307" s="95" t="str">
        <f t="shared" si="39"/>
        <v/>
      </c>
      <c r="T307" s="96">
        <f t="shared" si="40"/>
        <v>0</v>
      </c>
      <c r="U307" s="51"/>
    </row>
    <row r="308" spans="1:21" x14ac:dyDescent="0.25">
      <c r="A308" s="46">
        <f t="shared" si="36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7"/>
        <v>0</v>
      </c>
      <c r="P308" s="50"/>
      <c r="Q308" s="50"/>
      <c r="R308" s="95" t="str">
        <f t="shared" si="38"/>
        <v/>
      </c>
      <c r="S308" s="95" t="str">
        <f t="shared" si="39"/>
        <v/>
      </c>
      <c r="T308" s="96">
        <f t="shared" si="40"/>
        <v>0</v>
      </c>
      <c r="U308" s="51"/>
    </row>
    <row r="309" spans="1:21" x14ac:dyDescent="0.25">
      <c r="A309" s="46">
        <f t="shared" si="36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7"/>
        <v>0</v>
      </c>
      <c r="P309" s="50"/>
      <c r="Q309" s="50"/>
      <c r="R309" s="95" t="str">
        <f t="shared" si="38"/>
        <v/>
      </c>
      <c r="S309" s="95" t="str">
        <f t="shared" si="39"/>
        <v/>
      </c>
      <c r="T309" s="96">
        <f t="shared" si="40"/>
        <v>0</v>
      </c>
      <c r="U309" s="51"/>
    </row>
    <row r="310" spans="1:21" x14ac:dyDescent="0.25">
      <c r="A310" s="46">
        <f t="shared" si="36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7"/>
        <v>0</v>
      </c>
      <c r="P310" s="50"/>
      <c r="Q310" s="50"/>
      <c r="R310" s="95" t="str">
        <f t="shared" si="38"/>
        <v/>
      </c>
      <c r="S310" s="95" t="str">
        <f t="shared" si="39"/>
        <v/>
      </c>
      <c r="T310" s="96">
        <f t="shared" si="40"/>
        <v>0</v>
      </c>
      <c r="U310" s="51"/>
    </row>
    <row r="311" spans="1:21" x14ac:dyDescent="0.25">
      <c r="A311" s="46">
        <f t="shared" si="36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7"/>
        <v>0</v>
      </c>
      <c r="P311" s="50"/>
      <c r="Q311" s="50"/>
      <c r="R311" s="95" t="str">
        <f t="shared" si="38"/>
        <v/>
      </c>
      <c r="S311" s="95" t="str">
        <f t="shared" si="39"/>
        <v/>
      </c>
      <c r="T311" s="96">
        <f t="shared" si="40"/>
        <v>0</v>
      </c>
      <c r="U311" s="51"/>
    </row>
    <row r="312" spans="1:21" x14ac:dyDescent="0.25">
      <c r="A312" s="46">
        <f t="shared" si="36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7"/>
        <v>0</v>
      </c>
      <c r="P312" s="50"/>
      <c r="Q312" s="50"/>
      <c r="R312" s="95" t="str">
        <f t="shared" si="38"/>
        <v/>
      </c>
      <c r="S312" s="95" t="str">
        <f t="shared" si="39"/>
        <v/>
      </c>
      <c r="T312" s="96">
        <f t="shared" si="40"/>
        <v>0</v>
      </c>
      <c r="U312" s="51"/>
    </row>
    <row r="313" spans="1:21" x14ac:dyDescent="0.25">
      <c r="A313" s="46">
        <f t="shared" si="36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7"/>
        <v>0</v>
      </c>
      <c r="P313" s="50"/>
      <c r="Q313" s="50"/>
      <c r="R313" s="95" t="str">
        <f t="shared" si="38"/>
        <v/>
      </c>
      <c r="S313" s="95" t="str">
        <f t="shared" si="39"/>
        <v/>
      </c>
      <c r="T313" s="96">
        <f t="shared" si="40"/>
        <v>0</v>
      </c>
      <c r="U313" s="51"/>
    </row>
    <row r="314" spans="1:21" x14ac:dyDescent="0.25">
      <c r="A314" s="46">
        <f t="shared" si="36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7"/>
        <v>0</v>
      </c>
      <c r="P314" s="50"/>
      <c r="Q314" s="50"/>
      <c r="R314" s="95" t="str">
        <f t="shared" si="38"/>
        <v/>
      </c>
      <c r="S314" s="95" t="str">
        <f t="shared" si="39"/>
        <v/>
      </c>
      <c r="T314" s="96">
        <f t="shared" si="40"/>
        <v>0</v>
      </c>
      <c r="U314" s="51"/>
    </row>
    <row r="315" spans="1:21" x14ac:dyDescent="0.25">
      <c r="A315" s="46">
        <f t="shared" si="36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7"/>
        <v>0</v>
      </c>
      <c r="P315" s="50"/>
      <c r="Q315" s="50"/>
      <c r="R315" s="95" t="str">
        <f t="shared" si="38"/>
        <v/>
      </c>
      <c r="S315" s="95" t="str">
        <f t="shared" si="39"/>
        <v/>
      </c>
      <c r="T315" s="96">
        <f t="shared" si="40"/>
        <v>0</v>
      </c>
      <c r="U315" s="51"/>
    </row>
    <row r="316" spans="1:21" x14ac:dyDescent="0.25">
      <c r="A316" s="46">
        <f t="shared" si="36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7"/>
        <v>0</v>
      </c>
      <c r="P316" s="50"/>
      <c r="Q316" s="50"/>
      <c r="R316" s="95" t="str">
        <f t="shared" si="38"/>
        <v/>
      </c>
      <c r="S316" s="95" t="str">
        <f t="shared" si="39"/>
        <v/>
      </c>
      <c r="T316" s="96">
        <f t="shared" si="40"/>
        <v>0</v>
      </c>
      <c r="U316" s="51"/>
    </row>
    <row r="317" spans="1:21" x14ac:dyDescent="0.25">
      <c r="A317" s="46">
        <f t="shared" si="36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7"/>
        <v>0</v>
      </c>
      <c r="P317" s="50"/>
      <c r="Q317" s="50"/>
      <c r="R317" s="95" t="str">
        <f t="shared" si="38"/>
        <v/>
      </c>
      <c r="S317" s="95" t="str">
        <f t="shared" si="39"/>
        <v/>
      </c>
      <c r="T317" s="96">
        <f t="shared" si="40"/>
        <v>0</v>
      </c>
      <c r="U317" s="51"/>
    </row>
    <row r="318" spans="1:21" x14ac:dyDescent="0.25">
      <c r="A318" s="46">
        <f t="shared" si="36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7"/>
        <v>0</v>
      </c>
      <c r="P318" s="50"/>
      <c r="Q318" s="50"/>
      <c r="R318" s="95" t="str">
        <f t="shared" si="38"/>
        <v/>
      </c>
      <c r="S318" s="95" t="str">
        <f t="shared" si="39"/>
        <v/>
      </c>
      <c r="T318" s="96">
        <f t="shared" si="40"/>
        <v>0</v>
      </c>
      <c r="U318" s="51"/>
    </row>
    <row r="319" spans="1:21" x14ac:dyDescent="0.25">
      <c r="A319" s="46">
        <f t="shared" si="36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7"/>
        <v>0</v>
      </c>
      <c r="P319" s="50"/>
      <c r="Q319" s="50"/>
      <c r="R319" s="95" t="str">
        <f t="shared" si="38"/>
        <v/>
      </c>
      <c r="S319" s="95" t="str">
        <f t="shared" si="39"/>
        <v/>
      </c>
      <c r="T319" s="96">
        <f t="shared" si="40"/>
        <v>0</v>
      </c>
      <c r="U319" s="51"/>
    </row>
    <row r="320" spans="1:21" x14ac:dyDescent="0.25">
      <c r="A320" s="46">
        <f t="shared" si="36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7"/>
        <v>0</v>
      </c>
      <c r="P320" s="50"/>
      <c r="Q320" s="50"/>
      <c r="R320" s="95" t="str">
        <f t="shared" si="38"/>
        <v/>
      </c>
      <c r="S320" s="95" t="str">
        <f t="shared" si="39"/>
        <v/>
      </c>
      <c r="T320" s="96">
        <f t="shared" si="40"/>
        <v>0</v>
      </c>
      <c r="U320" s="51"/>
    </row>
    <row r="321" spans="1:21" x14ac:dyDescent="0.25">
      <c r="A321" s="46">
        <f t="shared" si="36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7"/>
        <v>0</v>
      </c>
      <c r="P321" s="50"/>
      <c r="Q321" s="50"/>
      <c r="R321" s="95" t="str">
        <f t="shared" si="38"/>
        <v/>
      </c>
      <c r="S321" s="95" t="str">
        <f t="shared" si="39"/>
        <v/>
      </c>
      <c r="T321" s="96">
        <f t="shared" si="40"/>
        <v>0</v>
      </c>
      <c r="U321" s="51"/>
    </row>
    <row r="322" spans="1:21" x14ac:dyDescent="0.25">
      <c r="A322" s="46">
        <f t="shared" si="36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7"/>
        <v>0</v>
      </c>
      <c r="P322" s="50"/>
      <c r="Q322" s="50"/>
      <c r="R322" s="95" t="str">
        <f t="shared" si="38"/>
        <v/>
      </c>
      <c r="S322" s="95" t="str">
        <f t="shared" si="39"/>
        <v/>
      </c>
      <c r="T322" s="96">
        <f t="shared" si="40"/>
        <v>0</v>
      </c>
      <c r="U322" s="51"/>
    </row>
    <row r="323" spans="1:21" x14ac:dyDescent="0.25">
      <c r="A323" s="46">
        <f t="shared" si="36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7"/>
        <v>0</v>
      </c>
      <c r="P323" s="50"/>
      <c r="Q323" s="50"/>
      <c r="R323" s="95" t="str">
        <f t="shared" si="38"/>
        <v/>
      </c>
      <c r="S323" s="95" t="str">
        <f t="shared" si="39"/>
        <v/>
      </c>
      <c r="T323" s="96">
        <f t="shared" si="40"/>
        <v>0</v>
      </c>
      <c r="U323" s="51"/>
    </row>
    <row r="324" spans="1:21" x14ac:dyDescent="0.25">
      <c r="A324" s="46">
        <f t="shared" si="36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7"/>
        <v>0</v>
      </c>
      <c r="P324" s="50"/>
      <c r="Q324" s="50"/>
      <c r="R324" s="95" t="str">
        <f t="shared" si="38"/>
        <v/>
      </c>
      <c r="S324" s="95" t="str">
        <f t="shared" si="39"/>
        <v/>
      </c>
      <c r="T324" s="96">
        <f t="shared" si="40"/>
        <v>0</v>
      </c>
      <c r="U324" s="51"/>
    </row>
    <row r="325" spans="1:21" x14ac:dyDescent="0.25">
      <c r="A325" s="46">
        <f t="shared" si="36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7"/>
        <v>0</v>
      </c>
      <c r="P325" s="50"/>
      <c r="Q325" s="50"/>
      <c r="R325" s="95" t="str">
        <f t="shared" si="38"/>
        <v/>
      </c>
      <c r="S325" s="95" t="str">
        <f t="shared" si="39"/>
        <v/>
      </c>
      <c r="T325" s="96">
        <f t="shared" si="40"/>
        <v>0</v>
      </c>
      <c r="U325" s="51"/>
    </row>
    <row r="326" spans="1:21" x14ac:dyDescent="0.25">
      <c r="A326" s="46">
        <f t="shared" si="36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7"/>
        <v>0</v>
      </c>
      <c r="P326" s="50"/>
      <c r="Q326" s="50"/>
      <c r="R326" s="95" t="str">
        <f t="shared" si="38"/>
        <v/>
      </c>
      <c r="S326" s="95" t="str">
        <f t="shared" si="39"/>
        <v/>
      </c>
      <c r="T326" s="96">
        <f t="shared" si="40"/>
        <v>0</v>
      </c>
      <c r="U326" s="51"/>
    </row>
    <row r="327" spans="1:21" x14ac:dyDescent="0.25">
      <c r="A327" s="46">
        <f t="shared" si="36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7"/>
        <v>0</v>
      </c>
      <c r="P327" s="50"/>
      <c r="Q327" s="50"/>
      <c r="R327" s="95" t="str">
        <f t="shared" si="38"/>
        <v/>
      </c>
      <c r="S327" s="95" t="str">
        <f t="shared" si="39"/>
        <v/>
      </c>
      <c r="T327" s="96">
        <f t="shared" si="40"/>
        <v>0</v>
      </c>
      <c r="U327" s="51"/>
    </row>
    <row r="328" spans="1:21" x14ac:dyDescent="0.25">
      <c r="A328" s="46">
        <f t="shared" si="36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7"/>
        <v>0</v>
      </c>
      <c r="P328" s="50"/>
      <c r="Q328" s="50"/>
      <c r="R328" s="95" t="str">
        <f t="shared" si="38"/>
        <v/>
      </c>
      <c r="S328" s="95" t="str">
        <f t="shared" si="39"/>
        <v/>
      </c>
      <c r="T328" s="96">
        <f t="shared" si="40"/>
        <v>0</v>
      </c>
      <c r="U328" s="51"/>
    </row>
    <row r="329" spans="1:21" x14ac:dyDescent="0.25">
      <c r="A329" s="46">
        <f t="shared" si="36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7"/>
        <v>0</v>
      </c>
      <c r="P329" s="50"/>
      <c r="Q329" s="50"/>
      <c r="R329" s="95" t="str">
        <f t="shared" si="38"/>
        <v/>
      </c>
      <c r="S329" s="95" t="str">
        <f t="shared" si="39"/>
        <v/>
      </c>
      <c r="T329" s="96">
        <f t="shared" si="40"/>
        <v>0</v>
      </c>
      <c r="U329" s="51"/>
    </row>
    <row r="330" spans="1:21" x14ac:dyDescent="0.25">
      <c r="A330" s="46">
        <f t="shared" si="36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7"/>
        <v>0</v>
      </c>
      <c r="P330" s="50"/>
      <c r="Q330" s="50"/>
      <c r="R330" s="95" t="str">
        <f t="shared" si="38"/>
        <v/>
      </c>
      <c r="S330" s="95" t="str">
        <f t="shared" si="39"/>
        <v/>
      </c>
      <c r="T330" s="96">
        <f t="shared" si="40"/>
        <v>0</v>
      </c>
      <c r="U330" s="51"/>
    </row>
    <row r="331" spans="1:21" x14ac:dyDescent="0.25">
      <c r="A331" s="46">
        <f t="shared" si="36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7"/>
        <v>0</v>
      </c>
      <c r="P331" s="50"/>
      <c r="Q331" s="50"/>
      <c r="R331" s="95" t="str">
        <f t="shared" si="38"/>
        <v/>
      </c>
      <c r="S331" s="95" t="str">
        <f t="shared" si="39"/>
        <v/>
      </c>
      <c r="T331" s="96">
        <f t="shared" si="40"/>
        <v>0</v>
      </c>
      <c r="U331" s="51"/>
    </row>
    <row r="332" spans="1:21" x14ac:dyDescent="0.25">
      <c r="A332" s="46">
        <f t="shared" ref="A332:A395" si="41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42">T332*N332</f>
        <v>0</v>
      </c>
      <c r="P332" s="50"/>
      <c r="Q332" s="50"/>
      <c r="R332" s="95" t="str">
        <f t="shared" ref="R332:R395" si="43">IF(OR(P332="c",P332="C"),+T332,"")</f>
        <v/>
      </c>
      <c r="S332" s="95" t="str">
        <f t="shared" ref="S332:S395" si="44">IF(OR(P332="$",N332=1),+T332,"")</f>
        <v/>
      </c>
      <c r="T332" s="96">
        <f t="shared" ref="T332:T395" si="45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41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42"/>
        <v>0</v>
      </c>
      <c r="P333" s="50"/>
      <c r="Q333" s="50"/>
      <c r="R333" s="95" t="str">
        <f t="shared" si="43"/>
        <v/>
      </c>
      <c r="S333" s="95" t="str">
        <f t="shared" si="44"/>
        <v/>
      </c>
      <c r="T333" s="96">
        <f t="shared" si="45"/>
        <v>0</v>
      </c>
      <c r="U333" s="51"/>
    </row>
    <row r="334" spans="1:21" x14ac:dyDescent="0.25">
      <c r="A334" s="46">
        <f t="shared" si="41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42"/>
        <v>0</v>
      </c>
      <c r="P334" s="50"/>
      <c r="Q334" s="50"/>
      <c r="R334" s="95" t="str">
        <f t="shared" si="43"/>
        <v/>
      </c>
      <c r="S334" s="95" t="str">
        <f t="shared" si="44"/>
        <v/>
      </c>
      <c r="T334" s="96">
        <f t="shared" si="45"/>
        <v>0</v>
      </c>
      <c r="U334" s="51"/>
    </row>
    <row r="335" spans="1:21" x14ac:dyDescent="0.25">
      <c r="A335" s="46">
        <f t="shared" si="41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42"/>
        <v>0</v>
      </c>
      <c r="P335" s="50"/>
      <c r="Q335" s="50"/>
      <c r="R335" s="95" t="str">
        <f t="shared" si="43"/>
        <v/>
      </c>
      <c r="S335" s="95" t="str">
        <f t="shared" si="44"/>
        <v/>
      </c>
      <c r="T335" s="96">
        <f t="shared" si="45"/>
        <v>0</v>
      </c>
      <c r="U335" s="51"/>
    </row>
    <row r="336" spans="1:21" x14ac:dyDescent="0.25">
      <c r="A336" s="46">
        <f t="shared" si="41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42"/>
        <v>0</v>
      </c>
      <c r="P336" s="50"/>
      <c r="Q336" s="50"/>
      <c r="R336" s="95" t="str">
        <f t="shared" si="43"/>
        <v/>
      </c>
      <c r="S336" s="95" t="str">
        <f t="shared" si="44"/>
        <v/>
      </c>
      <c r="T336" s="96">
        <f t="shared" si="45"/>
        <v>0</v>
      </c>
      <c r="U336" s="51"/>
    </row>
    <row r="337" spans="1:21" x14ac:dyDescent="0.25">
      <c r="A337" s="46">
        <f t="shared" si="41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42"/>
        <v>0</v>
      </c>
      <c r="P337" s="50"/>
      <c r="Q337" s="50"/>
      <c r="R337" s="95" t="str">
        <f t="shared" si="43"/>
        <v/>
      </c>
      <c r="S337" s="95" t="str">
        <f t="shared" si="44"/>
        <v/>
      </c>
      <c r="T337" s="96">
        <f t="shared" si="45"/>
        <v>0</v>
      </c>
      <c r="U337" s="51"/>
    </row>
    <row r="338" spans="1:21" x14ac:dyDescent="0.25">
      <c r="A338" s="46">
        <f t="shared" si="41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42"/>
        <v>0</v>
      </c>
      <c r="P338" s="50"/>
      <c r="Q338" s="50"/>
      <c r="R338" s="95" t="str">
        <f t="shared" si="43"/>
        <v/>
      </c>
      <c r="S338" s="95" t="str">
        <f t="shared" si="44"/>
        <v/>
      </c>
      <c r="T338" s="96">
        <f t="shared" si="45"/>
        <v>0</v>
      </c>
      <c r="U338" s="51"/>
    </row>
    <row r="339" spans="1:21" x14ac:dyDescent="0.25">
      <c r="A339" s="46">
        <f t="shared" si="41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42"/>
        <v>0</v>
      </c>
      <c r="P339" s="50"/>
      <c r="Q339" s="50"/>
      <c r="R339" s="95" t="str">
        <f t="shared" si="43"/>
        <v/>
      </c>
      <c r="S339" s="95" t="str">
        <f t="shared" si="44"/>
        <v/>
      </c>
      <c r="T339" s="96">
        <f t="shared" si="45"/>
        <v>0</v>
      </c>
      <c r="U339" s="51"/>
    </row>
    <row r="340" spans="1:21" x14ac:dyDescent="0.25">
      <c r="A340" s="46">
        <f t="shared" si="41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42"/>
        <v>0</v>
      </c>
      <c r="P340" s="50"/>
      <c r="Q340" s="50"/>
      <c r="R340" s="95" t="str">
        <f t="shared" si="43"/>
        <v/>
      </c>
      <c r="S340" s="95" t="str">
        <f t="shared" si="44"/>
        <v/>
      </c>
      <c r="T340" s="96">
        <f t="shared" si="45"/>
        <v>0</v>
      </c>
      <c r="U340" s="51"/>
    </row>
    <row r="341" spans="1:21" x14ac:dyDescent="0.25">
      <c r="A341" s="46">
        <f t="shared" si="41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42"/>
        <v>0</v>
      </c>
      <c r="P341" s="50"/>
      <c r="Q341" s="50"/>
      <c r="R341" s="95" t="str">
        <f t="shared" si="43"/>
        <v/>
      </c>
      <c r="S341" s="95" t="str">
        <f t="shared" si="44"/>
        <v/>
      </c>
      <c r="T341" s="96">
        <f t="shared" si="45"/>
        <v>0</v>
      </c>
      <c r="U341" s="51"/>
    </row>
    <row r="342" spans="1:21" x14ac:dyDescent="0.25">
      <c r="A342" s="46">
        <f t="shared" si="41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42"/>
        <v>0</v>
      </c>
      <c r="P342" s="50"/>
      <c r="Q342" s="50"/>
      <c r="R342" s="95" t="str">
        <f t="shared" si="43"/>
        <v/>
      </c>
      <c r="S342" s="95" t="str">
        <f t="shared" si="44"/>
        <v/>
      </c>
      <c r="T342" s="96">
        <f t="shared" si="45"/>
        <v>0</v>
      </c>
      <c r="U342" s="51"/>
    </row>
    <row r="343" spans="1:21" x14ac:dyDescent="0.25">
      <c r="A343" s="46">
        <f t="shared" si="41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42"/>
        <v>0</v>
      </c>
      <c r="P343" s="50"/>
      <c r="Q343" s="50"/>
      <c r="R343" s="95" t="str">
        <f t="shared" si="43"/>
        <v/>
      </c>
      <c r="S343" s="95" t="str">
        <f t="shared" si="44"/>
        <v/>
      </c>
      <c r="T343" s="96">
        <f t="shared" si="45"/>
        <v>0</v>
      </c>
      <c r="U343" s="51"/>
    </row>
    <row r="344" spans="1:21" x14ac:dyDescent="0.25">
      <c r="A344" s="46">
        <f t="shared" si="41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42"/>
        <v>0</v>
      </c>
      <c r="P344" s="50"/>
      <c r="Q344" s="50"/>
      <c r="R344" s="95" t="str">
        <f t="shared" si="43"/>
        <v/>
      </c>
      <c r="S344" s="95" t="str">
        <f t="shared" si="44"/>
        <v/>
      </c>
      <c r="T344" s="96">
        <f t="shared" si="45"/>
        <v>0</v>
      </c>
      <c r="U344" s="51"/>
    </row>
    <row r="345" spans="1:21" x14ac:dyDescent="0.25">
      <c r="A345" s="46">
        <f t="shared" si="41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42"/>
        <v>0</v>
      </c>
      <c r="P345" s="50"/>
      <c r="Q345" s="50"/>
      <c r="R345" s="95" t="str">
        <f t="shared" si="43"/>
        <v/>
      </c>
      <c r="S345" s="95" t="str">
        <f t="shared" si="44"/>
        <v/>
      </c>
      <c r="T345" s="96">
        <f t="shared" si="45"/>
        <v>0</v>
      </c>
      <c r="U345" s="51"/>
    </row>
    <row r="346" spans="1:21" x14ac:dyDescent="0.25">
      <c r="A346" s="46">
        <f t="shared" si="41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42"/>
        <v>0</v>
      </c>
      <c r="P346" s="50"/>
      <c r="Q346" s="50"/>
      <c r="R346" s="95" t="str">
        <f t="shared" si="43"/>
        <v/>
      </c>
      <c r="S346" s="95" t="str">
        <f t="shared" si="44"/>
        <v/>
      </c>
      <c r="T346" s="96">
        <f t="shared" si="45"/>
        <v>0</v>
      </c>
      <c r="U346" s="51"/>
    </row>
    <row r="347" spans="1:21" x14ac:dyDescent="0.25">
      <c r="A347" s="46">
        <f t="shared" si="41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42"/>
        <v>0</v>
      </c>
      <c r="P347" s="50"/>
      <c r="Q347" s="50"/>
      <c r="R347" s="95" t="str">
        <f t="shared" si="43"/>
        <v/>
      </c>
      <c r="S347" s="95" t="str">
        <f t="shared" si="44"/>
        <v/>
      </c>
      <c r="T347" s="96">
        <f t="shared" si="45"/>
        <v>0</v>
      </c>
      <c r="U347" s="51"/>
    </row>
    <row r="348" spans="1:21" x14ac:dyDescent="0.25">
      <c r="A348" s="46">
        <f t="shared" si="41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42"/>
        <v>0</v>
      </c>
      <c r="P348" s="50"/>
      <c r="Q348" s="50"/>
      <c r="R348" s="95" t="str">
        <f t="shared" si="43"/>
        <v/>
      </c>
      <c r="S348" s="95" t="str">
        <f t="shared" si="44"/>
        <v/>
      </c>
      <c r="T348" s="96">
        <f t="shared" si="45"/>
        <v>0</v>
      </c>
      <c r="U348" s="51"/>
    </row>
    <row r="349" spans="1:21" x14ac:dyDescent="0.25">
      <c r="A349" s="46">
        <f t="shared" si="41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42"/>
        <v>0</v>
      </c>
      <c r="P349" s="50"/>
      <c r="Q349" s="50"/>
      <c r="R349" s="95" t="str">
        <f t="shared" si="43"/>
        <v/>
      </c>
      <c r="S349" s="95" t="str">
        <f t="shared" si="44"/>
        <v/>
      </c>
      <c r="T349" s="96">
        <f t="shared" si="45"/>
        <v>0</v>
      </c>
      <c r="U349" s="51"/>
    </row>
    <row r="350" spans="1:21" x14ac:dyDescent="0.25">
      <c r="A350" s="46">
        <f t="shared" si="41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42"/>
        <v>0</v>
      </c>
      <c r="P350" s="50"/>
      <c r="Q350" s="50"/>
      <c r="R350" s="95" t="str">
        <f t="shared" si="43"/>
        <v/>
      </c>
      <c r="S350" s="95" t="str">
        <f t="shared" si="44"/>
        <v/>
      </c>
      <c r="T350" s="96">
        <f t="shared" si="45"/>
        <v>0</v>
      </c>
      <c r="U350" s="51"/>
    </row>
    <row r="351" spans="1:21" x14ac:dyDescent="0.25">
      <c r="A351" s="46">
        <f t="shared" si="41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42"/>
        <v>0</v>
      </c>
      <c r="P351" s="50"/>
      <c r="Q351" s="50"/>
      <c r="R351" s="95" t="str">
        <f t="shared" si="43"/>
        <v/>
      </c>
      <c r="S351" s="95" t="str">
        <f t="shared" si="44"/>
        <v/>
      </c>
      <c r="T351" s="96">
        <f t="shared" si="45"/>
        <v>0</v>
      </c>
      <c r="U351" s="51"/>
    </row>
    <row r="352" spans="1:21" x14ac:dyDescent="0.25">
      <c r="A352" s="46">
        <f t="shared" si="41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42"/>
        <v>0</v>
      </c>
      <c r="P352" s="50"/>
      <c r="Q352" s="50"/>
      <c r="R352" s="95" t="str">
        <f t="shared" si="43"/>
        <v/>
      </c>
      <c r="S352" s="95" t="str">
        <f t="shared" si="44"/>
        <v/>
      </c>
      <c r="T352" s="96">
        <f t="shared" si="45"/>
        <v>0</v>
      </c>
      <c r="U352" s="51"/>
    </row>
    <row r="353" spans="1:21" x14ac:dyDescent="0.25">
      <c r="A353" s="46">
        <f t="shared" si="41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42"/>
        <v>0</v>
      </c>
      <c r="P353" s="50"/>
      <c r="Q353" s="50"/>
      <c r="R353" s="95" t="str">
        <f t="shared" si="43"/>
        <v/>
      </c>
      <c r="S353" s="95" t="str">
        <f t="shared" si="44"/>
        <v/>
      </c>
      <c r="T353" s="96">
        <f t="shared" si="45"/>
        <v>0</v>
      </c>
      <c r="U353" s="51"/>
    </row>
    <row r="354" spans="1:21" x14ac:dyDescent="0.25">
      <c r="A354" s="46">
        <f t="shared" si="41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42"/>
        <v>0</v>
      </c>
      <c r="P354" s="50"/>
      <c r="Q354" s="50"/>
      <c r="R354" s="95" t="str">
        <f t="shared" si="43"/>
        <v/>
      </c>
      <c r="S354" s="95" t="str">
        <f t="shared" si="44"/>
        <v/>
      </c>
      <c r="T354" s="96">
        <f t="shared" si="45"/>
        <v>0</v>
      </c>
      <c r="U354" s="51"/>
    </row>
    <row r="355" spans="1:21" x14ac:dyDescent="0.25">
      <c r="A355" s="46">
        <f t="shared" si="41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42"/>
        <v>0</v>
      </c>
      <c r="P355" s="50"/>
      <c r="Q355" s="50"/>
      <c r="R355" s="95" t="str">
        <f t="shared" si="43"/>
        <v/>
      </c>
      <c r="S355" s="95" t="str">
        <f t="shared" si="44"/>
        <v/>
      </c>
      <c r="T355" s="96">
        <f t="shared" si="45"/>
        <v>0</v>
      </c>
      <c r="U355" s="51"/>
    </row>
    <row r="356" spans="1:21" x14ac:dyDescent="0.25">
      <c r="A356" s="46">
        <f t="shared" si="41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42"/>
        <v>0</v>
      </c>
      <c r="P356" s="50"/>
      <c r="Q356" s="50"/>
      <c r="R356" s="95" t="str">
        <f t="shared" si="43"/>
        <v/>
      </c>
      <c r="S356" s="95" t="str">
        <f t="shared" si="44"/>
        <v/>
      </c>
      <c r="T356" s="96">
        <f t="shared" si="45"/>
        <v>0</v>
      </c>
      <c r="U356" s="51"/>
    </row>
    <row r="357" spans="1:21" x14ac:dyDescent="0.25">
      <c r="A357" s="46">
        <f t="shared" si="41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42"/>
        <v>0</v>
      </c>
      <c r="P357" s="50"/>
      <c r="Q357" s="50"/>
      <c r="R357" s="95" t="str">
        <f t="shared" si="43"/>
        <v/>
      </c>
      <c r="S357" s="95" t="str">
        <f t="shared" si="44"/>
        <v/>
      </c>
      <c r="T357" s="96">
        <f t="shared" si="45"/>
        <v>0</v>
      </c>
      <c r="U357" s="51"/>
    </row>
    <row r="358" spans="1:21" x14ac:dyDescent="0.25">
      <c r="A358" s="46">
        <f t="shared" si="41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42"/>
        <v>0</v>
      </c>
      <c r="P358" s="50"/>
      <c r="Q358" s="50"/>
      <c r="R358" s="95" t="str">
        <f t="shared" si="43"/>
        <v/>
      </c>
      <c r="S358" s="95" t="str">
        <f t="shared" si="44"/>
        <v/>
      </c>
      <c r="T358" s="96">
        <f t="shared" si="45"/>
        <v>0</v>
      </c>
      <c r="U358" s="51"/>
    </row>
    <row r="359" spans="1:21" x14ac:dyDescent="0.25">
      <c r="A359" s="46">
        <f t="shared" si="41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42"/>
        <v>0</v>
      </c>
      <c r="P359" s="50"/>
      <c r="Q359" s="50"/>
      <c r="R359" s="95" t="str">
        <f t="shared" si="43"/>
        <v/>
      </c>
      <c r="S359" s="95" t="str">
        <f t="shared" si="44"/>
        <v/>
      </c>
      <c r="T359" s="96">
        <f t="shared" si="45"/>
        <v>0</v>
      </c>
      <c r="U359" s="51"/>
    </row>
    <row r="360" spans="1:21" x14ac:dyDescent="0.25">
      <c r="A360" s="46">
        <f t="shared" si="41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42"/>
        <v>0</v>
      </c>
      <c r="P360" s="50"/>
      <c r="Q360" s="50"/>
      <c r="R360" s="95" t="str">
        <f t="shared" si="43"/>
        <v/>
      </c>
      <c r="S360" s="95" t="str">
        <f t="shared" si="44"/>
        <v/>
      </c>
      <c r="T360" s="96">
        <f t="shared" si="45"/>
        <v>0</v>
      </c>
      <c r="U360" s="51"/>
    </row>
    <row r="361" spans="1:21" x14ac:dyDescent="0.25">
      <c r="A361" s="46">
        <f t="shared" si="41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42"/>
        <v>0</v>
      </c>
      <c r="P361" s="50"/>
      <c r="Q361" s="50"/>
      <c r="R361" s="95" t="str">
        <f t="shared" si="43"/>
        <v/>
      </c>
      <c r="S361" s="95" t="str">
        <f t="shared" si="44"/>
        <v/>
      </c>
      <c r="T361" s="96">
        <f t="shared" si="45"/>
        <v>0</v>
      </c>
      <c r="U361" s="51"/>
    </row>
    <row r="362" spans="1:21" x14ac:dyDescent="0.25">
      <c r="A362" s="46">
        <f t="shared" si="41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42"/>
        <v>0</v>
      </c>
      <c r="P362" s="50"/>
      <c r="Q362" s="50"/>
      <c r="R362" s="95" t="str">
        <f t="shared" si="43"/>
        <v/>
      </c>
      <c r="S362" s="95" t="str">
        <f t="shared" si="44"/>
        <v/>
      </c>
      <c r="T362" s="96">
        <f t="shared" si="45"/>
        <v>0</v>
      </c>
      <c r="U362" s="51"/>
    </row>
    <row r="363" spans="1:21" x14ac:dyDescent="0.25">
      <c r="A363" s="46">
        <f t="shared" si="41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42"/>
        <v>0</v>
      </c>
      <c r="P363" s="50"/>
      <c r="Q363" s="50"/>
      <c r="R363" s="95" t="str">
        <f t="shared" si="43"/>
        <v/>
      </c>
      <c r="S363" s="95" t="str">
        <f t="shared" si="44"/>
        <v/>
      </c>
      <c r="T363" s="96">
        <f t="shared" si="45"/>
        <v>0</v>
      </c>
      <c r="U363" s="51"/>
    </row>
    <row r="364" spans="1:21" x14ac:dyDescent="0.25">
      <c r="A364" s="46">
        <f t="shared" si="41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42"/>
        <v>0</v>
      </c>
      <c r="P364" s="50"/>
      <c r="Q364" s="50"/>
      <c r="R364" s="95" t="str">
        <f t="shared" si="43"/>
        <v/>
      </c>
      <c r="S364" s="95" t="str">
        <f t="shared" si="44"/>
        <v/>
      </c>
      <c r="T364" s="96">
        <f t="shared" si="45"/>
        <v>0</v>
      </c>
      <c r="U364" s="51"/>
    </row>
    <row r="365" spans="1:21" x14ac:dyDescent="0.25">
      <c r="A365" s="46">
        <f t="shared" si="41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42"/>
        <v>0</v>
      </c>
      <c r="P365" s="50"/>
      <c r="Q365" s="50"/>
      <c r="R365" s="95" t="str">
        <f t="shared" si="43"/>
        <v/>
      </c>
      <c r="S365" s="95" t="str">
        <f t="shared" si="44"/>
        <v/>
      </c>
      <c r="T365" s="96">
        <f t="shared" si="45"/>
        <v>0</v>
      </c>
      <c r="U365" s="51"/>
    </row>
    <row r="366" spans="1:21" x14ac:dyDescent="0.25">
      <c r="A366" s="46">
        <f t="shared" si="41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42"/>
        <v>0</v>
      </c>
      <c r="P366" s="50"/>
      <c r="Q366" s="50"/>
      <c r="R366" s="95" t="str">
        <f t="shared" si="43"/>
        <v/>
      </c>
      <c r="S366" s="95" t="str">
        <f t="shared" si="44"/>
        <v/>
      </c>
      <c r="T366" s="96">
        <f t="shared" si="45"/>
        <v>0</v>
      </c>
      <c r="U366" s="51"/>
    </row>
    <row r="367" spans="1:21" x14ac:dyDescent="0.25">
      <c r="A367" s="46">
        <f t="shared" si="41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42"/>
        <v>0</v>
      </c>
      <c r="P367" s="50"/>
      <c r="Q367" s="50"/>
      <c r="R367" s="95" t="str">
        <f t="shared" si="43"/>
        <v/>
      </c>
      <c r="S367" s="95" t="str">
        <f t="shared" si="44"/>
        <v/>
      </c>
      <c r="T367" s="96">
        <f t="shared" si="45"/>
        <v>0</v>
      </c>
      <c r="U367" s="51"/>
    </row>
    <row r="368" spans="1:21" x14ac:dyDescent="0.25">
      <c r="A368" s="46">
        <f t="shared" si="41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42"/>
        <v>0</v>
      </c>
      <c r="P368" s="50"/>
      <c r="Q368" s="50"/>
      <c r="R368" s="95" t="str">
        <f t="shared" si="43"/>
        <v/>
      </c>
      <c r="S368" s="95" t="str">
        <f t="shared" si="44"/>
        <v/>
      </c>
      <c r="T368" s="96">
        <f t="shared" si="45"/>
        <v>0</v>
      </c>
      <c r="U368" s="51"/>
    </row>
    <row r="369" spans="1:21" x14ac:dyDescent="0.25">
      <c r="A369" s="46">
        <f t="shared" si="41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42"/>
        <v>0</v>
      </c>
      <c r="P369" s="50"/>
      <c r="Q369" s="50"/>
      <c r="R369" s="95" t="str">
        <f t="shared" si="43"/>
        <v/>
      </c>
      <c r="S369" s="95" t="str">
        <f t="shared" si="44"/>
        <v/>
      </c>
      <c r="T369" s="96">
        <f t="shared" si="45"/>
        <v>0</v>
      </c>
      <c r="U369" s="51"/>
    </row>
    <row r="370" spans="1:21" x14ac:dyDescent="0.25">
      <c r="A370" s="46">
        <f t="shared" si="41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42"/>
        <v>0</v>
      </c>
      <c r="P370" s="50"/>
      <c r="Q370" s="50"/>
      <c r="R370" s="95" t="str">
        <f t="shared" si="43"/>
        <v/>
      </c>
      <c r="S370" s="95" t="str">
        <f t="shared" si="44"/>
        <v/>
      </c>
      <c r="T370" s="96">
        <f t="shared" si="45"/>
        <v>0</v>
      </c>
      <c r="U370" s="51"/>
    </row>
    <row r="371" spans="1:21" x14ac:dyDescent="0.25">
      <c r="A371" s="46">
        <f t="shared" si="41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42"/>
        <v>0</v>
      </c>
      <c r="P371" s="50"/>
      <c r="Q371" s="50"/>
      <c r="R371" s="95" t="str">
        <f t="shared" si="43"/>
        <v/>
      </c>
      <c r="S371" s="95" t="str">
        <f t="shared" si="44"/>
        <v/>
      </c>
      <c r="T371" s="96">
        <f t="shared" si="45"/>
        <v>0</v>
      </c>
      <c r="U371" s="51"/>
    </row>
    <row r="372" spans="1:21" x14ac:dyDescent="0.25">
      <c r="A372" s="46">
        <f t="shared" si="41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42"/>
        <v>0</v>
      </c>
      <c r="P372" s="50"/>
      <c r="Q372" s="50"/>
      <c r="R372" s="95" t="str">
        <f t="shared" si="43"/>
        <v/>
      </c>
      <c r="S372" s="95" t="str">
        <f t="shared" si="44"/>
        <v/>
      </c>
      <c r="T372" s="96">
        <f t="shared" si="45"/>
        <v>0</v>
      </c>
      <c r="U372" s="51"/>
    </row>
    <row r="373" spans="1:21" x14ac:dyDescent="0.25">
      <c r="A373" s="46">
        <f t="shared" si="41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42"/>
        <v>0</v>
      </c>
      <c r="P373" s="50"/>
      <c r="Q373" s="50"/>
      <c r="R373" s="95" t="str">
        <f t="shared" si="43"/>
        <v/>
      </c>
      <c r="S373" s="95" t="str">
        <f t="shared" si="44"/>
        <v/>
      </c>
      <c r="T373" s="96">
        <f t="shared" si="45"/>
        <v>0</v>
      </c>
      <c r="U373" s="51"/>
    </row>
    <row r="374" spans="1:21" x14ac:dyDescent="0.25">
      <c r="A374" s="46">
        <f t="shared" si="41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42"/>
        <v>0</v>
      </c>
      <c r="P374" s="50"/>
      <c r="Q374" s="50"/>
      <c r="R374" s="95" t="str">
        <f t="shared" si="43"/>
        <v/>
      </c>
      <c r="S374" s="95" t="str">
        <f t="shared" si="44"/>
        <v/>
      </c>
      <c r="T374" s="96">
        <f t="shared" si="45"/>
        <v>0</v>
      </c>
      <c r="U374" s="51"/>
    </row>
    <row r="375" spans="1:21" x14ac:dyDescent="0.25">
      <c r="A375" s="46">
        <f t="shared" si="41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42"/>
        <v>0</v>
      </c>
      <c r="P375" s="50"/>
      <c r="Q375" s="50"/>
      <c r="R375" s="95" t="str">
        <f t="shared" si="43"/>
        <v/>
      </c>
      <c r="S375" s="95" t="str">
        <f t="shared" si="44"/>
        <v/>
      </c>
      <c r="T375" s="96">
        <f t="shared" si="45"/>
        <v>0</v>
      </c>
      <c r="U375" s="51"/>
    </row>
    <row r="376" spans="1:21" x14ac:dyDescent="0.25">
      <c r="A376" s="46">
        <f t="shared" si="41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42"/>
        <v>0</v>
      </c>
      <c r="P376" s="50"/>
      <c r="Q376" s="50"/>
      <c r="R376" s="95" t="str">
        <f t="shared" si="43"/>
        <v/>
      </c>
      <c r="S376" s="95" t="str">
        <f t="shared" si="44"/>
        <v/>
      </c>
      <c r="T376" s="96">
        <f t="shared" si="45"/>
        <v>0</v>
      </c>
      <c r="U376" s="51"/>
    </row>
    <row r="377" spans="1:21" x14ac:dyDescent="0.25">
      <c r="A377" s="46">
        <f t="shared" si="41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42"/>
        <v>0</v>
      </c>
      <c r="P377" s="50"/>
      <c r="Q377" s="50"/>
      <c r="R377" s="95" t="str">
        <f t="shared" si="43"/>
        <v/>
      </c>
      <c r="S377" s="95" t="str">
        <f t="shared" si="44"/>
        <v/>
      </c>
      <c r="T377" s="96">
        <f t="shared" si="45"/>
        <v>0</v>
      </c>
      <c r="U377" s="51"/>
    </row>
    <row r="378" spans="1:21" x14ac:dyDescent="0.25">
      <c r="A378" s="46">
        <f t="shared" si="41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42"/>
        <v>0</v>
      </c>
      <c r="P378" s="50"/>
      <c r="Q378" s="50"/>
      <c r="R378" s="95" t="str">
        <f t="shared" si="43"/>
        <v/>
      </c>
      <c r="S378" s="95" t="str">
        <f t="shared" si="44"/>
        <v/>
      </c>
      <c r="T378" s="96">
        <f t="shared" si="45"/>
        <v>0</v>
      </c>
      <c r="U378" s="51"/>
    </row>
    <row r="379" spans="1:21" x14ac:dyDescent="0.25">
      <c r="A379" s="46">
        <f t="shared" si="41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42"/>
        <v>0</v>
      </c>
      <c r="P379" s="50"/>
      <c r="Q379" s="50"/>
      <c r="R379" s="95" t="str">
        <f t="shared" si="43"/>
        <v/>
      </c>
      <c r="S379" s="95" t="str">
        <f t="shared" si="44"/>
        <v/>
      </c>
      <c r="T379" s="96">
        <f t="shared" si="45"/>
        <v>0</v>
      </c>
      <c r="U379" s="51"/>
    </row>
    <row r="380" spans="1:21" x14ac:dyDescent="0.25">
      <c r="A380" s="46">
        <f t="shared" si="41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42"/>
        <v>0</v>
      </c>
      <c r="P380" s="50"/>
      <c r="Q380" s="50"/>
      <c r="R380" s="95" t="str">
        <f t="shared" si="43"/>
        <v/>
      </c>
      <c r="S380" s="95" t="str">
        <f t="shared" si="44"/>
        <v/>
      </c>
      <c r="T380" s="96">
        <f t="shared" si="45"/>
        <v>0</v>
      </c>
      <c r="U380" s="51"/>
    </row>
    <row r="381" spans="1:21" x14ac:dyDescent="0.25">
      <c r="A381" s="46">
        <f t="shared" si="41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42"/>
        <v>0</v>
      </c>
      <c r="P381" s="50"/>
      <c r="Q381" s="50"/>
      <c r="R381" s="95" t="str">
        <f t="shared" si="43"/>
        <v/>
      </c>
      <c r="S381" s="95" t="str">
        <f t="shared" si="44"/>
        <v/>
      </c>
      <c r="T381" s="96">
        <f t="shared" si="45"/>
        <v>0</v>
      </c>
      <c r="U381" s="51"/>
    </row>
    <row r="382" spans="1:21" x14ac:dyDescent="0.25">
      <c r="A382" s="46">
        <f t="shared" si="41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42"/>
        <v>0</v>
      </c>
      <c r="P382" s="50"/>
      <c r="Q382" s="50"/>
      <c r="R382" s="95" t="str">
        <f t="shared" si="43"/>
        <v/>
      </c>
      <c r="S382" s="95" t="str">
        <f t="shared" si="44"/>
        <v/>
      </c>
      <c r="T382" s="96">
        <f t="shared" si="45"/>
        <v>0</v>
      </c>
      <c r="U382" s="51"/>
    </row>
    <row r="383" spans="1:21" x14ac:dyDescent="0.25">
      <c r="A383" s="46">
        <f t="shared" si="41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42"/>
        <v>0</v>
      </c>
      <c r="P383" s="50"/>
      <c r="Q383" s="50"/>
      <c r="R383" s="95" t="str">
        <f t="shared" si="43"/>
        <v/>
      </c>
      <c r="S383" s="95" t="str">
        <f t="shared" si="44"/>
        <v/>
      </c>
      <c r="T383" s="96">
        <f t="shared" si="45"/>
        <v>0</v>
      </c>
      <c r="U383" s="51"/>
    </row>
    <row r="384" spans="1:21" x14ac:dyDescent="0.25">
      <c r="A384" s="46">
        <f t="shared" si="41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42"/>
        <v>0</v>
      </c>
      <c r="P384" s="50"/>
      <c r="Q384" s="50"/>
      <c r="R384" s="95" t="str">
        <f t="shared" si="43"/>
        <v/>
      </c>
      <c r="S384" s="95" t="str">
        <f t="shared" si="44"/>
        <v/>
      </c>
      <c r="T384" s="96">
        <f t="shared" si="45"/>
        <v>0</v>
      </c>
      <c r="U384" s="51"/>
    </row>
    <row r="385" spans="1:21" x14ac:dyDescent="0.25">
      <c r="A385" s="46">
        <f t="shared" si="41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42"/>
        <v>0</v>
      </c>
      <c r="P385" s="50"/>
      <c r="Q385" s="50"/>
      <c r="R385" s="95" t="str">
        <f t="shared" si="43"/>
        <v/>
      </c>
      <c r="S385" s="95" t="str">
        <f t="shared" si="44"/>
        <v/>
      </c>
      <c r="T385" s="96">
        <f t="shared" si="45"/>
        <v>0</v>
      </c>
      <c r="U385" s="51"/>
    </row>
    <row r="386" spans="1:21" x14ac:dyDescent="0.25">
      <c r="A386" s="46">
        <f t="shared" si="41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42"/>
        <v>0</v>
      </c>
      <c r="P386" s="50"/>
      <c r="Q386" s="50"/>
      <c r="R386" s="95" t="str">
        <f t="shared" si="43"/>
        <v/>
      </c>
      <c r="S386" s="95" t="str">
        <f t="shared" si="44"/>
        <v/>
      </c>
      <c r="T386" s="96">
        <f t="shared" si="45"/>
        <v>0</v>
      </c>
      <c r="U386" s="51"/>
    </row>
    <row r="387" spans="1:21" x14ac:dyDescent="0.25">
      <c r="A387" s="46">
        <f t="shared" si="41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42"/>
        <v>0</v>
      </c>
      <c r="P387" s="50"/>
      <c r="Q387" s="50"/>
      <c r="R387" s="95" t="str">
        <f t="shared" si="43"/>
        <v/>
      </c>
      <c r="S387" s="95" t="str">
        <f t="shared" si="44"/>
        <v/>
      </c>
      <c r="T387" s="96">
        <f t="shared" si="45"/>
        <v>0</v>
      </c>
      <c r="U387" s="51"/>
    </row>
    <row r="388" spans="1:21" x14ac:dyDescent="0.25">
      <c r="A388" s="46">
        <f t="shared" si="41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42"/>
        <v>0</v>
      </c>
      <c r="P388" s="50"/>
      <c r="Q388" s="50"/>
      <c r="R388" s="95" t="str">
        <f t="shared" si="43"/>
        <v/>
      </c>
      <c r="S388" s="95" t="str">
        <f t="shared" si="44"/>
        <v/>
      </c>
      <c r="T388" s="96">
        <f t="shared" si="45"/>
        <v>0</v>
      </c>
      <c r="U388" s="51"/>
    </row>
    <row r="389" spans="1:21" x14ac:dyDescent="0.25">
      <c r="A389" s="46">
        <f t="shared" si="41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42"/>
        <v>0</v>
      </c>
      <c r="P389" s="50"/>
      <c r="Q389" s="50"/>
      <c r="R389" s="95" t="str">
        <f t="shared" si="43"/>
        <v/>
      </c>
      <c r="S389" s="95" t="str">
        <f t="shared" si="44"/>
        <v/>
      </c>
      <c r="T389" s="96">
        <f t="shared" si="45"/>
        <v>0</v>
      </c>
      <c r="U389" s="51"/>
    </row>
    <row r="390" spans="1:21" x14ac:dyDescent="0.25">
      <c r="A390" s="46">
        <f t="shared" si="41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42"/>
        <v>0</v>
      </c>
      <c r="P390" s="50"/>
      <c r="Q390" s="50"/>
      <c r="R390" s="95" t="str">
        <f t="shared" si="43"/>
        <v/>
      </c>
      <c r="S390" s="95" t="str">
        <f t="shared" si="44"/>
        <v/>
      </c>
      <c r="T390" s="96">
        <f t="shared" si="45"/>
        <v>0</v>
      </c>
      <c r="U390" s="51"/>
    </row>
    <row r="391" spans="1:21" x14ac:dyDescent="0.25">
      <c r="A391" s="46">
        <f t="shared" si="41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42"/>
        <v>0</v>
      </c>
      <c r="P391" s="50"/>
      <c r="Q391" s="50"/>
      <c r="R391" s="95" t="str">
        <f t="shared" si="43"/>
        <v/>
      </c>
      <c r="S391" s="95" t="str">
        <f t="shared" si="44"/>
        <v/>
      </c>
      <c r="T391" s="96">
        <f t="shared" si="45"/>
        <v>0</v>
      </c>
      <c r="U391" s="51"/>
    </row>
    <row r="392" spans="1:21" x14ac:dyDescent="0.25">
      <c r="A392" s="46">
        <f t="shared" si="41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42"/>
        <v>0</v>
      </c>
      <c r="P392" s="50"/>
      <c r="Q392" s="50"/>
      <c r="R392" s="95" t="str">
        <f t="shared" si="43"/>
        <v/>
      </c>
      <c r="S392" s="95" t="str">
        <f t="shared" si="44"/>
        <v/>
      </c>
      <c r="T392" s="96">
        <f t="shared" si="45"/>
        <v>0</v>
      </c>
      <c r="U392" s="51"/>
    </row>
    <row r="393" spans="1:21" x14ac:dyDescent="0.25">
      <c r="A393" s="46">
        <f t="shared" si="41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42"/>
        <v>0</v>
      </c>
      <c r="P393" s="50"/>
      <c r="Q393" s="50"/>
      <c r="R393" s="95" t="str">
        <f t="shared" si="43"/>
        <v/>
      </c>
      <c r="S393" s="95" t="str">
        <f t="shared" si="44"/>
        <v/>
      </c>
      <c r="T393" s="96">
        <f t="shared" si="45"/>
        <v>0</v>
      </c>
      <c r="U393" s="51"/>
    </row>
    <row r="394" spans="1:21" x14ac:dyDescent="0.25">
      <c r="A394" s="46">
        <f t="shared" si="41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42"/>
        <v>0</v>
      </c>
      <c r="P394" s="50"/>
      <c r="Q394" s="50"/>
      <c r="R394" s="95" t="str">
        <f t="shared" si="43"/>
        <v/>
      </c>
      <c r="S394" s="95" t="str">
        <f t="shared" si="44"/>
        <v/>
      </c>
      <c r="T394" s="96">
        <f t="shared" si="45"/>
        <v>0</v>
      </c>
      <c r="U394" s="51"/>
    </row>
    <row r="395" spans="1:21" x14ac:dyDescent="0.25">
      <c r="A395" s="46">
        <f t="shared" si="41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42"/>
        <v>0</v>
      </c>
      <c r="P395" s="50"/>
      <c r="Q395" s="50"/>
      <c r="R395" s="95" t="str">
        <f t="shared" si="43"/>
        <v/>
      </c>
      <c r="S395" s="95" t="str">
        <f t="shared" si="44"/>
        <v/>
      </c>
      <c r="T395" s="96">
        <f t="shared" si="45"/>
        <v>0</v>
      </c>
      <c r="U395" s="51"/>
    </row>
    <row r="396" spans="1:21" x14ac:dyDescent="0.25">
      <c r="A396" s="46">
        <f t="shared" ref="A396:A411" si="46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7">T396*N396</f>
        <v>0</v>
      </c>
      <c r="P396" s="50"/>
      <c r="Q396" s="50"/>
      <c r="R396" s="95" t="str">
        <f t="shared" ref="R396:R411" si="48">IF(OR(P396="c",P396="C"),+T396,"")</f>
        <v/>
      </c>
      <c r="S396" s="95" t="str">
        <f t="shared" ref="S396:S411" si="49">IF(OR(P396="$",N396=1),+T396,"")</f>
        <v/>
      </c>
      <c r="T396" s="96">
        <f t="shared" ref="T396:T411" si="50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6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7"/>
        <v>0</v>
      </c>
      <c r="P397" s="50"/>
      <c r="Q397" s="50"/>
      <c r="R397" s="95" t="str">
        <f t="shared" si="48"/>
        <v/>
      </c>
      <c r="S397" s="95" t="str">
        <f t="shared" si="49"/>
        <v/>
      </c>
      <c r="T397" s="96">
        <f t="shared" si="50"/>
        <v>0</v>
      </c>
      <c r="U397" s="51"/>
    </row>
    <row r="398" spans="1:21" x14ac:dyDescent="0.25">
      <c r="A398" s="46">
        <f t="shared" si="46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7"/>
        <v>0</v>
      </c>
      <c r="P398" s="50"/>
      <c r="Q398" s="50"/>
      <c r="R398" s="95" t="str">
        <f t="shared" si="48"/>
        <v/>
      </c>
      <c r="S398" s="95" t="str">
        <f t="shared" si="49"/>
        <v/>
      </c>
      <c r="T398" s="96">
        <f t="shared" si="50"/>
        <v>0</v>
      </c>
      <c r="U398" s="51"/>
    </row>
    <row r="399" spans="1:21" x14ac:dyDescent="0.25">
      <c r="A399" s="46">
        <f t="shared" si="46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7"/>
        <v>0</v>
      </c>
      <c r="P399" s="50"/>
      <c r="Q399" s="50"/>
      <c r="R399" s="95" t="str">
        <f t="shared" si="48"/>
        <v/>
      </c>
      <c r="S399" s="95" t="str">
        <f t="shared" si="49"/>
        <v/>
      </c>
      <c r="T399" s="96">
        <f t="shared" si="50"/>
        <v>0</v>
      </c>
      <c r="U399" s="51"/>
    </row>
    <row r="400" spans="1:21" x14ac:dyDescent="0.25">
      <c r="A400" s="46">
        <f t="shared" si="46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7"/>
        <v>0</v>
      </c>
      <c r="P400" s="50"/>
      <c r="Q400" s="50"/>
      <c r="R400" s="95" t="str">
        <f t="shared" si="48"/>
        <v/>
      </c>
      <c r="S400" s="95" t="str">
        <f t="shared" si="49"/>
        <v/>
      </c>
      <c r="T400" s="96">
        <f t="shared" si="50"/>
        <v>0</v>
      </c>
      <c r="U400" s="51"/>
    </row>
    <row r="401" spans="1:21" x14ac:dyDescent="0.25">
      <c r="A401" s="46">
        <f t="shared" si="46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7"/>
        <v>0</v>
      </c>
      <c r="P401" s="50"/>
      <c r="Q401" s="50"/>
      <c r="R401" s="95" t="str">
        <f t="shared" si="48"/>
        <v/>
      </c>
      <c r="S401" s="95" t="str">
        <f t="shared" si="49"/>
        <v/>
      </c>
      <c r="T401" s="96">
        <f t="shared" si="50"/>
        <v>0</v>
      </c>
      <c r="U401" s="51"/>
    </row>
    <row r="402" spans="1:21" x14ac:dyDescent="0.25">
      <c r="A402" s="46">
        <f t="shared" si="46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7"/>
        <v>0</v>
      </c>
      <c r="P402" s="50"/>
      <c r="Q402" s="50"/>
      <c r="R402" s="95" t="str">
        <f t="shared" si="48"/>
        <v/>
      </c>
      <c r="S402" s="95" t="str">
        <f t="shared" si="49"/>
        <v/>
      </c>
      <c r="T402" s="96">
        <f t="shared" si="50"/>
        <v>0</v>
      </c>
      <c r="U402" s="51"/>
    </row>
    <row r="403" spans="1:21" x14ac:dyDescent="0.25">
      <c r="A403" s="46">
        <f t="shared" si="46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7"/>
        <v>0</v>
      </c>
      <c r="P403" s="50"/>
      <c r="Q403" s="50"/>
      <c r="R403" s="95" t="str">
        <f t="shared" si="48"/>
        <v/>
      </c>
      <c r="S403" s="95" t="str">
        <f t="shared" si="49"/>
        <v/>
      </c>
      <c r="T403" s="96">
        <f t="shared" si="50"/>
        <v>0</v>
      </c>
      <c r="U403" s="51"/>
    </row>
    <row r="404" spans="1:21" x14ac:dyDescent="0.25">
      <c r="A404" s="46">
        <f t="shared" si="46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7"/>
        <v>0</v>
      </c>
      <c r="P404" s="50"/>
      <c r="Q404" s="50"/>
      <c r="R404" s="95" t="str">
        <f t="shared" si="48"/>
        <v/>
      </c>
      <c r="S404" s="95" t="str">
        <f t="shared" si="49"/>
        <v/>
      </c>
      <c r="T404" s="96">
        <f t="shared" si="50"/>
        <v>0</v>
      </c>
      <c r="U404" s="51"/>
    </row>
    <row r="405" spans="1:21" x14ac:dyDescent="0.25">
      <c r="A405" s="46">
        <f t="shared" si="46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7"/>
        <v>0</v>
      </c>
      <c r="P405" s="50"/>
      <c r="Q405" s="50"/>
      <c r="R405" s="95" t="str">
        <f t="shared" si="48"/>
        <v/>
      </c>
      <c r="S405" s="95" t="str">
        <f t="shared" si="49"/>
        <v/>
      </c>
      <c r="T405" s="96">
        <f t="shared" si="50"/>
        <v>0</v>
      </c>
      <c r="U405" s="51"/>
    </row>
    <row r="406" spans="1:21" x14ac:dyDescent="0.25">
      <c r="A406" s="46">
        <f t="shared" si="46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7"/>
        <v>0</v>
      </c>
      <c r="P406" s="50"/>
      <c r="Q406" s="50"/>
      <c r="R406" s="95" t="str">
        <f t="shared" si="48"/>
        <v/>
      </c>
      <c r="S406" s="95" t="str">
        <f t="shared" si="49"/>
        <v/>
      </c>
      <c r="T406" s="96">
        <f t="shared" si="50"/>
        <v>0</v>
      </c>
      <c r="U406" s="51"/>
    </row>
    <row r="407" spans="1:21" x14ac:dyDescent="0.25">
      <c r="A407" s="46">
        <f t="shared" si="46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7"/>
        <v>0</v>
      </c>
      <c r="P407" s="50"/>
      <c r="Q407" s="50"/>
      <c r="R407" s="95" t="str">
        <f t="shared" si="48"/>
        <v/>
      </c>
      <c r="S407" s="95" t="str">
        <f t="shared" si="49"/>
        <v/>
      </c>
      <c r="T407" s="96">
        <f t="shared" si="50"/>
        <v>0</v>
      </c>
      <c r="U407" s="51"/>
    </row>
    <row r="408" spans="1:21" x14ac:dyDescent="0.25">
      <c r="A408" s="46">
        <f t="shared" si="46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7"/>
        <v>0</v>
      </c>
      <c r="P408" s="50"/>
      <c r="Q408" s="50"/>
      <c r="R408" s="95" t="str">
        <f t="shared" si="48"/>
        <v/>
      </c>
      <c r="S408" s="95" t="str">
        <f t="shared" si="49"/>
        <v/>
      </c>
      <c r="T408" s="96">
        <f t="shared" si="50"/>
        <v>0</v>
      </c>
      <c r="U408" s="51"/>
    </row>
    <row r="409" spans="1:21" x14ac:dyDescent="0.25">
      <c r="A409" s="46">
        <f t="shared" si="46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7"/>
        <v>0</v>
      </c>
      <c r="P409" s="50"/>
      <c r="Q409" s="50"/>
      <c r="R409" s="95" t="str">
        <f t="shared" si="48"/>
        <v/>
      </c>
      <c r="S409" s="95" t="str">
        <f t="shared" si="49"/>
        <v/>
      </c>
      <c r="T409" s="96">
        <f t="shared" si="50"/>
        <v>0</v>
      </c>
      <c r="U409" s="51"/>
    </row>
    <row r="410" spans="1:21" x14ac:dyDescent="0.25">
      <c r="A410" s="46">
        <f t="shared" si="46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7"/>
        <v>0</v>
      </c>
      <c r="P410" s="50"/>
      <c r="Q410" s="50"/>
      <c r="R410" s="95" t="str">
        <f t="shared" si="48"/>
        <v/>
      </c>
      <c r="S410" s="95" t="str">
        <f t="shared" si="49"/>
        <v/>
      </c>
      <c r="T410" s="96">
        <f t="shared" si="50"/>
        <v>0</v>
      </c>
      <c r="U410" s="51"/>
    </row>
    <row r="411" spans="1:21" x14ac:dyDescent="0.25">
      <c r="A411" s="46">
        <f t="shared" si="46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7"/>
        <v>0</v>
      </c>
      <c r="P411" s="50"/>
      <c r="Q411" s="50"/>
      <c r="R411" s="95" t="str">
        <f t="shared" si="48"/>
        <v/>
      </c>
      <c r="S411" s="95" t="str">
        <f t="shared" si="49"/>
        <v/>
      </c>
      <c r="T411" s="96">
        <f t="shared" si="50"/>
        <v>0</v>
      </c>
      <c r="U411" s="51"/>
    </row>
  </sheetData>
  <sheetProtection sheet="1" objects="1" scenarios="1" selectLockedCells="1"/>
  <sortState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/>
    <hyperlink ref="G61" r:id="rId2"/>
    <hyperlink ref="G73" r:id="rId3"/>
    <hyperlink ref="G76" r:id="rId4"/>
    <hyperlink ref="G79" r:id="rId5"/>
    <hyperlink ref="G22" r:id="rId6"/>
    <hyperlink ref="G27" r:id="rId7"/>
    <hyperlink ref="G113" r:id="rId8"/>
    <hyperlink ref="G117" r:id="rId9"/>
    <hyperlink ref="G120" r:id="rId10"/>
    <hyperlink ref="G130" r:id="rId11"/>
    <hyperlink ref="G39" r:id="rId12"/>
    <hyperlink ref="G133" r:id="rId13"/>
    <hyperlink ref="G140" r:id="rId14"/>
    <hyperlink ref="G54" r:id="rId15"/>
    <hyperlink ref="G173" r:id="rId16"/>
    <hyperlink ref="G177" r:id="rId17"/>
    <hyperlink ref="G180" r:id="rId18"/>
    <hyperlink ref="G64" r:id="rId19"/>
    <hyperlink ref="G68" r:id="rId20"/>
    <hyperlink ref="G70" r:id="rId21"/>
    <hyperlink ref="G198" r:id="rId22"/>
    <hyperlink ref="G148" r:id="rId23"/>
    <hyperlink ref="G149" r:id="rId24"/>
    <hyperlink ref="G20" r:id="rId25"/>
    <hyperlink ref="G42" r:id="rId26"/>
    <hyperlink ref="G118" r:id="rId27"/>
    <hyperlink ref="G160" r:id="rId28"/>
    <hyperlink ref="G155" r:id="rId29"/>
    <hyperlink ref="G43" r:id="rId30"/>
    <hyperlink ref="G119" r:id="rId31"/>
    <hyperlink ref="G175" r:id="rId32"/>
    <hyperlink ref="G184" r:id="rId33"/>
    <hyperlink ref="G71" r:id="rId34"/>
    <hyperlink ref="G60" r:id="rId35"/>
    <hyperlink ref="G48" r:id="rId36"/>
    <hyperlink ref="G63" r:id="rId37"/>
    <hyperlink ref="G18" r:id="rId38"/>
    <hyperlink ref="G57" r:id="rId39"/>
    <hyperlink ref="G56" r:id="rId40"/>
    <hyperlink ref="G37" r:id="rId41"/>
    <hyperlink ref="G32" r:id="rId42"/>
    <hyperlink ref="G33" r:id="rId43"/>
    <hyperlink ref="G21" r:id="rId44"/>
    <hyperlink ref="G13" r:id="rId45"/>
    <hyperlink ref="G45" r:id="rId46"/>
    <hyperlink ref="G17" r:id="rId47"/>
    <hyperlink ref="G31" r:id="rId48"/>
    <hyperlink ref="G28" r:id="rId49"/>
    <hyperlink ref="G49" r:id="rId50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 t="s">
        <v>7</v>
      </c>
      <c r="B5" s="7" t="s">
        <v>8</v>
      </c>
      <c r="C5" s="8" t="s">
        <v>9</v>
      </c>
      <c r="D5" s="49">
        <v>1</v>
      </c>
      <c r="E5" s="47"/>
      <c r="F5" s="47"/>
      <c r="G5" s="47"/>
      <c r="H5" s="47"/>
      <c r="I5" s="47"/>
      <c r="J5" s="47">
        <v>1</v>
      </c>
      <c r="K5" s="94">
        <v>80</v>
      </c>
      <c r="L5" s="68"/>
    </row>
    <row r="6" spans="1:12" x14ac:dyDescent="0.25">
      <c r="A6" s="7" t="s">
        <v>126</v>
      </c>
      <c r="B6" s="7" t="s">
        <v>127</v>
      </c>
      <c r="C6" s="8" t="s">
        <v>128</v>
      </c>
      <c r="D6" s="49">
        <v>1</v>
      </c>
      <c r="E6" s="47">
        <v>1</v>
      </c>
      <c r="F6" s="47">
        <v>1</v>
      </c>
      <c r="G6" s="47">
        <v>1</v>
      </c>
      <c r="H6" s="47">
        <v>1</v>
      </c>
      <c r="I6" s="47"/>
      <c r="J6" s="47">
        <v>1</v>
      </c>
      <c r="K6" s="94">
        <v>160</v>
      </c>
      <c r="L6" s="68"/>
    </row>
    <row r="7" spans="1:12" x14ac:dyDescent="0.25">
      <c r="A7" s="15" t="s">
        <v>656</v>
      </c>
      <c r="B7" s="15" t="s">
        <v>409</v>
      </c>
      <c r="C7" s="10" t="s">
        <v>657</v>
      </c>
      <c r="D7" s="49">
        <v>1</v>
      </c>
      <c r="E7" s="47"/>
      <c r="F7" s="47"/>
      <c r="G7" s="47"/>
      <c r="H7" s="47"/>
      <c r="I7" s="47"/>
      <c r="J7" s="47">
        <v>1</v>
      </c>
      <c r="K7" s="94">
        <v>80</v>
      </c>
      <c r="L7" s="68"/>
    </row>
    <row r="8" spans="1:12" x14ac:dyDescent="0.25">
      <c r="A8" s="5" t="s">
        <v>184</v>
      </c>
      <c r="B8" s="5" t="s">
        <v>185</v>
      </c>
      <c r="C8" s="6" t="s">
        <v>186</v>
      </c>
      <c r="D8" s="49">
        <v>1</v>
      </c>
      <c r="E8" s="47"/>
      <c r="F8" s="47"/>
      <c r="G8" s="47"/>
      <c r="H8" s="47"/>
      <c r="I8" s="47"/>
      <c r="J8" s="47">
        <v>1</v>
      </c>
      <c r="K8" s="94">
        <v>80</v>
      </c>
      <c r="L8" s="68"/>
    </row>
    <row r="9" spans="1:12" x14ac:dyDescent="0.25">
      <c r="A9" s="15" t="s">
        <v>669</v>
      </c>
      <c r="B9" s="15" t="s">
        <v>159</v>
      </c>
      <c r="C9" s="10" t="s">
        <v>670</v>
      </c>
      <c r="D9" s="49">
        <v>1</v>
      </c>
      <c r="E9" s="47"/>
      <c r="F9" s="47"/>
      <c r="G9" s="47"/>
      <c r="H9" s="47">
        <v>1</v>
      </c>
      <c r="I9" s="47"/>
      <c r="J9" s="47">
        <v>1</v>
      </c>
      <c r="K9" s="94">
        <v>80</v>
      </c>
      <c r="L9" s="68"/>
    </row>
    <row r="10" spans="1:12" x14ac:dyDescent="0.25">
      <c r="A10" s="15" t="s">
        <v>672</v>
      </c>
      <c r="B10" s="15" t="s">
        <v>350</v>
      </c>
      <c r="C10" s="10" t="s">
        <v>673</v>
      </c>
      <c r="D10" s="49">
        <v>1</v>
      </c>
      <c r="E10" s="47">
        <v>1</v>
      </c>
      <c r="F10" s="47">
        <v>1</v>
      </c>
      <c r="G10" s="47"/>
      <c r="H10" s="47"/>
      <c r="I10" s="47"/>
      <c r="J10" s="47">
        <v>1</v>
      </c>
      <c r="K10" s="94">
        <v>110</v>
      </c>
      <c r="L10" s="68"/>
    </row>
    <row r="11" spans="1:12" x14ac:dyDescent="0.25">
      <c r="A11" s="7" t="s">
        <v>741</v>
      </c>
      <c r="B11" s="7"/>
      <c r="C11" s="8" t="s">
        <v>742</v>
      </c>
      <c r="D11" s="49"/>
      <c r="E11" s="47"/>
      <c r="F11" s="47">
        <v>1</v>
      </c>
      <c r="G11" s="47"/>
      <c r="H11" s="47"/>
      <c r="I11" s="47"/>
      <c r="J11" s="47">
        <v>1</v>
      </c>
      <c r="K11" s="94">
        <v>90</v>
      </c>
      <c r="L11" s="68"/>
    </row>
    <row r="12" spans="1:12" x14ac:dyDescent="0.25">
      <c r="A12" s="15" t="s">
        <v>680</v>
      </c>
      <c r="B12" s="15" t="s">
        <v>91</v>
      </c>
      <c r="C12" s="10" t="s">
        <v>681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5" t="s">
        <v>396</v>
      </c>
      <c r="B13" s="5" t="s">
        <v>72</v>
      </c>
      <c r="C13" s="6" t="s">
        <v>397</v>
      </c>
      <c r="D13" s="49"/>
      <c r="E13" s="47"/>
      <c r="F13" s="47"/>
      <c r="G13" s="47"/>
      <c r="H13" s="47"/>
      <c r="I13" s="47"/>
      <c r="J13" s="47">
        <v>1</v>
      </c>
      <c r="K13" s="94">
        <v>70</v>
      </c>
      <c r="L13" s="68"/>
    </row>
    <row r="14" spans="1:12" x14ac:dyDescent="0.25">
      <c r="A14" s="7" t="s">
        <v>760</v>
      </c>
      <c r="B14" s="7" t="s">
        <v>409</v>
      </c>
      <c r="C14" s="8" t="s">
        <v>761</v>
      </c>
      <c r="D14" s="49"/>
      <c r="E14" s="47"/>
      <c r="F14" s="47"/>
      <c r="G14" s="47"/>
      <c r="H14" s="47"/>
      <c r="I14" s="47"/>
      <c r="J14" s="47">
        <v>1</v>
      </c>
      <c r="K14" s="94">
        <v>70</v>
      </c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 t="s">
        <v>719</v>
      </c>
      <c r="D7" s="5" t="s">
        <v>235</v>
      </c>
      <c r="E7" s="6" t="s">
        <v>720</v>
      </c>
    </row>
    <row r="8" spans="3:5" x14ac:dyDescent="0.25">
      <c r="C8" s="7" t="s">
        <v>283</v>
      </c>
      <c r="D8" s="7" t="s">
        <v>81</v>
      </c>
      <c r="E8" s="8" t="s">
        <v>284</v>
      </c>
    </row>
    <row r="9" spans="3:5" x14ac:dyDescent="0.25">
      <c r="C9" s="7" t="s">
        <v>369</v>
      </c>
      <c r="D9" s="7" t="s">
        <v>45</v>
      </c>
      <c r="E9" s="8" t="s">
        <v>370</v>
      </c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 t="s">
        <v>231</v>
      </c>
      <c r="D7" s="12" t="s">
        <v>232</v>
      </c>
      <c r="E7" s="8" t="s">
        <v>233</v>
      </c>
    </row>
    <row r="8" spans="3:5" x14ac:dyDescent="0.25">
      <c r="C8" s="15" t="s">
        <v>672</v>
      </c>
      <c r="D8" s="15" t="s">
        <v>350</v>
      </c>
      <c r="E8" s="10" t="s">
        <v>673</v>
      </c>
    </row>
    <row r="9" spans="3:5" x14ac:dyDescent="0.25">
      <c r="C9" s="7" t="s">
        <v>292</v>
      </c>
      <c r="D9" s="7" t="s">
        <v>293</v>
      </c>
      <c r="E9" s="8" t="s">
        <v>294</v>
      </c>
    </row>
    <row r="10" spans="3:5" x14ac:dyDescent="0.25">
      <c r="C10" s="7" t="s">
        <v>316</v>
      </c>
      <c r="D10" s="7" t="s">
        <v>45</v>
      </c>
      <c r="E10" s="8" t="s">
        <v>317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/>
    <hyperlink ref="E135" r:id="rId2"/>
    <hyperlink ref="E6" r:id="rId3"/>
    <hyperlink ref="E9" r:id="rId4"/>
    <hyperlink ref="E12" r:id="rId5"/>
    <hyperlink ref="E31" r:id="rId6"/>
    <hyperlink ref="E46" r:id="rId7"/>
    <hyperlink ref="E51" r:id="rId8"/>
    <hyperlink ref="E55" r:id="rId9"/>
    <hyperlink ref="E56" r:id="rId10"/>
    <hyperlink ref="E72" r:id="rId11"/>
    <hyperlink ref="E73" r:id="rId12"/>
    <hyperlink ref="E77" r:id="rId13"/>
    <hyperlink ref="E83" r:id="rId14"/>
    <hyperlink ref="E121" r:id="rId15"/>
    <hyperlink ref="E126" r:id="rId16"/>
    <hyperlink ref="E132" r:id="rId17"/>
    <hyperlink ref="E134" r:id="rId18"/>
    <hyperlink ref="E140" r:id="rId19"/>
    <hyperlink ref="E156" r:id="rId20"/>
    <hyperlink ref="E161" r:id="rId21"/>
    <hyperlink ref="E162" r:id="rId22"/>
    <hyperlink ref="E94" r:id="rId23"/>
    <hyperlink ref="E95" r:id="rId24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FRegFirstPlayer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mlr94549</cp:lastModifiedBy>
  <cp:lastPrinted>2024-04-20T02:14:00Z</cp:lastPrinted>
  <dcterms:created xsi:type="dcterms:W3CDTF">2024-01-08T00:50:15Z</dcterms:created>
  <dcterms:modified xsi:type="dcterms:W3CDTF">2025-03-11T01:41:29Z</dcterms:modified>
</cp:coreProperties>
</file>