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A511F7AE-F95D-4D93-91A7-10E0D17B3AD0}" xr6:coauthVersionLast="47" xr6:coauthVersionMax="47" xr10:uidLastSave="{00000000-0000-0000-0000-000000000000}"/>
  <bookViews>
    <workbookView minimized="1" xWindow="-28155" yWindow="675" windowWidth="25860" windowHeight="12405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54" i="1" l="1"/>
  <c r="R23" i="1"/>
  <c r="R14" i="1"/>
  <c r="R61" i="1"/>
  <c r="R26" i="1"/>
  <c r="R60" i="1"/>
  <c r="R16" i="1"/>
  <c r="R63" i="1"/>
  <c r="Q32" i="1"/>
  <c r="Q54" i="1"/>
  <c r="Q71" i="1"/>
  <c r="Q70" i="1"/>
  <c r="Q23" i="1"/>
  <c r="Q15" i="1"/>
  <c r="Q14" i="1"/>
  <c r="Q27" i="1"/>
  <c r="Q33" i="1"/>
  <c r="Q61" i="1"/>
  <c r="Q39" i="1"/>
  <c r="Q53" i="1"/>
  <c r="Q20" i="1"/>
  <c r="Q21" i="1"/>
  <c r="Q49" i="1"/>
  <c r="Q40" i="1"/>
  <c r="Q41" i="1"/>
  <c r="Q69" i="1"/>
  <c r="Q28" i="1"/>
  <c r="Q52" i="1"/>
  <c r="Q22" i="1"/>
  <c r="Q31" i="1"/>
  <c r="Q18" i="1"/>
  <c r="Q43" i="1"/>
  <c r="Q68" i="1"/>
  <c r="Q12" i="1"/>
  <c r="Q67" i="1"/>
  <c r="Q66" i="1"/>
  <c r="Q57" i="1"/>
  <c r="Q19" i="1"/>
  <c r="Q51" i="1"/>
  <c r="Q48" i="1"/>
  <c r="Q36" i="1"/>
  <c r="Q29" i="1"/>
  <c r="Q47" i="1"/>
  <c r="Q30" i="1"/>
  <c r="Q26" i="1"/>
  <c r="Q60" i="1"/>
  <c r="Q44" i="1"/>
  <c r="Q46" i="1"/>
  <c r="Q13" i="1"/>
  <c r="Q65" i="1"/>
  <c r="Q42" i="1"/>
  <c r="Q64" i="1"/>
  <c r="Q56" i="1"/>
  <c r="Q16" i="1"/>
  <c r="Q35" i="1"/>
  <c r="Q55" i="1"/>
  <c r="Q59" i="1"/>
  <c r="Q63" i="1"/>
  <c r="Q34" i="1"/>
  <c r="Q25" i="1"/>
  <c r="Q17" i="1"/>
  <c r="Q38" i="1"/>
  <c r="Q24" i="1"/>
  <c r="Q58" i="1"/>
  <c r="Q62" i="1"/>
  <c r="Q45" i="1"/>
  <c r="Q50" i="1"/>
  <c r="R37" i="1"/>
  <c r="Q3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62" i="1" a="1"/>
  <c r="S40" i="1" a="1"/>
  <c r="S29" i="1" a="1"/>
  <c r="S49" i="1" a="1"/>
  <c r="S56" i="1" a="1"/>
  <c r="S55" i="1" a="1"/>
  <c r="S23" i="1" a="1"/>
  <c r="S41" i="1" a="1"/>
  <c r="S13" i="1" a="1"/>
  <c r="S14" i="1" a="1"/>
  <c r="S20" i="1" a="1"/>
  <c r="S50" i="1" a="1"/>
  <c r="S15" i="1" a="1"/>
  <c r="S24" i="1" a="1"/>
  <c r="S43" i="1" a="1"/>
  <c r="S32" i="1" a="1"/>
  <c r="S59" i="1" a="1"/>
  <c r="S48" i="1" a="1"/>
  <c r="S12" i="1" a="1"/>
  <c r="S31" i="1" a="1"/>
  <c r="S18" i="1" a="1"/>
  <c r="S16" i="1" a="1"/>
  <c r="S65" i="1" a="1"/>
  <c r="S28" i="1" a="1"/>
  <c r="S19" i="1" a="1"/>
  <c r="S58" i="1" a="1"/>
  <c r="S47" i="1" a="1"/>
  <c r="S66" i="1" a="1"/>
  <c r="S21" i="1" a="1"/>
  <c r="S17" i="1" a="1"/>
  <c r="S42" i="1" a="1"/>
  <c r="S25" i="1" a="1"/>
  <c r="S51" i="1" a="1"/>
  <c r="S61" i="1" a="1"/>
  <c r="S70" i="1" a="1"/>
  <c r="S27" i="1" a="1"/>
  <c r="S54" i="1" a="1"/>
  <c r="S64" i="1" a="1"/>
  <c r="S35" i="1" a="1"/>
  <c r="S63" i="1" a="1"/>
  <c r="S34" i="1" a="1"/>
  <c r="S52" i="1" a="1"/>
  <c r="S36" i="1" a="1"/>
  <c r="S45" i="1" a="1"/>
  <c r="S68" i="1" a="1"/>
  <c r="S53" i="1" a="1"/>
  <c r="S33" i="1" a="1"/>
  <c r="S71" i="1" a="1"/>
  <c r="S46" i="1" a="1"/>
  <c r="S69" i="1" a="1"/>
  <c r="S38" i="1" a="1"/>
  <c r="S22" i="1" a="1"/>
  <c r="S60" i="1" a="1"/>
  <c r="S57" i="1" a="1"/>
  <c r="S39" i="1" a="1"/>
  <c r="S30" i="1" a="1"/>
  <c r="S37" i="1" a="1"/>
  <c r="S44" i="1" a="1"/>
  <c r="S67" i="1" a="1"/>
  <c r="S26" i="1" a="1"/>
  <c r="S51" i="1" l="1"/>
  <c r="N51" i="1" s="1"/>
  <c r="S17" i="1"/>
  <c r="S12" i="1"/>
  <c r="R12" i="1" s="1"/>
  <c r="S24" i="1"/>
  <c r="S36" i="1"/>
  <c r="N36" i="1" s="1"/>
  <c r="S63" i="1"/>
  <c r="N63" i="1" s="1"/>
  <c r="S50" i="1"/>
  <c r="N50" i="1" s="1"/>
  <c r="S28" i="1"/>
  <c r="S13" i="1"/>
  <c r="S55" i="1"/>
  <c r="S14" i="1"/>
  <c r="N14" i="1" s="1"/>
  <c r="S32" i="1"/>
  <c r="S66" i="1"/>
  <c r="R66" i="1" s="1"/>
  <c r="S52" i="1"/>
  <c r="N52" i="1" s="1"/>
  <c r="S19" i="1"/>
  <c r="N19" i="1" s="1"/>
  <c r="S20" i="1"/>
  <c r="R20" i="1" s="1"/>
  <c r="S29" i="1"/>
  <c r="S26" i="1"/>
  <c r="N26" i="1" s="1"/>
  <c r="S30" i="1"/>
  <c r="S64" i="1"/>
  <c r="S67" i="1"/>
  <c r="S31" i="1"/>
  <c r="S21" i="1"/>
  <c r="S47" i="1"/>
  <c r="N47" i="1" s="1"/>
  <c r="S37" i="1"/>
  <c r="N37" i="1" s="1"/>
  <c r="S18" i="1"/>
  <c r="S65" i="1"/>
  <c r="N65" i="1" s="1"/>
  <c r="S27" i="1"/>
  <c r="S33" i="1"/>
  <c r="S62" i="1"/>
  <c r="S35" i="1"/>
  <c r="S57" i="1"/>
  <c r="R57" i="1" s="1"/>
  <c r="S40" i="1"/>
  <c r="N40" i="1" s="1"/>
  <c r="S41" i="1"/>
  <c r="S25" i="1"/>
  <c r="S15" i="1"/>
  <c r="N15" i="1" s="1"/>
  <c r="S69" i="1"/>
  <c r="S23" i="1"/>
  <c r="N23" i="1" s="1"/>
  <c r="S58" i="1"/>
  <c r="R58" i="1" s="1"/>
  <c r="S44" i="1"/>
  <c r="S49" i="1"/>
  <c r="S68" i="1"/>
  <c r="S38" i="1"/>
  <c r="S61" i="1"/>
  <c r="N61" i="1" s="1"/>
  <c r="S42" i="1"/>
  <c r="N42" i="1" s="1"/>
  <c r="S71" i="1"/>
  <c r="S46" i="1"/>
  <c r="S39" i="1"/>
  <c r="N39" i="1" s="1"/>
  <c r="S45" i="1"/>
  <c r="N45" i="1" s="1"/>
  <c r="S59" i="1"/>
  <c r="R59" i="1" s="1"/>
  <c r="S34" i="1"/>
  <c r="N34" i="1" s="1"/>
  <c r="S53" i="1"/>
  <c r="R53" i="1" s="1"/>
  <c r="S70" i="1"/>
  <c r="S16" i="1"/>
  <c r="N16" i="1" s="1"/>
  <c r="S56" i="1"/>
  <c r="S60" i="1"/>
  <c r="N60" i="1" s="1"/>
  <c r="S54" i="1"/>
  <c r="N54" i="1" s="1"/>
  <c r="S48" i="1"/>
  <c r="S22" i="1"/>
  <c r="S43" i="1"/>
  <c r="N43" i="1" s="1"/>
  <c r="R36" i="1"/>
  <c r="R40" i="1"/>
  <c r="R42" i="1"/>
  <c r="E222" i="3"/>
  <c r="R51" i="1" l="1"/>
  <c r="N44" i="1"/>
  <c r="R44" i="1"/>
  <c r="N17" i="1"/>
  <c r="R17" i="1"/>
  <c r="N66" i="1"/>
  <c r="N56" i="1"/>
  <c r="R56" i="1"/>
  <c r="N21" i="1"/>
  <c r="R21" i="1"/>
  <c r="N30" i="1"/>
  <c r="R30" i="1"/>
  <c r="N69" i="1"/>
  <c r="R69" i="1"/>
  <c r="N27" i="1"/>
  <c r="R27" i="1"/>
  <c r="N71" i="1"/>
  <c r="R71" i="1"/>
  <c r="N62" i="1"/>
  <c r="R62" i="1"/>
  <c r="N31" i="1"/>
  <c r="R31" i="1"/>
  <c r="N70" i="1"/>
  <c r="R70" i="1"/>
  <c r="N33" i="1"/>
  <c r="R33" i="1"/>
  <c r="N38" i="1"/>
  <c r="R38" i="1"/>
  <c r="N48" i="1"/>
  <c r="R48" i="1"/>
  <c r="N64" i="1"/>
  <c r="R64" i="1"/>
  <c r="N32" i="1"/>
  <c r="R32" i="1"/>
  <c r="N28" i="1"/>
  <c r="R28" i="1"/>
  <c r="N24" i="1"/>
  <c r="R24" i="1"/>
  <c r="N25" i="1"/>
  <c r="R25" i="1"/>
  <c r="N68" i="1"/>
  <c r="R68" i="1"/>
  <c r="N55" i="1"/>
  <c r="R55" i="1"/>
  <c r="N22" i="1"/>
  <c r="R22" i="1"/>
  <c r="N46" i="1"/>
  <c r="R46" i="1"/>
  <c r="N49" i="1"/>
  <c r="R49" i="1"/>
  <c r="N67" i="1"/>
  <c r="R67" i="1"/>
  <c r="N29" i="1"/>
  <c r="R29" i="1"/>
  <c r="N41" i="1"/>
  <c r="R41" i="1"/>
  <c r="N35" i="1"/>
  <c r="R35" i="1"/>
  <c r="N18" i="1"/>
  <c r="R18" i="1"/>
  <c r="N13" i="1"/>
  <c r="R13" i="1"/>
  <c r="N20" i="1"/>
  <c r="R50" i="1"/>
  <c r="R45" i="1"/>
  <c r="R19" i="1"/>
  <c r="N12" i="1"/>
  <c r="R65" i="1"/>
  <c r="N53" i="1"/>
  <c r="S10" i="1"/>
  <c r="N57" i="1"/>
  <c r="R43" i="1"/>
  <c r="R47" i="1"/>
  <c r="R15" i="1"/>
  <c r="R39" i="1"/>
  <c r="N58" i="1"/>
  <c r="N59" i="1"/>
  <c r="R52" i="1"/>
  <c r="R34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<sst xmlns="http://schemas.openxmlformats.org/spreadsheetml/2006/main" count="489" uniqueCount="242">
  <si>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</si>
  <si>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</si>
  <si>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</si>
  <si>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</si>
  <si>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</si>
  <si>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</si>
  <si>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</si>
  <si>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</si>
  <si>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</si>
  <si>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</si>
  <si>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</si>
  <si>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</si>
  <si>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</si>
  <si>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</si>
  <si>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</si>
  <si>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</si>
  <si>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</si>
  <si>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</si>
  <si>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</si>
  <si>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</si>
  <si>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</si>
  <si>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</si>
  <si>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</si>
  <si>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</si>
  <si>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</si>
  <si>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</si>
  <si>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</si>
  <si>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</si>
  <si>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</si>
  <si>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</si>
  <si>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</si>
  <si>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</si>
  <si>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</si>
  <si>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</si>
  <si>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</si>
  <si>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</si>
  <si>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</si>
  <si>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</si>
  <si>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</si>
  <si>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</si>
  <si>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</si>
  <si>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</si>
  <si>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</si>
  <si>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</si>
  <si>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</si>
  <si>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</si>
  <si>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</si>
  <si>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</si>
  <si>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</si>
  <si>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</si>
  <si>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</si>
  <si>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</si>
  <si>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</si>
  <si>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</si>
  <si>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</si>
  <si>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</si>
  <si>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</si>
  <si>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</si>
  <si>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</si>
  <si>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</si>
  <si>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</si>
  <si>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</si>
  <si>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</si>
  <si>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</si>
  <si>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</si>
  <si>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</si>
  <si>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</si>
  <si>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</si>
  <si>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</si>
  <si>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</si>
  <si>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</si>
  <si>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</si>
  <si>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</si>
  <si>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</si>
  <si>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</si>
  <si>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</si>
  <si>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</si>
  <si>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</si>
  <si>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</si>
  <si>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</si>
  <si>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</si>
  <si>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</si>
  <si>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</si>
  <si>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</si>
  <si>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</si>
  <si>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</si>
  <si>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</si>
  <si>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</si>
  <si>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</si>
  <si>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</si>
  <si>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</si>
  <si>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Napa Wine Country Open</t>
  </si>
  <si>
    <t>The Moose Lodge</t>
  </si>
  <si>
    <t>Napa, Ca, 94558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</si>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</sst>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49" fontId="9" fillId="0" borderId="0" xfId="0" applyNumberFormat="1" applyFont="1" applyProtection="1"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4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91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92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93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45402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60</v>
      </c>
      <c r="C10" s="51">
        <f>COUNTIF(C12:C322,"&lt;&gt;"&amp;"")</f>
        <v>15</v>
      </c>
      <c r="G10" s="51">
        <f t="shared" ref="G10:M10" si="0">COUNTIF(G12:G322,"&lt;&gt;"&amp;"")</f>
        <v>50</v>
      </c>
      <c r="H10" s="51">
        <f t="shared" si="0"/>
        <v>32</v>
      </c>
      <c r="I10" s="51">
        <f t="shared" si="0"/>
        <v>36</v>
      </c>
      <c r="J10" s="51">
        <f t="shared" si="0"/>
        <v>16</v>
      </c>
      <c r="K10" s="51">
        <f t="shared" si="0"/>
        <v>14</v>
      </c>
      <c r="L10" s="51">
        <f t="shared" si="0"/>
        <v>2</v>
      </c>
      <c r="M10" s="51">
        <f t="shared" si="0"/>
        <v>10</v>
      </c>
      <c r="N10" s="149">
        <f>SUM(N12:N211)</f>
        <v>920</v>
      </c>
      <c r="Q10" s="84">
        <f>SUM(Q12:Q211)</f>
        <v>0</v>
      </c>
      <c r="R10" s="149">
        <f>SUM(R12:R211)</f>
        <v>920</v>
      </c>
      <c r="S10" s="149">
        <f>SUM(S12:S211)</f>
        <v>6540</v>
      </c>
      <c r="T10" s="51">
        <f>COUNTIF(T12:T411,"&lt;&gt;"&amp;"")</f>
        <v>4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94">
        <v>1</v>
      </c>
      <c r="C12" s="105">
        <v>1</v>
      </c>
      <c r="D12" s="145" t="s">
        <v>99</v>
      </c>
      <c r="E12" s="145" t="s">
        <v>100</v>
      </c>
      <c r="F12" s="114" t="s">
        <v>101</v>
      </c>
      <c r="G12" s="106">
        <v>1</v>
      </c>
      <c r="H12" s="106"/>
      <c r="I12" s="106"/>
      <c r="J12" s="106"/>
      <c r="K12" s="106"/>
      <c r="L12" s="143"/>
      <c r="M12" s="108">
        <v>1</v>
      </c>
      <c r="N12" s="108">
        <f t="shared" ref="N12:N43" si="1">M12*S12</f>
        <v>80</v>
      </c>
      <c r="O12" s="54"/>
      <c r="P12" s="7"/>
      <c r="Q12" s="144" t="str">
        <f t="shared" ref="Q12:Q43" si="2">IF(OR(O12="c",O12="C"),+S12,"")</f>
        <v/>
      </c>
      <c r="R12" s="115">
        <f t="shared" ref="R12:R43" si="3">IF(OR(O12="$",M12=1),+S12,"")</f>
        <v>80</v>
      </c>
      <c r="S12" s="54" cm="1">
        <f t="array" ref="S12">B12*MainEntryFee()+G12*MPool1Fee()+H12*MPool2Fee()+I12*MPool3Fee()+J12*MPool4Fee()</f>
        <v>80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106">
        <v>1</v>
      </c>
      <c r="C13" s="105">
        <v>1</v>
      </c>
      <c r="D13" s="145" t="s">
        <v>105</v>
      </c>
      <c r="E13" s="145" t="s">
        <v>106</v>
      </c>
      <c r="F13" s="114" t="s">
        <v>107</v>
      </c>
      <c r="G13" s="106">
        <v>1</v>
      </c>
      <c r="H13" s="106">
        <v>1</v>
      </c>
      <c r="I13" s="106">
        <v>1</v>
      </c>
      <c r="J13" s="106">
        <v>1</v>
      </c>
      <c r="K13" s="106"/>
      <c r="L13" s="143"/>
      <c r="M13" s="108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117</v>
      </c>
      <c r="E14" s="145" t="s">
        <v>118</v>
      </c>
      <c r="F14" s="111" t="s">
        <v>119</v>
      </c>
      <c r="G14" s="94"/>
      <c r="H14" s="105"/>
      <c r="I14" s="105"/>
      <c r="J14" s="105"/>
      <c r="K14" s="105"/>
      <c r="L14" s="165"/>
      <c r="M14" s="67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70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94">
        <v>1</v>
      </c>
      <c r="C15" s="105">
        <v>1</v>
      </c>
      <c r="D15" s="145" t="s">
        <v>122</v>
      </c>
      <c r="E15" s="145" t="s">
        <v>123</v>
      </c>
      <c r="F15" s="111" t="s">
        <v>124</v>
      </c>
      <c r="G15" s="106">
        <v>1</v>
      </c>
      <c r="H15" s="106"/>
      <c r="I15" s="106">
        <v>1</v>
      </c>
      <c r="J15" s="106"/>
      <c r="K15" s="106"/>
      <c r="L15" s="143"/>
      <c r="M15" s="166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100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130</v>
      </c>
      <c r="E16" s="145" t="s">
        <v>115</v>
      </c>
      <c r="F16" s="111" t="s">
        <v>131</v>
      </c>
      <c r="G16" s="94">
        <v>1</v>
      </c>
      <c r="H16" s="105">
        <v>1</v>
      </c>
      <c r="I16" s="105">
        <v>1</v>
      </c>
      <c r="J16" s="105">
        <v>1</v>
      </c>
      <c r="K16" s="105"/>
      <c r="L16" s="143"/>
      <c r="M16" s="67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160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139</v>
      </c>
      <c r="E17" s="145" t="s">
        <v>140</v>
      </c>
      <c r="F17" s="111" t="s">
        <v>141</v>
      </c>
      <c r="G17" s="106">
        <v>1</v>
      </c>
      <c r="H17" s="106">
        <v>1</v>
      </c>
      <c r="I17" s="106">
        <v>1</v>
      </c>
      <c r="J17" s="106">
        <v>1</v>
      </c>
      <c r="K17" s="106">
        <v>1</v>
      </c>
      <c r="L17" s="143"/>
      <c r="M17" s="108">
        <v>1</v>
      </c>
      <c r="N17" s="108">
        <f t="shared" si="1"/>
        <v>160</v>
      </c>
      <c r="O17" s="54"/>
      <c r="P17" s="7"/>
      <c r="Q17" s="144" t="str">
        <f t="shared" si="2"/>
        <v/>
      </c>
      <c r="R17" s="115">
        <f t="shared" si="3"/>
        <v>160</v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106">
        <v>1</v>
      </c>
      <c r="C18" s="105">
        <v>1</v>
      </c>
      <c r="D18" s="145" t="s">
        <v>142</v>
      </c>
      <c r="E18" s="145" t="s">
        <v>118</v>
      </c>
      <c r="F18" s="111" t="s">
        <v>143</v>
      </c>
      <c r="G18" s="94">
        <v>1</v>
      </c>
      <c r="H18" s="105">
        <v>1</v>
      </c>
      <c r="I18" s="105">
        <v>1</v>
      </c>
      <c r="J18" s="105">
        <v>1</v>
      </c>
      <c r="K18" s="105">
        <v>1</v>
      </c>
      <c r="L18" s="165"/>
      <c r="M18" s="67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160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147</v>
      </c>
      <c r="E19" s="145" t="s">
        <v>148</v>
      </c>
      <c r="F19" s="114" t="s">
        <v>149</v>
      </c>
      <c r="G19" s="106">
        <v>1</v>
      </c>
      <c r="H19" s="106">
        <v>1</v>
      </c>
      <c r="I19" s="106">
        <v>1</v>
      </c>
      <c r="J19" s="106">
        <v>1</v>
      </c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160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158</v>
      </c>
      <c r="E20" s="145" t="s">
        <v>109</v>
      </c>
      <c r="F20" s="114" t="s">
        <v>159</v>
      </c>
      <c r="G20" s="106">
        <v>1</v>
      </c>
      <c r="H20" s="106">
        <v>1</v>
      </c>
      <c r="I20" s="106">
        <v>1</v>
      </c>
      <c r="J20" s="106"/>
      <c r="K20" s="106"/>
      <c r="L20" s="165"/>
      <c r="M20" s="108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110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>
        <v>1</v>
      </c>
      <c r="C21" s="105">
        <v>1</v>
      </c>
      <c r="D21" s="145" t="s">
        <v>164</v>
      </c>
      <c r="E21" s="145" t="s">
        <v>123</v>
      </c>
      <c r="F21" s="111" t="s">
        <v>165</v>
      </c>
      <c r="G21" s="94">
        <v>1</v>
      </c>
      <c r="H21" s="105">
        <v>1</v>
      </c>
      <c r="I21" s="105">
        <v>1</v>
      </c>
      <c r="J21" s="105">
        <v>1</v>
      </c>
      <c r="K21" s="105"/>
      <c r="L21" s="143"/>
      <c r="M21" s="67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199</v>
      </c>
      <c r="E22" s="145" t="s">
        <v>156</v>
      </c>
      <c r="F22" s="111" t="s">
        <v>200</v>
      </c>
      <c r="G22" s="94">
        <v>1</v>
      </c>
      <c r="H22" s="105"/>
      <c r="I22" s="105">
        <v>1</v>
      </c>
      <c r="J22" s="105"/>
      <c r="K22" s="105"/>
      <c r="L22" s="143"/>
      <c r="M22" s="67">
        <v>1</v>
      </c>
      <c r="N22" s="108">
        <f t="shared" si="1"/>
        <v>100</v>
      </c>
      <c r="O22" s="54"/>
      <c r="P22" s="7"/>
      <c r="Q22" s="144" t="str">
        <f t="shared" si="2"/>
        <v/>
      </c>
      <c r="R22" s="115">
        <f t="shared" si="3"/>
        <v>100</v>
      </c>
      <c r="S22" s="54" cm="1">
        <f t="array" ref="S22">B22*MainEntryFee()+G22*MPool1Fee()+H22*MPool2Fee()+I22*MPool3Fee()+J22*MPool4Fee()</f>
        <v>100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211</v>
      </c>
      <c r="E23" s="145" t="s">
        <v>112</v>
      </c>
      <c r="F23" s="114" t="s">
        <v>212</v>
      </c>
      <c r="G23" s="106">
        <v>1</v>
      </c>
      <c r="H23" s="106">
        <v>1</v>
      </c>
      <c r="I23" s="106">
        <v>1</v>
      </c>
      <c r="J23" s="106">
        <v>1</v>
      </c>
      <c r="K23" s="106">
        <v>1</v>
      </c>
      <c r="L23" s="143"/>
      <c r="M23" s="108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160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215</v>
      </c>
      <c r="E24" s="145" t="s">
        <v>216</v>
      </c>
      <c r="F24" s="114" t="s">
        <v>217</v>
      </c>
      <c r="G24" s="106">
        <v>1</v>
      </c>
      <c r="H24" s="106"/>
      <c r="I24" s="106"/>
      <c r="J24" s="106"/>
      <c r="K24" s="106"/>
      <c r="L24" s="143"/>
      <c r="M24" s="108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80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>
        <v>1</v>
      </c>
      <c r="D25" s="145" t="s">
        <v>218</v>
      </c>
      <c r="E25" s="145" t="s">
        <v>183</v>
      </c>
      <c r="F25" s="114" t="s">
        <v>219</v>
      </c>
      <c r="G25" s="94"/>
      <c r="H25" s="105">
        <v>1</v>
      </c>
      <c r="I25" s="105">
        <v>1</v>
      </c>
      <c r="J25" s="105"/>
      <c r="K25" s="105"/>
      <c r="L25" s="143"/>
      <c r="M25" s="67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100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106">
        <v>1</v>
      </c>
      <c r="C26" s="105">
        <v>1</v>
      </c>
      <c r="D26" s="145" t="s">
        <v>226</v>
      </c>
      <c r="E26" s="145" t="s">
        <v>118</v>
      </c>
      <c r="F26" s="114" t="s">
        <v>227</v>
      </c>
      <c r="G26" s="106">
        <v>1</v>
      </c>
      <c r="H26" s="106">
        <v>1</v>
      </c>
      <c r="I26" s="106">
        <v>1</v>
      </c>
      <c r="J26" s="106"/>
      <c r="K26" s="106"/>
      <c r="L26" s="165"/>
      <c r="M26" s="108"/>
      <c r="N26" s="108">
        <f t="shared" si="1"/>
        <v>0</v>
      </c>
      <c r="O26" s="54"/>
      <c r="P26" s="7"/>
      <c r="Q26" s="144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110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94</v>
      </c>
      <c r="E27" s="145"/>
      <c r="F27" s="111" t="s">
        <v>95</v>
      </c>
      <c r="G27" s="94">
        <v>1</v>
      </c>
      <c r="H27" s="105"/>
      <c r="I27" s="105">
        <v>1</v>
      </c>
      <c r="J27" s="105"/>
      <c r="K27" s="105"/>
      <c r="L27" s="143"/>
      <c r="M27" s="67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100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1" t="s">
        <v>98</v>
      </c>
      <c r="G28" s="105">
        <v>1</v>
      </c>
      <c r="H28" s="105"/>
      <c r="I28" s="105">
        <v>1</v>
      </c>
      <c r="J28" s="105"/>
      <c r="K28" s="105"/>
      <c r="L28" s="143"/>
      <c r="M28" s="67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100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102</v>
      </c>
      <c r="E29" s="145" t="s">
        <v>103</v>
      </c>
      <c r="F29" s="114" t="s">
        <v>104</v>
      </c>
      <c r="G29" s="106">
        <v>1</v>
      </c>
      <c r="H29" s="106">
        <v>1</v>
      </c>
      <c r="I29" s="106">
        <v>1</v>
      </c>
      <c r="J29" s="106">
        <v>1</v>
      </c>
      <c r="K29" s="106">
        <v>1</v>
      </c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108</v>
      </c>
      <c r="E30" s="145" t="s">
        <v>109</v>
      </c>
      <c r="F30" s="114" t="s">
        <v>110</v>
      </c>
      <c r="G30" s="106">
        <v>1</v>
      </c>
      <c r="H30" s="106"/>
      <c r="I30" s="106"/>
      <c r="J30" s="106"/>
      <c r="K30" s="106">
        <v>1</v>
      </c>
      <c r="L30" s="165"/>
      <c r="M30" s="108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80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94">
        <v>1</v>
      </c>
      <c r="C31" s="105"/>
      <c r="D31" s="145" t="s">
        <v>111</v>
      </c>
      <c r="E31" s="145" t="s">
        <v>112</v>
      </c>
      <c r="F31" s="111" t="s">
        <v>113</v>
      </c>
      <c r="G31" s="94">
        <v>1</v>
      </c>
      <c r="H31" s="105">
        <v>1</v>
      </c>
      <c r="I31" s="105">
        <v>1</v>
      </c>
      <c r="J31" s="105"/>
      <c r="K31" s="105">
        <v>1</v>
      </c>
      <c r="L31" s="143"/>
      <c r="M31" s="67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110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>
        <v>1</v>
      </c>
      <c r="C32" s="105"/>
      <c r="D32" s="145" t="s">
        <v>114</v>
      </c>
      <c r="E32" s="145" t="s">
        <v>115</v>
      </c>
      <c r="F32" s="114" t="s">
        <v>116</v>
      </c>
      <c r="G32" s="106">
        <v>1</v>
      </c>
      <c r="H32" s="106"/>
      <c r="I32" s="106"/>
      <c r="J32" s="106"/>
      <c r="K32" s="106">
        <v>1</v>
      </c>
      <c r="L32" s="143"/>
      <c r="M32" s="108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120</v>
      </c>
      <c r="E33" s="145" t="s">
        <v>112</v>
      </c>
      <c r="F33" s="114" t="s">
        <v>121</v>
      </c>
      <c r="G33" s="106">
        <v>1</v>
      </c>
      <c r="H33" s="106">
        <v>1</v>
      </c>
      <c r="I33" s="106">
        <v>1</v>
      </c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110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125</v>
      </c>
      <c r="E34" s="145" t="s">
        <v>126</v>
      </c>
      <c r="F34" s="114" t="s">
        <v>127</v>
      </c>
      <c r="G34" s="106">
        <v>1</v>
      </c>
      <c r="H34" s="106">
        <v>1</v>
      </c>
      <c r="I34" s="106">
        <v>1</v>
      </c>
      <c r="J34" s="106"/>
      <c r="K34" s="106">
        <v>1</v>
      </c>
      <c r="L34" s="143"/>
      <c r="M34" s="108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110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106">
        <v>1</v>
      </c>
      <c r="C35" s="105"/>
      <c r="D35" s="145" t="s">
        <v>128</v>
      </c>
      <c r="E35" s="145" t="s">
        <v>115</v>
      </c>
      <c r="F35" s="114" t="s">
        <v>129</v>
      </c>
      <c r="G35" s="106">
        <v>1</v>
      </c>
      <c r="H35" s="106">
        <v>1</v>
      </c>
      <c r="I35" s="106">
        <v>1</v>
      </c>
      <c r="J35" s="106"/>
      <c r="K35" s="106"/>
      <c r="L35" s="143"/>
      <c r="M35" s="108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110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94">
        <v>1</v>
      </c>
      <c r="C36" s="105"/>
      <c r="D36" s="145" t="s">
        <v>132</v>
      </c>
      <c r="E36" s="145" t="s">
        <v>115</v>
      </c>
      <c r="F36" s="114" t="s">
        <v>133</v>
      </c>
      <c r="G36" s="94">
        <v>1</v>
      </c>
      <c r="H36" s="105">
        <v>1</v>
      </c>
      <c r="I36" s="105">
        <v>1</v>
      </c>
      <c r="J36" s="105">
        <v>1</v>
      </c>
      <c r="K36" s="105"/>
      <c r="L36" s="165"/>
      <c r="M36" s="67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160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134</v>
      </c>
      <c r="E37" s="145" t="s">
        <v>115</v>
      </c>
      <c r="F37" s="114" t="s">
        <v>135</v>
      </c>
      <c r="G37" s="106"/>
      <c r="H37" s="106"/>
      <c r="I37" s="106"/>
      <c r="J37" s="106"/>
      <c r="K37" s="106"/>
      <c r="L37" s="143"/>
      <c r="M37" s="108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70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94">
        <v>1</v>
      </c>
      <c r="C38" s="105"/>
      <c r="D38" s="145" t="s">
        <v>136</v>
      </c>
      <c r="E38" s="145" t="s">
        <v>137</v>
      </c>
      <c r="F38" s="114" t="s">
        <v>138</v>
      </c>
      <c r="G38" s="94">
        <v>1</v>
      </c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80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>
        <v>1</v>
      </c>
      <c r="C39" s="105"/>
      <c r="D39" s="145" t="s">
        <v>144</v>
      </c>
      <c r="E39" s="145" t="s">
        <v>145</v>
      </c>
      <c r="F39" s="104" t="s">
        <v>146</v>
      </c>
      <c r="G39" s="106">
        <v>1</v>
      </c>
      <c r="H39" s="106"/>
      <c r="I39" s="106"/>
      <c r="J39" s="106"/>
      <c r="K39" s="106"/>
      <c r="L39" s="165"/>
      <c r="M39" s="108">
        <v>1</v>
      </c>
      <c r="N39" s="108">
        <f t="shared" si="1"/>
        <v>80</v>
      </c>
      <c r="O39" s="54"/>
      <c r="P39" s="7"/>
      <c r="Q39" s="144" t="str">
        <f t="shared" si="2"/>
        <v/>
      </c>
      <c r="R39" s="115">
        <f t="shared" si="3"/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94">
        <v>1</v>
      </c>
      <c r="C40" s="105"/>
      <c r="D40" s="145" t="s">
        <v>150</v>
      </c>
      <c r="E40" s="145" t="s">
        <v>148</v>
      </c>
      <c r="F40" s="114" t="s">
        <v>151</v>
      </c>
      <c r="G40" s="106">
        <v>1</v>
      </c>
      <c r="H40" s="106">
        <v>1</v>
      </c>
      <c r="I40" s="106">
        <v>1</v>
      </c>
      <c r="J40" s="106">
        <v>1</v>
      </c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152</v>
      </c>
      <c r="E41" s="145" t="s">
        <v>153</v>
      </c>
      <c r="F41" s="111" t="s">
        <v>154</v>
      </c>
      <c r="G41" s="105">
        <v>1</v>
      </c>
      <c r="H41" s="105">
        <v>1</v>
      </c>
      <c r="I41" s="105">
        <v>1</v>
      </c>
      <c r="J41" s="105"/>
      <c r="K41" s="105"/>
      <c r="L41" s="143"/>
      <c r="M41" s="67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110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155</v>
      </c>
      <c r="E42" s="145" t="s">
        <v>156</v>
      </c>
      <c r="F42" s="111" t="s">
        <v>157</v>
      </c>
      <c r="G42" s="94">
        <v>1</v>
      </c>
      <c r="H42" s="105"/>
      <c r="I42" s="105"/>
      <c r="J42" s="105"/>
      <c r="K42" s="105"/>
      <c r="L42" s="143"/>
      <c r="M42" s="67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80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160</v>
      </c>
      <c r="E43" s="145" t="s">
        <v>115</v>
      </c>
      <c r="F43" s="111" t="s">
        <v>161</v>
      </c>
      <c r="G43" s="94">
        <v>1</v>
      </c>
      <c r="H43" s="105"/>
      <c r="I43" s="105"/>
      <c r="J43" s="105"/>
      <c r="K43" s="105"/>
      <c r="L43" s="143"/>
      <c r="M43" s="67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80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162</v>
      </c>
      <c r="E44" s="145" t="s">
        <v>137</v>
      </c>
      <c r="F44" s="114" t="s">
        <v>163</v>
      </c>
      <c r="G44" s="94">
        <v>1</v>
      </c>
      <c r="H44" s="105"/>
      <c r="I44" s="105"/>
      <c r="J44" s="105"/>
      <c r="K44" s="105"/>
      <c r="L44" s="143"/>
      <c r="M44" s="67">
        <v>1</v>
      </c>
      <c r="N44" s="108">
        <f t="shared" ref="N44:N71" si="4">M44*S44</f>
        <v>80</v>
      </c>
      <c r="O44" s="54"/>
      <c r="P44" s="7"/>
      <c r="Q44" s="144" t="str">
        <f t="shared" ref="Q44:Q71" si="5">IF(OR(O44="c",O44="C"),+S44,"")</f>
        <v/>
      </c>
      <c r="R44" s="115">
        <f t="shared" ref="R44:R71" si="6">IF(OR(O44="$",M44=1),+S44,"")</f>
        <v>80</v>
      </c>
      <c r="S44" s="54" cm="1">
        <f t="array" ref="S44">B44*MainEntryFee()+G44*MPool1Fee()+H44*MPool2Fee()+I44*MPool3Fee()+J44*MPool4Fee()</f>
        <v>80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166</v>
      </c>
      <c r="E45" s="145" t="s">
        <v>167</v>
      </c>
      <c r="F45" s="114" t="s">
        <v>168</v>
      </c>
      <c r="G45" s="106">
        <v>1</v>
      </c>
      <c r="H45" s="106"/>
      <c r="I45" s="106"/>
      <c r="J45" s="106"/>
      <c r="K45" s="106">
        <v>1</v>
      </c>
      <c r="L45" s="143"/>
      <c r="M45" s="108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80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106">
        <v>1</v>
      </c>
      <c r="C46" s="105"/>
      <c r="D46" s="145" t="s">
        <v>169</v>
      </c>
      <c r="E46" s="145" t="s">
        <v>170</v>
      </c>
      <c r="F46" s="114" t="s">
        <v>171</v>
      </c>
      <c r="G46" s="106">
        <v>1</v>
      </c>
      <c r="H46" s="106"/>
      <c r="I46" s="106"/>
      <c r="J46" s="106"/>
      <c r="K46" s="106">
        <v>1</v>
      </c>
      <c r="L46" s="143"/>
      <c r="M46" s="108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80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94">
        <v>1</v>
      </c>
      <c r="C47" s="105"/>
      <c r="D47" s="145" t="s">
        <v>172</v>
      </c>
      <c r="E47" s="145" t="s">
        <v>173</v>
      </c>
      <c r="F47" s="114" t="s">
        <v>174</v>
      </c>
      <c r="G47" s="106">
        <v>1</v>
      </c>
      <c r="H47" s="106"/>
      <c r="I47" s="106"/>
      <c r="J47" s="106"/>
      <c r="K47" s="106"/>
      <c r="L47" s="165"/>
      <c r="M47" s="108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80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175</v>
      </c>
      <c r="E48" s="145" t="s">
        <v>153</v>
      </c>
      <c r="F48" s="114" t="s">
        <v>176</v>
      </c>
      <c r="G48" s="106">
        <v>1</v>
      </c>
      <c r="H48" s="106"/>
      <c r="I48" s="106"/>
      <c r="J48" s="106"/>
      <c r="K48" s="106">
        <v>1</v>
      </c>
      <c r="L48" s="143"/>
      <c r="M48" s="108">
        <v>1</v>
      </c>
      <c r="N48" s="108">
        <f t="shared" si="4"/>
        <v>80</v>
      </c>
      <c r="O48" s="54"/>
      <c r="P48" s="7"/>
      <c r="Q48" s="144" t="str">
        <f t="shared" si="5"/>
        <v/>
      </c>
      <c r="R48" s="115">
        <f t="shared" si="6"/>
        <v>80</v>
      </c>
      <c r="S48" s="54" cm="1">
        <f t="array" ref="S48">B48*MainEntryFee()+G48*MPool1Fee()+H48*MPool2Fee()+I48*MPool3Fee()+J48*MPool4Fee()</f>
        <v>80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177</v>
      </c>
      <c r="E49" s="145" t="s">
        <v>178</v>
      </c>
      <c r="F49" s="114" t="s">
        <v>179</v>
      </c>
      <c r="G49" s="94">
        <v>1</v>
      </c>
      <c r="H49" s="105">
        <v>1</v>
      </c>
      <c r="I49" s="105">
        <v>1</v>
      </c>
      <c r="J49" s="105">
        <v>1</v>
      </c>
      <c r="K49" s="105">
        <v>1</v>
      </c>
      <c r="L49" s="143"/>
      <c r="M49" s="67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160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180</v>
      </c>
      <c r="E50" s="145" t="s">
        <v>118</v>
      </c>
      <c r="F50" s="111" t="s">
        <v>181</v>
      </c>
      <c r="G50" s="94">
        <v>1</v>
      </c>
      <c r="H50" s="105">
        <v>1</v>
      </c>
      <c r="I50" s="105">
        <v>1</v>
      </c>
      <c r="J50" s="105">
        <v>1</v>
      </c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160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94">
        <v>1</v>
      </c>
      <c r="C51" s="105"/>
      <c r="D51" s="145" t="s">
        <v>182</v>
      </c>
      <c r="E51" s="145" t="s">
        <v>183</v>
      </c>
      <c r="F51" s="114" t="s">
        <v>184</v>
      </c>
      <c r="G51" s="94">
        <v>1</v>
      </c>
      <c r="H51" s="105">
        <v>1</v>
      </c>
      <c r="I51" s="105">
        <v>1</v>
      </c>
      <c r="J51" s="105"/>
      <c r="K51" s="105"/>
      <c r="L51" s="165"/>
      <c r="M51" s="67">
        <v>1</v>
      </c>
      <c r="N51" s="108">
        <f t="shared" si="4"/>
        <v>110</v>
      </c>
      <c r="O51" s="54"/>
      <c r="P51" s="7"/>
      <c r="Q51" s="144" t="str">
        <f t="shared" si="5"/>
        <v/>
      </c>
      <c r="R51" s="115">
        <f t="shared" si="6"/>
        <v>110</v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185</v>
      </c>
      <c r="E52" s="145" t="s">
        <v>118</v>
      </c>
      <c r="F52" s="114" t="s">
        <v>186</v>
      </c>
      <c r="G52" s="106">
        <v>1</v>
      </c>
      <c r="H52" s="106">
        <v>1</v>
      </c>
      <c r="I52" s="106">
        <v>1</v>
      </c>
      <c r="J52" s="106">
        <v>1</v>
      </c>
      <c r="K52" s="106"/>
      <c r="L52" s="165"/>
      <c r="M52" s="108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160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94"/>
      <c r="D53" s="146" t="s">
        <v>187</v>
      </c>
      <c r="E53" s="146"/>
      <c r="F53" s="114" t="s">
        <v>188</v>
      </c>
      <c r="G53" s="106"/>
      <c r="H53" s="106"/>
      <c r="I53" s="106">
        <v>1</v>
      </c>
      <c r="J53" s="106"/>
      <c r="K53" s="106"/>
      <c r="L53" s="165"/>
      <c r="M53" s="108">
        <v>1</v>
      </c>
      <c r="N53" s="108">
        <f t="shared" si="4"/>
        <v>90</v>
      </c>
      <c r="O53" s="54"/>
      <c r="P53" s="7"/>
      <c r="Q53" s="144" t="str">
        <f t="shared" si="5"/>
        <v/>
      </c>
      <c r="R53" s="115">
        <f t="shared" si="6"/>
        <v>90</v>
      </c>
      <c r="S53" s="54" cm="1">
        <f t="array" ref="S53">B53*MainEntryFee()+G53*MPool1Fee()+H53*MPool2Fee()+I53*MPool3Fee()+J53*MPool4Fee()</f>
        <v>90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5" t="s">
        <v>189</v>
      </c>
      <c r="E54" s="145" t="s">
        <v>170</v>
      </c>
      <c r="F54" s="114" t="s">
        <v>190</v>
      </c>
      <c r="G54" s="106">
        <v>1</v>
      </c>
      <c r="H54" s="106"/>
      <c r="I54" s="106"/>
      <c r="J54" s="106"/>
      <c r="K54" s="106"/>
      <c r="L54" s="165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191</v>
      </c>
      <c r="E55" s="145" t="s">
        <v>192</v>
      </c>
      <c r="F55" s="111" t="s">
        <v>193</v>
      </c>
      <c r="G55" s="105">
        <v>1</v>
      </c>
      <c r="H55" s="105">
        <v>1</v>
      </c>
      <c r="I55" s="105">
        <v>1</v>
      </c>
      <c r="J55" s="105"/>
      <c r="K55" s="105"/>
      <c r="L55" s="143">
        <v>1</v>
      </c>
      <c r="M55" s="67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110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194</v>
      </c>
      <c r="E56" s="145" t="s">
        <v>195</v>
      </c>
      <c r="F56" s="111" t="s">
        <v>196</v>
      </c>
      <c r="G56" s="94">
        <v>1</v>
      </c>
      <c r="H56" s="105">
        <v>1</v>
      </c>
      <c r="I56" s="105">
        <v>1</v>
      </c>
      <c r="J56" s="105"/>
      <c r="K56" s="105"/>
      <c r="L56" s="143"/>
      <c r="M56" s="67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110</v>
      </c>
      <c r="T56" s="144">
        <v>1</v>
      </c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197</v>
      </c>
      <c r="E57" s="145" t="s">
        <v>115</v>
      </c>
      <c r="F57" s="114" t="s">
        <v>198</v>
      </c>
      <c r="G57" s="94">
        <v>1</v>
      </c>
      <c r="H57" s="105">
        <v>1</v>
      </c>
      <c r="I57" s="105">
        <v>1</v>
      </c>
      <c r="J57" s="105"/>
      <c r="K57" s="105"/>
      <c r="L57" s="143"/>
      <c r="M57" s="67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110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201</v>
      </c>
      <c r="E58" s="145" t="s">
        <v>118</v>
      </c>
      <c r="F58" s="114" t="s">
        <v>202</v>
      </c>
      <c r="G58" s="106">
        <v>1</v>
      </c>
      <c r="H58" s="106">
        <v>1</v>
      </c>
      <c r="I58" s="106">
        <v>1</v>
      </c>
      <c r="J58" s="106">
        <v>1</v>
      </c>
      <c r="K58" s="106">
        <v>1</v>
      </c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160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203</v>
      </c>
      <c r="E59" s="145" t="s">
        <v>204</v>
      </c>
      <c r="F59" s="111" t="s">
        <v>205</v>
      </c>
      <c r="G59" s="94">
        <v>1</v>
      </c>
      <c r="H59" s="105">
        <v>1</v>
      </c>
      <c r="I59" s="105">
        <v>1</v>
      </c>
      <c r="J59" s="105">
        <v>1</v>
      </c>
      <c r="K59" s="105"/>
      <c r="L59" s="143"/>
      <c r="M59" s="67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160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94">
        <v>1</v>
      </c>
      <c r="C60" s="105"/>
      <c r="D60" s="145" t="s">
        <v>206</v>
      </c>
      <c r="E60" s="145" t="s">
        <v>207</v>
      </c>
      <c r="F60" s="114" t="s">
        <v>208</v>
      </c>
      <c r="G60" s="106"/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70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209</v>
      </c>
      <c r="E61" s="145" t="s">
        <v>118</v>
      </c>
      <c r="F61" s="114" t="s">
        <v>210</v>
      </c>
      <c r="G61" s="106">
        <v>1</v>
      </c>
      <c r="H61" s="106"/>
      <c r="I61" s="106"/>
      <c r="J61" s="106"/>
      <c r="K61" s="106"/>
      <c r="L61" s="143"/>
      <c r="M61" s="108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80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213</v>
      </c>
      <c r="E62" s="145" t="s">
        <v>112</v>
      </c>
      <c r="F62" s="111" t="s">
        <v>214</v>
      </c>
      <c r="G62" s="94">
        <v>1</v>
      </c>
      <c r="H62" s="105">
        <v>1</v>
      </c>
      <c r="I62" s="105">
        <v>1</v>
      </c>
      <c r="J62" s="105">
        <v>1</v>
      </c>
      <c r="K62" s="105">
        <v>1</v>
      </c>
      <c r="L62" s="143"/>
      <c r="M62" s="67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94">
        <v>1</v>
      </c>
      <c r="C63" s="105"/>
      <c r="D63" s="145" t="s">
        <v>220</v>
      </c>
      <c r="E63" s="145" t="s">
        <v>118</v>
      </c>
      <c r="F63" s="167" t="s">
        <v>221</v>
      </c>
      <c r="G63" s="106">
        <v>1</v>
      </c>
      <c r="H63" s="106">
        <v>1</v>
      </c>
      <c r="I63" s="106">
        <v>1</v>
      </c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110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222</v>
      </c>
      <c r="E64" s="145" t="s">
        <v>118</v>
      </c>
      <c r="F64" s="114" t="s">
        <v>223</v>
      </c>
      <c r="G64" s="106"/>
      <c r="H64" s="106"/>
      <c r="I64" s="106"/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70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>
        <v>1</v>
      </c>
      <c r="C65" s="105"/>
      <c r="D65" s="145" t="s">
        <v>224</v>
      </c>
      <c r="E65" s="145" t="s">
        <v>118</v>
      </c>
      <c r="F65" s="114" t="s">
        <v>225</v>
      </c>
      <c r="G65" s="106"/>
      <c r="H65" s="106">
        <v>1</v>
      </c>
      <c r="I65" s="106">
        <v>1</v>
      </c>
      <c r="J65" s="106"/>
      <c r="K65" s="106"/>
      <c r="L65" s="143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100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>
        <v>1</v>
      </c>
      <c r="C66" s="105"/>
      <c r="D66" s="145" t="s">
        <v>228</v>
      </c>
      <c r="E66" s="145" t="s">
        <v>118</v>
      </c>
      <c r="F66" s="114" t="s">
        <v>229</v>
      </c>
      <c r="G66" s="94">
        <v>1</v>
      </c>
      <c r="H66" s="105"/>
      <c r="I66" s="105"/>
      <c r="J66" s="105"/>
      <c r="K66" s="105"/>
      <c r="L66" s="165">
        <v>1</v>
      </c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80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>
        <v>1</v>
      </c>
      <c r="C67" s="105"/>
      <c r="D67" s="145" t="s">
        <v>230</v>
      </c>
      <c r="E67" s="145" t="s">
        <v>97</v>
      </c>
      <c r="F67" s="114" t="s">
        <v>231</v>
      </c>
      <c r="G67" s="106">
        <v>1</v>
      </c>
      <c r="H67" s="106"/>
      <c r="I67" s="106"/>
      <c r="J67" s="106"/>
      <c r="K67" s="106"/>
      <c r="L67" s="165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80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>
        <v>1</v>
      </c>
      <c r="C68" s="105"/>
      <c r="D68" s="145" t="s">
        <v>232</v>
      </c>
      <c r="E68" s="145" t="s">
        <v>115</v>
      </c>
      <c r="F68" s="111" t="s">
        <v>233</v>
      </c>
      <c r="G68" s="94"/>
      <c r="H68" s="105"/>
      <c r="I68" s="105"/>
      <c r="J68" s="105"/>
      <c r="K68" s="105"/>
      <c r="L68" s="165"/>
      <c r="M68" s="67">
        <v>1</v>
      </c>
      <c r="N68" s="108">
        <f t="shared" si="4"/>
        <v>70</v>
      </c>
      <c r="O68" s="54"/>
      <c r="P68" s="7"/>
      <c r="Q68" s="144" t="str">
        <f t="shared" si="5"/>
        <v/>
      </c>
      <c r="R68" s="115">
        <f t="shared" si="6"/>
        <v>70</v>
      </c>
      <c r="S68" s="54" cm="1">
        <f t="array" ref="S68">B68*MainEntryFee()+G68*MPool1Fee()+H68*MPool2Fee()+I68*MPool3Fee()+J68*MPool4Fee()</f>
        <v>70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>
        <v>1</v>
      </c>
      <c r="C69" s="105"/>
      <c r="D69" s="145" t="s">
        <v>234</v>
      </c>
      <c r="E69" s="145" t="s">
        <v>145</v>
      </c>
      <c r="F69" s="114" t="s">
        <v>235</v>
      </c>
      <c r="G69" s="106"/>
      <c r="H69" s="106"/>
      <c r="I69" s="106"/>
      <c r="J69" s="106"/>
      <c r="K69" s="106"/>
      <c r="L69" s="165"/>
      <c r="M69" s="108">
        <v>1</v>
      </c>
      <c r="N69" s="108">
        <f t="shared" si="4"/>
        <v>70</v>
      </c>
      <c r="O69" s="54"/>
      <c r="P69" s="7"/>
      <c r="Q69" s="144" t="str">
        <f t="shared" si="5"/>
        <v/>
      </c>
      <c r="R69" s="115">
        <f t="shared" si="6"/>
        <v>70</v>
      </c>
      <c r="S69" s="54" cm="1">
        <f t="array" ref="S69">B69*MainEntryFee()+G69*MPool1Fee()+H69*MPool2Fee()+I69*MPool3Fee()+J69*MPool4Fee()</f>
        <v>70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>
        <v>1</v>
      </c>
      <c r="C70" s="105"/>
      <c r="D70" s="145" t="s">
        <v>236</v>
      </c>
      <c r="E70" s="145" t="s">
        <v>118</v>
      </c>
      <c r="F70" s="114" t="s">
        <v>237</v>
      </c>
      <c r="G70" s="106"/>
      <c r="H70" s="106">
        <v>1</v>
      </c>
      <c r="I70" s="106">
        <v>1</v>
      </c>
      <c r="J70" s="106"/>
      <c r="K70" s="106"/>
      <c r="L70" s="165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100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>
        <v>1</v>
      </c>
      <c r="C71" s="105"/>
      <c r="D71" s="145" t="s">
        <v>238</v>
      </c>
      <c r="E71" s="145" t="s">
        <v>153</v>
      </c>
      <c r="F71" s="114" t="s">
        <v>239</v>
      </c>
      <c r="G71" s="106">
        <v>1</v>
      </c>
      <c r="H71" s="106">
        <v>1</v>
      </c>
      <c r="I71" s="106"/>
      <c r="J71" s="106"/>
      <c r="K71" s="106"/>
      <c r="L71" s="165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90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H23" sqref="H23:L23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91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92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93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45402</v>
      </c>
      <c r="D6" s="152"/>
      <c r="E6" s="152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3"/>
      <c r="C7" s="44"/>
      <c r="D7" s="89"/>
      <c r="E7" s="154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2"/>
      <c r="C8" s="152"/>
      <c r="D8" s="89"/>
      <c r="E8" s="46"/>
      <c r="G8" s="20"/>
      <c r="H8" s="20"/>
      <c r="M8" s="10">
        <f>SUM(M10:M203)</f>
        <v>13</v>
      </c>
      <c r="N8" s="10">
        <f>SUM(N10:N203)</f>
        <v>10</v>
      </c>
      <c r="O8" s="10">
        <f>SUM(O10:O203)</f>
        <v>12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93" t="s">
        <v>164</v>
      </c>
      <c r="C10" s="106" t="s">
        <v>123</v>
      </c>
      <c r="D10" s="106" t="s">
        <v>165</v>
      </c>
      <c r="E10" s="115">
        <v>25</v>
      </c>
      <c r="F10" s="115">
        <v>10</v>
      </c>
      <c r="G10" s="115">
        <v>170</v>
      </c>
      <c r="H10" s="115"/>
      <c r="I10" s="106"/>
      <c r="J10" s="106"/>
      <c r="K10" s="115"/>
      <c r="L10" s="115"/>
      <c r="M10" s="106">
        <v>1</v>
      </c>
      <c r="N10" s="106">
        <v>1</v>
      </c>
      <c r="O10" s="106">
        <v>1</v>
      </c>
      <c r="P10" s="106">
        <v>1</v>
      </c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142</v>
      </c>
      <c r="C11" s="110" t="s">
        <v>118</v>
      </c>
      <c r="D11" s="110" t="s">
        <v>143</v>
      </c>
      <c r="E11" s="115">
        <v>24</v>
      </c>
      <c r="F11" s="115">
        <v>11</v>
      </c>
      <c r="G11" s="115">
        <v>166</v>
      </c>
      <c r="H11" s="115"/>
      <c r="I11" s="106"/>
      <c r="J11" s="106"/>
      <c r="K11" s="115"/>
      <c r="L11" s="115"/>
      <c r="M11" s="112">
        <v>1</v>
      </c>
      <c r="N11" s="112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99</v>
      </c>
      <c r="C12" s="115" t="s">
        <v>100</v>
      </c>
      <c r="D12" s="115" t="s">
        <v>101</v>
      </c>
      <c r="E12" s="115">
        <v>21</v>
      </c>
      <c r="F12" s="115">
        <v>10</v>
      </c>
      <c r="G12" s="115">
        <v>55</v>
      </c>
      <c r="H12" s="115"/>
      <c r="I12" s="106"/>
      <c r="J12" s="106"/>
      <c r="K12" s="106"/>
      <c r="L12" s="107"/>
      <c r="M12" s="115">
        <v>1</v>
      </c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130</v>
      </c>
      <c r="C13" s="115" t="s">
        <v>115</v>
      </c>
      <c r="D13" s="115" t="s">
        <v>131</v>
      </c>
      <c r="E13" s="115">
        <v>21</v>
      </c>
      <c r="F13" s="115">
        <v>10</v>
      </c>
      <c r="G13" s="115">
        <v>41</v>
      </c>
      <c r="H13" s="115"/>
      <c r="I13" s="106"/>
      <c r="J13" s="106"/>
      <c r="K13" s="115"/>
      <c r="L13" s="115"/>
      <c r="M13" s="115">
        <v>1</v>
      </c>
      <c r="N13" s="115">
        <v>1</v>
      </c>
      <c r="O13" s="106">
        <v>1</v>
      </c>
      <c r="P13" s="106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 t="s">
        <v>147</v>
      </c>
      <c r="C14" s="115" t="s">
        <v>148</v>
      </c>
      <c r="D14" s="115" t="s">
        <v>149</v>
      </c>
      <c r="E14" s="110">
        <v>21</v>
      </c>
      <c r="F14" s="110">
        <v>5</v>
      </c>
      <c r="G14" s="112">
        <v>107</v>
      </c>
      <c r="H14" s="112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113" t="s">
        <v>226</v>
      </c>
      <c r="C15" s="115" t="s">
        <v>118</v>
      </c>
      <c r="D15" s="115" t="s">
        <v>227</v>
      </c>
      <c r="E15" s="115">
        <v>20</v>
      </c>
      <c r="F15" s="115">
        <v>10</v>
      </c>
      <c r="G15" s="115">
        <v>91</v>
      </c>
      <c r="H15" s="115"/>
      <c r="I15" s="105"/>
      <c r="J15" s="105"/>
      <c r="K15" s="105"/>
      <c r="L15" s="107"/>
      <c r="M15" s="115">
        <v>1</v>
      </c>
      <c r="N15" s="115">
        <v>1</v>
      </c>
      <c r="O15" s="106">
        <v>1</v>
      </c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93" t="s">
        <v>218</v>
      </c>
      <c r="C16" s="115" t="s">
        <v>183</v>
      </c>
      <c r="D16" s="115" t="s">
        <v>219</v>
      </c>
      <c r="E16" s="115">
        <v>20</v>
      </c>
      <c r="F16" s="115">
        <v>10</v>
      </c>
      <c r="G16" s="115">
        <v>74</v>
      </c>
      <c r="H16" s="115"/>
      <c r="I16" s="106"/>
      <c r="J16" s="106"/>
      <c r="K16" s="115"/>
      <c r="L16" s="115"/>
      <c r="M16" s="115"/>
      <c r="N16" s="115">
        <v>1</v>
      </c>
      <c r="O16" s="106">
        <v>1</v>
      </c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117</v>
      </c>
      <c r="C17" s="115" t="s">
        <v>118</v>
      </c>
      <c r="D17" s="115" t="s">
        <v>119</v>
      </c>
      <c r="E17" s="115">
        <v>20</v>
      </c>
      <c r="F17" s="115">
        <v>9</v>
      </c>
      <c r="G17" s="115">
        <v>67</v>
      </c>
      <c r="H17" s="115"/>
      <c r="I17" s="105"/>
      <c r="J17" s="105"/>
      <c r="K17" s="105"/>
      <c r="L17" s="107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199</v>
      </c>
      <c r="C18" s="112" t="s">
        <v>156</v>
      </c>
      <c r="D18" s="106" t="s">
        <v>200</v>
      </c>
      <c r="E18" s="115">
        <v>19</v>
      </c>
      <c r="F18" s="115">
        <v>9</v>
      </c>
      <c r="G18" s="115">
        <v>132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215</v>
      </c>
      <c r="C19" s="115" t="s">
        <v>216</v>
      </c>
      <c r="D19" s="115" t="s">
        <v>217</v>
      </c>
      <c r="E19" s="115">
        <v>19</v>
      </c>
      <c r="F19" s="115">
        <v>9</v>
      </c>
      <c r="G19" s="115">
        <v>86</v>
      </c>
      <c r="H19" s="135"/>
      <c r="I19" s="135"/>
      <c r="J19" s="135"/>
      <c r="K19" s="105"/>
      <c r="L19" s="107"/>
      <c r="M19" s="115">
        <v>1</v>
      </c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105</v>
      </c>
      <c r="C20" s="115" t="s">
        <v>106</v>
      </c>
      <c r="D20" s="115" t="s">
        <v>107</v>
      </c>
      <c r="E20" s="115">
        <v>19</v>
      </c>
      <c r="F20" s="115">
        <v>9</v>
      </c>
      <c r="G20" s="115">
        <v>63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113" t="s">
        <v>122</v>
      </c>
      <c r="C21" s="94" t="s">
        <v>123</v>
      </c>
      <c r="D21" s="94" t="s">
        <v>124</v>
      </c>
      <c r="E21" s="115">
        <v>19</v>
      </c>
      <c r="F21" s="115">
        <v>8</v>
      </c>
      <c r="G21" s="115">
        <v>112</v>
      </c>
      <c r="H21" s="115"/>
      <c r="I21" s="106"/>
      <c r="J21" s="106"/>
      <c r="K21" s="106"/>
      <c r="L21" s="107"/>
      <c r="M21" s="94">
        <v>1</v>
      </c>
      <c r="N21" s="105"/>
      <c r="O21" s="105">
        <v>1</v>
      </c>
      <c r="P21" s="105"/>
      <c r="Q21" s="7" t="s">
        <v>25</v>
      </c>
    </row>
    <row r="22" spans="1:22" x14ac:dyDescent="0.25">
      <c r="A22" s="7">
        <f t="shared" si="0"/>
        <v>13</v>
      </c>
      <c r="B22" s="93" t="s">
        <v>139</v>
      </c>
      <c r="C22" s="115" t="s">
        <v>140</v>
      </c>
      <c r="D22" s="115" t="s">
        <v>141</v>
      </c>
      <c r="E22" s="115">
        <v>18</v>
      </c>
      <c r="F22" s="115">
        <v>9</v>
      </c>
      <c r="G22" s="115">
        <v>85</v>
      </c>
      <c r="H22" s="115"/>
      <c r="I22" s="106"/>
      <c r="J22" s="106"/>
      <c r="K22" s="115"/>
      <c r="L22" s="115"/>
      <c r="M22" s="115">
        <v>1</v>
      </c>
      <c r="N22" s="115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211</v>
      </c>
      <c r="C23" s="115" t="s">
        <v>112</v>
      </c>
      <c r="D23" s="115" t="s">
        <v>212</v>
      </c>
      <c r="E23" s="115">
        <v>18</v>
      </c>
      <c r="F23" s="105">
        <v>8</v>
      </c>
      <c r="G23" s="105">
        <v>94</v>
      </c>
      <c r="H23" s="115"/>
      <c r="I23" s="106"/>
      <c r="J23" s="106"/>
      <c r="K23" s="94"/>
      <c r="L23" s="95"/>
      <c r="M23" s="115">
        <v>1</v>
      </c>
      <c r="N23" s="115">
        <v>1</v>
      </c>
      <c r="O23" s="106">
        <v>1</v>
      </c>
      <c r="P23" s="106">
        <v>1</v>
      </c>
      <c r="Q23" s="7" t="s">
        <v>25</v>
      </c>
    </row>
    <row r="24" spans="1:22" x14ac:dyDescent="0.25">
      <c r="A24" s="7">
        <f t="shared" si="0"/>
        <v>15</v>
      </c>
      <c r="B24" s="113" t="s">
        <v>158</v>
      </c>
      <c r="C24" s="105" t="s">
        <v>109</v>
      </c>
      <c r="D24" s="94" t="s">
        <v>159</v>
      </c>
      <c r="E24" s="115">
        <v>18</v>
      </c>
      <c r="F24" s="115">
        <v>8</v>
      </c>
      <c r="G24" s="115">
        <v>81</v>
      </c>
      <c r="H24" s="115"/>
      <c r="I24" s="106"/>
      <c r="J24" s="106"/>
      <c r="K24" s="106"/>
      <c r="L24" s="107"/>
      <c r="M24" s="94">
        <v>1</v>
      </c>
      <c r="N24" s="105">
        <v>1</v>
      </c>
      <c r="O24" s="105">
        <v>1</v>
      </c>
      <c r="P24" s="105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170</v>
      </c>
    </row>
  </sheetData>
  <sheetProtection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4" sqref="B4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240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50</v>
      </c>
      <c r="H2" s="100"/>
    </row>
    <row r="3" spans="1:18" x14ac:dyDescent="0.35">
      <c r="C3" s="45" t="s">
        <v>12</v>
      </c>
      <c r="D3" s="46">
        <v>13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164</v>
      </c>
      <c r="C6" s="140" t="s">
        <v>123</v>
      </c>
      <c r="D6" s="141" t="s">
        <v>165</v>
      </c>
      <c r="E6" s="70">
        <v>38</v>
      </c>
    </row>
    <row r="7" spans="1:18" x14ac:dyDescent="0.35">
      <c r="A7" s="48">
        <f>IF(B7&lt;&gt;"",A6+1,"")</f>
        <v>2</v>
      </c>
      <c r="B7" s="139" t="s">
        <v>142</v>
      </c>
      <c r="C7" s="139" t="s">
        <v>118</v>
      </c>
      <c r="D7" s="142" t="s">
        <v>143</v>
      </c>
      <c r="E7" s="70">
        <v>38</v>
      </c>
    </row>
    <row r="8" spans="1:18" x14ac:dyDescent="0.35">
      <c r="A8" s="48">
        <f t="shared" ref="A8:A30" si="0">IF(B8&lt;&gt;"",A7+1,"")</f>
        <v>3</v>
      </c>
      <c r="B8" s="140" t="s">
        <v>99</v>
      </c>
      <c r="C8" s="140" t="s">
        <v>100</v>
      </c>
      <c r="D8" s="141" t="s">
        <v>101</v>
      </c>
      <c r="E8" s="70">
        <v>38</v>
      </c>
    </row>
    <row r="9" spans="1:18" x14ac:dyDescent="0.35">
      <c r="A9" s="48">
        <f t="shared" si="0"/>
        <v>4</v>
      </c>
      <c r="B9" s="139" t="s">
        <v>130</v>
      </c>
      <c r="C9" s="139" t="s">
        <v>115</v>
      </c>
      <c r="D9" s="141" t="s">
        <v>131</v>
      </c>
      <c r="E9" s="70">
        <v>38</v>
      </c>
    </row>
    <row r="10" spans="1:18" x14ac:dyDescent="0.35">
      <c r="A10" s="48">
        <f t="shared" si="0"/>
        <v>5</v>
      </c>
      <c r="B10" s="140" t="s">
        <v>147</v>
      </c>
      <c r="C10" s="139" t="s">
        <v>148</v>
      </c>
      <c r="D10" s="141" t="s">
        <v>149</v>
      </c>
      <c r="E10" s="70">
        <v>38</v>
      </c>
    </row>
    <row r="11" spans="1:18" x14ac:dyDescent="0.35">
      <c r="A11" s="48">
        <f t="shared" si="0"/>
        <v>6</v>
      </c>
      <c r="B11" s="140" t="s">
        <v>226</v>
      </c>
      <c r="C11" s="139" t="s">
        <v>118</v>
      </c>
      <c r="D11" s="142" t="s">
        <v>227</v>
      </c>
      <c r="E11" s="70">
        <v>38</v>
      </c>
      <c r="Q11" s="82"/>
      <c r="R11" s="82"/>
    </row>
    <row r="12" spans="1:18" x14ac:dyDescent="0.35">
      <c r="A12" s="48">
        <f t="shared" si="0"/>
        <v>7</v>
      </c>
      <c r="B12" s="68" t="s">
        <v>199</v>
      </c>
      <c r="C12" s="68" t="s">
        <v>156</v>
      </c>
      <c r="D12" s="69" t="s">
        <v>200</v>
      </c>
      <c r="E12" s="70">
        <v>38</v>
      </c>
      <c r="Q12" s="82"/>
    </row>
    <row r="13" spans="1:18" x14ac:dyDescent="0.35">
      <c r="A13" s="48">
        <f t="shared" si="0"/>
        <v>8</v>
      </c>
      <c r="B13" s="71" t="s">
        <v>215</v>
      </c>
      <c r="C13" s="71" t="s">
        <v>216</v>
      </c>
      <c r="D13" s="72" t="s">
        <v>217</v>
      </c>
      <c r="E13" s="73">
        <v>38</v>
      </c>
    </row>
    <row r="14" spans="1:18" x14ac:dyDescent="0.35">
      <c r="A14" s="48">
        <f t="shared" si="0"/>
        <v>9</v>
      </c>
      <c r="B14" s="68" t="s">
        <v>105</v>
      </c>
      <c r="C14" s="68" t="s">
        <v>106</v>
      </c>
      <c r="D14" s="69" t="s">
        <v>107</v>
      </c>
      <c r="E14" s="70">
        <v>38</v>
      </c>
      <c r="Q14" s="82"/>
      <c r="R14" s="82"/>
    </row>
    <row r="15" spans="1:18" x14ac:dyDescent="0.35">
      <c r="A15" s="48">
        <f t="shared" si="0"/>
        <v>10</v>
      </c>
      <c r="B15" s="71" t="s">
        <v>122</v>
      </c>
      <c r="C15" s="71" t="s">
        <v>123</v>
      </c>
      <c r="D15" s="72" t="s">
        <v>124</v>
      </c>
      <c r="E15" s="73">
        <v>38</v>
      </c>
      <c r="Q15" s="82"/>
      <c r="R15" s="82"/>
    </row>
    <row r="16" spans="1:18" x14ac:dyDescent="0.35">
      <c r="A16" s="48">
        <f t="shared" si="0"/>
        <v>11</v>
      </c>
      <c r="B16" s="74" t="s">
        <v>139</v>
      </c>
      <c r="C16" s="74" t="s">
        <v>140</v>
      </c>
      <c r="D16" s="75" t="s">
        <v>141</v>
      </c>
      <c r="E16" s="73">
        <v>38</v>
      </c>
      <c r="Q16" s="82"/>
      <c r="R16" s="82"/>
    </row>
    <row r="17" spans="1:19" x14ac:dyDescent="0.35">
      <c r="A17" s="48">
        <f t="shared" si="0"/>
        <v>12</v>
      </c>
      <c r="B17" s="74" t="s">
        <v>211</v>
      </c>
      <c r="C17" s="76" t="s">
        <v>112</v>
      </c>
      <c r="D17" s="77" t="s">
        <v>212</v>
      </c>
      <c r="E17" s="70">
        <v>38</v>
      </c>
      <c r="Q17" s="82"/>
      <c r="R17" s="82"/>
    </row>
    <row r="18" spans="1:19" x14ac:dyDescent="0.35">
      <c r="A18" s="48">
        <f t="shared" si="0"/>
        <v>13</v>
      </c>
      <c r="B18" s="76" t="s">
        <v>158</v>
      </c>
      <c r="C18" s="76" t="s">
        <v>109</v>
      </c>
      <c r="D18" s="77" t="s">
        <v>159</v>
      </c>
      <c r="E18" s="70">
        <v>38</v>
      </c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241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32</v>
      </c>
      <c r="H2" s="82"/>
    </row>
    <row r="3" spans="1:18" x14ac:dyDescent="0.35">
      <c r="C3" s="45" t="s">
        <v>12</v>
      </c>
      <c r="D3" s="46">
        <v>6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5" t="s">
        <v>164</v>
      </c>
      <c r="C6" s="156" t="s">
        <v>123</v>
      </c>
      <c r="D6" s="157" t="s">
        <v>165</v>
      </c>
      <c r="E6" s="164">
        <v>90</v>
      </c>
    </row>
    <row r="7" spans="1:18" ht="23.25" x14ac:dyDescent="0.35">
      <c r="A7" s="50">
        <f>IF(B7&lt;&gt;"",A6+1,"")</f>
        <v>2</v>
      </c>
      <c r="B7" s="155" t="s">
        <v>142</v>
      </c>
      <c r="C7" s="155" t="s">
        <v>118</v>
      </c>
      <c r="D7" s="158" t="s">
        <v>143</v>
      </c>
      <c r="E7" s="164">
        <v>70</v>
      </c>
    </row>
    <row r="8" spans="1:18" ht="23.25" x14ac:dyDescent="0.35">
      <c r="A8" s="50">
        <f t="shared" ref="A8:A30" si="0">IF(B8&lt;&gt;"",A7+1,"")</f>
        <v>3</v>
      </c>
      <c r="B8" s="156" t="s">
        <v>130</v>
      </c>
      <c r="C8" s="156" t="s">
        <v>115</v>
      </c>
      <c r="D8" s="157" t="s">
        <v>131</v>
      </c>
      <c r="E8" s="164">
        <v>55</v>
      </c>
    </row>
    <row r="9" spans="1:18" ht="23.25" x14ac:dyDescent="0.35">
      <c r="A9" s="50">
        <f t="shared" si="0"/>
        <v>4</v>
      </c>
      <c r="B9" s="155" t="s">
        <v>147</v>
      </c>
      <c r="C9" s="155" t="s">
        <v>148</v>
      </c>
      <c r="D9" s="157" t="s">
        <v>149</v>
      </c>
      <c r="E9" s="164">
        <v>45</v>
      </c>
    </row>
    <row r="10" spans="1:18" ht="23.25" x14ac:dyDescent="0.35">
      <c r="A10" s="50">
        <f t="shared" si="0"/>
        <v>5</v>
      </c>
      <c r="B10" s="159" t="s">
        <v>226</v>
      </c>
      <c r="C10" s="159" t="s">
        <v>118</v>
      </c>
      <c r="D10" s="160" t="s">
        <v>227</v>
      </c>
      <c r="E10" s="164">
        <v>35</v>
      </c>
    </row>
    <row r="11" spans="1:18" ht="23.25" x14ac:dyDescent="0.35">
      <c r="A11" s="50">
        <f t="shared" si="0"/>
        <v>6</v>
      </c>
      <c r="B11" s="159" t="s">
        <v>218</v>
      </c>
      <c r="C11" s="159" t="s">
        <v>183</v>
      </c>
      <c r="D11" s="160" t="s">
        <v>219</v>
      </c>
      <c r="E11" s="161">
        <v>25</v>
      </c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241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36</v>
      </c>
      <c r="F2" s="30" t="s">
        <v>11</v>
      </c>
    </row>
    <row r="3" spans="1:7" x14ac:dyDescent="0.35">
      <c r="A3" s="47"/>
      <c r="C3" s="45" t="s">
        <v>12</v>
      </c>
      <c r="D3" s="46">
        <v>6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5" t="s">
        <v>164</v>
      </c>
      <c r="C6" s="156" t="s">
        <v>123</v>
      </c>
      <c r="D6" s="157" t="s">
        <v>165</v>
      </c>
      <c r="E6" s="164">
        <v>200</v>
      </c>
    </row>
    <row r="7" spans="1:7" ht="21" customHeight="1" x14ac:dyDescent="0.35">
      <c r="A7" s="50">
        <f>IF(B7&lt;&gt;"",A6+1,"")</f>
        <v>2</v>
      </c>
      <c r="B7" s="155" t="s">
        <v>142</v>
      </c>
      <c r="C7" s="155" t="s">
        <v>118</v>
      </c>
      <c r="D7" s="158" t="s">
        <v>143</v>
      </c>
      <c r="E7" s="164">
        <v>160</v>
      </c>
    </row>
    <row r="8" spans="1:7" ht="21" customHeight="1" x14ac:dyDescent="0.35">
      <c r="A8" s="50">
        <f t="shared" ref="A8:A30" si="0">IF(B8&lt;&gt;"",A7+1,"")</f>
        <v>3</v>
      </c>
      <c r="B8" s="156" t="s">
        <v>130</v>
      </c>
      <c r="C8" s="156" t="s">
        <v>115</v>
      </c>
      <c r="D8" s="157" t="s">
        <v>131</v>
      </c>
      <c r="E8" s="164">
        <v>130</v>
      </c>
    </row>
    <row r="9" spans="1:7" ht="21" customHeight="1" x14ac:dyDescent="0.35">
      <c r="A9" s="50">
        <f t="shared" si="0"/>
        <v>4</v>
      </c>
      <c r="B9" s="159" t="s">
        <v>147</v>
      </c>
      <c r="C9" s="159" t="s">
        <v>148</v>
      </c>
      <c r="D9" s="160" t="s">
        <v>149</v>
      </c>
      <c r="E9" s="161">
        <v>100</v>
      </c>
    </row>
    <row r="10" spans="1:7" ht="23.25" x14ac:dyDescent="0.35">
      <c r="A10" s="50">
        <f t="shared" si="0"/>
        <v>5</v>
      </c>
      <c r="B10" s="159" t="s">
        <v>226</v>
      </c>
      <c r="C10" s="159" t="s">
        <v>118</v>
      </c>
      <c r="D10" s="160" t="s">
        <v>227</v>
      </c>
      <c r="E10" s="161">
        <v>70</v>
      </c>
    </row>
    <row r="11" spans="1:7" ht="23.25" x14ac:dyDescent="0.35">
      <c r="A11" s="50">
        <f t="shared" si="0"/>
        <v>6</v>
      </c>
      <c r="B11" s="159" t="s">
        <v>218</v>
      </c>
      <c r="C11" s="159" t="s">
        <v>183</v>
      </c>
      <c r="D11" s="160" t="s">
        <v>219</v>
      </c>
      <c r="E11" s="161">
        <v>60</v>
      </c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241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16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2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5" t="s">
        <v>164</v>
      </c>
      <c r="C6" s="156" t="s">
        <v>123</v>
      </c>
      <c r="D6" s="157" t="s">
        <v>165</v>
      </c>
      <c r="E6" s="164">
        <v>425</v>
      </c>
    </row>
    <row r="7" spans="1:12" ht="23.25" x14ac:dyDescent="0.35">
      <c r="A7" s="59">
        <f>IF(B7&lt;&gt;"",A6+1,"")</f>
        <v>2</v>
      </c>
      <c r="B7" s="155" t="s">
        <v>142</v>
      </c>
      <c r="C7" s="155" t="s">
        <v>118</v>
      </c>
      <c r="D7" s="158" t="s">
        <v>143</v>
      </c>
      <c r="E7" s="164">
        <v>250</v>
      </c>
    </row>
    <row r="8" spans="1:12" ht="23.25" x14ac:dyDescent="0.35">
      <c r="A8" s="59">
        <f t="shared" ref="A8:A30" si="0">IF(B8&lt;&gt;"",A7+1,"")</f>
        <v>3</v>
      </c>
      <c r="B8" s="163" t="s">
        <v>130</v>
      </c>
      <c r="C8" s="163" t="s">
        <v>115</v>
      </c>
      <c r="D8" s="163" t="s">
        <v>131</v>
      </c>
      <c r="E8" s="161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60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60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2025-03-13T16:50:29Z</cp:lastPrinted>
  <dcterms:created xsi:type="dcterms:W3CDTF">2014-07-12T17:55:34Z</dcterms:created>
  <dcterms:modified xsi:type="dcterms:W3CDTF">2025-03-13T17:58:12Z</dcterms:modified>
</cp:coreProperties>
</file>