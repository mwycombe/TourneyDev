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TourneyVersion_Apr_20_2024\"/>
    </mc:Choice>
  </mc:AlternateContent>
  <xr:revisionPtr revIDLastSave="0" documentId="13_ncr:1_{6E572E06-0601-4F35-8AFF-A31851A8298E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<sst xmlns="http://schemas.openxmlformats.org/spreadsheetml/2006/main" count="1770" uniqueCount="763">
  <si>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</si>
  <si>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</si>
  <si>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</si>
  <si>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</si>
  <si>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</si>
  <si>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</si>
  <si>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</si>
  <si>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</si>
  <si>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</si>
  <si>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</si>
  <si>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</si>
  <si>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</si>
  <si>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</si>
  <si>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</si>
  <si>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</si>
  <si>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</si>
  <si>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</si>
  <si>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</si>
  <si>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</si>
  <si>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</si>
  <si>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</si>
  <si>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</si>
  <si>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</si>
  <si>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</si>
  <si>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</si>
  <si>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</si>
  <si>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</si>
  <si>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</si>
  <si>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</si>
  <si>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</si>
  <si>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</si>
  <si>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</si>
  <si>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</si>
  <si>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</si>
  <si>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</si>
  <si>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</si>
  <si>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</si>
  <si>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</si>
  <si>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</si>
  <si>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</si>
  <si>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</si>
  <si>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</si>
  <si>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</si>
  <si>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</si>
  <si>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</si>
  <si>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</si>
  <si>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</si>
  <si>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</si>
  <si>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</si>
  <si>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</si>
  <si>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</si>
  <si>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</si>
  <si>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</si>
  <si>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</si>
  <si>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</si>
  <si>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</si>
  <si>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</si>
  <si>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</si>
  <si>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</si>
  <si>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</si>
  <si>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</si>
  <si>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</si>
  <si>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</si>
  <si>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</si>
  <si>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</si>
  <si>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</si>
  <si>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</si>
  <si>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</si>
  <si>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</si>
  <si>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</si>
  <si>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</si>
  <si>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</si>
  <si>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</si>
  <si>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</si>
  <si>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</si>
  <si>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</si>
  <si>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</si>
  <si>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</si>
  <si>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</si>
  <si>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</si>
  <si>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</si>
  <si>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</si>
  <si>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</si>
  <si>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</si>
  <si>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</si>
  <si>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</si>
  <si>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</si>
  <si>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</si>
  <si>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</si>
  <si>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</si>
  <si>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</si>
  <si>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</si>
  <si>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</si>
  <si>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</si>
  <si>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</si>
  <si>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</si>
  <si>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</si>
  <si>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</si>
  <si>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</si>
  <si>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</si>
  <si>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</si>
  <si>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</si>
  <si>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</si>
  <si>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</si>
  <si>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</si>
  <si>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</si>
  <si>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</si>
  <si>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</si>
  <si>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</si>
  <si>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</si>
  <si>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</si>
  <si>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</si>
  <si>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</si>
  <si>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</si>
  <si>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</si>
  <si>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</si>
  <si>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</si>
  <si>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</si>
  <si>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</si>
  <si>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</si>
  <si>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</si>
  <si>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</si>
  <si>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</si>
  <si>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</si>
  <si>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</si>
  <si>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</si>
  <si>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</si>
  <si>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</si>
  <si>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</si>
  <si>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</si>
  <si>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</si>
  <si>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</si>
  <si>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</si>
  <si>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</si>
  <si>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</si>
  <si>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</si>
  <si>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</si>
  <si>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</si>
  <si>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</si>
  <si>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</si>
  <si>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</si>
  <si>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</si>
  <si>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</si>
  <si>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</si>
  <si>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</si>
  <si>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</si>
  <si>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</si>
  <si>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</si>
  <si>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</si>
  <si>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</si>
  <si>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</si>
  <si>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</si>
  <si>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</si>
  <si>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</si>
  <si>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</si>
  <si>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</si>
  <si>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</si>
  <si>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</si>
  <si>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</si>
  <si>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</si>
  <si>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</si>
  <si>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</si>
  <si>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</si>
  <si>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</si>
  <si>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</si>
  <si>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</si>
  <si>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</si>
  <si>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</si>
  <si>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</si>
  <si>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</si>
  <si>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</si>
  <si>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</si>
  <si>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</si>
  <si>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</si>
  <si>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</si>
  <si>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</si>
  <si>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</si>
  <si>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</si>
  <si>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</si>
  <si>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</si>
  <si>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</si>
  <si>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</si>
  <si>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</si>
  <si>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</si>
  <si>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</si>
  <si>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</si>
  <si>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</si>
  <si>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</si>
  <si>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</si>
  <si>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</si>
  <si>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</si>
  <si>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</si>
  <si>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</si>
  <si>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</si>
  <si>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</si>
  <si>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</si>
  <si>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</si>
  <si>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</si>
  <si>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</si>
  <si>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</si>
  <si>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</si>
  <si>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</si>
  <si>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</si>
  <si>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</si>
  <si>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</si>
  <si>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</si>
  <si>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</si>
  <si>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</si>
  <si>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</si>
  <si>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</si>
  <si>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</si>
  <si>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</si>
  <si>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</si>
  <si>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</si>
  <si>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</si>
  <si>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</si>
  <si>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</si>
  <si>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</si>
  <si>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</si>
  <si>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</si>
  <si>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</si>
  <si>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</si>
  <si>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</si>
  <si>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</si>
  <si>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</si>
  <si>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</si>
  <si>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</si>
  <si>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</si>
  <si>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</si>
  <si>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</si>
  <si>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</si>
  <si>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</si>
  <si>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</si>
  <si>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</si>
  <si>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</si>
  <si>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</si>
  <si>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</si>
  <si>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</si>
  <si>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</si>
  <si>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</si>
  <si>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</si>
  <si>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</si>
  <si>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</si>
  <si>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</si>
  <si>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</si>
  <si>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</si>
  <si>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</si>
  <si>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</si>
  <si>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</si>
  <si>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</si>
  <si>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</si>
  <si>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</si>
  <si>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</si>
  <si>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</si>
  <si>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</si>
  <si>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</si>
  <si>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</si>
  <si>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</si>
  <si>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</si>
  <si>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</si>
  <si>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</si>
  <si>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</si>
  <si>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</si>
  <si>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</si>
  <si>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</si>
  <si>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</si>
  <si>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</si>
  <si>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</si>
  <si>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</si>
  <si>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</si>
  <si>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</si>
  <si>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</si>
  <si>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</si>
  <si>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</si>
  <si>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</si>
  <si>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</si>
  <si>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</si>
  <si>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</si>
  <si>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</si>
  <si>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</si>
  <si>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</si>
  <si>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</si>
  <si>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</si>
  <si>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</si>
  <si>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</si>
  <si>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</si>
  <si>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</si>
  <si>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</si>
  <si>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</si>
  <si>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</si>
  <si>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</si>
  <si>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</si>
  <si>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</si>
  <si>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</si>
  <si>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</si>
  <si>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</si>
  <si>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</si>
  <si>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</si>
  <si>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</si>
  <si>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</si>
  <si>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</si>
  <si>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</si>
  <si>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</si>
  <si>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</si>
  <si>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</si>
  <si>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</si>
  <si>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</si>
  <si>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</si>
  <si>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</si>
  <si>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</si>
  <si>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</si>
  <si>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</si>
  <si>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</si>
  <si>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</si>
  <si>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</si>
  <si>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</si>
  <si>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</si>
  <si>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</si>
  <si>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</si>
  <si>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</si>
  <si>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</si>
  <si>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</si>
  <si>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</si>
  <si>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</si>
  <si>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</si>
  <si>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</si>
  <si>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</si>
  <si>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</si>
  <si>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</si>
  <si>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</si>
  <si>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</si>
  <si>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</si>
  <si>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</si>
  <si>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</si>
  <si>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</si>
  <si>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</si>
  <si>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</si>
  <si>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</si>
  <si>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</si>
  <si>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</si>
  <si>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</si>
  <si>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</si>
  <si>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</si>
  <si>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</si>
  <si>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</si>
  <si>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</si>
  <si>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</si>
  <si>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</si>
  <si>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</si>
  <si>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</si>
  <si>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</si>
  <si>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</si>
  <si>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</si>
  <si>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</si>
  <si>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</si>
  <si>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</si>
  <si>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</si>
  <si>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</si>
  <si>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</si>
  <si>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</si>
  <si>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</si>
  <si>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</si>
  <si>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</si>
  <si>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</si>
  <si>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</si>
  <si>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</si>
  <si>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</si>
  <si>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</si>
  <si>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</si>
  <si>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</si>
  <si>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</si>
  <si>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</si>
  <si>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</si>
  <si>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</si>
  <si>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</si>
  <si>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</si>
  <si>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</si>
  <si>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</si>
  <si>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</si>
  <si>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</si>
  <si>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</si>
  <si>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</si>
  <si>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</si>
  <si>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</si>
  <si>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</si>
  <si>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</si>
  <si>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</si>
  <si>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</si>
  <si>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</si>
  <si>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</si>
  <si>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</si>
  <si>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</si>
  <si>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</si>
  <si>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</si>
  <si>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</si>
  <si>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</si>
  <si>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</si>
  <si>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</si>
  <si>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</si>
  <si>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</si>
  <si>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</si>
  <si>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</si>
  <si>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</si>
  <si>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</si>
  <si>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</si>
  <si>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</si>
  <si>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</si>
  <si>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</si>
  <si>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</si>
  <si>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</si>
  <si>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</si>
  <si>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</si>
  <si>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</si>
  <si>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</si>
  <si>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</si>
  <si>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</si>
  <si>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</si>
  <si>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</si>
  <si>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</si>
  <si>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</si>
  <si>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</si>
  <si>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</si>
  <si>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</si>
  <si>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</si>
  <si>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</si>
  <si>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</si>
  <si>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</si>
  <si>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</si>
  <si>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</si>
  <si>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</si>
  <si>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</si>
  <si>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</si>
  <si>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</si>
  <si>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</si>
  <si>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</si>
  <si>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</si>
  <si>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</si>
  <si>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</si>
  <si>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</si>
  <si>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</si>
  <si>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</si>
  <si>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</si>
  <si>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</si>
  <si>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</si>
  <si>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</si>
  <si>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</si>
  <si>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</si>
  <si>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</si>
  <si>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</si>
  <si>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</si>
  <si>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</si>
  <si>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</si>
  <si>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</si>
  <si>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</si>
  <si>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</si>
  <si>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</si>
  <si>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</si>
  <si>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</si>
  <si>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</si>
  <si>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</si>
  <si>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</si>
  <si>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</si>
  <si>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</si>
  <si>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</si>
  <si>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</si>
  <si>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</si>
  <si>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</si>
  <si>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</si>
  <si>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</si>
  <si>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</si>
  <si>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</si>
  <si>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</si>
  <si>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</si>
  <si>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</si>
  <si>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</si>
  <si>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</si>
  <si>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</si>
  <si>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</si>
  <si>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</si>
  <si>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</si>
  <si>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</si>
  <si>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</si>
  <si>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</si>
  <si>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</si>
  <si>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</si>
  <si>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</si>
  <si>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</si>
  <si>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</si>
  <si>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</si>
  <si>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</si>
  <si>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</si>
  <si>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</si>
  <si>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</si>
  <si>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</si>
  <si>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</si>
  <si>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</si>
  <si>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</si>
  <si>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</si>
  <si>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</si>
  <si>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</si>
  <si>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</si>
  <si>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</si>
  <si>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</si>
  <si>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</si>
  <si>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</si>
  <si>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</si>
  <si>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</si>
  <si>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</si>
  <si>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</si>
  <si>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</si>
  <si>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</si>
  <si>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</si>
  <si>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</si>
  <si>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</si>
  <si>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</si>
  <si>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</si>
  <si>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</si>
  <si>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</si>
  <si>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</si>
  <si>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</si>
  <si>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</si>
  <si>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</si>
  <si>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</si>
  <si>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</si>
  <si>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</si>
  <si>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</si>
  <si>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</si>
  <si>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</si>
  <si>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</si>
  <si>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</si>
  <si>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</si>
  <si>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</si>
  <si>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</si>
  <si>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</si>
  <si>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</si>
  <si>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</si>
  <si>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</si>
  <si>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</si>
  <si>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</si>
  <si>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</si>
  <si>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</si>
  <si>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</si>
  <si>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</si>
  <si>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</si>
  <si>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</si>
  <si>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</si>
  <si>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</si>
  <si>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</si>
  <si>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</si>
  <si>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</si>
  <si>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</si>
  <si>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</si>
  <si>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</si>
  <si>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</si>
  <si>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</si>
  <si>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</si>
  <si>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</si>
  <si>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</si>
  <si>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</si>
  <si>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</si>
  <si>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</si>
  <si>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</si>
  <si>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</si>
  <si>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</si>
  <si>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</si>
  <si>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</si>
  <si>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</si>
  <si>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</si>
  <si>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</si>
  <si>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</si>
  <si>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</si>
  <si>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</si>
  <si>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</si>
  <si>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</si>
  <si>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</si>
  <si>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</si>
  <si>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</si>
  <si>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</si>
  <si>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</si>
  <si>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</si>
  <si>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</si>
  <si>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</si>
  <si>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</si>
  <si>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</si>
  <si>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</si>
  <si>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</si>
  <si>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</si>
  <si>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</si>
  <si>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</si>
  <si>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</si>
  <si>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</si>
  <si>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</si>
  <si>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</si>
  <si>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</si>
  <si>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</si>
  <si>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</si>
  <si>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</si>
  <si>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</si>
  <si>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</si>
  <si>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</si>
  <si>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</si>
  <si>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</si>
  <si>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</si>
  <si>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</si>
  <si>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</si>
  <si>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</si>
  <si>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</si>
  <si>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</si>
  <si>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</si>
  <si>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</si>
  <si>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</si>
  <si>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</si>
  <si>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</si>
  <si>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</si>
  <si>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</si>
  <si>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</si>
  <si>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</si>
  <si>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</si>
  <si>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</si>
  <si>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</si>
  <si>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</si>
  <si>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</si>
  <si>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</si>
  <si>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</si>
  <si>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</si>
  <si>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</si>
  <si>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</si>
  <si>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</si>
  <si>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</si>
  <si>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</si>
  <si>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</si>
  <si>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</si>
  <si>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</si>
  <si>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</si>
  <si>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</si>
  <si>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</si>
  <si>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</si>
  <si>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</si>
  <si>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</si>
  <si>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</si>
  <si>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</si>
  <si>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</si>
  <si>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</si>
  <si>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</si>
  <si>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</si>
  <si>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</si>
  <si>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</si>
  <si>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</si>
  <si>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</si>
  <si>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</si>
  <si>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</si>
  <si>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</si>
  <si>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</si>
  <si>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</si>
  <si>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</si>
  <si>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</si>
  <si>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</si>
  <si>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</si>
  <si>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</si>
  <si>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</si>
  <si>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</si>
  <si>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</si>
  <si>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</si>
  <si>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</si>
  <si>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</si>
  <si>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</si>
  <si>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</si>
  <si>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</si>
  <si>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</si>
  <si>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</si>
  <si>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</si>
  <si>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</si>
  <si>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</si>
  <si>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</si>
  <si>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</si>
  <si>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</si>
  <si>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</si>
  <si>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</si>
  <si>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</si>
  <si>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</si>
  <si>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</si>
  <si>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</si>
  <si>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</si>
  <si>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</si>
  <si>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</si>
  <si>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</si>
  <si>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</si>
  <si>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</si>
  <si>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</si>
  <si>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</si>
  <si>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</si>
  <si>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</si>
  <si>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</si>
  <si>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</si>
  <si>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</si>
  <si>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</si>
  <si>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</si>
  <si>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</si>
  <si>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</si>
  <si>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</si>
  <si>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</si>
  <si>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</si>
  <si>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Roland Hall</t>
  </si>
  <si>
    <t>Yvonne Bowers</t>
  </si>
  <si>
    <t>Michael Rogers</t>
  </si>
  <si>
    <t>roland26h@yahoo.com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</si>
  <si>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</si>
  <si>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</si>
  <si>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</si>
  <si>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</si>
  <si>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</si>
  <si>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</si>
  <si>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</si>
  <si>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</si>
  <si>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</si>
  <si>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</si>
  <si>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</si>
  <si>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</si>
  <si>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</si>
  <si>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</si>
  <si>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</si>
  <si>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</si>
  <si>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</si>
  <si>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</si>
  <si>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</si>
  <si>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</si>
  <si>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</si>
  <si>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</si>
  <si>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</si>
  <si>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</si>
  <si>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</si>
  <si>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</si>
  <si>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</si>
  <si>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</si>
  <si>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</si>
  <si>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</si>
  <si>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</si>
  <si>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</si>
  <si>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</si>
  <si>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</si>
  <si>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</si>
  <si>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</si>
  <si>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</si>
  <si>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</si>
  <si>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</si>
  <si>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</si>
  <si>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</si>
  <si>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</si>
  <si>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</si>
  <si>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</si>
  <si>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</si>
  <si>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</si>
  <si>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</si>
  <si>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</si>
  <si>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</si>
  <si>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</si>
  <si>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</si>
  <si>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</si>
  <si>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</si>
  <si>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</si>
  <si>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</si>
  <si>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Open</t>
  </si>
  <si>
    <t>510.504.6905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</si>
</sst>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7" t="s">
        <v>609</v>
      </c>
      <c r="D1" s="118"/>
      <c r="E1" s="119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0" t="s">
        <v>761</v>
      </c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1" t="s">
        <v>610</v>
      </c>
      <c r="C5" s="120" t="s">
        <v>699</v>
      </c>
      <c r="D5" s="121"/>
      <c r="E5" s="121"/>
      <c r="F5" s="121"/>
      <c r="G5" s="122"/>
    </row>
    <row r="6" spans="1:8" ht="15.75" thickBot="1" x14ac:dyDescent="0.3">
      <c r="H6" s="72"/>
    </row>
    <row r="7" spans="1:8" ht="16.5" thickBot="1" x14ac:dyDescent="0.3">
      <c r="A7" s="71" t="s">
        <v>611</v>
      </c>
      <c r="C7" s="120" t="s">
        <v>700</v>
      </c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23" t="s">
        <v>702</v>
      </c>
      <c r="D11" s="124"/>
      <c r="E11" s="123" t="s">
        <v>703</v>
      </c>
      <c r="F11" s="124"/>
      <c r="G11" s="123" t="s">
        <v>704</v>
      </c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 t="s">
        <v>706</v>
      </c>
      <c r="D13" s="124"/>
      <c r="E13" s="123"/>
      <c r="F13" s="124"/>
      <c r="G13" s="123" t="s">
        <v>762</v>
      </c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 t="s">
        <v>705</v>
      </c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761</v>
      </c>
      <c r="C4" s="128"/>
      <c r="D4" s="128"/>
      <c r="E4" s="128"/>
      <c r="F4" s="128"/>
    </row>
    <row r="5" spans="1:7" x14ac:dyDescent="0.25">
      <c r="A5" s="4" t="s">
        <v>616</v>
      </c>
      <c r="B5" s="129" t="s">
        <v>699</v>
      </c>
      <c r="C5" s="129"/>
      <c r="D5" s="129"/>
      <c r="E5" s="129"/>
      <c r="F5" s="129"/>
    </row>
    <row r="6" spans="1:7" x14ac:dyDescent="0.25">
      <c r="A6" s="4" t="s">
        <v>617</v>
      </c>
      <c r="B6" s="129" t="s">
        <v>700</v>
      </c>
      <c r="C6" s="129"/>
      <c r="D6" s="129"/>
      <c r="E6" s="129"/>
      <c r="F6" s="129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topLeftCell="A3"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761</v>
      </c>
      <c r="C4" s="128"/>
      <c r="D4" s="128"/>
      <c r="E4" s="128"/>
      <c r="F4" s="128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 t="s">
        <v>761</v>
      </c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 t="s">
        <v>699</v>
      </c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 t="s">
        <v>700</v>
      </c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>
        <v>45402</v>
      </c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707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17" si="2">T12*N12</f>
        <v>0</v>
      </c>
      <c r="P12" s="47" t="s">
        <v>701</v>
      </c>
      <c r="Q12" s="47">
        <v>909</v>
      </c>
      <c r="R12" s="95">
        <f t="shared" ref="R12:R31" si="3">IF(OR(P12="c",P12="C"),+T12,"")</f>
        <v>100</v>
      </c>
      <c r="S12" s="95" t="str">
        <f t="shared" ref="S12:S17" si="4"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708</v>
      </c>
      <c r="D13" s="5" t="s">
        <v>103</v>
      </c>
      <c r="E13" s="6" t="s">
        <v>709</v>
      </c>
      <c r="F13" s="48">
        <v>9169894301</v>
      </c>
      <c r="G13" s="109" t="s">
        <v>710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701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711</v>
      </c>
      <c r="Q14" s="47"/>
      <c r="R14" s="95" t="str">
        <f t="shared" si="3"/>
        <v/>
      </c>
      <c r="S14" s="95">
        <f t="shared" si="4"/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712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 t="shared" si="2"/>
        <v>0</v>
      </c>
      <c r="P15" s="47" t="s">
        <v>701</v>
      </c>
      <c r="Q15" s="47">
        <v>1015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 t="shared" si="2"/>
        <v>0</v>
      </c>
      <c r="P16" s="47" t="s">
        <v>701</v>
      </c>
      <c r="Q16" s="47">
        <v>3403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713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 t="shared" si="2"/>
        <v>0</v>
      </c>
      <c r="P17" s="47" t="s">
        <v>701</v>
      </c>
      <c r="Q17" s="112" t="s">
        <v>714</v>
      </c>
      <c r="R17" s="95">
        <f t="shared" si="3"/>
        <v>80</v>
      </c>
      <c r="S17" s="95" t="str">
        <f t="shared" si="4"/>
        <v/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715</v>
      </c>
      <c r="D18" s="7" t="s">
        <v>67</v>
      </c>
      <c r="E18" s="8" t="s">
        <v>716</v>
      </c>
      <c r="F18" s="55">
        <v>7075994896</v>
      </c>
      <c r="G18" s="111" t="s">
        <v>717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711</v>
      </c>
      <c r="Q18" s="47"/>
      <c r="R18" s="95" t="str">
        <f t="shared" si="3"/>
        <v/>
      </c>
      <c r="S18" s="95">
        <v>110</v>
      </c>
      <c r="T18" s="96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4">
        <f>T19*N19</f>
        <v>0</v>
      </c>
      <c r="P19" s="47" t="s">
        <v>701</v>
      </c>
      <c r="Q19" s="47">
        <v>171</v>
      </c>
      <c r="R19" s="95">
        <f t="shared" si="3"/>
        <v>80</v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>
        <v>1075</v>
      </c>
      <c r="R20" s="95">
        <f t="shared" si="3"/>
        <v>70</v>
      </c>
      <c r="S20" s="95" t="str">
        <f t="shared" si="5"/>
        <v/>
      </c>
      <c r="T20" s="96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720</v>
      </c>
      <c r="D21" s="15" t="s">
        <v>67</v>
      </c>
      <c r="E21" s="10" t="s">
        <v>721</v>
      </c>
      <c r="F21" s="110">
        <v>7075027980</v>
      </c>
      <c r="G21" s="111" t="s">
        <v>722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711</v>
      </c>
      <c r="Q21" s="47"/>
      <c r="R21" s="95" t="str">
        <f t="shared" si="3"/>
        <v/>
      </c>
      <c r="S21" s="95">
        <f t="shared" si="5"/>
        <v>110</v>
      </c>
      <c r="T21" s="96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 t="shared" ref="O22:O31" si="6">T22*N22</f>
        <v>0</v>
      </c>
      <c r="P22" s="47" t="s">
        <v>711</v>
      </c>
      <c r="Q22" s="47"/>
      <c r="R22" s="95" t="str">
        <f t="shared" si="3"/>
        <v/>
      </c>
      <c r="S22" s="95">
        <f t="shared" si="5"/>
        <v>100</v>
      </c>
      <c r="T22" s="96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 t="shared" si="6"/>
        <v>0</v>
      </c>
      <c r="P23" s="47" t="s">
        <v>701</v>
      </c>
      <c r="Q23" s="47">
        <v>1299</v>
      </c>
      <c r="R23" s="95">
        <f t="shared" si="3"/>
        <v>110</v>
      </c>
      <c r="S23" s="95" t="str">
        <f t="shared" si="5"/>
        <v/>
      </c>
      <c r="T23" s="96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6"/>
        <v>0</v>
      </c>
      <c r="P24" s="47" t="s">
        <v>701</v>
      </c>
      <c r="Q24" s="47">
        <v>1974</v>
      </c>
      <c r="R24" s="95">
        <f t="shared" si="3"/>
        <v>110</v>
      </c>
      <c r="S24" s="95" t="str">
        <f t="shared" si="5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 t="shared" si="6"/>
        <v>0</v>
      </c>
      <c r="P25" s="47" t="s">
        <v>701</v>
      </c>
      <c r="Q25" s="47">
        <v>2213</v>
      </c>
      <c r="R25" s="95">
        <f t="shared" si="3"/>
        <v>160</v>
      </c>
      <c r="S25" s="95" t="str">
        <f t="shared" si="5"/>
        <v/>
      </c>
      <c r="T25" s="96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 t="shared" si="6"/>
        <v>0</v>
      </c>
      <c r="P26" s="47" t="s">
        <v>701</v>
      </c>
      <c r="Q26" s="47">
        <v>4008</v>
      </c>
      <c r="R26" s="95">
        <f t="shared" si="3"/>
        <v>160</v>
      </c>
      <c r="S26" s="95" t="str">
        <f t="shared" si="5"/>
        <v/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 t="s">
        <v>701</v>
      </c>
      <c r="Q27" s="47">
        <v>1795</v>
      </c>
      <c r="R27" s="95">
        <f t="shared" si="3"/>
        <v>70</v>
      </c>
      <c r="S27" s="95" t="str">
        <f t="shared" si="5"/>
        <v/>
      </c>
      <c r="T27" s="96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723</v>
      </c>
      <c r="D28" s="5" t="s">
        <v>185</v>
      </c>
      <c r="E28" s="6" t="s">
        <v>724</v>
      </c>
      <c r="F28" s="59">
        <v>9258406622</v>
      </c>
      <c r="G28" s="109" t="s">
        <v>725</v>
      </c>
      <c r="H28" s="49">
        <v>1</v>
      </c>
      <c r="I28" s="47"/>
      <c r="J28" s="47"/>
      <c r="K28" s="47"/>
      <c r="L28" s="47"/>
      <c r="M28" s="47"/>
      <c r="N28" s="47"/>
      <c r="O28" s="94">
        <f t="shared" si="6"/>
        <v>0</v>
      </c>
      <c r="P28" s="47" t="s">
        <v>701</v>
      </c>
      <c r="Q28" s="47">
        <v>1208</v>
      </c>
      <c r="R28" s="95">
        <f t="shared" si="3"/>
        <v>80</v>
      </c>
      <c r="S28" s="95" t="str">
        <f t="shared" si="5"/>
        <v/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6"/>
        <v>160</v>
      </c>
      <c r="P29" s="47" t="s">
        <v>711</v>
      </c>
      <c r="Q29" s="47"/>
      <c r="R29" s="95" t="str">
        <f t="shared" si="3"/>
        <v/>
      </c>
      <c r="S29" s="95">
        <f t="shared" si="5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 t="shared" si="6"/>
        <v>0</v>
      </c>
      <c r="P30" s="47" t="s">
        <v>711</v>
      </c>
      <c r="Q30" s="47"/>
      <c r="R30" s="95" t="str">
        <f t="shared" si="3"/>
        <v/>
      </c>
      <c r="S30" s="95">
        <f t="shared" si="5"/>
        <v>160</v>
      </c>
      <c r="T30" s="96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726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 t="shared" si="6"/>
        <v>80</v>
      </c>
      <c r="P31" s="47" t="s">
        <v>711</v>
      </c>
      <c r="Q31" s="47"/>
      <c r="R31" s="95" t="str">
        <f t="shared" si="3"/>
        <v/>
      </c>
      <c r="S31" s="95">
        <f t="shared" si="5"/>
        <v>80</v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727</v>
      </c>
      <c r="D32" s="15" t="s">
        <v>728</v>
      </c>
      <c r="E32" s="10" t="s">
        <v>729</v>
      </c>
      <c r="F32" s="110">
        <v>5309277047</v>
      </c>
      <c r="G32" s="115" t="s">
        <v>730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701</v>
      </c>
      <c r="Q32" s="47">
        <v>6681</v>
      </c>
      <c r="R32" s="95">
        <v>160</v>
      </c>
      <c r="S32" s="95"/>
      <c r="T32" s="96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731</v>
      </c>
      <c r="D33" s="15" t="s">
        <v>728</v>
      </c>
      <c r="E33" s="10" t="s">
        <v>732</v>
      </c>
      <c r="F33" s="110">
        <v>5309277048</v>
      </c>
      <c r="G33" s="111" t="s">
        <v>733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701</v>
      </c>
      <c r="Q33" s="47">
        <v>6681</v>
      </c>
      <c r="R33" s="95">
        <v>160</v>
      </c>
      <c r="S33" s="95"/>
      <c r="T33" s="96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701</v>
      </c>
      <c r="Q34" s="47">
        <v>8899</v>
      </c>
      <c r="R34" s="95">
        <f t="shared" ref="R34:R58" si="7">IF(OR(P34="c",P34="C"),+T34,"")</f>
        <v>110</v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>
        <v>2548</v>
      </c>
      <c r="R35" s="95">
        <f t="shared" si="7"/>
        <v>80</v>
      </c>
      <c r="S35" s="95" t="str">
        <f t="shared" si="8"/>
        <v/>
      </c>
      <c r="T35" s="96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701</v>
      </c>
      <c r="Q36" s="47">
        <v>7240</v>
      </c>
      <c r="R36" s="95">
        <f t="shared" si="7"/>
        <v>110</v>
      </c>
      <c r="S36" s="95" t="str">
        <f t="shared" si="8"/>
        <v/>
      </c>
      <c r="T36" s="96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734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>
        <v>170</v>
      </c>
      <c r="R37" s="95">
        <f t="shared" si="7"/>
        <v>80</v>
      </c>
      <c r="S37" s="95" t="str">
        <f t="shared" si="8"/>
        <v/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711</v>
      </c>
      <c r="Q38" s="47"/>
      <c r="R38" s="95" t="str">
        <f t="shared" si="7"/>
        <v/>
      </c>
      <c r="S38" s="95">
        <f t="shared" si="8"/>
        <v>80</v>
      </c>
      <c r="T38" s="96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ref="O39:O45" si="9">T39*N39</f>
        <v>0</v>
      </c>
      <c r="P39" s="47" t="s">
        <v>701</v>
      </c>
      <c r="Q39" s="47">
        <v>5206</v>
      </c>
      <c r="R39" s="95">
        <f t="shared" si="7"/>
        <v>160</v>
      </c>
      <c r="S39" s="95" t="str">
        <f t="shared" si="8"/>
        <v/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 t="shared" si="9"/>
        <v>0</v>
      </c>
      <c r="P40" s="47" t="s">
        <v>701</v>
      </c>
      <c r="Q40" s="47">
        <v>4900</v>
      </c>
      <c r="R40" s="95">
        <f t="shared" si="7"/>
        <v>80</v>
      </c>
      <c r="S40" s="95" t="str">
        <f t="shared" si="8"/>
        <v/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 t="shared" si="9"/>
        <v>0</v>
      </c>
      <c r="P41" s="47" t="s">
        <v>711</v>
      </c>
      <c r="Q41" s="47"/>
      <c r="R41" s="95" t="str">
        <f t="shared" si="7"/>
        <v/>
      </c>
      <c r="S41" s="95">
        <f t="shared" si="8"/>
        <v>80</v>
      </c>
      <c r="T41" s="96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736</v>
      </c>
      <c r="H42" s="49">
        <v>1</v>
      </c>
      <c r="I42" s="47"/>
      <c r="J42" s="47"/>
      <c r="K42" s="47"/>
      <c r="L42" s="47"/>
      <c r="M42" s="47"/>
      <c r="N42" s="47"/>
      <c r="O42" s="94">
        <f t="shared" si="9"/>
        <v>0</v>
      </c>
      <c r="P42" s="47" t="s">
        <v>701</v>
      </c>
      <c r="Q42" s="47">
        <v>16285</v>
      </c>
      <c r="R42" s="95">
        <f t="shared" si="7"/>
        <v>80</v>
      </c>
      <c r="S42" s="95" t="str">
        <f t="shared" si="8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 t="shared" si="9"/>
        <v>80</v>
      </c>
      <c r="P43" s="47" t="s">
        <v>711</v>
      </c>
      <c r="Q43" s="47"/>
      <c r="R43" s="95" t="str">
        <f t="shared" si="7"/>
        <v/>
      </c>
      <c r="S43" s="95">
        <f t="shared" si="8"/>
        <v>80</v>
      </c>
      <c r="T43" s="96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 t="shared" si="9"/>
        <v>0</v>
      </c>
      <c r="P44" s="47" t="s">
        <v>701</v>
      </c>
      <c r="Q44" s="47">
        <v>5878</v>
      </c>
      <c r="R44" s="95">
        <f t="shared" si="7"/>
        <v>160</v>
      </c>
      <c r="S44" s="95" t="str">
        <f t="shared" si="8"/>
        <v/>
      </c>
      <c r="T44" s="96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737</v>
      </c>
      <c r="D45" s="5" t="s">
        <v>45</v>
      </c>
      <c r="E45" s="6" t="s">
        <v>738</v>
      </c>
      <c r="F45" s="113">
        <v>7072279891</v>
      </c>
      <c r="G45" s="109" t="s">
        <v>739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 t="shared" si="9"/>
        <v>0</v>
      </c>
      <c r="P45" s="47" t="s">
        <v>711</v>
      </c>
      <c r="Q45" s="47"/>
      <c r="R45" s="95" t="str">
        <f t="shared" si="7"/>
        <v/>
      </c>
      <c r="S45" s="95">
        <f t="shared" si="8"/>
        <v>160</v>
      </c>
      <c r="T45" s="96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711</v>
      </c>
      <c r="Q46" s="47"/>
      <c r="R46" s="95" t="str">
        <f t="shared" si="7"/>
        <v/>
      </c>
      <c r="S46" s="95">
        <f t="shared" si="8"/>
        <v>110</v>
      </c>
      <c r="T46" s="96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701</v>
      </c>
      <c r="Q47" s="47">
        <v>2491</v>
      </c>
      <c r="R47" s="95">
        <f t="shared" si="7"/>
        <v>160</v>
      </c>
      <c r="S47" s="95" t="str">
        <f t="shared" si="8"/>
        <v/>
      </c>
      <c r="T47" s="96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740</v>
      </c>
      <c r="D48" s="7"/>
      <c r="E48" s="8" t="s">
        <v>741</v>
      </c>
      <c r="F48" s="55"/>
      <c r="G48" s="109" t="s">
        <v>742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711</v>
      </c>
      <c r="Q48" s="47"/>
      <c r="R48" s="95" t="str">
        <f t="shared" si="7"/>
        <v/>
      </c>
      <c r="S48" s="95">
        <f t="shared" si="8"/>
        <v>90</v>
      </c>
      <c r="T48" s="96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743</v>
      </c>
      <c r="D49" s="15" t="s">
        <v>232</v>
      </c>
      <c r="E49" s="10" t="s">
        <v>744</v>
      </c>
      <c r="F49" s="113">
        <v>9254081849</v>
      </c>
      <c r="G49" s="111" t="s">
        <v>745</v>
      </c>
      <c r="H49" s="49">
        <v>1</v>
      </c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 t="s">
        <v>701</v>
      </c>
      <c r="Q49" s="47">
        <v>776</v>
      </c>
      <c r="R49" s="95">
        <f t="shared" si="7"/>
        <v>80</v>
      </c>
      <c r="S49" s="95" t="str">
        <f t="shared" si="8"/>
        <v/>
      </c>
      <c r="T49" s="96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 t="shared" si="10"/>
        <v>0</v>
      </c>
      <c r="P50" s="47" t="s">
        <v>701</v>
      </c>
      <c r="Q50" s="47">
        <v>16285</v>
      </c>
      <c r="R50" s="95">
        <f t="shared" si="7"/>
        <v>110</v>
      </c>
      <c r="S50" s="95" t="str">
        <f t="shared" si="8"/>
        <v/>
      </c>
      <c r="T50" s="96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 t="shared" si="10"/>
        <v>0</v>
      </c>
      <c r="P51" s="47" t="s">
        <v>701</v>
      </c>
      <c r="Q51" s="47">
        <v>5196</v>
      </c>
      <c r="R51" s="95">
        <f t="shared" si="7"/>
        <v>110</v>
      </c>
      <c r="S51" s="95" t="str">
        <f t="shared" si="8"/>
        <v/>
      </c>
      <c r="T51" s="96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 t="shared" si="10"/>
        <v>0</v>
      </c>
      <c r="P52" s="47" t="s">
        <v>701</v>
      </c>
      <c r="Q52" s="47">
        <v>7346</v>
      </c>
      <c r="R52" s="95">
        <f t="shared" si="7"/>
        <v>110</v>
      </c>
      <c r="S52" s="95" t="str">
        <f t="shared" si="8"/>
        <v/>
      </c>
      <c r="T52" s="96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 t="shared" si="10"/>
        <v>100</v>
      </c>
      <c r="P53" s="47" t="s">
        <v>711</v>
      </c>
      <c r="Q53" s="47"/>
      <c r="R53" s="95" t="str">
        <f t="shared" si="7"/>
        <v/>
      </c>
      <c r="S53" s="95">
        <f t="shared" si="8"/>
        <v>100</v>
      </c>
      <c r="T53" s="96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 t="shared" si="10"/>
        <v>0</v>
      </c>
      <c r="P54" s="47" t="s">
        <v>701</v>
      </c>
      <c r="Q54" s="47">
        <v>4939</v>
      </c>
      <c r="R54" s="95">
        <f t="shared" si="7"/>
        <v>160</v>
      </c>
      <c r="S54" s="95" t="str">
        <f t="shared" si="8"/>
        <v/>
      </c>
      <c r="T54" s="96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 t="shared" si="10"/>
        <v>0</v>
      </c>
      <c r="P55" s="47" t="s">
        <v>701</v>
      </c>
      <c r="Q55" s="47">
        <v>141</v>
      </c>
      <c r="R55" s="95">
        <f t="shared" si="7"/>
        <v>160</v>
      </c>
      <c r="S55" s="95" t="str">
        <f t="shared" si="8"/>
        <v/>
      </c>
      <c r="T55" s="96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746</v>
      </c>
      <c r="D56" s="5" t="s">
        <v>211</v>
      </c>
      <c r="E56" s="6" t="s">
        <v>747</v>
      </c>
      <c r="F56" s="113">
        <v>4086670073</v>
      </c>
      <c r="G56" s="111" t="s">
        <v>748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 t="s">
        <v>701</v>
      </c>
      <c r="Q56" s="47">
        <v>1034</v>
      </c>
      <c r="R56" s="95">
        <f t="shared" si="7"/>
        <v>70</v>
      </c>
      <c r="S56" s="95" t="str">
        <f t="shared" si="8"/>
        <v/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749</v>
      </c>
      <c r="D57" s="7" t="s">
        <v>45</v>
      </c>
      <c r="E57" s="8" t="s">
        <v>750</v>
      </c>
      <c r="F57" s="58">
        <v>7072944291</v>
      </c>
      <c r="G57" s="109" t="s">
        <v>751</v>
      </c>
      <c r="H57" s="49">
        <v>1</v>
      </c>
      <c r="I57" s="47"/>
      <c r="J57" s="47"/>
      <c r="K57" s="47"/>
      <c r="L57" s="47"/>
      <c r="M57" s="47"/>
      <c r="N57" s="47"/>
      <c r="O57" s="94">
        <f t="shared" si="10"/>
        <v>0</v>
      </c>
      <c r="P57" s="47" t="s">
        <v>701</v>
      </c>
      <c r="Q57" s="47">
        <v>1376</v>
      </c>
      <c r="R57" s="95">
        <f t="shared" si="7"/>
        <v>80</v>
      </c>
      <c r="S57" s="95" t="str">
        <f t="shared" si="8"/>
        <v/>
      </c>
      <c r="T57" s="96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 t="shared" si="10"/>
        <v>0</v>
      </c>
      <c r="P58" s="47" t="s">
        <v>701</v>
      </c>
      <c r="Q58" s="47">
        <v>1508</v>
      </c>
      <c r="R58" s="95">
        <f t="shared" si="7"/>
        <v>160</v>
      </c>
      <c r="S58" s="95" t="str">
        <f t="shared" si="8"/>
        <v/>
      </c>
      <c r="T58" s="96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 t="shared" si="10"/>
        <v>0</v>
      </c>
      <c r="P59" s="47" t="s">
        <v>701</v>
      </c>
      <c r="Q59" s="47">
        <v>1508</v>
      </c>
      <c r="R59" s="95">
        <v>160</v>
      </c>
      <c r="S59" s="95" t="str">
        <f t="shared" si="8"/>
        <v/>
      </c>
      <c r="T59" s="96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752</v>
      </c>
      <c r="D60" s="14" t="s">
        <v>753</v>
      </c>
      <c r="E60" s="6" t="s">
        <v>754</v>
      </c>
      <c r="F60" s="48">
        <v>7752876408</v>
      </c>
      <c r="G60" s="109" t="s">
        <v>755</v>
      </c>
      <c r="H60" s="49">
        <v>1</v>
      </c>
      <c r="I60" s="47"/>
      <c r="J60" s="47"/>
      <c r="K60" s="47"/>
      <c r="L60" s="47"/>
      <c r="M60" s="47"/>
      <c r="N60" s="47"/>
      <c r="O60" s="94">
        <f t="shared" si="10"/>
        <v>0</v>
      </c>
      <c r="P60" s="47" t="s">
        <v>711</v>
      </c>
      <c r="Q60" s="47"/>
      <c r="R60" s="95" t="str">
        <f t="shared" ref="R60:R91" si="11">IF(OR(P60="c",P60="C"),+T60,"")</f>
        <v/>
      </c>
      <c r="S60" s="95">
        <f t="shared" si="8"/>
        <v>80</v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 t="shared" si="10"/>
        <v>0</v>
      </c>
      <c r="P61" s="47" t="s">
        <v>701</v>
      </c>
      <c r="Q61" s="47">
        <v>204</v>
      </c>
      <c r="R61" s="95">
        <f t="shared" si="11"/>
        <v>100</v>
      </c>
      <c r="S61" s="95" t="str">
        <f t="shared" si="8"/>
        <v/>
      </c>
      <c r="T61" s="96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4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 t="shared" si="10"/>
        <v>0</v>
      </c>
      <c r="P62" s="47" t="s">
        <v>711</v>
      </c>
      <c r="Q62" s="47"/>
      <c r="R62" s="95" t="str">
        <f t="shared" si="11"/>
        <v/>
      </c>
      <c r="S62" s="95">
        <f t="shared" si="8"/>
        <v>110</v>
      </c>
      <c r="T62" s="96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756</v>
      </c>
      <c r="D63" s="5" t="s">
        <v>45</v>
      </c>
      <c r="E63" s="6" t="s">
        <v>757</v>
      </c>
      <c r="F63" s="113">
        <v>7074804517</v>
      </c>
      <c r="G63" s="109" t="s">
        <v>758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 t="s">
        <v>711</v>
      </c>
      <c r="Q63" s="47"/>
      <c r="R63" s="95" t="str">
        <f t="shared" si="11"/>
        <v/>
      </c>
      <c r="S63" s="95">
        <f t="shared" si="8"/>
        <v>70</v>
      </c>
      <c r="T63" s="96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 t="shared" si="10"/>
        <v>0</v>
      </c>
      <c r="P64" s="47" t="s">
        <v>701</v>
      </c>
      <c r="Q64" s="47">
        <v>8223</v>
      </c>
      <c r="R64" s="95">
        <f t="shared" si="11"/>
        <v>100</v>
      </c>
      <c r="S64" s="95" t="str">
        <f t="shared" si="8"/>
        <v/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 t="shared" si="10"/>
        <v>0</v>
      </c>
      <c r="P65" s="47" t="s">
        <v>701</v>
      </c>
      <c r="Q65" s="47">
        <v>677</v>
      </c>
      <c r="R65" s="95">
        <f t="shared" si="11"/>
        <v>110</v>
      </c>
      <c r="S65" s="95" t="str">
        <f t="shared" si="8"/>
        <v/>
      </c>
      <c r="T65" s="96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 t="shared" si="10"/>
        <v>0</v>
      </c>
      <c r="P66" s="47" t="s">
        <v>701</v>
      </c>
      <c r="Q66" s="47">
        <v>677</v>
      </c>
      <c r="R66" s="95">
        <f t="shared" si="11"/>
        <v>80</v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 t="shared" si="10"/>
        <v>0</v>
      </c>
      <c r="P67" s="47" t="s">
        <v>701</v>
      </c>
      <c r="Q67" s="47">
        <v>2480</v>
      </c>
      <c r="R67" s="95">
        <f t="shared" si="11"/>
        <v>80</v>
      </c>
      <c r="S67" s="95" t="str">
        <f t="shared" si="12"/>
        <v/>
      </c>
      <c r="T67" s="96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 t="shared" si="10"/>
        <v>70</v>
      </c>
      <c r="P68" s="47" t="s">
        <v>711</v>
      </c>
      <c r="Q68" s="47"/>
      <c r="R68" s="95" t="str">
        <f t="shared" si="11"/>
        <v/>
      </c>
      <c r="S68" s="95">
        <f t="shared" si="12"/>
        <v>70</v>
      </c>
      <c r="T68" s="96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759</v>
      </c>
      <c r="D69" s="7" t="s">
        <v>409</v>
      </c>
      <c r="E69" s="8" t="s">
        <v>760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 t="shared" si="10"/>
        <v>70</v>
      </c>
      <c r="P69" s="47" t="s">
        <v>711</v>
      </c>
      <c r="Q69" s="47"/>
      <c r="R69" s="95" t="str">
        <f t="shared" si="11"/>
        <v/>
      </c>
      <c r="S69" s="95">
        <f t="shared" si="12"/>
        <v>70</v>
      </c>
      <c r="T69" s="96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 t="shared" si="10"/>
        <v>0</v>
      </c>
      <c r="P70" s="47" t="s">
        <v>701</v>
      </c>
      <c r="Q70" s="47">
        <v>3948</v>
      </c>
      <c r="R70" s="95">
        <f t="shared" si="11"/>
        <v>100</v>
      </c>
      <c r="S70" s="95" t="str">
        <f t="shared" si="12"/>
        <v/>
      </c>
      <c r="T70" s="96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 t="shared" si="10"/>
        <v>0</v>
      </c>
      <c r="P71" s="47" t="s">
        <v>701</v>
      </c>
      <c r="Q71" s="47">
        <v>317</v>
      </c>
      <c r="R71" s="95">
        <f t="shared" si="11"/>
        <v>90</v>
      </c>
      <c r="S71" s="95" t="str">
        <f t="shared" si="12"/>
        <v/>
      </c>
      <c r="T71" s="96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 t="s">
        <v>701</v>
      </c>
      <c r="Q72" s="47"/>
      <c r="R72" s="95">
        <f t="shared" si="11"/>
        <v>0</v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 t="s">
        <v>701</v>
      </c>
      <c r="Q73" s="47"/>
      <c r="R73" s="95">
        <f t="shared" si="11"/>
        <v>0</v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 t="s">
        <v>701</v>
      </c>
      <c r="Q74" s="47"/>
      <c r="R74" s="95">
        <f t="shared" si="11"/>
        <v>0</v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 t="s">
        <v>701</v>
      </c>
      <c r="Q75" s="47"/>
      <c r="R75" s="95">
        <f t="shared" si="11"/>
        <v>0</v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 t="s">
        <v>701</v>
      </c>
      <c r="Q76" s="47"/>
      <c r="R76" s="95">
        <f t="shared" si="11"/>
        <v>0</v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6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 t="s">
        <v>701</v>
      </c>
      <c r="Q77" s="47"/>
      <c r="R77" s="95">
        <f t="shared" si="11"/>
        <v>0</v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 t="s">
        <v>701</v>
      </c>
      <c r="Q78" s="47"/>
      <c r="R78" s="95">
        <f t="shared" si="11"/>
        <v>0</v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 t="s">
        <v>701</v>
      </c>
      <c r="Q79" s="47"/>
      <c r="R79" s="95">
        <f t="shared" si="11"/>
        <v>0</v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 t="s">
        <v>701</v>
      </c>
      <c r="Q80" s="47"/>
      <c r="R80" s="95">
        <f t="shared" si="11"/>
        <v>0</v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 t="s">
        <v>701</v>
      </c>
      <c r="Q81" s="47"/>
      <c r="R81" s="95">
        <f t="shared" si="11"/>
        <v>0</v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 t="s">
        <v>701</v>
      </c>
      <c r="Q82" s="47"/>
      <c r="R82" s="95">
        <f t="shared" si="11"/>
        <v>0</v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 t="s">
        <v>701</v>
      </c>
      <c r="Q83" s="47"/>
      <c r="R83" s="95">
        <f t="shared" si="11"/>
        <v>0</v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 t="s">
        <v>701</v>
      </c>
      <c r="Q84" s="47"/>
      <c r="R84" s="95">
        <f t="shared" si="11"/>
        <v>0</v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 t="s">
        <v>701</v>
      </c>
      <c r="Q85" s="47"/>
      <c r="R85" s="95">
        <f t="shared" si="11"/>
        <v>0</v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 t="s">
        <v>701</v>
      </c>
      <c r="Q86" s="47"/>
      <c r="R86" s="95">
        <f t="shared" si="11"/>
        <v>0</v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 t="s">
        <v>701</v>
      </c>
      <c r="Q87" s="47"/>
      <c r="R87" s="95">
        <f t="shared" si="11"/>
        <v>0</v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 t="s">
        <v>701</v>
      </c>
      <c r="Q88" s="47"/>
      <c r="R88" s="95">
        <f t="shared" si="11"/>
        <v>0</v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718</v>
      </c>
      <c r="D89" s="5" t="s">
        <v>235</v>
      </c>
      <c r="E89" s="6" t="s">
        <v>719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 t="s">
        <v>701</v>
      </c>
      <c r="Q89" s="47">
        <v>4818</v>
      </c>
      <c r="R89" s="95">
        <f t="shared" si="11"/>
        <v>0</v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 t="s">
        <v>701</v>
      </c>
      <c r="Q90" s="47"/>
      <c r="R90" s="95">
        <f t="shared" si="11"/>
        <v>0</v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 t="s">
        <v>701</v>
      </c>
      <c r="Q91" s="47"/>
      <c r="R91" s="95">
        <f t="shared" si="11"/>
        <v>0</v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 t="s">
        <v>701</v>
      </c>
      <c r="Q92" s="47"/>
      <c r="R92" s="95">
        <f t="shared" ref="R92:R123" si="15">IF(OR(P92="c",P92="C"),+T92,"")</f>
        <v>0</v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 t="s">
        <v>701</v>
      </c>
      <c r="Q93" s="47"/>
      <c r="R93" s="95">
        <f t="shared" si="15"/>
        <v>0</v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 t="s">
        <v>701</v>
      </c>
      <c r="Q94" s="47"/>
      <c r="R94" s="95">
        <f t="shared" si="15"/>
        <v>0</v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 t="s">
        <v>701</v>
      </c>
      <c r="Q95" s="47"/>
      <c r="R95" s="95">
        <f t="shared" si="15"/>
        <v>0</v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 t="s">
        <v>701</v>
      </c>
      <c r="Q96" s="47"/>
      <c r="R96" s="95">
        <f t="shared" si="15"/>
        <v>0</v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 t="s">
        <v>701</v>
      </c>
      <c r="Q97" s="47"/>
      <c r="R97" s="95">
        <f t="shared" si="15"/>
        <v>0</v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 t="s">
        <v>701</v>
      </c>
      <c r="Q98" s="47"/>
      <c r="R98" s="95">
        <f t="shared" si="15"/>
        <v>0</v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 t="s">
        <v>701</v>
      </c>
      <c r="Q99" s="47"/>
      <c r="R99" s="95">
        <f t="shared" si="15"/>
        <v>0</v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 t="s">
        <v>701</v>
      </c>
      <c r="Q100" s="47"/>
      <c r="R100" s="95">
        <f t="shared" si="15"/>
        <v>0</v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 t="s">
        <v>701</v>
      </c>
      <c r="Q101" s="47"/>
      <c r="R101" s="95">
        <f t="shared" si="15"/>
        <v>0</v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 t="s">
        <v>701</v>
      </c>
      <c r="Q102" s="47"/>
      <c r="R102" s="95">
        <f t="shared" si="15"/>
        <v>0</v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 t="s">
        <v>701</v>
      </c>
      <c r="Q103" s="47"/>
      <c r="R103" s="95">
        <f t="shared" si="15"/>
        <v>0</v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 t="s">
        <v>701</v>
      </c>
      <c r="Q104" s="47"/>
      <c r="R104" s="95">
        <f t="shared" si="15"/>
        <v>0</v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 t="s">
        <v>701</v>
      </c>
      <c r="Q105" s="47"/>
      <c r="R105" s="95">
        <f t="shared" si="15"/>
        <v>0</v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 t="s">
        <v>701</v>
      </c>
      <c r="Q106" s="47"/>
      <c r="R106" s="95">
        <f t="shared" si="15"/>
        <v>0</v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 t="s">
        <v>701</v>
      </c>
      <c r="Q107" s="47"/>
      <c r="R107" s="95">
        <f t="shared" si="15"/>
        <v>0</v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 t="s">
        <v>701</v>
      </c>
      <c r="Q108" s="47"/>
      <c r="R108" s="95">
        <f t="shared" si="15"/>
        <v>0</v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 t="s">
        <v>701</v>
      </c>
      <c r="Q109" s="47"/>
      <c r="R109" s="95">
        <f t="shared" si="15"/>
        <v>0</v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 t="s">
        <v>701</v>
      </c>
      <c r="Q110" s="47"/>
      <c r="R110" s="95">
        <f t="shared" si="15"/>
        <v>0</v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 t="s">
        <v>701</v>
      </c>
      <c r="Q111" s="47"/>
      <c r="R111" s="95">
        <f t="shared" si="15"/>
        <v>0</v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 t="s">
        <v>701</v>
      </c>
      <c r="Q112" s="47"/>
      <c r="R112" s="95">
        <f t="shared" si="15"/>
        <v>0</v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 t="s">
        <v>701</v>
      </c>
      <c r="Q113" s="47"/>
      <c r="R113" s="95">
        <f t="shared" si="15"/>
        <v>0</v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 t="s">
        <v>701</v>
      </c>
      <c r="Q114" s="47"/>
      <c r="R114" s="95">
        <f t="shared" si="15"/>
        <v>0</v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 t="s">
        <v>701</v>
      </c>
      <c r="Q115" s="47"/>
      <c r="R115" s="95">
        <f t="shared" si="15"/>
        <v>0</v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 t="s">
        <v>701</v>
      </c>
      <c r="Q116" s="47"/>
      <c r="R116" s="95">
        <f t="shared" si="15"/>
        <v>0</v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 t="s">
        <v>701</v>
      </c>
      <c r="Q117" s="47"/>
      <c r="R117" s="95">
        <f t="shared" si="15"/>
        <v>0</v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 t="s">
        <v>701</v>
      </c>
      <c r="Q118" s="47"/>
      <c r="R118" s="95">
        <f t="shared" si="15"/>
        <v>0</v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 t="s">
        <v>701</v>
      </c>
      <c r="Q119" s="47"/>
      <c r="R119" s="95">
        <f t="shared" si="15"/>
        <v>0</v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 t="s">
        <v>701</v>
      </c>
      <c r="Q120" s="47"/>
      <c r="R120" s="95">
        <f t="shared" si="15"/>
        <v>0</v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 t="s">
        <v>701</v>
      </c>
      <c r="Q121" s="47"/>
      <c r="R121" s="95">
        <f t="shared" si="15"/>
        <v>0</v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 t="s">
        <v>701</v>
      </c>
      <c r="Q122" s="47"/>
      <c r="R122" s="95">
        <f t="shared" si="15"/>
        <v>0</v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 t="s">
        <v>701</v>
      </c>
      <c r="Q123" s="47"/>
      <c r="R123" s="95">
        <f t="shared" si="15"/>
        <v>0</v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 t="s">
        <v>701</v>
      </c>
      <c r="Q124" s="47"/>
      <c r="R124" s="95">
        <f t="shared" ref="R124:R155" si="18">IF(OR(P124="c",P124="C"),+T124,"")</f>
        <v>0</v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 t="s">
        <v>701</v>
      </c>
      <c r="Q125" s="47"/>
      <c r="R125" s="95">
        <f t="shared" si="18"/>
        <v>0</v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 t="s">
        <v>701</v>
      </c>
      <c r="Q126" s="47"/>
      <c r="R126" s="95">
        <f t="shared" si="18"/>
        <v>0</v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 t="s">
        <v>701</v>
      </c>
      <c r="Q127" s="47"/>
      <c r="R127" s="95">
        <f t="shared" si="18"/>
        <v>0</v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 t="s">
        <v>701</v>
      </c>
      <c r="Q128" s="47"/>
      <c r="R128" s="95">
        <f t="shared" si="18"/>
        <v>0</v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 t="s">
        <v>701</v>
      </c>
      <c r="Q129" s="47"/>
      <c r="R129" s="95">
        <f t="shared" si="18"/>
        <v>0</v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735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 t="s">
        <v>701</v>
      </c>
      <c r="Q130" s="47"/>
      <c r="R130" s="95">
        <f t="shared" si="18"/>
        <v>0</v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 t="s">
        <v>701</v>
      </c>
      <c r="Q131" s="47"/>
      <c r="R131" s="95">
        <f t="shared" si="18"/>
        <v>0</v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 t="s">
        <v>701</v>
      </c>
      <c r="Q132" s="47"/>
      <c r="R132" s="95">
        <f t="shared" si="18"/>
        <v>0</v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 t="s">
        <v>701</v>
      </c>
      <c r="Q133" s="47"/>
      <c r="R133" s="95">
        <f t="shared" si="18"/>
        <v>0</v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 t="s">
        <v>701</v>
      </c>
      <c r="Q134" s="47"/>
      <c r="R134" s="95">
        <f t="shared" si="18"/>
        <v>0</v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 t="s">
        <v>701</v>
      </c>
      <c r="Q135" s="47"/>
      <c r="R135" s="95">
        <f t="shared" si="18"/>
        <v>0</v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 t="s">
        <v>701</v>
      </c>
      <c r="Q136" s="47"/>
      <c r="R136" s="95">
        <f t="shared" si="18"/>
        <v>0</v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 t="s">
        <v>701</v>
      </c>
      <c r="Q137" s="47"/>
      <c r="R137" s="95">
        <f t="shared" si="18"/>
        <v>0</v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 t="s">
        <v>701</v>
      </c>
      <c r="Q138" s="47"/>
      <c r="R138" s="95">
        <f t="shared" si="18"/>
        <v>0</v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 t="s">
        <v>701</v>
      </c>
      <c r="Q139" s="47"/>
      <c r="R139" s="95">
        <f t="shared" si="18"/>
        <v>0</v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 t="s">
        <v>701</v>
      </c>
      <c r="Q140" s="47">
        <v>1059</v>
      </c>
      <c r="R140" s="95">
        <f t="shared" si="18"/>
        <v>0</v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 t="s">
        <v>701</v>
      </c>
      <c r="Q141" s="47"/>
      <c r="R141" s="95">
        <f t="shared" si="18"/>
        <v>0</v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 t="s">
        <v>701</v>
      </c>
      <c r="Q142" s="47"/>
      <c r="R142" s="95">
        <f t="shared" si="18"/>
        <v>0</v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 t="s">
        <v>701</v>
      </c>
      <c r="Q143" s="47"/>
      <c r="R143" s="95">
        <f t="shared" si="18"/>
        <v>0</v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 t="s">
        <v>701</v>
      </c>
      <c r="Q144" s="47"/>
      <c r="R144" s="95">
        <f t="shared" si="18"/>
        <v>0</v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 t="s">
        <v>701</v>
      </c>
      <c r="Q145" s="47"/>
      <c r="R145" s="95">
        <f t="shared" si="18"/>
        <v>0</v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 t="s">
        <v>701</v>
      </c>
      <c r="Q146" s="47"/>
      <c r="R146" s="95">
        <f t="shared" si="18"/>
        <v>0</v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 t="s">
        <v>701</v>
      </c>
      <c r="Q147" s="47"/>
      <c r="R147" s="95">
        <f t="shared" si="18"/>
        <v>0</v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4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 t="s">
        <v>701</v>
      </c>
      <c r="Q148" s="47"/>
      <c r="R148" s="95">
        <f t="shared" si="18"/>
        <v>0</v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 t="s">
        <v>701</v>
      </c>
      <c r="Q149" s="47"/>
      <c r="R149" s="95">
        <f t="shared" si="18"/>
        <v>0</v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 t="s">
        <v>701</v>
      </c>
      <c r="Q150" s="47"/>
      <c r="R150" s="95">
        <f t="shared" si="18"/>
        <v>0</v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 t="s">
        <v>701</v>
      </c>
      <c r="Q151" s="47"/>
      <c r="R151" s="95">
        <f t="shared" si="18"/>
        <v>0</v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 t="s">
        <v>701</v>
      </c>
      <c r="Q152" s="47"/>
      <c r="R152" s="95">
        <f t="shared" si="18"/>
        <v>0</v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 t="s">
        <v>701</v>
      </c>
      <c r="Q153" s="47"/>
      <c r="R153" s="95">
        <f t="shared" si="18"/>
        <v>0</v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 t="s">
        <v>701</v>
      </c>
      <c r="Q154" s="47"/>
      <c r="R154" s="95">
        <f t="shared" si="18"/>
        <v>0</v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 t="s">
        <v>701</v>
      </c>
      <c r="Q155" s="47"/>
      <c r="R155" s="95">
        <f t="shared" si="18"/>
        <v>0</v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 t="s">
        <v>701</v>
      </c>
      <c r="Q156" s="47"/>
      <c r="R156" s="95">
        <f t="shared" ref="R156:R187" si="22">IF(OR(P156="c",P156="C"),+T156,"")</f>
        <v>0</v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 t="s">
        <v>701</v>
      </c>
      <c r="Q157" s="47"/>
      <c r="R157" s="95">
        <f t="shared" si="22"/>
        <v>0</v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 t="s">
        <v>701</v>
      </c>
      <c r="Q158" s="47"/>
      <c r="R158" s="95">
        <f t="shared" si="22"/>
        <v>0</v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 t="s">
        <v>701</v>
      </c>
      <c r="Q159" s="47"/>
      <c r="R159" s="95">
        <f t="shared" si="22"/>
        <v>0</v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 t="s">
        <v>701</v>
      </c>
      <c r="Q160" s="47"/>
      <c r="R160" s="95">
        <f t="shared" si="22"/>
        <v>0</v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 t="s">
        <v>701</v>
      </c>
      <c r="Q161" s="47"/>
      <c r="R161" s="95">
        <f t="shared" si="22"/>
        <v>0</v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 t="s">
        <v>701</v>
      </c>
      <c r="Q162" s="47"/>
      <c r="R162" s="95">
        <f t="shared" si="22"/>
        <v>0</v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 t="s">
        <v>701</v>
      </c>
      <c r="Q163" s="47"/>
      <c r="R163" s="95">
        <f t="shared" si="22"/>
        <v>0</v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 t="s">
        <v>701</v>
      </c>
      <c r="Q164" s="47"/>
      <c r="R164" s="95">
        <f t="shared" si="22"/>
        <v>0</v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 t="s">
        <v>701</v>
      </c>
      <c r="Q165" s="47"/>
      <c r="R165" s="95">
        <f t="shared" si="22"/>
        <v>0</v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 t="s">
        <v>701</v>
      </c>
      <c r="Q166" s="47"/>
      <c r="R166" s="95">
        <f t="shared" si="22"/>
        <v>0</v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 t="s">
        <v>701</v>
      </c>
      <c r="Q167" s="47"/>
      <c r="R167" s="95">
        <f t="shared" si="22"/>
        <v>0</v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 t="s">
        <v>701</v>
      </c>
      <c r="Q168" s="47"/>
      <c r="R168" s="95">
        <f t="shared" si="22"/>
        <v>0</v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 t="s">
        <v>701</v>
      </c>
      <c r="Q169" s="47"/>
      <c r="R169" s="95">
        <f t="shared" si="22"/>
        <v>0</v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 t="s">
        <v>701</v>
      </c>
      <c r="Q170" s="47"/>
      <c r="R170" s="95">
        <f t="shared" si="22"/>
        <v>0</v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 t="s">
        <v>701</v>
      </c>
      <c r="Q171" s="47"/>
      <c r="R171" s="95">
        <f t="shared" si="22"/>
        <v>0</v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 t="s">
        <v>701</v>
      </c>
      <c r="Q172" s="47"/>
      <c r="R172" s="95">
        <f t="shared" si="22"/>
        <v>0</v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 t="s">
        <v>701</v>
      </c>
      <c r="Q173" s="47"/>
      <c r="R173" s="95">
        <f t="shared" si="22"/>
        <v>0</v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 t="s">
        <v>701</v>
      </c>
      <c r="Q174" s="47"/>
      <c r="R174" s="95">
        <f t="shared" si="22"/>
        <v>0</v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 t="s">
        <v>701</v>
      </c>
      <c r="Q175" s="47"/>
      <c r="R175" s="95">
        <f t="shared" si="22"/>
        <v>0</v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 t="s">
        <v>701</v>
      </c>
      <c r="Q176" s="47"/>
      <c r="R176" s="95">
        <f t="shared" si="22"/>
        <v>0</v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 t="s">
        <v>701</v>
      </c>
      <c r="Q177" s="47"/>
      <c r="R177" s="95">
        <f t="shared" si="22"/>
        <v>0</v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 t="s">
        <v>701</v>
      </c>
      <c r="Q178" s="47"/>
      <c r="R178" s="95">
        <f t="shared" si="22"/>
        <v>0</v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 t="s">
        <v>701</v>
      </c>
      <c r="Q179" s="47"/>
      <c r="R179" s="95">
        <f t="shared" si="22"/>
        <v>0</v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 t="s">
        <v>701</v>
      </c>
      <c r="Q180" s="47"/>
      <c r="R180" s="95">
        <f t="shared" si="22"/>
        <v>0</v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 t="s">
        <v>701</v>
      </c>
      <c r="Q181" s="47"/>
      <c r="R181" s="95">
        <f t="shared" si="22"/>
        <v>0</v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 t="s">
        <v>701</v>
      </c>
      <c r="Q182" s="47"/>
      <c r="R182" s="95">
        <f t="shared" si="22"/>
        <v>0</v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 t="s">
        <v>701</v>
      </c>
      <c r="Q183" s="47"/>
      <c r="R183" s="95">
        <f t="shared" si="22"/>
        <v>0</v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 t="s">
        <v>701</v>
      </c>
      <c r="Q184" s="47"/>
      <c r="R184" s="95">
        <f t="shared" si="22"/>
        <v>0</v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 t="s">
        <v>701</v>
      </c>
      <c r="Q185" s="47"/>
      <c r="R185" s="95">
        <f t="shared" si="22"/>
        <v>0</v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 t="s">
        <v>701</v>
      </c>
      <c r="Q186" s="47"/>
      <c r="R186" s="95">
        <f t="shared" si="22"/>
        <v>0</v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 t="s">
        <v>701</v>
      </c>
      <c r="Q187" s="47"/>
      <c r="R187" s="95">
        <f t="shared" si="22"/>
        <v>0</v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 t="s">
        <v>701</v>
      </c>
      <c r="Q188" s="47"/>
      <c r="R188" s="95">
        <f t="shared" ref="R188:R201" si="25">IF(OR(P188="c",P188="C"),+T188,"")</f>
        <v>0</v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 t="s">
        <v>701</v>
      </c>
      <c r="Q189" s="47"/>
      <c r="R189" s="95">
        <f t="shared" si="25"/>
        <v>0</v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 t="s">
        <v>701</v>
      </c>
      <c r="Q190" s="47"/>
      <c r="R190" s="95">
        <f t="shared" si="25"/>
        <v>0</v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 t="s">
        <v>701</v>
      </c>
      <c r="Q191" s="47"/>
      <c r="R191" s="95">
        <f t="shared" si="25"/>
        <v>0</v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 t="s">
        <v>701</v>
      </c>
      <c r="Q192" s="47"/>
      <c r="R192" s="95">
        <f t="shared" si="25"/>
        <v>0</v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 t="s">
        <v>701</v>
      </c>
      <c r="Q193" s="47"/>
      <c r="R193" s="95">
        <f t="shared" si="25"/>
        <v>0</v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 t="s">
        <v>701</v>
      </c>
      <c r="Q194" s="47"/>
      <c r="R194" s="95">
        <f t="shared" si="25"/>
        <v>0</v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 t="s">
        <v>701</v>
      </c>
      <c r="Q195" s="47"/>
      <c r="R195" s="95">
        <f t="shared" si="25"/>
        <v>0</v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 t="s">
        <v>701</v>
      </c>
      <c r="Q196" s="47"/>
      <c r="R196" s="95">
        <f t="shared" si="25"/>
        <v>0</v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 t="s">
        <v>701</v>
      </c>
      <c r="Q197" s="47"/>
      <c r="R197" s="95">
        <f t="shared" si="25"/>
        <v>0</v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 t="s">
        <v>701</v>
      </c>
      <c r="Q198" s="47"/>
      <c r="R198" s="95">
        <f t="shared" si="25"/>
        <v>0</v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 t="s">
        <v>701</v>
      </c>
      <c r="Q199" s="47"/>
      <c r="R199" s="95">
        <f t="shared" si="25"/>
        <v>0</v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 t="s">
        <v>701</v>
      </c>
      <c r="Q200" s="47"/>
      <c r="R200" s="95">
        <f t="shared" si="25"/>
        <v>0</v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 t="s">
        <v>701</v>
      </c>
      <c r="Q201" s="47"/>
      <c r="R201" s="95">
        <f t="shared" si="25"/>
        <v>0</v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M22" sqref="M22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740</v>
      </c>
      <c r="B11" s="7"/>
      <c r="C11" s="8" t="s">
        <v>741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759</v>
      </c>
      <c r="B14" s="7" t="s">
        <v>409</v>
      </c>
      <c r="C14" s="8" t="s">
        <v>760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718</v>
      </c>
      <c r="D7" s="5" t="s">
        <v>235</v>
      </c>
      <c r="E7" s="6" t="s">
        <v>719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2025-03-12T21:56:37Z</dcterms:modified>
</cp:coreProperties>
</file>