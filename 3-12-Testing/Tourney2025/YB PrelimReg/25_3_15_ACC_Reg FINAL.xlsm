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6A26FB3C-EA34-E94E-B44F-155022A03E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vonnebowers/Desktop/"/>
    </mc:Choice>
  </mc:AlternateContent>
  <xr:revisionPtr revIDLastSave="0" documentId="13_ncr:1_{3D386967-AD59-E549-8546-C5DE92304A55}" xr6:coauthVersionLast="47" xr6:coauthVersionMax="47" xr10:uidLastSave="{00000000-0000-0000-0000-000000000000}"/>
  <bookViews>
    <workbookView xWindow="6920" yWindow="1100" windowWidth="34680" windowHeight="2578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16" i="1"/>
  <c r="T16" i="1"/>
  <c r="O16" i="1" s="1"/>
  <c r="B10" i="1"/>
  <c r="U10" i="1"/>
  <c r="H10" i="1"/>
  <c r="I10" i="1"/>
  <c r="J10" i="1"/>
  <c r="K10" i="1"/>
  <c r="L10" i="1"/>
  <c r="M10" i="1"/>
  <c r="N10" i="1"/>
  <c r="A40" i="1"/>
  <c r="R50" i="1"/>
  <c r="T50" i="1"/>
  <c r="S50" i="1" s="1"/>
  <c r="A146" i="1"/>
  <c r="S147" i="1"/>
  <c r="T147" i="1"/>
  <c r="O147" i="1" s="1"/>
  <c r="A12" i="1"/>
  <c r="T12" i="1"/>
  <c r="O12" i="1" s="1"/>
  <c r="A160" i="1"/>
  <c r="S161" i="1"/>
  <c r="T161" i="1"/>
  <c r="O161" i="1" s="1"/>
  <c r="A39" i="1"/>
  <c r="R49" i="1"/>
  <c r="T49" i="1"/>
  <c r="O49" i="1" s="1"/>
  <c r="A37" i="1"/>
  <c r="R47" i="1"/>
  <c r="T47" i="1"/>
  <c r="O47" i="1" s="1"/>
  <c r="A204" i="1"/>
  <c r="S204" i="1"/>
  <c r="T204" i="1"/>
  <c r="O204" i="1" s="1"/>
  <c r="A164" i="1"/>
  <c r="S165" i="1"/>
  <c r="T165" i="1"/>
  <c r="O165" i="1" s="1"/>
  <c r="A176" i="1"/>
  <c r="R177" i="1"/>
  <c r="S177" i="1"/>
  <c r="T177" i="1"/>
  <c r="O177" i="1" s="1"/>
  <c r="S23" i="1"/>
  <c r="T23" i="1"/>
  <c r="O23" i="1" s="1"/>
  <c r="S25" i="1"/>
  <c r="T25" i="1"/>
  <c r="O25" i="1" s="1"/>
  <c r="R26" i="1"/>
  <c r="S26" i="1"/>
  <c r="T26" i="1"/>
  <c r="R27" i="1"/>
  <c r="S27" i="1"/>
  <c r="T27" i="1"/>
  <c r="R28" i="1"/>
  <c r="S28" i="1"/>
  <c r="T28" i="1"/>
  <c r="S29" i="1"/>
  <c r="T29" i="1"/>
  <c r="O29" i="1" s="1"/>
  <c r="S30" i="1"/>
  <c r="T30" i="1"/>
  <c r="O30" i="1" s="1"/>
  <c r="R31" i="1"/>
  <c r="S31" i="1"/>
  <c r="T31" i="1"/>
  <c r="R32" i="1"/>
  <c r="S32" i="1"/>
  <c r="T32" i="1"/>
  <c r="R33" i="1"/>
  <c r="S33" i="1"/>
  <c r="T33" i="1"/>
  <c r="O33" i="1" s="1"/>
  <c r="R34" i="1"/>
  <c r="S34" i="1"/>
  <c r="T34" i="1"/>
  <c r="R35" i="1"/>
  <c r="S35" i="1"/>
  <c r="T35" i="1"/>
  <c r="R36" i="1"/>
  <c r="S36" i="1"/>
  <c r="T36" i="1"/>
  <c r="R37" i="1"/>
  <c r="S37" i="1"/>
  <c r="T37" i="1"/>
  <c r="R38" i="1"/>
  <c r="S38" i="1"/>
  <c r="T38" i="1"/>
  <c r="R39" i="1"/>
  <c r="S39" i="1"/>
  <c r="T39" i="1"/>
  <c r="R40" i="1"/>
  <c r="S40" i="1"/>
  <c r="T40" i="1"/>
  <c r="R41" i="1"/>
  <c r="S41" i="1"/>
  <c r="T41" i="1"/>
  <c r="R42" i="1"/>
  <c r="S42" i="1"/>
  <c r="T42" i="1"/>
  <c r="R43" i="1"/>
  <c r="S43" i="1"/>
  <c r="T43" i="1"/>
  <c r="R44" i="1"/>
  <c r="S44" i="1"/>
  <c r="T44" i="1"/>
  <c r="R45" i="1"/>
  <c r="S45" i="1"/>
  <c r="T45" i="1"/>
  <c r="R46" i="1"/>
  <c r="S46" i="1"/>
  <c r="T46" i="1"/>
  <c r="R48" i="1"/>
  <c r="S48" i="1"/>
  <c r="T48" i="1"/>
  <c r="R51" i="1"/>
  <c r="S51" i="1"/>
  <c r="S52" i="1"/>
  <c r="T52" i="1"/>
  <c r="O52" i="1" s="1"/>
  <c r="R53" i="1"/>
  <c r="S53" i="1"/>
  <c r="T53" i="1"/>
  <c r="R54" i="1"/>
  <c r="S54" i="1"/>
  <c r="T54" i="1"/>
  <c r="R55" i="1"/>
  <c r="S55" i="1"/>
  <c r="T55" i="1"/>
  <c r="S56" i="1"/>
  <c r="T56" i="1"/>
  <c r="R56" i="1" s="1"/>
  <c r="R57" i="1"/>
  <c r="S57" i="1"/>
  <c r="T57" i="1"/>
  <c r="R58" i="1"/>
  <c r="S58" i="1"/>
  <c r="T58" i="1"/>
  <c r="S59" i="1"/>
  <c r="T59" i="1"/>
  <c r="O59" i="1" s="1"/>
  <c r="R60" i="1"/>
  <c r="S60" i="1"/>
  <c r="T60" i="1"/>
  <c r="R61" i="1"/>
  <c r="S61" i="1"/>
  <c r="T61" i="1"/>
  <c r="R62" i="1"/>
  <c r="S62" i="1"/>
  <c r="T62" i="1"/>
  <c r="R63" i="1"/>
  <c r="T63" i="1"/>
  <c r="O63" i="1" s="1"/>
  <c r="R64" i="1"/>
  <c r="S64" i="1"/>
  <c r="T64" i="1"/>
  <c r="S65" i="1"/>
  <c r="T65" i="1"/>
  <c r="R65" i="1" s="1"/>
  <c r="R66" i="1"/>
  <c r="S66" i="1"/>
  <c r="T66" i="1"/>
  <c r="R67" i="1"/>
  <c r="S67" i="1"/>
  <c r="T67" i="1"/>
  <c r="R68" i="1"/>
  <c r="S68" i="1"/>
  <c r="T68" i="1"/>
  <c r="R69" i="1"/>
  <c r="S69" i="1"/>
  <c r="T69" i="1"/>
  <c r="O69" i="1" s="1"/>
  <c r="R70" i="1"/>
  <c r="S70" i="1"/>
  <c r="T70" i="1"/>
  <c r="R71" i="1"/>
  <c r="S71" i="1"/>
  <c r="T71" i="1"/>
  <c r="R72" i="1"/>
  <c r="S72" i="1"/>
  <c r="T72" i="1"/>
  <c r="R73" i="1"/>
  <c r="S73" i="1"/>
  <c r="T73" i="1"/>
  <c r="O73" i="1" s="1"/>
  <c r="R13" i="1"/>
  <c r="T13" i="1"/>
  <c r="S13" i="1" s="1"/>
  <c r="R74" i="1"/>
  <c r="S74" i="1"/>
  <c r="T74" i="1"/>
  <c r="R75" i="1"/>
  <c r="S75" i="1"/>
  <c r="T75" i="1"/>
  <c r="O75" i="1" s="1"/>
  <c r="R76" i="1"/>
  <c r="S76" i="1"/>
  <c r="T76" i="1"/>
  <c r="R77" i="1"/>
  <c r="S77" i="1"/>
  <c r="T77" i="1"/>
  <c r="R78" i="1"/>
  <c r="S78" i="1"/>
  <c r="T78" i="1"/>
  <c r="R14" i="1"/>
  <c r="T14" i="1"/>
  <c r="O14" i="1" s="1"/>
  <c r="R79" i="1"/>
  <c r="S79" i="1"/>
  <c r="T79" i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O84" i="1" s="1"/>
  <c r="R85" i="1"/>
  <c r="S85" i="1"/>
  <c r="T85" i="1"/>
  <c r="R86" i="1"/>
  <c r="T86" i="1"/>
  <c r="S86" i="1" s="1"/>
  <c r="R87" i="1"/>
  <c r="T87" i="1"/>
  <c r="O87" i="1" s="1"/>
  <c r="R88" i="1"/>
  <c r="S88" i="1"/>
  <c r="T88" i="1"/>
  <c r="R89" i="1"/>
  <c r="S89" i="1"/>
  <c r="T89" i="1"/>
  <c r="R90" i="1"/>
  <c r="S90" i="1"/>
  <c r="T90" i="1"/>
  <c r="O90" i="1" s="1"/>
  <c r="R15" i="1"/>
  <c r="T15" i="1"/>
  <c r="O15" i="1" s="1"/>
  <c r="R91" i="1"/>
  <c r="S91" i="1"/>
  <c r="T91" i="1"/>
  <c r="R92" i="1"/>
  <c r="S92" i="1"/>
  <c r="T92" i="1"/>
  <c r="O92" i="1" s="1"/>
  <c r="R93" i="1"/>
  <c r="T93" i="1"/>
  <c r="O93" i="1" s="1"/>
  <c r="R94" i="1"/>
  <c r="S94" i="1"/>
  <c r="T94" i="1"/>
  <c r="R95" i="1"/>
  <c r="S95" i="1"/>
  <c r="T95" i="1"/>
  <c r="O95" i="1" s="1"/>
  <c r="S96" i="1"/>
  <c r="T96" i="1"/>
  <c r="O96" i="1" s="1"/>
  <c r="R97" i="1"/>
  <c r="S97" i="1"/>
  <c r="T97" i="1"/>
  <c r="R98" i="1"/>
  <c r="S98" i="1"/>
  <c r="T98" i="1"/>
  <c r="O98" i="1" s="1"/>
  <c r="R99" i="1"/>
  <c r="S99" i="1"/>
  <c r="T99" i="1"/>
  <c r="O99" i="1" s="1"/>
  <c r="S100" i="1"/>
  <c r="T100" i="1"/>
  <c r="O100" i="1" s="1"/>
  <c r="R101" i="1"/>
  <c r="S101" i="1"/>
  <c r="T101" i="1"/>
  <c r="O101" i="1" s="1"/>
  <c r="R102" i="1"/>
  <c r="S102" i="1"/>
  <c r="T102" i="1"/>
  <c r="R103" i="1"/>
  <c r="S103" i="1"/>
  <c r="T103" i="1"/>
  <c r="R104" i="1"/>
  <c r="S104" i="1"/>
  <c r="T104" i="1"/>
  <c r="R105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O109" i="1" s="1"/>
  <c r="R110" i="1"/>
  <c r="S110" i="1"/>
  <c r="T110" i="1"/>
  <c r="R111" i="1"/>
  <c r="S111" i="1"/>
  <c r="T111" i="1"/>
  <c r="S112" i="1"/>
  <c r="T112" i="1"/>
  <c r="O112" i="1" s="1"/>
  <c r="R113" i="1"/>
  <c r="S113" i="1"/>
  <c r="T113" i="1"/>
  <c r="O113" i="1" s="1"/>
  <c r="R114" i="1"/>
  <c r="S114" i="1"/>
  <c r="T114" i="1"/>
  <c r="R115" i="1"/>
  <c r="S115" i="1"/>
  <c r="T115" i="1"/>
  <c r="R116" i="1"/>
  <c r="S116" i="1"/>
  <c r="T116" i="1"/>
  <c r="O116" i="1" s="1"/>
  <c r="R117" i="1"/>
  <c r="S117" i="1"/>
  <c r="T117" i="1"/>
  <c r="O117" i="1" s="1"/>
  <c r="R118" i="1"/>
  <c r="S118" i="1"/>
  <c r="T118" i="1"/>
  <c r="R119" i="1"/>
  <c r="T119" i="1"/>
  <c r="S119" i="1" s="1"/>
  <c r="R17" i="1"/>
  <c r="T17" i="1"/>
  <c r="S17" i="1" s="1"/>
  <c r="R18" i="1"/>
  <c r="T18" i="1"/>
  <c r="O18" i="1" s="1"/>
  <c r="R120" i="1"/>
  <c r="S120" i="1"/>
  <c r="T120" i="1"/>
  <c r="O120" i="1" s="1"/>
  <c r="R19" i="1"/>
  <c r="T19" i="1"/>
  <c r="O19" i="1" s="1"/>
  <c r="R121" i="1"/>
  <c r="S121" i="1"/>
  <c r="T121" i="1"/>
  <c r="O121" i="1" s="1"/>
  <c r="S122" i="1"/>
  <c r="T122" i="1"/>
  <c r="O122" i="1" s="1"/>
  <c r="R123" i="1"/>
  <c r="S123" i="1"/>
  <c r="T123" i="1"/>
  <c r="R124" i="1"/>
  <c r="S124" i="1"/>
  <c r="T124" i="1"/>
  <c r="O124" i="1" s="1"/>
  <c r="R125" i="1"/>
  <c r="S125" i="1"/>
  <c r="T125" i="1"/>
  <c r="O125" i="1" s="1"/>
  <c r="R126" i="1"/>
  <c r="S126" i="1"/>
  <c r="T126" i="1"/>
  <c r="R127" i="1"/>
  <c r="S127" i="1"/>
  <c r="T127" i="1"/>
  <c r="R128" i="1"/>
  <c r="S128" i="1"/>
  <c r="T128" i="1"/>
  <c r="O128" i="1" s="1"/>
  <c r="R129" i="1"/>
  <c r="S129" i="1"/>
  <c r="T129" i="1"/>
  <c r="O129" i="1" s="1"/>
  <c r="R130" i="1"/>
  <c r="S130" i="1"/>
  <c r="T130" i="1"/>
  <c r="R131" i="1"/>
  <c r="T131" i="1"/>
  <c r="O131" i="1" s="1"/>
  <c r="S132" i="1"/>
  <c r="T132" i="1"/>
  <c r="O132" i="1" s="1"/>
  <c r="R133" i="1"/>
  <c r="S133" i="1"/>
  <c r="T133" i="1"/>
  <c r="R134" i="1"/>
  <c r="S134" i="1"/>
  <c r="T134" i="1"/>
  <c r="O134" i="1" s="1"/>
  <c r="R135" i="1"/>
  <c r="T135" i="1"/>
  <c r="O135" i="1" s="1"/>
  <c r="S136" i="1"/>
  <c r="T136" i="1"/>
  <c r="R136" i="1" s="1"/>
  <c r="R137" i="1"/>
  <c r="S137" i="1"/>
  <c r="T137" i="1"/>
  <c r="R138" i="1"/>
  <c r="S138" i="1"/>
  <c r="T138" i="1"/>
  <c r="S139" i="1"/>
  <c r="T139" i="1"/>
  <c r="O139" i="1" s="1"/>
  <c r="R20" i="1"/>
  <c r="T20" i="1"/>
  <c r="O20" i="1" s="1"/>
  <c r="R140" i="1"/>
  <c r="S140" i="1"/>
  <c r="T140" i="1"/>
  <c r="R141" i="1"/>
  <c r="S141" i="1"/>
  <c r="T141" i="1"/>
  <c r="O141" i="1" s="1"/>
  <c r="R142" i="1"/>
  <c r="S142" i="1"/>
  <c r="T142" i="1"/>
  <c r="R21" i="1"/>
  <c r="T21" i="1"/>
  <c r="O21" i="1" s="1"/>
  <c r="R143" i="1"/>
  <c r="S143" i="1"/>
  <c r="T143" i="1"/>
  <c r="R144" i="1"/>
  <c r="S144" i="1"/>
  <c r="T144" i="1"/>
  <c r="O144" i="1" s="1"/>
  <c r="R145" i="1"/>
  <c r="S145" i="1"/>
  <c r="T145" i="1"/>
  <c r="S146" i="1"/>
  <c r="T146" i="1"/>
  <c r="O146" i="1" s="1"/>
  <c r="R148" i="1"/>
  <c r="S148" i="1"/>
  <c r="T148" i="1"/>
  <c r="R149" i="1"/>
  <c r="S149" i="1"/>
  <c r="T149" i="1"/>
  <c r="R150" i="1"/>
  <c r="S150" i="1"/>
  <c r="T150" i="1"/>
  <c r="R151" i="1"/>
  <c r="S151" i="1"/>
  <c r="T151" i="1"/>
  <c r="O151" i="1" s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R156" i="1"/>
  <c r="S156" i="1"/>
  <c r="T156" i="1"/>
  <c r="R157" i="1"/>
  <c r="S157" i="1"/>
  <c r="T157" i="1"/>
  <c r="O157" i="1" s="1"/>
  <c r="S158" i="1"/>
  <c r="T158" i="1"/>
  <c r="O158" i="1" s="1"/>
  <c r="R159" i="1"/>
  <c r="S159" i="1"/>
  <c r="T159" i="1"/>
  <c r="R160" i="1"/>
  <c r="S160" i="1"/>
  <c r="T160" i="1"/>
  <c r="O160" i="1" s="1"/>
  <c r="R162" i="1"/>
  <c r="S162" i="1"/>
  <c r="T162" i="1"/>
  <c r="R163" i="1"/>
  <c r="S163" i="1"/>
  <c r="T163" i="1"/>
  <c r="O163" i="1" s="1"/>
  <c r="S164" i="1"/>
  <c r="T164" i="1"/>
  <c r="O164" i="1" s="1"/>
  <c r="R166" i="1"/>
  <c r="S166" i="1"/>
  <c r="T166" i="1"/>
  <c r="S167" i="1"/>
  <c r="T167" i="1"/>
  <c r="O167" i="1" s="1"/>
  <c r="R168" i="1"/>
  <c r="S168" i="1"/>
  <c r="T168" i="1"/>
  <c r="O168" i="1" s="1"/>
  <c r="R169" i="1"/>
  <c r="S169" i="1"/>
  <c r="T169" i="1"/>
  <c r="S170" i="1"/>
  <c r="T170" i="1"/>
  <c r="O170" i="1" s="1"/>
  <c r="S171" i="1"/>
  <c r="T171" i="1"/>
  <c r="R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R175" i="1"/>
  <c r="S175" i="1"/>
  <c r="T175" i="1"/>
  <c r="R176" i="1"/>
  <c r="S176" i="1"/>
  <c r="T176" i="1"/>
  <c r="O176" i="1" s="1"/>
  <c r="R178" i="1"/>
  <c r="S178" i="1"/>
  <c r="T178" i="1"/>
  <c r="R22" i="1"/>
  <c r="T22" i="1"/>
  <c r="O22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6" i="1"/>
  <c r="O27" i="1"/>
  <c r="O28" i="1"/>
  <c r="O31" i="1"/>
  <c r="O32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8" i="1"/>
  <c r="O53" i="1"/>
  <c r="O54" i="1"/>
  <c r="O55" i="1"/>
  <c r="O57" i="1"/>
  <c r="O58" i="1"/>
  <c r="O60" i="1"/>
  <c r="O61" i="1"/>
  <c r="O62" i="1"/>
  <c r="O64" i="1"/>
  <c r="O66" i="1"/>
  <c r="O67" i="1"/>
  <c r="O68" i="1"/>
  <c r="O70" i="1"/>
  <c r="O71" i="1"/>
  <c r="O72" i="1"/>
  <c r="O13" i="1"/>
  <c r="O74" i="1"/>
  <c r="O76" i="1"/>
  <c r="O77" i="1"/>
  <c r="O78" i="1"/>
  <c r="O79" i="1"/>
  <c r="O80" i="1"/>
  <c r="O81" i="1"/>
  <c r="O82" i="1"/>
  <c r="O83" i="1"/>
  <c r="O85" i="1"/>
  <c r="O86" i="1"/>
  <c r="O88" i="1"/>
  <c r="O89" i="1"/>
  <c r="O91" i="1"/>
  <c r="O94" i="1"/>
  <c r="O97" i="1"/>
  <c r="O102" i="1"/>
  <c r="O103" i="1"/>
  <c r="O104" i="1"/>
  <c r="O106" i="1"/>
  <c r="O107" i="1"/>
  <c r="O108" i="1"/>
  <c r="O110" i="1"/>
  <c r="O111" i="1"/>
  <c r="O114" i="1"/>
  <c r="O115" i="1"/>
  <c r="O118" i="1"/>
  <c r="O119" i="1"/>
  <c r="O17" i="1"/>
  <c r="O123" i="1"/>
  <c r="O126" i="1"/>
  <c r="O127" i="1"/>
  <c r="O130" i="1"/>
  <c r="O133" i="1"/>
  <c r="O137" i="1"/>
  <c r="O138" i="1"/>
  <c r="O140" i="1"/>
  <c r="O142" i="1"/>
  <c r="O143" i="1"/>
  <c r="O145" i="1"/>
  <c r="O148" i="1"/>
  <c r="O149" i="1"/>
  <c r="O150" i="1"/>
  <c r="O152" i="1"/>
  <c r="O153" i="1"/>
  <c r="O154" i="1"/>
  <c r="O156" i="1"/>
  <c r="O159" i="1"/>
  <c r="O162" i="1"/>
  <c r="O166" i="1"/>
  <c r="O169" i="1"/>
  <c r="O174" i="1"/>
  <c r="O175" i="1"/>
  <c r="O178" i="1"/>
  <c r="O187" i="1" l="1"/>
  <c r="O171" i="1"/>
  <c r="S16" i="1"/>
  <c r="O56" i="1"/>
  <c r="S179" i="1"/>
  <c r="O197" i="1"/>
  <c r="O136" i="1"/>
  <c r="O65" i="1"/>
  <c r="O50" i="1"/>
  <c r="S20" i="1"/>
  <c r="S93" i="1"/>
  <c r="R52" i="1"/>
  <c r="S15" i="1"/>
  <c r="R210" i="1"/>
  <c r="S18" i="1"/>
  <c r="S131" i="1"/>
  <c r="R147" i="1"/>
  <c r="S12" i="1"/>
  <c r="R170" i="1"/>
  <c r="R161" i="1"/>
  <c r="S184" i="1"/>
  <c r="R12" i="1"/>
  <c r="R96" i="1"/>
  <c r="S63" i="1"/>
  <c r="S87" i="1"/>
  <c r="R122" i="1"/>
  <c r="S47" i="1"/>
  <c r="S22" i="1"/>
  <c r="S135" i="1"/>
  <c r="S14" i="1"/>
  <c r="S49" i="1"/>
  <c r="R205" i="1"/>
  <c r="R192" i="1"/>
  <c r="R188" i="1"/>
  <c r="S19" i="1"/>
  <c r="R112" i="1"/>
  <c r="R25" i="1"/>
  <c r="S21" i="1"/>
  <c r="R139" i="1"/>
  <c r="R204" i="1"/>
  <c r="R158" i="1"/>
  <c r="S180" i="1"/>
  <c r="R23" i="1"/>
  <c r="R164" i="1"/>
  <c r="R146" i="1"/>
  <c r="R132" i="1"/>
  <c r="R165" i="1"/>
  <c r="R167" i="1"/>
  <c r="R30" i="1"/>
  <c r="R100" i="1"/>
  <c r="R59" i="1"/>
  <c r="R29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24" i="1"/>
  <c r="S24" i="1"/>
  <c r="S10" i="1" s="1"/>
  <c r="R24" i="1" l="1"/>
  <c r="R10" i="1" s="1"/>
  <c r="T10" i="1"/>
  <c r="O2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<sst xmlns="http://schemas.openxmlformats.org/spreadsheetml/2006/main" count="1025" uniqueCount="773">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</sst>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1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1" fillId="0" borderId="3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/>
    <xf numFmtId="0" fontId="11" fillId="0" borderId="0" xfId="1" applyFill="1" applyBorder="1" applyAlignment="1" applyProtection="1">
      <protection locked="0"/>
    </xf>
    <xf numFmtId="0" fontId="0" fillId="0" borderId="3" xfId="0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5</xdr:row>
          <xdr:rowOff>25400</xdr:rowOff>
        </xdr:from>
        <xdr:to>
          <xdr:col>11</xdr:col>
          <xdr:colOff>25400</xdr:colOff>
          <xdr:row>7</xdr:row>
          <xdr:rowOff>25400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165100</xdr:rowOff>
        </xdr:from>
        <xdr:to>
          <xdr:col>14</xdr:col>
          <xdr:colOff>76200</xdr:colOff>
          <xdr:row>3</xdr:row>
          <xdr:rowOff>165100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165100</xdr:rowOff>
        </xdr:from>
        <xdr:to>
          <xdr:col>11</xdr:col>
          <xdr:colOff>25400</xdr:colOff>
          <xdr:row>3</xdr:row>
          <xdr:rowOff>165100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25400</xdr:rowOff>
        </xdr:from>
        <xdr:to>
          <xdr:col>14</xdr:col>
          <xdr:colOff>76200</xdr:colOff>
          <xdr:row>7</xdr:row>
          <xdr:rowOff>25400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12700</xdr:rowOff>
        </xdr:from>
        <xdr:to>
          <xdr:col>14</xdr:col>
          <xdr:colOff>76200</xdr:colOff>
          <xdr:row>10</xdr:row>
          <xdr:rowOff>12700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</xdr:row>
          <xdr:rowOff>12700</xdr:rowOff>
        </xdr:from>
        <xdr:to>
          <xdr:col>7</xdr:col>
          <xdr:colOff>977900</xdr:colOff>
          <xdr:row>5</xdr:row>
          <xdr:rowOff>25400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88900</xdr:rowOff>
        </xdr:from>
        <xdr:to>
          <xdr:col>7</xdr:col>
          <xdr:colOff>977900</xdr:colOff>
          <xdr:row>8</xdr:row>
          <xdr:rowOff>101600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9</xdr:row>
          <xdr:rowOff>165100</xdr:rowOff>
        </xdr:from>
        <xdr:to>
          <xdr:col>7</xdr:col>
          <xdr:colOff>977900</xdr:colOff>
          <xdr:row>11</xdr:row>
          <xdr:rowOff>165100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12700</xdr:rowOff>
        </xdr:from>
        <xdr:to>
          <xdr:col>20</xdr:col>
          <xdr:colOff>304800</xdr:colOff>
          <xdr:row>3</xdr:row>
          <xdr:rowOff>25400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50800</xdr:colOff>
          <xdr:row>3</xdr:row>
          <xdr:rowOff>152400</xdr:rowOff>
        </xdr:from>
        <xdr:to>
          <xdr:col>20</xdr:col>
          <xdr:colOff>304800</xdr:colOff>
          <xdr:row>5</xdr:row>
          <xdr:rowOff>177800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</xdr:row>
          <xdr:rowOff>12700</xdr:rowOff>
        </xdr:from>
        <xdr:to>
          <xdr:col>2</xdr:col>
          <xdr:colOff>977900</xdr:colOff>
          <xdr:row>2</xdr:row>
          <xdr:rowOff>139700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3</xdr:row>
          <xdr:rowOff>25400</xdr:rowOff>
        </xdr:from>
        <xdr:to>
          <xdr:col>2</xdr:col>
          <xdr:colOff>977900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3</xdr:row>
          <xdr:rowOff>38100</xdr:rowOff>
        </xdr:from>
        <xdr:to>
          <xdr:col>3</xdr:col>
          <xdr:colOff>673100</xdr:colOff>
          <xdr:row>4</xdr:row>
          <xdr:rowOff>177800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1</xdr:row>
          <xdr:rowOff>12700</xdr:rowOff>
        </xdr:from>
        <xdr:to>
          <xdr:col>3</xdr:col>
          <xdr:colOff>673100</xdr:colOff>
          <xdr:row>2</xdr:row>
          <xdr:rowOff>139700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5</xdr:row>
          <xdr:rowOff>38100</xdr:rowOff>
        </xdr:from>
        <xdr:to>
          <xdr:col>3</xdr:col>
          <xdr:colOff>673100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25400</xdr:rowOff>
        </xdr:from>
        <xdr:to>
          <xdr:col>4</xdr:col>
          <xdr:colOff>482600</xdr:colOff>
          <xdr:row>4</xdr:row>
          <xdr:rowOff>165100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12700</xdr:rowOff>
        </xdr:from>
        <xdr:to>
          <xdr:col>4</xdr:col>
          <xdr:colOff>482600</xdr:colOff>
          <xdr:row>2</xdr:row>
          <xdr:rowOff>139700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482600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3</xdr:row>
          <xdr:rowOff>152400</xdr:rowOff>
        </xdr:from>
        <xdr:to>
          <xdr:col>18</xdr:col>
          <xdr:colOff>279400</xdr:colOff>
          <xdr:row>5</xdr:row>
          <xdr:rowOff>177800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1</xdr:row>
          <xdr:rowOff>12700</xdr:rowOff>
        </xdr:from>
        <xdr:to>
          <xdr:col>15</xdr:col>
          <xdr:colOff>330200</xdr:colOff>
          <xdr:row>3</xdr:row>
          <xdr:rowOff>25400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1</xdr:row>
          <xdr:rowOff>12700</xdr:rowOff>
        </xdr:from>
        <xdr:to>
          <xdr:col>18</xdr:col>
          <xdr:colOff>279400</xdr:colOff>
          <xdr:row>3</xdr:row>
          <xdr:rowOff>25400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3</xdr:row>
          <xdr:rowOff>152400</xdr:rowOff>
        </xdr:from>
        <xdr:to>
          <xdr:col>15</xdr:col>
          <xdr:colOff>330200</xdr:colOff>
          <xdr:row>5</xdr:row>
          <xdr:rowOff>177800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</xdr:row>
          <xdr:rowOff>12700</xdr:rowOff>
        </xdr:from>
        <xdr:to>
          <xdr:col>21</xdr:col>
          <xdr:colOff>1130300</xdr:colOff>
          <xdr:row>3</xdr:row>
          <xdr:rowOff>25400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baseColWidth="10" defaultColWidth="8.83203125" defaultRowHeight="15" x14ac:dyDescent="0.2"/>
  <cols>
    <col min="1" max="1" width="18.83203125" customWidth="1"/>
    <col min="3" max="3" width="13.5" customWidth="1"/>
    <col min="4" max="4" width="15.5" customWidth="1"/>
    <col min="6" max="6" width="18.1640625" customWidth="1"/>
    <col min="8" max="8" width="17.83203125" customWidth="1"/>
  </cols>
  <sheetData>
    <row r="1" spans="1:8" ht="20" thickBot="1" x14ac:dyDescent="0.3">
      <c r="A1" s="46" t="s">
        <v>555</v>
      </c>
      <c r="C1" s="125" t="s">
        <v>574</v>
      </c>
      <c r="D1" s="126"/>
      <c r="E1" s="127"/>
      <c r="F1" s="53"/>
      <c r="G1" s="53"/>
      <c r="H1" s="53"/>
    </row>
    <row r="2" spans="1:8" ht="16" thickBot="1" x14ac:dyDescent="0.25"/>
    <row r="3" spans="1:8" ht="17" thickBot="1" x14ac:dyDescent="0.25">
      <c r="A3" s="45" t="s">
        <v>556</v>
      </c>
      <c r="C3" s="130" t="s">
        <v>648</v>
      </c>
      <c r="D3" s="131"/>
      <c r="E3" s="131"/>
      <c r="F3" s="131"/>
      <c r="G3" s="132"/>
    </row>
    <row r="4" spans="1:8" ht="16" thickBot="1" x14ac:dyDescent="0.25"/>
    <row r="5" spans="1:8" ht="17" thickBot="1" x14ac:dyDescent="0.25">
      <c r="A5" s="45" t="s">
        <v>557</v>
      </c>
      <c r="C5" s="130" t="s">
        <v>649</v>
      </c>
      <c r="D5" s="131"/>
      <c r="E5" s="131"/>
      <c r="F5" s="131"/>
      <c r="G5" s="132"/>
    </row>
    <row r="6" spans="1:8" ht="16" thickBot="1" x14ac:dyDescent="0.25"/>
    <row r="7" spans="1:8" ht="17" thickBot="1" x14ac:dyDescent="0.25">
      <c r="A7" s="45" t="s">
        <v>558</v>
      </c>
      <c r="C7" s="130" t="s">
        <v>650</v>
      </c>
      <c r="D7" s="131"/>
      <c r="E7" s="131"/>
      <c r="F7" s="131"/>
      <c r="G7" s="132"/>
    </row>
    <row r="8" spans="1:8" ht="16" thickBot="1" x14ac:dyDescent="0.25"/>
    <row r="9" spans="1:8" ht="17" thickBot="1" x14ac:dyDescent="0.25">
      <c r="A9" s="45" t="s">
        <v>559</v>
      </c>
      <c r="C9" s="77">
        <v>45402</v>
      </c>
    </row>
    <row r="10" spans="1:8" ht="16" thickBot="1" x14ac:dyDescent="0.25"/>
    <row r="11" spans="1:8" ht="17" thickBot="1" x14ac:dyDescent="0.25">
      <c r="A11" s="45" t="s">
        <v>560</v>
      </c>
      <c r="C11" s="128" t="s">
        <v>651</v>
      </c>
      <c r="D11" s="129"/>
      <c r="E11" s="128" t="s">
        <v>652</v>
      </c>
      <c r="F11" s="129"/>
      <c r="G11" s="128" t="s">
        <v>653</v>
      </c>
      <c r="H11" s="129"/>
    </row>
    <row r="12" spans="1:8" ht="17" thickBot="1" x14ac:dyDescent="0.25">
      <c r="A12" s="45"/>
      <c r="C12" s="5"/>
      <c r="D12" s="5"/>
      <c r="E12" s="5"/>
      <c r="F12" s="5"/>
      <c r="G12" s="5"/>
      <c r="H12" s="5"/>
    </row>
    <row r="13" spans="1:8" ht="17" thickBot="1" x14ac:dyDescent="0.25">
      <c r="A13" s="45" t="s">
        <v>483</v>
      </c>
      <c r="C13" s="128" t="s">
        <v>654</v>
      </c>
      <c r="D13" s="129"/>
      <c r="E13" s="128" t="s">
        <v>655</v>
      </c>
      <c r="F13" s="129"/>
      <c r="G13" s="128" t="s">
        <v>656</v>
      </c>
      <c r="H13" s="129"/>
    </row>
    <row r="14" spans="1:8" ht="17" thickBot="1" x14ac:dyDescent="0.25">
      <c r="A14" s="45"/>
      <c r="C14" s="5"/>
      <c r="D14" s="5"/>
      <c r="E14" s="5"/>
      <c r="F14" s="5"/>
      <c r="G14" s="5"/>
      <c r="H14" s="5"/>
    </row>
    <row r="15" spans="1:8" ht="16.5" customHeight="1" thickBot="1" x14ac:dyDescent="0.25">
      <c r="A15" s="45" t="s">
        <v>561</v>
      </c>
      <c r="C15" s="128" t="s">
        <v>365</v>
      </c>
      <c r="D15" s="129"/>
      <c r="E15" s="128" t="s">
        <v>657</v>
      </c>
      <c r="F15" s="129"/>
      <c r="G15" s="128" t="s">
        <v>517</v>
      </c>
      <c r="H15" s="129"/>
    </row>
    <row r="20" spans="11:11" x14ac:dyDescent="0.2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596900</xdr:colOff>
                    <xdr:row>5</xdr:row>
                    <xdr:rowOff>25400</xdr:rowOff>
                  </from>
                  <to>
                    <xdr:col>11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165100</xdr:rowOff>
                  </from>
                  <to>
                    <xdr:col>14</xdr:col>
                    <xdr:colOff>76200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596900</xdr:colOff>
                    <xdr:row>1</xdr:row>
                    <xdr:rowOff>165100</xdr:rowOff>
                  </from>
                  <to>
                    <xdr:col>11</xdr:col>
                    <xdr:colOff>25400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25400</xdr:rowOff>
                  </from>
                  <to>
                    <xdr:col>14</xdr:col>
                    <xdr:colOff>76200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12700</xdr:rowOff>
                  </from>
                  <to>
                    <xdr:col>14</xdr:col>
                    <xdr:colOff>76200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baseColWidth="10" defaultColWidth="8.83203125" defaultRowHeight="15" x14ac:dyDescent="0.2"/>
  <cols>
    <col min="1" max="1" width="18.6640625" customWidth="1"/>
    <col min="2" max="2" width="11.33203125" customWidth="1"/>
    <col min="3" max="6" width="11" customWidth="1"/>
    <col min="8" max="8" width="16.33203125" customWidth="1"/>
  </cols>
  <sheetData>
    <row r="1" spans="1:7" ht="20" thickBot="1" x14ac:dyDescent="0.3">
      <c r="A1" s="46" t="s">
        <v>562</v>
      </c>
    </row>
    <row r="2" spans="1:7" ht="20" thickBot="1" x14ac:dyDescent="0.3">
      <c r="C2" s="134" t="s">
        <v>574</v>
      </c>
      <c r="D2" s="135"/>
      <c r="E2" s="135"/>
      <c r="F2" s="135"/>
      <c r="G2" s="136"/>
    </row>
    <row r="3" spans="1:7" ht="19" x14ac:dyDescent="0.25">
      <c r="C3" s="52"/>
      <c r="D3" s="52"/>
      <c r="E3" s="52"/>
      <c r="F3" s="52"/>
      <c r="G3" s="52"/>
    </row>
    <row r="4" spans="1:7" x14ac:dyDescent="0.2">
      <c r="A4" s="28" t="s">
        <v>564</v>
      </c>
      <c r="B4" s="133" t="str">
        <f>Tourney!$C$3</f>
        <v>Napa Wine Country Open</v>
      </c>
      <c r="C4" s="133"/>
      <c r="D4" s="133"/>
      <c r="E4" s="133"/>
      <c r="F4" s="133"/>
    </row>
    <row r="5" spans="1:7" x14ac:dyDescent="0.2">
      <c r="A5" s="28" t="s">
        <v>576</v>
      </c>
      <c r="B5" s="138" t="str">
        <f>Tourney!$C$5</f>
        <v>The Moose Lodge</v>
      </c>
      <c r="C5" s="138"/>
      <c r="D5" s="138"/>
      <c r="E5" s="138"/>
      <c r="F5" s="138"/>
    </row>
    <row r="6" spans="1:7" x14ac:dyDescent="0.2">
      <c r="A6" s="28" t="s">
        <v>578</v>
      </c>
      <c r="B6" s="138" t="str">
        <f>Tourney!$C$7</f>
        <v>Napa, Ca, 94558</v>
      </c>
      <c r="C6" s="138"/>
      <c r="D6" s="138"/>
      <c r="E6" s="138"/>
      <c r="F6" s="138"/>
    </row>
    <row r="7" spans="1:7" x14ac:dyDescent="0.2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6" thickBot="1" x14ac:dyDescent="0.25">
      <c r="A9" s="28"/>
      <c r="B9" s="54"/>
    </row>
    <row r="10" spans="1:7" ht="16" thickBot="1" x14ac:dyDescent="0.25">
      <c r="A10" s="28" t="s">
        <v>577</v>
      </c>
      <c r="B10" s="79">
        <v>3</v>
      </c>
      <c r="C10" s="28" t="s">
        <v>571</v>
      </c>
      <c r="D10" s="79">
        <v>70</v>
      </c>
    </row>
    <row r="11" spans="1:7" ht="16" thickBot="1" x14ac:dyDescent="0.25"/>
    <row r="12" spans="1:7" ht="16" thickBot="1" x14ac:dyDescent="0.25">
      <c r="A12" s="28" t="s">
        <v>569</v>
      </c>
      <c r="B12" s="56">
        <v>14</v>
      </c>
    </row>
    <row r="13" spans="1:7" ht="16" thickBot="1" x14ac:dyDescent="0.25"/>
    <row r="14" spans="1:7" ht="16" thickBot="1" x14ac:dyDescent="0.25">
      <c r="A14" s="28" t="s">
        <v>565</v>
      </c>
      <c r="B14" s="56">
        <v>1</v>
      </c>
    </row>
    <row r="15" spans="1:7" x14ac:dyDescent="0.2">
      <c r="C15" s="137" t="s">
        <v>575</v>
      </c>
      <c r="D15" s="137"/>
      <c r="E15" s="137"/>
      <c r="F15" s="137"/>
    </row>
    <row r="16" spans="1:7" ht="20" thickBot="1" x14ac:dyDescent="0.3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6" thickBot="1" x14ac:dyDescent="0.25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6" thickBot="1" x14ac:dyDescent="0.25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">
      <c r="A21" s="55" t="s">
        <v>581</v>
      </c>
    </row>
    <row r="22" spans="1:8" ht="16" thickBot="1" x14ac:dyDescent="0.25"/>
    <row r="23" spans="1:8" ht="16" thickBot="1" x14ac:dyDescent="0.25">
      <c r="A23" s="28" t="s">
        <v>579</v>
      </c>
      <c r="B23" s="80"/>
      <c r="D23" t="s">
        <v>584</v>
      </c>
    </row>
    <row r="24" spans="1:8" ht="16" thickBot="1" x14ac:dyDescent="0.25">
      <c r="D24" t="s">
        <v>582</v>
      </c>
    </row>
    <row r="25" spans="1:8" ht="16" thickBot="1" x14ac:dyDescent="0.25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25400</xdr:colOff>
                    <xdr:row>3</xdr:row>
                    <xdr:rowOff>12700</xdr:rowOff>
                  </from>
                  <to>
                    <xdr:col>7</xdr:col>
                    <xdr:colOff>977900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25400</xdr:colOff>
                    <xdr:row>6</xdr:row>
                    <xdr:rowOff>88900</xdr:rowOff>
                  </from>
                  <to>
                    <xdr:col>7</xdr:col>
                    <xdr:colOff>977900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25400</xdr:colOff>
                    <xdr:row>9</xdr:row>
                    <xdr:rowOff>165100</xdr:rowOff>
                  </from>
                  <to>
                    <xdr:col>7</xdr:col>
                    <xdr:colOff>977900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101" activePane="bottomRight" state="frozen"/>
      <selection pane="topRight" activeCell="B1" sqref="B1"/>
      <selection pane="bottomLeft" activeCell="A2" sqref="A2"/>
      <selection pane="bottomRight" activeCell="P107" sqref="P107"/>
    </sheetView>
  </sheetViews>
  <sheetFormatPr baseColWidth="10" defaultColWidth="9.1640625" defaultRowHeight="15" x14ac:dyDescent="0.2"/>
  <cols>
    <col min="1" max="1" width="5.33203125" style="11" customWidth="1"/>
    <col min="2" max="2" width="8.5" style="11" customWidth="1"/>
    <col min="3" max="3" width="24.33203125" style="11" customWidth="1"/>
    <col min="4" max="4" width="22.1640625" style="11" customWidth="1"/>
    <col min="5" max="5" width="9.83203125" style="31" customWidth="1"/>
    <col min="6" max="6" width="15.5" style="31" customWidth="1"/>
    <col min="7" max="7" width="33.1640625" style="31" customWidth="1"/>
    <col min="8" max="8" width="6.5" style="11" customWidth="1"/>
    <col min="9" max="9" width="7.6640625" style="11" customWidth="1"/>
    <col min="10" max="10" width="8.6640625" style="11" customWidth="1"/>
    <col min="11" max="11" width="7" style="11" customWidth="1"/>
    <col min="12" max="12" width="6.5" style="11" customWidth="1"/>
    <col min="13" max="13" width="8.1640625" style="11" customWidth="1"/>
    <col min="14" max="14" width="11.1640625" style="11" customWidth="1"/>
    <col min="15" max="15" width="11.5" style="11" customWidth="1"/>
    <col min="16" max="16" width="8.1640625" style="12" customWidth="1"/>
    <col min="17" max="17" width="7.1640625" style="13" customWidth="1"/>
    <col min="18" max="18" width="12.33203125" style="11" customWidth="1"/>
    <col min="19" max="19" width="12.33203125" style="13" customWidth="1"/>
    <col min="20" max="20" width="12.33203125" style="24" customWidth="1"/>
    <col min="21" max="21" width="9.33203125" style="24" customWidth="1"/>
    <col min="22" max="22" width="30.5" style="24" customWidth="1"/>
    <col min="23" max="23" width="30.5" style="11" customWidth="1"/>
    <col min="24" max="25" width="9.1640625" style="11" customWidth="1"/>
    <col min="26" max="16384" width="9.1640625" style="11"/>
  </cols>
  <sheetData>
    <row r="1" spans="1:25" ht="17.25" customHeight="1" x14ac:dyDescent="0.25">
      <c r="A1" s="47" t="s">
        <v>551</v>
      </c>
      <c r="D1" s="12"/>
      <c r="L1" s="32"/>
    </row>
    <row r="2" spans="1:25" ht="16.5" customHeight="1" x14ac:dyDescent="0.2">
      <c r="A2" s="10"/>
      <c r="D2" s="12"/>
      <c r="H2" s="12" t="s">
        <v>556</v>
      </c>
      <c r="I2" s="12"/>
      <c r="K2" s="139" t="str">
        <f>Tourney!$C$3</f>
        <v>Napa Wine Country Open</v>
      </c>
      <c r="L2" s="139"/>
      <c r="M2" s="139"/>
      <c r="N2" s="139"/>
    </row>
    <row r="3" spans="1:25" ht="16.5" customHeight="1" x14ac:dyDescent="0.2">
      <c r="A3" s="70" t="s">
        <v>550</v>
      </c>
      <c r="B3"/>
      <c r="C3"/>
      <c r="H3" s="12" t="s">
        <v>568</v>
      </c>
      <c r="I3" s="12"/>
      <c r="K3" s="139" t="str">
        <f>Tourney!$C$5</f>
        <v>The Moose Lodge</v>
      </c>
      <c r="L3" s="139"/>
      <c r="M3" s="139"/>
      <c r="N3" s="139"/>
    </row>
    <row r="4" spans="1:25" ht="16.5" customHeight="1" x14ac:dyDescent="0.2">
      <c r="A4" s="10"/>
      <c r="H4" s="12" t="s">
        <v>567</v>
      </c>
      <c r="I4" s="12"/>
      <c r="K4" s="139" t="str">
        <f>Tourney!$C$7</f>
        <v>Napa, Ca, 94558</v>
      </c>
      <c r="L4" s="139"/>
      <c r="M4" s="139"/>
      <c r="N4" s="139"/>
    </row>
    <row r="5" spans="1:25" ht="16.5" customHeight="1" x14ac:dyDescent="0.2">
      <c r="A5" s="10"/>
      <c r="H5" s="12" t="s">
        <v>559</v>
      </c>
      <c r="I5" s="12"/>
      <c r="K5" s="140">
        <f>Tourney!$C$9</f>
        <v>45402</v>
      </c>
      <c r="L5" s="140"/>
    </row>
    <row r="6" spans="1:25" x14ac:dyDescent="0.2">
      <c r="Q6" s="14"/>
      <c r="U6" s="34"/>
      <c r="V6" s="34"/>
    </row>
    <row r="7" spans="1:25" ht="15.75" customHeight="1" x14ac:dyDescent="0.2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">
      <c r="C8" s="12"/>
      <c r="D8" s="12"/>
      <c r="J8" s="66" t="s">
        <v>588</v>
      </c>
      <c r="Q8" s="14"/>
      <c r="U8" s="34"/>
      <c r="V8" s="34"/>
    </row>
    <row r="9" spans="1:25" ht="15.75" customHeight="1" x14ac:dyDescent="0.2">
      <c r="C9" s="12"/>
      <c r="D9" s="12"/>
      <c r="N9" s="60"/>
      <c r="Q9" s="14"/>
      <c r="U9" s="34"/>
      <c r="V9" s="34"/>
    </row>
    <row r="10" spans="1:25" ht="15.75" customHeight="1" x14ac:dyDescent="0.2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2" x14ac:dyDescent="0.2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50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">
      <c r="A13" s="85">
        <f t="shared" si="1"/>
        <v>2</v>
      </c>
      <c r="B13" s="9">
        <v>1</v>
      </c>
      <c r="C13" s="1" t="s">
        <v>488</v>
      </c>
      <c r="D13" s="1" t="s">
        <v>15</v>
      </c>
      <c r="E13" s="2" t="s">
        <v>192</v>
      </c>
      <c r="F13" s="111" t="s">
        <v>495</v>
      </c>
      <c r="G13" s="94" t="s">
        <v>496</v>
      </c>
      <c r="H13" s="8">
        <v>1</v>
      </c>
      <c r="I13" s="9"/>
      <c r="J13" s="9">
        <v>1</v>
      </c>
      <c r="K13" s="9"/>
      <c r="L13" s="9"/>
      <c r="M13" s="9"/>
      <c r="N13" s="9">
        <v>1</v>
      </c>
      <c r="O13" s="88">
        <f t="shared" si="2"/>
        <v>100</v>
      </c>
      <c r="P13" s="9" t="s">
        <v>724</v>
      </c>
      <c r="Q13" s="9"/>
      <c r="R13" s="89" t="str">
        <f t="shared" si="3"/>
        <v/>
      </c>
      <c r="S13" s="89">
        <f t="shared" si="4"/>
        <v>100</v>
      </c>
      <c r="T13" s="90">
        <f>H13*[0]!FMainPool1Fee+I13*[0]!FMainPool2Fee+J13*[0]!FMainPool3Fee+K13*[0]!FMainPool4Fee+B13*[0]!FMainEntryFee</f>
        <v>100</v>
      </c>
      <c r="U13" s="91"/>
      <c r="V13" s="92" t="s">
        <v>732</v>
      </c>
      <c r="X13" s="93"/>
      <c r="Y13" s="93"/>
    </row>
    <row r="14" spans="1:25" ht="15" customHeight="1" x14ac:dyDescent="0.2">
      <c r="A14" s="85">
        <f t="shared" si="1"/>
        <v>3</v>
      </c>
      <c r="B14" s="9">
        <v>1</v>
      </c>
      <c r="C14" s="1" t="s">
        <v>49</v>
      </c>
      <c r="D14" s="1" t="s">
        <v>50</v>
      </c>
      <c r="E14" s="2" t="s">
        <v>193</v>
      </c>
      <c r="F14" s="120" t="s">
        <v>498</v>
      </c>
      <c r="G14" s="108" t="s">
        <v>390</v>
      </c>
      <c r="H14" s="8">
        <v>1</v>
      </c>
      <c r="I14" s="9">
        <v>1</v>
      </c>
      <c r="J14" s="9">
        <v>1</v>
      </c>
      <c r="K14" s="9">
        <v>1</v>
      </c>
      <c r="L14" s="9">
        <v>1</v>
      </c>
      <c r="M14" s="9"/>
      <c r="N14" s="9">
        <v>1</v>
      </c>
      <c r="O14" s="88">
        <f t="shared" si="2"/>
        <v>160</v>
      </c>
      <c r="P14" s="9"/>
      <c r="Q14" s="9"/>
      <c r="R14" s="89" t="str">
        <f t="shared" si="3"/>
        <v/>
      </c>
      <c r="S14" s="89">
        <f t="shared" si="4"/>
        <v>160</v>
      </c>
      <c r="T14" s="90">
        <f>H14*[0]!FMainPool1Fee+I14*[0]!FMainPool2Fee+J14*[0]!FMainPool3Fee+K14*[0]!FMainPool4Fee+B14*[0]!FMainEntryFee</f>
        <v>160</v>
      </c>
      <c r="U14" s="91"/>
      <c r="V14" s="92" t="s">
        <v>731</v>
      </c>
      <c r="X14" s="93"/>
      <c r="Y14" s="93"/>
    </row>
    <row r="15" spans="1:25" ht="15" customHeight="1" x14ac:dyDescent="0.2">
      <c r="A15" s="85">
        <f t="shared" si="1"/>
        <v>4</v>
      </c>
      <c r="B15" s="9">
        <v>1</v>
      </c>
      <c r="C15" s="1" t="s">
        <v>57</v>
      </c>
      <c r="D15" s="1" t="s">
        <v>263</v>
      </c>
      <c r="E15" s="2" t="s">
        <v>210</v>
      </c>
      <c r="F15" s="119">
        <v>9166997163</v>
      </c>
      <c r="G15" s="87" t="s">
        <v>502</v>
      </c>
      <c r="H15" s="8">
        <v>1</v>
      </c>
      <c r="I15" s="9">
        <v>1</v>
      </c>
      <c r="J15" s="9">
        <v>1</v>
      </c>
      <c r="K15" s="9">
        <v>1</v>
      </c>
      <c r="L15" s="9">
        <v>1</v>
      </c>
      <c r="M15" s="9"/>
      <c r="N15" s="9">
        <v>1</v>
      </c>
      <c r="O15" s="88">
        <f t="shared" si="2"/>
        <v>160</v>
      </c>
      <c r="P15" s="9"/>
      <c r="Q15" s="9"/>
      <c r="R15" s="89" t="str">
        <f t="shared" si="3"/>
        <v/>
      </c>
      <c r="S15" s="89">
        <f t="shared" si="4"/>
        <v>160</v>
      </c>
      <c r="T15" s="90">
        <f>H15*[0]!FMainPool1Fee+I15*[0]!FMainPool2Fee+J15*[0]!FMainPool3Fee+K15*[0]!FMainPool4Fee+B15*[0]!FMainEntryFee</f>
        <v>160</v>
      </c>
      <c r="U15" s="91"/>
      <c r="V15" s="95"/>
      <c r="X15" s="96"/>
      <c r="Y15" s="96"/>
    </row>
    <row r="16" spans="1:25" ht="15" customHeight="1" x14ac:dyDescent="0.2">
      <c r="A16" s="85">
        <f t="shared" si="1"/>
        <v>5</v>
      </c>
      <c r="B16" s="9">
        <v>1</v>
      </c>
      <c r="C16" s="1" t="s">
        <v>768</v>
      </c>
      <c r="D16" s="1" t="s">
        <v>769</v>
      </c>
      <c r="E16" s="95" t="s">
        <v>770</v>
      </c>
      <c r="F16" s="95" t="s">
        <v>772</v>
      </c>
      <c r="G16" s="101" t="s">
        <v>771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>
        <v>1</v>
      </c>
      <c r="O16" s="88">
        <f t="shared" si="2"/>
        <v>160</v>
      </c>
      <c r="P16" s="9"/>
      <c r="Q16" s="9"/>
      <c r="R16" s="89" t="str">
        <f t="shared" si="3"/>
        <v/>
      </c>
      <c r="S16" s="89">
        <f t="shared" si="4"/>
        <v>160</v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">
      <c r="A17" s="85">
        <f t="shared" si="1"/>
        <v>6</v>
      </c>
      <c r="B17" s="9">
        <v>1</v>
      </c>
      <c r="C17" s="6" t="s">
        <v>119</v>
      </c>
      <c r="D17" s="6" t="s">
        <v>120</v>
      </c>
      <c r="E17" s="7" t="s">
        <v>216</v>
      </c>
      <c r="F17" s="86"/>
      <c r="G17" s="94" t="s">
        <v>369</v>
      </c>
      <c r="H17" s="8"/>
      <c r="I17" s="9"/>
      <c r="J17" s="9"/>
      <c r="K17" s="9"/>
      <c r="L17" s="9"/>
      <c r="M17" s="9">
        <v>1</v>
      </c>
      <c r="N17" s="9">
        <v>1</v>
      </c>
      <c r="O17" s="88">
        <f t="shared" si="2"/>
        <v>70</v>
      </c>
      <c r="P17" s="9"/>
      <c r="Q17" s="9"/>
      <c r="R17" s="89" t="str">
        <f t="shared" si="3"/>
        <v/>
      </c>
      <c r="S17" s="89">
        <f t="shared" si="4"/>
        <v>70</v>
      </c>
      <c r="T17" s="90">
        <f>H17*[0]!FMainPool1Fee+I17*[0]!FMainPool2Fee+J17*[0]!FMainPool3Fee+K17*[0]!FMainPool4Fee+B17*[0]!FMainEntryFee</f>
        <v>70</v>
      </c>
      <c r="U17" s="91"/>
      <c r="V17" s="92"/>
      <c r="W17" s="98"/>
      <c r="X17" s="96"/>
      <c r="Y17" s="96"/>
    </row>
    <row r="18" spans="1:26" ht="15" customHeight="1" x14ac:dyDescent="0.2">
      <c r="A18" s="85">
        <f t="shared" si="1"/>
        <v>7</v>
      </c>
      <c r="B18" s="9">
        <v>1</v>
      </c>
      <c r="C18" s="1" t="s">
        <v>266</v>
      </c>
      <c r="D18" s="94" t="s">
        <v>268</v>
      </c>
      <c r="E18" s="2" t="s">
        <v>267</v>
      </c>
      <c r="F18" s="86"/>
      <c r="G18" s="94" t="s">
        <v>326</v>
      </c>
      <c r="H18" s="8">
        <v>1</v>
      </c>
      <c r="I18" s="9"/>
      <c r="J18" s="9"/>
      <c r="K18" s="9"/>
      <c r="L18" s="9">
        <v>1</v>
      </c>
      <c r="M18" s="9"/>
      <c r="N18" s="9">
        <v>1</v>
      </c>
      <c r="O18" s="88">
        <f t="shared" si="2"/>
        <v>80</v>
      </c>
      <c r="P18" s="9"/>
      <c r="Q18" s="9"/>
      <c r="R18" s="89" t="str">
        <f t="shared" si="3"/>
        <v/>
      </c>
      <c r="S18" s="89">
        <f t="shared" si="4"/>
        <v>80</v>
      </c>
      <c r="T18" s="90">
        <f>H18*[0]!FMainPool1Fee+I18*[0]!FMainPool2Fee+J18*[0]!FMainPool3Fee+K18*[0]!FMainPool4Fee+B18*[0]!FMainEntryFee</f>
        <v>80</v>
      </c>
      <c r="U18" s="91">
        <v>1</v>
      </c>
      <c r="V18" s="92"/>
      <c r="X18" s="96"/>
      <c r="Y18" s="96"/>
    </row>
    <row r="19" spans="1:26" ht="15" customHeight="1" x14ac:dyDescent="0.2">
      <c r="A19" s="85">
        <f t="shared" si="1"/>
        <v>8</v>
      </c>
      <c r="B19" s="9">
        <v>1</v>
      </c>
      <c r="C19" s="101" t="s">
        <v>611</v>
      </c>
      <c r="D19" s="101" t="s">
        <v>612</v>
      </c>
      <c r="E19" s="95" t="s">
        <v>613</v>
      </c>
      <c r="F19" s="106">
        <v>8315959920</v>
      </c>
      <c r="G19" s="109" t="s">
        <v>702</v>
      </c>
      <c r="H19" s="8">
        <v>1</v>
      </c>
      <c r="I19" s="9"/>
      <c r="J19" s="9">
        <v>1</v>
      </c>
      <c r="K19" s="9"/>
      <c r="L19" s="9"/>
      <c r="M19" s="9"/>
      <c r="N19" s="9">
        <v>1</v>
      </c>
      <c r="O19" s="88">
        <f t="shared" si="2"/>
        <v>100</v>
      </c>
      <c r="P19" s="9"/>
      <c r="Q19" s="9"/>
      <c r="R19" s="89" t="str">
        <f t="shared" si="3"/>
        <v/>
      </c>
      <c r="S19" s="89">
        <f t="shared" si="4"/>
        <v>100</v>
      </c>
      <c r="T19" s="90">
        <f>H19*[0]!FMainPool1Fee+I19*[0]!FMainPool2Fee+J19*[0]!FMainPool3Fee+K19*[0]!FMainPool4Fee+B19*[0]!FMainEntryFee</f>
        <v>100</v>
      </c>
      <c r="U19" s="91"/>
      <c r="V19" s="100"/>
      <c r="X19" s="96"/>
      <c r="Y19" s="96"/>
    </row>
    <row r="20" spans="1:26" ht="15" customHeight="1" x14ac:dyDescent="0.2">
      <c r="A20" s="85">
        <f t="shared" si="1"/>
        <v>9</v>
      </c>
      <c r="B20" s="9">
        <v>1</v>
      </c>
      <c r="C20" s="101" t="s">
        <v>618</v>
      </c>
      <c r="D20" s="101" t="s">
        <v>48</v>
      </c>
      <c r="E20" s="95" t="s">
        <v>619</v>
      </c>
      <c r="F20" s="106"/>
      <c r="G20" s="109" t="s">
        <v>624</v>
      </c>
      <c r="H20" s="8">
        <v>1</v>
      </c>
      <c r="I20" s="9">
        <v>1</v>
      </c>
      <c r="J20" s="9">
        <v>1</v>
      </c>
      <c r="K20" s="9"/>
      <c r="L20" s="9">
        <v>1</v>
      </c>
      <c r="M20" s="9"/>
      <c r="N20" s="9">
        <v>1</v>
      </c>
      <c r="O20" s="88">
        <f t="shared" si="2"/>
        <v>110</v>
      </c>
      <c r="P20" s="9"/>
      <c r="Q20" s="9"/>
      <c r="R20" s="89" t="str">
        <f t="shared" si="3"/>
        <v/>
      </c>
      <c r="S20" s="89">
        <f t="shared" si="4"/>
        <v>110</v>
      </c>
      <c r="T20" s="90">
        <f>H20*[0]!FMainPool1Fee+I20*[0]!FMainPool2Fee+J20*[0]!FMainPool3Fee+K20*[0]!FMainPool4Fee+B20*[0]!FMainEntryFee</f>
        <v>110</v>
      </c>
      <c r="U20" s="91"/>
      <c r="V20" s="92" t="s">
        <v>722</v>
      </c>
      <c r="W20" s="98"/>
      <c r="X20" s="96"/>
      <c r="Y20" s="96"/>
    </row>
    <row r="21" spans="1:26" ht="15" customHeight="1" x14ac:dyDescent="0.2">
      <c r="A21" s="85">
        <f t="shared" si="1"/>
        <v>10</v>
      </c>
      <c r="B21" s="9">
        <v>1</v>
      </c>
      <c r="C21" s="1" t="s">
        <v>75</v>
      </c>
      <c r="D21" s="1" t="s">
        <v>76</v>
      </c>
      <c r="E21" s="2" t="s">
        <v>174</v>
      </c>
      <c r="F21" s="107">
        <v>8315952169</v>
      </c>
      <c r="G21" s="94" t="s">
        <v>496</v>
      </c>
      <c r="H21" s="8">
        <v>1</v>
      </c>
      <c r="I21" s="9"/>
      <c r="J21" s="9">
        <v>1</v>
      </c>
      <c r="K21" s="9"/>
      <c r="L21" s="9"/>
      <c r="M21" s="9">
        <v>1</v>
      </c>
      <c r="N21" s="9">
        <v>1</v>
      </c>
      <c r="O21" s="88">
        <f t="shared" si="2"/>
        <v>100</v>
      </c>
      <c r="P21" s="9"/>
      <c r="Q21" s="9"/>
      <c r="R21" s="89" t="str">
        <f t="shared" si="3"/>
        <v/>
      </c>
      <c r="S21" s="89">
        <f t="shared" si="4"/>
        <v>100</v>
      </c>
      <c r="T21" s="90">
        <f>H21*[0]!FMainPool1Fee+I21*[0]!FMainPool2Fee+J21*[0]!FMainPool3Fee+K21*[0]!FMainPool4Fee+B21*[0]!FMainEntryFee</f>
        <v>100</v>
      </c>
      <c r="U21" s="91"/>
      <c r="V21" s="92"/>
      <c r="X21" s="96"/>
      <c r="Y21" s="96"/>
    </row>
    <row r="22" spans="1:26" ht="15" customHeight="1" x14ac:dyDescent="0.2">
      <c r="A22" s="85">
        <f t="shared" si="1"/>
        <v>11</v>
      </c>
      <c r="B22" s="9">
        <v>1</v>
      </c>
      <c r="C22" s="6" t="s">
        <v>481</v>
      </c>
      <c r="D22" s="6" t="s">
        <v>494</v>
      </c>
      <c r="E22" s="7" t="s">
        <v>482</v>
      </c>
      <c r="F22" s="105">
        <v>7076641532</v>
      </c>
      <c r="G22" s="87" t="s">
        <v>523</v>
      </c>
      <c r="H22" s="8">
        <v>1</v>
      </c>
      <c r="I22" s="9">
        <v>1</v>
      </c>
      <c r="J22" s="9">
        <v>1</v>
      </c>
      <c r="K22" s="9"/>
      <c r="L22" s="9"/>
      <c r="M22" s="9"/>
      <c r="N22" s="9">
        <v>1</v>
      </c>
      <c r="O22" s="88">
        <f t="shared" si="2"/>
        <v>110</v>
      </c>
      <c r="P22" s="9" t="s">
        <v>724</v>
      </c>
      <c r="Q22" s="9"/>
      <c r="R22" s="89" t="str">
        <f t="shared" si="3"/>
        <v/>
      </c>
      <c r="S22" s="89">
        <f t="shared" si="4"/>
        <v>110</v>
      </c>
      <c r="T22" s="90">
        <f>H22*[0]!FMainPool1Fee+I22*[0]!FMainPool2Fee+J22*[0]!FMainPool3Fee+K22*[0]!FMainPool4Fee+B22*[0]!FMainEntryFee</f>
        <v>110</v>
      </c>
      <c r="U22" s="91"/>
      <c r="V22" s="92"/>
      <c r="X22" s="96"/>
      <c r="Y22" s="96"/>
    </row>
    <row r="23" spans="1:26" ht="15" customHeight="1" x14ac:dyDescent="0.2">
      <c r="A23" s="85">
        <f t="shared" si="1"/>
        <v>12</v>
      </c>
      <c r="B23" s="9">
        <v>1</v>
      </c>
      <c r="C23" s="6" t="s">
        <v>716</v>
      </c>
      <c r="D23" s="6" t="s">
        <v>304</v>
      </c>
      <c r="E23" s="7" t="s">
        <v>305</v>
      </c>
      <c r="F23" s="124" t="s">
        <v>730</v>
      </c>
      <c r="G23" s="101" t="s">
        <v>729</v>
      </c>
      <c r="H23" s="8"/>
      <c r="I23" s="9"/>
      <c r="J23" s="9">
        <v>1</v>
      </c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930</v>
      </c>
      <c r="R23" s="89">
        <f t="shared" si="3"/>
        <v>90</v>
      </c>
      <c r="S23" s="89" t="str">
        <f t="shared" si="4"/>
        <v/>
      </c>
      <c r="T23" s="90">
        <f>H23*[0]!FMainPool1Fee+I23*[0]!FMainPool2Fee+J23*[0]!FMainPool3Fee+K23*[0]!FMainPool4Fee+B23*[0]!FMainEntryFee</f>
        <v>90</v>
      </c>
      <c r="U23" s="91"/>
      <c r="V23" s="106" t="s">
        <v>756</v>
      </c>
      <c r="W23" s="98"/>
      <c r="X23" s="96"/>
      <c r="Y23" s="96"/>
    </row>
    <row r="24" spans="1:26" ht="15" customHeight="1" x14ac:dyDescent="0.2">
      <c r="A24" s="85">
        <f t="shared" si="1"/>
        <v>13</v>
      </c>
      <c r="B24" s="9">
        <v>1</v>
      </c>
      <c r="C24" s="6" t="s">
        <v>715</v>
      </c>
      <c r="D24" s="6" t="s">
        <v>72</v>
      </c>
      <c r="E24" s="7" t="s">
        <v>696</v>
      </c>
      <c r="F24" s="105">
        <v>9169894301</v>
      </c>
      <c r="G24" s="87" t="s">
        <v>695</v>
      </c>
      <c r="H24" s="8"/>
      <c r="I24" s="9"/>
      <c r="J24" s="9">
        <v>1</v>
      </c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930</v>
      </c>
      <c r="R24" s="89">
        <f t="shared" si="3"/>
        <v>90</v>
      </c>
      <c r="S24" s="89" t="str">
        <f t="shared" si="4"/>
        <v/>
      </c>
      <c r="T24" s="90">
        <f>H24*[0]!FMainPool1Fee+I24*[0]!FMainPool2Fee+J24*[0]!FMainPool3Fee+K24*[0]!FMainPool4Fee+B24*[0]!FMainEntryFee</f>
        <v>90</v>
      </c>
      <c r="U24" s="91"/>
      <c r="V24" s="92"/>
      <c r="W24"/>
      <c r="X24" s="96"/>
      <c r="Y24" s="96"/>
    </row>
    <row r="25" spans="1:26" ht="15" customHeight="1" x14ac:dyDescent="0.2">
      <c r="A25" s="85">
        <f t="shared" si="1"/>
        <v>14</v>
      </c>
      <c r="B25" s="9">
        <v>1</v>
      </c>
      <c r="C25" s="1" t="s">
        <v>29</v>
      </c>
      <c r="D25" s="1" t="s">
        <v>30</v>
      </c>
      <c r="E25" s="2" t="s">
        <v>203</v>
      </c>
      <c r="F25" s="104" t="s">
        <v>534</v>
      </c>
      <c r="G25" s="94" t="s">
        <v>535</v>
      </c>
      <c r="H25" s="8">
        <v>1</v>
      </c>
      <c r="I25" s="9"/>
      <c r="J25" s="9"/>
      <c r="K25" s="9"/>
      <c r="L25" s="9"/>
      <c r="M25" s="9"/>
      <c r="N25" s="9"/>
      <c r="O25" s="88">
        <f t="shared" si="2"/>
        <v>0</v>
      </c>
      <c r="P25" s="9" t="s">
        <v>721</v>
      </c>
      <c r="Q25" s="9">
        <v>398</v>
      </c>
      <c r="R25" s="89">
        <f t="shared" si="3"/>
        <v>80</v>
      </c>
      <c r="S25" s="89" t="str">
        <f t="shared" si="4"/>
        <v/>
      </c>
      <c r="T25" s="90">
        <f>H25*[0]!FMainPool1Fee+I25*[0]!FMainPool2Fee+J25*[0]!FMainPool3Fee+K25*[0]!FMainPool4Fee+B25*[0]!FMainEntryFee</f>
        <v>80</v>
      </c>
      <c r="U25" s="91"/>
      <c r="V25" s="92"/>
      <c r="X25" s="96"/>
      <c r="Y25" s="96"/>
    </row>
    <row r="26" spans="1:26" ht="15" customHeight="1" x14ac:dyDescent="0.2">
      <c r="A26" s="85">
        <f t="shared" si="1"/>
        <v>15</v>
      </c>
      <c r="B26" s="3"/>
      <c r="C26" s="6" t="s">
        <v>272</v>
      </c>
      <c r="D26" s="6" t="s">
        <v>273</v>
      </c>
      <c r="E26" s="7" t="s">
        <v>274</v>
      </c>
      <c r="F26" s="118"/>
      <c r="G26" s="6" t="s">
        <v>354</v>
      </c>
      <c r="H26" s="8"/>
      <c r="I26" s="9"/>
      <c r="J26" s="9"/>
      <c r="K26" s="9"/>
      <c r="L26" s="9"/>
      <c r="M26" s="9"/>
      <c r="N26" s="9"/>
      <c r="O26" s="88">
        <f t="shared" si="2"/>
        <v>0</v>
      </c>
      <c r="P26" s="9"/>
      <c r="Q26" s="9"/>
      <c r="R26" s="89" t="str">
        <f t="shared" si="3"/>
        <v/>
      </c>
      <c r="S26" s="89" t="str">
        <f t="shared" si="4"/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8"/>
    </row>
    <row r="27" spans="1:26" ht="15" customHeight="1" x14ac:dyDescent="0.2">
      <c r="A27" s="85">
        <f t="shared" si="1"/>
        <v>16</v>
      </c>
      <c r="B27" s="9"/>
      <c r="C27" s="6" t="s">
        <v>431</v>
      </c>
      <c r="D27" s="6" t="s">
        <v>485</v>
      </c>
      <c r="E27" s="7" t="s">
        <v>458</v>
      </c>
      <c r="F27" s="105">
        <v>9098875893</v>
      </c>
      <c r="G27" s="87" t="s">
        <v>536</v>
      </c>
      <c r="H27" s="8"/>
      <c r="I27" s="9"/>
      <c r="J27" s="9"/>
      <c r="K27" s="9"/>
      <c r="L27" s="9"/>
      <c r="M27" s="9"/>
      <c r="N27" s="9"/>
      <c r="O27" s="88">
        <f t="shared" si="2"/>
        <v>0</v>
      </c>
      <c r="P27" s="9"/>
      <c r="Q27" s="9"/>
      <c r="R27" s="89" t="str">
        <f t="shared" si="3"/>
        <v/>
      </c>
      <c r="S27" s="89" t="str">
        <f t="shared" si="4"/>
        <v/>
      </c>
      <c r="T27" s="90">
        <f>H27*[0]!FMainPool1Fee+I27*[0]!FMainPool2Fee+J27*[0]!FMainPool3Fee+K27*[0]!FMainPool4Fee+B27*[0]!FMainEntryFee</f>
        <v>0</v>
      </c>
      <c r="U27" s="91"/>
      <c r="V27" s="106"/>
      <c r="X27" s="96"/>
      <c r="Y27" s="96"/>
      <c r="Z27" s="108"/>
    </row>
    <row r="28" spans="1:26" ht="15" customHeight="1" x14ac:dyDescent="0.2">
      <c r="A28" s="85">
        <f t="shared" si="1"/>
        <v>17</v>
      </c>
      <c r="B28" s="9"/>
      <c r="C28" s="6" t="s">
        <v>295</v>
      </c>
      <c r="D28" s="6" t="s">
        <v>14</v>
      </c>
      <c r="E28" s="7" t="s">
        <v>296</v>
      </c>
      <c r="F28" s="105"/>
      <c r="G28" s="94" t="s">
        <v>362</v>
      </c>
      <c r="H28" s="8"/>
      <c r="I28" s="9"/>
      <c r="J28" s="9"/>
      <c r="K28" s="9"/>
      <c r="L28" s="9"/>
      <c r="M28" s="9"/>
      <c r="N28" s="9"/>
      <c r="O28" s="88">
        <f t="shared" si="2"/>
        <v>0</v>
      </c>
      <c r="P28" s="9"/>
      <c r="Q28" s="9"/>
      <c r="R28" s="89" t="str">
        <f t="shared" si="3"/>
        <v/>
      </c>
      <c r="S28" s="89" t="str">
        <f t="shared" si="4"/>
        <v/>
      </c>
      <c r="T28" s="90">
        <f>H28*[0]!FMainPool1Fee+I28*[0]!FMainPool2Fee+J28*[0]!FMainPool3Fee+K28*[0]!FMainPool4Fee+B28*[0]!FMainEntryFee</f>
        <v>0</v>
      </c>
      <c r="U28" s="91"/>
      <c r="V28" s="106"/>
      <c r="X28" s="96"/>
      <c r="Y28" s="96"/>
    </row>
    <row r="29" spans="1:26" x14ac:dyDescent="0.2">
      <c r="A29" s="85">
        <f t="shared" si="1"/>
        <v>18</v>
      </c>
      <c r="B29" s="9">
        <v>1</v>
      </c>
      <c r="C29" s="1" t="s">
        <v>13</v>
      </c>
      <c r="D29" s="1" t="s">
        <v>14</v>
      </c>
      <c r="E29" s="2" t="s">
        <v>173</v>
      </c>
      <c r="F29" s="121">
        <v>9168138609</v>
      </c>
      <c r="G29" s="94" t="s">
        <v>363</v>
      </c>
      <c r="H29" s="8">
        <v>1</v>
      </c>
      <c r="I29" s="9">
        <v>1</v>
      </c>
      <c r="J29" s="9">
        <v>1</v>
      </c>
      <c r="K29" s="9">
        <v>1</v>
      </c>
      <c r="L29" s="9"/>
      <c r="M29" s="9"/>
      <c r="N29" s="9"/>
      <c r="O29" s="88">
        <f t="shared" si="2"/>
        <v>0</v>
      </c>
      <c r="P29" s="9" t="s">
        <v>721</v>
      </c>
      <c r="Q29" s="9">
        <v>1723</v>
      </c>
      <c r="R29" s="89">
        <f t="shared" si="3"/>
        <v>160</v>
      </c>
      <c r="S29" s="89" t="str">
        <f t="shared" si="4"/>
        <v/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">
      <c r="A30" s="85">
        <f t="shared" si="1"/>
        <v>19</v>
      </c>
      <c r="B30" s="9">
        <v>1</v>
      </c>
      <c r="C30" s="6" t="s">
        <v>432</v>
      </c>
      <c r="D30" s="6" t="s">
        <v>90</v>
      </c>
      <c r="E30" s="7" t="s">
        <v>459</v>
      </c>
      <c r="F30" s="105">
        <v>5302775321</v>
      </c>
      <c r="G30" s="87" t="s">
        <v>537</v>
      </c>
      <c r="H30" s="8">
        <v>1</v>
      </c>
      <c r="I30" s="9">
        <v>1</v>
      </c>
      <c r="J30" s="9">
        <v>1</v>
      </c>
      <c r="K30" s="9">
        <v>1</v>
      </c>
      <c r="L30" s="9">
        <v>1</v>
      </c>
      <c r="M30" s="9"/>
      <c r="N30" s="9"/>
      <c r="O30" s="88">
        <f t="shared" si="2"/>
        <v>0</v>
      </c>
      <c r="P30" s="9" t="s">
        <v>721</v>
      </c>
      <c r="Q30" s="9">
        <v>1587</v>
      </c>
      <c r="R30" s="89">
        <f t="shared" si="3"/>
        <v>160</v>
      </c>
      <c r="S30" s="89" t="str">
        <f t="shared" si="4"/>
        <v/>
      </c>
      <c r="T30" s="90">
        <f>H30*[0]!FMainPool1Fee+I30*[0]!FMainPool2Fee+J30*[0]!FMainPool3Fee+K30*[0]!FMainPool4Fee+B30*[0]!FMainEntryFee</f>
        <v>160</v>
      </c>
      <c r="U30" s="91"/>
      <c r="V30" s="92"/>
      <c r="X30" s="96"/>
      <c r="Y30" s="96"/>
    </row>
    <row r="31" spans="1:26" x14ac:dyDescent="0.2">
      <c r="A31" s="85">
        <f t="shared" si="1"/>
        <v>20</v>
      </c>
      <c r="B31" s="9"/>
      <c r="C31" s="101" t="s">
        <v>647</v>
      </c>
      <c r="D31" s="102"/>
      <c r="E31" s="59" t="s">
        <v>590</v>
      </c>
      <c r="F31" s="103"/>
      <c r="G31" s="102"/>
      <c r="H31" s="8"/>
      <c r="I31" s="9"/>
      <c r="J31" s="9"/>
      <c r="K31" s="9"/>
      <c r="L31" s="9"/>
      <c r="M31" s="9"/>
      <c r="N31" s="9"/>
      <c r="O31" s="88">
        <f t="shared" si="2"/>
        <v>0</v>
      </c>
      <c r="P31" s="9"/>
      <c r="Q31" s="9"/>
      <c r="R31" s="89" t="str">
        <f t="shared" si="3"/>
        <v/>
      </c>
      <c r="S31" s="89" t="str">
        <f t="shared" si="4"/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">
      <c r="A32" s="85">
        <f t="shared" si="1"/>
        <v>21</v>
      </c>
      <c r="B32" s="9"/>
      <c r="C32" s="101" t="s">
        <v>591</v>
      </c>
      <c r="D32" s="101" t="s">
        <v>592</v>
      </c>
      <c r="E32" s="95" t="s">
        <v>593</v>
      </c>
      <c r="F32" s="104"/>
      <c r="G32" s="101"/>
      <c r="H32" s="8"/>
      <c r="I32" s="9"/>
      <c r="J32" s="9"/>
      <c r="K32" s="9"/>
      <c r="L32" s="9"/>
      <c r="M32" s="9"/>
      <c r="N32" s="9"/>
      <c r="O32" s="88">
        <f t="shared" si="2"/>
        <v>0</v>
      </c>
      <c r="P32" s="9"/>
      <c r="Q32" s="9"/>
      <c r="R32" s="89" t="str">
        <f t="shared" si="3"/>
        <v/>
      </c>
      <c r="S32" s="89" t="str">
        <f t="shared" si="4"/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">
      <c r="A33" s="85">
        <f t="shared" si="1"/>
        <v>22</v>
      </c>
      <c r="B33" s="9">
        <v>1</v>
      </c>
      <c r="C33" s="6" t="s">
        <v>342</v>
      </c>
      <c r="D33" s="6" t="s">
        <v>343</v>
      </c>
      <c r="E33" s="7" t="s">
        <v>677</v>
      </c>
      <c r="F33" s="105">
        <v>4087325550</v>
      </c>
      <c r="G33" s="108" t="s">
        <v>344</v>
      </c>
      <c r="H33" s="8">
        <v>1</v>
      </c>
      <c r="I33" s="9">
        <v>1</v>
      </c>
      <c r="J33" s="9">
        <v>1</v>
      </c>
      <c r="K33" s="9">
        <v>1</v>
      </c>
      <c r="L33" s="9"/>
      <c r="M33" s="9"/>
      <c r="N33" s="9"/>
      <c r="O33" s="88">
        <f t="shared" si="2"/>
        <v>0</v>
      </c>
      <c r="P33" s="9" t="s">
        <v>721</v>
      </c>
      <c r="Q33" s="9">
        <v>1826</v>
      </c>
      <c r="R33" s="89">
        <f t="shared" si="3"/>
        <v>160</v>
      </c>
      <c r="S33" s="89" t="str">
        <f t="shared" si="4"/>
        <v/>
      </c>
      <c r="T33" s="90">
        <f>H33*[0]!FMainPool1Fee+I33*[0]!FMainPool2Fee+J33*[0]!FMainPool3Fee+K33*[0]!FMainPool4Fee+B33*[0]!FMainEntryFee</f>
        <v>160</v>
      </c>
      <c r="U33" s="91"/>
      <c r="V33" s="92" t="s">
        <v>684</v>
      </c>
      <c r="X33" s="96"/>
      <c r="Y33" s="96"/>
    </row>
    <row r="34" spans="1:26" x14ac:dyDescent="0.2">
      <c r="A34" s="85">
        <f t="shared" si="1"/>
        <v>23</v>
      </c>
      <c r="B34" s="9"/>
      <c r="C34" s="6" t="s">
        <v>300</v>
      </c>
      <c r="D34" s="6" t="s">
        <v>14</v>
      </c>
      <c r="E34" s="7" t="s">
        <v>301</v>
      </c>
      <c r="F34" s="105">
        <v>9162036636</v>
      </c>
      <c r="G34" s="94" t="s">
        <v>302</v>
      </c>
      <c r="H34" s="8"/>
      <c r="I34" s="9"/>
      <c r="J34" s="9"/>
      <c r="K34" s="9"/>
      <c r="L34" s="9"/>
      <c r="M34" s="9"/>
      <c r="N34" s="9"/>
      <c r="O34" s="88">
        <f t="shared" si="2"/>
        <v>0</v>
      </c>
      <c r="P34" s="9"/>
      <c r="Q34" s="9"/>
      <c r="R34" s="89" t="str">
        <f t="shared" si="3"/>
        <v/>
      </c>
      <c r="S34" s="89" t="str">
        <f t="shared" si="4"/>
        <v/>
      </c>
      <c r="T34" s="90">
        <f>H34*[0]!FMainPool1Fee+I34*[0]!FMainPool2Fee+J34*[0]!FMainPool3Fee+K34*[0]!FMainPool4Fee+B34*[0]!FMainEntryFee</f>
        <v>0</v>
      </c>
      <c r="U34" s="91"/>
      <c r="V34" s="106"/>
      <c r="X34" s="96"/>
      <c r="Y34" s="96"/>
    </row>
    <row r="35" spans="1:26" x14ac:dyDescent="0.2">
      <c r="A35" s="85">
        <f t="shared" si="1"/>
        <v>24</v>
      </c>
      <c r="B35" s="9"/>
      <c r="C35" s="1" t="s">
        <v>6</v>
      </c>
      <c r="D35" s="1" t="s">
        <v>7</v>
      </c>
      <c r="E35" s="2" t="s">
        <v>175</v>
      </c>
      <c r="F35" s="107">
        <v>7078430109</v>
      </c>
      <c r="G35" s="87" t="s">
        <v>538</v>
      </c>
      <c r="H35" s="8"/>
      <c r="I35" s="9"/>
      <c r="J35" s="9"/>
      <c r="K35" s="9"/>
      <c r="L35" s="9"/>
      <c r="M35" s="9"/>
      <c r="N35" s="9"/>
      <c r="O35" s="88">
        <f t="shared" si="2"/>
        <v>0</v>
      </c>
      <c r="P35" s="9"/>
      <c r="Q35" s="9"/>
      <c r="R35" s="89" t="str">
        <f t="shared" si="3"/>
        <v/>
      </c>
      <c r="S35" s="89" t="str">
        <f t="shared" si="4"/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">
      <c r="A36" s="85">
        <f t="shared" si="1"/>
        <v>25</v>
      </c>
      <c r="B36" s="9"/>
      <c r="C36" s="6" t="s">
        <v>433</v>
      </c>
      <c r="D36" s="6" t="s">
        <v>486</v>
      </c>
      <c r="E36" s="7" t="s">
        <v>460</v>
      </c>
      <c r="F36" s="86">
        <v>8054892161</v>
      </c>
      <c r="G36" s="101" t="s">
        <v>539</v>
      </c>
      <c r="H36" s="8"/>
      <c r="I36" s="9"/>
      <c r="J36" s="9"/>
      <c r="K36" s="9"/>
      <c r="L36" s="9"/>
      <c r="M36" s="9"/>
      <c r="N36" s="9"/>
      <c r="O36" s="88">
        <f t="shared" si="2"/>
        <v>0</v>
      </c>
      <c r="P36" s="9"/>
      <c r="Q36" s="9"/>
      <c r="R36" s="89" t="str">
        <f t="shared" si="3"/>
        <v/>
      </c>
      <c r="S36" s="89" t="str">
        <f t="shared" si="4"/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8"/>
    </row>
    <row r="37" spans="1:26" x14ac:dyDescent="0.2">
      <c r="A37" s="85">
        <f t="shared" si="1"/>
        <v>26</v>
      </c>
      <c r="B37" s="9"/>
      <c r="C37" s="61" t="s">
        <v>594</v>
      </c>
      <c r="D37" s="61" t="s">
        <v>100</v>
      </c>
      <c r="E37" s="76" t="s">
        <v>595</v>
      </c>
      <c r="F37" s="106">
        <v>5305666454</v>
      </c>
      <c r="G37" s="109" t="s">
        <v>703</v>
      </c>
      <c r="H37" s="8"/>
      <c r="I37" s="9"/>
      <c r="J37" s="9"/>
      <c r="K37" s="9"/>
      <c r="L37" s="9"/>
      <c r="M37" s="9"/>
      <c r="N37" s="9"/>
      <c r="O37" s="88">
        <f t="shared" si="2"/>
        <v>0</v>
      </c>
      <c r="P37" s="9"/>
      <c r="Q37" s="9"/>
      <c r="R37" s="89" t="str">
        <f t="shared" si="3"/>
        <v/>
      </c>
      <c r="S37" s="89" t="str">
        <f t="shared" si="4"/>
        <v/>
      </c>
      <c r="T37" s="90">
        <f>H37*[0]!FMainPool1Fee+I37*[0]!FMainPool2Fee+J37*[0]!FMainPool3Fee+K37*[0]!FMainPool4Fee+B37*[0]!FMainEntryFee</f>
        <v>0</v>
      </c>
      <c r="U37" s="91"/>
      <c r="V37" s="92" t="s">
        <v>684</v>
      </c>
      <c r="X37" s="96"/>
      <c r="Y37" s="96"/>
      <c r="Z37" s="108"/>
    </row>
    <row r="38" spans="1:26" x14ac:dyDescent="0.2">
      <c r="A38" s="85">
        <f t="shared" si="1"/>
        <v>27</v>
      </c>
      <c r="B38" s="9"/>
      <c r="C38" s="6" t="s">
        <v>288</v>
      </c>
      <c r="D38" s="6" t="s">
        <v>289</v>
      </c>
      <c r="E38" s="7" t="s">
        <v>290</v>
      </c>
      <c r="F38" s="86">
        <v>9167055602</v>
      </c>
      <c r="G38" s="94" t="s">
        <v>293</v>
      </c>
      <c r="H38" s="8"/>
      <c r="I38" s="9"/>
      <c r="J38" s="9"/>
      <c r="K38" s="9"/>
      <c r="L38" s="9"/>
      <c r="M38" s="9"/>
      <c r="N38" s="9"/>
      <c r="O38" s="88">
        <f t="shared" si="2"/>
        <v>0</v>
      </c>
      <c r="P38" s="9"/>
      <c r="Q38" s="9"/>
      <c r="R38" s="89" t="str">
        <f t="shared" si="3"/>
        <v/>
      </c>
      <c r="S38" s="89" t="str">
        <f t="shared" si="4"/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8"/>
    </row>
    <row r="39" spans="1:26" x14ac:dyDescent="0.2">
      <c r="A39" s="85">
        <f t="shared" si="1"/>
        <v>28</v>
      </c>
      <c r="B39" s="9"/>
      <c r="C39" s="101" t="s">
        <v>658</v>
      </c>
      <c r="D39" s="101" t="s">
        <v>289</v>
      </c>
      <c r="E39" s="95" t="s">
        <v>659</v>
      </c>
      <c r="F39" s="106"/>
      <c r="G39"/>
      <c r="H39" s="8"/>
      <c r="I39" s="9"/>
      <c r="J39" s="9"/>
      <c r="K39" s="9"/>
      <c r="L39" s="9"/>
      <c r="M39" s="9"/>
      <c r="N39" s="9"/>
      <c r="O39" s="88">
        <f t="shared" si="2"/>
        <v>0</v>
      </c>
      <c r="P39" s="9"/>
      <c r="Q39" s="9"/>
      <c r="R39" s="89" t="str">
        <f t="shared" si="3"/>
        <v/>
      </c>
      <c r="S39" s="89" t="str">
        <f t="shared" si="4"/>
        <v/>
      </c>
      <c r="T39" s="90">
        <f>H39*[0]!FMainPool1Fee+I39*[0]!FMainPool2Fee+J39*[0]!FMainPool3Fee+K39*[0]!FMainPool4Fee+B39*[0]!FMainEntryFee</f>
        <v>0</v>
      </c>
      <c r="U39" s="91"/>
      <c r="V39" s="92" t="s">
        <v>704</v>
      </c>
      <c r="X39" s="96"/>
      <c r="Y39" s="96"/>
      <c r="Z39" s="108"/>
    </row>
    <row r="40" spans="1:26" x14ac:dyDescent="0.2">
      <c r="A40" s="85">
        <f t="shared" si="1"/>
        <v>29</v>
      </c>
      <c r="B40" s="9"/>
      <c r="C40" s="6" t="s">
        <v>487</v>
      </c>
      <c r="D40" s="6" t="s">
        <v>114</v>
      </c>
      <c r="E40" s="7" t="s">
        <v>461</v>
      </c>
      <c r="F40" s="106" t="s">
        <v>540</v>
      </c>
      <c r="G40" t="s">
        <v>541</v>
      </c>
      <c r="H40" s="8"/>
      <c r="I40" s="9"/>
      <c r="J40" s="9"/>
      <c r="K40" s="9"/>
      <c r="L40" s="9"/>
      <c r="M40" s="9"/>
      <c r="N40" s="9"/>
      <c r="O40" s="88">
        <f t="shared" si="2"/>
        <v>0</v>
      </c>
      <c r="P40" s="9"/>
      <c r="Q40" s="9"/>
      <c r="R40" s="89" t="str">
        <f t="shared" si="3"/>
        <v/>
      </c>
      <c r="S40" s="89" t="str">
        <f t="shared" si="4"/>
        <v/>
      </c>
      <c r="T40" s="90">
        <f>H40*[0]!FMainPool1Fee+I40*[0]!FMainPool2Fee+J40*[0]!FMainPool3Fee+K40*[0]!FMainPool4Fee+B40*[0]!FMainEntryFee</f>
        <v>0</v>
      </c>
      <c r="U40" s="91"/>
      <c r="V40" s="92" t="s">
        <v>684</v>
      </c>
      <c r="X40" s="96"/>
      <c r="Y40" s="96"/>
      <c r="Z40" s="108"/>
    </row>
    <row r="41" spans="1:26" x14ac:dyDescent="0.2">
      <c r="A41" s="85">
        <f t="shared" si="1"/>
        <v>30</v>
      </c>
      <c r="B41" s="9"/>
      <c r="C41" s="1" t="s">
        <v>44</v>
      </c>
      <c r="D41" s="1" t="s">
        <v>5</v>
      </c>
      <c r="E41" s="2" t="s">
        <v>176</v>
      </c>
      <c r="F41" s="111" t="s">
        <v>542</v>
      </c>
      <c r="G41" s="94" t="s">
        <v>386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/>
      <c r="Q41" s="9"/>
      <c r="R41" s="89" t="str">
        <f t="shared" si="3"/>
        <v/>
      </c>
      <c r="S41" s="89" t="str">
        <f t="shared" si="4"/>
        <v/>
      </c>
      <c r="T41" s="90">
        <f>H41*[0]!FMainPool1Fee+I41*[0]!FMainPool2Fee+J41*[0]!FMainPool3Fee+K41*[0]!FMainPool4Fee+B41*[0]!FMainEntryFee</f>
        <v>0</v>
      </c>
      <c r="U41" s="91"/>
      <c r="V41" s="92"/>
      <c r="W41" s="98"/>
      <c r="X41" s="96"/>
      <c r="Y41" s="96"/>
    </row>
    <row r="42" spans="1:26" x14ac:dyDescent="0.2">
      <c r="A42" s="85">
        <f t="shared" si="1"/>
        <v>31</v>
      </c>
      <c r="B42" s="9"/>
      <c r="C42" s="1" t="s">
        <v>45</v>
      </c>
      <c r="D42" s="1" t="s">
        <v>5</v>
      </c>
      <c r="E42" s="2" t="s">
        <v>177</v>
      </c>
      <c r="F42" s="111" t="s">
        <v>542</v>
      </c>
      <c r="G42" s="94" t="s">
        <v>386</v>
      </c>
      <c r="H42" s="8"/>
      <c r="I42" s="9"/>
      <c r="J42" s="9"/>
      <c r="K42" s="9"/>
      <c r="L42" s="9"/>
      <c r="M42" s="9"/>
      <c r="N42" s="9"/>
      <c r="O42" s="88">
        <f t="shared" si="2"/>
        <v>0</v>
      </c>
      <c r="P42" s="9"/>
      <c r="Q42" s="9"/>
      <c r="R42" s="89" t="str">
        <f t="shared" si="3"/>
        <v/>
      </c>
      <c r="S42" s="89" t="str">
        <f t="shared" si="4"/>
        <v/>
      </c>
      <c r="T42" s="90">
        <f>H42*[0]!FMainPool1Fee+I42*[0]!FMainPool2Fee+J42*[0]!FMainPool3Fee+K42*[0]!FMainPool4Fee+B42*[0]!FMainEntryFee</f>
        <v>0</v>
      </c>
      <c r="U42" s="91"/>
      <c r="V42" s="106"/>
      <c r="X42" s="96"/>
      <c r="Y42" s="96"/>
    </row>
    <row r="43" spans="1:26" x14ac:dyDescent="0.2">
      <c r="A43" s="85">
        <f t="shared" si="1"/>
        <v>32</v>
      </c>
      <c r="B43" s="9"/>
      <c r="C43" s="1" t="s">
        <v>671</v>
      </c>
      <c r="D43" s="1" t="s">
        <v>41</v>
      </c>
      <c r="E43" s="2" t="s">
        <v>672</v>
      </c>
      <c r="F43" s="111">
        <v>7075994896</v>
      </c>
      <c r="G43" s="109" t="s">
        <v>673</v>
      </c>
      <c r="H43" s="8"/>
      <c r="I43" s="9"/>
      <c r="J43" s="9"/>
      <c r="K43" s="9"/>
      <c r="L43" s="9"/>
      <c r="M43" s="9"/>
      <c r="N43" s="9"/>
      <c r="O43" s="88">
        <f t="shared" si="2"/>
        <v>0</v>
      </c>
      <c r="P43" s="9"/>
      <c r="Q43" s="9"/>
      <c r="R43" s="89" t="str">
        <f t="shared" si="3"/>
        <v/>
      </c>
      <c r="S43" s="89" t="str">
        <f t="shared" si="4"/>
        <v/>
      </c>
      <c r="T43" s="90">
        <f>H43*[0]!FMainPool1Fee+I43*[0]!FMainPool2Fee+J43*[0]!FMainPool3Fee+K43*[0]!FMainPool4Fee+B43*[0]!FMainEntryFee</f>
        <v>0</v>
      </c>
      <c r="U43" s="91"/>
      <c r="V43" s="106"/>
      <c r="X43" s="96"/>
      <c r="Y43" s="96"/>
    </row>
    <row r="44" spans="1:26" x14ac:dyDescent="0.2">
      <c r="A44" s="85">
        <f t="shared" si="1"/>
        <v>33</v>
      </c>
      <c r="B44" s="9"/>
      <c r="C44" s="6" t="s">
        <v>152</v>
      </c>
      <c r="D44" s="6" t="s">
        <v>102</v>
      </c>
      <c r="E44" s="7" t="s">
        <v>195</v>
      </c>
      <c r="F44" s="86"/>
      <c r="G44" s="94" t="s">
        <v>153</v>
      </c>
      <c r="H44" s="8"/>
      <c r="I44" s="9"/>
      <c r="J44" s="9"/>
      <c r="K44" s="9"/>
      <c r="L44" s="9"/>
      <c r="M44" s="9"/>
      <c r="N44" s="9"/>
      <c r="O44" s="88">
        <f t="shared" si="2"/>
        <v>0</v>
      </c>
      <c r="P44" s="9"/>
      <c r="Q44" s="9"/>
      <c r="R44" s="89" t="str">
        <f t="shared" ref="R44:R75" si="5">IF(OR(P44="c",P44="C"),+T44,"")</f>
        <v/>
      </c>
      <c r="S44" s="89" t="str">
        <f t="shared" ref="S44:S75" si="6"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">
      <c r="A45" s="85">
        <f t="shared" si="1"/>
        <v>34</v>
      </c>
      <c r="B45" s="9"/>
      <c r="C45" s="6" t="s">
        <v>126</v>
      </c>
      <c r="D45" s="1" t="s">
        <v>5</v>
      </c>
      <c r="E45" s="7" t="s">
        <v>204</v>
      </c>
      <c r="F45" s="86" t="s">
        <v>543</v>
      </c>
      <c r="G45" s="94" t="s">
        <v>544</v>
      </c>
      <c r="H45" s="8"/>
      <c r="I45" s="9"/>
      <c r="J45" s="9"/>
      <c r="K45" s="9"/>
      <c r="L45" s="9"/>
      <c r="M45" s="9"/>
      <c r="N45" s="9"/>
      <c r="O45" s="88">
        <f t="shared" si="2"/>
        <v>0</v>
      </c>
      <c r="P45" s="9"/>
      <c r="Q45" s="9"/>
      <c r="R45" s="89" t="str">
        <f t="shared" si="5"/>
        <v/>
      </c>
      <c r="S45" s="89" t="str">
        <f t="shared" si="6"/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">
      <c r="A46" s="85">
        <f t="shared" si="1"/>
        <v>35</v>
      </c>
      <c r="B46" s="9"/>
      <c r="C46" s="6" t="s">
        <v>283</v>
      </c>
      <c r="D46" s="6" t="s">
        <v>281</v>
      </c>
      <c r="E46" s="7" t="s">
        <v>284</v>
      </c>
      <c r="F46" s="86"/>
      <c r="G46" s="94" t="s">
        <v>387</v>
      </c>
      <c r="H46" s="8"/>
      <c r="I46" s="9"/>
      <c r="J46" s="9"/>
      <c r="K46" s="9"/>
      <c r="L46" s="9"/>
      <c r="M46" s="9"/>
      <c r="N46" s="9"/>
      <c r="O46" s="88">
        <f t="shared" si="2"/>
        <v>0</v>
      </c>
      <c r="P46" s="9"/>
      <c r="Q46" s="9"/>
      <c r="R46" s="89" t="str">
        <f t="shared" si="5"/>
        <v/>
      </c>
      <c r="S46" s="89" t="str">
        <f t="shared" si="6"/>
        <v/>
      </c>
      <c r="T46" s="90">
        <f>H46*[0]!FMainPool1Fee+I46*[0]!FMainPool2Fee+J46*[0]!FMainPool3Fee+K46*[0]!FMainPool4Fee+B46*[0]!FMainEntryFee</f>
        <v>0</v>
      </c>
      <c r="U46" s="91"/>
      <c r="V46" s="106"/>
      <c r="X46" s="96"/>
      <c r="Y46" s="96"/>
    </row>
    <row r="47" spans="1:26" x14ac:dyDescent="0.2">
      <c r="A47" s="85">
        <f t="shared" si="1"/>
        <v>36</v>
      </c>
      <c r="B47" s="9">
        <v>1</v>
      </c>
      <c r="C47" s="6" t="s">
        <v>737</v>
      </c>
      <c r="D47" s="6" t="s">
        <v>738</v>
      </c>
      <c r="E47" s="7" t="s">
        <v>739</v>
      </c>
      <c r="F47" s="86">
        <v>9255487664</v>
      </c>
      <c r="G47" s="117" t="s">
        <v>740</v>
      </c>
      <c r="H47" s="8"/>
      <c r="I47" s="9"/>
      <c r="J47" s="9"/>
      <c r="K47" s="9"/>
      <c r="L47" s="9"/>
      <c r="M47" s="9"/>
      <c r="N47" s="9"/>
      <c r="O47" s="88">
        <f t="shared" si="2"/>
        <v>0</v>
      </c>
      <c r="P47" s="9" t="s">
        <v>724</v>
      </c>
      <c r="Q47" s="9" t="s">
        <v>684</v>
      </c>
      <c r="R47" s="89" t="str">
        <f t="shared" si="5"/>
        <v/>
      </c>
      <c r="S47" s="89">
        <f t="shared" si="6"/>
        <v>70</v>
      </c>
      <c r="T47" s="90">
        <f>H47*[0]!FMainPool1Fee+I47*[0]!FMainPool2Fee+J47*[0]!FMainPool3Fee+K47*[0]!FMainPool4Fee+B47*[0]!FMainEntryFee</f>
        <v>70</v>
      </c>
      <c r="U47" s="91"/>
      <c r="V47" s="106"/>
      <c r="W47" s="98"/>
      <c r="X47" s="96"/>
      <c r="Y47" s="96"/>
    </row>
    <row r="48" spans="1:26" x14ac:dyDescent="0.2">
      <c r="A48" s="85">
        <f t="shared" si="1"/>
        <v>37</v>
      </c>
      <c r="B48" s="9"/>
      <c r="C48" s="6" t="s">
        <v>700</v>
      </c>
      <c r="D48" s="6" t="s">
        <v>46</v>
      </c>
      <c r="E48" s="7" t="s">
        <v>701</v>
      </c>
      <c r="F48" s="86">
        <v>9254322030</v>
      </c>
      <c r="G48" s="94" t="s">
        <v>496</v>
      </c>
      <c r="H48" s="8"/>
      <c r="I48" s="9"/>
      <c r="J48" s="9"/>
      <c r="K48" s="9"/>
      <c r="L48" s="9"/>
      <c r="M48" s="9"/>
      <c r="N48" s="9"/>
      <c r="O48" s="88">
        <f t="shared" si="2"/>
        <v>0</v>
      </c>
      <c r="P48" s="9"/>
      <c r="Q48" s="9"/>
      <c r="R48" s="89" t="str">
        <f t="shared" si="5"/>
        <v/>
      </c>
      <c r="S48" s="89" t="str">
        <f t="shared" si="6"/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">
      <c r="A49" s="85">
        <f t="shared" si="1"/>
        <v>38</v>
      </c>
      <c r="B49" s="9">
        <v>1</v>
      </c>
      <c r="C49" s="6" t="s">
        <v>743</v>
      </c>
      <c r="D49" s="6" t="s">
        <v>744</v>
      </c>
      <c r="E49" s="7" t="s">
        <v>745</v>
      </c>
      <c r="F49" s="86">
        <v>9257272271</v>
      </c>
      <c r="G49" s="122" t="s">
        <v>746</v>
      </c>
      <c r="H49" s="8">
        <v>1</v>
      </c>
      <c r="I49" s="9"/>
      <c r="J49" s="9"/>
      <c r="K49" s="9"/>
      <c r="L49" s="9"/>
      <c r="M49" s="9"/>
      <c r="N49" s="9"/>
      <c r="O49" s="88">
        <f t="shared" si="2"/>
        <v>0</v>
      </c>
      <c r="P49" s="9" t="s">
        <v>724</v>
      </c>
      <c r="Q49" s="9" t="s">
        <v>704</v>
      </c>
      <c r="R49" s="89" t="str">
        <f t="shared" si="5"/>
        <v/>
      </c>
      <c r="S49" s="89">
        <f t="shared" si="6"/>
        <v>80</v>
      </c>
      <c r="T49" s="90">
        <f>H49*[0]!FMainPool1Fee+I49*[0]!FMainPool2Fee+J49*[0]!FMainPool3Fee+K49*[0]!FMainPool4Fee+B49*[0]!FMainEntryFee</f>
        <v>80</v>
      </c>
      <c r="U49" s="91"/>
      <c r="V49" s="106"/>
      <c r="X49" s="96"/>
      <c r="Y49" s="96"/>
    </row>
    <row r="50" spans="1:25" x14ac:dyDescent="0.2">
      <c r="A50" s="85">
        <f t="shared" si="1"/>
        <v>39</v>
      </c>
      <c r="B50" s="9">
        <v>1</v>
      </c>
      <c r="C50" s="6" t="s">
        <v>764</v>
      </c>
      <c r="D50" s="6" t="s">
        <v>15</v>
      </c>
      <c r="E50" s="7" t="s">
        <v>765</v>
      </c>
      <c r="F50" s="86">
        <v>7078430341</v>
      </c>
      <c r="G50" s="122" t="s">
        <v>766</v>
      </c>
      <c r="H50" s="8">
        <v>1</v>
      </c>
      <c r="I50" s="9"/>
      <c r="J50" s="9"/>
      <c r="K50" s="9"/>
      <c r="L50" s="9"/>
      <c r="M50" s="9"/>
      <c r="N50" s="9"/>
      <c r="O50" s="88">
        <f t="shared" si="2"/>
        <v>0</v>
      </c>
      <c r="P50" s="9" t="s">
        <v>724</v>
      </c>
      <c r="Q50" s="9" t="s">
        <v>684</v>
      </c>
      <c r="R50" s="89" t="str">
        <f t="shared" si="5"/>
        <v/>
      </c>
      <c r="S50" s="89">
        <f t="shared" si="6"/>
        <v>80</v>
      </c>
      <c r="T50" s="90">
        <f>H50*[0]!FMainPool1Fee+I50*[0]!FMainPool2Fee+J50*[0]!FMainPool3Fee+K50*[0]!FMainPool4Fee+B50*[0]!FMainEntryFee</f>
        <v>80</v>
      </c>
      <c r="U50" s="91"/>
      <c r="V50" s="106" t="s">
        <v>684</v>
      </c>
      <c r="X50" s="96"/>
      <c r="Y50" s="96"/>
    </row>
    <row r="51" spans="1:25" x14ac:dyDescent="0.2">
      <c r="A51" s="85">
        <f t="shared" si="1"/>
        <v>40</v>
      </c>
      <c r="B51" s="9" t="s">
        <v>550</v>
      </c>
      <c r="C51" s="6" t="s">
        <v>339</v>
      </c>
      <c r="D51" s="6" t="s">
        <v>340</v>
      </c>
      <c r="E51" s="7" t="s">
        <v>206</v>
      </c>
      <c r="F51" s="86"/>
      <c r="G51" s="94" t="s">
        <v>341</v>
      </c>
      <c r="H51" s="8"/>
      <c r="I51" s="9"/>
      <c r="J51" s="9"/>
      <c r="K51" s="9"/>
      <c r="L51" s="9"/>
      <c r="M51" s="9"/>
      <c r="N51" s="9"/>
      <c r="O51" s="88"/>
      <c r="P51" s="9"/>
      <c r="Q51" s="9"/>
      <c r="R51" s="89" t="str">
        <f t="shared" si="5"/>
        <v/>
      </c>
      <c r="S51" s="89" t="str">
        <f t="shared" si="6"/>
        <v/>
      </c>
      <c r="T51" s="90"/>
      <c r="U51" s="91"/>
      <c r="V51" s="92"/>
      <c r="X51" s="96"/>
      <c r="Y51" s="96"/>
    </row>
    <row r="52" spans="1:25" x14ac:dyDescent="0.2">
      <c r="A52" s="85">
        <f t="shared" si="1"/>
        <v>41</v>
      </c>
      <c r="B52" s="9">
        <v>1</v>
      </c>
      <c r="C52" s="1" t="s">
        <v>11</v>
      </c>
      <c r="D52" s="1" t="s">
        <v>12</v>
      </c>
      <c r="E52" s="2" t="s">
        <v>172</v>
      </c>
      <c r="F52" s="111">
        <v>9253213485</v>
      </c>
      <c r="G52" s="94" t="s">
        <v>98</v>
      </c>
      <c r="H52" s="8">
        <v>1</v>
      </c>
      <c r="I52" s="9">
        <v>1</v>
      </c>
      <c r="J52" s="9">
        <v>1</v>
      </c>
      <c r="K52" s="9">
        <v>1</v>
      </c>
      <c r="L52" s="9">
        <v>1</v>
      </c>
      <c r="M52" s="9"/>
      <c r="N52" s="9"/>
      <c r="O52" s="88">
        <f t="shared" ref="O52:O83" si="7">T52*N52</f>
        <v>0</v>
      </c>
      <c r="P52" s="9" t="s">
        <v>721</v>
      </c>
      <c r="Q52" s="9">
        <v>3536</v>
      </c>
      <c r="R52" s="89">
        <f t="shared" si="5"/>
        <v>160</v>
      </c>
      <c r="S52" s="89" t="str">
        <f t="shared" si="6"/>
        <v/>
      </c>
      <c r="T52" s="90">
        <f>H52*[0]!FMainPool1Fee+I52*[0]!FMainPool2Fee+J52*[0]!FMainPool3Fee+K52*[0]!FMainPool4Fee+B52*[0]!FMainEntryFee</f>
        <v>160</v>
      </c>
      <c r="U52" s="91"/>
      <c r="V52" s="106"/>
      <c r="X52" s="96"/>
      <c r="Y52" s="96"/>
    </row>
    <row r="53" spans="1:25" x14ac:dyDescent="0.2">
      <c r="A53" s="85">
        <f t="shared" si="1"/>
        <v>42</v>
      </c>
      <c r="B53" s="9"/>
      <c r="C53" s="6" t="s">
        <v>275</v>
      </c>
      <c r="D53" s="6" t="s">
        <v>33</v>
      </c>
      <c r="E53" s="7" t="s">
        <v>276</v>
      </c>
      <c r="F53" s="86"/>
      <c r="G53" s="94"/>
      <c r="H53" s="8"/>
      <c r="I53" s="9"/>
      <c r="J53" s="9"/>
      <c r="K53" s="9"/>
      <c r="L53" s="9"/>
      <c r="M53" s="9"/>
      <c r="N53" s="9"/>
      <c r="O53" s="88">
        <f t="shared" si="7"/>
        <v>0</v>
      </c>
      <c r="P53" s="9"/>
      <c r="Q53" s="9"/>
      <c r="R53" s="89" t="str">
        <f t="shared" si="5"/>
        <v/>
      </c>
      <c r="S53" s="89" t="str">
        <f t="shared" si="6"/>
        <v/>
      </c>
      <c r="T53" s="90">
        <f>H53*[0]!FMainPool1Fee+I53*[0]!FMainPool2Fee+J53*[0]!FMainPool3Fee+K53*[0]!FMainPool4Fee+B53*[0]!FMainEntryFee</f>
        <v>0</v>
      </c>
      <c r="U53" s="91"/>
      <c r="V53" s="92"/>
      <c r="X53" s="96"/>
      <c r="Y53" s="96"/>
    </row>
    <row r="54" spans="1:25" x14ac:dyDescent="0.2">
      <c r="A54" s="85">
        <f t="shared" si="1"/>
        <v>43</v>
      </c>
      <c r="B54" s="9"/>
      <c r="C54" s="6" t="s">
        <v>258</v>
      </c>
      <c r="D54" s="6" t="s">
        <v>41</v>
      </c>
      <c r="E54" s="7" t="s">
        <v>259</v>
      </c>
      <c r="F54" s="86"/>
      <c r="G54" s="94"/>
      <c r="H54" s="8"/>
      <c r="I54" s="9"/>
      <c r="J54" s="9"/>
      <c r="K54" s="9"/>
      <c r="L54" s="9"/>
      <c r="M54" s="9"/>
      <c r="N54" s="9"/>
      <c r="O54" s="88">
        <f t="shared" si="7"/>
        <v>0</v>
      </c>
      <c r="P54" s="9"/>
      <c r="Q54" s="9"/>
      <c r="R54" s="89" t="str">
        <f t="shared" si="5"/>
        <v/>
      </c>
      <c r="S54" s="89" t="str">
        <f t="shared" si="6"/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">
      <c r="A55" s="85">
        <f t="shared" si="1"/>
        <v>44</v>
      </c>
      <c r="B55" s="9"/>
      <c r="C55" s="6" t="s">
        <v>256</v>
      </c>
      <c r="D55" s="6" t="s">
        <v>41</v>
      </c>
      <c r="E55" s="7" t="s">
        <v>257</v>
      </c>
      <c r="F55" s="118"/>
      <c r="G55" s="87" t="s">
        <v>260</v>
      </c>
      <c r="H55" s="8"/>
      <c r="I55" s="9"/>
      <c r="J55" s="9"/>
      <c r="K55" s="9"/>
      <c r="L55" s="9"/>
      <c r="M55" s="9"/>
      <c r="N55" s="9"/>
      <c r="O55" s="88">
        <f t="shared" si="7"/>
        <v>0</v>
      </c>
      <c r="P55" s="9"/>
      <c r="Q55" s="9"/>
      <c r="R55" s="89" t="str">
        <f t="shared" si="5"/>
        <v/>
      </c>
      <c r="S55" s="89" t="str">
        <f t="shared" si="6"/>
        <v/>
      </c>
      <c r="T55" s="90">
        <f>H55*[0]!FMainPool1Fee+I55*[0]!FMainPool2Fee+J55*[0]!FMainPool3Fee+K55*[0]!FMainPool4Fee+B55*[0]!FMainEntryFee</f>
        <v>0</v>
      </c>
      <c r="U55" s="91"/>
      <c r="V55" s="95"/>
      <c r="X55" s="96"/>
      <c r="Y55" s="96"/>
    </row>
    <row r="56" spans="1:25" x14ac:dyDescent="0.2">
      <c r="A56" s="85">
        <f t="shared" si="1"/>
        <v>45</v>
      </c>
      <c r="B56" s="9">
        <v>1</v>
      </c>
      <c r="C56" s="1" t="s">
        <v>54</v>
      </c>
      <c r="D56" s="1" t="s">
        <v>15</v>
      </c>
      <c r="E56" s="2" t="s">
        <v>205</v>
      </c>
      <c r="F56" s="111">
        <v>9705539123</v>
      </c>
      <c r="G56" s="94" t="s">
        <v>496</v>
      </c>
      <c r="H56" s="8">
        <v>1</v>
      </c>
      <c r="I56" s="9"/>
      <c r="J56" s="9"/>
      <c r="K56" s="9"/>
      <c r="L56" s="9"/>
      <c r="M56" s="9"/>
      <c r="N56" s="9"/>
      <c r="O56" s="88">
        <f t="shared" si="7"/>
        <v>0</v>
      </c>
      <c r="P56" s="9" t="s">
        <v>721</v>
      </c>
      <c r="Q56" s="9">
        <v>206</v>
      </c>
      <c r="R56" s="89">
        <f t="shared" si="5"/>
        <v>80</v>
      </c>
      <c r="S56" s="89" t="str">
        <f t="shared" si="6"/>
        <v/>
      </c>
      <c r="T56" s="90">
        <f>H56*[0]!FMainPool1Fee+I56*[0]!FMainPool2Fee+J56*[0]!FMainPool3Fee+K56*[0]!FMainPool4Fee+B56*[0]!FMainEntryFee</f>
        <v>80</v>
      </c>
      <c r="U56" s="91"/>
      <c r="V56" s="92"/>
      <c r="X56" s="96"/>
      <c r="Y56" s="96"/>
    </row>
    <row r="57" spans="1:25" x14ac:dyDescent="0.2">
      <c r="A57" s="85">
        <f t="shared" si="1"/>
        <v>46</v>
      </c>
      <c r="B57" s="9"/>
      <c r="C57" s="1" t="s">
        <v>34</v>
      </c>
      <c r="D57" s="1" t="s">
        <v>35</v>
      </c>
      <c r="E57" s="2" t="s">
        <v>185</v>
      </c>
      <c r="F57" s="111"/>
      <c r="G57" s="94" t="s">
        <v>144</v>
      </c>
      <c r="H57" s="8"/>
      <c r="I57" s="9"/>
      <c r="J57" s="9"/>
      <c r="K57" s="9"/>
      <c r="L57" s="9"/>
      <c r="M57" s="9"/>
      <c r="N57" s="9"/>
      <c r="O57" s="88">
        <f t="shared" si="7"/>
        <v>0</v>
      </c>
      <c r="P57" s="9"/>
      <c r="Q57" s="9"/>
      <c r="R57" s="89" t="str">
        <f t="shared" si="5"/>
        <v/>
      </c>
      <c r="S57" s="89" t="str">
        <f t="shared" si="6"/>
        <v/>
      </c>
      <c r="T57" s="90">
        <f>H57*[0]!FMainPool1Fee+I57*[0]!FMainPool2Fee+J57*[0]!FMainPool3Fee+K57*[0]!FMainPool4Fee+B57*[0]!FMainEntryFee</f>
        <v>0</v>
      </c>
      <c r="U57" s="91"/>
      <c r="V57" s="106"/>
      <c r="X57" s="96"/>
      <c r="Y57" s="96"/>
    </row>
    <row r="58" spans="1:25" ht="16" x14ac:dyDescent="0.2">
      <c r="A58" s="85">
        <f t="shared" si="1"/>
        <v>47</v>
      </c>
      <c r="B58" s="9"/>
      <c r="C58" s="1" t="s">
        <v>480</v>
      </c>
      <c r="D58" s="1" t="s">
        <v>470</v>
      </c>
      <c r="E58" s="112" t="s">
        <v>471</v>
      </c>
      <c r="F58" s="106" t="s">
        <v>545</v>
      </c>
      <c r="G58" s="101" t="s">
        <v>546</v>
      </c>
      <c r="H58" s="8"/>
      <c r="I58" s="9"/>
      <c r="J58" s="9"/>
      <c r="K58" s="9"/>
      <c r="L58" s="9"/>
      <c r="M58" s="9"/>
      <c r="N58" s="9"/>
      <c r="O58" s="88">
        <f t="shared" si="7"/>
        <v>0</v>
      </c>
      <c r="P58" s="9"/>
      <c r="Q58" s="9"/>
      <c r="R58" s="89" t="str">
        <f t="shared" si="5"/>
        <v/>
      </c>
      <c r="S58" s="89" t="str">
        <f t="shared" si="6"/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">
      <c r="A59" s="85">
        <f t="shared" si="1"/>
        <v>48</v>
      </c>
      <c r="B59" s="9">
        <v>1</v>
      </c>
      <c r="C59" s="101" t="s">
        <v>596</v>
      </c>
      <c r="D59" s="101" t="s">
        <v>5</v>
      </c>
      <c r="E59" s="95" t="s">
        <v>597</v>
      </c>
      <c r="F59" s="106">
        <v>7079744711</v>
      </c>
      <c r="G59" s="109" t="s">
        <v>598</v>
      </c>
      <c r="H59" s="8"/>
      <c r="I59" s="9"/>
      <c r="J59" s="9"/>
      <c r="K59" s="9"/>
      <c r="L59" s="9"/>
      <c r="M59" s="9"/>
      <c r="N59" s="9"/>
      <c r="O59" s="88">
        <f t="shared" si="7"/>
        <v>0</v>
      </c>
      <c r="P59" s="9" t="s">
        <v>721</v>
      </c>
      <c r="Q59" s="9">
        <v>1094</v>
      </c>
      <c r="R59" s="89">
        <f t="shared" si="5"/>
        <v>70</v>
      </c>
      <c r="S59" s="89" t="str">
        <f t="shared" si="6"/>
        <v/>
      </c>
      <c r="T59" s="90">
        <f>H59*[0]!FMainPool1Fee+I59*[0]!FMainPool2Fee+J59*[0]!FMainPool3Fee+K59*[0]!FMainPool4Fee+B59*[0]!FMainEntryFee</f>
        <v>70</v>
      </c>
      <c r="U59" s="91"/>
      <c r="V59" s="92"/>
      <c r="X59" s="96"/>
      <c r="Y59" s="96"/>
    </row>
    <row r="60" spans="1:25" x14ac:dyDescent="0.2">
      <c r="A60" s="85">
        <f t="shared" si="1"/>
        <v>49</v>
      </c>
      <c r="B60" s="9"/>
      <c r="C60" s="101" t="s">
        <v>681</v>
      </c>
      <c r="D60" s="101" t="s">
        <v>41</v>
      </c>
      <c r="E60" s="95" t="s">
        <v>682</v>
      </c>
      <c r="F60" s="106">
        <v>7075027980</v>
      </c>
      <c r="G60" s="109" t="s">
        <v>693</v>
      </c>
      <c r="H60" s="8"/>
      <c r="I60" s="9"/>
      <c r="J60" s="9"/>
      <c r="K60" s="9"/>
      <c r="L60" s="9"/>
      <c r="M60" s="9"/>
      <c r="N60" s="9"/>
      <c r="O60" s="88">
        <f t="shared" si="7"/>
        <v>0</v>
      </c>
      <c r="P60" s="9"/>
      <c r="Q60" s="9"/>
      <c r="R60" s="89" t="str">
        <f t="shared" si="5"/>
        <v/>
      </c>
      <c r="S60" s="89" t="str">
        <f t="shared" si="6"/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">
      <c r="A61" s="85">
        <f t="shared" si="1"/>
        <v>50</v>
      </c>
      <c r="B61" s="9"/>
      <c r="C61" s="6" t="s">
        <v>309</v>
      </c>
      <c r="D61" s="6" t="s">
        <v>76</v>
      </c>
      <c r="E61" s="7" t="s">
        <v>310</v>
      </c>
      <c r="F61" s="86"/>
      <c r="G61" s="94" t="s">
        <v>330</v>
      </c>
      <c r="H61" s="8"/>
      <c r="I61" s="9"/>
      <c r="J61" s="9"/>
      <c r="K61" s="9"/>
      <c r="L61" s="9"/>
      <c r="M61" s="9"/>
      <c r="N61" s="9"/>
      <c r="O61" s="88">
        <f t="shared" si="7"/>
        <v>0</v>
      </c>
      <c r="P61" s="9"/>
      <c r="Q61" s="9"/>
      <c r="R61" s="89" t="str">
        <f t="shared" si="5"/>
        <v/>
      </c>
      <c r="S61" s="89" t="str">
        <f t="shared" si="6"/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">
      <c r="A62" s="85">
        <f t="shared" si="1"/>
        <v>51</v>
      </c>
      <c r="B62" s="9"/>
      <c r="C62" s="1" t="s">
        <v>66</v>
      </c>
      <c r="D62" s="1" t="s">
        <v>58</v>
      </c>
      <c r="E62" s="2" t="s">
        <v>183</v>
      </c>
      <c r="F62" s="119"/>
      <c r="G62" s="94" t="s">
        <v>145</v>
      </c>
      <c r="H62" s="8"/>
      <c r="I62" s="9"/>
      <c r="J62" s="9"/>
      <c r="K62" s="9"/>
      <c r="L62" s="9"/>
      <c r="M62" s="9"/>
      <c r="N62" s="9"/>
      <c r="O62" s="88">
        <f t="shared" si="7"/>
        <v>0</v>
      </c>
      <c r="P62" s="9"/>
      <c r="Q62" s="9"/>
      <c r="R62" s="89" t="str">
        <f t="shared" si="5"/>
        <v/>
      </c>
      <c r="S62" s="89" t="str">
        <f t="shared" si="6"/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">
      <c r="A63" s="85">
        <f t="shared" si="1"/>
        <v>52</v>
      </c>
      <c r="B63" s="9">
        <v>1</v>
      </c>
      <c r="C63" s="1" t="s">
        <v>8</v>
      </c>
      <c r="D63" s="1" t="s">
        <v>39</v>
      </c>
      <c r="E63" s="2" t="s">
        <v>182</v>
      </c>
      <c r="F63" s="111">
        <v>7073175740</v>
      </c>
      <c r="G63" s="87" t="s">
        <v>547</v>
      </c>
      <c r="H63" s="8">
        <v>1</v>
      </c>
      <c r="I63" s="9">
        <v>1</v>
      </c>
      <c r="J63" s="9"/>
      <c r="K63" s="9"/>
      <c r="L63" s="9"/>
      <c r="M63" s="9"/>
      <c r="N63" s="9"/>
      <c r="O63" s="88">
        <f t="shared" si="7"/>
        <v>0</v>
      </c>
      <c r="P63" s="9" t="s">
        <v>724</v>
      </c>
      <c r="Q63" s="9" t="s">
        <v>553</v>
      </c>
      <c r="R63" s="89" t="str">
        <f t="shared" si="5"/>
        <v/>
      </c>
      <c r="S63" s="89">
        <f t="shared" si="6"/>
        <v>90</v>
      </c>
      <c r="T63" s="90">
        <f>H63*[0]!FMainPool1Fee+I63*[0]!FMainPool2Fee+J63*[0]!FMainPool3Fee+K63*[0]!FMainPool4Fee+B63*[0]!FMainEntryFee</f>
        <v>90</v>
      </c>
      <c r="U63" s="91"/>
      <c r="V63" s="92"/>
      <c r="X63" s="96"/>
      <c r="Y63" s="96"/>
    </row>
    <row r="64" spans="1:25" x14ac:dyDescent="0.2">
      <c r="A64" s="85">
        <f t="shared" si="1"/>
        <v>53</v>
      </c>
      <c r="B64" s="9"/>
      <c r="C64" s="6" t="s">
        <v>277</v>
      </c>
      <c r="D64" s="6" t="s">
        <v>58</v>
      </c>
      <c r="E64" s="7" t="s">
        <v>278</v>
      </c>
      <c r="F64" s="86"/>
      <c r="G64" s="94" t="s">
        <v>388</v>
      </c>
      <c r="H64" s="8"/>
      <c r="I64" s="9"/>
      <c r="J64" s="9"/>
      <c r="K64" s="9"/>
      <c r="L64" s="9"/>
      <c r="M64" s="9"/>
      <c r="N64" s="9"/>
      <c r="O64" s="88">
        <f t="shared" si="7"/>
        <v>0</v>
      </c>
      <c r="P64" s="9"/>
      <c r="Q64" s="9"/>
      <c r="R64" s="89" t="str">
        <f t="shared" si="5"/>
        <v/>
      </c>
      <c r="S64" s="89" t="str">
        <f t="shared" si="6"/>
        <v/>
      </c>
      <c r="T64" s="90">
        <f>H64*[0]!FMainPool1Fee+I64*[0]!FMainPool2Fee+J64*[0]!FMainPool3Fee+K64*[0]!FMainPool4Fee+B64*[0]!FMainEntryFee</f>
        <v>0</v>
      </c>
      <c r="U64" s="91"/>
      <c r="V64" s="92"/>
      <c r="X64" s="96"/>
      <c r="Y64" s="96"/>
    </row>
    <row r="65" spans="1:25" x14ac:dyDescent="0.2">
      <c r="A65" s="85">
        <f t="shared" si="1"/>
        <v>54</v>
      </c>
      <c r="B65" s="9">
        <v>1</v>
      </c>
      <c r="C65" s="101" t="s">
        <v>599</v>
      </c>
      <c r="D65" s="101" t="s">
        <v>304</v>
      </c>
      <c r="E65" s="95" t="s">
        <v>600</v>
      </c>
      <c r="F65" s="120">
        <v>2793335535</v>
      </c>
      <c r="G65" s="101"/>
      <c r="H65" s="8">
        <v>1</v>
      </c>
      <c r="I65" s="9">
        <v>1</v>
      </c>
      <c r="J65" s="9">
        <v>1</v>
      </c>
      <c r="K65" s="9"/>
      <c r="L65" s="9"/>
      <c r="M65" s="9"/>
      <c r="N65" s="9"/>
      <c r="O65" s="88">
        <f t="shared" si="7"/>
        <v>0</v>
      </c>
      <c r="P65" s="9" t="s">
        <v>721</v>
      </c>
      <c r="Q65" s="9">
        <v>1360</v>
      </c>
      <c r="R65" s="89">
        <f t="shared" si="5"/>
        <v>110</v>
      </c>
      <c r="S65" s="89" t="str">
        <f t="shared" si="6"/>
        <v/>
      </c>
      <c r="T65" s="90">
        <f>H65*[0]!FMainPool1Fee+I65*[0]!FMainPool2Fee+J65*[0]!FMainPool3Fee+K65*[0]!FMainPool4Fee+B65*[0]!FMainEntryFee</f>
        <v>110</v>
      </c>
      <c r="U65" s="91"/>
      <c r="V65" s="92"/>
      <c r="W65" s="98"/>
      <c r="X65" s="96"/>
      <c r="Y65" s="96"/>
    </row>
    <row r="66" spans="1:25" x14ac:dyDescent="0.2">
      <c r="A66" s="85">
        <f t="shared" si="1"/>
        <v>55</v>
      </c>
      <c r="B66" s="9"/>
      <c r="C66" s="1" t="s">
        <v>73</v>
      </c>
      <c r="D66" s="1" t="s">
        <v>74</v>
      </c>
      <c r="E66" s="2" t="s">
        <v>197</v>
      </c>
      <c r="F66" s="119"/>
      <c r="G66" s="94" t="s">
        <v>156</v>
      </c>
      <c r="H66" s="8"/>
      <c r="I66" s="9"/>
      <c r="J66" s="9"/>
      <c r="K66" s="9"/>
      <c r="L66" s="9"/>
      <c r="M66" s="9"/>
      <c r="N66" s="9"/>
      <c r="O66" s="88">
        <f t="shared" si="7"/>
        <v>0</v>
      </c>
      <c r="P66" s="9"/>
      <c r="Q66" s="9"/>
      <c r="R66" s="89" t="str">
        <f t="shared" si="5"/>
        <v/>
      </c>
      <c r="S66" s="89" t="str">
        <f t="shared" si="6"/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">
      <c r="A67" s="85">
        <f t="shared" si="1"/>
        <v>56</v>
      </c>
      <c r="B67" s="9"/>
      <c r="C67" s="6" t="s">
        <v>306</v>
      </c>
      <c r="D67" s="6" t="s">
        <v>307</v>
      </c>
      <c r="E67" s="7" t="s">
        <v>308</v>
      </c>
      <c r="F67" s="86"/>
      <c r="G67" s="94" t="s">
        <v>418</v>
      </c>
      <c r="H67" s="8"/>
      <c r="I67" s="9"/>
      <c r="J67" s="9"/>
      <c r="K67" s="9"/>
      <c r="L67" s="9"/>
      <c r="M67" s="9"/>
      <c r="N67" s="9"/>
      <c r="O67" s="88">
        <f t="shared" si="7"/>
        <v>0</v>
      </c>
      <c r="P67" s="9"/>
      <c r="Q67" s="9"/>
      <c r="R67" s="89" t="str">
        <f t="shared" si="5"/>
        <v/>
      </c>
      <c r="S67" s="89" t="str">
        <f t="shared" si="6"/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">
      <c r="A68" s="85">
        <f t="shared" si="1"/>
        <v>57</v>
      </c>
      <c r="B68" s="9"/>
      <c r="C68" s="1" t="s">
        <v>55</v>
      </c>
      <c r="D68" s="1" t="s">
        <v>56</v>
      </c>
      <c r="E68" s="2" t="s">
        <v>229</v>
      </c>
      <c r="F68" s="111"/>
      <c r="G68" s="94" t="s">
        <v>389</v>
      </c>
      <c r="H68" s="8"/>
      <c r="I68" s="9"/>
      <c r="J68" s="9"/>
      <c r="K68" s="9"/>
      <c r="L68" s="9"/>
      <c r="M68" s="9"/>
      <c r="N68" s="9"/>
      <c r="O68" s="88">
        <f t="shared" si="7"/>
        <v>0</v>
      </c>
      <c r="P68" s="9"/>
      <c r="Q68" s="9"/>
      <c r="R68" s="89" t="str">
        <f t="shared" si="5"/>
        <v/>
      </c>
      <c r="S68" s="89" t="str">
        <f t="shared" si="6"/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">
      <c r="A69" s="85">
        <f t="shared" si="1"/>
        <v>58</v>
      </c>
      <c r="B69" s="9"/>
      <c r="C69" s="6" t="s">
        <v>115</v>
      </c>
      <c r="D69" s="6" t="s">
        <v>72</v>
      </c>
      <c r="E69" s="7" t="s">
        <v>207</v>
      </c>
      <c r="F69" s="86">
        <v>9165213208</v>
      </c>
      <c r="G69" s="94" t="s">
        <v>364</v>
      </c>
      <c r="H69" s="8"/>
      <c r="I69" s="9"/>
      <c r="J69" s="9"/>
      <c r="K69" s="9"/>
      <c r="L69" s="9"/>
      <c r="M69" s="9"/>
      <c r="N69" s="9"/>
      <c r="O69" s="88">
        <f t="shared" si="7"/>
        <v>0</v>
      </c>
      <c r="P69" s="9"/>
      <c r="Q69" s="9"/>
      <c r="R69" s="89" t="str">
        <f t="shared" si="5"/>
        <v/>
      </c>
      <c r="S69" s="89" t="str">
        <f t="shared" si="6"/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">
      <c r="A70" s="85">
        <f t="shared" si="1"/>
        <v>59</v>
      </c>
      <c r="B70" s="9"/>
      <c r="C70" s="6" t="s">
        <v>160</v>
      </c>
      <c r="D70" s="6" t="s">
        <v>162</v>
      </c>
      <c r="E70" s="71" t="s">
        <v>161</v>
      </c>
      <c r="F70" s="86"/>
      <c r="G70" s="94" t="s">
        <v>163</v>
      </c>
      <c r="H70" s="8"/>
      <c r="I70" s="9"/>
      <c r="J70" s="9"/>
      <c r="K70" s="9"/>
      <c r="L70" s="9"/>
      <c r="M70" s="9"/>
      <c r="N70" s="9"/>
      <c r="O70" s="88">
        <f t="shared" si="7"/>
        <v>0</v>
      </c>
      <c r="P70" s="9"/>
      <c r="Q70" s="9"/>
      <c r="R70" s="89" t="str">
        <f t="shared" si="5"/>
        <v/>
      </c>
      <c r="S70" s="89" t="str">
        <f t="shared" si="6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">
      <c r="A71" s="85">
        <f t="shared" si="1"/>
        <v>60</v>
      </c>
      <c r="B71" s="9"/>
      <c r="C71" s="1" t="s">
        <v>60</v>
      </c>
      <c r="D71" s="1" t="s">
        <v>15</v>
      </c>
      <c r="E71" s="2" t="s">
        <v>208</v>
      </c>
      <c r="F71" s="106" t="s">
        <v>548</v>
      </c>
      <c r="G71" s="94" t="s">
        <v>317</v>
      </c>
      <c r="H71" s="8"/>
      <c r="I71" s="9"/>
      <c r="J71" s="9"/>
      <c r="K71" s="9"/>
      <c r="L71" s="9"/>
      <c r="M71" s="9"/>
      <c r="N71" s="9"/>
      <c r="O71" s="88">
        <f t="shared" si="7"/>
        <v>0</v>
      </c>
      <c r="P71" s="9"/>
      <c r="Q71" s="9"/>
      <c r="R71" s="89" t="str">
        <f t="shared" si="5"/>
        <v/>
      </c>
      <c r="S71" s="89" t="str">
        <f t="shared" si="6"/>
        <v/>
      </c>
      <c r="T71" s="90">
        <f>H71*[0]!FMainPool1Fee+I71*[0]!FMainPool2Fee+J71*[0]!FMainPool3Fee+K71*[0]!FMainPool4Fee+B71*[0]!FMainEntryFee</f>
        <v>0</v>
      </c>
      <c r="U71" s="91"/>
      <c r="V71" s="106"/>
      <c r="W71" s="98"/>
      <c r="X71" s="96"/>
      <c r="Y71" s="96"/>
    </row>
    <row r="72" spans="1:25" x14ac:dyDescent="0.2">
      <c r="A72" s="85">
        <f t="shared" si="1"/>
        <v>61</v>
      </c>
      <c r="B72" s="9"/>
      <c r="C72" s="1" t="s">
        <v>59</v>
      </c>
      <c r="D72" s="1" t="s">
        <v>14</v>
      </c>
      <c r="E72" s="2" t="s">
        <v>170</v>
      </c>
      <c r="F72" s="106" t="s">
        <v>549</v>
      </c>
      <c r="G72" s="94" t="s">
        <v>129</v>
      </c>
      <c r="H72" s="8"/>
      <c r="I72" s="9"/>
      <c r="J72" s="9"/>
      <c r="K72" s="9"/>
      <c r="L72" s="9"/>
      <c r="M72" s="9"/>
      <c r="N72" s="9"/>
      <c r="O72" s="88">
        <f t="shared" si="7"/>
        <v>0</v>
      </c>
      <c r="P72" s="9"/>
      <c r="Q72" s="9"/>
      <c r="R72" s="89" t="str">
        <f t="shared" si="5"/>
        <v/>
      </c>
      <c r="S72" s="89" t="str">
        <f t="shared" si="6"/>
        <v/>
      </c>
      <c r="T72" s="90">
        <f>H72*[0]!FMainPool1Fee+I72*[0]!FMainPool2Fee+J72*[0]!FMainPool3Fee+K72*[0]!FMainPool4Fee+B72*[0]!FMainEntryFee</f>
        <v>0</v>
      </c>
      <c r="U72" s="91"/>
      <c r="V72" s="106"/>
      <c r="W72" s="98"/>
      <c r="X72" s="96"/>
      <c r="Y72" s="96"/>
    </row>
    <row r="73" spans="1:25" x14ac:dyDescent="0.2">
      <c r="A73" s="85">
        <f t="shared" si="1"/>
        <v>62</v>
      </c>
      <c r="B73" s="9"/>
      <c r="C73" s="6" t="s">
        <v>414</v>
      </c>
      <c r="D73" s="6" t="s">
        <v>281</v>
      </c>
      <c r="E73" s="7" t="s">
        <v>282</v>
      </c>
      <c r="F73" s="86"/>
      <c r="G73" s="94" t="s">
        <v>392</v>
      </c>
      <c r="H73" s="8"/>
      <c r="I73" s="9"/>
      <c r="J73" s="9"/>
      <c r="K73" s="9"/>
      <c r="L73" s="9"/>
      <c r="M73" s="9"/>
      <c r="N73" s="9"/>
      <c r="O73" s="88">
        <f t="shared" si="7"/>
        <v>0</v>
      </c>
      <c r="P73" s="9"/>
      <c r="Q73" s="9"/>
      <c r="R73" s="89" t="str">
        <f t="shared" si="5"/>
        <v/>
      </c>
      <c r="S73" s="89" t="str">
        <f t="shared" si="6"/>
        <v/>
      </c>
      <c r="T73" s="90">
        <f>H73*[0]!FMainPool1Fee+I73*[0]!FMainPool2Fee+J73*[0]!FMainPool3Fee+K73*[0]!FMainPool4Fee+B73*[0]!FMainEntryFee</f>
        <v>0</v>
      </c>
      <c r="U73" s="91"/>
      <c r="V73" s="106"/>
      <c r="X73" s="96"/>
      <c r="Y73" s="96"/>
    </row>
    <row r="74" spans="1:25" x14ac:dyDescent="0.2">
      <c r="A74" s="85">
        <f t="shared" si="1"/>
        <v>63</v>
      </c>
      <c r="B74" s="9"/>
      <c r="C74" s="6" t="s">
        <v>244</v>
      </c>
      <c r="D74" s="6" t="s">
        <v>245</v>
      </c>
      <c r="E74" s="7" t="s">
        <v>246</v>
      </c>
      <c r="F74" s="86"/>
      <c r="G74" s="94"/>
      <c r="H74" s="8"/>
      <c r="I74" s="9"/>
      <c r="J74" s="9"/>
      <c r="K74" s="9"/>
      <c r="L74" s="9"/>
      <c r="M74" s="9"/>
      <c r="N74" s="9"/>
      <c r="O74" s="88">
        <f t="shared" si="7"/>
        <v>0</v>
      </c>
      <c r="P74" s="9"/>
      <c r="Q74" s="9"/>
      <c r="R74" s="89" t="str">
        <f t="shared" si="5"/>
        <v/>
      </c>
      <c r="S74" s="89" t="str">
        <f t="shared" si="6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">
      <c r="A75" s="85">
        <f t="shared" si="1"/>
        <v>64</v>
      </c>
      <c r="B75" s="9"/>
      <c r="C75" s="6" t="s">
        <v>143</v>
      </c>
      <c r="D75" s="6" t="s">
        <v>15</v>
      </c>
      <c r="E75" s="7" t="s">
        <v>165</v>
      </c>
      <c r="F75" s="86">
        <v>7078499317</v>
      </c>
      <c r="G75" s="94" t="s">
        <v>150</v>
      </c>
      <c r="H75" s="8"/>
      <c r="I75" s="9"/>
      <c r="J75" s="9"/>
      <c r="K75" s="9"/>
      <c r="L75" s="9"/>
      <c r="M75" s="9"/>
      <c r="N75" s="9"/>
      <c r="O75" s="88">
        <f t="shared" si="7"/>
        <v>0</v>
      </c>
      <c r="P75" s="9"/>
      <c r="Q75" s="9"/>
      <c r="R75" s="89" t="str">
        <f t="shared" si="5"/>
        <v/>
      </c>
      <c r="S75" s="89" t="str">
        <f t="shared" si="6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">
      <c r="A76" s="85">
        <f t="shared" si="1"/>
        <v>65</v>
      </c>
      <c r="B76" s="9"/>
      <c r="C76" s="6" t="s">
        <v>234</v>
      </c>
      <c r="D76" s="6" t="s">
        <v>235</v>
      </c>
      <c r="E76" s="7" t="s">
        <v>236</v>
      </c>
      <c r="F76" s="86"/>
      <c r="G76" s="94" t="s">
        <v>237</v>
      </c>
      <c r="H76" s="8"/>
      <c r="I76" s="9"/>
      <c r="J76" s="9"/>
      <c r="K76" s="9"/>
      <c r="L76" s="9"/>
      <c r="M76" s="9"/>
      <c r="N76" s="9"/>
      <c r="O76" s="88">
        <f t="shared" si="7"/>
        <v>0</v>
      </c>
      <c r="P76" s="9"/>
      <c r="Q76" s="9"/>
      <c r="R76" s="89" t="str">
        <f t="shared" ref="R76:R107" si="8">IF(OR(P76="c",P76="C"),+T76,"")</f>
        <v/>
      </c>
      <c r="S76" s="89" t="str">
        <f t="shared" ref="S76:S107" si="9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">
      <c r="A77" s="85">
        <f t="shared" si="1"/>
        <v>66</v>
      </c>
      <c r="B77" s="9"/>
      <c r="C77" s="6" t="s">
        <v>434</v>
      </c>
      <c r="D77" s="6" t="s">
        <v>15</v>
      </c>
      <c r="E77" s="7" t="s">
        <v>462</v>
      </c>
      <c r="F77" s="118">
        <v>7073225806</v>
      </c>
      <c r="G77" s="87" t="s">
        <v>497</v>
      </c>
      <c r="H77" s="8"/>
      <c r="I77" s="9"/>
      <c r="J77" s="9"/>
      <c r="K77" s="9"/>
      <c r="L77" s="9"/>
      <c r="M77" s="9"/>
      <c r="N77" s="9"/>
      <c r="O77" s="88">
        <f t="shared" si="7"/>
        <v>0</v>
      </c>
      <c r="P77" s="9"/>
      <c r="Q77" s="9"/>
      <c r="R77" s="89" t="str">
        <f t="shared" si="8"/>
        <v/>
      </c>
      <c r="S77" s="89" t="str">
        <f t="shared" si="9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">
      <c r="A78" s="85">
        <f t="shared" si="1"/>
        <v>67</v>
      </c>
      <c r="B78" s="9"/>
      <c r="C78" s="6" t="s">
        <v>708</v>
      </c>
      <c r="D78" s="6" t="s">
        <v>19</v>
      </c>
      <c r="E78" s="7" t="s">
        <v>709</v>
      </c>
      <c r="F78" s="86">
        <v>9258406622</v>
      </c>
      <c r="G78" s="87" t="s">
        <v>710</v>
      </c>
      <c r="H78" s="8"/>
      <c r="I78" s="9"/>
      <c r="J78" s="9"/>
      <c r="K78" s="9"/>
      <c r="L78" s="9"/>
      <c r="M78" s="9"/>
      <c r="N78" s="9"/>
      <c r="O78" s="88">
        <f t="shared" si="7"/>
        <v>0</v>
      </c>
      <c r="P78" s="9"/>
      <c r="Q78" s="9"/>
      <c r="R78" s="89" t="str">
        <f t="shared" si="8"/>
        <v/>
      </c>
      <c r="S78" s="89" t="str">
        <f t="shared" si="9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">
      <c r="A79" s="85">
        <f t="shared" si="1"/>
        <v>68</v>
      </c>
      <c r="B79" s="9"/>
      <c r="C79" s="6" t="s">
        <v>419</v>
      </c>
      <c r="D79" s="6" t="s">
        <v>140</v>
      </c>
      <c r="E79" s="7" t="s">
        <v>420</v>
      </c>
      <c r="F79" s="86"/>
      <c r="G79" s="94" t="s">
        <v>421</v>
      </c>
      <c r="H79" s="8"/>
      <c r="I79" s="9"/>
      <c r="J79" s="9"/>
      <c r="K79" s="9"/>
      <c r="L79" s="9"/>
      <c r="M79" s="9"/>
      <c r="N79" s="9"/>
      <c r="O79" s="88">
        <f t="shared" si="7"/>
        <v>0</v>
      </c>
      <c r="P79" s="9"/>
      <c r="Q79" s="9"/>
      <c r="R79" s="89" t="str">
        <f t="shared" si="8"/>
        <v/>
      </c>
      <c r="S79" s="89" t="str">
        <f t="shared" si="9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">
      <c r="A80" s="85">
        <v>63</v>
      </c>
      <c r="B80" s="9"/>
      <c r="C80" s="101" t="s">
        <v>660</v>
      </c>
      <c r="D80" s="101" t="s">
        <v>5</v>
      </c>
      <c r="E80" s="95" t="s">
        <v>661</v>
      </c>
      <c r="F80" s="106"/>
      <c r="G80" s="101"/>
      <c r="H80" s="8"/>
      <c r="I80" s="9"/>
      <c r="J80" s="9"/>
      <c r="K80" s="9"/>
      <c r="L80" s="9"/>
      <c r="M80" s="9"/>
      <c r="N80" s="9"/>
      <c r="O80" s="88">
        <f t="shared" si="7"/>
        <v>0</v>
      </c>
      <c r="P80" s="9"/>
      <c r="Q80" s="9"/>
      <c r="R80" s="89" t="str">
        <f t="shared" si="8"/>
        <v/>
      </c>
      <c r="S80" s="89" t="str">
        <f t="shared" si="9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">
      <c r="A81" s="85">
        <v>64</v>
      </c>
      <c r="B81" s="9"/>
      <c r="C81" s="6" t="s">
        <v>429</v>
      </c>
      <c r="D81" s="6" t="s">
        <v>58</v>
      </c>
      <c r="E81" s="7" t="s">
        <v>430</v>
      </c>
      <c r="F81" s="86"/>
      <c r="G81" s="94"/>
      <c r="H81" s="8"/>
      <c r="I81" s="9"/>
      <c r="J81" s="9"/>
      <c r="K81" s="9"/>
      <c r="L81" s="9"/>
      <c r="M81" s="9"/>
      <c r="N81" s="9"/>
      <c r="O81" s="88">
        <f t="shared" si="7"/>
        <v>0</v>
      </c>
      <c r="P81" s="9"/>
      <c r="Q81" s="9"/>
      <c r="R81" s="89" t="str">
        <f t="shared" si="8"/>
        <v/>
      </c>
      <c r="S81" s="89" t="str">
        <f t="shared" si="9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">
      <c r="A82" s="85">
        <f t="shared" si="1"/>
        <v>71</v>
      </c>
      <c r="B82" s="9"/>
      <c r="C82" s="6" t="s">
        <v>435</v>
      </c>
      <c r="D82" s="6" t="s">
        <v>489</v>
      </c>
      <c r="E82" s="7" t="s">
        <v>490</v>
      </c>
      <c r="F82" s="86">
        <v>4152058885</v>
      </c>
      <c r="G82" s="87" t="s">
        <v>499</v>
      </c>
      <c r="H82" s="8"/>
      <c r="I82" s="9"/>
      <c r="J82" s="9"/>
      <c r="K82" s="9"/>
      <c r="L82" s="9"/>
      <c r="M82" s="9"/>
      <c r="N82" s="9"/>
      <c r="O82" s="88">
        <f t="shared" si="7"/>
        <v>0</v>
      </c>
      <c r="P82" s="9"/>
      <c r="Q82" s="9"/>
      <c r="R82" s="89" t="str">
        <f t="shared" si="8"/>
        <v/>
      </c>
      <c r="S82" s="89" t="str">
        <f t="shared" si="9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">
      <c r="A83" s="85">
        <f t="shared" si="1"/>
        <v>72</v>
      </c>
      <c r="B83" s="9"/>
      <c r="C83" s="6" t="s">
        <v>436</v>
      </c>
      <c r="D83" s="6" t="s">
        <v>479</v>
      </c>
      <c r="E83" s="7" t="s">
        <v>463</v>
      </c>
      <c r="F83" s="86">
        <v>4152052574</v>
      </c>
      <c r="G83" s="87" t="s">
        <v>500</v>
      </c>
      <c r="H83" s="8"/>
      <c r="I83" s="9"/>
      <c r="J83" s="9"/>
      <c r="K83" s="9"/>
      <c r="L83" s="9"/>
      <c r="M83" s="9"/>
      <c r="N83" s="9"/>
      <c r="O83" s="88">
        <f t="shared" si="7"/>
        <v>0</v>
      </c>
      <c r="P83" s="9"/>
      <c r="Q83" s="9"/>
      <c r="R83" s="89" t="str">
        <f t="shared" si="8"/>
        <v/>
      </c>
      <c r="S83" s="89" t="str">
        <f t="shared" si="9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">
      <c r="A84" s="85">
        <f t="shared" si="1"/>
        <v>73</v>
      </c>
      <c r="B84" s="9"/>
      <c r="C84" s="101" t="s">
        <v>601</v>
      </c>
      <c r="D84" s="101" t="s">
        <v>5</v>
      </c>
      <c r="E84" s="95" t="s">
        <v>602</v>
      </c>
      <c r="F84" s="106"/>
      <c r="G84" s="101"/>
      <c r="H84" s="8"/>
      <c r="I84" s="9"/>
      <c r="J84" s="9"/>
      <c r="K84" s="9"/>
      <c r="L84" s="9"/>
      <c r="M84" s="9"/>
      <c r="N84" s="9"/>
      <c r="O84" s="88">
        <f t="shared" ref="O84:O115" si="10">T84*N84</f>
        <v>0</v>
      </c>
      <c r="P84" s="9"/>
      <c r="Q84" s="9"/>
      <c r="R84" s="89" t="str">
        <f t="shared" si="8"/>
        <v/>
      </c>
      <c r="S84" s="89" t="str">
        <f t="shared" si="9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">
      <c r="A85" s="85">
        <f t="shared" ref="A85:A147" si="11">ROW() - ROW(FRegentiresEneteredHdr)</f>
        <v>74</v>
      </c>
      <c r="B85" s="9"/>
      <c r="C85" s="6" t="s">
        <v>437</v>
      </c>
      <c r="D85" s="6" t="s">
        <v>479</v>
      </c>
      <c r="E85" s="95" t="s">
        <v>491</v>
      </c>
      <c r="F85" s="86"/>
      <c r="G85" s="94"/>
      <c r="H85" s="8"/>
      <c r="I85" s="9"/>
      <c r="J85" s="9"/>
      <c r="K85" s="9"/>
      <c r="L85" s="9"/>
      <c r="M85" s="9"/>
      <c r="N85" s="9"/>
      <c r="O85" s="88">
        <f t="shared" si="10"/>
        <v>0</v>
      </c>
      <c r="P85" s="9"/>
      <c r="Q85" s="9"/>
      <c r="R85" s="89" t="str">
        <f t="shared" si="8"/>
        <v/>
      </c>
      <c r="S85" s="89" t="str">
        <f t="shared" si="9"/>
        <v/>
      </c>
      <c r="T85" s="90">
        <f>H85*[0]!FMainPool1Fee+I85*[0]!FMainPool2Fee+J85*[0]!FMainPool3Fee+K85*[0]!FMainPool4Fee+B85*[0]!FMainEntryFee</f>
        <v>0</v>
      </c>
      <c r="U85" s="91"/>
      <c r="V85" s="106"/>
      <c r="X85" s="96"/>
      <c r="Y85" s="96"/>
    </row>
    <row r="86" spans="1:25" x14ac:dyDescent="0.2">
      <c r="A86" s="85">
        <f t="shared" si="11"/>
        <v>75</v>
      </c>
      <c r="B86" s="9">
        <v>1</v>
      </c>
      <c r="C86" s="6" t="s">
        <v>104</v>
      </c>
      <c r="D86" s="1" t="s">
        <v>5</v>
      </c>
      <c r="E86" s="7" t="s">
        <v>209</v>
      </c>
      <c r="F86" s="86" t="s">
        <v>501</v>
      </c>
      <c r="G86" s="94" t="s">
        <v>365</v>
      </c>
      <c r="H86" s="8">
        <v>1</v>
      </c>
      <c r="I86" s="9">
        <v>1</v>
      </c>
      <c r="J86" s="9">
        <v>1</v>
      </c>
      <c r="K86" s="9">
        <v>1</v>
      </c>
      <c r="L86" s="9">
        <v>1</v>
      </c>
      <c r="M86" s="9"/>
      <c r="N86" s="9"/>
      <c r="O86" s="88">
        <f t="shared" si="10"/>
        <v>0</v>
      </c>
      <c r="P86" s="9" t="s">
        <v>724</v>
      </c>
      <c r="Q86" s="9"/>
      <c r="R86" s="89" t="str">
        <f t="shared" si="8"/>
        <v/>
      </c>
      <c r="S86" s="89">
        <f t="shared" si="9"/>
        <v>160</v>
      </c>
      <c r="T86" s="90">
        <f>H86*[0]!FMainPool1Fee+I86*[0]!FMainPool2Fee+J86*[0]!FMainPool3Fee+K86*[0]!FMainPool4Fee+B86*[0]!FMainEntryFee</f>
        <v>160</v>
      </c>
      <c r="U86" s="91"/>
      <c r="V86" s="92" t="s">
        <v>704</v>
      </c>
      <c r="X86" s="96"/>
      <c r="Y86" s="96"/>
    </row>
    <row r="87" spans="1:25" x14ac:dyDescent="0.2">
      <c r="A87" s="85">
        <f t="shared" si="11"/>
        <v>76</v>
      </c>
      <c r="B87" s="9">
        <v>1</v>
      </c>
      <c r="C87" s="101" t="s">
        <v>603</v>
      </c>
      <c r="D87" s="101" t="s">
        <v>469</v>
      </c>
      <c r="E87" s="95" t="s">
        <v>604</v>
      </c>
      <c r="F87" s="106">
        <v>5103043540</v>
      </c>
      <c r="G87" s="109" t="s">
        <v>705</v>
      </c>
      <c r="H87" s="8">
        <v>1</v>
      </c>
      <c r="I87" s="9"/>
      <c r="J87" s="9"/>
      <c r="K87" s="9"/>
      <c r="L87" s="9"/>
      <c r="M87" s="9"/>
      <c r="N87" s="9"/>
      <c r="O87" s="88">
        <f t="shared" si="10"/>
        <v>0</v>
      </c>
      <c r="P87" s="9" t="s">
        <v>724</v>
      </c>
      <c r="Q87" s="9" t="s">
        <v>684</v>
      </c>
      <c r="R87" s="89" t="str">
        <f t="shared" si="8"/>
        <v/>
      </c>
      <c r="S87" s="89">
        <f t="shared" si="9"/>
        <v>80</v>
      </c>
      <c r="T87" s="90">
        <f>H87*[0]!FMainPool1Fee+I87*[0]!FMainPool2Fee+J87*[0]!FMainPool3Fee+K87*[0]!FMainPool4Fee+B87*[0]!FMainEntryFee</f>
        <v>80</v>
      </c>
      <c r="U87" s="91"/>
      <c r="V87" s="92"/>
      <c r="X87" s="96"/>
      <c r="Y87" s="96"/>
    </row>
    <row r="88" spans="1:25" x14ac:dyDescent="0.2">
      <c r="A88" s="85">
        <f t="shared" si="11"/>
        <v>77</v>
      </c>
      <c r="B88" s="9"/>
      <c r="C88" s="101" t="s">
        <v>686</v>
      </c>
      <c r="D88" s="101" t="s">
        <v>687</v>
      </c>
      <c r="E88" s="95" t="s">
        <v>688</v>
      </c>
      <c r="F88" s="120">
        <v>5309277047</v>
      </c>
      <c r="G88" s="109" t="s">
        <v>692</v>
      </c>
      <c r="H88" s="8"/>
      <c r="I88" s="9"/>
      <c r="J88" s="9"/>
      <c r="K88" s="9"/>
      <c r="L88" s="9"/>
      <c r="M88" s="9"/>
      <c r="N88" s="9"/>
      <c r="O88" s="88">
        <f t="shared" si="10"/>
        <v>0</v>
      </c>
      <c r="P88" s="9"/>
      <c r="Q88" s="9"/>
      <c r="R88" s="89" t="str">
        <f t="shared" si="8"/>
        <v/>
      </c>
      <c r="S88" s="89" t="str">
        <f t="shared" si="9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">
      <c r="A89" s="85">
        <f t="shared" si="11"/>
        <v>78</v>
      </c>
      <c r="B89" s="9"/>
      <c r="C89" s="101" t="s">
        <v>689</v>
      </c>
      <c r="D89" s="101" t="s">
        <v>687</v>
      </c>
      <c r="E89" s="95" t="s">
        <v>690</v>
      </c>
      <c r="F89" s="106">
        <v>5309277048</v>
      </c>
      <c r="G89" s="109" t="s">
        <v>691</v>
      </c>
      <c r="H89" s="8"/>
      <c r="I89" s="9"/>
      <c r="J89" s="9"/>
      <c r="K89" s="9"/>
      <c r="L89" s="9"/>
      <c r="M89" s="9"/>
      <c r="N89" s="9"/>
      <c r="O89" s="88">
        <f t="shared" si="10"/>
        <v>0</v>
      </c>
      <c r="P89" s="9"/>
      <c r="Q89" s="9"/>
      <c r="R89" s="89" t="str">
        <f t="shared" si="8"/>
        <v/>
      </c>
      <c r="S89" s="89" t="str">
        <f t="shared" si="9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">
      <c r="A90" s="85">
        <f t="shared" si="11"/>
        <v>79</v>
      </c>
      <c r="B90" s="9"/>
      <c r="C90" s="6" t="s">
        <v>137</v>
      </c>
      <c r="D90" s="6" t="s">
        <v>138</v>
      </c>
      <c r="E90" s="7" t="s">
        <v>231</v>
      </c>
      <c r="F90" s="86"/>
      <c r="G90" s="94" t="s">
        <v>366</v>
      </c>
      <c r="H90" s="8"/>
      <c r="I90" s="9"/>
      <c r="J90" s="9"/>
      <c r="K90" s="9"/>
      <c r="L90" s="9"/>
      <c r="M90" s="9"/>
      <c r="N90" s="9"/>
      <c r="O90" s="88">
        <f t="shared" si="10"/>
        <v>0</v>
      </c>
      <c r="P90" s="9"/>
      <c r="Q90" s="9"/>
      <c r="R90" s="89" t="str">
        <f t="shared" si="8"/>
        <v/>
      </c>
      <c r="S90" s="89" t="str">
        <f t="shared" si="9"/>
        <v/>
      </c>
      <c r="T90" s="90">
        <f>H90*[0]!FMainPool1Fee+I90*[0]!FMainPool2Fee+J90*[0]!FMainPool3Fee+K90*[0]!FMainPool4Fee+B90*[0]!FMainEntryFee</f>
        <v>0</v>
      </c>
      <c r="U90" s="91"/>
      <c r="V90" s="106"/>
      <c r="W90" s="98"/>
      <c r="X90" s="96"/>
      <c r="Y90" s="96"/>
    </row>
    <row r="91" spans="1:25" x14ac:dyDescent="0.2">
      <c r="A91" s="85">
        <f t="shared" si="11"/>
        <v>80</v>
      </c>
      <c r="B91" s="9"/>
      <c r="C91" s="101" t="s">
        <v>605</v>
      </c>
      <c r="D91" s="101" t="s">
        <v>9</v>
      </c>
      <c r="E91" s="95" t="s">
        <v>606</v>
      </c>
      <c r="F91" s="120"/>
      <c r="G91" s="87" t="s">
        <v>614</v>
      </c>
      <c r="H91" s="8"/>
      <c r="I91" s="9"/>
      <c r="J91" s="9"/>
      <c r="K91" s="9"/>
      <c r="L91" s="9"/>
      <c r="M91" s="9"/>
      <c r="N91" s="9"/>
      <c r="O91" s="88">
        <f t="shared" si="10"/>
        <v>0</v>
      </c>
      <c r="P91" s="9"/>
      <c r="Q91" s="9"/>
      <c r="R91" s="89" t="str">
        <f t="shared" si="8"/>
        <v/>
      </c>
      <c r="S91" s="89" t="str">
        <f t="shared" si="9"/>
        <v/>
      </c>
      <c r="T91" s="90">
        <f>H91*[0]!FMainPool1Fee+I91*[0]!FMainPool2Fee+J91*[0]!FMainPool3Fee+K91*[0]!FMainPool4Fee+B91*[0]!FMainEntryFee</f>
        <v>0</v>
      </c>
      <c r="U91" s="91"/>
      <c r="V91" s="106"/>
      <c r="X91" s="96"/>
      <c r="Y91" s="96"/>
    </row>
    <row r="92" spans="1:25" x14ac:dyDescent="0.2">
      <c r="A92" s="85">
        <f t="shared" si="11"/>
        <v>81</v>
      </c>
      <c r="B92" s="9"/>
      <c r="C92" s="101" t="s">
        <v>607</v>
      </c>
      <c r="D92" s="101" t="s">
        <v>7</v>
      </c>
      <c r="E92" s="95" t="s">
        <v>608</v>
      </c>
      <c r="F92" s="106"/>
      <c r="G92" s="87" t="s">
        <v>626</v>
      </c>
      <c r="H92" s="8"/>
      <c r="I92" s="9"/>
      <c r="J92" s="9"/>
      <c r="K92" s="9"/>
      <c r="L92" s="9"/>
      <c r="M92" s="9"/>
      <c r="N92" s="9"/>
      <c r="O92" s="88">
        <f t="shared" si="10"/>
        <v>0</v>
      </c>
      <c r="P92" s="9"/>
      <c r="Q92" s="9"/>
      <c r="R92" s="89" t="str">
        <f t="shared" si="8"/>
        <v/>
      </c>
      <c r="S92" s="89" t="str">
        <f t="shared" si="9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x14ac:dyDescent="0.2">
      <c r="A93" s="85">
        <f t="shared" si="11"/>
        <v>82</v>
      </c>
      <c r="B93" s="9">
        <v>1</v>
      </c>
      <c r="C93" s="94" t="s">
        <v>64</v>
      </c>
      <c r="D93" s="1" t="s">
        <v>65</v>
      </c>
      <c r="E93" s="2" t="s">
        <v>190</v>
      </c>
      <c r="F93" s="111">
        <v>5104613953</v>
      </c>
      <c r="G93" s="87" t="s">
        <v>503</v>
      </c>
      <c r="H93" s="8">
        <v>1</v>
      </c>
      <c r="I93" s="9">
        <v>1</v>
      </c>
      <c r="J93" s="9">
        <v>1</v>
      </c>
      <c r="K93" s="9"/>
      <c r="L93" s="9">
        <v>1</v>
      </c>
      <c r="M93" s="9"/>
      <c r="N93" s="9"/>
      <c r="O93" s="88">
        <f t="shared" si="10"/>
        <v>0</v>
      </c>
      <c r="P93" s="9" t="s">
        <v>724</v>
      </c>
      <c r="Q93" s="9" t="s">
        <v>704</v>
      </c>
      <c r="R93" s="89" t="str">
        <f t="shared" si="8"/>
        <v/>
      </c>
      <c r="S93" s="89">
        <f t="shared" si="9"/>
        <v>110</v>
      </c>
      <c r="T93" s="90">
        <f>H93*[0]!FMainPool1Fee+I93*[0]!FMainPool2Fee+J93*[0]!FMainPool3Fee+K93*[0]!FMainPool4Fee+B93*[0]!FMainEntryFee</f>
        <v>110</v>
      </c>
      <c r="U93" s="91"/>
      <c r="V93" s="106"/>
      <c r="X93" s="96"/>
      <c r="Y93" s="96"/>
    </row>
    <row r="94" spans="1:25" x14ac:dyDescent="0.2">
      <c r="A94" s="85">
        <f t="shared" si="11"/>
        <v>83</v>
      </c>
      <c r="B94" s="9"/>
      <c r="C94" s="6" t="s">
        <v>123</v>
      </c>
      <c r="D94" s="6" t="s">
        <v>111</v>
      </c>
      <c r="E94" s="7" t="s">
        <v>194</v>
      </c>
      <c r="F94" s="86"/>
      <c r="G94" s="94" t="s">
        <v>151</v>
      </c>
      <c r="H94" s="8"/>
      <c r="I94" s="9"/>
      <c r="J94" s="9"/>
      <c r="K94" s="9"/>
      <c r="L94" s="9"/>
      <c r="M94" s="9"/>
      <c r="N94" s="9"/>
      <c r="O94" s="88">
        <f t="shared" si="10"/>
        <v>0</v>
      </c>
      <c r="P94" s="9"/>
      <c r="Q94" s="9"/>
      <c r="R94" s="89" t="str">
        <f t="shared" si="8"/>
        <v/>
      </c>
      <c r="S94" s="89" t="str">
        <f t="shared" si="9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">
      <c r="A95" s="85">
        <f t="shared" si="11"/>
        <v>84</v>
      </c>
      <c r="B95" s="9"/>
      <c r="C95" s="1" t="s">
        <v>47</v>
      </c>
      <c r="D95" s="1" t="s">
        <v>48</v>
      </c>
      <c r="E95" s="2" t="s">
        <v>187</v>
      </c>
      <c r="F95" s="106" t="s">
        <v>504</v>
      </c>
      <c r="G95" s="94" t="s">
        <v>496</v>
      </c>
      <c r="H95" s="8"/>
      <c r="I95" s="9"/>
      <c r="J95" s="9"/>
      <c r="K95" s="9"/>
      <c r="L95" s="9"/>
      <c r="M95" s="9"/>
      <c r="N95" s="9"/>
      <c r="O95" s="88">
        <f t="shared" si="10"/>
        <v>0</v>
      </c>
      <c r="P95" s="9"/>
      <c r="Q95" s="9"/>
      <c r="R95" s="89" t="str">
        <f t="shared" si="8"/>
        <v/>
      </c>
      <c r="S95" s="89" t="str">
        <f t="shared" si="9"/>
        <v/>
      </c>
      <c r="T95" s="90">
        <f>H95*[0]!FMainPool1Fee+I95*[0]!FMainPool2Fee+J95*[0]!FMainPool3Fee+K95*[0]!FMainPool4Fee+B95*[0]!FMainEntryFee</f>
        <v>0</v>
      </c>
      <c r="U95" s="91"/>
      <c r="V95" s="106"/>
      <c r="X95" s="96"/>
      <c r="Y95" s="96"/>
    </row>
    <row r="96" spans="1:25" x14ac:dyDescent="0.2">
      <c r="A96" s="85">
        <f t="shared" si="11"/>
        <v>85</v>
      </c>
      <c r="B96" s="9">
        <v>1</v>
      </c>
      <c r="C96" s="6" t="s">
        <v>107</v>
      </c>
      <c r="D96" s="6" t="s">
        <v>332</v>
      </c>
      <c r="E96" s="7" t="s">
        <v>492</v>
      </c>
      <c r="F96" s="86">
        <v>7074223729</v>
      </c>
      <c r="G96" s="94" t="s">
        <v>148</v>
      </c>
      <c r="H96" s="8">
        <v>1</v>
      </c>
      <c r="I96" s="9"/>
      <c r="J96" s="9"/>
      <c r="K96" s="9"/>
      <c r="L96" s="9"/>
      <c r="M96" s="9"/>
      <c r="N96" s="9"/>
      <c r="O96" s="88">
        <f t="shared" si="10"/>
        <v>0</v>
      </c>
      <c r="P96" s="9" t="s">
        <v>721</v>
      </c>
      <c r="Q96" s="9">
        <v>2575</v>
      </c>
      <c r="R96" s="89">
        <f t="shared" si="8"/>
        <v>80</v>
      </c>
      <c r="S96" s="89" t="str">
        <f t="shared" si="9"/>
        <v/>
      </c>
      <c r="T96" s="90">
        <f>H96*[0]!FMainPool1Fee+I96*[0]!FMainPool2Fee+J96*[0]!FMainPool3Fee+K96*[0]!FMainPool4Fee+B96*[0]!FMainEntryFee</f>
        <v>80</v>
      </c>
      <c r="U96" s="91"/>
      <c r="V96" s="92"/>
      <c r="X96" s="96"/>
      <c r="Y96" s="96"/>
    </row>
    <row r="97" spans="1:25" x14ac:dyDescent="0.2">
      <c r="A97" s="85">
        <f t="shared" si="11"/>
        <v>86</v>
      </c>
      <c r="B97" s="9"/>
      <c r="C97" s="6" t="s">
        <v>108</v>
      </c>
      <c r="D97" s="6" t="s">
        <v>109</v>
      </c>
      <c r="E97" s="7" t="s">
        <v>211</v>
      </c>
      <c r="F97" s="86"/>
      <c r="G97" s="94" t="s">
        <v>358</v>
      </c>
      <c r="H97" s="8"/>
      <c r="I97" s="9"/>
      <c r="J97" s="9"/>
      <c r="K97" s="9"/>
      <c r="L97" s="9"/>
      <c r="M97" s="9"/>
      <c r="N97" s="9"/>
      <c r="O97" s="88">
        <f t="shared" si="10"/>
        <v>0</v>
      </c>
      <c r="P97" s="9"/>
      <c r="Q97" s="9"/>
      <c r="R97" s="89" t="str">
        <f t="shared" si="8"/>
        <v/>
      </c>
      <c r="S97" s="89" t="str">
        <f t="shared" si="9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">
      <c r="A98" s="85">
        <f t="shared" si="11"/>
        <v>87</v>
      </c>
      <c r="B98" s="9"/>
      <c r="C98" s="6" t="s">
        <v>311</v>
      </c>
      <c r="D98" s="6" t="s">
        <v>312</v>
      </c>
      <c r="E98" s="7" t="s">
        <v>313</v>
      </c>
      <c r="F98" s="86">
        <v>9253604907</v>
      </c>
      <c r="G98" s="94" t="s">
        <v>367</v>
      </c>
      <c r="H98" s="8"/>
      <c r="I98" s="9"/>
      <c r="J98" s="9"/>
      <c r="K98" s="9"/>
      <c r="L98" s="9"/>
      <c r="M98" s="9"/>
      <c r="N98" s="9"/>
      <c r="O98" s="88">
        <f t="shared" si="10"/>
        <v>0</v>
      </c>
      <c r="P98" s="9"/>
      <c r="Q98" s="9"/>
      <c r="R98" s="89" t="str">
        <f t="shared" si="8"/>
        <v/>
      </c>
      <c r="S98" s="89" t="str">
        <f t="shared" si="9"/>
        <v/>
      </c>
      <c r="T98" s="90">
        <f>H98*[0]!FMainPool1Fee+I98*[0]!FMainPool2Fee+J98*[0]!FMainPool3Fee+K98*[0]!FMainPool4Fee+B98*[0]!FMainEntryFee</f>
        <v>0</v>
      </c>
      <c r="U98" s="91"/>
      <c r="V98" s="106"/>
      <c r="X98" s="96"/>
      <c r="Y98" s="96"/>
    </row>
    <row r="99" spans="1:25" x14ac:dyDescent="0.2">
      <c r="A99" s="85">
        <f t="shared" si="11"/>
        <v>88</v>
      </c>
      <c r="B99" s="9"/>
      <c r="C99" s="1" t="s">
        <v>79</v>
      </c>
      <c r="D99" s="1" t="s">
        <v>80</v>
      </c>
      <c r="E99" s="2" t="s">
        <v>212</v>
      </c>
      <c r="F99" s="86"/>
      <c r="G99" s="94" t="s">
        <v>391</v>
      </c>
      <c r="H99" s="8"/>
      <c r="I99" s="9"/>
      <c r="J99" s="9"/>
      <c r="K99" s="9"/>
      <c r="L99" s="9"/>
      <c r="M99" s="9"/>
      <c r="N99" s="9"/>
      <c r="O99" s="88">
        <f t="shared" si="10"/>
        <v>0</v>
      </c>
      <c r="P99" s="9"/>
      <c r="Q99" s="9"/>
      <c r="R99" s="89" t="str">
        <f t="shared" si="8"/>
        <v/>
      </c>
      <c r="S99" s="89" t="str">
        <f t="shared" si="9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">
      <c r="A100" s="85">
        <f t="shared" si="11"/>
        <v>89</v>
      </c>
      <c r="B100" s="9">
        <v>1</v>
      </c>
      <c r="C100" s="6" t="s">
        <v>99</v>
      </c>
      <c r="D100" s="6" t="s">
        <v>100</v>
      </c>
      <c r="E100" s="7" t="s">
        <v>169</v>
      </c>
      <c r="F100" s="86">
        <v>5305180274</v>
      </c>
      <c r="G100" s="94" t="s">
        <v>130</v>
      </c>
      <c r="H100" s="8">
        <v>1</v>
      </c>
      <c r="I100" s="9">
        <v>1</v>
      </c>
      <c r="J100" s="9">
        <v>1</v>
      </c>
      <c r="K100" s="9"/>
      <c r="L100" s="9"/>
      <c r="M100" s="9"/>
      <c r="N100" s="9"/>
      <c r="O100" s="88">
        <f t="shared" si="10"/>
        <v>0</v>
      </c>
      <c r="P100" s="9" t="s">
        <v>721</v>
      </c>
      <c r="Q100" s="9">
        <v>7333</v>
      </c>
      <c r="R100" s="89">
        <f t="shared" si="8"/>
        <v>110</v>
      </c>
      <c r="S100" s="89" t="str">
        <f t="shared" si="9"/>
        <v/>
      </c>
      <c r="T100" s="90">
        <f>H100*[0]!FMainPool1Fee+I100*[0]!FMainPool2Fee+J100*[0]!FMainPool3Fee+K100*[0]!FMainPool4Fee+B100*[0]!FMainEntryFee</f>
        <v>110</v>
      </c>
      <c r="U100" s="91"/>
      <c r="V100" s="92"/>
      <c r="W100" s="98"/>
      <c r="X100" s="96"/>
      <c r="Y100" s="96"/>
    </row>
    <row r="101" spans="1:25" x14ac:dyDescent="0.2">
      <c r="A101" s="85">
        <f t="shared" si="11"/>
        <v>90</v>
      </c>
      <c r="B101" s="9"/>
      <c r="C101" s="6" t="s">
        <v>427</v>
      </c>
      <c r="D101" s="6" t="s">
        <v>15</v>
      </c>
      <c r="E101" s="7" t="s">
        <v>426</v>
      </c>
      <c r="F101" s="86">
        <v>7079536818</v>
      </c>
      <c r="G101" s="87" t="s">
        <v>685</v>
      </c>
      <c r="H101" s="8"/>
      <c r="I101" s="9"/>
      <c r="J101" s="9"/>
      <c r="K101" s="9"/>
      <c r="L101" s="9"/>
      <c r="M101" s="9"/>
      <c r="N101" s="9"/>
      <c r="O101" s="88">
        <f t="shared" si="10"/>
        <v>0</v>
      </c>
      <c r="P101" s="9"/>
      <c r="Q101" s="9"/>
      <c r="R101" s="89" t="str">
        <f t="shared" si="8"/>
        <v/>
      </c>
      <c r="S101" s="89" t="str">
        <f t="shared" si="9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">
      <c r="A102" s="85">
        <f t="shared" si="11"/>
        <v>91</v>
      </c>
      <c r="B102" s="9"/>
      <c r="C102" s="6" t="s">
        <v>110</v>
      </c>
      <c r="D102" s="6" t="s">
        <v>111</v>
      </c>
      <c r="E102" s="7" t="s">
        <v>188</v>
      </c>
      <c r="F102" s="86"/>
      <c r="G102" s="94" t="s">
        <v>147</v>
      </c>
      <c r="H102" s="8"/>
      <c r="I102" s="9"/>
      <c r="J102" s="9"/>
      <c r="K102" s="9"/>
      <c r="L102" s="9"/>
      <c r="M102" s="9"/>
      <c r="N102" s="9"/>
      <c r="O102" s="88">
        <f t="shared" si="10"/>
        <v>0</v>
      </c>
      <c r="P102" s="9"/>
      <c r="Q102" s="9"/>
      <c r="R102" s="89" t="str">
        <f t="shared" si="8"/>
        <v/>
      </c>
      <c r="S102" s="89" t="str">
        <f t="shared" si="9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">
      <c r="A103" s="85">
        <f t="shared" si="11"/>
        <v>92</v>
      </c>
      <c r="B103" s="9"/>
      <c r="C103" s="1" t="s">
        <v>62</v>
      </c>
      <c r="D103" s="1" t="s">
        <v>63</v>
      </c>
      <c r="E103" s="2" t="s">
        <v>213</v>
      </c>
      <c r="F103" s="111"/>
      <c r="G103" s="94" t="s">
        <v>352</v>
      </c>
      <c r="H103" s="8"/>
      <c r="I103" s="9"/>
      <c r="J103" s="9"/>
      <c r="K103" s="9"/>
      <c r="L103" s="9"/>
      <c r="M103" s="9"/>
      <c r="N103" s="9"/>
      <c r="O103" s="88">
        <f t="shared" si="10"/>
        <v>0</v>
      </c>
      <c r="P103" s="9"/>
      <c r="Q103" s="9"/>
      <c r="R103" s="89" t="str">
        <f t="shared" si="8"/>
        <v/>
      </c>
      <c r="S103" s="89" t="str">
        <f t="shared" si="9"/>
        <v/>
      </c>
      <c r="T103" s="90">
        <f>H103*[0]!FMainPool1Fee+I103*[0]!FMainPool2Fee+J103*[0]!FMainPool3Fee+K103*[0]!FMainPool4Fee+B103*[0]!FMainEntryFee</f>
        <v>0</v>
      </c>
      <c r="U103" s="91"/>
      <c r="V103" s="106"/>
      <c r="X103" s="96"/>
      <c r="Y103" s="96"/>
    </row>
    <row r="104" spans="1:25" x14ac:dyDescent="0.2">
      <c r="A104" s="85">
        <f t="shared" si="11"/>
        <v>93</v>
      </c>
      <c r="B104" s="9"/>
      <c r="C104" s="6" t="s">
        <v>146</v>
      </c>
      <c r="D104" s="6" t="s">
        <v>14</v>
      </c>
      <c r="E104" s="7" t="s">
        <v>189</v>
      </c>
      <c r="F104" s="86"/>
      <c r="G104" s="94" t="s">
        <v>239</v>
      </c>
      <c r="H104" s="8"/>
      <c r="I104" s="9"/>
      <c r="J104" s="9"/>
      <c r="K104" s="9"/>
      <c r="L104" s="9"/>
      <c r="M104" s="9"/>
      <c r="N104" s="9"/>
      <c r="O104" s="88">
        <f t="shared" si="10"/>
        <v>0</v>
      </c>
      <c r="P104" s="9"/>
      <c r="Q104" s="9"/>
      <c r="R104" s="89" t="str">
        <f t="shared" si="8"/>
        <v/>
      </c>
      <c r="S104" s="89" t="str">
        <f t="shared" si="9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">
      <c r="A105" s="85">
        <f t="shared" si="11"/>
        <v>94</v>
      </c>
      <c r="B105" s="9"/>
      <c r="C105" s="6" t="s">
        <v>253</v>
      </c>
      <c r="D105" s="6" t="s">
        <v>19</v>
      </c>
      <c r="E105" s="7" t="s">
        <v>254</v>
      </c>
      <c r="F105" s="106" t="s">
        <v>505</v>
      </c>
      <c r="G105" s="94" t="s">
        <v>496</v>
      </c>
      <c r="H105" s="8"/>
      <c r="I105" s="9"/>
      <c r="J105" s="9"/>
      <c r="K105" s="9"/>
      <c r="L105" s="9"/>
      <c r="M105" s="9"/>
      <c r="N105" s="9"/>
      <c r="O105" s="88">
        <f t="shared" si="10"/>
        <v>0</v>
      </c>
      <c r="P105" s="9"/>
      <c r="Q105" s="9"/>
      <c r="R105" s="89" t="str">
        <f t="shared" si="8"/>
        <v/>
      </c>
      <c r="S105" s="89" t="str">
        <f t="shared" si="9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">
      <c r="A106" s="85">
        <f t="shared" si="11"/>
        <v>95</v>
      </c>
      <c r="B106" s="9"/>
      <c r="C106" s="6" t="s">
        <v>105</v>
      </c>
      <c r="D106" s="6" t="s">
        <v>106</v>
      </c>
      <c r="E106" s="7" t="s">
        <v>214</v>
      </c>
      <c r="F106" s="86"/>
      <c r="G106" s="94" t="s">
        <v>393</v>
      </c>
      <c r="H106" s="8"/>
      <c r="I106" s="9"/>
      <c r="J106" s="9"/>
      <c r="K106" s="9"/>
      <c r="L106" s="9"/>
      <c r="M106" s="9"/>
      <c r="N106" s="9"/>
      <c r="O106" s="88">
        <f t="shared" si="10"/>
        <v>0</v>
      </c>
      <c r="P106" s="9"/>
      <c r="Q106" s="9"/>
      <c r="R106" s="89" t="str">
        <f t="shared" si="8"/>
        <v/>
      </c>
      <c r="S106" s="89" t="str">
        <f t="shared" si="9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">
      <c r="A107" s="85">
        <f t="shared" si="11"/>
        <v>96</v>
      </c>
      <c r="B107" s="9"/>
      <c r="C107" s="6" t="s">
        <v>337</v>
      </c>
      <c r="D107" s="6" t="s">
        <v>9</v>
      </c>
      <c r="E107" s="71" t="s">
        <v>338</v>
      </c>
      <c r="F107" s="118"/>
      <c r="G107" s="108" t="s">
        <v>368</v>
      </c>
      <c r="H107" s="8"/>
      <c r="I107" s="9"/>
      <c r="J107" s="9"/>
      <c r="K107" s="9"/>
      <c r="L107" s="9"/>
      <c r="M107" s="9"/>
      <c r="N107" s="9"/>
      <c r="O107" s="88">
        <f t="shared" si="10"/>
        <v>0</v>
      </c>
      <c r="P107" s="9"/>
      <c r="Q107" s="9"/>
      <c r="R107" s="89" t="str">
        <f t="shared" si="8"/>
        <v/>
      </c>
      <c r="S107" s="89" t="str">
        <f t="shared" si="9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">
      <c r="A108" s="85">
        <f t="shared" si="11"/>
        <v>97</v>
      </c>
      <c r="B108" s="9"/>
      <c r="C108" s="6" t="s">
        <v>438</v>
      </c>
      <c r="D108" s="6" t="s">
        <v>22</v>
      </c>
      <c r="E108" s="7" t="s">
        <v>464</v>
      </c>
      <c r="F108" s="106" t="s">
        <v>714</v>
      </c>
      <c r="G108" s="87" t="s">
        <v>506</v>
      </c>
      <c r="H108" s="8"/>
      <c r="I108" s="9"/>
      <c r="J108" s="9"/>
      <c r="K108" s="9"/>
      <c r="L108" s="9"/>
      <c r="M108" s="9"/>
      <c r="N108" s="9"/>
      <c r="O108" s="88">
        <f t="shared" si="10"/>
        <v>0</v>
      </c>
      <c r="P108" s="9"/>
      <c r="Q108" s="9"/>
      <c r="R108" s="89" t="str">
        <f t="shared" ref="R108:R139" si="12">IF(OR(P108="c",P108="C"),+T108,"")</f>
        <v/>
      </c>
      <c r="S108" s="89" t="str">
        <f t="shared" ref="S108:S139" si="13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6"/>
      <c r="X108" s="96"/>
      <c r="Y108" s="96"/>
    </row>
    <row r="109" spans="1:25" x14ac:dyDescent="0.2">
      <c r="A109" s="85">
        <f t="shared" si="11"/>
        <v>98</v>
      </c>
      <c r="B109" s="9"/>
      <c r="C109" s="1" t="s">
        <v>32</v>
      </c>
      <c r="D109" s="1" t="s">
        <v>33</v>
      </c>
      <c r="E109" s="2" t="s">
        <v>184</v>
      </c>
      <c r="F109" s="111">
        <v>4084722020</v>
      </c>
      <c r="G109" s="87" t="s">
        <v>507</v>
      </c>
      <c r="H109" s="8"/>
      <c r="I109" s="9"/>
      <c r="J109" s="9"/>
      <c r="K109" s="9"/>
      <c r="L109" s="9"/>
      <c r="M109" s="9"/>
      <c r="N109" s="9"/>
      <c r="O109" s="88">
        <f t="shared" si="10"/>
        <v>0</v>
      </c>
      <c r="P109" s="9"/>
      <c r="Q109" s="9"/>
      <c r="R109" s="89" t="str">
        <f t="shared" si="12"/>
        <v/>
      </c>
      <c r="S109" s="89" t="str">
        <f t="shared" si="13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">
      <c r="A110" s="85">
        <f t="shared" si="11"/>
        <v>99</v>
      </c>
      <c r="B110" s="9"/>
      <c r="C110" s="6" t="s">
        <v>134</v>
      </c>
      <c r="D110" s="6" t="s">
        <v>135</v>
      </c>
      <c r="E110" s="7" t="s">
        <v>230</v>
      </c>
      <c r="F110" s="86"/>
      <c r="G110" s="94" t="s">
        <v>149</v>
      </c>
      <c r="H110" s="8"/>
      <c r="I110" s="9"/>
      <c r="J110" s="9"/>
      <c r="K110" s="9"/>
      <c r="L110" s="9"/>
      <c r="M110" s="9"/>
      <c r="N110" s="9"/>
      <c r="O110" s="88">
        <f t="shared" si="10"/>
        <v>0</v>
      </c>
      <c r="P110" s="9"/>
      <c r="Q110" s="9"/>
      <c r="R110" s="89" t="str">
        <f t="shared" si="12"/>
        <v/>
      </c>
      <c r="S110" s="89" t="str">
        <f t="shared" si="13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">
      <c r="A111" s="85">
        <f t="shared" si="11"/>
        <v>100</v>
      </c>
      <c r="B111" s="9"/>
      <c r="C111" s="1" t="s">
        <v>27</v>
      </c>
      <c r="D111" s="1" t="s">
        <v>28</v>
      </c>
      <c r="E111" s="2" t="s">
        <v>178</v>
      </c>
      <c r="F111" s="111"/>
      <c r="G111" s="94" t="s">
        <v>287</v>
      </c>
      <c r="H111" s="8"/>
      <c r="I111" s="9"/>
      <c r="J111" s="9"/>
      <c r="K111" s="9"/>
      <c r="L111" s="9"/>
      <c r="M111" s="9"/>
      <c r="N111" s="9"/>
      <c r="O111" s="88">
        <f t="shared" si="10"/>
        <v>0</v>
      </c>
      <c r="P111" s="9"/>
      <c r="Q111" s="9"/>
      <c r="R111" s="89" t="str">
        <f t="shared" si="12"/>
        <v/>
      </c>
      <c r="S111" s="89" t="str">
        <f t="shared" si="13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">
      <c r="A112" s="85">
        <f t="shared" si="11"/>
        <v>101</v>
      </c>
      <c r="B112" s="9">
        <v>1</v>
      </c>
      <c r="C112" s="6" t="s">
        <v>439</v>
      </c>
      <c r="D112" s="6" t="s">
        <v>332</v>
      </c>
      <c r="E112" s="7" t="s">
        <v>465</v>
      </c>
      <c r="F112" s="86">
        <v>9254579513</v>
      </c>
      <c r="G112" s="87" t="s">
        <v>508</v>
      </c>
      <c r="H112" s="8">
        <v>1</v>
      </c>
      <c r="I112" s="9"/>
      <c r="J112" s="9"/>
      <c r="K112" s="9"/>
      <c r="L112" s="9"/>
      <c r="M112" s="9"/>
      <c r="N112" s="9"/>
      <c r="O112" s="88">
        <f t="shared" si="10"/>
        <v>0</v>
      </c>
      <c r="P112" s="9" t="s">
        <v>721</v>
      </c>
      <c r="Q112" s="9">
        <v>648</v>
      </c>
      <c r="R112" s="89">
        <f t="shared" si="12"/>
        <v>80</v>
      </c>
      <c r="S112" s="89" t="str">
        <f t="shared" si="13"/>
        <v/>
      </c>
      <c r="T112" s="90">
        <f>H112*[0]!FMainPool1Fee+I112*[0]!FMainPool2Fee+J112*[0]!FMainPool3Fee+K112*[0]!FMainPool4Fee+B112*[0]!FMainEntryFee</f>
        <v>80</v>
      </c>
      <c r="U112" s="91">
        <v>1</v>
      </c>
      <c r="V112" s="95"/>
      <c r="W112" s="98"/>
      <c r="X112" s="96"/>
      <c r="Y112" s="96"/>
    </row>
    <row r="113" spans="1:25" x14ac:dyDescent="0.2">
      <c r="A113" s="85">
        <f t="shared" si="11"/>
        <v>102</v>
      </c>
      <c r="B113" s="9"/>
      <c r="C113" s="1" t="s">
        <v>42</v>
      </c>
      <c r="D113" s="1" t="s">
        <v>43</v>
      </c>
      <c r="E113" s="2" t="s">
        <v>186</v>
      </c>
      <c r="F113" s="111"/>
      <c r="G113" s="94"/>
      <c r="H113" s="8"/>
      <c r="I113" s="9"/>
      <c r="J113" s="9"/>
      <c r="K113" s="9"/>
      <c r="L113" s="9"/>
      <c r="M113" s="9"/>
      <c r="N113" s="9"/>
      <c r="O113" s="88">
        <f t="shared" si="10"/>
        <v>0</v>
      </c>
      <c r="P113" s="9"/>
      <c r="Q113" s="9"/>
      <c r="R113" s="89" t="str">
        <f t="shared" si="12"/>
        <v/>
      </c>
      <c r="S113" s="89" t="str">
        <f t="shared" si="13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">
      <c r="A114" s="85">
        <f t="shared" si="11"/>
        <v>103</v>
      </c>
      <c r="B114" s="9"/>
      <c r="C114" s="6" t="s">
        <v>269</v>
      </c>
      <c r="D114" s="6" t="s">
        <v>270</v>
      </c>
      <c r="E114" s="7" t="s">
        <v>271</v>
      </c>
      <c r="F114" s="118"/>
      <c r="G114" s="94" t="s">
        <v>285</v>
      </c>
      <c r="H114" s="8"/>
      <c r="I114" s="9"/>
      <c r="J114" s="9"/>
      <c r="K114" s="9"/>
      <c r="L114" s="9"/>
      <c r="M114" s="9"/>
      <c r="N114" s="9"/>
      <c r="O114" s="88">
        <f t="shared" si="10"/>
        <v>0</v>
      </c>
      <c r="P114" s="9"/>
      <c r="Q114" s="9"/>
      <c r="R114" s="89" t="str">
        <f t="shared" si="12"/>
        <v/>
      </c>
      <c r="S114" s="89" t="str">
        <f t="shared" si="13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">
      <c r="A115" s="85">
        <f t="shared" si="11"/>
        <v>104</v>
      </c>
      <c r="B115" s="9"/>
      <c r="C115" s="101" t="s">
        <v>609</v>
      </c>
      <c r="D115" s="101" t="s">
        <v>289</v>
      </c>
      <c r="E115" s="95" t="s">
        <v>610</v>
      </c>
      <c r="F115" s="104"/>
      <c r="G115" s="94" t="s">
        <v>133</v>
      </c>
      <c r="H115" s="8"/>
      <c r="I115" s="9"/>
      <c r="J115" s="9"/>
      <c r="K115" s="9"/>
      <c r="L115" s="9"/>
      <c r="M115" s="9"/>
      <c r="N115" s="9"/>
      <c r="O115" s="88">
        <f t="shared" si="10"/>
        <v>0</v>
      </c>
      <c r="P115" s="9"/>
      <c r="Q115" s="9"/>
      <c r="R115" s="89" t="str">
        <f t="shared" si="12"/>
        <v/>
      </c>
      <c r="S115" s="89" t="str">
        <f t="shared" si="13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">
      <c r="A116" s="85">
        <f t="shared" si="11"/>
        <v>105</v>
      </c>
      <c r="B116" s="9"/>
      <c r="C116" s="6" t="s">
        <v>131</v>
      </c>
      <c r="D116" s="6" t="s">
        <v>132</v>
      </c>
      <c r="E116" s="7" t="s">
        <v>215</v>
      </c>
      <c r="F116" s="86"/>
      <c r="G116" s="94" t="s">
        <v>133</v>
      </c>
      <c r="H116" s="8"/>
      <c r="I116" s="9"/>
      <c r="J116" s="9"/>
      <c r="K116" s="9"/>
      <c r="L116" s="9"/>
      <c r="M116" s="9"/>
      <c r="N116" s="9"/>
      <c r="O116" s="88">
        <f t="shared" ref="O116:O147" si="14">T116*N116</f>
        <v>0</v>
      </c>
      <c r="P116" s="9"/>
      <c r="Q116" s="9"/>
      <c r="R116" s="89" t="str">
        <f t="shared" si="12"/>
        <v/>
      </c>
      <c r="S116" s="89" t="str">
        <f t="shared" si="13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">
      <c r="A117" s="85">
        <f t="shared" si="11"/>
        <v>106</v>
      </c>
      <c r="B117" s="9"/>
      <c r="C117" s="1" t="s">
        <v>36</v>
      </c>
      <c r="D117" s="1" t="s">
        <v>37</v>
      </c>
      <c r="E117" s="2" t="s">
        <v>202</v>
      </c>
      <c r="F117" s="111"/>
      <c r="G117" s="94" t="s">
        <v>240</v>
      </c>
      <c r="H117" s="8"/>
      <c r="I117" s="9"/>
      <c r="J117" s="9"/>
      <c r="K117" s="9"/>
      <c r="L117" s="9"/>
      <c r="M117" s="9"/>
      <c r="N117" s="9"/>
      <c r="O117" s="88">
        <f t="shared" si="14"/>
        <v>0</v>
      </c>
      <c r="P117" s="9"/>
      <c r="Q117" s="9"/>
      <c r="R117" s="89" t="str">
        <f t="shared" si="12"/>
        <v/>
      </c>
      <c r="S117" s="89" t="str">
        <f t="shared" si="13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">
      <c r="A118" s="85">
        <f t="shared" si="11"/>
        <v>107</v>
      </c>
      <c r="B118" s="9"/>
      <c r="C118" s="6" t="s">
        <v>124</v>
      </c>
      <c r="D118" s="6" t="s">
        <v>125</v>
      </c>
      <c r="E118" s="7" t="s">
        <v>166</v>
      </c>
      <c r="F118" s="86"/>
      <c r="G118" s="94"/>
      <c r="H118" s="8"/>
      <c r="I118" s="9"/>
      <c r="J118" s="9"/>
      <c r="K118" s="9"/>
      <c r="L118" s="9"/>
      <c r="M118" s="9"/>
      <c r="N118" s="9"/>
      <c r="O118" s="88">
        <f t="shared" si="14"/>
        <v>0</v>
      </c>
      <c r="P118" s="9"/>
      <c r="Q118" s="9"/>
      <c r="R118" s="89" t="str">
        <f t="shared" si="12"/>
        <v/>
      </c>
      <c r="S118" s="89" t="str">
        <f t="shared" si="13"/>
        <v/>
      </c>
      <c r="T118" s="90">
        <f>H118*[0]!FMainPool1Fee+I118*[0]!FMainPool2Fee+J118*[0]!FMainPool3Fee+K118*[0]!FMainPool4Fee+B118*[0]!FMainEntryFee</f>
        <v>0</v>
      </c>
      <c r="U118" s="91"/>
      <c r="V118" s="106"/>
      <c r="X118" s="96"/>
      <c r="Y118" s="96"/>
    </row>
    <row r="119" spans="1:25" x14ac:dyDescent="0.2">
      <c r="A119" s="85">
        <f t="shared" si="11"/>
        <v>108</v>
      </c>
      <c r="B119" s="9">
        <v>1</v>
      </c>
      <c r="C119" s="6" t="s">
        <v>327</v>
      </c>
      <c r="D119" s="6" t="s">
        <v>328</v>
      </c>
      <c r="E119" s="7" t="s">
        <v>329</v>
      </c>
      <c r="F119" s="86">
        <v>5106819675</v>
      </c>
      <c r="G119" s="87" t="s">
        <v>509</v>
      </c>
      <c r="H119" s="8"/>
      <c r="I119" s="9"/>
      <c r="J119" s="9"/>
      <c r="K119" s="9"/>
      <c r="L119" s="9">
        <v>1</v>
      </c>
      <c r="M119" s="9"/>
      <c r="N119" s="9"/>
      <c r="O119" s="88">
        <f t="shared" si="14"/>
        <v>0</v>
      </c>
      <c r="P119" s="9" t="s">
        <v>724</v>
      </c>
      <c r="Q119" s="9"/>
      <c r="R119" s="89" t="str">
        <f t="shared" si="12"/>
        <v/>
      </c>
      <c r="S119" s="89">
        <f t="shared" si="13"/>
        <v>70</v>
      </c>
      <c r="T119" s="90">
        <f>H119*[0]!FMainPool1Fee+I119*[0]!FMainPool2Fee+J119*[0]!FMainPool3Fee+K119*[0]!FMainPool4Fee+B119*[0]!FMainEntryFee</f>
        <v>70</v>
      </c>
      <c r="U119" s="91"/>
      <c r="V119" s="92"/>
      <c r="X119" s="96"/>
      <c r="Y119" s="96"/>
    </row>
    <row r="120" spans="1:25" x14ac:dyDescent="0.2">
      <c r="A120" s="85">
        <f t="shared" si="11"/>
        <v>109</v>
      </c>
      <c r="B120" s="9"/>
      <c r="C120" s="1" t="s">
        <v>118</v>
      </c>
      <c r="D120" s="1" t="s">
        <v>46</v>
      </c>
      <c r="E120" s="2" t="s">
        <v>217</v>
      </c>
      <c r="F120" s="111"/>
      <c r="G120" s="94" t="s">
        <v>394</v>
      </c>
      <c r="H120" s="8"/>
      <c r="I120" s="9"/>
      <c r="J120" s="9"/>
      <c r="K120" s="9"/>
      <c r="L120" s="9"/>
      <c r="M120" s="9"/>
      <c r="N120" s="9"/>
      <c r="O120" s="88">
        <f t="shared" si="14"/>
        <v>0</v>
      </c>
      <c r="P120" s="9"/>
      <c r="Q120" s="9"/>
      <c r="R120" s="89" t="str">
        <f t="shared" si="12"/>
        <v/>
      </c>
      <c r="S120" s="89" t="str">
        <f t="shared" si="13"/>
        <v/>
      </c>
      <c r="T120" s="90">
        <f>H120*[0]!FMainPool1Fee+I120*[0]!FMainPool2Fee+J120*[0]!FMainPool3Fee+K120*[0]!FMainPool4Fee+B120*[0]!FMainEntryFee</f>
        <v>0</v>
      </c>
      <c r="U120" s="91"/>
      <c r="V120" s="106"/>
      <c r="X120" s="96"/>
      <c r="Y120" s="96"/>
    </row>
    <row r="121" spans="1:25" x14ac:dyDescent="0.2">
      <c r="A121" s="85">
        <f t="shared" si="11"/>
        <v>110</v>
      </c>
      <c r="B121" s="9"/>
      <c r="C121" s="1" t="s">
        <v>21</v>
      </c>
      <c r="D121" s="1" t="s">
        <v>22</v>
      </c>
      <c r="E121" s="2" t="s">
        <v>232</v>
      </c>
      <c r="F121" s="111"/>
      <c r="G121" s="94" t="s">
        <v>93</v>
      </c>
      <c r="H121" s="8"/>
      <c r="I121" s="9"/>
      <c r="J121" s="9"/>
      <c r="K121" s="9"/>
      <c r="L121" s="9"/>
      <c r="M121" s="9"/>
      <c r="N121" s="9"/>
      <c r="O121" s="88">
        <f t="shared" si="14"/>
        <v>0</v>
      </c>
      <c r="P121" s="9"/>
      <c r="Q121" s="9"/>
      <c r="R121" s="89" t="str">
        <f t="shared" si="12"/>
        <v/>
      </c>
      <c r="S121" s="89" t="str">
        <f t="shared" si="13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">
      <c r="A122" s="85">
        <f t="shared" si="11"/>
        <v>111</v>
      </c>
      <c r="B122" s="9">
        <v>1</v>
      </c>
      <c r="C122" s="6" t="s">
        <v>91</v>
      </c>
      <c r="D122" s="6" t="s">
        <v>92</v>
      </c>
      <c r="E122" s="7" t="s">
        <v>171</v>
      </c>
      <c r="F122" s="86">
        <v>7073494494</v>
      </c>
      <c r="G122" s="94" t="s">
        <v>94</v>
      </c>
      <c r="H122" s="8"/>
      <c r="I122" s="9"/>
      <c r="J122" s="9"/>
      <c r="K122" s="9"/>
      <c r="L122" s="9"/>
      <c r="M122" s="9"/>
      <c r="N122" s="9"/>
      <c r="O122" s="88">
        <f t="shared" si="14"/>
        <v>0</v>
      </c>
      <c r="P122" s="9" t="s">
        <v>721</v>
      </c>
      <c r="Q122" s="9">
        <v>1800</v>
      </c>
      <c r="R122" s="89">
        <f t="shared" si="12"/>
        <v>70</v>
      </c>
      <c r="S122" s="89" t="str">
        <f t="shared" si="13"/>
        <v/>
      </c>
      <c r="T122" s="90">
        <f>H122*[0]!FMainPool1Fee+I122*[0]!FMainPool2Fee+J122*[0]!FMainPool3Fee+K122*[0]!FMainPool4Fee+B122*[0]!FMainEntryFee</f>
        <v>70</v>
      </c>
      <c r="U122" s="91">
        <v>1</v>
      </c>
      <c r="V122" s="92"/>
      <c r="X122" s="96"/>
      <c r="Y122" s="96"/>
    </row>
    <row r="123" spans="1:25" x14ac:dyDescent="0.2">
      <c r="A123" s="85">
        <f t="shared" si="11"/>
        <v>112</v>
      </c>
      <c r="B123" s="9"/>
      <c r="C123" s="6" t="s">
        <v>139</v>
      </c>
      <c r="D123" s="6" t="s">
        <v>140</v>
      </c>
      <c r="E123" s="7" t="s">
        <v>180</v>
      </c>
      <c r="F123" s="86"/>
      <c r="G123" s="94"/>
      <c r="H123" s="8"/>
      <c r="I123" s="9"/>
      <c r="J123" s="9"/>
      <c r="K123" s="9"/>
      <c r="L123" s="9"/>
      <c r="M123" s="9"/>
      <c r="N123" s="9"/>
      <c r="O123" s="88">
        <f t="shared" si="14"/>
        <v>0</v>
      </c>
      <c r="P123" s="9"/>
      <c r="Q123" s="9"/>
      <c r="R123" s="89" t="str">
        <f t="shared" si="12"/>
        <v/>
      </c>
      <c r="S123" s="89" t="str">
        <f t="shared" si="13"/>
        <v/>
      </c>
      <c r="T123" s="90">
        <f>H123*[0]!FMainPool1Fee+I123*[0]!FMainPool2Fee+J123*[0]!FMainPool3Fee+K123*[0]!FMainPool4Fee+B123*[0]!FMainEntryFee</f>
        <v>0</v>
      </c>
      <c r="U123" s="91"/>
      <c r="V123" s="106"/>
      <c r="X123" s="96"/>
      <c r="Y123" s="96"/>
    </row>
    <row r="124" spans="1:25" x14ac:dyDescent="0.2">
      <c r="A124" s="85">
        <f t="shared" si="11"/>
        <v>113</v>
      </c>
      <c r="B124" s="9"/>
      <c r="C124" s="101" t="s">
        <v>615</v>
      </c>
      <c r="D124" s="101" t="s">
        <v>48</v>
      </c>
      <c r="E124" s="95" t="s">
        <v>616</v>
      </c>
      <c r="F124" s="106">
        <v>5104930824</v>
      </c>
      <c r="G124" s="109" t="s">
        <v>625</v>
      </c>
      <c r="H124" s="8"/>
      <c r="I124" s="9"/>
      <c r="J124" s="9"/>
      <c r="K124" s="9"/>
      <c r="L124" s="9"/>
      <c r="M124" s="9"/>
      <c r="N124" s="9"/>
      <c r="O124" s="88">
        <f t="shared" si="14"/>
        <v>0</v>
      </c>
      <c r="P124" s="9"/>
      <c r="Q124" s="9"/>
      <c r="R124" s="89" t="str">
        <f t="shared" si="12"/>
        <v/>
      </c>
      <c r="S124" s="89" t="str">
        <f t="shared" si="13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">
      <c r="A125" s="85">
        <f t="shared" si="11"/>
        <v>114</v>
      </c>
      <c r="B125" s="9"/>
      <c r="C125" s="6" t="s">
        <v>428</v>
      </c>
      <c r="D125" s="6" t="s">
        <v>411</v>
      </c>
      <c r="E125" s="7" t="s">
        <v>412</v>
      </c>
      <c r="F125" s="86"/>
      <c r="G125" s="94" t="s">
        <v>413</v>
      </c>
      <c r="H125" s="8"/>
      <c r="I125" s="9"/>
      <c r="J125" s="9"/>
      <c r="K125" s="9"/>
      <c r="L125" s="9"/>
      <c r="M125" s="9"/>
      <c r="N125" s="9"/>
      <c r="O125" s="88">
        <f t="shared" si="14"/>
        <v>0</v>
      </c>
      <c r="P125" s="9"/>
      <c r="Q125" s="9"/>
      <c r="R125" s="89" t="str">
        <f t="shared" si="12"/>
        <v/>
      </c>
      <c r="S125" s="89" t="str">
        <f t="shared" si="13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">
      <c r="A126" s="85">
        <f t="shared" si="11"/>
        <v>115</v>
      </c>
      <c r="B126" s="9"/>
      <c r="C126" s="1" t="s">
        <v>18</v>
      </c>
      <c r="D126" s="1" t="s">
        <v>19</v>
      </c>
      <c r="E126" s="2" t="s">
        <v>218</v>
      </c>
      <c r="F126" s="119"/>
      <c r="G126" s="94" t="s">
        <v>395</v>
      </c>
      <c r="H126" s="8"/>
      <c r="I126" s="9"/>
      <c r="J126" s="9"/>
      <c r="K126" s="9"/>
      <c r="L126" s="9"/>
      <c r="M126" s="9"/>
      <c r="N126" s="9"/>
      <c r="O126" s="88">
        <f t="shared" si="14"/>
        <v>0</v>
      </c>
      <c r="P126" s="9"/>
      <c r="Q126" s="9"/>
      <c r="R126" s="89" t="str">
        <f t="shared" si="12"/>
        <v/>
      </c>
      <c r="S126" s="89" t="str">
        <f t="shared" si="13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">
      <c r="A127" s="85">
        <f t="shared" si="11"/>
        <v>116</v>
      </c>
      <c r="B127" s="9"/>
      <c r="C127" s="1" t="s">
        <v>112</v>
      </c>
      <c r="D127" s="72" t="s">
        <v>113</v>
      </c>
      <c r="E127" s="2" t="s">
        <v>164</v>
      </c>
      <c r="F127" s="86">
        <v>8054556079</v>
      </c>
      <c r="G127" s="94" t="s">
        <v>155</v>
      </c>
      <c r="H127" s="8"/>
      <c r="I127" s="9"/>
      <c r="J127" s="9"/>
      <c r="K127" s="9"/>
      <c r="L127" s="9"/>
      <c r="M127" s="9"/>
      <c r="N127" s="9"/>
      <c r="O127" s="88">
        <f t="shared" si="14"/>
        <v>0</v>
      </c>
      <c r="P127" s="9"/>
      <c r="Q127" s="9"/>
      <c r="R127" s="89" t="str">
        <f t="shared" si="12"/>
        <v/>
      </c>
      <c r="S127" s="89" t="str">
        <f t="shared" si="13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">
      <c r="A128" s="85">
        <f t="shared" si="11"/>
        <v>117</v>
      </c>
      <c r="B128" s="9"/>
      <c r="C128" s="6" t="s">
        <v>264</v>
      </c>
      <c r="D128" s="43" t="s">
        <v>114</v>
      </c>
      <c r="E128" s="7" t="s">
        <v>265</v>
      </c>
      <c r="F128" s="86"/>
      <c r="G128" s="94" t="s">
        <v>385</v>
      </c>
      <c r="H128" s="8"/>
      <c r="I128" s="9"/>
      <c r="J128" s="9"/>
      <c r="K128" s="9"/>
      <c r="L128" s="9"/>
      <c r="M128" s="9"/>
      <c r="N128" s="9"/>
      <c r="O128" s="88">
        <f t="shared" si="14"/>
        <v>0</v>
      </c>
      <c r="P128" s="9"/>
      <c r="Q128" s="9"/>
      <c r="R128" s="89" t="str">
        <f t="shared" si="12"/>
        <v/>
      </c>
      <c r="S128" s="89" t="str">
        <f t="shared" si="13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">
      <c r="A129" s="85">
        <f t="shared" si="11"/>
        <v>118</v>
      </c>
      <c r="B129" s="9"/>
      <c r="C129" s="6" t="s">
        <v>472</v>
      </c>
      <c r="D129" s="6" t="s">
        <v>96</v>
      </c>
      <c r="E129" s="7" t="s">
        <v>473</v>
      </c>
      <c r="F129" s="106" t="s">
        <v>510</v>
      </c>
      <c r="G129" s="87" t="s">
        <v>511</v>
      </c>
      <c r="H129" s="8"/>
      <c r="I129" s="9"/>
      <c r="J129" s="9"/>
      <c r="K129" s="9"/>
      <c r="L129" s="9"/>
      <c r="M129" s="9"/>
      <c r="N129" s="9"/>
      <c r="O129" s="88">
        <f t="shared" si="14"/>
        <v>0</v>
      </c>
      <c r="P129" s="9"/>
      <c r="Q129" s="9"/>
      <c r="R129" s="89" t="str">
        <f t="shared" si="12"/>
        <v/>
      </c>
      <c r="S129" s="89" t="str">
        <f t="shared" si="13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">
      <c r="A130" s="85">
        <f t="shared" si="11"/>
        <v>119</v>
      </c>
      <c r="B130" s="9"/>
      <c r="C130" s="6" t="s">
        <v>474</v>
      </c>
      <c r="D130" s="6" t="s">
        <v>96</v>
      </c>
      <c r="E130" s="7" t="s">
        <v>475</v>
      </c>
      <c r="F130" s="106" t="s">
        <v>510</v>
      </c>
      <c r="G130" s="87" t="s">
        <v>512</v>
      </c>
      <c r="H130" s="8"/>
      <c r="I130" s="9"/>
      <c r="J130" s="9"/>
      <c r="K130" s="9"/>
      <c r="L130" s="9"/>
      <c r="M130" s="9"/>
      <c r="N130" s="9"/>
      <c r="O130" s="88">
        <f t="shared" si="14"/>
        <v>0</v>
      </c>
      <c r="P130" s="9"/>
      <c r="Q130" s="9"/>
      <c r="R130" s="89" t="str">
        <f t="shared" si="12"/>
        <v/>
      </c>
      <c r="S130" s="89" t="str">
        <f t="shared" si="13"/>
        <v/>
      </c>
      <c r="T130" s="90">
        <f>H130*[0]!FMainPool1Fee+I130*[0]!FMainPool2Fee+J130*[0]!FMainPool3Fee+K130*[0]!FMainPool4Fee+B130*[0]!FMainEntryFee</f>
        <v>0</v>
      </c>
      <c r="U130" s="91"/>
      <c r="V130" s="106"/>
      <c r="X130" s="96"/>
      <c r="Y130" s="96"/>
    </row>
    <row r="131" spans="1:25" x14ac:dyDescent="0.2">
      <c r="A131" s="85">
        <f t="shared" si="11"/>
        <v>120</v>
      </c>
      <c r="B131" s="9">
        <v>1</v>
      </c>
      <c r="C131" s="6" t="s">
        <v>697</v>
      </c>
      <c r="D131" s="6" t="s">
        <v>5</v>
      </c>
      <c r="E131" s="7" t="s">
        <v>698</v>
      </c>
      <c r="F131" s="106">
        <v>7072279891</v>
      </c>
      <c r="G131" s="87" t="s">
        <v>699</v>
      </c>
      <c r="H131" s="8">
        <v>1</v>
      </c>
      <c r="I131" s="9">
        <v>1</v>
      </c>
      <c r="J131" s="9">
        <v>1</v>
      </c>
      <c r="K131" s="9">
        <v>1</v>
      </c>
      <c r="L131" s="9"/>
      <c r="M131" s="9"/>
      <c r="N131" s="9"/>
      <c r="O131" s="88">
        <f t="shared" si="14"/>
        <v>0</v>
      </c>
      <c r="P131" s="9" t="s">
        <v>724</v>
      </c>
      <c r="Q131" s="9" t="s">
        <v>741</v>
      </c>
      <c r="R131" s="89" t="str">
        <f t="shared" si="12"/>
        <v/>
      </c>
      <c r="S131" s="89">
        <f t="shared" si="13"/>
        <v>160</v>
      </c>
      <c r="T131" s="90">
        <f>H131*[0]!FMainPool1Fee+I131*[0]!FMainPool2Fee+J131*[0]!FMainPool3Fee+K131*[0]!FMainPool4Fee+B131*[0]!FMainEntryFee</f>
        <v>160</v>
      </c>
      <c r="U131" s="91"/>
      <c r="V131" s="106"/>
      <c r="X131" s="96"/>
      <c r="Y131" s="96"/>
    </row>
    <row r="132" spans="1:25" x14ac:dyDescent="0.2">
      <c r="A132" s="85">
        <f t="shared" si="11"/>
        <v>121</v>
      </c>
      <c r="B132" s="9">
        <v>1</v>
      </c>
      <c r="C132" s="6" t="s">
        <v>476</v>
      </c>
      <c r="D132" s="6" t="s">
        <v>477</v>
      </c>
      <c r="E132" s="7" t="s">
        <v>478</v>
      </c>
      <c r="F132" s="106" t="s">
        <v>513</v>
      </c>
      <c r="G132" s="101" t="s">
        <v>514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88">
        <f t="shared" si="14"/>
        <v>0</v>
      </c>
      <c r="P132" s="9" t="s">
        <v>721</v>
      </c>
      <c r="Q132" s="9">
        <v>1587</v>
      </c>
      <c r="R132" s="89">
        <f t="shared" si="12"/>
        <v>160</v>
      </c>
      <c r="S132" s="89" t="str">
        <f t="shared" si="13"/>
        <v/>
      </c>
      <c r="T132" s="90">
        <f>H132*[0]!FMainPool1Fee+I132*[0]!FMainPool2Fee+J132*[0]!FMainPool3Fee+K132*[0]!FMainPool4Fee+B132*[0]!FMainEntryFee</f>
        <v>160</v>
      </c>
      <c r="U132" s="91"/>
      <c r="V132" s="92" t="s">
        <v>684</v>
      </c>
      <c r="X132" s="96"/>
      <c r="Y132" s="96"/>
    </row>
    <row r="133" spans="1:25" x14ac:dyDescent="0.2">
      <c r="A133" s="85">
        <f t="shared" si="11"/>
        <v>122</v>
      </c>
      <c r="B133" s="9"/>
      <c r="C133" s="6" t="s">
        <v>279</v>
      </c>
      <c r="D133" s="6" t="s">
        <v>5</v>
      </c>
      <c r="E133" s="7" t="s">
        <v>280</v>
      </c>
      <c r="F133" s="86" t="s">
        <v>515</v>
      </c>
      <c r="G133" s="101" t="s">
        <v>516</v>
      </c>
      <c r="H133" s="8"/>
      <c r="I133" s="9"/>
      <c r="J133" s="9"/>
      <c r="K133" s="9"/>
      <c r="L133" s="9"/>
      <c r="M133" s="9"/>
      <c r="N133" s="9"/>
      <c r="O133" s="88">
        <f t="shared" si="14"/>
        <v>0</v>
      </c>
      <c r="P133" s="9"/>
      <c r="Q133" s="9"/>
      <c r="R133" s="89" t="str">
        <f t="shared" si="12"/>
        <v/>
      </c>
      <c r="S133" s="89" t="str">
        <f t="shared" si="13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">
      <c r="A134" s="85">
        <f t="shared" si="11"/>
        <v>123</v>
      </c>
      <c r="B134" s="9"/>
      <c r="C134" s="6" t="s">
        <v>359</v>
      </c>
      <c r="D134" s="6" t="s">
        <v>360</v>
      </c>
      <c r="E134" s="7" t="s">
        <v>361</v>
      </c>
      <c r="F134" s="86"/>
      <c r="G134" s="94" t="s">
        <v>370</v>
      </c>
      <c r="H134" s="8"/>
      <c r="I134" s="9"/>
      <c r="J134" s="9"/>
      <c r="K134" s="9"/>
      <c r="L134" s="9"/>
      <c r="M134" s="9"/>
      <c r="N134" s="9"/>
      <c r="O134" s="88">
        <f t="shared" si="14"/>
        <v>0</v>
      </c>
      <c r="P134" s="9"/>
      <c r="Q134" s="9"/>
      <c r="R134" s="89" t="str">
        <f t="shared" si="12"/>
        <v/>
      </c>
      <c r="S134" s="89" t="str">
        <f t="shared" si="13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">
      <c r="A135" s="85">
        <f t="shared" si="11"/>
        <v>124</v>
      </c>
      <c r="B135" s="9">
        <v>1</v>
      </c>
      <c r="C135" s="101" t="s">
        <v>617</v>
      </c>
      <c r="D135" s="101" t="s">
        <v>494</v>
      </c>
      <c r="E135" s="95" t="s">
        <v>620</v>
      </c>
      <c r="F135" s="106">
        <v>7078892101</v>
      </c>
      <c r="G135" s="101"/>
      <c r="H135" s="8">
        <v>1</v>
      </c>
      <c r="I135" s="9"/>
      <c r="J135" s="9"/>
      <c r="K135" s="9"/>
      <c r="L135" s="9"/>
      <c r="M135" s="9"/>
      <c r="N135" s="9"/>
      <c r="O135" s="88">
        <f t="shared" si="14"/>
        <v>0</v>
      </c>
      <c r="P135" s="9" t="s">
        <v>724</v>
      </c>
      <c r="Q135" s="9" t="s">
        <v>684</v>
      </c>
      <c r="R135" s="89" t="str">
        <f t="shared" si="12"/>
        <v/>
      </c>
      <c r="S135" s="89">
        <f t="shared" si="13"/>
        <v>80</v>
      </c>
      <c r="T135" s="90">
        <f>H135*[0]!FMainPool1Fee+I135*[0]!FMainPool2Fee+J135*[0]!FMainPool3Fee+K135*[0]!FMainPool4Fee+B135*[0]!FMainEntryFee</f>
        <v>80</v>
      </c>
      <c r="U135" s="91">
        <v>1</v>
      </c>
      <c r="V135" s="92"/>
      <c r="X135" s="96"/>
      <c r="Y135" s="96"/>
    </row>
    <row r="136" spans="1:25" x14ac:dyDescent="0.2">
      <c r="A136" s="85">
        <f t="shared" si="11"/>
        <v>125</v>
      </c>
      <c r="B136" s="9">
        <v>1</v>
      </c>
      <c r="C136" s="1" t="s">
        <v>67</v>
      </c>
      <c r="D136" s="1" t="s">
        <v>5</v>
      </c>
      <c r="E136" s="2" t="s">
        <v>753</v>
      </c>
      <c r="F136" s="111">
        <v>7072242345</v>
      </c>
      <c r="G136" s="94" t="s">
        <v>371</v>
      </c>
      <c r="H136" s="8">
        <v>1</v>
      </c>
      <c r="I136" s="9">
        <v>1</v>
      </c>
      <c r="J136" s="9">
        <v>1</v>
      </c>
      <c r="K136" s="9">
        <v>1</v>
      </c>
      <c r="L136" s="9"/>
      <c r="M136" s="9"/>
      <c r="N136" s="9"/>
      <c r="O136" s="88">
        <f t="shared" si="14"/>
        <v>0</v>
      </c>
      <c r="P136" s="9" t="s">
        <v>721</v>
      </c>
      <c r="Q136" s="9">
        <v>2553</v>
      </c>
      <c r="R136" s="89">
        <f t="shared" si="12"/>
        <v>160</v>
      </c>
      <c r="S136" s="89" t="str">
        <f t="shared" si="13"/>
        <v/>
      </c>
      <c r="T136" s="90">
        <f>H136*[0]!FMainPool1Fee+I136*[0]!FMainPool2Fee+J136*[0]!FMainPool3Fee+K136*[0]!FMainPool4Fee+B136*[0]!FMainEntryFee</f>
        <v>160</v>
      </c>
      <c r="U136" s="91"/>
      <c r="V136" s="92"/>
      <c r="X136" s="96"/>
      <c r="Y136" s="96"/>
    </row>
    <row r="137" spans="1:25" x14ac:dyDescent="0.2">
      <c r="A137" s="85">
        <f t="shared" si="11"/>
        <v>126</v>
      </c>
      <c r="B137" s="9"/>
      <c r="C137" s="6" t="s">
        <v>314</v>
      </c>
      <c r="D137" s="6" t="s">
        <v>315</v>
      </c>
      <c r="E137" s="7" t="s">
        <v>316</v>
      </c>
      <c r="F137" s="86"/>
      <c r="G137" s="94" t="s">
        <v>396</v>
      </c>
      <c r="H137" s="8"/>
      <c r="I137" s="9"/>
      <c r="J137" s="9"/>
      <c r="K137" s="9"/>
      <c r="L137" s="9"/>
      <c r="M137" s="9"/>
      <c r="N137" s="9"/>
      <c r="O137" s="88">
        <f t="shared" si="14"/>
        <v>0</v>
      </c>
      <c r="P137" s="9"/>
      <c r="Q137" s="9"/>
      <c r="R137" s="89" t="str">
        <f t="shared" si="12"/>
        <v/>
      </c>
      <c r="S137" s="89" t="str">
        <f t="shared" si="13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">
      <c r="A138" s="85">
        <f t="shared" si="11"/>
        <v>127</v>
      </c>
      <c r="B138" s="9"/>
      <c r="C138" s="1" t="s">
        <v>31</v>
      </c>
      <c r="D138" s="1" t="s">
        <v>22</v>
      </c>
      <c r="E138" s="2" t="s">
        <v>191</v>
      </c>
      <c r="F138" s="111"/>
      <c r="G138" s="94" t="s">
        <v>397</v>
      </c>
      <c r="H138" s="8"/>
      <c r="I138" s="9"/>
      <c r="J138" s="9"/>
      <c r="K138" s="9"/>
      <c r="L138" s="9"/>
      <c r="M138" s="9"/>
      <c r="N138" s="9"/>
      <c r="O138" s="88">
        <f t="shared" si="14"/>
        <v>0</v>
      </c>
      <c r="P138" s="9"/>
      <c r="Q138" s="9"/>
      <c r="R138" s="89" t="str">
        <f t="shared" si="12"/>
        <v/>
      </c>
      <c r="S138" s="89" t="str">
        <f t="shared" si="13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">
      <c r="A139" s="85">
        <f t="shared" si="11"/>
        <v>128</v>
      </c>
      <c r="B139" s="9">
        <v>1</v>
      </c>
      <c r="C139" s="1" t="s">
        <v>666</v>
      </c>
      <c r="D139" s="1" t="s">
        <v>263</v>
      </c>
      <c r="E139" s="2" t="s">
        <v>667</v>
      </c>
      <c r="F139" s="111">
        <v>9168330331</v>
      </c>
      <c r="G139" s="87" t="s">
        <v>668</v>
      </c>
      <c r="H139" s="8">
        <v>1</v>
      </c>
      <c r="I139" s="9"/>
      <c r="J139" s="9"/>
      <c r="K139" s="9"/>
      <c r="L139" s="9"/>
      <c r="M139" s="9"/>
      <c r="N139" s="9"/>
      <c r="O139" s="88">
        <f t="shared" si="14"/>
        <v>0</v>
      </c>
      <c r="P139" s="9" t="s">
        <v>721</v>
      </c>
      <c r="Q139" s="9">
        <v>133</v>
      </c>
      <c r="R139" s="89">
        <f t="shared" si="12"/>
        <v>80</v>
      </c>
      <c r="S139" s="89" t="str">
        <f t="shared" si="13"/>
        <v/>
      </c>
      <c r="T139" s="90">
        <f>H139*[0]!FMainPool1Fee+I139*[0]!FMainPool2Fee+J139*[0]!FMainPool3Fee+K139*[0]!FMainPool4Fee+B139*[0]!FMainEntryFee</f>
        <v>80</v>
      </c>
      <c r="U139" s="91"/>
      <c r="V139" s="106"/>
      <c r="W139" s="98"/>
      <c r="X139" s="96"/>
      <c r="Y139" s="96"/>
    </row>
    <row r="140" spans="1:25" x14ac:dyDescent="0.2">
      <c r="A140" s="85">
        <f t="shared" si="11"/>
        <v>129</v>
      </c>
      <c r="B140" s="9"/>
      <c r="C140" s="101" t="s">
        <v>711</v>
      </c>
      <c r="D140" s="101" t="s">
        <v>268</v>
      </c>
      <c r="E140" s="95" t="s">
        <v>712</v>
      </c>
      <c r="F140" s="120">
        <v>9254081849</v>
      </c>
      <c r="G140" s="109" t="s">
        <v>713</v>
      </c>
      <c r="H140" s="8"/>
      <c r="I140" s="9"/>
      <c r="J140" s="9"/>
      <c r="K140" s="9"/>
      <c r="L140" s="9"/>
      <c r="M140" s="9"/>
      <c r="N140" s="9"/>
      <c r="O140" s="88">
        <f t="shared" si="14"/>
        <v>0</v>
      </c>
      <c r="P140" s="9"/>
      <c r="Q140" s="9"/>
      <c r="R140" s="89" t="str">
        <f t="shared" ref="R140:R171" si="15">IF(OR(P140="c",P140="C"),+T140,"")</f>
        <v/>
      </c>
      <c r="S140" s="89" t="str">
        <f t="shared" ref="S140:S171" si="16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">
      <c r="A141" s="85">
        <f t="shared" si="11"/>
        <v>130</v>
      </c>
      <c r="B141" s="9"/>
      <c r="C141" s="6" t="s">
        <v>415</v>
      </c>
      <c r="D141" s="6" t="s">
        <v>30</v>
      </c>
      <c r="E141" s="7" t="s">
        <v>416</v>
      </c>
      <c r="F141" s="86"/>
      <c r="G141" s="94" t="s">
        <v>417</v>
      </c>
      <c r="H141" s="8"/>
      <c r="I141" s="9"/>
      <c r="J141" s="9"/>
      <c r="K141" s="9"/>
      <c r="L141" s="9"/>
      <c r="M141" s="9"/>
      <c r="N141" s="9"/>
      <c r="O141" s="88">
        <f t="shared" si="14"/>
        <v>0</v>
      </c>
      <c r="P141" s="9"/>
      <c r="Q141" s="9"/>
      <c r="R141" s="89" t="str">
        <f t="shared" si="15"/>
        <v/>
      </c>
      <c r="S141" s="89" t="str">
        <f t="shared" si="16"/>
        <v/>
      </c>
      <c r="T141" s="90">
        <f>H141*[0]!FMainPool1Fee+I141*[0]!FMainPool2Fee+J141*[0]!FMainPool3Fee+K141*[0]!FMainPool4Fee+B141*[0]!FMainEntryFee</f>
        <v>0</v>
      </c>
      <c r="U141" s="91"/>
      <c r="V141" s="106" t="s">
        <v>694</v>
      </c>
      <c r="X141" s="96"/>
      <c r="Y141" s="96"/>
    </row>
    <row r="142" spans="1:25" x14ac:dyDescent="0.2">
      <c r="A142" s="85">
        <f t="shared" si="11"/>
        <v>131</v>
      </c>
      <c r="B142" s="9"/>
      <c r="C142" s="6" t="s">
        <v>382</v>
      </c>
      <c r="D142" s="6" t="s">
        <v>383</v>
      </c>
      <c r="E142" s="7"/>
      <c r="F142" s="86"/>
      <c r="G142" s="94" t="s">
        <v>384</v>
      </c>
      <c r="H142" s="8"/>
      <c r="I142" s="9"/>
      <c r="J142" s="9"/>
      <c r="K142" s="9"/>
      <c r="L142" s="9"/>
      <c r="M142" s="9"/>
      <c r="N142" s="9"/>
      <c r="O142" s="88">
        <f t="shared" si="14"/>
        <v>0</v>
      </c>
      <c r="P142" s="9"/>
      <c r="Q142" s="9"/>
      <c r="R142" s="89" t="str">
        <f t="shared" si="15"/>
        <v/>
      </c>
      <c r="S142" s="89" t="str">
        <f t="shared" si="16"/>
        <v/>
      </c>
      <c r="T142" s="90">
        <f>H142*[0]!FMainPool1Fee+I142*[0]!FMainPool2Fee+J142*[0]!FMainPool3Fee+K142*[0]!FMainPool4Fee+B142*[0]!FMainEntryFee</f>
        <v>0</v>
      </c>
      <c r="U142" s="91"/>
      <c r="V142" s="106"/>
      <c r="X142" s="96"/>
      <c r="Y142" s="96"/>
    </row>
    <row r="143" spans="1:25" x14ac:dyDescent="0.2">
      <c r="A143" s="85">
        <f t="shared" si="11"/>
        <v>132</v>
      </c>
      <c r="B143" s="9"/>
      <c r="C143" s="6" t="s">
        <v>159</v>
      </c>
      <c r="D143" s="6" t="s">
        <v>111</v>
      </c>
      <c r="E143" s="7" t="s">
        <v>201</v>
      </c>
      <c r="F143" s="86"/>
      <c r="G143" s="94" t="s">
        <v>398</v>
      </c>
      <c r="H143" s="8"/>
      <c r="I143" s="9"/>
      <c r="J143" s="9"/>
      <c r="K143" s="9"/>
      <c r="L143" s="9"/>
      <c r="M143" s="9"/>
      <c r="N143" s="9"/>
      <c r="O143" s="88">
        <f t="shared" si="14"/>
        <v>0</v>
      </c>
      <c r="P143" s="9"/>
      <c r="Q143" s="9"/>
      <c r="R143" s="89" t="str">
        <f t="shared" si="15"/>
        <v/>
      </c>
      <c r="S143" s="89" t="str">
        <f t="shared" si="16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">
      <c r="A144" s="85">
        <f t="shared" si="11"/>
        <v>133</v>
      </c>
      <c r="B144" s="9"/>
      <c r="C144" s="101" t="s">
        <v>621</v>
      </c>
      <c r="D144" s="101" t="s">
        <v>622</v>
      </c>
      <c r="E144" s="95" t="s">
        <v>608</v>
      </c>
      <c r="F144" s="106"/>
      <c r="G144" s="87" t="s">
        <v>623</v>
      </c>
      <c r="H144" s="8"/>
      <c r="I144" s="9"/>
      <c r="J144" s="9"/>
      <c r="K144" s="9"/>
      <c r="L144" s="9"/>
      <c r="M144" s="9"/>
      <c r="N144" s="9"/>
      <c r="O144" s="88">
        <f t="shared" si="14"/>
        <v>0</v>
      </c>
      <c r="P144" s="9"/>
      <c r="Q144" s="9"/>
      <c r="R144" s="89" t="str">
        <f t="shared" si="15"/>
        <v/>
      </c>
      <c r="S144" s="89" t="str">
        <f t="shared" si="16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">
      <c r="A145" s="85">
        <f t="shared" si="11"/>
        <v>134</v>
      </c>
      <c r="B145" s="9"/>
      <c r="C145" s="6" t="s">
        <v>380</v>
      </c>
      <c r="D145" s="6" t="s">
        <v>96</v>
      </c>
      <c r="E145" s="7"/>
      <c r="F145" s="86"/>
      <c r="G145" s="94" t="s">
        <v>381</v>
      </c>
      <c r="H145" s="8"/>
      <c r="I145" s="9"/>
      <c r="J145" s="9"/>
      <c r="K145" s="9"/>
      <c r="L145" s="9"/>
      <c r="M145" s="9"/>
      <c r="N145" s="9"/>
      <c r="O145" s="88">
        <f t="shared" si="14"/>
        <v>0</v>
      </c>
      <c r="P145" s="9"/>
      <c r="Q145" s="9"/>
      <c r="R145" s="89" t="str">
        <f t="shared" si="15"/>
        <v/>
      </c>
      <c r="S145" s="89" t="str">
        <f t="shared" si="16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">
      <c r="A146" s="85">
        <f t="shared" si="11"/>
        <v>135</v>
      </c>
      <c r="B146" s="9">
        <v>1</v>
      </c>
      <c r="C146" s="1" t="s">
        <v>24</v>
      </c>
      <c r="D146" s="1" t="s">
        <v>25</v>
      </c>
      <c r="E146" s="2" t="s">
        <v>179</v>
      </c>
      <c r="F146" s="111">
        <v>9253780132</v>
      </c>
      <c r="G146" s="94" t="s">
        <v>136</v>
      </c>
      <c r="H146" s="8">
        <v>1</v>
      </c>
      <c r="I146" s="9">
        <v>1</v>
      </c>
      <c r="J146" s="9">
        <v>1</v>
      </c>
      <c r="K146" s="9"/>
      <c r="L146" s="9"/>
      <c r="M146" s="9"/>
      <c r="N146" s="9"/>
      <c r="O146" s="88">
        <f t="shared" si="14"/>
        <v>0</v>
      </c>
      <c r="P146" s="9" t="s">
        <v>721</v>
      </c>
      <c r="Q146" s="9">
        <v>5361</v>
      </c>
      <c r="R146" s="89">
        <f t="shared" si="15"/>
        <v>110</v>
      </c>
      <c r="S146" s="89" t="str">
        <f t="shared" si="16"/>
        <v/>
      </c>
      <c r="T146" s="90">
        <f>H146*[0]!FMainPool1Fee+I146*[0]!FMainPool2Fee+J146*[0]!FMainPool3Fee+K146*[0]!FMainPool4Fee+B146*[0]!FMainEntryFee</f>
        <v>110</v>
      </c>
      <c r="U146" s="91">
        <v>1</v>
      </c>
      <c r="V146" s="92"/>
      <c r="X146" s="96"/>
      <c r="Y146" s="96"/>
    </row>
    <row r="147" spans="1:25" x14ac:dyDescent="0.2">
      <c r="A147" s="85">
        <f t="shared" si="11"/>
        <v>136</v>
      </c>
      <c r="B147" s="9">
        <v>1</v>
      </c>
      <c r="C147" s="1" t="s">
        <v>760</v>
      </c>
      <c r="D147" s="1" t="s">
        <v>761</v>
      </c>
      <c r="E147" s="2" t="s">
        <v>762</v>
      </c>
      <c r="F147" s="111">
        <v>6507733006</v>
      </c>
      <c r="G147" s="117" t="s">
        <v>763</v>
      </c>
      <c r="H147" s="8"/>
      <c r="I147" s="9"/>
      <c r="J147" s="9"/>
      <c r="K147" s="9"/>
      <c r="L147" s="9"/>
      <c r="M147" s="9">
        <v>1</v>
      </c>
      <c r="N147" s="9"/>
      <c r="O147" s="88">
        <f t="shared" si="14"/>
        <v>0</v>
      </c>
      <c r="P147" s="9" t="s">
        <v>721</v>
      </c>
      <c r="Q147" s="9">
        <v>5007</v>
      </c>
      <c r="R147" s="89">
        <f t="shared" si="15"/>
        <v>70</v>
      </c>
      <c r="S147" s="89" t="str">
        <f t="shared" si="16"/>
        <v/>
      </c>
      <c r="T147" s="90">
        <f>H147*[0]!FMainPool1Fee+I147*[0]!FMainPool2Fee+J147*[0]!FMainPool3Fee+K147*[0]!FMainPool4Fee+B147*[0]!FMainEntryFee</f>
        <v>70</v>
      </c>
      <c r="U147" s="91">
        <v>1</v>
      </c>
      <c r="V147" s="106"/>
      <c r="W147"/>
      <c r="X147" s="96"/>
      <c r="Y147" s="96"/>
    </row>
    <row r="148" spans="1:25" x14ac:dyDescent="0.2">
      <c r="A148" s="85">
        <f t="shared" ref="A148:A216" si="17">ROW() - ROW(FRegentiresEneteredHdr)</f>
        <v>137</v>
      </c>
      <c r="B148" s="9"/>
      <c r="C148" s="6" t="s">
        <v>440</v>
      </c>
      <c r="D148" s="6" t="s">
        <v>50</v>
      </c>
      <c r="E148" s="7" t="s">
        <v>441</v>
      </c>
      <c r="F148" s="86">
        <v>8057047967</v>
      </c>
      <c r="G148" s="94"/>
      <c r="H148" s="8"/>
      <c r="I148" s="9"/>
      <c r="J148" s="9"/>
      <c r="K148" s="9"/>
      <c r="L148" s="9"/>
      <c r="M148" s="9"/>
      <c r="N148" s="9"/>
      <c r="O148" s="88">
        <f t="shared" ref="O148:O179" si="18">T148*N148</f>
        <v>0</v>
      </c>
      <c r="P148" s="9"/>
      <c r="Q148" s="9"/>
      <c r="R148" s="89" t="str">
        <f t="shared" si="15"/>
        <v/>
      </c>
      <c r="S148" s="89" t="str">
        <f t="shared" si="16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">
      <c r="A149" s="85">
        <f t="shared" si="17"/>
        <v>138</v>
      </c>
      <c r="B149" s="9"/>
      <c r="C149" s="1" t="s">
        <v>142</v>
      </c>
      <c r="D149" s="1" t="s">
        <v>12</v>
      </c>
      <c r="E149" s="2" t="s">
        <v>181</v>
      </c>
      <c r="F149" s="111"/>
      <c r="G149" s="94" t="s">
        <v>141</v>
      </c>
      <c r="H149" s="8"/>
      <c r="I149" s="9"/>
      <c r="J149" s="9"/>
      <c r="K149" s="9"/>
      <c r="L149" s="9"/>
      <c r="M149" s="9"/>
      <c r="N149" s="9"/>
      <c r="O149" s="88">
        <f t="shared" si="18"/>
        <v>0</v>
      </c>
      <c r="P149" s="9"/>
      <c r="Q149" s="9"/>
      <c r="R149" s="89" t="str">
        <f t="shared" si="15"/>
        <v/>
      </c>
      <c r="S149" s="89" t="str">
        <f t="shared" si="16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">
      <c r="A150" s="85">
        <f t="shared" si="17"/>
        <v>139</v>
      </c>
      <c r="B150" s="9"/>
      <c r="C150" s="6" t="s">
        <v>345</v>
      </c>
      <c r="D150" s="6" t="s">
        <v>346</v>
      </c>
      <c r="E150" s="7" t="s">
        <v>347</v>
      </c>
      <c r="F150" s="86"/>
      <c r="G150" s="94"/>
      <c r="H150" s="8"/>
      <c r="I150" s="9"/>
      <c r="J150" s="9"/>
      <c r="K150" s="9"/>
      <c r="L150" s="9"/>
      <c r="M150" s="9"/>
      <c r="N150" s="9"/>
      <c r="O150" s="88">
        <f t="shared" si="18"/>
        <v>0</v>
      </c>
      <c r="P150" s="9"/>
      <c r="Q150" s="9"/>
      <c r="R150" s="89" t="str">
        <f t="shared" si="15"/>
        <v/>
      </c>
      <c r="S150" s="89" t="str">
        <f t="shared" si="16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">
      <c r="A151" s="85">
        <f t="shared" si="17"/>
        <v>140</v>
      </c>
      <c r="B151" s="9"/>
      <c r="C151" s="1" t="s">
        <v>16</v>
      </c>
      <c r="D151" s="1" t="s">
        <v>15</v>
      </c>
      <c r="E151" s="2" t="s">
        <v>219</v>
      </c>
      <c r="F151" s="111"/>
      <c r="G151" s="94" t="s">
        <v>372</v>
      </c>
      <c r="H151" s="8"/>
      <c r="I151" s="9"/>
      <c r="J151" s="9"/>
      <c r="K151" s="9"/>
      <c r="L151" s="9"/>
      <c r="M151" s="9"/>
      <c r="N151" s="9"/>
      <c r="O151" s="88">
        <f t="shared" si="18"/>
        <v>0</v>
      </c>
      <c r="P151" s="9"/>
      <c r="Q151" s="9"/>
      <c r="R151" s="89" t="str">
        <f t="shared" si="15"/>
        <v/>
      </c>
      <c r="S151" s="89" t="str">
        <f t="shared" si="16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">
      <c r="A152" s="85">
        <f t="shared" si="17"/>
        <v>141</v>
      </c>
      <c r="B152" s="9"/>
      <c r="C152" s="6" t="s">
        <v>318</v>
      </c>
      <c r="D152" s="6" t="s">
        <v>319</v>
      </c>
      <c r="E152" s="7" t="s">
        <v>320</v>
      </c>
      <c r="F152" s="86"/>
      <c r="G152" s="94" t="s">
        <v>355</v>
      </c>
      <c r="H152" s="8"/>
      <c r="I152" s="9"/>
      <c r="J152" s="9"/>
      <c r="K152" s="9"/>
      <c r="L152" s="9"/>
      <c r="M152" s="9"/>
      <c r="N152" s="9"/>
      <c r="O152" s="88">
        <f t="shared" si="18"/>
        <v>0</v>
      </c>
      <c r="P152" s="9"/>
      <c r="Q152" s="9"/>
      <c r="R152" s="89" t="str">
        <f t="shared" si="15"/>
        <v/>
      </c>
      <c r="S152" s="89" t="str">
        <f t="shared" si="16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">
      <c r="A153" s="85">
        <f t="shared" si="17"/>
        <v>142</v>
      </c>
      <c r="B153" s="9"/>
      <c r="C153" s="6" t="s">
        <v>350</v>
      </c>
      <c r="D153" s="6" t="s">
        <v>289</v>
      </c>
      <c r="E153" s="7" t="s">
        <v>351</v>
      </c>
      <c r="F153" s="118"/>
      <c r="G153" s="94" t="s">
        <v>373</v>
      </c>
      <c r="H153" s="8"/>
      <c r="I153" s="9"/>
      <c r="J153" s="9"/>
      <c r="K153" s="9"/>
      <c r="L153" s="9"/>
      <c r="M153" s="9"/>
      <c r="N153" s="9"/>
      <c r="O153" s="88">
        <f t="shared" si="18"/>
        <v>0</v>
      </c>
      <c r="P153" s="9"/>
      <c r="Q153" s="9"/>
      <c r="R153" s="89" t="str">
        <f t="shared" si="15"/>
        <v/>
      </c>
      <c r="S153" s="89" t="str">
        <f t="shared" si="16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">
      <c r="A154" s="85">
        <f t="shared" si="17"/>
        <v>143</v>
      </c>
      <c r="B154" s="9"/>
      <c r="C154" s="6" t="s">
        <v>157</v>
      </c>
      <c r="D154" s="6" t="s">
        <v>15</v>
      </c>
      <c r="E154" s="7" t="s">
        <v>200</v>
      </c>
      <c r="F154" s="86">
        <v>7074845031</v>
      </c>
      <c r="G154" s="94" t="s">
        <v>158</v>
      </c>
      <c r="H154" s="8"/>
      <c r="I154" s="9"/>
      <c r="J154" s="9"/>
      <c r="K154" s="9"/>
      <c r="L154" s="9"/>
      <c r="M154" s="9"/>
      <c r="N154" s="9"/>
      <c r="O154" s="88">
        <f t="shared" si="18"/>
        <v>0</v>
      </c>
      <c r="P154" s="9"/>
      <c r="Q154" s="9"/>
      <c r="R154" s="89" t="str">
        <f t="shared" si="15"/>
        <v/>
      </c>
      <c r="S154" s="89" t="str">
        <f t="shared" si="16"/>
        <v/>
      </c>
      <c r="T154" s="90">
        <f>H154*[0]!FMainPool1Fee+I154*[0]!FMainPool2Fee+J154*[0]!FMainPool3Fee+K154*[0]!FMainPool4Fee+B154*[0]!FMainEntryFee</f>
        <v>0</v>
      </c>
      <c r="U154" s="91"/>
      <c r="V154" s="106"/>
      <c r="X154" s="96"/>
      <c r="Y154" s="96"/>
    </row>
    <row r="155" spans="1:25" x14ac:dyDescent="0.2">
      <c r="A155" s="85">
        <f t="shared" si="17"/>
        <v>144</v>
      </c>
      <c r="B155" s="9"/>
      <c r="C155" s="6" t="s">
        <v>291</v>
      </c>
      <c r="D155" s="6" t="s">
        <v>58</v>
      </c>
      <c r="E155" s="7" t="s">
        <v>292</v>
      </c>
      <c r="F155" s="86"/>
      <c r="G155" s="94" t="s">
        <v>294</v>
      </c>
      <c r="H155" s="8"/>
      <c r="I155" s="9"/>
      <c r="J155" s="9"/>
      <c r="K155" s="9"/>
      <c r="L155" s="9"/>
      <c r="M155" s="9"/>
      <c r="N155" s="9"/>
      <c r="O155" s="88">
        <f t="shared" si="18"/>
        <v>0</v>
      </c>
      <c r="P155" s="9"/>
      <c r="Q155" s="9"/>
      <c r="R155" s="89" t="str">
        <f t="shared" si="15"/>
        <v/>
      </c>
      <c r="S155" s="89" t="str">
        <f t="shared" si="16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">
      <c r="A156" s="85">
        <f t="shared" si="17"/>
        <v>145</v>
      </c>
      <c r="B156" s="9"/>
      <c r="C156" s="6" t="s">
        <v>127</v>
      </c>
      <c r="D156" s="6" t="s">
        <v>128</v>
      </c>
      <c r="E156" s="7" t="s">
        <v>220</v>
      </c>
      <c r="F156" s="86"/>
      <c r="G156" s="94"/>
      <c r="H156" s="8"/>
      <c r="I156" s="9"/>
      <c r="J156" s="9"/>
      <c r="K156" s="9"/>
      <c r="L156" s="9"/>
      <c r="M156" s="9"/>
      <c r="N156" s="9"/>
      <c r="O156" s="88">
        <f t="shared" si="18"/>
        <v>0</v>
      </c>
      <c r="P156" s="9"/>
      <c r="Q156" s="9"/>
      <c r="R156" s="89" t="str">
        <f t="shared" si="15"/>
        <v/>
      </c>
      <c r="S156" s="89" t="str">
        <f t="shared" si="16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">
      <c r="A157" s="85">
        <f t="shared" si="17"/>
        <v>146</v>
      </c>
      <c r="B157" s="9"/>
      <c r="C157" s="101" t="s">
        <v>627</v>
      </c>
      <c r="D157" s="101" t="s">
        <v>39</v>
      </c>
      <c r="E157" s="95" t="s">
        <v>628</v>
      </c>
      <c r="F157" s="106"/>
      <c r="G157" s="101"/>
      <c r="H157" s="8"/>
      <c r="I157" s="9"/>
      <c r="J157" s="9"/>
      <c r="K157" s="9"/>
      <c r="L157" s="9"/>
      <c r="M157" s="9"/>
      <c r="N157" s="9"/>
      <c r="O157" s="88">
        <f t="shared" si="18"/>
        <v>0</v>
      </c>
      <c r="P157" s="9"/>
      <c r="Q157" s="9"/>
      <c r="R157" s="89" t="str">
        <f t="shared" si="15"/>
        <v/>
      </c>
      <c r="S157" s="89" t="str">
        <f t="shared" si="16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">
      <c r="A158" s="85">
        <f t="shared" si="17"/>
        <v>147</v>
      </c>
      <c r="B158" s="9">
        <v>1</v>
      </c>
      <c r="C158" s="1" t="s">
        <v>23</v>
      </c>
      <c r="D158" s="1" t="s">
        <v>5</v>
      </c>
      <c r="E158" s="2" t="s">
        <v>221</v>
      </c>
      <c r="F158" s="111">
        <v>5105046905</v>
      </c>
      <c r="G158" s="87" t="s">
        <v>517</v>
      </c>
      <c r="H158" s="8">
        <v>1</v>
      </c>
      <c r="I158" s="9">
        <v>1</v>
      </c>
      <c r="J158" s="9">
        <v>1</v>
      </c>
      <c r="K158" s="9">
        <v>1</v>
      </c>
      <c r="L158" s="9">
        <v>1</v>
      </c>
      <c r="M158" s="9"/>
      <c r="N158" s="9"/>
      <c r="O158" s="88">
        <f t="shared" si="18"/>
        <v>0</v>
      </c>
      <c r="P158" s="9" t="s">
        <v>721</v>
      </c>
      <c r="Q158" s="9">
        <v>5008</v>
      </c>
      <c r="R158" s="89">
        <f t="shared" si="15"/>
        <v>160</v>
      </c>
      <c r="S158" s="89" t="str">
        <f t="shared" si="16"/>
        <v/>
      </c>
      <c r="T158" s="90">
        <f>H158*[0]!FMainPool1Fee+I158*[0]!FMainPool2Fee+J158*[0]!FMainPool3Fee+K158*[0]!FMainPool4Fee+B158*[0]!FMainEntryFee</f>
        <v>160</v>
      </c>
      <c r="U158" s="91">
        <v>1</v>
      </c>
      <c r="V158" s="92"/>
      <c r="X158" s="96"/>
      <c r="Y158" s="96"/>
    </row>
    <row r="159" spans="1:25" x14ac:dyDescent="0.2">
      <c r="A159" s="85">
        <f t="shared" si="17"/>
        <v>148</v>
      </c>
      <c r="B159" s="9"/>
      <c r="C159" s="6" t="s">
        <v>261</v>
      </c>
      <c r="D159" s="6" t="s">
        <v>263</v>
      </c>
      <c r="E159" s="7" t="s">
        <v>262</v>
      </c>
      <c r="F159" s="106" t="s">
        <v>518</v>
      </c>
      <c r="G159" s="108" t="s">
        <v>286</v>
      </c>
      <c r="H159" s="8"/>
      <c r="I159" s="9"/>
      <c r="J159" s="9"/>
      <c r="K159" s="9"/>
      <c r="L159" s="9"/>
      <c r="M159" s="9"/>
      <c r="N159" s="9"/>
      <c r="O159" s="88">
        <f t="shared" si="18"/>
        <v>0</v>
      </c>
      <c r="P159" s="9"/>
      <c r="Q159" s="9"/>
      <c r="R159" s="89" t="str">
        <f t="shared" si="15"/>
        <v/>
      </c>
      <c r="S159" s="89" t="str">
        <f t="shared" si="16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">
      <c r="A160" s="85">
        <f t="shared" si="17"/>
        <v>149</v>
      </c>
      <c r="B160" s="9"/>
      <c r="C160" s="6" t="s">
        <v>678</v>
      </c>
      <c r="D160" s="6" t="s">
        <v>43</v>
      </c>
      <c r="E160" s="7" t="s">
        <v>679</v>
      </c>
      <c r="F160" s="106">
        <v>4086670073</v>
      </c>
      <c r="G160" s="110" t="s">
        <v>680</v>
      </c>
      <c r="H160" s="8"/>
      <c r="I160" s="9"/>
      <c r="J160" s="9"/>
      <c r="K160" s="9"/>
      <c r="L160" s="9"/>
      <c r="M160" s="9"/>
      <c r="N160" s="9"/>
      <c r="O160" s="88">
        <f t="shared" si="18"/>
        <v>0</v>
      </c>
      <c r="P160" s="9"/>
      <c r="Q160" s="9"/>
      <c r="R160" s="89" t="str">
        <f t="shared" si="15"/>
        <v/>
      </c>
      <c r="S160" s="89" t="str">
        <f t="shared" si="16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">
      <c r="A161" s="85">
        <f t="shared" si="17"/>
        <v>150</v>
      </c>
      <c r="B161" s="9">
        <v>1</v>
      </c>
      <c r="C161" s="6" t="s">
        <v>750</v>
      </c>
      <c r="D161" s="6" t="s">
        <v>48</v>
      </c>
      <c r="E161" s="7" t="s">
        <v>751</v>
      </c>
      <c r="F161" s="106">
        <v>4086660276</v>
      </c>
      <c r="G161" s="109" t="s">
        <v>752</v>
      </c>
      <c r="H161" s="8">
        <v>1</v>
      </c>
      <c r="I161" s="9"/>
      <c r="J161" s="9"/>
      <c r="K161" s="9"/>
      <c r="L161" s="9"/>
      <c r="M161" s="9"/>
      <c r="N161" s="9"/>
      <c r="O161" s="88">
        <f t="shared" si="18"/>
        <v>0</v>
      </c>
      <c r="P161" s="9" t="s">
        <v>721</v>
      </c>
      <c r="Q161" s="9">
        <v>375</v>
      </c>
      <c r="R161" s="89">
        <f t="shared" si="15"/>
        <v>80</v>
      </c>
      <c r="S161" s="89" t="str">
        <f t="shared" si="16"/>
        <v/>
      </c>
      <c r="T161" s="90">
        <f>H161*[0]!FMainPool1Fee+I161*[0]!FMainPool2Fee+J161*[0]!FMainPool3Fee+K161*[0]!FMainPool4Fee+B161*[0]!FMainEntryFee</f>
        <v>80</v>
      </c>
      <c r="U161" s="91"/>
      <c r="V161" s="100"/>
      <c r="X161" s="96"/>
      <c r="Y161" s="96"/>
    </row>
    <row r="162" spans="1:25" x14ac:dyDescent="0.2">
      <c r="A162" s="85">
        <f t="shared" si="17"/>
        <v>151</v>
      </c>
      <c r="B162" s="9"/>
      <c r="C162" s="1" t="s">
        <v>51</v>
      </c>
      <c r="D162" s="1" t="s">
        <v>52</v>
      </c>
      <c r="E162" s="2" t="s">
        <v>238</v>
      </c>
      <c r="F162" s="111">
        <v>9167697400</v>
      </c>
      <c r="G162" s="94" t="s">
        <v>241</v>
      </c>
      <c r="H162" s="8"/>
      <c r="I162" s="9"/>
      <c r="J162" s="9"/>
      <c r="K162" s="9"/>
      <c r="L162" s="9"/>
      <c r="M162" s="9"/>
      <c r="N162" s="9"/>
      <c r="O162" s="88">
        <f t="shared" si="18"/>
        <v>0</v>
      </c>
      <c r="P162" s="9"/>
      <c r="Q162" s="9"/>
      <c r="R162" s="89" t="str">
        <f t="shared" si="15"/>
        <v/>
      </c>
      <c r="S162" s="89" t="str">
        <f t="shared" si="16"/>
        <v/>
      </c>
      <c r="T162" s="90">
        <f>H162*[0]!FMainPool1Fee+I162*[0]!FMainPool2Fee+J162*[0]!FMainPool3Fee+K162*[0]!FMainPool4Fee+B162*[0]!FMainEntryFee</f>
        <v>0</v>
      </c>
      <c r="U162" s="91"/>
      <c r="V162" s="106"/>
      <c r="X162" s="96"/>
      <c r="Y162" s="96"/>
    </row>
    <row r="163" spans="1:25" x14ac:dyDescent="0.2">
      <c r="A163" s="85">
        <f t="shared" si="17"/>
        <v>152</v>
      </c>
      <c r="B163" s="9"/>
      <c r="C163" s="1" t="s">
        <v>117</v>
      </c>
      <c r="D163" s="1" t="s">
        <v>46</v>
      </c>
      <c r="E163" s="2" t="s">
        <v>222</v>
      </c>
      <c r="F163" s="99"/>
      <c r="G163" s="94" t="s">
        <v>399</v>
      </c>
      <c r="H163" s="8"/>
      <c r="I163" s="9"/>
      <c r="J163" s="9"/>
      <c r="K163" s="9"/>
      <c r="L163" s="9"/>
      <c r="M163" s="9"/>
      <c r="N163" s="9"/>
      <c r="O163" s="88">
        <f t="shared" si="18"/>
        <v>0</v>
      </c>
      <c r="P163" s="9"/>
      <c r="Q163" s="9"/>
      <c r="R163" s="89" t="str">
        <f t="shared" si="15"/>
        <v/>
      </c>
      <c r="S163" s="89" t="str">
        <f t="shared" si="16"/>
        <v/>
      </c>
      <c r="T163" s="90">
        <f>H163*[0]!FMainPool1Fee+I163*[0]!FMainPool2Fee+J163*[0]!FMainPool3Fee+K163*[0]!FMainPool4Fee+B163*[0]!FMainEntryFee</f>
        <v>0</v>
      </c>
      <c r="U163" s="91"/>
      <c r="V163" s="106"/>
      <c r="X163" s="96"/>
      <c r="Y163" s="96"/>
    </row>
    <row r="164" spans="1:25" x14ac:dyDescent="0.2">
      <c r="A164" s="85">
        <f t="shared" si="17"/>
        <v>153</v>
      </c>
      <c r="B164" s="9">
        <v>1</v>
      </c>
      <c r="C164" s="1" t="s">
        <v>674</v>
      </c>
      <c r="D164" s="1" t="s">
        <v>5</v>
      </c>
      <c r="E164" s="2" t="s">
        <v>676</v>
      </c>
      <c r="F164" s="99">
        <v>7072944291</v>
      </c>
      <c r="G164" s="123" t="s">
        <v>675</v>
      </c>
      <c r="H164" s="8">
        <v>1</v>
      </c>
      <c r="I164" s="9"/>
      <c r="J164" s="9">
        <v>1</v>
      </c>
      <c r="K164" s="9"/>
      <c r="L164" s="9"/>
      <c r="M164" s="9"/>
      <c r="N164" s="9"/>
      <c r="O164" s="88">
        <f t="shared" si="18"/>
        <v>0</v>
      </c>
      <c r="P164" s="9" t="s">
        <v>721</v>
      </c>
      <c r="Q164" s="9">
        <v>1399</v>
      </c>
      <c r="R164" s="89">
        <f t="shared" si="15"/>
        <v>100</v>
      </c>
      <c r="S164" s="89" t="str">
        <f t="shared" si="16"/>
        <v/>
      </c>
      <c r="T164" s="90">
        <f>H164*[0]!FMainPool1Fee+I164*[0]!FMainPool2Fee+J164*[0]!FMainPool3Fee+K164*[0]!FMainPool4Fee+B164*[0]!FMainEntryFee</f>
        <v>100</v>
      </c>
      <c r="U164" s="91"/>
      <c r="V164" s="106" t="s">
        <v>767</v>
      </c>
      <c r="X164" s="96"/>
      <c r="Y164" s="96"/>
    </row>
    <row r="165" spans="1:25" x14ac:dyDescent="0.2">
      <c r="A165" s="85">
        <f t="shared" si="17"/>
        <v>154</v>
      </c>
      <c r="B165" s="9">
        <v>1</v>
      </c>
      <c r="C165" s="1" t="s">
        <v>725</v>
      </c>
      <c r="D165" s="1" t="s">
        <v>726</v>
      </c>
      <c r="E165" s="2" t="s">
        <v>727</v>
      </c>
      <c r="F165" s="99">
        <v>4073616554</v>
      </c>
      <c r="G165" s="101" t="s">
        <v>728</v>
      </c>
      <c r="H165" s="8">
        <v>1</v>
      </c>
      <c r="I165" s="9">
        <v>1</v>
      </c>
      <c r="J165" s="9">
        <v>1</v>
      </c>
      <c r="K165" s="9">
        <v>1</v>
      </c>
      <c r="L165" s="9"/>
      <c r="M165" s="9"/>
      <c r="N165" s="9"/>
      <c r="O165" s="88">
        <f t="shared" si="18"/>
        <v>0</v>
      </c>
      <c r="P165" s="9" t="s">
        <v>721</v>
      </c>
      <c r="Q165" s="9">
        <v>1399</v>
      </c>
      <c r="R165" s="89">
        <f t="shared" si="15"/>
        <v>160</v>
      </c>
      <c r="S165" s="89" t="str">
        <f t="shared" si="16"/>
        <v/>
      </c>
      <c r="T165" s="90">
        <f>H165*[0]!FMainPool1Fee+I165*[0]!FMainPool2Fee+J165*[0]!FMainPool3Fee+K165*[0]!FMainPool4Fee+B165*[0]!FMainEntryFee</f>
        <v>160</v>
      </c>
      <c r="U165" s="91"/>
      <c r="V165" s="106"/>
      <c r="X165" s="96"/>
      <c r="Y165" s="96"/>
    </row>
    <row r="166" spans="1:25" x14ac:dyDescent="0.2">
      <c r="A166" s="85">
        <f t="shared" si="17"/>
        <v>155</v>
      </c>
      <c r="B166" s="9"/>
      <c r="C166" s="1" t="s">
        <v>81</v>
      </c>
      <c r="D166" s="1" t="s">
        <v>82</v>
      </c>
      <c r="E166" s="2" t="s">
        <v>223</v>
      </c>
      <c r="F166" s="111"/>
      <c r="G166" s="94" t="s">
        <v>400</v>
      </c>
      <c r="H166" s="8"/>
      <c r="I166" s="9"/>
      <c r="J166" s="9"/>
      <c r="K166" s="9"/>
      <c r="L166" s="9"/>
      <c r="M166" s="9"/>
      <c r="N166" s="9"/>
      <c r="O166" s="88">
        <f t="shared" si="18"/>
        <v>0</v>
      </c>
      <c r="P166" s="9"/>
      <c r="Q166" s="9"/>
      <c r="R166" s="89" t="str">
        <f t="shared" si="15"/>
        <v/>
      </c>
      <c r="S166" s="89" t="str">
        <f t="shared" si="16"/>
        <v/>
      </c>
      <c r="T166" s="90">
        <f>H166*[0]!FMainPool1Fee+I166*[0]!FMainPool2Fee+J166*[0]!FMainPool3Fee+K166*[0]!FMainPool4Fee+B166*[0]!FMainEntryFee</f>
        <v>0</v>
      </c>
      <c r="U166" s="91"/>
      <c r="V166" s="106"/>
      <c r="X166" s="96"/>
      <c r="Y166" s="96"/>
    </row>
    <row r="167" spans="1:25" x14ac:dyDescent="0.2">
      <c r="A167" s="85">
        <f t="shared" si="17"/>
        <v>156</v>
      </c>
      <c r="B167" s="9">
        <v>1</v>
      </c>
      <c r="C167" s="6" t="s">
        <v>247</v>
      </c>
      <c r="D167" s="6" t="s">
        <v>248</v>
      </c>
      <c r="E167" s="7" t="s">
        <v>249</v>
      </c>
      <c r="F167" s="86">
        <v>5302194729</v>
      </c>
      <c r="G167" s="87" t="s">
        <v>519</v>
      </c>
      <c r="H167" s="8">
        <v>1</v>
      </c>
      <c r="I167" s="9">
        <v>1</v>
      </c>
      <c r="J167" s="9">
        <v>1</v>
      </c>
      <c r="K167" s="9">
        <v>1</v>
      </c>
      <c r="L167" s="9">
        <v>1</v>
      </c>
      <c r="M167" s="9"/>
      <c r="N167" s="9"/>
      <c r="O167" s="88">
        <f t="shared" si="18"/>
        <v>0</v>
      </c>
      <c r="P167" s="9" t="s">
        <v>721</v>
      </c>
      <c r="Q167" s="9">
        <v>616</v>
      </c>
      <c r="R167" s="89">
        <f t="shared" si="15"/>
        <v>160</v>
      </c>
      <c r="S167" s="89" t="str">
        <f t="shared" si="16"/>
        <v/>
      </c>
      <c r="T167" s="90">
        <f>H167*[0]!FMainPool1Fee+I167*[0]!FMainPool2Fee+J167*[0]!FMainPool3Fee+K167*[0]!FMainPool4Fee+B167*[0]!FMainEntryFee</f>
        <v>160</v>
      </c>
      <c r="U167" s="91"/>
      <c r="V167" s="92"/>
      <c r="X167" s="96"/>
      <c r="Y167" s="96"/>
    </row>
    <row r="168" spans="1:25" x14ac:dyDescent="0.2">
      <c r="A168" s="85">
        <f t="shared" si="17"/>
        <v>157</v>
      </c>
      <c r="B168" s="9"/>
      <c r="C168" s="6" t="s">
        <v>121</v>
      </c>
      <c r="D168" s="6" t="s">
        <v>122</v>
      </c>
      <c r="E168" s="7" t="s">
        <v>167</v>
      </c>
      <c r="F168" s="86"/>
      <c r="G168" s="94" t="s">
        <v>401</v>
      </c>
      <c r="H168" s="8"/>
      <c r="I168" s="9"/>
      <c r="J168" s="9"/>
      <c r="K168" s="9"/>
      <c r="L168" s="9"/>
      <c r="M168" s="9"/>
      <c r="N168" s="9"/>
      <c r="O168" s="88">
        <f t="shared" si="18"/>
        <v>0</v>
      </c>
      <c r="P168" s="9"/>
      <c r="Q168" s="9"/>
      <c r="R168" s="89" t="str">
        <f t="shared" si="15"/>
        <v/>
      </c>
      <c r="S168" s="89" t="str">
        <f t="shared" si="16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">
      <c r="A169" s="85">
        <f t="shared" si="17"/>
        <v>158</v>
      </c>
      <c r="B169" s="9"/>
      <c r="C169" s="101" t="s">
        <v>629</v>
      </c>
      <c r="D169" s="101" t="s">
        <v>76</v>
      </c>
      <c r="E169" s="95" t="s">
        <v>630</v>
      </c>
      <c r="F169" s="106"/>
      <c r="G169" s="87" t="s">
        <v>631</v>
      </c>
      <c r="H169" s="8"/>
      <c r="I169" s="9"/>
      <c r="J169" s="9"/>
      <c r="K169" s="9"/>
      <c r="L169" s="9"/>
      <c r="M169" s="9"/>
      <c r="N169" s="9"/>
      <c r="O169" s="88">
        <f t="shared" si="18"/>
        <v>0</v>
      </c>
      <c r="P169" s="9"/>
      <c r="Q169" s="9"/>
      <c r="R169" s="89" t="str">
        <f t="shared" si="15"/>
        <v/>
      </c>
      <c r="S169" s="89" t="str">
        <f t="shared" si="16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">
      <c r="A170" s="85">
        <f t="shared" si="17"/>
        <v>159</v>
      </c>
      <c r="B170" s="9">
        <v>1</v>
      </c>
      <c r="C170" s="6" t="s">
        <v>356</v>
      </c>
      <c r="D170" s="6" t="s">
        <v>41</v>
      </c>
      <c r="E170" s="7" t="s">
        <v>357</v>
      </c>
      <c r="F170" s="86">
        <v>7075991826</v>
      </c>
      <c r="G170" s="94" t="s">
        <v>374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 t="shared" si="18"/>
        <v>0</v>
      </c>
      <c r="P170" s="9" t="s">
        <v>721</v>
      </c>
      <c r="Q170" s="9">
        <v>1886</v>
      </c>
      <c r="R170" s="89">
        <f t="shared" si="15"/>
        <v>160</v>
      </c>
      <c r="S170" s="89" t="str">
        <f t="shared" si="16"/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">
      <c r="A171" s="85">
        <f t="shared" si="17"/>
        <v>160</v>
      </c>
      <c r="B171" s="9">
        <v>1</v>
      </c>
      <c r="C171" s="1" t="s">
        <v>40</v>
      </c>
      <c r="D171" s="1" t="s">
        <v>41</v>
      </c>
      <c r="E171" s="2" t="s">
        <v>196</v>
      </c>
      <c r="F171" s="111">
        <v>7075994605</v>
      </c>
      <c r="G171" s="101" t="s">
        <v>520</v>
      </c>
      <c r="H171" s="8">
        <v>1</v>
      </c>
      <c r="I171" s="9">
        <v>1</v>
      </c>
      <c r="J171" s="9">
        <v>1</v>
      </c>
      <c r="K171" s="9">
        <v>1</v>
      </c>
      <c r="L171" s="9">
        <v>1</v>
      </c>
      <c r="M171" s="9"/>
      <c r="N171" s="9"/>
      <c r="O171" s="88">
        <f t="shared" si="18"/>
        <v>0</v>
      </c>
      <c r="P171" s="9" t="s">
        <v>721</v>
      </c>
      <c r="Q171" s="9">
        <v>1886</v>
      </c>
      <c r="R171" s="89">
        <f t="shared" si="15"/>
        <v>160</v>
      </c>
      <c r="S171" s="89" t="str">
        <f t="shared" si="16"/>
        <v/>
      </c>
      <c r="T171" s="90">
        <f>H171*[0]!FMainPool1Fee+I171*[0]!FMainPool2Fee+J171*[0]!FMainPool3Fee+K171*[0]!FMainPool4Fee+B171*[0]!FMainEntryFee</f>
        <v>160</v>
      </c>
      <c r="U171" s="91"/>
      <c r="V171" s="92"/>
      <c r="X171" s="96"/>
      <c r="Y171" s="96"/>
    </row>
    <row r="172" spans="1:25" ht="16" x14ac:dyDescent="0.2">
      <c r="A172" s="85">
        <f t="shared" si="17"/>
        <v>161</v>
      </c>
      <c r="B172" s="9"/>
      <c r="C172" s="113" t="s">
        <v>95</v>
      </c>
      <c r="D172" s="113" t="s">
        <v>96</v>
      </c>
      <c r="E172" s="7"/>
      <c r="F172" s="86"/>
      <c r="G172" s="94" t="s">
        <v>97</v>
      </c>
      <c r="H172" s="8"/>
      <c r="I172" s="9"/>
      <c r="J172" s="9"/>
      <c r="K172" s="9"/>
      <c r="L172" s="9"/>
      <c r="M172" s="9"/>
      <c r="N172" s="9"/>
      <c r="O172" s="88">
        <f t="shared" si="18"/>
        <v>0</v>
      </c>
      <c r="P172" s="9"/>
      <c r="Q172" s="9"/>
      <c r="R172" s="89" t="str">
        <f t="shared" ref="R172:R203" si="19">IF(OR(P172="c",P172="C"),+T172,"")</f>
        <v/>
      </c>
      <c r="S172" s="89" t="str">
        <f t="shared" ref="S172:S203" si="20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ht="16" x14ac:dyDescent="0.2">
      <c r="A173" s="85">
        <f t="shared" si="17"/>
        <v>162</v>
      </c>
      <c r="B173" s="9"/>
      <c r="C173" s="113" t="s">
        <v>662</v>
      </c>
      <c r="D173" s="113" t="s">
        <v>663</v>
      </c>
      <c r="E173" s="7" t="s">
        <v>664</v>
      </c>
      <c r="F173" s="86">
        <v>7752876408</v>
      </c>
      <c r="G173" s="87" t="s">
        <v>665</v>
      </c>
      <c r="H173" s="8"/>
      <c r="I173" s="9"/>
      <c r="J173" s="9"/>
      <c r="K173" s="9"/>
      <c r="L173" s="9"/>
      <c r="M173" s="9"/>
      <c r="N173" s="9"/>
      <c r="O173" s="88">
        <f t="shared" si="18"/>
        <v>0</v>
      </c>
      <c r="P173" s="9"/>
      <c r="Q173" s="9"/>
      <c r="R173" s="89" t="str">
        <f t="shared" si="19"/>
        <v/>
      </c>
      <c r="S173" s="89" t="str">
        <f t="shared" si="20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">
      <c r="A174" s="85">
        <f t="shared" si="17"/>
        <v>163</v>
      </c>
      <c r="B174" s="9"/>
      <c r="C174" s="6" t="s">
        <v>443</v>
      </c>
      <c r="D174" s="6" t="s">
        <v>466</v>
      </c>
      <c r="E174" s="7" t="s">
        <v>442</v>
      </c>
      <c r="F174" s="86">
        <v>7073490481</v>
      </c>
      <c r="G174" s="87" t="s">
        <v>521</v>
      </c>
      <c r="H174" s="8"/>
      <c r="I174" s="9"/>
      <c r="J174" s="9"/>
      <c r="K174" s="9"/>
      <c r="L174" s="9"/>
      <c r="M174" s="9"/>
      <c r="N174" s="9"/>
      <c r="O174" s="88">
        <f t="shared" si="18"/>
        <v>0</v>
      </c>
      <c r="P174" s="9"/>
      <c r="Q174" s="9"/>
      <c r="R174" s="89" t="str">
        <f t="shared" si="19"/>
        <v/>
      </c>
      <c r="S174" s="89" t="str">
        <f t="shared" si="20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">
      <c r="A175" s="85">
        <f t="shared" si="17"/>
        <v>164</v>
      </c>
      <c r="B175" s="9"/>
      <c r="C175" s="101" t="s">
        <v>632</v>
      </c>
      <c r="D175" s="101" t="s">
        <v>5</v>
      </c>
      <c r="E175" s="95" t="s">
        <v>633</v>
      </c>
      <c r="F175" s="106">
        <v>7752876408</v>
      </c>
      <c r="G175" s="101"/>
      <c r="H175" s="8"/>
      <c r="I175" s="9"/>
      <c r="J175" s="9"/>
      <c r="K175" s="9"/>
      <c r="L175" s="9"/>
      <c r="M175" s="9"/>
      <c r="N175" s="9"/>
      <c r="O175" s="88">
        <f t="shared" si="18"/>
        <v>0</v>
      </c>
      <c r="P175" s="9"/>
      <c r="Q175" s="9"/>
      <c r="R175" s="89" t="str">
        <f t="shared" si="19"/>
        <v/>
      </c>
      <c r="S175" s="89" t="str">
        <f t="shared" si="20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ht="16" x14ac:dyDescent="0.2">
      <c r="A176" s="85">
        <f t="shared" si="17"/>
        <v>165</v>
      </c>
      <c r="B176" s="9"/>
      <c r="C176" s="113" t="s">
        <v>103</v>
      </c>
      <c r="D176" s="113" t="s">
        <v>7</v>
      </c>
      <c r="E176" s="7" t="s">
        <v>224</v>
      </c>
      <c r="F176" s="86"/>
      <c r="G176" s="94" t="s">
        <v>402</v>
      </c>
      <c r="H176" s="8"/>
      <c r="I176" s="9"/>
      <c r="J176" s="9"/>
      <c r="K176" s="9"/>
      <c r="L176" s="9"/>
      <c r="M176" s="9"/>
      <c r="N176" s="9"/>
      <c r="O176" s="88">
        <f t="shared" si="18"/>
        <v>0</v>
      </c>
      <c r="P176" s="9"/>
      <c r="Q176" s="9"/>
      <c r="R176" s="89" t="str">
        <f t="shared" si="19"/>
        <v/>
      </c>
      <c r="S176" s="89" t="str">
        <f t="shared" si="20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ht="16" x14ac:dyDescent="0.2">
      <c r="A177" s="85">
        <f t="shared" si="17"/>
        <v>166</v>
      </c>
      <c r="B177" s="9"/>
      <c r="C177" s="113" t="s">
        <v>717</v>
      </c>
      <c r="D177" s="113" t="s">
        <v>5</v>
      </c>
      <c r="E177" s="7" t="s">
        <v>718</v>
      </c>
      <c r="F177" s="86" t="s">
        <v>719</v>
      </c>
      <c r="G177" s="94" t="s">
        <v>720</v>
      </c>
      <c r="H177" s="8"/>
      <c r="I177" s="9"/>
      <c r="J177" s="9"/>
      <c r="K177" s="9"/>
      <c r="L177" s="9"/>
      <c r="M177" s="9"/>
      <c r="N177" s="9"/>
      <c r="O177" s="88">
        <f t="shared" si="18"/>
        <v>0</v>
      </c>
      <c r="P177" s="9"/>
      <c r="Q177" s="9"/>
      <c r="R177" s="89" t="str">
        <f t="shared" si="19"/>
        <v/>
      </c>
      <c r="S177" s="89" t="str">
        <f t="shared" si="20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">
      <c r="A178" s="85">
        <f t="shared" si="17"/>
        <v>167</v>
      </c>
      <c r="B178" s="9"/>
      <c r="C178" s="6" t="s">
        <v>444</v>
      </c>
      <c r="D178" s="6" t="s">
        <v>467</v>
      </c>
      <c r="E178" s="7" t="s">
        <v>493</v>
      </c>
      <c r="F178" s="86">
        <v>2093653232</v>
      </c>
      <c r="G178" s="87" t="s">
        <v>522</v>
      </c>
      <c r="H178" s="8"/>
      <c r="I178" s="9"/>
      <c r="J178" s="9"/>
      <c r="K178" s="9"/>
      <c r="L178" s="9"/>
      <c r="M178" s="9"/>
      <c r="N178" s="9"/>
      <c r="O178" s="88">
        <f t="shared" si="18"/>
        <v>0</v>
      </c>
      <c r="P178" s="9"/>
      <c r="Q178" s="9"/>
      <c r="R178" s="89" t="str">
        <f t="shared" si="19"/>
        <v/>
      </c>
      <c r="S178" s="89" t="str">
        <f t="shared" si="20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">
      <c r="A179" s="85">
        <f t="shared" si="17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6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 t="shared" si="18"/>
        <v>0</v>
      </c>
      <c r="P179" s="9" t="s">
        <v>724</v>
      </c>
      <c r="Q179" s="9"/>
      <c r="R179" s="89" t="str">
        <f t="shared" si="19"/>
        <v/>
      </c>
      <c r="S179" s="89">
        <f t="shared" si="20"/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">
      <c r="A180" s="85">
        <f t="shared" si="17"/>
        <v>169</v>
      </c>
      <c r="B180" s="9">
        <v>1</v>
      </c>
      <c r="C180" s="6" t="s">
        <v>669</v>
      </c>
      <c r="D180" s="6" t="s">
        <v>5</v>
      </c>
      <c r="E180" s="7"/>
      <c r="F180" s="106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 t="shared" ref="O180:O211" si="21">T180*N180</f>
        <v>0</v>
      </c>
      <c r="P180" s="9" t="s">
        <v>724</v>
      </c>
      <c r="Q180" s="9"/>
      <c r="R180" s="89" t="str">
        <f t="shared" si="19"/>
        <v/>
      </c>
      <c r="S180" s="89">
        <f t="shared" si="20"/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">
      <c r="A181" s="85">
        <f t="shared" si="17"/>
        <v>170</v>
      </c>
      <c r="B181" s="9"/>
      <c r="C181" s="1" t="s">
        <v>71</v>
      </c>
      <c r="D181" s="1" t="s">
        <v>26</v>
      </c>
      <c r="E181" s="2" t="s">
        <v>233</v>
      </c>
      <c r="F181" s="111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 t="shared" si="21"/>
        <v>0</v>
      </c>
      <c r="P181" s="9"/>
      <c r="Q181" s="9"/>
      <c r="R181" s="89" t="str">
        <f t="shared" si="19"/>
        <v/>
      </c>
      <c r="S181" s="89" t="str">
        <f t="shared" si="20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x14ac:dyDescent="0.2">
      <c r="A182" s="85">
        <f t="shared" si="17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 t="shared" si="21"/>
        <v>0</v>
      </c>
      <c r="P182" s="9"/>
      <c r="Q182" s="9"/>
      <c r="R182" s="89" t="str">
        <f t="shared" si="19"/>
        <v/>
      </c>
      <c r="S182" s="89" t="str">
        <f t="shared" si="20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x14ac:dyDescent="0.2">
      <c r="A183" s="85">
        <f t="shared" si="17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 t="shared" si="21"/>
        <v>0</v>
      </c>
      <c r="P183" s="9"/>
      <c r="Q183" s="9"/>
      <c r="R183" s="89" t="str">
        <f t="shared" si="19"/>
        <v/>
      </c>
      <c r="S183" s="89" t="str">
        <f t="shared" si="20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">
      <c r="A184" s="85">
        <f t="shared" si="17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 t="shared" si="21"/>
        <v>0</v>
      </c>
      <c r="P184" s="9" t="s">
        <v>724</v>
      </c>
      <c r="Q184" s="9"/>
      <c r="R184" s="89" t="str">
        <f t="shared" si="19"/>
        <v/>
      </c>
      <c r="S184" s="89">
        <f t="shared" si="20"/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">
      <c r="A185" s="85">
        <f t="shared" si="17"/>
        <v>174</v>
      </c>
      <c r="B185" s="9"/>
      <c r="C185" s="101" t="s">
        <v>634</v>
      </c>
      <c r="D185" s="101" t="s">
        <v>10</v>
      </c>
      <c r="E185" s="95" t="s">
        <v>608</v>
      </c>
      <c r="F185" s="106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 t="shared" si="21"/>
        <v>0</v>
      </c>
      <c r="P185" s="9"/>
      <c r="Q185" s="9"/>
      <c r="R185" s="89" t="str">
        <f t="shared" si="19"/>
        <v/>
      </c>
      <c r="S185" s="89" t="str">
        <f t="shared" si="20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x14ac:dyDescent="0.2">
      <c r="A186" s="85">
        <f t="shared" si="17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 t="shared" si="21"/>
        <v>0</v>
      </c>
      <c r="P186" s="9"/>
      <c r="Q186" s="9"/>
      <c r="R186" s="89" t="str">
        <f t="shared" si="19"/>
        <v/>
      </c>
      <c r="S186" s="89" t="str">
        <f t="shared" si="20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x14ac:dyDescent="0.2">
      <c r="A187" s="85">
        <f t="shared" si="17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11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 t="shared" si="21"/>
        <v>0</v>
      </c>
      <c r="P187" s="9" t="s">
        <v>721</v>
      </c>
      <c r="Q187" s="9">
        <v>1149</v>
      </c>
      <c r="R187" s="89">
        <f t="shared" si="19"/>
        <v>110</v>
      </c>
      <c r="S187" s="89" t="str">
        <f t="shared" si="20"/>
        <v/>
      </c>
      <c r="T187" s="90">
        <f>H187*[0]!FMainPool1Fee+I187*[0]!FMainPool2Fee+J187*[0]!FMainPool3Fee+K187*[0]!FMainPool4Fee+B187*[0]!FMainEntryFee</f>
        <v>110</v>
      </c>
      <c r="U187" s="91"/>
      <c r="V187" s="114" t="s">
        <v>747</v>
      </c>
      <c r="W187"/>
      <c r="X187" s="96"/>
      <c r="Y187" s="96"/>
    </row>
    <row r="188" spans="1:25" x14ac:dyDescent="0.2">
      <c r="A188" s="85">
        <f t="shared" si="17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11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 t="shared" si="21"/>
        <v>0</v>
      </c>
      <c r="P188" s="9" t="s">
        <v>721</v>
      </c>
      <c r="Q188" s="9">
        <v>1149</v>
      </c>
      <c r="R188" s="89">
        <f t="shared" si="19"/>
        <v>80</v>
      </c>
      <c r="S188" s="89" t="str">
        <f t="shared" si="20"/>
        <v/>
      </c>
      <c r="T188" s="90">
        <f>H188*[0]!FMainPool1Fee+I188*[0]!FMainPool2Fee+J188*[0]!FMainPool3Fee+K188*[0]!FMainPool4Fee+B188*[0]!FMainEntryFee</f>
        <v>80</v>
      </c>
      <c r="U188" s="91"/>
      <c r="V188" s="114" t="s">
        <v>748</v>
      </c>
      <c r="W188"/>
      <c r="X188" s="96"/>
      <c r="Y188" s="96"/>
    </row>
    <row r="189" spans="1:25" x14ac:dyDescent="0.2">
      <c r="A189" s="85">
        <f t="shared" si="17"/>
        <v>178</v>
      </c>
      <c r="B189" s="9"/>
      <c r="C189" s="1" t="s">
        <v>77</v>
      </c>
      <c r="D189" s="1" t="s">
        <v>78</v>
      </c>
      <c r="E189" s="2" t="s">
        <v>168</v>
      </c>
      <c r="F189" s="111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 t="shared" si="21"/>
        <v>0</v>
      </c>
      <c r="P189" s="9"/>
      <c r="Q189" s="9"/>
      <c r="R189" s="89" t="str">
        <f t="shared" si="19"/>
        <v/>
      </c>
      <c r="S189" s="89" t="str">
        <f t="shared" si="20"/>
        <v/>
      </c>
      <c r="T189" s="90">
        <f>H189*[0]!FMainPool1Fee+I189*[0]!FMainPool2Fee+J189*[0]!FMainPool3Fee+K189*[0]!FMainPool4Fee+B189*[0]!FMainEntryFee</f>
        <v>0</v>
      </c>
      <c r="U189" s="91"/>
      <c r="V189" s="114"/>
      <c r="W189"/>
      <c r="X189" s="96"/>
      <c r="Y189" s="96"/>
    </row>
    <row r="190" spans="1:25" x14ac:dyDescent="0.2">
      <c r="A190" s="85">
        <f t="shared" si="17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 t="shared" si="21"/>
        <v>0</v>
      </c>
      <c r="P190" s="9"/>
      <c r="Q190" s="9"/>
      <c r="R190" s="89" t="str">
        <f t="shared" si="19"/>
        <v/>
      </c>
      <c r="S190" s="89" t="str">
        <f t="shared" si="20"/>
        <v/>
      </c>
      <c r="T190" s="90">
        <f>H190*[0]!FMainPool1Fee+I190*[0]!FMainPool2Fee+J190*[0]!FMainPool3Fee+K190*[0]!FMainPool4Fee+B190*[0]!FMainEntryFee</f>
        <v>0</v>
      </c>
      <c r="U190" s="91"/>
      <c r="V190" s="114"/>
      <c r="W190"/>
      <c r="X190" s="96"/>
      <c r="Y190" s="96"/>
    </row>
    <row r="191" spans="1:25" x14ac:dyDescent="0.2">
      <c r="A191" s="85">
        <f t="shared" si="17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 t="shared" si="21"/>
        <v>0</v>
      </c>
      <c r="P191" s="9"/>
      <c r="Q191" s="9"/>
      <c r="R191" s="89" t="str">
        <f t="shared" si="19"/>
        <v/>
      </c>
      <c r="S191" s="89" t="str">
        <f t="shared" si="20"/>
        <v/>
      </c>
      <c r="T191" s="90">
        <f>H191*[0]!FMainPool1Fee+I191*[0]!FMainPool2Fee+J191*[0]!FMainPool3Fee+K191*[0]!FMainPool4Fee+B191*[0]!FMainEntryFee</f>
        <v>0</v>
      </c>
      <c r="U191" s="91"/>
      <c r="V191" s="114"/>
      <c r="W191"/>
      <c r="X191" s="96"/>
      <c r="Y191" s="96"/>
    </row>
    <row r="192" spans="1:25" x14ac:dyDescent="0.2">
      <c r="A192" s="85">
        <f t="shared" si="17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 t="shared" si="21"/>
        <v>0</v>
      </c>
      <c r="P192" s="9" t="s">
        <v>721</v>
      </c>
      <c r="Q192" s="9">
        <v>2487</v>
      </c>
      <c r="R192" s="89">
        <f t="shared" si="19"/>
        <v>80</v>
      </c>
      <c r="S192" s="89" t="str">
        <f t="shared" si="20"/>
        <v/>
      </c>
      <c r="T192" s="90">
        <f>H192*[0]!FMainPool1Fee+I192*[0]!FMainPool2Fee+J192*[0]!FMainPool3Fee+K192*[0]!FMainPool4Fee+B192*[0]!FMainEntryFee</f>
        <v>80</v>
      </c>
      <c r="U192" s="91"/>
      <c r="V192" s="114"/>
      <c r="W192"/>
      <c r="X192" s="96"/>
      <c r="Y192" s="96"/>
    </row>
    <row r="193" spans="1:25" x14ac:dyDescent="0.2">
      <c r="A193" s="85">
        <f t="shared" si="17"/>
        <v>182</v>
      </c>
      <c r="B193" s="9"/>
      <c r="C193" s="6" t="s">
        <v>449</v>
      </c>
      <c r="D193" s="6" t="s">
        <v>19</v>
      </c>
      <c r="E193" s="7" t="s">
        <v>450</v>
      </c>
      <c r="F193" s="106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 t="shared" si="21"/>
        <v>0</v>
      </c>
      <c r="P193" s="9"/>
      <c r="Q193" s="9"/>
      <c r="R193" s="89" t="str">
        <f t="shared" si="19"/>
        <v/>
      </c>
      <c r="S193" s="89" t="str">
        <f t="shared" si="20"/>
        <v/>
      </c>
      <c r="T193" s="90">
        <f>H193*[0]!FMainPool1Fee+I193*[0]!FMainPool2Fee+J193*[0]!FMainPool3Fee+K193*[0]!FMainPool4Fee+B193*[0]!FMainEntryFee</f>
        <v>0</v>
      </c>
      <c r="U193" s="91"/>
      <c r="V193" s="114"/>
      <c r="W193"/>
      <c r="X193" s="96"/>
      <c r="Y193" s="96"/>
    </row>
    <row r="194" spans="1:25" x14ac:dyDescent="0.2">
      <c r="A194" s="85">
        <f t="shared" si="17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 t="shared" si="21"/>
        <v>0</v>
      </c>
      <c r="P194" s="9"/>
      <c r="Q194" s="9"/>
      <c r="R194" s="89" t="str">
        <f t="shared" si="19"/>
        <v/>
      </c>
      <c r="S194" s="89" t="str">
        <f t="shared" si="20"/>
        <v/>
      </c>
      <c r="T194" s="90">
        <f>H194*[0]!FMainPool1Fee+I194*[0]!FMainPool2Fee+J194*[0]!FMainPool3Fee+K194*[0]!FMainPool4Fee+B194*[0]!FMainEntryFee</f>
        <v>0</v>
      </c>
      <c r="U194" s="91"/>
      <c r="V194" s="114"/>
      <c r="W194"/>
      <c r="X194" s="96"/>
      <c r="Y194" s="96"/>
    </row>
    <row r="195" spans="1:25" x14ac:dyDescent="0.2">
      <c r="A195" s="85">
        <f t="shared" si="17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 t="shared" si="21"/>
        <v>0</v>
      </c>
      <c r="P195" s="9"/>
      <c r="Q195" s="9"/>
      <c r="R195" s="89" t="str">
        <f t="shared" si="19"/>
        <v/>
      </c>
      <c r="S195" s="89" t="str">
        <f t="shared" si="20"/>
        <v/>
      </c>
      <c r="T195" s="90">
        <f>H195*[0]!FMainPool1Fee+I195*[0]!FMainPool2Fee+J195*[0]!FMainPool3Fee+K195*[0]!FMainPool4Fee+B195*[0]!FMainEntryFee</f>
        <v>0</v>
      </c>
      <c r="U195" s="91"/>
      <c r="V195" s="115"/>
      <c r="W195"/>
      <c r="X195" s="96"/>
      <c r="Y195" s="96"/>
    </row>
    <row r="196" spans="1:25" x14ac:dyDescent="0.2">
      <c r="A196" s="85">
        <f t="shared" si="17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 t="shared" si="21"/>
        <v>0</v>
      </c>
      <c r="P196" s="9"/>
      <c r="Q196" s="9"/>
      <c r="R196" s="89" t="str">
        <f t="shared" si="19"/>
        <v/>
      </c>
      <c r="S196" s="89" t="str">
        <f t="shared" si="20"/>
        <v/>
      </c>
      <c r="T196" s="90">
        <f>H196*[0]!FMainPool1Fee+I196*[0]!FMainPool2Fee+J196*[0]!FMainPool3Fee+K196*[0]!FMainPool4Fee+B196*[0]!FMainEntryFee</f>
        <v>0</v>
      </c>
      <c r="U196" s="91"/>
      <c r="V196" s="114"/>
      <c r="W196"/>
      <c r="X196" s="96"/>
      <c r="Y196" s="96"/>
    </row>
    <row r="197" spans="1:25" x14ac:dyDescent="0.2">
      <c r="A197" s="85">
        <f t="shared" si="17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7" t="s">
        <v>749</v>
      </c>
      <c r="H197" s="8"/>
      <c r="I197" s="9"/>
      <c r="J197" s="9"/>
      <c r="K197" s="9"/>
      <c r="L197" s="9"/>
      <c r="M197" s="9"/>
      <c r="N197" s="9"/>
      <c r="O197" s="88">
        <f t="shared" si="21"/>
        <v>0</v>
      </c>
      <c r="P197" s="9" t="s">
        <v>721</v>
      </c>
      <c r="Q197" s="9">
        <v>8803</v>
      </c>
      <c r="R197" s="89">
        <f t="shared" si="19"/>
        <v>70</v>
      </c>
      <c r="S197" s="89" t="str">
        <f t="shared" si="20"/>
        <v/>
      </c>
      <c r="T197" s="90">
        <f>H197*[0]!FMainPool1Fee+I197*[0]!FMainPool2Fee+J197*[0]!FMainPool3Fee+K197*[0]!FMainPool4Fee+B197*[0]!FMainEntryFee</f>
        <v>70</v>
      </c>
      <c r="U197" s="91"/>
      <c r="V197" s="114"/>
      <c r="W197"/>
      <c r="X197" s="96"/>
      <c r="Y197" s="96"/>
    </row>
    <row r="198" spans="1:25" x14ac:dyDescent="0.2">
      <c r="A198" s="85">
        <f t="shared" si="17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 t="shared" si="21"/>
        <v>0</v>
      </c>
      <c r="P198" s="9"/>
      <c r="Q198" s="9"/>
      <c r="R198" s="89" t="str">
        <f t="shared" si="19"/>
        <v/>
      </c>
      <c r="S198" s="89" t="str">
        <f t="shared" si="20"/>
        <v/>
      </c>
      <c r="T198" s="90">
        <f>H198*[0]!FMainPool1Fee+I198*[0]!FMainPool2Fee+J198*[0]!FMainPool3Fee+K198*[0]!FMainPool4Fee+B198*[0]!FMainEntryFee</f>
        <v>0</v>
      </c>
      <c r="U198" s="91"/>
      <c r="V198" s="114"/>
      <c r="W198"/>
      <c r="X198" s="96"/>
      <c r="Y198" s="96"/>
    </row>
    <row r="199" spans="1:25" x14ac:dyDescent="0.2">
      <c r="A199" s="85">
        <f t="shared" si="17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 t="shared" si="21"/>
        <v>0</v>
      </c>
      <c r="P199" s="9"/>
      <c r="Q199" s="9"/>
      <c r="R199" s="89" t="str">
        <f t="shared" si="19"/>
        <v/>
      </c>
      <c r="S199" s="89" t="str">
        <f t="shared" si="20"/>
        <v/>
      </c>
      <c r="T199" s="90">
        <f>H199*[0]!FMainPool1Fee+I199*[0]!FMainPool2Fee+J199*[0]!FMainPool3Fee+K199*[0]!FMainPool4Fee+B199*[0]!FMainEntryFee</f>
        <v>0</v>
      </c>
      <c r="U199" s="91"/>
      <c r="V199" s="116"/>
      <c r="W199"/>
      <c r="X199" s="96"/>
      <c r="Y199" s="96"/>
    </row>
    <row r="200" spans="1:25" x14ac:dyDescent="0.2">
      <c r="A200" s="85">
        <f t="shared" si="17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 t="shared" si="21"/>
        <v>0</v>
      </c>
      <c r="P200" s="9"/>
      <c r="Q200" s="9"/>
      <c r="R200" s="89" t="str">
        <f t="shared" si="19"/>
        <v/>
      </c>
      <c r="S200" s="89" t="str">
        <f t="shared" si="20"/>
        <v/>
      </c>
      <c r="T200" s="90">
        <f>H200*[0]!FMainPool1Fee+I200*[0]!FMainPool2Fee+J200*[0]!FMainPool3Fee+K200*[0]!FMainPool4Fee+B200*[0]!FMainEntryFee</f>
        <v>0</v>
      </c>
      <c r="U200" s="91"/>
      <c r="V200" s="116"/>
      <c r="W200"/>
      <c r="X200" s="96"/>
      <c r="Y200" s="96"/>
    </row>
    <row r="201" spans="1:25" x14ac:dyDescent="0.2">
      <c r="A201" s="85">
        <f t="shared" si="17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 t="shared" si="21"/>
        <v>0</v>
      </c>
      <c r="P201" s="9"/>
      <c r="Q201" s="9"/>
      <c r="R201" s="89" t="str">
        <f t="shared" si="19"/>
        <v/>
      </c>
      <c r="S201" s="89" t="str">
        <f t="shared" si="20"/>
        <v/>
      </c>
      <c r="T201" s="90">
        <f>H201*[0]!FMainPool1Fee+I201*[0]!FMainPool2Fee+J201*[0]!FMainPool3Fee+K201*[0]!FMainPool4Fee+B201*[0]!FMainEntryFee</f>
        <v>0</v>
      </c>
      <c r="U201" s="91"/>
      <c r="V201" s="116"/>
      <c r="W201"/>
      <c r="X201" s="96"/>
      <c r="Y201" s="96"/>
    </row>
    <row r="202" spans="1:25" x14ac:dyDescent="0.2">
      <c r="A202" s="85">
        <f t="shared" si="17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 t="shared" si="21"/>
        <v>0</v>
      </c>
      <c r="P202" s="9"/>
      <c r="Q202" s="9"/>
      <c r="R202" s="89" t="str">
        <f t="shared" si="19"/>
        <v/>
      </c>
      <c r="S202" s="89" t="str">
        <f t="shared" si="20"/>
        <v/>
      </c>
      <c r="T202" s="90">
        <f>H202*[0]!FMainPool1Fee+I202*[0]!FMainPool2Fee+J202*[0]!FMainPool3Fee+K202*[0]!FMainPool4Fee+B202*[0]!FMainEntryFee</f>
        <v>0</v>
      </c>
      <c r="U202" s="91"/>
      <c r="V202" s="114"/>
      <c r="W202"/>
      <c r="X202" s="96"/>
      <c r="Y202" s="96"/>
    </row>
    <row r="203" spans="1:25" x14ac:dyDescent="0.2">
      <c r="A203" s="85">
        <f t="shared" si="17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 t="shared" si="21"/>
        <v>0</v>
      </c>
      <c r="P203" s="9"/>
      <c r="Q203" s="9"/>
      <c r="R203" s="89" t="str">
        <f t="shared" si="19"/>
        <v/>
      </c>
      <c r="S203" s="89" t="str">
        <f t="shared" si="20"/>
        <v/>
      </c>
      <c r="T203" s="90">
        <f>H203*[0]!FMainPool1Fee+I203*[0]!FMainPool2Fee+J203*[0]!FMainPool3Fee+K203*[0]!FMainPool4Fee+B203*[0]!FMainEntryFee</f>
        <v>0</v>
      </c>
      <c r="U203" s="91"/>
      <c r="V203" s="114"/>
      <c r="W203"/>
      <c r="X203" s="96"/>
      <c r="Y203" s="96"/>
    </row>
    <row r="204" spans="1:25" x14ac:dyDescent="0.2">
      <c r="A204" s="85">
        <f t="shared" si="17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7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 t="shared" si="21"/>
        <v>0</v>
      </c>
      <c r="P204" s="9" t="s">
        <v>721</v>
      </c>
      <c r="Q204" s="9">
        <v>7357</v>
      </c>
      <c r="R204" s="89">
        <f t="shared" ref="R204:R210" si="22">IF(OR(P204="c",P204="C"),+T204,"")</f>
        <v>160</v>
      </c>
      <c r="S204" s="89" t="str">
        <f t="shared" ref="S204:S235" si="23"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4"/>
      <c r="W204"/>
      <c r="X204" s="96"/>
      <c r="Y204" s="96"/>
    </row>
    <row r="205" spans="1:25" x14ac:dyDescent="0.2">
      <c r="A205" s="85">
        <f t="shared" si="17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 t="shared" si="21"/>
        <v>0</v>
      </c>
      <c r="P205" s="9" t="s">
        <v>721</v>
      </c>
      <c r="Q205" s="9">
        <v>4040</v>
      </c>
      <c r="R205" s="89">
        <f t="shared" si="22"/>
        <v>100</v>
      </c>
      <c r="S205" s="89" t="str">
        <f t="shared" si="23"/>
        <v/>
      </c>
      <c r="T205" s="90">
        <f>H205*[0]!FMainPool1Fee+I205*[0]!FMainPool2Fee+J205*[0]!FMainPool3Fee+K205*[0]!FMainPool4Fee+B205*[0]!FMainEntryFee</f>
        <v>100</v>
      </c>
      <c r="U205" s="91"/>
      <c r="V205" s="114"/>
      <c r="W205"/>
      <c r="X205" s="96"/>
      <c r="Y205" s="96"/>
    </row>
    <row r="206" spans="1:25" x14ac:dyDescent="0.2">
      <c r="A206" s="85">
        <f t="shared" si="17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 t="shared" si="21"/>
        <v>0</v>
      </c>
      <c r="P206" s="9"/>
      <c r="Q206" s="9"/>
      <c r="R206" s="89" t="str">
        <f t="shared" si="22"/>
        <v/>
      </c>
      <c r="S206" s="89" t="str">
        <f t="shared" si="23"/>
        <v/>
      </c>
      <c r="T206" s="90">
        <f>H206*[0]!FMainPool1Fee+I206*[0]!FMainPool2Fee+J206*[0]!FMainPool3Fee+K206*[0]!FMainPool4Fee+B206*[0]!FMainEntryFee</f>
        <v>0</v>
      </c>
      <c r="U206" s="91"/>
      <c r="V206" s="114"/>
      <c r="W206"/>
      <c r="X206" s="96"/>
      <c r="Y206" s="96"/>
    </row>
    <row r="207" spans="1:25" x14ac:dyDescent="0.2">
      <c r="A207" s="85">
        <f t="shared" si="17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 t="shared" si="21"/>
        <v>0</v>
      </c>
      <c r="P207" s="9"/>
      <c r="Q207" s="9"/>
      <c r="R207" s="89" t="str">
        <f t="shared" si="22"/>
        <v/>
      </c>
      <c r="S207" s="89" t="str">
        <f t="shared" si="23"/>
        <v/>
      </c>
      <c r="T207" s="90">
        <f>H207*[0]!FMainPool1Fee+I207*[0]!FMainPool2Fee+J207*[0]!FMainPool3Fee+K207*[0]!FMainPool4Fee+B207*[0]!FMainEntryFee</f>
        <v>0</v>
      </c>
      <c r="U207" s="91"/>
      <c r="V207" s="114"/>
      <c r="W207"/>
      <c r="X207" s="96"/>
      <c r="Y207" s="96"/>
    </row>
    <row r="208" spans="1:25" x14ac:dyDescent="0.2">
      <c r="A208" s="85">
        <f t="shared" si="17"/>
        <v>197</v>
      </c>
      <c r="B208" s="9"/>
      <c r="C208" s="6" t="s">
        <v>321</v>
      </c>
      <c r="D208" s="6" t="s">
        <v>322</v>
      </c>
      <c r="E208" s="7" t="s">
        <v>323</v>
      </c>
      <c r="F208" s="106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 t="shared" si="21"/>
        <v>0</v>
      </c>
      <c r="P208" s="9"/>
      <c r="Q208" s="9"/>
      <c r="R208" s="89" t="str">
        <f t="shared" si="22"/>
        <v/>
      </c>
      <c r="S208" s="89" t="str">
        <f t="shared" si="23"/>
        <v/>
      </c>
      <c r="T208" s="90">
        <f>H208*[0]!FMainPool1Fee+I208*[0]!FMainPool2Fee+J208*[0]!FMainPool3Fee+K208*[0]!FMainPool4Fee+B208*[0]!FMainEntryFee</f>
        <v>0</v>
      </c>
      <c r="U208" s="91"/>
      <c r="V208" s="114"/>
      <c r="W208"/>
      <c r="X208" s="96"/>
      <c r="Y208" s="96"/>
    </row>
    <row r="209" spans="1:25" x14ac:dyDescent="0.2">
      <c r="A209" s="85">
        <f t="shared" si="17"/>
        <v>198</v>
      </c>
      <c r="B209" s="9"/>
      <c r="C209" s="101" t="s">
        <v>636</v>
      </c>
      <c r="D209" s="101" t="s">
        <v>637</v>
      </c>
      <c r="E209" s="95" t="s">
        <v>638</v>
      </c>
      <c r="F209" s="106"/>
      <c r="G209" s="101"/>
      <c r="H209" s="8"/>
      <c r="I209" s="9"/>
      <c r="J209" s="9"/>
      <c r="K209" s="9"/>
      <c r="L209" s="9"/>
      <c r="M209" s="9"/>
      <c r="N209" s="9"/>
      <c r="O209" s="88">
        <f t="shared" si="21"/>
        <v>0</v>
      </c>
      <c r="P209" s="9"/>
      <c r="Q209" s="9"/>
      <c r="R209" s="89" t="str">
        <f t="shared" si="22"/>
        <v/>
      </c>
      <c r="S209" s="89" t="str">
        <f t="shared" si="23"/>
        <v/>
      </c>
      <c r="T209" s="90">
        <f>H209*[0]!FMainPool1Fee+I209*[0]!FMainPool2Fee+J209*[0]!FMainPool3Fee+K209*[0]!FMainPool4Fee+B209*[0]!FMainEntryFee</f>
        <v>0</v>
      </c>
      <c r="U209" s="91"/>
      <c r="V209" s="114"/>
      <c r="W209"/>
      <c r="X209" s="96"/>
      <c r="Y209" s="96"/>
    </row>
    <row r="210" spans="1:25" x14ac:dyDescent="0.2">
      <c r="A210" s="85">
        <f t="shared" si="17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6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 t="shared" si="21"/>
        <v>0</v>
      </c>
      <c r="P210" s="9" t="s">
        <v>721</v>
      </c>
      <c r="Q210" s="9">
        <v>9990</v>
      </c>
      <c r="R210" s="89">
        <f t="shared" si="22"/>
        <v>110</v>
      </c>
      <c r="S210" s="89" t="str">
        <f t="shared" si="23"/>
        <v/>
      </c>
      <c r="T210" s="90">
        <f>H210*[0]!FMainPool1Fee+I210*[0]!FMainPool2Fee+J210*[0]!FMainPool3Fee+K210*[0]!FMainPool4Fee+B210*[0]!FMainEntryFee</f>
        <v>110</v>
      </c>
      <c r="U210" s="91"/>
      <c r="V210" s="114"/>
      <c r="W210"/>
      <c r="X210" s="96"/>
      <c r="Y210" s="96"/>
    </row>
    <row r="211" spans="1:25" x14ac:dyDescent="0.2">
      <c r="A211" s="85">
        <f t="shared" si="17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4">T211*N211</f>
        <v>0</v>
      </c>
      <c r="P211" s="9"/>
      <c r="Q211" s="9"/>
      <c r="R211" s="89" t="str">
        <f t="shared" ref="R211:R213" si="25">IF(OR(P211="c",P211="C"),+T211,"")</f>
        <v/>
      </c>
      <c r="S211" s="89" t="str">
        <f t="shared" ref="S211:S213" si="2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4"/>
      <c r="W211"/>
      <c r="X211" s="96"/>
      <c r="Y211" s="96"/>
    </row>
    <row r="212" spans="1:25" x14ac:dyDescent="0.2">
      <c r="A212" s="85">
        <f t="shared" si="17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4"/>
        <v>0</v>
      </c>
      <c r="P212" s="9"/>
      <c r="Q212" s="9"/>
      <c r="R212" s="89" t="str">
        <f t="shared" si="25"/>
        <v/>
      </c>
      <c r="S212" s="89" t="str">
        <f t="shared" si="26"/>
        <v/>
      </c>
      <c r="T212" s="90">
        <f>H212*[0]!FMainPool1Fee+I212*[0]!FMainPool2Fee+J212*[0]!FMainPool3Fee+K212*[0]!FMainPool4Fee+B212*[0]!FMainEntryFee</f>
        <v>0</v>
      </c>
      <c r="U212" s="91"/>
      <c r="V212" s="114"/>
      <c r="W212"/>
      <c r="X212" s="96"/>
      <c r="Y212" s="96"/>
    </row>
    <row r="213" spans="1:25" x14ac:dyDescent="0.2">
      <c r="A213" s="85">
        <f t="shared" si="17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4"/>
        <v>0</v>
      </c>
      <c r="P213" s="9"/>
      <c r="Q213" s="9"/>
      <c r="R213" s="89" t="str">
        <f t="shared" si="25"/>
        <v/>
      </c>
      <c r="S213" s="89" t="str">
        <f t="shared" si="26"/>
        <v/>
      </c>
      <c r="T213" s="90">
        <f>H213*[0]!FMainPool1Fee+I213*[0]!FMainPool2Fee+J213*[0]!FMainPool3Fee+K213*[0]!FMainPool4Fee+B213*[0]!FMainEntryFee</f>
        <v>0</v>
      </c>
      <c r="U213" s="91"/>
      <c r="V213" s="114"/>
      <c r="W213"/>
      <c r="X213" s="96"/>
      <c r="Y213" s="96"/>
    </row>
    <row r="214" spans="1:25" x14ac:dyDescent="0.2">
      <c r="A214" s="85">
        <f t="shared" si="17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7">T214*N214</f>
        <v>0</v>
      </c>
      <c r="P214" s="9"/>
      <c r="Q214" s="9"/>
      <c r="R214" s="89" t="str">
        <f t="shared" ref="R214:R220" si="28">IF(OR(P214="c",P214="C"),+T214,"")</f>
        <v/>
      </c>
      <c r="S214" s="89" t="str">
        <f t="shared" ref="S214:S220" si="2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4"/>
      <c r="W214"/>
      <c r="X214" s="96"/>
      <c r="Y214" s="96"/>
    </row>
    <row r="215" spans="1:25" x14ac:dyDescent="0.2">
      <c r="A215" s="85">
        <f t="shared" si="17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7"/>
        <v>0</v>
      </c>
      <c r="P215" s="9"/>
      <c r="Q215" s="9"/>
      <c r="R215" s="89" t="str">
        <f t="shared" si="28"/>
        <v/>
      </c>
      <c r="S215" s="89" t="str">
        <f t="shared" si="29"/>
        <v/>
      </c>
      <c r="T215" s="90">
        <f>H215*[0]!FMainPool1Fee+I215*[0]!FMainPool2Fee+J215*[0]!FMainPool3Fee+K215*[0]!FMainPool4Fee+B215*[0]!FMainEntryFee</f>
        <v>0</v>
      </c>
      <c r="U215" s="91"/>
      <c r="V215" s="114"/>
      <c r="W215"/>
      <c r="X215" s="96"/>
      <c r="Y215" s="96"/>
    </row>
    <row r="216" spans="1:25" x14ac:dyDescent="0.2">
      <c r="A216" s="85">
        <f t="shared" si="17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7"/>
        <v>0</v>
      </c>
      <c r="P216" s="9"/>
      <c r="Q216" s="9"/>
      <c r="R216" s="89" t="str">
        <f t="shared" si="28"/>
        <v/>
      </c>
      <c r="S216" s="89" t="str">
        <f t="shared" si="29"/>
        <v/>
      </c>
      <c r="T216" s="90">
        <f>H216*[0]!FMainPool1Fee+I216*[0]!FMainPool2Fee+J216*[0]!FMainPool3Fee+K216*[0]!FMainPool4Fee+B216*[0]!FMainEntryFee</f>
        <v>0</v>
      </c>
      <c r="U216" s="91"/>
      <c r="V216" s="114"/>
      <c r="W216"/>
      <c r="X216" s="96"/>
      <c r="Y216" s="96"/>
    </row>
    <row r="217" spans="1:25" x14ac:dyDescent="0.2">
      <c r="A217" s="85">
        <f t="shared" ref="A217:A220" si="3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7"/>
        <v>0</v>
      </c>
      <c r="P217" s="9"/>
      <c r="Q217" s="9"/>
      <c r="R217" s="89" t="str">
        <f t="shared" si="28"/>
        <v/>
      </c>
      <c r="S217" s="89" t="str">
        <f t="shared" si="29"/>
        <v/>
      </c>
      <c r="T217" s="90">
        <f>H217*[0]!FMainPool1Fee+I217*[0]!FMainPool2Fee+J217*[0]!FMainPool3Fee+K217*[0]!FMainPool4Fee+B217*[0]!FMainEntryFee</f>
        <v>0</v>
      </c>
      <c r="U217" s="91"/>
      <c r="V217" s="114"/>
      <c r="W217"/>
      <c r="X217" s="96"/>
      <c r="Y217" s="96"/>
    </row>
    <row r="218" spans="1:25" x14ac:dyDescent="0.2">
      <c r="A218" s="85">
        <f t="shared" si="3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7"/>
        <v>0</v>
      </c>
      <c r="P218" s="9"/>
      <c r="Q218" s="9"/>
      <c r="R218" s="89" t="str">
        <f t="shared" si="28"/>
        <v/>
      </c>
      <c r="S218" s="89" t="str">
        <f t="shared" si="29"/>
        <v/>
      </c>
      <c r="T218" s="90">
        <f>H218*[0]!FMainPool1Fee+I218*[0]!FMainPool2Fee+J218*[0]!FMainPool3Fee+K218*[0]!FMainPool4Fee+B218*[0]!FMainEntryFee</f>
        <v>0</v>
      </c>
      <c r="U218" s="91"/>
      <c r="V218" s="114"/>
      <c r="W218"/>
      <c r="X218" s="96"/>
      <c r="Y218" s="96"/>
    </row>
    <row r="219" spans="1:25" x14ac:dyDescent="0.2">
      <c r="A219" s="85">
        <f t="shared" si="3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7"/>
        <v>0</v>
      </c>
      <c r="P219" s="9"/>
      <c r="Q219" s="9"/>
      <c r="R219" s="89" t="str">
        <f t="shared" si="28"/>
        <v/>
      </c>
      <c r="S219" s="89" t="str">
        <f t="shared" si="29"/>
        <v/>
      </c>
      <c r="T219" s="90">
        <f>H219*[0]!FMainPool1Fee+I219*[0]!FMainPool2Fee+J219*[0]!FMainPool3Fee+K219*[0]!FMainPool4Fee+B219*[0]!FMainEntryFee</f>
        <v>0</v>
      </c>
      <c r="U219" s="91"/>
      <c r="V219" s="114"/>
      <c r="W219"/>
      <c r="X219" s="96"/>
      <c r="Y219" s="96"/>
    </row>
    <row r="220" spans="1:25" x14ac:dyDescent="0.2">
      <c r="A220" s="85">
        <f t="shared" si="3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7"/>
        <v>0</v>
      </c>
      <c r="P220" s="9"/>
      <c r="Q220" s="9"/>
      <c r="R220" s="89" t="str">
        <f t="shared" si="28"/>
        <v/>
      </c>
      <c r="S220" s="89" t="str">
        <f t="shared" si="29"/>
        <v/>
      </c>
      <c r="T220" s="90">
        <f>H220*[0]!FMainPool1Fee+I220*[0]!FMainPool2Fee+J220*[0]!FMainPool3Fee+K220*[0]!FMainPool4Fee+B220*[0]!FMainEntryFee</f>
        <v>0</v>
      </c>
      <c r="U220" s="91"/>
      <c r="V220" s="114"/>
      <c r="W220"/>
      <c r="X220" s="96"/>
      <c r="Y220" s="96"/>
    </row>
    <row r="221" spans="1:25" x14ac:dyDescent="0.2">
      <c r="A221" s="29"/>
    </row>
    <row r="222" spans="1:25" x14ac:dyDescent="0.2">
      <c r="A222" s="29"/>
    </row>
  </sheetData>
  <sheetProtection selectLockedCells="1"/>
  <sortState xmlns:xlrd2="http://schemas.microsoft.com/office/spreadsheetml/2017/richdata2" ref="B12:U210">
    <sortCondition ref="N12"/>
    <sortCondition ref="C12"/>
  </sortState>
  <dataConsolidate/>
  <mergeCells count="4">
    <mergeCell ref="K2:N2"/>
    <mergeCell ref="K3:N3"/>
    <mergeCell ref="K4:N4"/>
    <mergeCell ref="K5:L5"/>
  </mergeCells>
  <hyperlinks>
    <hyperlink ref="G82" r:id="rId1" xr:uid="{00000000-0004-0000-0200-000000000000}"/>
    <hyperlink ref="G22" r:id="rId2" xr:uid="{00000000-0004-0000-0200-000001000000}"/>
    <hyperlink ref="G27" r:id="rId3" xr:uid="{00000000-0004-0000-0200-000002000000}"/>
    <hyperlink ref="G30" r:id="rId4" xr:uid="{00000000-0004-0000-0200-000003000000}"/>
    <hyperlink ref="G35" r:id="rId5" xr:uid="{00000000-0004-0000-0200-000004000000}"/>
    <hyperlink ref="G63" r:id="rId6" xr:uid="{00000000-0004-0000-0200-000005000000}"/>
    <hyperlink ref="G77" r:id="rId7" xr:uid="{00000000-0004-0000-0200-000006000000}"/>
    <hyperlink ref="G83" r:id="rId8" xr:uid="{00000000-0004-0000-0200-000007000000}"/>
    <hyperlink ref="G15" r:id="rId9" xr:uid="{00000000-0004-0000-0200-000008000000}"/>
    <hyperlink ref="G93" r:id="rId10" xr:uid="{00000000-0004-0000-0200-000009000000}"/>
    <hyperlink ref="G108" r:id="rId11" xr:uid="{00000000-0004-0000-0200-00000A000000}"/>
    <hyperlink ref="G109" r:id="rId12" xr:uid="{00000000-0004-0000-0200-00000B000000}"/>
    <hyperlink ref="G112" r:id="rId13" xr:uid="{00000000-0004-0000-0200-00000C000000}"/>
    <hyperlink ref="G119" r:id="rId14" xr:uid="{00000000-0004-0000-0200-00000D000000}"/>
    <hyperlink ref="G158" r:id="rId15" xr:uid="{00000000-0004-0000-0200-00000E000000}"/>
    <hyperlink ref="G167" r:id="rId16" xr:uid="{00000000-0004-0000-0200-00000F000000}"/>
    <hyperlink ref="G174" r:id="rId17" xr:uid="{00000000-0004-0000-0200-000010000000}"/>
    <hyperlink ref="G178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9" r:id="rId23" xr:uid="{00000000-0004-0000-0200-000016000000}"/>
    <hyperlink ref="G130" r:id="rId24" xr:uid="{00000000-0004-0000-0200-000017000000}"/>
    <hyperlink ref="G59" r:id="rId25" xr:uid="{00000000-0004-0000-0200-000018000000}"/>
    <hyperlink ref="G19" r:id="rId26" xr:uid="{00000000-0004-0000-0200-000019000000}"/>
    <hyperlink ref="G91" r:id="rId27" xr:uid="{00000000-0004-0000-0200-00001A000000}"/>
    <hyperlink ref="G144" r:id="rId28" xr:uid="{00000000-0004-0000-0200-00001B000000}"/>
    <hyperlink ref="G20" r:id="rId29" xr:uid="{00000000-0004-0000-0200-00001C000000}"/>
    <hyperlink ref="G124" r:id="rId30" xr:uid="{00000000-0004-0000-0200-00001D000000}"/>
    <hyperlink ref="G92" r:id="rId31" xr:uid="{00000000-0004-0000-0200-00001E000000}"/>
    <hyperlink ref="G169" r:id="rId32" xr:uid="{00000000-0004-0000-0200-00001F000000}"/>
    <hyperlink ref="G185" r:id="rId33" xr:uid="{00000000-0004-0000-0200-000020000000}"/>
    <hyperlink ref="G210" r:id="rId34" xr:uid="{00000000-0004-0000-0200-000021000000}"/>
    <hyperlink ref="G173" r:id="rId35" xr:uid="{C9FC4D91-6CDD-1D4B-A4F6-3CC4DD985103}"/>
    <hyperlink ref="G139" r:id="rId36" xr:uid="{8CC2D16E-A360-EA40-9446-7C67566D1B72}"/>
    <hyperlink ref="G180" r:id="rId37" xr:uid="{BDDCC081-09A8-A24D-935F-78D4BC5084FF}"/>
    <hyperlink ref="G43" r:id="rId38" xr:uid="{F05D68B8-E23C-BA47-8F12-51FB1817BF4D}"/>
    <hyperlink ref="G164" r:id="rId39" xr:uid="{2998ED75-3559-EF4F-AEF6-140E8C4C066B}"/>
    <hyperlink ref="G160" r:id="rId40" xr:uid="{4A142947-CF52-A847-875E-734EBD617487}"/>
    <hyperlink ref="G101" r:id="rId41" xr:uid="{A641355E-E6A1-C44E-86C5-7F2697961AA7}"/>
    <hyperlink ref="G88" r:id="rId42" xr:uid="{93374F1D-18A2-C948-B565-37C19D65A8AA}"/>
    <hyperlink ref="G89" r:id="rId43" xr:uid="{4A7F4F62-FF30-AB40-88A0-EF8D4F320D99}"/>
    <hyperlink ref="G60" r:id="rId44" xr:uid="{DFCC0718-A5F8-F248-86EE-E83FA2DD44D6}"/>
    <hyperlink ref="G24" r:id="rId45" xr:uid="{2A3E5490-CF3A-C94D-B79F-25C116027C1C}"/>
    <hyperlink ref="G131" r:id="rId46" xr:uid="{35679D76-BBCD-6C40-8909-63073594D66A}"/>
    <hyperlink ref="G37" r:id="rId47" xr:uid="{72038E91-6EB8-A84A-9FAB-B13D5E98C5E6}"/>
    <hyperlink ref="G87" r:id="rId48" xr:uid="{A5588F40-4FB0-4448-93DE-B45113CBFB1E}"/>
    <hyperlink ref="G78" r:id="rId49" xr:uid="{076A2AF1-844A-E343-AFC2-C7187E9E9BDA}"/>
    <hyperlink ref="G140" r:id="rId50" xr:uid="{0C9E4AC4-9AEE-284B-AE41-091B341C0FE7}"/>
    <hyperlink ref="G204" r:id="rId51" xr:uid="{022E2A21-8AE2-1F4D-8A5A-4C41CC3DC300}"/>
    <hyperlink ref="G47" r:id="rId52" xr:uid="{145AEF6E-D947-4E4F-9E1F-822ADFC1FAEC}"/>
    <hyperlink ref="G49" r:id="rId53" xr:uid="{4835DDB8-6614-6E45-9D14-7F478946C02D}"/>
    <hyperlink ref="G197" r:id="rId54" xr:uid="{D98E004C-8574-6E4C-8B72-CA00FC430086}"/>
    <hyperlink ref="G161" r:id="rId55" xr:uid="{1E0403D3-4302-1946-8D2E-33A364F64D41}"/>
    <hyperlink ref="G12" r:id="rId56" xr:uid="{B6D17556-9C47-4C49-B8C9-D1698067C446}"/>
    <hyperlink ref="G147" r:id="rId57" xr:uid="{EC234088-98CD-A64D-A3BD-FE883BF3879F}"/>
    <hyperlink ref="G5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50800</xdr:colOff>
                    <xdr:row>1</xdr:row>
                    <xdr:rowOff>12700</xdr:rowOff>
                  </from>
                  <to>
                    <xdr:col>20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50800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330200</xdr:colOff>
                    <xdr:row>1</xdr:row>
                    <xdr:rowOff>12700</xdr:rowOff>
                  </from>
                  <to>
                    <xdr:col>2</xdr:col>
                    <xdr:colOff>977900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330200</xdr:colOff>
                    <xdr:row>3</xdr:row>
                    <xdr:rowOff>25400</xdr:rowOff>
                  </from>
                  <to>
                    <xdr:col>2</xdr:col>
                    <xdr:colOff>977900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1206500</xdr:colOff>
                    <xdr:row>3</xdr:row>
                    <xdr:rowOff>38100</xdr:rowOff>
                  </from>
                  <to>
                    <xdr:col>3</xdr:col>
                    <xdr:colOff>673100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1206500</xdr:colOff>
                    <xdr:row>1</xdr:row>
                    <xdr:rowOff>12700</xdr:rowOff>
                  </from>
                  <to>
                    <xdr:col>3</xdr:col>
                    <xdr:colOff>673100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1206500</xdr:colOff>
                    <xdr:row>5</xdr:row>
                    <xdr:rowOff>38100</xdr:rowOff>
                  </from>
                  <to>
                    <xdr:col>3</xdr:col>
                    <xdr:colOff>673100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25400</xdr:rowOff>
                  </from>
                  <to>
                    <xdr:col>4</xdr:col>
                    <xdr:colOff>482600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12700</xdr:rowOff>
                  </from>
                  <to>
                    <xdr:col>4</xdr:col>
                    <xdr:colOff>482600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482600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25400</xdr:colOff>
                    <xdr:row>3</xdr:row>
                    <xdr:rowOff>152400</xdr:rowOff>
                  </from>
                  <to>
                    <xdr:col>18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25400</xdr:colOff>
                    <xdr:row>1</xdr:row>
                    <xdr:rowOff>12700</xdr:rowOff>
                  </from>
                  <to>
                    <xdr:col>15</xdr:col>
                    <xdr:colOff>330200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25400</xdr:colOff>
                    <xdr:row>1</xdr:row>
                    <xdr:rowOff>12700</xdr:rowOff>
                  </from>
                  <to>
                    <xdr:col>18</xdr:col>
                    <xdr:colOff>279400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25400</xdr:colOff>
                    <xdr:row>3</xdr:row>
                    <xdr:rowOff>152400</xdr:rowOff>
                  </from>
                  <to>
                    <xdr:col>15</xdr:col>
                    <xdr:colOff>330200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63500</xdr:colOff>
                    <xdr:row>1</xdr:row>
                    <xdr:rowOff>12700</xdr:rowOff>
                  </from>
                  <to>
                    <xdr:col>21</xdr:col>
                    <xdr:colOff>1130300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baseColWidth="10" defaultColWidth="8.83203125" defaultRowHeight="15" x14ac:dyDescent="0.2"/>
  <cols>
    <col min="1" max="1" width="24.33203125" customWidth="1"/>
    <col min="2" max="2" width="22.1640625" style="5" customWidth="1"/>
    <col min="3" max="3" width="11.1640625" customWidth="1"/>
    <col min="4" max="4" width="4.83203125" customWidth="1"/>
    <col min="5" max="5" width="5.5" bestFit="1" customWidth="1"/>
    <col min="6" max="6" width="5" customWidth="1"/>
    <col min="7" max="7" width="4.83203125" customWidth="1"/>
    <col min="8" max="8" width="6.5" hidden="1" customWidth="1"/>
    <col min="9" max="9" width="5.1640625" hidden="1" customWidth="1"/>
    <col min="10" max="10" width="7.1640625" customWidth="1"/>
    <col min="11" max="11" width="8.6640625" customWidth="1"/>
    <col min="12" max="12" width="7.33203125" customWidth="1"/>
  </cols>
  <sheetData>
    <row r="3" spans="1:12" x14ac:dyDescent="0.2">
      <c r="J3" s="43"/>
      <c r="K3" s="43"/>
      <c r="L3" s="71"/>
    </row>
    <row r="7" spans="1:12" ht="21" x14ac:dyDescent="0.25">
      <c r="A7" s="27" t="s">
        <v>589</v>
      </c>
    </row>
    <row r="8" spans="1:12" x14ac:dyDescent="0.2">
      <c r="K8" s="37"/>
    </row>
    <row r="9" spans="1:12" ht="32" x14ac:dyDescent="0.2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">
      <c r="L22" s="62"/>
    </row>
    <row r="23" spans="1:12" x14ac:dyDescent="0.2">
      <c r="L23" s="62"/>
    </row>
    <row r="24" spans="1:12" x14ac:dyDescent="0.2">
      <c r="L24" s="62"/>
    </row>
    <row r="25" spans="1:12" x14ac:dyDescent="0.2">
      <c r="L25" s="62"/>
    </row>
    <row r="26" spans="1:12" x14ac:dyDescent="0.2">
      <c r="L26" s="62"/>
    </row>
    <row r="27" spans="1:12" x14ac:dyDescent="0.2">
      <c r="L27" s="62"/>
    </row>
    <row r="28" spans="1:12" x14ac:dyDescent="0.2">
      <c r="L28" s="62"/>
    </row>
    <row r="29" spans="1:12" x14ac:dyDescent="0.2">
      <c r="L29" s="62"/>
    </row>
    <row r="30" spans="1:12" x14ac:dyDescent="0.2">
      <c r="L30" s="62"/>
    </row>
    <row r="31" spans="1:12" x14ac:dyDescent="0.2">
      <c r="L31" s="62"/>
    </row>
    <row r="32" spans="1:12" x14ac:dyDescent="0.2">
      <c r="L32" s="62"/>
    </row>
    <row r="33" spans="12:12" x14ac:dyDescent="0.2">
      <c r="L33" s="62"/>
    </row>
    <row r="34" spans="12:12" x14ac:dyDescent="0.2">
      <c r="L34" s="62"/>
    </row>
    <row r="35" spans="12:12" x14ac:dyDescent="0.2">
      <c r="L35" s="62"/>
    </row>
    <row r="36" spans="12:12" x14ac:dyDescent="0.2">
      <c r="L36" s="62"/>
    </row>
    <row r="37" spans="12:12" x14ac:dyDescent="0.2">
      <c r="L37" s="62"/>
    </row>
    <row r="38" spans="12:12" x14ac:dyDescent="0.2">
      <c r="L38" s="62"/>
    </row>
    <row r="39" spans="12:12" x14ac:dyDescent="0.2">
      <c r="L39" s="62"/>
    </row>
    <row r="40" spans="12:12" x14ac:dyDescent="0.2">
      <c r="L40" s="62"/>
    </row>
    <row r="41" spans="12:12" x14ac:dyDescent="0.2">
      <c r="L41" s="62"/>
    </row>
    <row r="42" spans="12:12" x14ac:dyDescent="0.2">
      <c r="L42" s="62"/>
    </row>
    <row r="43" spans="12:12" x14ac:dyDescent="0.2">
      <c r="L43" s="62"/>
    </row>
    <row r="44" spans="12:12" x14ac:dyDescent="0.2">
      <c r="L44" s="62"/>
    </row>
    <row r="45" spans="12:12" x14ac:dyDescent="0.2">
      <c r="L45" s="62"/>
    </row>
    <row r="46" spans="12:12" x14ac:dyDescent="0.2">
      <c r="L46" s="62"/>
    </row>
    <row r="47" spans="12:12" x14ac:dyDescent="0.2">
      <c r="L47" s="62"/>
    </row>
    <row r="48" spans="12:12" x14ac:dyDescent="0.2">
      <c r="L48" s="62"/>
    </row>
    <row r="49" spans="12:12" x14ac:dyDescent="0.2">
      <c r="L49" s="62"/>
    </row>
    <row r="50" spans="12:12" x14ac:dyDescent="0.2">
      <c r="L50" s="62"/>
    </row>
    <row r="51" spans="12:12" x14ac:dyDescent="0.2">
      <c r="L51" s="62"/>
    </row>
    <row r="52" spans="12:12" x14ac:dyDescent="0.2">
      <c r="L52" s="62"/>
    </row>
    <row r="53" spans="12:12" x14ac:dyDescent="0.2">
      <c r="L53" s="62"/>
    </row>
    <row r="54" spans="12:12" x14ac:dyDescent="0.2">
      <c r="L54" s="62"/>
    </row>
    <row r="55" spans="12:12" x14ac:dyDescent="0.2">
      <c r="L55" s="62"/>
    </row>
    <row r="56" spans="12:12" x14ac:dyDescent="0.2">
      <c r="L56" s="62"/>
    </row>
    <row r="57" spans="12:12" x14ac:dyDescent="0.2">
      <c r="L57" s="62"/>
    </row>
    <row r="58" spans="12:12" x14ac:dyDescent="0.2">
      <c r="L58" s="62"/>
    </row>
    <row r="59" spans="12:12" x14ac:dyDescent="0.2">
      <c r="L59" s="62"/>
    </row>
    <row r="60" spans="12:12" x14ac:dyDescent="0.2">
      <c r="L60" s="62"/>
    </row>
    <row r="61" spans="12:12" x14ac:dyDescent="0.2">
      <c r="L61" s="62"/>
    </row>
    <row r="62" spans="12:12" x14ac:dyDescent="0.2">
      <c r="L62" s="62"/>
    </row>
    <row r="63" spans="12:12" x14ac:dyDescent="0.2">
      <c r="L63" s="62"/>
    </row>
    <row r="64" spans="12:12" x14ac:dyDescent="0.2">
      <c r="L64" s="62"/>
    </row>
    <row r="65" spans="12:12" x14ac:dyDescent="0.2">
      <c r="L65" s="62"/>
    </row>
    <row r="66" spans="12:12" x14ac:dyDescent="0.2">
      <c r="L66" s="62"/>
    </row>
    <row r="67" spans="12:12" x14ac:dyDescent="0.2">
      <c r="L67" s="62"/>
    </row>
    <row r="68" spans="12:12" x14ac:dyDescent="0.2">
      <c r="L68" s="62"/>
    </row>
    <row r="69" spans="12:12" x14ac:dyDescent="0.2">
      <c r="L69" s="62"/>
    </row>
    <row r="70" spans="12:12" x14ac:dyDescent="0.2">
      <c r="L70" s="62"/>
    </row>
    <row r="71" spans="12:12" x14ac:dyDescent="0.2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baseColWidth="10" defaultColWidth="8.83203125" defaultRowHeight="15" x14ac:dyDescent="0.2"/>
  <cols>
    <col min="3" max="3" width="24" customWidth="1"/>
    <col min="4" max="4" width="25.1640625" customWidth="1"/>
    <col min="5" max="5" width="13.1640625" customWidth="1"/>
  </cols>
  <sheetData>
    <row r="5" spans="3:10" ht="22" thickBot="1" x14ac:dyDescent="0.3">
      <c r="C5" s="63" t="s">
        <v>116</v>
      </c>
    </row>
    <row r="6" spans="3:10" ht="16" thickBot="1" x14ac:dyDescent="0.25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">
      <c r="C11" s="61"/>
      <c r="D11" s="61"/>
      <c r="E11" s="76"/>
      <c r="F11" s="43"/>
      <c r="G11" s="71"/>
      <c r="H11" s="43"/>
      <c r="I11" s="43"/>
      <c r="J11" s="71"/>
    </row>
    <row r="12" spans="3:10" x14ac:dyDescent="0.2">
      <c r="C12" s="6"/>
      <c r="D12" s="6"/>
      <c r="E12" s="7"/>
      <c r="F12" s="72"/>
      <c r="G12" s="73"/>
      <c r="H12" s="72"/>
      <c r="I12" s="72"/>
      <c r="J12" s="73"/>
    </row>
    <row r="13" spans="3:10" x14ac:dyDescent="0.2">
      <c r="C13" s="1"/>
      <c r="D13" s="1"/>
      <c r="E13" s="2"/>
      <c r="F13" s="72"/>
      <c r="G13" s="72"/>
      <c r="H13" s="72"/>
      <c r="I13" s="72"/>
      <c r="J13" s="73"/>
    </row>
    <row r="14" spans="3:10" x14ac:dyDescent="0.2">
      <c r="C14" s="1"/>
      <c r="D14" s="1"/>
      <c r="E14" s="2"/>
      <c r="F14" s="72"/>
      <c r="G14" s="72"/>
      <c r="H14" s="72"/>
      <c r="I14" s="72"/>
      <c r="J14" s="73"/>
    </row>
    <row r="15" spans="3:10" x14ac:dyDescent="0.2">
      <c r="C15" s="6"/>
      <c r="D15" s="6"/>
      <c r="E15" s="7"/>
      <c r="F15" s="43"/>
      <c r="G15" s="43"/>
      <c r="H15" s="43"/>
      <c r="I15" s="43"/>
      <c r="J15" s="71"/>
    </row>
    <row r="16" spans="3:10" x14ac:dyDescent="0.2">
      <c r="C16" s="1"/>
      <c r="D16" s="1"/>
      <c r="E16" s="2"/>
      <c r="F16" s="72"/>
      <c r="G16" s="72"/>
      <c r="H16" s="72"/>
      <c r="I16" s="72"/>
      <c r="J16" s="73"/>
    </row>
    <row r="17" spans="3:10" x14ac:dyDescent="0.2">
      <c r="C17" s="61"/>
      <c r="D17" s="61"/>
      <c r="E17" s="61"/>
    </row>
    <row r="18" spans="3:10" x14ac:dyDescent="0.2">
      <c r="C18" s="61"/>
      <c r="D18" s="61"/>
      <c r="E18" s="61"/>
    </row>
    <row r="19" spans="3:10" x14ac:dyDescent="0.2">
      <c r="C19" s="1"/>
      <c r="D19" s="1"/>
      <c r="E19" s="2"/>
      <c r="F19" s="72"/>
      <c r="G19" s="72"/>
      <c r="H19" s="72"/>
      <c r="I19" s="72"/>
      <c r="J19" s="73"/>
    </row>
    <row r="20" spans="3:10" x14ac:dyDescent="0.2">
      <c r="C20" s="1"/>
      <c r="D20" s="1"/>
      <c r="E20" s="2"/>
      <c r="F20" s="72"/>
      <c r="G20" s="72"/>
      <c r="H20" s="72"/>
      <c r="I20" s="72"/>
      <c r="J20" s="73"/>
    </row>
    <row r="21" spans="3:10" x14ac:dyDescent="0.2">
      <c r="C21" s="6"/>
      <c r="D21" s="6"/>
      <c r="E21" s="7"/>
      <c r="F21" s="43"/>
      <c r="G21" s="43"/>
      <c r="H21" s="43"/>
      <c r="I21" s="43"/>
      <c r="J21" s="71"/>
    </row>
    <row r="22" spans="3:10" x14ac:dyDescent="0.2">
      <c r="C22" s="1"/>
      <c r="D22" s="1"/>
      <c r="E22" s="2"/>
      <c r="F22" s="72"/>
      <c r="G22" s="72"/>
      <c r="H22" s="72"/>
      <c r="I22" s="72"/>
      <c r="J22" s="73"/>
    </row>
    <row r="23" spans="3:10" x14ac:dyDescent="0.2">
      <c r="C23" s="61"/>
      <c r="D23" s="61"/>
      <c r="E23" s="61"/>
    </row>
    <row r="24" spans="3:10" x14ac:dyDescent="0.2">
      <c r="C24" s="61"/>
      <c r="D24" s="61"/>
      <c r="E24" s="61"/>
    </row>
    <row r="25" spans="3:10" x14ac:dyDescent="0.2">
      <c r="C25" s="1"/>
      <c r="D25" s="1"/>
      <c r="E25" s="2"/>
      <c r="F25" s="72"/>
      <c r="G25" s="72"/>
      <c r="H25" s="72"/>
      <c r="I25" s="72"/>
      <c r="J25" s="73"/>
    </row>
    <row r="26" spans="3:10" x14ac:dyDescent="0.2">
      <c r="C26" s="1"/>
      <c r="D26" s="1"/>
      <c r="E26" s="2"/>
      <c r="F26" s="72"/>
      <c r="G26" s="72"/>
      <c r="H26" s="72"/>
      <c r="I26" s="72"/>
      <c r="J26" s="73"/>
    </row>
    <row r="27" spans="3:10" x14ac:dyDescent="0.2">
      <c r="C27" s="6"/>
      <c r="D27" s="6"/>
      <c r="E27" s="7"/>
      <c r="F27" s="43"/>
      <c r="G27" s="43"/>
      <c r="H27" s="43"/>
      <c r="I27" s="43"/>
      <c r="J27" s="71"/>
    </row>
    <row r="28" spans="3:10" x14ac:dyDescent="0.2">
      <c r="C28" s="1"/>
      <c r="D28" s="1"/>
      <c r="E28" s="2"/>
      <c r="F28" s="72"/>
      <c r="G28" s="72"/>
      <c r="H28" s="72"/>
      <c r="I28" s="72"/>
      <c r="J28" s="73"/>
    </row>
    <row r="29" spans="3:10" x14ac:dyDescent="0.2">
      <c r="C29" s="61"/>
      <c r="D29" s="61"/>
      <c r="E29" s="61"/>
    </row>
    <row r="30" spans="3:10" x14ac:dyDescent="0.2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baseColWidth="10" defaultColWidth="8.83203125" defaultRowHeight="15" x14ac:dyDescent="0.2"/>
  <cols>
    <col min="3" max="3" width="29" customWidth="1"/>
  </cols>
  <sheetData>
    <row r="5" spans="3:5" ht="22" thickBot="1" x14ac:dyDescent="0.3">
      <c r="C5" s="64" t="s">
        <v>336</v>
      </c>
    </row>
    <row r="6" spans="3:5" ht="16" thickBot="1" x14ac:dyDescent="0.25">
      <c r="C6" s="74" t="s">
        <v>643</v>
      </c>
    </row>
    <row r="7" spans="3:5" x14ac:dyDescent="0.2">
      <c r="C7" s="6" t="s">
        <v>439</v>
      </c>
      <c r="D7" s="6" t="s">
        <v>332</v>
      </c>
      <c r="E7" s="7" t="s">
        <v>465</v>
      </c>
    </row>
    <row r="8" spans="3:5" x14ac:dyDescent="0.2">
      <c r="C8" s="1" t="s">
        <v>266</v>
      </c>
      <c r="D8" s="94" t="s">
        <v>268</v>
      </c>
      <c r="E8" s="2" t="s">
        <v>267</v>
      </c>
    </row>
    <row r="9" spans="3:5" x14ac:dyDescent="0.2">
      <c r="C9" s="6" t="s">
        <v>91</v>
      </c>
      <c r="D9" s="6" t="s">
        <v>92</v>
      </c>
      <c r="E9" s="7" t="s">
        <v>171</v>
      </c>
    </row>
    <row r="10" spans="3:5" x14ac:dyDescent="0.2">
      <c r="C10" s="101" t="s">
        <v>617</v>
      </c>
      <c r="D10" s="101" t="s">
        <v>494</v>
      </c>
      <c r="E10" s="95" t="s">
        <v>620</v>
      </c>
    </row>
    <row r="11" spans="3:5" x14ac:dyDescent="0.2">
      <c r="C11" s="1" t="s">
        <v>24</v>
      </c>
      <c r="D11" s="1" t="s">
        <v>25</v>
      </c>
      <c r="E11" s="2" t="s">
        <v>179</v>
      </c>
    </row>
    <row r="12" spans="3:5" x14ac:dyDescent="0.2">
      <c r="C12" s="1" t="s">
        <v>760</v>
      </c>
      <c r="D12" s="1" t="s">
        <v>761</v>
      </c>
      <c r="E12" s="2" t="s">
        <v>762</v>
      </c>
    </row>
    <row r="13" spans="3:5" x14ac:dyDescent="0.2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baseColWidth="10" defaultColWidth="8.83203125" defaultRowHeight="15" x14ac:dyDescent="0.2"/>
  <sheetData>
    <row r="2" spans="2:3" x14ac:dyDescent="0.2">
      <c r="B2">
        <v>1</v>
      </c>
      <c r="C2" t="s">
        <v>642</v>
      </c>
    </row>
    <row r="3" spans="2:3" x14ac:dyDescent="0.2">
      <c r="B3">
        <v>2</v>
      </c>
      <c r="C3" t="s">
        <v>645</v>
      </c>
    </row>
    <row r="4" spans="2:3" x14ac:dyDescent="0.2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Yvonne Bowers</cp:lastModifiedBy>
  <cp:lastPrinted>2024-04-25T00:39:22Z</cp:lastPrinted>
  <dcterms:created xsi:type="dcterms:W3CDTF">2014-07-30T14:06:58Z</dcterms:created>
  <dcterms:modified xsi:type="dcterms:W3CDTF">2025-03-14T14:57:01Z</dcterms:modified>
</cp:coreProperties>
</file>