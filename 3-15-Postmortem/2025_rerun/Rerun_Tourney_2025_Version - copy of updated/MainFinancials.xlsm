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45915FE7-B1E7-4FF9-B6B2-DB73273E0BAB}" xr6:coauthVersionLast="47" xr6:coauthVersionMax="47" xr10:uidLastSave="{00000000-0000-0000-0000-000000000000}"/>
  <bookViews>
    <workbookView xWindow="-28920" yWindow="-120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<sst xmlns="http://schemas.openxmlformats.org/spreadsheetml/2006/main" count="280" uniqueCount="179">
  <si>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</si>
  <si>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</si>
  <si>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</si>
  <si>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</si>
  <si>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</si>
  <si>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</si>
  <si>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</si>
  <si>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</si>
  <si>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</si>
  <si>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</si>
  <si>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</si>
  <si>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</si>
  <si>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</si>
  <si>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</si>
  <si>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</si>
  <si>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</si>
  <si>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</si>
  <si>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</si>
  <si>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</si>
  <si>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</si>
  <si>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</si>
  <si>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</si>
  <si>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</si>
  <si>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</si>
  <si>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</si>
  <si>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</si>
  <si>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</si>
  <si>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</si>
  <si>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</si>
  <si>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</si>
  <si>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</si>
  <si>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</si>
  <si>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</si>
  <si>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</si>
  <si>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</si>
  <si>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</si>
  <si>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</si>
  <si>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</si>
  <si>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</si>
  <si>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</si>
  <si>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</si>
  <si>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</si>
  <si>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</si>
  <si>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</si>
  <si>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</si>
  <si>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</si>
  <si>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</si>
  <si>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</si>
  <si>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</si>
  <si>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</si>
  <si>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</si>
  <si>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</si>
  <si>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</si>
  <si>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</si>
  <si>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</si>
  <si>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</si>
  <si>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</si>
  <si>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</si>
  <si>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</si>
  <si>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</si>
  <si>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</si>
  <si>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</si>
  <si>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</si>
  <si>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</si>
  <si>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</si>
  <si>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</si>
  <si>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</si>
  <si>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</si>
  <si>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</si>
  <si>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</si>
  <si>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</si>
  <si>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</si>
  <si>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</si>
  <si>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</si>
  <si>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</si>
  <si>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</si>
  <si>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</si>
  <si>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</si>
  <si>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</si>
  <si>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</si>
  <si>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</si>
  <si>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</si>
  <si>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</si>
  <si>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</si>
  <si>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</si>
  <si>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</si>
  <si>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</si>
  <si>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</si>
  <si>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</si>
  <si>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</si>
  <si>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</si>
  <si>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</si>
  <si>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</si>
  <si>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</si>
  <si>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</si>
  <si>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</si>
  <si>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</si>
  <si>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</si>
  <si>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</si>
  <si>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</si>
  <si>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</si>
  <si>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</si>
  <si>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</si>
  <si>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</si>
  <si>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</si>
  <si>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</si>
  <si>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</si>
  <si>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</si>
  <si>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</si>
  <si>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</si>
  <si>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</si>
  <si>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</si>
  <si>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</si>
  <si>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</si>
  <si>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</si>
  <si>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</si>
  <si>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</si>
  <si>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</si>
  <si>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</si>
  <si>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</si>
  <si>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</si>
  <si>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</si>
  <si>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</si>
  <si>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</si>
  <si>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</si>
  <si>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</si>
  <si>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</si>
  <si>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</si>
  <si>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</si>
  <si>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</si>
  <si>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</si>
  <si>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</si>
  <si>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</si>
  <si>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</si>
  <si>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</si>
  <si>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</si>
  <si>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</si>
  <si>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</si>
  <si>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</si>
  <si>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</si>
  <si>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</si>
  <si>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</si>
  <si>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</si>
  <si>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</si>
  <si>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</si>
  <si>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</si>
  <si>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</si>
  <si>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</si>
  <si>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</si>
  <si>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</si>
  <si>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</si>
  <si>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</si>
  <si>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</si>
  <si>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</si>
  <si>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</si>
  <si>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</si>
  <si>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</si>
  <si>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</si>
  <si>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</si>
  <si>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</si>
  <si>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</si>
  <si>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</si>
  <si>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</si>
  <si>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</si>
  <si>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</si>
  <si>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</si>
  <si>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</si>
  <si>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</si>
  <si>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</si>
  <si>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</si>
  <si>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</si>
  <si>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</si>
  <si>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</si>
  <si>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Valley Spring Open</t>
  </si>
  <si>
    <t>Meals</t>
  </si>
  <si>
    <t>Trophies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</si>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</sst>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19050</xdr:rowOff>
        </xdr:from>
        <xdr:to>
          <xdr:col>8</xdr:col>
          <xdr:colOff>9525</xdr:colOff>
          <xdr:row>6</xdr:row>
          <xdr:rowOff>219075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19050</xdr:rowOff>
        </xdr:from>
        <xdr:to>
          <xdr:col>5</xdr:col>
          <xdr:colOff>266700</xdr:colOff>
          <xdr:row>6</xdr:row>
          <xdr:rowOff>219075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38100</xdr:rowOff>
        </xdr:from>
        <xdr:to>
          <xdr:col>5</xdr:col>
          <xdr:colOff>266700</xdr:colOff>
          <xdr:row>9</xdr:row>
          <xdr:rowOff>266700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38100</xdr:rowOff>
        </xdr:from>
        <xdr:to>
          <xdr:col>8</xdr:col>
          <xdr:colOff>9525</xdr:colOff>
          <xdr:row>9</xdr:row>
          <xdr:rowOff>266700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14" zoomScaleNormal="100" workbookViewId="0">
      <selection activeCell="N49" sqref="N4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 t="s">
        <v>173</v>
      </c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>
        <v>45731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>
        <v>0</v>
      </c>
    </row>
    <row r="11" spans="1:15" ht="18.75" x14ac:dyDescent="0.3">
      <c r="A11" s="160" t="s">
        <v>118</v>
      </c>
      <c r="B11" s="160"/>
      <c r="C11" s="160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Valley Spring Open</v>
      </c>
      <c r="C15" s="130"/>
      <c r="D15" s="130"/>
      <c r="E15" s="132">
        <f>FMFSummaryTourneyDate</f>
        <v>45731</v>
      </c>
      <c r="F15" s="130"/>
      <c r="G15" s="164"/>
      <c r="H15" s="164"/>
    </row>
    <row r="16" spans="1:15" x14ac:dyDescent="0.25">
      <c r="A16" s="63">
        <f>FMFSummaryPlayerCount</f>
        <v>53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3710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-159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-619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-265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2667</v>
      </c>
      <c r="B21" s="174" t="s">
        <v>169</v>
      </c>
      <c r="C21" s="174"/>
      <c r="E21" s="11" t="s">
        <v>81</v>
      </c>
      <c r="F21" s="27">
        <f>FMFSummaryEntryFee*0.15</f>
        <v>10.5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5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>
        <v>5</v>
      </c>
      <c r="F30" s="140">
        <v>695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38100</xdr:colOff>
                    <xdr:row>5</xdr:row>
                    <xdr:rowOff>19050</xdr:rowOff>
                  </from>
                  <to>
                    <xdr:col>8</xdr:col>
                    <xdr:colOff>9525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4</xdr:col>
                    <xdr:colOff>19050</xdr:colOff>
                    <xdr:row>5</xdr:row>
                    <xdr:rowOff>19050</xdr:rowOff>
                  </from>
                  <to>
                    <xdr:col>5</xdr:col>
                    <xdr:colOff>266700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4</xdr:col>
                    <xdr:colOff>19050</xdr:colOff>
                    <xdr:row>8</xdr:row>
                    <xdr:rowOff>38100</xdr:rowOff>
                  </from>
                  <to>
                    <xdr:col>5</xdr:col>
                    <xdr:colOff>266700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6</xdr:col>
                    <xdr:colOff>38100</xdr:colOff>
                    <xdr:row>8</xdr:row>
                    <xdr:rowOff>38100</xdr:rowOff>
                  </from>
                  <to>
                    <xdr:col>8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E15" sqref="E1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/>
      <c r="E11" s="110" t="s">
        <v>174</v>
      </c>
      <c r="F11" s="114"/>
      <c r="G11" s="71"/>
    </row>
    <row r="12" spans="1:21" x14ac:dyDescent="0.25">
      <c r="A12" s="81"/>
      <c r="B12" s="76"/>
      <c r="C12" s="76">
        <v>82</v>
      </c>
      <c r="D12" s="77"/>
      <c r="E12" s="110" t="s">
        <v>175</v>
      </c>
      <c r="F12" s="114"/>
      <c r="G12" s="71"/>
    </row>
    <row r="13" spans="1:21" x14ac:dyDescent="0.25">
      <c r="A13" s="79"/>
      <c r="B13" s="73"/>
      <c r="C13" s="73">
        <v>181</v>
      </c>
      <c r="D13" s="74"/>
      <c r="E13" s="110" t="s">
        <v>174</v>
      </c>
      <c r="F13" s="114"/>
      <c r="G13" s="71"/>
    </row>
    <row r="14" spans="1:21" x14ac:dyDescent="0.25">
      <c r="A14" s="79"/>
      <c r="B14" s="73"/>
      <c r="C14" s="73">
        <v>61</v>
      </c>
      <c r="D14" s="74"/>
      <c r="E14" s="110" t="s">
        <v>174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177</v>
      </c>
      <c r="B6" s="145"/>
      <c r="C6" s="146">
        <v>695</v>
      </c>
    </row>
    <row r="7" spans="1:3" ht="61.5" x14ac:dyDescent="0.9">
      <c r="A7" s="145" t="s">
        <v>178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176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695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2025-03-18T18:49:50Z</cp:lastPrinted>
  <dcterms:created xsi:type="dcterms:W3CDTF">2014-06-07T17:42:48Z</dcterms:created>
  <dcterms:modified xsi:type="dcterms:W3CDTF">2025-05-04T05:06:42Z</dcterms:modified>
</cp:coreProperties>
</file>