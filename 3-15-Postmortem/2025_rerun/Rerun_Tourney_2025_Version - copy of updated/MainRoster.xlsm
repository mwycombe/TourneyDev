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191F7BF7-F677-4A3F-A114-5905239F59F4}" xr6:coauthVersionLast="47" xr6:coauthVersionMax="47" xr10:uidLastSave="{00000000-0000-0000-0000-000000000000}"/>
  <bookViews>
    <workbookView xWindow="-28920" yWindow="-120" windowWidth="29040" windowHeight="15720" tabRatio="706" activeTab="3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55" i="1" l="1"/>
  <c r="R12" i="1"/>
  <c r="R60" i="1"/>
  <c r="R65" i="1"/>
  <c r="R59" i="1"/>
  <c r="R25" i="1"/>
  <c r="Q33" i="1"/>
  <c r="Q55" i="1"/>
  <c r="Q71" i="1"/>
  <c r="Q70" i="1"/>
  <c r="Q61" i="1"/>
  <c r="Q35" i="1"/>
  <c r="Q12" i="1"/>
  <c r="Q26" i="1"/>
  <c r="Q34" i="1"/>
  <c r="Q60" i="1"/>
  <c r="Q41" i="1"/>
  <c r="Q54" i="1"/>
  <c r="Q45" i="1"/>
  <c r="Q48" i="1"/>
  <c r="Q50" i="1"/>
  <c r="Q43" i="1"/>
  <c r="Q44" i="1"/>
  <c r="Q69" i="1"/>
  <c r="Q27" i="1"/>
  <c r="Q53" i="1"/>
  <c r="Q21" i="1"/>
  <c r="Q32" i="1"/>
  <c r="Q15" i="1"/>
  <c r="Q46" i="1"/>
  <c r="Q68" i="1"/>
  <c r="Q28" i="1"/>
  <c r="Q67" i="1"/>
  <c r="Q66" i="1"/>
  <c r="Q57" i="1"/>
  <c r="Q42" i="1"/>
  <c r="Q52" i="1"/>
  <c r="Q19" i="1"/>
  <c r="Q13" i="1"/>
  <c r="Q29" i="1"/>
  <c r="Q18" i="1"/>
  <c r="Q31" i="1"/>
  <c r="Q65" i="1"/>
  <c r="Q59" i="1"/>
  <c r="Q47" i="1"/>
  <c r="Q17" i="1"/>
  <c r="Q30" i="1"/>
  <c r="Q64" i="1"/>
  <c r="Q16" i="1"/>
  <c r="Q63" i="1"/>
  <c r="Q56" i="1"/>
  <c r="Q38" i="1"/>
  <c r="Q37" i="1"/>
  <c r="Q20" i="1"/>
  <c r="Q22" i="1"/>
  <c r="Q25" i="1"/>
  <c r="Q36" i="1"/>
  <c r="Q24" i="1"/>
  <c r="Q40" i="1"/>
  <c r="Q39" i="1"/>
  <c r="Q62" i="1"/>
  <c r="Q58" i="1"/>
  <c r="Q23" i="1"/>
  <c r="Q49" i="1"/>
  <c r="Q51" i="1"/>
  <c r="Q14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29" i="1" a="1"/>
  <c r="S50" i="1" a="1"/>
  <c r="S15" i="1" a="1"/>
  <c r="S68" i="1" a="1"/>
  <c r="S67" i="1" a="1"/>
  <c r="S62" i="1" a="1"/>
  <c r="S69" i="1" a="1"/>
  <c r="S56" i="1" a="1"/>
  <c r="S61" i="1" a="1"/>
  <c r="S32" i="1" a="1"/>
  <c r="S64" i="1" a="1"/>
  <c r="S66" i="1" a="1"/>
  <c r="S17" i="1" a="1"/>
  <c r="S24" i="1" a="1"/>
  <c r="S52" i="1" a="1"/>
  <c r="S53" i="1" a="1"/>
  <c r="S51" i="1" a="1"/>
  <c r="S47" i="1" a="1"/>
  <c r="S35" i="1" a="1"/>
  <c r="S25" i="1" a="1"/>
  <c r="S21" i="1" a="1"/>
  <c r="S59" i="1" a="1"/>
  <c r="S44" i="1" a="1"/>
  <c r="S63" i="1" a="1"/>
  <c r="S27" i="1" a="1"/>
  <c r="S43" i="1" a="1"/>
  <c r="S20" i="1" a="1"/>
  <c r="S13" i="1" a="1"/>
  <c r="S49" i="1" a="1"/>
  <c r="S54" i="1" a="1"/>
  <c r="S58" i="1" a="1"/>
  <c r="S71" i="1" a="1"/>
  <c r="S22" i="1" a="1"/>
  <c r="S38" i="1" a="1"/>
  <c r="S65" i="1" a="1"/>
  <c r="S48" i="1" a="1"/>
  <c r="S37" i="1" a="1"/>
  <c r="S57" i="1" a="1"/>
  <c r="S26" i="1" a="1"/>
  <c r="S31" i="1" a="1"/>
  <c r="S33" i="1" a="1"/>
  <c r="S39" i="1" a="1"/>
  <c r="S70" i="1" a="1"/>
  <c r="S55" i="1" a="1"/>
  <c r="S12" i="1" a="1"/>
  <c r="S40" i="1" a="1"/>
  <c r="S19" i="1" a="1"/>
  <c r="S28" i="1" a="1"/>
  <c r="S14" i="1" a="1"/>
  <c r="S34" i="1" a="1"/>
  <c r="S18" i="1" a="1"/>
  <c r="S46" i="1" a="1"/>
  <c r="S36" i="1" a="1"/>
  <c r="S16" i="1" a="1"/>
  <c r="S60" i="1" a="1"/>
  <c r="S41" i="1" a="1"/>
  <c r="S30" i="1" a="1"/>
  <c r="S45" i="1" a="1"/>
  <c r="S42" i="1" a="1"/>
  <c r="S23" i="1" a="1"/>
  <c r="S52" i="1" l="1"/>
  <c r="N52" i="1" s="1"/>
  <c r="S40" i="1"/>
  <c r="S28" i="1"/>
  <c r="R28" i="1" s="1"/>
  <c r="S62" i="1"/>
  <c r="S13" i="1"/>
  <c r="N13" i="1" s="1"/>
  <c r="S25" i="1"/>
  <c r="N25" i="1" s="1"/>
  <c r="S51" i="1"/>
  <c r="N51" i="1" s="1"/>
  <c r="S27" i="1"/>
  <c r="S30" i="1"/>
  <c r="S20" i="1"/>
  <c r="S12" i="1"/>
  <c r="N12" i="1" s="1"/>
  <c r="S33" i="1"/>
  <c r="S66" i="1"/>
  <c r="R66" i="1" s="1"/>
  <c r="S53" i="1"/>
  <c r="N53" i="1" s="1"/>
  <c r="S42" i="1"/>
  <c r="N42" i="1" s="1"/>
  <c r="S45" i="1"/>
  <c r="R45" i="1" s="1"/>
  <c r="S29" i="1"/>
  <c r="S65" i="1"/>
  <c r="N65" i="1" s="1"/>
  <c r="S31" i="1"/>
  <c r="S63" i="1"/>
  <c r="S67" i="1"/>
  <c r="S32" i="1"/>
  <c r="S48" i="1"/>
  <c r="S18" i="1"/>
  <c r="N18" i="1" s="1"/>
  <c r="S14" i="1"/>
  <c r="S15" i="1"/>
  <c r="S64" i="1"/>
  <c r="N64" i="1" s="1"/>
  <c r="S26" i="1"/>
  <c r="S34" i="1"/>
  <c r="S23" i="1"/>
  <c r="S37" i="1"/>
  <c r="S57" i="1"/>
  <c r="R57" i="1" s="1"/>
  <c r="S43" i="1"/>
  <c r="N43" i="1" s="1"/>
  <c r="S44" i="1"/>
  <c r="S24" i="1"/>
  <c r="S35" i="1"/>
  <c r="N35" i="1" s="1"/>
  <c r="S69" i="1"/>
  <c r="S61" i="1"/>
  <c r="S58" i="1"/>
  <c r="R58" i="1" s="1"/>
  <c r="S47" i="1"/>
  <c r="S50" i="1"/>
  <c r="S68" i="1"/>
  <c r="S39" i="1"/>
  <c r="S60" i="1"/>
  <c r="N60" i="1" s="1"/>
  <c r="S16" i="1"/>
  <c r="N16" i="1" s="1"/>
  <c r="S71" i="1"/>
  <c r="S17" i="1"/>
  <c r="S41" i="1"/>
  <c r="N41" i="1" s="1"/>
  <c r="S49" i="1"/>
  <c r="N49" i="1" s="1"/>
  <c r="S22" i="1"/>
  <c r="R22" i="1" s="1"/>
  <c r="S36" i="1"/>
  <c r="N36" i="1" s="1"/>
  <c r="S54" i="1"/>
  <c r="R54" i="1" s="1"/>
  <c r="S70" i="1"/>
  <c r="S38" i="1"/>
  <c r="S56" i="1"/>
  <c r="S59" i="1"/>
  <c r="N59" i="1" s="1"/>
  <c r="S55" i="1"/>
  <c r="N55" i="1" s="1"/>
  <c r="S19" i="1"/>
  <c r="S21" i="1"/>
  <c r="S46" i="1"/>
  <c r="N46" i="1" s="1"/>
  <c r="R52" i="1"/>
  <c r="R13" i="1"/>
  <c r="R43" i="1"/>
  <c r="E222" i="3"/>
  <c r="N38" i="1" l="1"/>
  <c r="R38" i="1"/>
  <c r="R16" i="1"/>
  <c r="N40" i="1"/>
  <c r="R40" i="1"/>
  <c r="N14" i="1"/>
  <c r="R14" i="1"/>
  <c r="N47" i="1"/>
  <c r="R47" i="1"/>
  <c r="N61" i="1"/>
  <c r="R61" i="1"/>
  <c r="N66" i="1"/>
  <c r="N56" i="1"/>
  <c r="R56" i="1"/>
  <c r="N48" i="1"/>
  <c r="R48" i="1"/>
  <c r="N31" i="1"/>
  <c r="R31" i="1"/>
  <c r="N69" i="1"/>
  <c r="R69" i="1"/>
  <c r="N26" i="1"/>
  <c r="R26" i="1"/>
  <c r="N71" i="1"/>
  <c r="R71" i="1"/>
  <c r="N23" i="1"/>
  <c r="R23" i="1"/>
  <c r="N32" i="1"/>
  <c r="R32" i="1"/>
  <c r="N70" i="1"/>
  <c r="R70" i="1"/>
  <c r="N34" i="1"/>
  <c r="R34" i="1"/>
  <c r="N39" i="1"/>
  <c r="R39" i="1"/>
  <c r="N19" i="1"/>
  <c r="R19" i="1"/>
  <c r="N63" i="1"/>
  <c r="R63" i="1"/>
  <c r="N33" i="1"/>
  <c r="R33" i="1"/>
  <c r="N27" i="1"/>
  <c r="R27" i="1"/>
  <c r="N62" i="1"/>
  <c r="R62" i="1"/>
  <c r="N24" i="1"/>
  <c r="R24" i="1"/>
  <c r="N68" i="1"/>
  <c r="R68" i="1"/>
  <c r="N20" i="1"/>
  <c r="R20" i="1"/>
  <c r="N21" i="1"/>
  <c r="R21" i="1"/>
  <c r="N17" i="1"/>
  <c r="R17" i="1"/>
  <c r="N50" i="1"/>
  <c r="R50" i="1"/>
  <c r="N67" i="1"/>
  <c r="R67" i="1"/>
  <c r="N29" i="1"/>
  <c r="R29" i="1"/>
  <c r="N44" i="1"/>
  <c r="R44" i="1"/>
  <c r="N37" i="1"/>
  <c r="R37" i="1"/>
  <c r="N15" i="1"/>
  <c r="R15" i="1"/>
  <c r="N30" i="1"/>
  <c r="R30" i="1"/>
  <c r="N45" i="1"/>
  <c r="R51" i="1"/>
  <c r="R49" i="1"/>
  <c r="R42" i="1"/>
  <c r="N28" i="1"/>
  <c r="R64" i="1"/>
  <c r="N54" i="1"/>
  <c r="S10" i="1"/>
  <c r="N57" i="1"/>
  <c r="R46" i="1"/>
  <c r="R18" i="1"/>
  <c r="R35" i="1"/>
  <c r="R41" i="1"/>
  <c r="N58" i="1"/>
  <c r="N22" i="1"/>
  <c r="R53" i="1"/>
  <c r="R36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<sst xmlns="http://schemas.openxmlformats.org/spreadsheetml/2006/main" count="455" uniqueCount="233">
  <si>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</si>
  <si>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</si>
  <si>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</si>
  <si>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</si>
  <si>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</si>
  <si>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</si>
  <si>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</si>
  <si>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</si>
  <si>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</si>
  <si>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</si>
  <si>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</si>
  <si>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</si>
  <si>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</si>
  <si>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</si>
  <si>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</si>
  <si>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</si>
  <si>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</si>
  <si>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</si>
  <si>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</si>
  <si>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</si>
  <si>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</si>
  <si>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</si>
  <si>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</si>
  <si>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</si>
  <si>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</si>
  <si>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</si>
  <si>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</si>
  <si>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</si>
  <si>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</si>
  <si>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</si>
  <si>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</si>
  <si>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</si>
  <si>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</si>
  <si>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</si>
  <si>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</si>
  <si>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</si>
  <si>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</si>
  <si>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</si>
  <si>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</si>
  <si>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</si>
  <si>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</si>
  <si>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</si>
  <si>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</si>
  <si>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</si>
  <si>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</si>
  <si>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</si>
  <si>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</si>
  <si>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</si>
  <si>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</si>
  <si>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</si>
  <si>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</si>
  <si>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</si>
  <si>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</si>
  <si>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</si>
  <si>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</si>
  <si>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</si>
  <si>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</si>
  <si>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</si>
  <si>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</si>
  <si>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</si>
  <si>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</si>
  <si>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</si>
  <si>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</si>
  <si>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</si>
  <si>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</si>
  <si>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</si>
  <si>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</si>
  <si>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</si>
  <si>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</si>
  <si>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</si>
  <si>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</si>
  <si>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</si>
  <si>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</si>
  <si>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</si>
  <si>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</si>
  <si>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</si>
  <si>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</si>
  <si>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</si>
  <si>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</si>
  <si>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</si>
  <si>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</si>
  <si>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</si>
  <si>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</si>
  <si>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</si>
  <si>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</si>
  <si>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</si>
  <si>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</si>
  <si>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</si>
  <si>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</si>
  <si>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</si>
  <si>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</si>
  <si>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</si>
  <si>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</si>
  <si>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</si>
  <si>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</si>
  <si>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</si>
  <si>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Fair Oaks, CA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</si>
  <si>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</si>
  <si>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</si>
  <si>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</si>
  <si>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</si>
  <si>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</si>
  <si>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</si>
  <si>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</si>
  <si>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</si>
  <si>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</si>
  <si>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</si>
  <si>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</si>
  <si>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</si>
  <si>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</si>
  <si>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</si>
  <si>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</si>
  <si>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</si>
  <si>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</si>
  <si>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</si>
  <si>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</si>
  <si>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</si>
  <si>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</si>
  <si>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</si>
  <si>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</si>
  <si>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</si>
  <si>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</si>
  <si>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</si>
  <si>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</si>
  <si>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</si>
  <si>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</si>
  <si>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</si>
  <si>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</si>
  <si>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</si>
  <si>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</si>
  <si>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</si>
  <si>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</si>
  <si>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</si>
  <si>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</si>
  <si>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</si>
  <si>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</si>
  <si>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</si>
  <si>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</si>
  <si>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</si>
  <si>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</si>
  <si>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</si>
  <si>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</si>
  <si>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</si>
  <si>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</si>
  <si>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</si>
  <si>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</si>
  <si>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</si>
  <si>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</si>
  <si>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</si>
  <si>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</si>
  <si>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</si>
  <si>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</si>
  <si>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</si>
  <si>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</si>
  <si>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</si>
  <si>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</si>
  <si>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</si>
  <si>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</si>
  <si>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</si>
  <si>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</si>
  <si>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</si>
  <si>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</si>
  <si>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</si>
  <si>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</si>
  <si>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</si>
  <si>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</si>
  <si>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</si>
  <si>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</si>
  <si>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</si>
  <si>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</si>
  <si>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</si>
  <si>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</si>
  <si>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</si>
  <si>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</si>
  <si>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</si>
  <si>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</si>
  <si>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Fremont, CA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</si>
  <si>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</si>
  <si>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</si>
  <si>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</si>
  <si>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</si>
  <si>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</si>
  <si>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</si>
  <si>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</si>
  <si>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</si>
  <si>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</si>
  <si>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</si>
  <si>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</si>
  <si>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</si>
  <si>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</si>
  <si>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</si>
  <si>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</si>
  <si>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</si>
  <si>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</si>
  <si>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</si>
  <si>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</si>
  <si>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</si>
  <si>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</si>
  <si>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</si>
  <si>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</si>
  <si>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</si>
  <si>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</si>
  <si>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</si>
  <si>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</si>
  <si>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</si>
  <si>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</si>
  <si>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</si>
  <si>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</si>
  <si>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</si>
  <si>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</si>
  <si>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</si>
  <si>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</si>
  <si>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</si>
  <si>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</si>
  <si>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</si>
  <si>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</si>
  <si>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</si>
  <si>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</si>
  <si>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</si>
  <si>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</si>
  <si>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</si>
  <si>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</si>
  <si>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</si>
  <si>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</si>
  <si>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</si>
  <si>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Schuyler, Marylin</t>
  </si>
  <si>
    <t>CA-7916</t>
  </si>
  <si>
    <t>Napa Valley Spring Open</t>
  </si>
  <si>
    <t>The Moose Lodge</t>
  </si>
  <si>
    <t>Napa, Ca 94558</t>
  </si>
  <si>
    <t>EQ Pool</t>
  </si>
  <si>
    <t>1:6 Graduated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</si>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</sst>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workbookViewId="0">
      <pane ySplit="11" topLeftCell="A35" activePane="bottomLeft" state="frozen"/>
      <selection pane="bottomLeft" activeCell="D53" sqref="D53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1" t="s">
        <v>54</v>
      </c>
      <c r="B1" s="171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4" t="s">
        <v>73</v>
      </c>
      <c r="E2" s="174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2" t="s">
        <v>60</v>
      </c>
      <c r="C3" s="172"/>
      <c r="D3" s="173" t="s">
        <v>227</v>
      </c>
      <c r="E3" s="173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2" t="s">
        <v>61</v>
      </c>
      <c r="C4" s="172"/>
      <c r="D4" s="173" t="s">
        <v>228</v>
      </c>
      <c r="E4" s="173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2" t="s">
        <v>62</v>
      </c>
      <c r="C5" s="172"/>
      <c r="D5" s="173" t="s">
        <v>229</v>
      </c>
      <c r="E5" s="173"/>
      <c r="F5" s="15"/>
      <c r="G5" s="17"/>
      <c r="L5" s="21"/>
      <c r="M5" s="22"/>
      <c r="N5" s="151"/>
      <c r="O5" s="169" t="s">
        <v>89</v>
      </c>
      <c r="P5" s="169"/>
      <c r="Q5" s="169"/>
      <c r="R5" s="169"/>
      <c r="S5" s="169"/>
      <c r="T5" s="169"/>
      <c r="U5" s="169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2" t="s">
        <v>63</v>
      </c>
      <c r="C6" s="172"/>
      <c r="D6" s="136">
        <v>45731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0"/>
      <c r="L9" s="170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44</v>
      </c>
      <c r="H10" s="51">
        <f t="shared" si="0"/>
        <v>25</v>
      </c>
      <c r="I10" s="51">
        <f t="shared" si="0"/>
        <v>29</v>
      </c>
      <c r="J10" s="51">
        <f t="shared" si="0"/>
        <v>15</v>
      </c>
      <c r="K10" s="51">
        <f t="shared" si="0"/>
        <v>12</v>
      </c>
      <c r="L10" s="51">
        <f t="shared" si="0"/>
        <v>4</v>
      </c>
      <c r="M10" s="51">
        <f t="shared" si="0"/>
        <v>9</v>
      </c>
      <c r="N10" s="149">
        <f>SUM(N12:N211)</f>
        <v>950</v>
      </c>
      <c r="Q10" s="84">
        <f>SUM(Q12:Q211)</f>
        <v>0</v>
      </c>
      <c r="R10" s="149">
        <f>SUM(R12:R211)</f>
        <v>950</v>
      </c>
      <c r="S10" s="149">
        <f>SUM(S12:S211)</f>
        <v>5730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115</v>
      </c>
      <c r="E12" s="145" t="s">
        <v>116</v>
      </c>
      <c r="F12" s="111" t="s">
        <v>117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f t="shared" ref="N12:N43" si="1">M12*S12</f>
        <v>0</v>
      </c>
      <c r="O12" s="54"/>
      <c r="P12" s="7"/>
      <c r="Q12" s="144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130</v>
      </c>
      <c r="E13" s="145" t="s">
        <v>131</v>
      </c>
      <c r="F13" s="114" t="s">
        <v>132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f t="shared" si="1"/>
        <v>160</v>
      </c>
      <c r="O13" s="54"/>
      <c r="P13" s="7"/>
      <c r="Q13" s="144" t="str">
        <f t="shared" si="2"/>
        <v/>
      </c>
      <c r="R13" s="115">
        <f t="shared" si="3"/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133</v>
      </c>
      <c r="E14" s="145" t="s">
        <v>121</v>
      </c>
      <c r="F14" s="114" t="s">
        <v>134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141</v>
      </c>
      <c r="E15" s="145" t="s">
        <v>142</v>
      </c>
      <c r="F15" s="111" t="s">
        <v>143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67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155</v>
      </c>
      <c r="E16" s="145" t="s">
        <v>156</v>
      </c>
      <c r="F16" s="111" t="s">
        <v>157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f t="shared" si="1"/>
        <v>70</v>
      </c>
      <c r="O16" s="54"/>
      <c r="P16" s="7"/>
      <c r="Q16" s="144" t="str">
        <f t="shared" si="2"/>
        <v/>
      </c>
      <c r="R16" s="115">
        <f t="shared" si="3"/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172</v>
      </c>
      <c r="E17" s="145" t="s">
        <v>121</v>
      </c>
      <c r="F17" s="114" t="s">
        <v>173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f t="shared" si="1"/>
        <v>0</v>
      </c>
      <c r="O17" s="54"/>
      <c r="P17" s="7"/>
      <c r="Q17" s="144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174</v>
      </c>
      <c r="E18" s="145" t="s">
        <v>139</v>
      </c>
      <c r="F18" s="114" t="s">
        <v>175</v>
      </c>
      <c r="G18" s="106">
        <v>1</v>
      </c>
      <c r="H18" s="106"/>
      <c r="I18" s="106"/>
      <c r="J18" s="106"/>
      <c r="K18" s="106"/>
      <c r="L18" s="166"/>
      <c r="M18" s="108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177</v>
      </c>
      <c r="E19" s="145" t="s">
        <v>178</v>
      </c>
      <c r="F19" s="114" t="s">
        <v>179</v>
      </c>
      <c r="G19" s="106">
        <v>1</v>
      </c>
      <c r="H19" s="106"/>
      <c r="I19" s="106">
        <v>1</v>
      </c>
      <c r="J19" s="106"/>
      <c r="K19" s="106"/>
      <c r="L19" s="143">
        <v>1</v>
      </c>
      <c r="M19" s="108">
        <v>1</v>
      </c>
      <c r="N19" s="108">
        <f t="shared" si="1"/>
        <v>100</v>
      </c>
      <c r="O19" s="54"/>
      <c r="P19" s="7"/>
      <c r="Q19" s="144" t="str">
        <f t="shared" si="2"/>
        <v/>
      </c>
      <c r="R19" s="115">
        <f t="shared" si="3"/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194</v>
      </c>
      <c r="E20" s="145" t="s">
        <v>195</v>
      </c>
      <c r="F20" s="111" t="s">
        <v>196</v>
      </c>
      <c r="G20" s="105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200</v>
      </c>
      <c r="E21" s="145" t="s">
        <v>198</v>
      </c>
      <c r="F21" s="111" t="s">
        <v>201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204</v>
      </c>
      <c r="E22" s="145" t="s">
        <v>121</v>
      </c>
      <c r="F22" s="111" t="s">
        <v>205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f t="shared" si="1"/>
        <v>0</v>
      </c>
      <c r="O22" s="54"/>
      <c r="P22" s="7"/>
      <c r="Q22" s="144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211</v>
      </c>
      <c r="E23" s="145" t="s">
        <v>121</v>
      </c>
      <c r="F23" s="111" t="s">
        <v>212</v>
      </c>
      <c r="G23" s="94">
        <v>1</v>
      </c>
      <c r="H23" s="105">
        <v>1</v>
      </c>
      <c r="I23" s="105">
        <v>1</v>
      </c>
      <c r="J23" s="105">
        <v>1</v>
      </c>
      <c r="K23" s="105"/>
      <c r="L23" s="143">
        <v>1</v>
      </c>
      <c r="M23" s="67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160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215</v>
      </c>
      <c r="E24" s="145" t="s">
        <v>216</v>
      </c>
      <c r="F24" s="114" t="s">
        <v>217</v>
      </c>
      <c r="G24" s="94"/>
      <c r="H24" s="105"/>
      <c r="I24" s="105"/>
      <c r="J24" s="105"/>
      <c r="K24" s="105"/>
      <c r="L24" s="143"/>
      <c r="M24" s="67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218</v>
      </c>
      <c r="E25" s="145" t="s">
        <v>219</v>
      </c>
      <c r="F25" s="114" t="s">
        <v>220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f t="shared" si="1"/>
        <v>0</v>
      </c>
      <c r="O25" s="54"/>
      <c r="P25" s="7"/>
      <c r="Q25" s="144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f t="shared" si="1"/>
        <v>70</v>
      </c>
      <c r="O26" s="54"/>
      <c r="P26" s="7"/>
      <c r="Q26" s="144" t="str">
        <f t="shared" si="2"/>
        <v/>
      </c>
      <c r="R26" s="115">
        <f t="shared" si="3"/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97</v>
      </c>
      <c r="E28" s="145" t="s">
        <v>98</v>
      </c>
      <c r="F28" s="114" t="s">
        <v>99</v>
      </c>
      <c r="G28" s="106">
        <v>1</v>
      </c>
      <c r="H28" s="106"/>
      <c r="I28" s="106"/>
      <c r="J28" s="106"/>
      <c r="K28" s="106"/>
      <c r="L28" s="143"/>
      <c r="M28" s="108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100</v>
      </c>
      <c r="E29" s="145" t="s">
        <v>101</v>
      </c>
      <c r="F29" s="114" t="s">
        <v>102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f t="shared" si="1"/>
        <v>0</v>
      </c>
      <c r="O29" s="54"/>
      <c r="P29" s="7"/>
      <c r="Q29" s="144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103</v>
      </c>
      <c r="E30" s="145" t="s">
        <v>104</v>
      </c>
      <c r="F30" s="114" t="s">
        <v>105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106</v>
      </c>
      <c r="E31" s="145" t="s">
        <v>107</v>
      </c>
      <c r="F31" s="114" t="s">
        <v>108</v>
      </c>
      <c r="G31" s="106">
        <v>1</v>
      </c>
      <c r="H31" s="106"/>
      <c r="I31" s="106"/>
      <c r="J31" s="106"/>
      <c r="K31" s="106"/>
      <c r="L31" s="166"/>
      <c r="M31" s="108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109</v>
      </c>
      <c r="E32" s="145" t="s">
        <v>110</v>
      </c>
      <c r="F32" s="111" t="s">
        <v>111</v>
      </c>
      <c r="G32" s="94">
        <v>1</v>
      </c>
      <c r="H32" s="105"/>
      <c r="I32" s="105"/>
      <c r="J32" s="105"/>
      <c r="K32" s="105"/>
      <c r="L32" s="143"/>
      <c r="M32" s="67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112</v>
      </c>
      <c r="E33" s="145" t="s">
        <v>113</v>
      </c>
      <c r="F33" s="114" t="s">
        <v>114</v>
      </c>
      <c r="G33" s="106">
        <v>1</v>
      </c>
      <c r="H33" s="106"/>
      <c r="I33" s="106"/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118</v>
      </c>
      <c r="E34" s="145" t="s">
        <v>113</v>
      </c>
      <c r="F34" s="114" t="s">
        <v>119</v>
      </c>
      <c r="G34" s="106">
        <v>1</v>
      </c>
      <c r="H34" s="106"/>
      <c r="I34" s="106"/>
      <c r="J34" s="106"/>
      <c r="K34" s="106"/>
      <c r="L34" s="143"/>
      <c r="M34" s="108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120</v>
      </c>
      <c r="E35" s="145" t="s">
        <v>121</v>
      </c>
      <c r="F35" s="111" t="s">
        <v>122</v>
      </c>
      <c r="G35" s="106"/>
      <c r="H35" s="106"/>
      <c r="I35" s="106"/>
      <c r="J35" s="106"/>
      <c r="K35" s="106"/>
      <c r="L35" s="143"/>
      <c r="M35" s="108"/>
      <c r="N35" s="108">
        <f t="shared" si="1"/>
        <v>0</v>
      </c>
      <c r="O35" s="54"/>
      <c r="P35" s="7"/>
      <c r="Q35" s="144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123</v>
      </c>
      <c r="E36" s="145" t="s">
        <v>124</v>
      </c>
      <c r="F36" s="114" t="s">
        <v>125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f t="shared" si="1"/>
        <v>0</v>
      </c>
      <c r="O36" s="54"/>
      <c r="P36" s="7"/>
      <c r="Q36" s="144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126</v>
      </c>
      <c r="E37" s="145" t="s">
        <v>94</v>
      </c>
      <c r="F37" s="114" t="s">
        <v>127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f t="shared" si="1"/>
        <v>0</v>
      </c>
      <c r="O37" s="54"/>
      <c r="P37" s="7"/>
      <c r="Q37" s="144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128</v>
      </c>
      <c r="E38" s="145" t="s">
        <v>113</v>
      </c>
      <c r="F38" s="111" t="s">
        <v>129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f t="shared" si="1"/>
        <v>100</v>
      </c>
      <c r="O38" s="54"/>
      <c r="P38" s="7"/>
      <c r="Q38" s="144" t="str">
        <f t="shared" si="2"/>
        <v/>
      </c>
      <c r="R38" s="115">
        <f t="shared" si="3"/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135</v>
      </c>
      <c r="E39" s="145" t="s">
        <v>136</v>
      </c>
      <c r="F39" s="114" t="s">
        <v>137</v>
      </c>
      <c r="G39" s="94">
        <v>1</v>
      </c>
      <c r="H39" s="105"/>
      <c r="I39" s="105"/>
      <c r="J39" s="105"/>
      <c r="K39" s="105"/>
      <c r="L39" s="143"/>
      <c r="M39" s="67"/>
      <c r="N39" s="108">
        <f t="shared" si="1"/>
        <v>0</v>
      </c>
      <c r="O39" s="54"/>
      <c r="P39" s="7"/>
      <c r="Q39" s="144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138</v>
      </c>
      <c r="E40" s="145" t="s">
        <v>139</v>
      </c>
      <c r="F40" s="111" t="s">
        <v>140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f t="shared" si="1"/>
        <v>160</v>
      </c>
      <c r="O40" s="54"/>
      <c r="P40" s="7"/>
      <c r="Q40" s="144" t="str">
        <f t="shared" si="2"/>
        <v/>
      </c>
      <c r="R40" s="115">
        <f t="shared" si="3"/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144</v>
      </c>
      <c r="E41" s="145" t="s">
        <v>145</v>
      </c>
      <c r="F41" s="104" t="s">
        <v>146</v>
      </c>
      <c r="G41" s="106">
        <v>1</v>
      </c>
      <c r="H41" s="106"/>
      <c r="I41" s="106"/>
      <c r="J41" s="106"/>
      <c r="K41" s="106"/>
      <c r="L41" s="166"/>
      <c r="M41" s="108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147</v>
      </c>
      <c r="E42" s="145" t="s">
        <v>148</v>
      </c>
      <c r="F42" s="114" t="s">
        <v>149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150</v>
      </c>
      <c r="E43" s="145" t="s">
        <v>145</v>
      </c>
      <c r="F43" s="114" t="s">
        <v>151</v>
      </c>
      <c r="G43" s="106">
        <v>1</v>
      </c>
      <c r="H43" s="106"/>
      <c r="I43" s="106"/>
      <c r="J43" s="106"/>
      <c r="K43" s="106"/>
      <c r="L43" s="143"/>
      <c r="M43" s="108"/>
      <c r="N43" s="108">
        <f t="shared" si="1"/>
        <v>0</v>
      </c>
      <c r="O43" s="54"/>
      <c r="P43" s="7"/>
      <c r="Q43" s="144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152</v>
      </c>
      <c r="E44" s="145" t="s">
        <v>153</v>
      </c>
      <c r="F44" s="111" t="s">
        <v>154</v>
      </c>
      <c r="G44" s="105"/>
      <c r="H44" s="105"/>
      <c r="I44" s="105"/>
      <c r="J44" s="105"/>
      <c r="K44" s="105">
        <v>1</v>
      </c>
      <c r="L44" s="143"/>
      <c r="M44" s="67"/>
      <c r="N44" s="108">
        <f t="shared" ref="N44:N71" si="4">M44*S44</f>
        <v>0</v>
      </c>
      <c r="O44" s="54"/>
      <c r="P44" s="7"/>
      <c r="Q44" s="144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158</v>
      </c>
      <c r="E45" s="145" t="s">
        <v>159</v>
      </c>
      <c r="F45" s="114" t="s">
        <v>160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f t="shared" si="4"/>
        <v>80</v>
      </c>
      <c r="O45" s="54"/>
      <c r="P45" s="7"/>
      <c r="Q45" s="144" t="str">
        <f t="shared" si="5"/>
        <v/>
      </c>
      <c r="R45" s="115">
        <f t="shared" si="6"/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161</v>
      </c>
      <c r="E46" s="145" t="s">
        <v>162</v>
      </c>
      <c r="F46" s="111" t="s">
        <v>163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f t="shared" si="4"/>
        <v>100</v>
      </c>
      <c r="O46" s="54"/>
      <c r="P46" s="7"/>
      <c r="Q46" s="144" t="str">
        <f t="shared" si="5"/>
        <v/>
      </c>
      <c r="R46" s="115">
        <f t="shared" si="6"/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164</v>
      </c>
      <c r="E47" s="145" t="s">
        <v>165</v>
      </c>
      <c r="F47" s="114" t="s">
        <v>166</v>
      </c>
      <c r="G47" s="94"/>
      <c r="H47" s="105"/>
      <c r="I47" s="105"/>
      <c r="J47" s="105"/>
      <c r="K47" s="105"/>
      <c r="L47" s="143"/>
      <c r="M47" s="67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167</v>
      </c>
      <c r="E48" s="145" t="s">
        <v>121</v>
      </c>
      <c r="F48" s="111" t="s">
        <v>168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f t="shared" si="4"/>
        <v>0</v>
      </c>
      <c r="O48" s="54"/>
      <c r="P48" s="7"/>
      <c r="Q48" s="144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169</v>
      </c>
      <c r="E49" s="145" t="s">
        <v>170</v>
      </c>
      <c r="F49" s="114" t="s">
        <v>171</v>
      </c>
      <c r="G49" s="106">
        <v>1</v>
      </c>
      <c r="H49" s="106"/>
      <c r="I49" s="106"/>
      <c r="J49" s="106"/>
      <c r="K49" s="106"/>
      <c r="L49" s="143"/>
      <c r="M49" s="108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180</v>
      </c>
      <c r="E50" s="145" t="s">
        <v>181</v>
      </c>
      <c r="F50" s="114" t="s">
        <v>182</v>
      </c>
      <c r="G50" s="94">
        <v>1</v>
      </c>
      <c r="H50" s="105">
        <v>1</v>
      </c>
      <c r="I50" s="105">
        <v>1</v>
      </c>
      <c r="J50" s="105"/>
      <c r="K50" s="105"/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110</v>
      </c>
      <c r="T50" s="144">
        <v>1</v>
      </c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183</v>
      </c>
      <c r="E51" s="145" t="s">
        <v>184</v>
      </c>
      <c r="F51" s="111" t="s">
        <v>185</v>
      </c>
      <c r="G51" s="94"/>
      <c r="H51" s="105"/>
      <c r="I51" s="105"/>
      <c r="J51" s="105"/>
      <c r="K51" s="105"/>
      <c r="L51" s="143">
        <v>1</v>
      </c>
      <c r="M51" s="67"/>
      <c r="N51" s="108">
        <f t="shared" si="4"/>
        <v>0</v>
      </c>
      <c r="O51" s="54"/>
      <c r="P51" s="7"/>
      <c r="Q51" s="144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70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186</v>
      </c>
      <c r="E52" s="145" t="s">
        <v>121</v>
      </c>
      <c r="F52" s="114" t="s">
        <v>187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66"/>
      <c r="M52" s="67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160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232</v>
      </c>
      <c r="E53" s="145" t="s">
        <v>176</v>
      </c>
      <c r="F53" s="114" t="s">
        <v>188</v>
      </c>
      <c r="G53" s="106">
        <v>1</v>
      </c>
      <c r="H53" s="106"/>
      <c r="I53" s="106"/>
      <c r="J53" s="106"/>
      <c r="K53" s="106"/>
      <c r="L53" s="166"/>
      <c r="M53" s="108"/>
      <c r="N53" s="108">
        <f t="shared" si="4"/>
        <v>0</v>
      </c>
      <c r="O53" s="54"/>
      <c r="P53" s="7"/>
      <c r="Q53" s="144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80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189</v>
      </c>
      <c r="E54" s="146" t="s">
        <v>121</v>
      </c>
      <c r="F54" s="114" t="s">
        <v>190</v>
      </c>
      <c r="G54" s="106">
        <v>1</v>
      </c>
      <c r="H54" s="106"/>
      <c r="I54" s="106">
        <v>1</v>
      </c>
      <c r="J54" s="106"/>
      <c r="K54" s="106"/>
      <c r="L54" s="166"/>
      <c r="M54" s="108"/>
      <c r="N54" s="108">
        <f t="shared" si="4"/>
        <v>0</v>
      </c>
      <c r="O54" s="54"/>
      <c r="P54" s="7"/>
      <c r="Q54" s="144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100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191</v>
      </c>
      <c r="E55" s="145" t="s">
        <v>192</v>
      </c>
      <c r="F55" s="114" t="s">
        <v>193</v>
      </c>
      <c r="G55" s="106">
        <v>1</v>
      </c>
      <c r="H55" s="106">
        <v>1</v>
      </c>
      <c r="I55" s="106">
        <v>1</v>
      </c>
      <c r="J55" s="106">
        <v>1</v>
      </c>
      <c r="K55" s="106"/>
      <c r="L55" s="166"/>
      <c r="M55" s="108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160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225</v>
      </c>
      <c r="E56" s="145"/>
      <c r="F56" s="111" t="s">
        <v>226</v>
      </c>
      <c r="G56" s="94">
        <v>1</v>
      </c>
      <c r="H56" s="105"/>
      <c r="I56" s="105"/>
      <c r="J56" s="105"/>
      <c r="K56" s="105"/>
      <c r="L56" s="143"/>
      <c r="M56" s="67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80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197</v>
      </c>
      <c r="E57" s="145" t="s">
        <v>198</v>
      </c>
      <c r="F57" s="114" t="s">
        <v>199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202</v>
      </c>
      <c r="E58" s="145" t="s">
        <v>170</v>
      </c>
      <c r="F58" s="114" t="s">
        <v>203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f t="shared" si="4"/>
        <v>110</v>
      </c>
      <c r="O58" s="54"/>
      <c r="P58" s="7"/>
      <c r="Q58" s="144" t="str">
        <f t="shared" si="5"/>
        <v/>
      </c>
      <c r="R58" s="115">
        <f t="shared" si="6"/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206</v>
      </c>
      <c r="E59" s="145" t="s">
        <v>121</v>
      </c>
      <c r="F59" s="114"/>
      <c r="G59" s="106"/>
      <c r="H59" s="106"/>
      <c r="I59" s="106"/>
      <c r="J59" s="106"/>
      <c r="K59" s="106"/>
      <c r="L59" s="143"/>
      <c r="M59" s="108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207</v>
      </c>
      <c r="E60" s="145" t="s">
        <v>121</v>
      </c>
      <c r="F60" s="114" t="s">
        <v>208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209</v>
      </c>
      <c r="E61" s="145" t="s">
        <v>121</v>
      </c>
      <c r="F61" s="114" t="s">
        <v>210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213</v>
      </c>
      <c r="E62" s="145" t="s">
        <v>96</v>
      </c>
      <c r="F62" s="114" t="s">
        <v>214</v>
      </c>
      <c r="G62" s="106">
        <v>1</v>
      </c>
      <c r="H62" s="106"/>
      <c r="I62" s="106"/>
      <c r="J62" s="106"/>
      <c r="K62" s="106"/>
      <c r="L62" s="143"/>
      <c r="M62" s="108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221</v>
      </c>
      <c r="E63" s="145" t="s">
        <v>121</v>
      </c>
      <c r="F63" s="152" t="s">
        <v>222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223</v>
      </c>
      <c r="E64" s="145" t="s">
        <v>176</v>
      </c>
      <c r="F64" s="114" t="s">
        <v>224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4"/>
        <v>0</v>
      </c>
      <c r="O68" s="54"/>
      <c r="P68" s="7"/>
      <c r="Q68" s="144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4"/>
        <v>0</v>
      </c>
      <c r="O69" s="54"/>
      <c r="P69" s="7"/>
      <c r="Q69" s="144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 selectUnlockedCells="1"/>
  <sortState xmlns:xlrd2="http://schemas.microsoft.com/office/spreadsheetml/2017/richdata2" ref="B12:T75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5" t="s">
        <v>51</v>
      </c>
      <c r="B1" s="175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2" t="s">
        <v>227</v>
      </c>
      <c r="D3" s="172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2" t="s">
        <v>228</v>
      </c>
      <c r="D4" s="172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2" t="s">
        <v>229</v>
      </c>
      <c r="D5" s="172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45731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10</v>
      </c>
      <c r="O8" s="10">
        <f>SUM(O10:O203)</f>
        <v>11</v>
      </c>
      <c r="P8" s="10">
        <f>SUM(P10:P203)</f>
        <v>8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174</v>
      </c>
      <c r="C10" s="110" t="s">
        <v>139</v>
      </c>
      <c r="D10" s="110" t="s">
        <v>175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15"/>
      <c r="L10" s="115"/>
      <c r="M10" s="112">
        <v>1</v>
      </c>
      <c r="N10" s="112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 t="s">
        <v>200</v>
      </c>
      <c r="C11" s="106" t="s">
        <v>198</v>
      </c>
      <c r="D11" s="106" t="s">
        <v>201</v>
      </c>
      <c r="E11" s="115">
        <v>24</v>
      </c>
      <c r="F11" s="115">
        <v>11</v>
      </c>
      <c r="G11" s="115">
        <v>136</v>
      </c>
      <c r="H11" s="115"/>
      <c r="I11" s="106"/>
      <c r="J11" s="106"/>
      <c r="K11" s="115"/>
      <c r="L11" s="115"/>
      <c r="M11" s="106">
        <v>1</v>
      </c>
      <c r="N11" s="106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141</v>
      </c>
      <c r="C12" s="94" t="s">
        <v>142</v>
      </c>
      <c r="D12" s="94" t="s">
        <v>143</v>
      </c>
      <c r="E12" s="115">
        <v>23</v>
      </c>
      <c r="F12" s="115">
        <v>10</v>
      </c>
      <c r="G12" s="115">
        <v>135</v>
      </c>
      <c r="H12" s="115"/>
      <c r="I12" s="106"/>
      <c r="J12" s="106"/>
      <c r="K12" s="106"/>
      <c r="L12" s="107"/>
      <c r="M12" s="94">
        <v>1</v>
      </c>
      <c r="N12" s="105">
        <v>1</v>
      </c>
      <c r="O12" s="105">
        <v>1</v>
      </c>
      <c r="P12" s="105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93" t="s">
        <v>133</v>
      </c>
      <c r="C13" s="115" t="s">
        <v>121</v>
      </c>
      <c r="D13" s="115" t="s">
        <v>134</v>
      </c>
      <c r="E13" s="115">
        <v>22</v>
      </c>
      <c r="F13" s="115">
        <v>10</v>
      </c>
      <c r="G13" s="115">
        <v>104</v>
      </c>
      <c r="H13" s="115"/>
      <c r="I13" s="105"/>
      <c r="J13" s="105"/>
      <c r="K13" s="105"/>
      <c r="L13" s="107"/>
      <c r="M13" s="115">
        <v>1</v>
      </c>
      <c r="N13" s="115">
        <v>1</v>
      </c>
      <c r="O13" s="106">
        <v>1</v>
      </c>
      <c r="P13" s="106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130</v>
      </c>
      <c r="C14" s="115" t="s">
        <v>131</v>
      </c>
      <c r="D14" s="115" t="s">
        <v>132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211</v>
      </c>
      <c r="C15" s="115" t="s">
        <v>121</v>
      </c>
      <c r="D15" s="115" t="s">
        <v>212</v>
      </c>
      <c r="E15" s="115">
        <v>21</v>
      </c>
      <c r="F15" s="105">
        <v>10</v>
      </c>
      <c r="G15" s="105">
        <v>95</v>
      </c>
      <c r="H15" s="115"/>
      <c r="I15" s="106"/>
      <c r="J15" s="106"/>
      <c r="K15" s="94"/>
      <c r="L15" s="95"/>
      <c r="M15" s="115">
        <v>1</v>
      </c>
      <c r="N15" s="115">
        <v>1</v>
      </c>
      <c r="O15" s="106">
        <v>1</v>
      </c>
      <c r="P15" s="106">
        <v>1</v>
      </c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194</v>
      </c>
      <c r="C16" s="105" t="s">
        <v>195</v>
      </c>
      <c r="D16" s="94" t="s">
        <v>196</v>
      </c>
      <c r="E16" s="115">
        <v>20</v>
      </c>
      <c r="F16" s="115">
        <v>10</v>
      </c>
      <c r="G16" s="115">
        <v>99</v>
      </c>
      <c r="H16" s="115"/>
      <c r="I16" s="106"/>
      <c r="J16" s="106"/>
      <c r="K16" s="106"/>
      <c r="L16" s="107"/>
      <c r="M16" s="94">
        <v>1</v>
      </c>
      <c r="N16" s="105">
        <v>1</v>
      </c>
      <c r="O16" s="105">
        <v>1</v>
      </c>
      <c r="P16" s="105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 t="s">
        <v>204</v>
      </c>
      <c r="C17" s="112" t="s">
        <v>121</v>
      </c>
      <c r="D17" s="106" t="s">
        <v>205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06">
        <v>1</v>
      </c>
      <c r="N17" s="106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177</v>
      </c>
      <c r="C18" s="115" t="s">
        <v>178</v>
      </c>
      <c r="D18" s="115" t="s">
        <v>179</v>
      </c>
      <c r="E18" s="110">
        <v>20</v>
      </c>
      <c r="F18" s="110">
        <v>8</v>
      </c>
      <c r="G18" s="112">
        <v>158</v>
      </c>
      <c r="H18" s="112"/>
      <c r="I18" s="106"/>
      <c r="J18" s="106"/>
      <c r="K18" s="115"/>
      <c r="L18" s="115"/>
      <c r="M18" s="115">
        <v>1</v>
      </c>
      <c r="N18" s="115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215</v>
      </c>
      <c r="C19" s="115" t="s">
        <v>216</v>
      </c>
      <c r="D19" s="115" t="s">
        <v>217</v>
      </c>
      <c r="E19" s="115">
        <v>19</v>
      </c>
      <c r="F19" s="115">
        <v>9</v>
      </c>
      <c r="G19" s="115">
        <v>74</v>
      </c>
      <c r="H19" s="135"/>
      <c r="I19" s="135"/>
      <c r="J19" s="135"/>
      <c r="K19" s="105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218</v>
      </c>
      <c r="C20" s="115" t="s">
        <v>219</v>
      </c>
      <c r="D20" s="115" t="s">
        <v>220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172</v>
      </c>
      <c r="C21" s="115" t="s">
        <v>121</v>
      </c>
      <c r="D21" s="115" t="s">
        <v>173</v>
      </c>
      <c r="E21" s="115">
        <v>19</v>
      </c>
      <c r="F21" s="115">
        <v>9</v>
      </c>
      <c r="G21" s="115">
        <v>14</v>
      </c>
      <c r="H21" s="115"/>
      <c r="I21" s="106"/>
      <c r="J21" s="106"/>
      <c r="K21" s="115"/>
      <c r="L21" s="11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115</v>
      </c>
      <c r="C22" s="115" t="s">
        <v>116</v>
      </c>
      <c r="D22" s="115" t="s">
        <v>117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06"/>
      <c r="L22" s="107"/>
      <c r="M22" s="115">
        <v>1</v>
      </c>
      <c r="N22" s="115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113" t="s">
        <v>155</v>
      </c>
      <c r="C23" s="115" t="s">
        <v>156</v>
      </c>
      <c r="D23" s="115" t="s">
        <v>157</v>
      </c>
      <c r="E23" s="115">
        <v>18</v>
      </c>
      <c r="F23" s="115">
        <v>9</v>
      </c>
      <c r="G23" s="115">
        <v>72</v>
      </c>
      <c r="H23" s="126"/>
      <c r="I23" s="168"/>
      <c r="J23" s="168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C25" sqref="C2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230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44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174</v>
      </c>
      <c r="C6" s="140" t="s">
        <v>139</v>
      </c>
      <c r="D6" s="141" t="s">
        <v>175</v>
      </c>
      <c r="E6" s="70">
        <v>36</v>
      </c>
    </row>
    <row r="7" spans="1:18" x14ac:dyDescent="0.35">
      <c r="A7" s="48">
        <f>IF(B7&lt;&gt;"",A6+1,"")</f>
        <v>2</v>
      </c>
      <c r="B7" s="139" t="s">
        <v>200</v>
      </c>
      <c r="C7" s="139" t="s">
        <v>198</v>
      </c>
      <c r="D7" s="142" t="s">
        <v>201</v>
      </c>
      <c r="E7" s="70">
        <v>36</v>
      </c>
    </row>
    <row r="8" spans="1:18" x14ac:dyDescent="0.35">
      <c r="A8" s="48">
        <f t="shared" ref="A8:A30" si="0">IF(B8&lt;&gt;"",A7+1,"")</f>
        <v>3</v>
      </c>
      <c r="B8" s="140" t="s">
        <v>141</v>
      </c>
      <c r="C8" s="140" t="s">
        <v>142</v>
      </c>
      <c r="D8" s="141" t="s">
        <v>143</v>
      </c>
      <c r="E8" s="70">
        <v>36</v>
      </c>
    </row>
    <row r="9" spans="1:18" x14ac:dyDescent="0.35">
      <c r="A9" s="48">
        <f t="shared" si="0"/>
        <v>4</v>
      </c>
      <c r="B9" s="139" t="s">
        <v>133</v>
      </c>
      <c r="C9" s="139" t="s">
        <v>121</v>
      </c>
      <c r="D9" s="141" t="s">
        <v>134</v>
      </c>
      <c r="E9" s="70">
        <v>36</v>
      </c>
    </row>
    <row r="10" spans="1:18" x14ac:dyDescent="0.35">
      <c r="A10" s="48">
        <f t="shared" si="0"/>
        <v>5</v>
      </c>
      <c r="B10" s="140" t="s">
        <v>130</v>
      </c>
      <c r="C10" s="139" t="s">
        <v>131</v>
      </c>
      <c r="D10" s="141" t="s">
        <v>132</v>
      </c>
      <c r="E10" s="70">
        <v>36</v>
      </c>
    </row>
    <row r="11" spans="1:18" x14ac:dyDescent="0.35">
      <c r="A11" s="48">
        <f t="shared" si="0"/>
        <v>6</v>
      </c>
      <c r="B11" s="140" t="s">
        <v>211</v>
      </c>
      <c r="C11" s="139" t="s">
        <v>121</v>
      </c>
      <c r="D11" s="142" t="s">
        <v>212</v>
      </c>
      <c r="E11" s="70">
        <v>36</v>
      </c>
      <c r="Q11" s="82"/>
      <c r="R11" s="82"/>
    </row>
    <row r="12" spans="1:18" x14ac:dyDescent="0.35">
      <c r="A12" s="48">
        <f t="shared" si="0"/>
        <v>7</v>
      </c>
      <c r="B12" s="68" t="s">
        <v>194</v>
      </c>
      <c r="C12" s="68" t="s">
        <v>195</v>
      </c>
      <c r="D12" s="69" t="s">
        <v>196</v>
      </c>
      <c r="E12" s="70">
        <v>36</v>
      </c>
      <c r="Q12" s="82"/>
    </row>
    <row r="13" spans="1:18" x14ac:dyDescent="0.35">
      <c r="A13" s="48">
        <f t="shared" si="0"/>
        <v>8</v>
      </c>
      <c r="B13" s="71" t="s">
        <v>204</v>
      </c>
      <c r="C13" s="71" t="s">
        <v>121</v>
      </c>
      <c r="D13" s="72" t="s">
        <v>205</v>
      </c>
      <c r="E13" s="73">
        <v>36</v>
      </c>
    </row>
    <row r="14" spans="1:18" x14ac:dyDescent="0.35">
      <c r="A14" s="48">
        <f t="shared" si="0"/>
        <v>9</v>
      </c>
      <c r="B14" s="68" t="s">
        <v>177</v>
      </c>
      <c r="C14" s="68" t="s">
        <v>178</v>
      </c>
      <c r="D14" s="69" t="s">
        <v>179</v>
      </c>
      <c r="E14" s="70">
        <v>36</v>
      </c>
      <c r="Q14" s="82"/>
      <c r="R14" s="82"/>
    </row>
    <row r="15" spans="1:18" x14ac:dyDescent="0.35">
      <c r="A15" s="48">
        <f t="shared" si="0"/>
        <v>10</v>
      </c>
      <c r="B15" s="71" t="s">
        <v>218</v>
      </c>
      <c r="C15" s="71" t="s">
        <v>219</v>
      </c>
      <c r="D15" s="72" t="s">
        <v>220</v>
      </c>
      <c r="E15" s="73">
        <v>36</v>
      </c>
      <c r="Q15" s="82"/>
      <c r="R15" s="82"/>
    </row>
    <row r="16" spans="1:18" x14ac:dyDescent="0.35">
      <c r="A16" s="48">
        <f t="shared" si="0"/>
        <v>11</v>
      </c>
      <c r="B16" s="74" t="s">
        <v>172</v>
      </c>
      <c r="C16" s="74" t="s">
        <v>121</v>
      </c>
      <c r="D16" s="75" t="s">
        <v>173</v>
      </c>
      <c r="E16" s="73">
        <v>36</v>
      </c>
      <c r="Q16" s="82"/>
      <c r="R16" s="82"/>
    </row>
    <row r="17" spans="1:19" x14ac:dyDescent="0.35">
      <c r="A17" s="48">
        <f t="shared" si="0"/>
        <v>12</v>
      </c>
      <c r="B17" s="74" t="s">
        <v>115</v>
      </c>
      <c r="C17" s="76" t="s">
        <v>116</v>
      </c>
      <c r="D17" s="77" t="s">
        <v>117</v>
      </c>
      <c r="E17" s="70">
        <v>36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tabSelected="1" workbookViewId="0">
      <selection activeCell="C8" sqref="C8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231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200</v>
      </c>
      <c r="C6" s="157" t="s">
        <v>198</v>
      </c>
      <c r="D6" s="158" t="s">
        <v>201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141</v>
      </c>
      <c r="C7" s="156" t="s">
        <v>142</v>
      </c>
      <c r="D7" s="159" t="s">
        <v>143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133</v>
      </c>
      <c r="C8" s="157" t="s">
        <v>121</v>
      </c>
      <c r="D8" s="158" t="s">
        <v>134</v>
      </c>
      <c r="E8" s="165">
        <v>45</v>
      </c>
    </row>
    <row r="9" spans="1:18" ht="23.25" x14ac:dyDescent="0.35">
      <c r="A9" s="50">
        <f t="shared" si="0"/>
        <v>4</v>
      </c>
      <c r="B9" s="156" t="s">
        <v>130</v>
      </c>
      <c r="C9" s="156" t="s">
        <v>131</v>
      </c>
      <c r="D9" s="158" t="s">
        <v>132</v>
      </c>
      <c r="E9" s="165">
        <v>35</v>
      </c>
    </row>
    <row r="10" spans="1:18" ht="23.25" x14ac:dyDescent="0.35">
      <c r="A10" s="50">
        <f t="shared" si="0"/>
        <v>5</v>
      </c>
      <c r="B10" s="160" t="s">
        <v>211</v>
      </c>
      <c r="C10" s="160" t="s">
        <v>121</v>
      </c>
      <c r="D10" s="161" t="s">
        <v>212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D7" sqref="D7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231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200</v>
      </c>
      <c r="C6" s="157" t="s">
        <v>198</v>
      </c>
      <c r="D6" s="158" t="s">
        <v>201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141</v>
      </c>
      <c r="C7" s="156" t="s">
        <v>142</v>
      </c>
      <c r="D7" s="159" t="s">
        <v>143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133</v>
      </c>
      <c r="C8" s="157" t="s">
        <v>121</v>
      </c>
      <c r="D8" s="158" t="s">
        <v>134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130</v>
      </c>
      <c r="C9" s="160" t="s">
        <v>131</v>
      </c>
      <c r="D9" s="161" t="s">
        <v>132</v>
      </c>
      <c r="E9" s="162">
        <v>80</v>
      </c>
    </row>
    <row r="10" spans="1:7" ht="23.25" x14ac:dyDescent="0.35">
      <c r="A10" s="50">
        <f t="shared" si="0"/>
        <v>5</v>
      </c>
      <c r="B10" s="160" t="s">
        <v>211</v>
      </c>
      <c r="C10" s="160" t="s">
        <v>121</v>
      </c>
      <c r="D10" s="161" t="s">
        <v>212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231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15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200</v>
      </c>
      <c r="C6" s="157" t="s">
        <v>198</v>
      </c>
      <c r="D6" s="158" t="s">
        <v>201</v>
      </c>
      <c r="E6" s="165">
        <v>375</v>
      </c>
    </row>
    <row r="7" spans="1:12" ht="23.25" x14ac:dyDescent="0.35">
      <c r="A7" s="59">
        <f>IF(B7&lt;&gt;"",A6+1,"")</f>
        <v>2</v>
      </c>
      <c r="B7" s="156" t="s">
        <v>133</v>
      </c>
      <c r="C7" s="156" t="s">
        <v>121</v>
      </c>
      <c r="D7" s="159" t="s">
        <v>134</v>
      </c>
      <c r="E7" s="165">
        <v>250</v>
      </c>
    </row>
    <row r="8" spans="1:12" ht="23.25" x14ac:dyDescent="0.35">
      <c r="A8" s="59">
        <f t="shared" ref="A8:A30" si="0">IF(B8&lt;&gt;"",A7+1,"")</f>
        <v>3</v>
      </c>
      <c r="B8" s="164" t="s">
        <v>130</v>
      </c>
      <c r="C8" s="164" t="s">
        <v>131</v>
      </c>
      <c r="D8" s="164" t="s">
        <v>132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6">
        <f>+Entries!A2</f>
        <v>0</v>
      </c>
      <c r="B3" s="176"/>
      <c r="C3" s="176"/>
      <c r="D3" s="89"/>
    </row>
    <row r="4" spans="1:6" x14ac:dyDescent="0.3">
      <c r="A4" s="177"/>
      <c r="B4" s="177"/>
      <c r="C4" s="35"/>
    </row>
    <row r="5" spans="1:6" x14ac:dyDescent="0.3">
      <c r="A5" s="178"/>
      <c r="B5" s="176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9" t="s">
        <v>34</v>
      </c>
      <c r="C7" s="179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1">
        <f>+Entries!A2</f>
        <v>0</v>
      </c>
      <c r="B3" s="171"/>
      <c r="C3" s="171"/>
      <c r="E3" s="35"/>
      <c r="F3" s="35"/>
      <c r="J3" s="176"/>
      <c r="K3" s="176"/>
      <c r="L3" s="176"/>
      <c r="M3" s="34"/>
      <c r="N3" s="35"/>
      <c r="O3" s="35"/>
    </row>
    <row r="4" spans="1:15" x14ac:dyDescent="0.3">
      <c r="A4" s="177"/>
      <c r="B4" s="177"/>
      <c r="J4" s="177"/>
      <c r="K4" s="177"/>
      <c r="L4" s="35"/>
      <c r="M4" s="34"/>
      <c r="N4" s="34"/>
      <c r="O4" s="34"/>
    </row>
    <row r="5" spans="1:15" x14ac:dyDescent="0.3">
      <c r="A5" s="178" t="e">
        <f>+#REF!</f>
        <v>#REF!</v>
      </c>
      <c r="B5" s="176"/>
      <c r="C5" s="36" t="s">
        <v>28</v>
      </c>
      <c r="J5" s="176"/>
      <c r="K5" s="176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9" t="s">
        <v>34</v>
      </c>
      <c r="C7" s="179"/>
      <c r="J7" s="41"/>
      <c r="K7" s="179"/>
      <c r="L7" s="179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80">
        <f>+Entries!A2</f>
        <v>0</v>
      </c>
      <c r="B3" s="180"/>
      <c r="C3" s="180"/>
    </row>
    <row r="4" spans="1:20" x14ac:dyDescent="0.25">
      <c r="A4" s="181"/>
      <c r="B4" s="181"/>
      <c r="C4" s="14"/>
    </row>
    <row r="5" spans="1:20" x14ac:dyDescent="0.25">
      <c r="A5" s="182"/>
      <c r="B5" s="180"/>
      <c r="C5" s="32"/>
    </row>
    <row r="6" spans="1:20" x14ac:dyDescent="0.25">
      <c r="A6" s="53"/>
      <c r="B6" s="32"/>
      <c r="C6" s="14"/>
    </row>
    <row r="7" spans="1:20" x14ac:dyDescent="0.25">
      <c r="A7" s="53"/>
      <c r="B7" s="183"/>
      <c r="C7" s="183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2024-04-20T20:36:53Z</cp:lastPrinted>
  <dcterms:created xsi:type="dcterms:W3CDTF">2014-07-12T17:55:34Z</dcterms:created>
  <dcterms:modified xsi:type="dcterms:W3CDTF">2025-05-04T05:06:41Z</dcterms:modified>
</cp:coreProperties>
</file>