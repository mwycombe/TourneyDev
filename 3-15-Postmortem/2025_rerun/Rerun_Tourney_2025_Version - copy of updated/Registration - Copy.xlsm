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Version_Apr_20_2024\"/>
    </mc:Choice>
  </mc:AlternateContent>
  <xr:revisionPtr revIDLastSave="0" documentId="13_ncr:1_{7F9CB9C9-CDE7-482E-9F53-DA0AA41C14C3}" xr6:coauthVersionLast="47" xr6:coauthVersionMax="47" xr10:uidLastSave="{00000000-0000-0000-0000-000000000000}"/>
  <bookViews>
    <workbookView xWindow="-26670" yWindow="0" windowWidth="26820" windowHeight="14610" tabRatio="75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2" i="1" l="1"/>
  <c r="T201" i="1"/>
  <c r="R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R196" i="1" s="1"/>
  <c r="S196" i="1"/>
  <c r="T195" i="1"/>
  <c r="O195" i="1" s="1"/>
  <c r="S195" i="1"/>
  <c r="T194" i="1"/>
  <c r="O194" i="1" s="1"/>
  <c r="S194" i="1"/>
  <c r="T193" i="1"/>
  <c r="S193" i="1" s="1"/>
  <c r="R193" i="1"/>
  <c r="T192" i="1"/>
  <c r="O192" i="1" s="1"/>
  <c r="S192" i="1"/>
  <c r="T191" i="1"/>
  <c r="S191" i="1" s="1"/>
  <c r="R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R184" i="1" s="1"/>
  <c r="S184" i="1"/>
  <c r="T183" i="1"/>
  <c r="O183" i="1" s="1"/>
  <c r="S183" i="1"/>
  <c r="T182" i="1"/>
  <c r="O182" i="1" s="1"/>
  <c r="S182" i="1"/>
  <c r="T181" i="1"/>
  <c r="O181" i="1" s="1"/>
  <c r="S181" i="1"/>
  <c r="T180" i="1"/>
  <c r="R180" i="1" s="1"/>
  <c r="S180" i="1"/>
  <c r="T179" i="1"/>
  <c r="R179" i="1" s="1"/>
  <c r="S179" i="1"/>
  <c r="T178" i="1"/>
  <c r="O178" i="1" s="1"/>
  <c r="S178" i="1"/>
  <c r="T177" i="1"/>
  <c r="O177" i="1" s="1"/>
  <c r="S177" i="1"/>
  <c r="T176" i="1"/>
  <c r="R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S172" i="1" s="1"/>
  <c r="R172" i="1"/>
  <c r="T171" i="1"/>
  <c r="S171" i="1" s="1"/>
  <c r="R171" i="1"/>
  <c r="T170" i="1"/>
  <c r="R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S165" i="1" s="1"/>
  <c r="R165" i="1"/>
  <c r="T164" i="1"/>
  <c r="O164" i="1" s="1"/>
  <c r="S164" i="1"/>
  <c r="T163" i="1"/>
  <c r="O163" i="1" s="1"/>
  <c r="S163" i="1"/>
  <c r="T162" i="1"/>
  <c r="R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R157" i="1" s="1"/>
  <c r="S157" i="1"/>
  <c r="T156" i="1"/>
  <c r="O156" i="1" s="1"/>
  <c r="S156" i="1"/>
  <c r="T155" i="1"/>
  <c r="O155" i="1" s="1"/>
  <c r="S155" i="1"/>
  <c r="T154" i="1"/>
  <c r="R154" i="1" s="1"/>
  <c r="S154" i="1"/>
  <c r="T153" i="1"/>
  <c r="R153" i="1" s="1"/>
  <c r="S153" i="1"/>
  <c r="T152" i="1"/>
  <c r="R152" i="1" s="1"/>
  <c r="S152" i="1"/>
  <c r="T151" i="1"/>
  <c r="S151" i="1" s="1"/>
  <c r="R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R141" i="1" s="1"/>
  <c r="S141" i="1"/>
  <c r="T140" i="1"/>
  <c r="O140" i="1" s="1"/>
  <c r="S140" i="1"/>
  <c r="T139" i="1"/>
  <c r="O139" i="1" s="1"/>
  <c r="S139" i="1"/>
  <c r="T138" i="1"/>
  <c r="O138" i="1" s="1"/>
  <c r="S138" i="1"/>
  <c r="T137" i="1"/>
  <c r="O137" i="1" s="1"/>
  <c r="S137" i="1"/>
  <c r="T136" i="1"/>
  <c r="R136" i="1" s="1"/>
  <c r="S136" i="1"/>
  <c r="T135" i="1"/>
  <c r="O135" i="1" s="1"/>
  <c r="S135" i="1"/>
  <c r="T134" i="1"/>
  <c r="O134" i="1" s="1"/>
  <c r="S134" i="1"/>
  <c r="T133" i="1"/>
  <c r="R133" i="1" s="1"/>
  <c r="S133" i="1"/>
  <c r="T132" i="1"/>
  <c r="O132" i="1" s="1"/>
  <c r="S132" i="1"/>
  <c r="T131" i="1"/>
  <c r="S131" i="1" s="1"/>
  <c r="R131" i="1"/>
  <c r="T130" i="1"/>
  <c r="O130" i="1" s="1"/>
  <c r="S130" i="1"/>
  <c r="T129" i="1"/>
  <c r="O129" i="1" s="1"/>
  <c r="S129" i="1"/>
  <c r="T128" i="1"/>
  <c r="O128" i="1" s="1"/>
  <c r="S128" i="1"/>
  <c r="T127" i="1"/>
  <c r="S127" i="1" s="1"/>
  <c r="R127" i="1"/>
  <c r="T126" i="1"/>
  <c r="O126" i="1" s="1"/>
  <c r="S126" i="1"/>
  <c r="T125" i="1"/>
  <c r="O125" i="1" s="1"/>
  <c r="S125" i="1"/>
  <c r="T124" i="1"/>
  <c r="O124" i="1" s="1"/>
  <c r="S124" i="1"/>
  <c r="T123" i="1"/>
  <c r="S123" i="1" s="1"/>
  <c r="R123" i="1"/>
  <c r="T122" i="1"/>
  <c r="O122" i="1" s="1"/>
  <c r="S122" i="1"/>
  <c r="T121" i="1"/>
  <c r="O121" i="1" s="1"/>
  <c r="S121" i="1"/>
  <c r="T120" i="1"/>
  <c r="O120" i="1" s="1"/>
  <c r="S120" i="1"/>
  <c r="T119" i="1"/>
  <c r="R119" i="1" s="1"/>
  <c r="S119" i="1"/>
  <c r="T118" i="1"/>
  <c r="O118" i="1" s="1"/>
  <c r="S118" i="1"/>
  <c r="T117" i="1"/>
  <c r="O117" i="1" s="1"/>
  <c r="S117" i="1"/>
  <c r="T116" i="1"/>
  <c r="S116" i="1" s="1"/>
  <c r="R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S110" i="1" s="1"/>
  <c r="R110" i="1"/>
  <c r="T109" i="1"/>
  <c r="R109" i="1" s="1"/>
  <c r="S109" i="1"/>
  <c r="T108" i="1"/>
  <c r="R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S94" i="1" s="1"/>
  <c r="R94" i="1"/>
  <c r="T93" i="1"/>
  <c r="O93" i="1" s="1"/>
  <c r="S93" i="1"/>
  <c r="T92" i="1"/>
  <c r="O92" i="1" s="1"/>
  <c r="S92" i="1"/>
  <c r="T91" i="1"/>
  <c r="O91" i="1" s="1"/>
  <c r="S91" i="1"/>
  <c r="T90" i="1"/>
  <c r="R90" i="1" s="1"/>
  <c r="S90" i="1"/>
  <c r="T89" i="1"/>
  <c r="R89" i="1" s="1"/>
  <c r="S89" i="1"/>
  <c r="T88" i="1"/>
  <c r="O88" i="1" s="1"/>
  <c r="S88" i="1"/>
  <c r="T87" i="1"/>
  <c r="O87" i="1" s="1"/>
  <c r="S87" i="1"/>
  <c r="T86" i="1"/>
  <c r="O86" i="1" s="1"/>
  <c r="S86" i="1"/>
  <c r="T85" i="1"/>
  <c r="R85" i="1" s="1"/>
  <c r="S85" i="1"/>
  <c r="T84" i="1"/>
  <c r="R84" i="1" s="1"/>
  <c r="S84" i="1"/>
  <c r="T83" i="1"/>
  <c r="O83" i="1" s="1"/>
  <c r="S83" i="1"/>
  <c r="T82" i="1"/>
  <c r="O82" i="1" s="1"/>
  <c r="S82" i="1"/>
  <c r="T81" i="1"/>
  <c r="O81" i="1" s="1"/>
  <c r="S81" i="1"/>
  <c r="T80" i="1"/>
  <c r="O80" i="1" s="1"/>
  <c r="S80" i="1"/>
  <c r="T79" i="1"/>
  <c r="O79" i="1" s="1"/>
  <c r="S79" i="1"/>
  <c r="T78" i="1"/>
  <c r="O78" i="1" s="1"/>
  <c r="S78" i="1"/>
  <c r="T77" i="1"/>
  <c r="T76" i="1"/>
  <c r="T75" i="1"/>
  <c r="S75" i="1" s="1"/>
  <c r="R75" i="1"/>
  <c r="T74" i="1"/>
  <c r="S74" i="1" s="1"/>
  <c r="R74" i="1"/>
  <c r="T73" i="1"/>
  <c r="O73" i="1" s="1"/>
  <c r="S73" i="1"/>
  <c r="T72" i="1"/>
  <c r="O72" i="1" s="1"/>
  <c r="S72" i="1"/>
  <c r="T71" i="1"/>
  <c r="O71" i="1" s="1"/>
  <c r="S71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S66" i="1" s="1"/>
  <c r="R66" i="1"/>
  <c r="T65" i="1"/>
  <c r="R65" i="1" s="1"/>
  <c r="S65" i="1"/>
  <c r="T64" i="1"/>
  <c r="R64" i="1" s="1"/>
  <c r="S64" i="1"/>
  <c r="T63" i="1"/>
  <c r="O63" i="1" s="1"/>
  <c r="S63" i="1"/>
  <c r="T62" i="1"/>
  <c r="R62" i="1" s="1"/>
  <c r="S62" i="1"/>
  <c r="T61" i="1"/>
  <c r="O61" i="1" s="1"/>
  <c r="S61" i="1"/>
  <c r="T60" i="1"/>
  <c r="R60" i="1" s="1"/>
  <c r="S60" i="1"/>
  <c r="T59" i="1"/>
  <c r="O59" i="1" s="1"/>
  <c r="S59" i="1"/>
  <c r="T58" i="1"/>
  <c r="O58" i="1" s="1"/>
  <c r="S58" i="1"/>
  <c r="T57" i="1"/>
  <c r="O57" i="1" s="1"/>
  <c r="S57" i="1"/>
  <c r="T56" i="1"/>
  <c r="O56" i="1" s="1"/>
  <c r="S56" i="1"/>
  <c r="T55" i="1"/>
  <c r="O55" i="1" s="1"/>
  <c r="S55" i="1"/>
  <c r="T54" i="1"/>
  <c r="O54" i="1" s="1"/>
  <c r="S54" i="1"/>
  <c r="T53" i="1"/>
  <c r="O53" i="1" s="1"/>
  <c r="S53" i="1"/>
  <c r="T52" i="1"/>
  <c r="O52" i="1" s="1"/>
  <c r="S52" i="1"/>
  <c r="T51" i="1"/>
  <c r="R51" i="1" s="1"/>
  <c r="S51" i="1"/>
  <c r="T50" i="1"/>
  <c r="O50" i="1" s="1"/>
  <c r="S50" i="1"/>
  <c r="T49" i="1"/>
  <c r="O49" i="1" s="1"/>
  <c r="R49" i="1"/>
  <c r="T48" i="1"/>
  <c r="O48" i="1" s="1"/>
  <c r="S48" i="1"/>
  <c r="T47" i="1"/>
  <c r="O47" i="1" s="1"/>
  <c r="S47" i="1"/>
  <c r="T46" i="1"/>
  <c r="S46" i="1" s="1"/>
  <c r="R46" i="1"/>
  <c r="T45" i="1"/>
  <c r="R45" i="1" s="1"/>
  <c r="S45" i="1"/>
  <c r="T44" i="1"/>
  <c r="O44" i="1" s="1"/>
  <c r="S44" i="1"/>
  <c r="T43" i="1"/>
  <c r="O43" i="1" s="1"/>
  <c r="S43" i="1"/>
  <c r="T42" i="1"/>
  <c r="R42" i="1" s="1"/>
  <c r="S42" i="1"/>
  <c r="T41" i="1"/>
  <c r="O41" i="1" s="1"/>
  <c r="S41" i="1"/>
  <c r="T40" i="1"/>
  <c r="O40" i="1" s="1"/>
  <c r="S40" i="1"/>
  <c r="T39" i="1"/>
  <c r="O39" i="1" s="1"/>
  <c r="S39" i="1"/>
  <c r="T38" i="1"/>
  <c r="O38" i="1" s="1"/>
  <c r="S38" i="1"/>
  <c r="T37" i="1"/>
  <c r="O37" i="1" s="1"/>
  <c r="S37" i="1"/>
  <c r="T36" i="1"/>
  <c r="O36" i="1" s="1"/>
  <c r="S36" i="1"/>
  <c r="T35" i="1"/>
  <c r="O35" i="1" s="1"/>
  <c r="S35" i="1"/>
  <c r="T34" i="1"/>
  <c r="O34" i="1" s="1"/>
  <c r="S34" i="1"/>
  <c r="T33" i="1"/>
  <c r="O33" i="1" s="1"/>
  <c r="S33" i="1"/>
  <c r="T32" i="1"/>
  <c r="R32" i="1"/>
  <c r="T31" i="1"/>
  <c r="O31" i="1" s="1"/>
  <c r="S31" i="1"/>
  <c r="T30" i="1"/>
  <c r="O30" i="1" s="1"/>
  <c r="S30" i="1"/>
  <c r="T29" i="1"/>
  <c r="O29" i="1" s="1"/>
  <c r="S29" i="1"/>
  <c r="T28" i="1"/>
  <c r="O28" i="1" s="1"/>
  <c r="S28" i="1"/>
  <c r="T27" i="1"/>
  <c r="O27" i="1" s="1"/>
  <c r="S27" i="1"/>
  <c r="T26" i="1"/>
  <c r="R26" i="1" s="1"/>
  <c r="S26" i="1"/>
  <c r="T25" i="1"/>
  <c r="O25" i="1" s="1"/>
  <c r="S25" i="1"/>
  <c r="T24" i="1"/>
  <c r="O24" i="1" s="1"/>
  <c r="S24" i="1"/>
  <c r="T23" i="1"/>
  <c r="R23" i="1" s="1"/>
  <c r="S23" i="1"/>
  <c r="T22" i="1"/>
  <c r="R22" i="1" s="1"/>
  <c r="S22" i="1"/>
  <c r="T21" i="1"/>
  <c r="O21" i="1" s="1"/>
  <c r="S21" i="1"/>
  <c r="T20" i="1"/>
  <c r="O20" i="1" s="1"/>
  <c r="S20" i="1"/>
  <c r="T19" i="1"/>
  <c r="O19" i="1" s="1"/>
  <c r="S19" i="1"/>
  <c r="T18" i="1"/>
  <c r="O18" i="1" s="1"/>
  <c r="S18" i="1"/>
  <c r="T17" i="1"/>
  <c r="O17" i="1" s="1"/>
  <c r="S17" i="1"/>
  <c r="T16" i="1"/>
  <c r="O16" i="1" s="1"/>
  <c r="S16" i="1"/>
  <c r="T15" i="1"/>
  <c r="O15" i="1" s="1"/>
  <c r="S15" i="1"/>
  <c r="T14" i="1"/>
  <c r="S14" i="1" s="1"/>
  <c r="R14" i="1"/>
  <c r="T13" i="1"/>
  <c r="R13" i="1" s="1"/>
  <c r="S13" i="1"/>
  <c r="R12" i="1"/>
  <c r="S12" i="1"/>
  <c r="R63" i="1" l="1"/>
  <c r="R140" i="1"/>
  <c r="R58" i="1"/>
  <c r="R143" i="1"/>
  <c r="R29" i="1"/>
  <c r="R164" i="1"/>
  <c r="R167" i="1"/>
  <c r="R20" i="1"/>
  <c r="R33" i="1"/>
  <c r="R82" i="1"/>
  <c r="R91" i="1"/>
  <c r="R100" i="1"/>
  <c r="R135" i="1"/>
  <c r="R138" i="1"/>
  <c r="R166" i="1"/>
  <c r="R79" i="1"/>
  <c r="R88" i="1"/>
  <c r="R97" i="1"/>
  <c r="R126" i="1"/>
  <c r="R137" i="1"/>
  <c r="R144" i="1"/>
  <c r="R147" i="1"/>
  <c r="R158" i="1"/>
  <c r="R168" i="1"/>
  <c r="R185" i="1"/>
  <c r="R192" i="1"/>
  <c r="R17" i="1"/>
  <c r="R39" i="1"/>
  <c r="R44" i="1"/>
  <c r="R198" i="1"/>
  <c r="R78" i="1"/>
  <c r="R16" i="1"/>
  <c r="R41" i="1"/>
  <c r="R54" i="1"/>
  <c r="R61" i="1"/>
  <c r="R68" i="1"/>
  <c r="R105" i="1"/>
  <c r="R145" i="1"/>
  <c r="R150" i="1"/>
  <c r="R181" i="1"/>
  <c r="R188" i="1"/>
  <c r="R195" i="1"/>
  <c r="R200" i="1"/>
  <c r="R70" i="1"/>
  <c r="R73" i="1"/>
  <c r="R199" i="1"/>
  <c r="R21" i="1"/>
  <c r="R30" i="1"/>
  <c r="R37" i="1"/>
  <c r="R40" i="1"/>
  <c r="R43" i="1"/>
  <c r="R48" i="1"/>
  <c r="R56" i="1"/>
  <c r="R59" i="1"/>
  <c r="R69" i="1"/>
  <c r="R72" i="1"/>
  <c r="R52" i="1"/>
  <c r="R55" i="1"/>
  <c r="R83" i="1"/>
  <c r="R104" i="1"/>
  <c r="R113" i="1"/>
  <c r="R120" i="1"/>
  <c r="R125" i="1"/>
  <c r="R132" i="1"/>
  <c r="R156" i="1"/>
  <c r="R159" i="1"/>
  <c r="R101" i="1"/>
  <c r="R117" i="1"/>
  <c r="R122" i="1"/>
  <c r="R134" i="1"/>
  <c r="R155" i="1"/>
  <c r="R173" i="1"/>
  <c r="R182" i="1"/>
  <c r="R194" i="1"/>
  <c r="R15" i="1"/>
  <c r="R25" i="1"/>
  <c r="R28" i="1"/>
  <c r="R35" i="1"/>
  <c r="R38" i="1"/>
  <c r="R47" i="1"/>
  <c r="R50" i="1"/>
  <c r="R53" i="1"/>
  <c r="R67" i="1"/>
  <c r="R71" i="1"/>
  <c r="R81" i="1"/>
  <c r="R87" i="1"/>
  <c r="R93" i="1"/>
  <c r="R96" i="1"/>
  <c r="R99" i="1"/>
  <c r="R103" i="1"/>
  <c r="R107" i="1"/>
  <c r="R115" i="1"/>
  <c r="R118" i="1"/>
  <c r="R121" i="1"/>
  <c r="R124" i="1"/>
  <c r="R130" i="1"/>
  <c r="R139" i="1"/>
  <c r="R142" i="1"/>
  <c r="R146" i="1"/>
  <c r="R149" i="1"/>
  <c r="R160" i="1"/>
  <c r="R169" i="1"/>
  <c r="R174" i="1"/>
  <c r="R177" i="1"/>
  <c r="R183" i="1"/>
  <c r="R186" i="1"/>
  <c r="R190" i="1"/>
  <c r="R19" i="1"/>
  <c r="R18" i="1"/>
  <c r="R24" i="1"/>
  <c r="R27" i="1"/>
  <c r="R31" i="1"/>
  <c r="R34" i="1"/>
  <c r="R80" i="1"/>
  <c r="R86" i="1"/>
  <c r="R92" i="1"/>
  <c r="R95" i="1"/>
  <c r="R102" i="1"/>
  <c r="R106" i="1"/>
  <c r="R111" i="1"/>
  <c r="R114" i="1"/>
  <c r="R129" i="1"/>
  <c r="R189" i="1"/>
  <c r="R197" i="1"/>
  <c r="R161" i="1"/>
  <c r="R175" i="1"/>
  <c r="R178" i="1"/>
  <c r="R187" i="1"/>
  <c r="O179" i="1"/>
  <c r="R112" i="1"/>
  <c r="O85" i="1"/>
  <c r="O89" i="1"/>
  <c r="O171" i="1"/>
  <c r="O180" i="1"/>
  <c r="O184" i="1"/>
  <c r="O74" i="1"/>
  <c r="R98" i="1"/>
  <c r="O170" i="1"/>
  <c r="R36" i="1"/>
  <c r="R128" i="1"/>
  <c r="O42" i="1"/>
  <c r="O45" i="1"/>
  <c r="O60" i="1"/>
  <c r="O62" i="1"/>
  <c r="O64" i="1"/>
  <c r="O65" i="1"/>
  <c r="O66" i="1"/>
  <c r="O108" i="1"/>
  <c r="O109" i="1"/>
  <c r="O110" i="1"/>
  <c r="O123" i="1"/>
  <c r="O196" i="1"/>
  <c r="O201" i="1"/>
  <c r="S49" i="1"/>
  <c r="O75" i="1"/>
  <c r="O119" i="1"/>
  <c r="O193" i="1"/>
  <c r="O84" i="1"/>
  <c r="O116" i="1"/>
  <c r="O165" i="1"/>
  <c r="O176" i="1"/>
  <c r="O191" i="1"/>
  <c r="R57" i="1"/>
  <c r="O90" i="1"/>
  <c r="O172" i="1"/>
  <c r="O12" i="1"/>
  <c r="O13" i="1"/>
  <c r="O14" i="1"/>
  <c r="O22" i="1"/>
  <c r="O23" i="1"/>
  <c r="O26" i="1"/>
  <c r="O133" i="1"/>
  <c r="O136" i="1"/>
  <c r="O141" i="1"/>
  <c r="O148" i="1"/>
  <c r="O151" i="1"/>
  <c r="O152" i="1"/>
  <c r="O153" i="1"/>
  <c r="O154" i="1"/>
  <c r="O157" i="1"/>
  <c r="O162" i="1"/>
  <c r="O51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<sst xmlns="http://schemas.openxmlformats.org/spreadsheetml/2006/main" count="1768" uniqueCount="763">
  <si>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</si>
  <si>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</si>
  <si>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</si>
  <si>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</si>
  <si>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</si>
  <si>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</si>
  <si>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</si>
  <si>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</si>
  <si>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</si>
  <si>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</si>
  <si>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</si>
  <si>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</si>
  <si>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</si>
  <si>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</si>
  <si>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</si>
  <si>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</si>
  <si>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</si>
  <si>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</si>
  <si>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</si>
  <si>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</si>
  <si>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</si>
  <si>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</si>
  <si>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</si>
  <si>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</si>
  <si>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</si>
  <si>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</si>
  <si>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</si>
  <si>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</si>
  <si>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</si>
  <si>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</si>
  <si>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</si>
  <si>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</si>
  <si>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</si>
  <si>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</si>
  <si>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</si>
  <si>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</si>
  <si>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</si>
  <si>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</si>
  <si>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</si>
  <si>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</si>
  <si>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</si>
  <si>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</si>
  <si>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</si>
  <si>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</si>
  <si>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</si>
  <si>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</si>
  <si>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</si>
  <si>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</si>
  <si>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</si>
  <si>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</si>
  <si>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</si>
  <si>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</si>
  <si>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</si>
  <si>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</si>
  <si>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</si>
  <si>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</si>
  <si>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</si>
  <si>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</si>
  <si>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</si>
  <si>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</si>
  <si>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</si>
  <si>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</si>
  <si>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</si>
  <si>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</si>
  <si>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</si>
  <si>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</si>
  <si>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</si>
  <si>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</si>
  <si>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</si>
  <si>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</si>
  <si>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</si>
  <si>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</si>
  <si>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</si>
  <si>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</si>
  <si>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</si>
  <si>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</si>
  <si>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</si>
  <si>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</si>
  <si>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</si>
  <si>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</si>
  <si>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</si>
  <si>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</si>
  <si>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</si>
  <si>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</si>
  <si>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</si>
  <si>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</si>
  <si>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</si>
  <si>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</si>
  <si>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</si>
  <si>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</si>
  <si>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</si>
  <si>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</si>
  <si>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</si>
  <si>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</si>
  <si>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</si>
  <si>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</si>
  <si>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</si>
  <si>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</si>
  <si>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</si>
  <si>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</si>
  <si>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</si>
  <si>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</si>
  <si>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</si>
  <si>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</si>
  <si>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</si>
  <si>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</si>
  <si>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</si>
  <si>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</si>
  <si>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</si>
  <si>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</si>
  <si>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</si>
  <si>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</si>
  <si>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</si>
  <si>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</si>
  <si>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</si>
  <si>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</si>
  <si>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</si>
  <si>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</si>
  <si>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</si>
  <si>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</si>
  <si>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</si>
  <si>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</si>
  <si>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</si>
  <si>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</si>
  <si>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</si>
  <si>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</si>
  <si>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</si>
  <si>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</si>
  <si>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</si>
  <si>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</si>
  <si>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</si>
  <si>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</si>
  <si>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</si>
  <si>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</si>
  <si>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</si>
  <si>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</si>
  <si>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</si>
  <si>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</si>
  <si>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</si>
  <si>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</si>
  <si>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</si>
  <si>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</si>
  <si>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</si>
  <si>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</si>
  <si>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</si>
  <si>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</si>
  <si>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</si>
  <si>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</si>
  <si>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</si>
  <si>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</si>
  <si>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</si>
  <si>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</si>
  <si>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</si>
  <si>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</si>
  <si>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</si>
  <si>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</si>
  <si>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</si>
  <si>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</si>
  <si>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</si>
  <si>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</si>
  <si>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</si>
  <si>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</si>
  <si>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</si>
  <si>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</si>
  <si>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</si>
  <si>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</si>
  <si>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</si>
  <si>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</si>
  <si>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</si>
  <si>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</si>
  <si>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</si>
  <si>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</si>
  <si>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</si>
  <si>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</si>
  <si>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</si>
  <si>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</si>
  <si>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</si>
  <si>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</si>
  <si>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</si>
  <si>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</si>
  <si>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</si>
  <si>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</si>
  <si>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</si>
  <si>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</si>
  <si>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</si>
  <si>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</si>
  <si>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</si>
  <si>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</si>
  <si>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</si>
  <si>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</si>
  <si>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</si>
  <si>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</si>
  <si>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</si>
  <si>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</si>
  <si>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</si>
  <si>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</si>
  <si>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</si>
  <si>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</si>
  <si>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</si>
  <si>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</si>
  <si>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</si>
  <si>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</si>
  <si>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</si>
  <si>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</si>
  <si>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</si>
  <si>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</si>
  <si>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</si>
  <si>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</si>
  <si>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</si>
  <si>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</si>
  <si>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</si>
  <si>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</si>
  <si>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</si>
  <si>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</si>
  <si>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</si>
  <si>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</si>
  <si>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</si>
  <si>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</si>
  <si>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</si>
  <si>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</si>
  <si>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</si>
  <si>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</si>
  <si>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</si>
  <si>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</si>
  <si>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</si>
  <si>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</si>
  <si>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</si>
  <si>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</si>
  <si>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</si>
  <si>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</si>
  <si>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</si>
  <si>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</si>
  <si>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</si>
  <si>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</si>
  <si>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</si>
  <si>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</si>
  <si>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</si>
  <si>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</si>
  <si>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</si>
  <si>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</si>
  <si>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</si>
  <si>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</si>
  <si>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</si>
  <si>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</si>
  <si>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</si>
  <si>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</si>
  <si>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</si>
  <si>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</si>
  <si>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</si>
  <si>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</si>
  <si>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</si>
  <si>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</si>
  <si>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</si>
  <si>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</si>
  <si>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</si>
  <si>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</si>
  <si>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</si>
  <si>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</si>
  <si>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</si>
  <si>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</si>
  <si>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</si>
  <si>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</si>
  <si>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</si>
  <si>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</si>
  <si>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</si>
  <si>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</si>
  <si>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</si>
  <si>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</si>
  <si>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</si>
  <si>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</si>
  <si>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</si>
  <si>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</si>
  <si>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</si>
  <si>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</si>
  <si>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</si>
  <si>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</si>
  <si>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</si>
  <si>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</si>
  <si>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</si>
  <si>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</si>
  <si>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</si>
  <si>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</si>
  <si>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</si>
  <si>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</si>
  <si>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</si>
  <si>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</si>
  <si>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</si>
  <si>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</si>
  <si>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</si>
  <si>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</si>
  <si>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</si>
  <si>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</si>
  <si>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</si>
  <si>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</si>
  <si>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</si>
  <si>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</si>
  <si>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</si>
  <si>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</si>
  <si>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</si>
  <si>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</si>
  <si>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</si>
  <si>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</si>
  <si>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</si>
  <si>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</si>
  <si>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</si>
  <si>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</si>
  <si>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</si>
  <si>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</si>
  <si>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</si>
  <si>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</si>
  <si>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</si>
  <si>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</si>
  <si>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</si>
  <si>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</si>
  <si>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</si>
  <si>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</si>
  <si>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</si>
  <si>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</si>
  <si>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</si>
  <si>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</si>
  <si>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</si>
  <si>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</si>
  <si>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</si>
  <si>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</si>
  <si>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</si>
  <si>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</si>
  <si>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</si>
  <si>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</si>
  <si>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</si>
  <si>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</si>
  <si>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</si>
  <si>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</si>
  <si>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</si>
  <si>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</si>
  <si>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</si>
  <si>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</si>
  <si>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</si>
  <si>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</si>
  <si>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</si>
  <si>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</si>
  <si>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</si>
  <si>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</si>
  <si>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</si>
  <si>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</si>
  <si>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</si>
  <si>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</si>
  <si>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</si>
  <si>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</si>
  <si>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</si>
  <si>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</si>
  <si>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</si>
  <si>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</si>
  <si>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</si>
  <si>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</si>
  <si>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</si>
  <si>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</si>
  <si>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</si>
  <si>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</si>
  <si>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</si>
  <si>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</si>
  <si>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</si>
  <si>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</si>
  <si>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</si>
  <si>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</si>
  <si>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</si>
  <si>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</si>
  <si>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</si>
  <si>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</si>
  <si>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</si>
  <si>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</si>
  <si>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</si>
  <si>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</si>
  <si>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</si>
  <si>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</si>
  <si>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</si>
  <si>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</si>
  <si>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</si>
  <si>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</si>
  <si>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</si>
  <si>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</si>
  <si>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</si>
  <si>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</si>
  <si>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</si>
  <si>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</si>
  <si>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</si>
  <si>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</si>
  <si>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</si>
  <si>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</si>
  <si>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</si>
  <si>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</si>
  <si>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</si>
  <si>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</si>
  <si>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</si>
  <si>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</si>
  <si>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</si>
  <si>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</si>
  <si>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</si>
  <si>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</si>
  <si>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</si>
  <si>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</si>
  <si>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</si>
  <si>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</si>
  <si>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</si>
  <si>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</si>
  <si>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</si>
  <si>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</si>
  <si>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</si>
  <si>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</si>
  <si>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</si>
  <si>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</si>
  <si>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</si>
  <si>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</si>
  <si>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</si>
  <si>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</si>
  <si>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</si>
  <si>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</si>
  <si>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</si>
  <si>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</si>
  <si>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</si>
  <si>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</si>
  <si>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</si>
  <si>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</si>
  <si>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</si>
  <si>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</si>
  <si>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</si>
  <si>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</si>
  <si>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</si>
  <si>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</si>
  <si>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</si>
  <si>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</si>
  <si>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</si>
  <si>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</si>
  <si>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</si>
  <si>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</si>
  <si>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</si>
  <si>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</si>
  <si>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</si>
  <si>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</si>
  <si>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</si>
  <si>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</si>
  <si>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</si>
  <si>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</si>
  <si>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</si>
  <si>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</si>
  <si>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</si>
  <si>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</si>
  <si>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</si>
  <si>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</si>
  <si>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</si>
  <si>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</si>
  <si>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</si>
  <si>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</si>
  <si>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</si>
  <si>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</si>
  <si>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</si>
  <si>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</si>
  <si>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</si>
  <si>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</si>
  <si>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</si>
  <si>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</si>
  <si>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</si>
  <si>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</si>
  <si>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</si>
  <si>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</si>
  <si>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</si>
  <si>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</si>
  <si>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</si>
  <si>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</si>
  <si>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</si>
  <si>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</si>
  <si>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</si>
  <si>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</si>
  <si>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</si>
  <si>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</si>
  <si>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</si>
  <si>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</si>
  <si>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</si>
  <si>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</si>
  <si>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</si>
  <si>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</si>
  <si>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</si>
  <si>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</si>
  <si>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</si>
  <si>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</si>
  <si>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</si>
  <si>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</si>
  <si>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</si>
  <si>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</si>
  <si>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</si>
  <si>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</si>
  <si>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</si>
  <si>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</si>
  <si>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</si>
  <si>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</si>
  <si>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</si>
  <si>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</si>
  <si>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</si>
  <si>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</si>
  <si>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</si>
  <si>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</si>
  <si>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</si>
  <si>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</si>
  <si>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</si>
  <si>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</si>
  <si>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</si>
  <si>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</si>
  <si>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</si>
  <si>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</si>
  <si>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</si>
  <si>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</si>
  <si>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</si>
  <si>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</si>
  <si>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</si>
  <si>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</si>
  <si>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</si>
  <si>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</si>
  <si>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</si>
  <si>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</si>
  <si>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</si>
  <si>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</si>
  <si>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</si>
  <si>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</si>
  <si>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</si>
  <si>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</si>
  <si>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</si>
  <si>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</si>
  <si>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</si>
  <si>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</si>
  <si>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</si>
  <si>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</si>
  <si>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</si>
  <si>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</si>
  <si>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</si>
  <si>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</si>
  <si>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</si>
  <si>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</si>
  <si>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</si>
  <si>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</si>
  <si>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</si>
  <si>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</si>
  <si>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</si>
  <si>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</si>
  <si>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</si>
  <si>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</si>
  <si>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</si>
  <si>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</si>
  <si>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</si>
  <si>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</si>
  <si>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</si>
  <si>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</si>
  <si>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</si>
  <si>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</si>
  <si>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</si>
  <si>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</si>
  <si>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</si>
  <si>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</si>
  <si>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</si>
  <si>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</si>
  <si>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</si>
  <si>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</si>
  <si>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</si>
  <si>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</si>
  <si>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</si>
  <si>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</si>
  <si>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</si>
  <si>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</si>
  <si>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</si>
  <si>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</si>
  <si>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</si>
  <si>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</si>
  <si>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</si>
  <si>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</si>
  <si>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</si>
  <si>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</si>
  <si>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</si>
  <si>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</si>
  <si>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</si>
  <si>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</si>
  <si>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</si>
  <si>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</si>
  <si>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</si>
  <si>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</si>
  <si>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</si>
  <si>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</si>
  <si>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</si>
  <si>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</si>
  <si>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</si>
  <si>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</si>
  <si>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</si>
  <si>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</si>
  <si>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</si>
  <si>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</si>
  <si>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</si>
  <si>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</si>
  <si>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</si>
  <si>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</si>
  <si>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</si>
  <si>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</si>
  <si>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</si>
  <si>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</si>
  <si>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</si>
  <si>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</si>
  <si>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</si>
  <si>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</si>
  <si>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</si>
  <si>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</si>
  <si>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</si>
  <si>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</si>
  <si>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</si>
  <si>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</si>
  <si>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</si>
  <si>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</si>
  <si>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</si>
  <si>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</si>
  <si>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</si>
  <si>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</si>
  <si>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</si>
  <si>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</si>
  <si>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</si>
  <si>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</si>
  <si>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</si>
  <si>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</si>
  <si>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</si>
  <si>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</si>
  <si>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</si>
  <si>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</si>
  <si>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</si>
  <si>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</si>
  <si>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</si>
  <si>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</si>
  <si>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</si>
  <si>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</si>
  <si>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</si>
  <si>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</si>
  <si>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</si>
  <si>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</si>
  <si>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</si>
  <si>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</si>
  <si>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</si>
  <si>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</si>
  <si>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</si>
  <si>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</si>
  <si>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</si>
  <si>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</si>
  <si>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</si>
  <si>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</si>
  <si>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</si>
  <si>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</si>
  <si>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</si>
  <si>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</si>
  <si>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</si>
  <si>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</si>
  <si>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</si>
  <si>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</si>
  <si>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</si>
  <si>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</si>
  <si>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</si>
  <si>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</si>
  <si>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</si>
  <si>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</si>
  <si>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</si>
  <si>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</si>
  <si>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</si>
  <si>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</si>
  <si>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</si>
  <si>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</si>
  <si>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</si>
  <si>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</si>
  <si>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</si>
  <si>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</si>
  <si>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</si>
  <si>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</si>
  <si>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</si>
  <si>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</si>
  <si>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</si>
  <si>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</si>
  <si>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</si>
  <si>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</si>
  <si>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</si>
  <si>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</si>
  <si>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</si>
  <si>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</si>
  <si>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</si>
  <si>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</si>
  <si>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</si>
  <si>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</si>
  <si>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</si>
  <si>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</si>
  <si>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</si>
  <si>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</si>
  <si>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</si>
  <si>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</si>
  <si>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</si>
  <si>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</si>
  <si>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</si>
  <si>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</si>
  <si>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</si>
  <si>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</si>
  <si>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</si>
  <si>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The Moose Lodge</t>
  </si>
  <si>
    <t>Napa, Ca 94558</t>
  </si>
  <si>
    <t>C</t>
  </si>
  <si>
    <t>Napa Wine County Spring Open</t>
  </si>
  <si>
    <t>Alechus Jr., James</t>
  </si>
  <si>
    <t>Alechus Sr., James</t>
  </si>
  <si>
    <t>CA3773L</t>
  </si>
  <si>
    <t>jim.carmen71@outlook.com</t>
  </si>
  <si>
    <t>$</t>
  </si>
  <si>
    <t>CA-0072CL</t>
  </si>
  <si>
    <t>elmolover0904@yahoo.com</t>
  </si>
  <si>
    <t>0708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</si>
  <si>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</si>
  <si>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</si>
  <si>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</si>
  <si>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</si>
  <si>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</si>
  <si>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</si>
  <si>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</si>
  <si>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</si>
  <si>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</si>
  <si>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</si>
  <si>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</si>
  <si>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</si>
  <si>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</si>
  <si>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</si>
  <si>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</si>
  <si>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</si>
  <si>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</si>
  <si>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</si>
  <si>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</si>
  <si>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</si>
  <si>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</si>
  <si>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</si>
  <si>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</si>
  <si>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</si>
  <si>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</si>
  <si>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</si>
  <si>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</si>
  <si>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</si>
  <si>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</si>
  <si>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</si>
  <si>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</si>
  <si>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</si>
  <si>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</si>
  <si>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</si>
  <si>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</si>
  <si>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</si>
  <si>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</si>
  <si>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</si>
  <si>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</si>
  <si>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</si>
  <si>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</si>
  <si>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</si>
  <si>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</si>
  <si>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</si>
  <si>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</si>
  <si>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</si>
  <si>
    <t>Roland Hall</t>
  </si>
  <si>
    <t>Yvonne Bowers</t>
  </si>
  <si>
    <t>Michael Rogers</t>
  </si>
  <si>
    <t>roland26h@yahoo.com</t>
  </si>
  <si>
    <t>cribbageclub100@gmail.com</t>
  </si>
  <si>
    <t>707.738.0799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</si>
</sst>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  <font>
      <b/>
      <sz val="11"/>
      <color rgb="FFFFFFFF"/>
      <name val="Calibri"/>
      <family val="2"/>
    </font>
    <font>
      <sz val="11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0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/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49" fontId="4" fillId="0" borderId="0" xfId="0" applyNumberFormat="1" applyFont="1" applyBorder="1" applyProtection="1">
      <protection locked="0"/>
    </xf>
    <xf numFmtId="49" fontId="5" fillId="0" borderId="0" xfId="0" applyNumberFormat="1" applyFont="1" applyBorder="1" applyAlignment="1" applyProtection="1">
      <alignment horizontal="center"/>
      <protection locked="0"/>
    </xf>
    <xf numFmtId="165" fontId="4" fillId="0" borderId="0" xfId="0" applyNumberFormat="1" applyFont="1" applyBorder="1" applyAlignment="1" applyProtection="1">
      <alignment horizontal="center"/>
      <protection locked="0"/>
    </xf>
    <xf numFmtId="165" fontId="0" fillId="0" borderId="0" xfId="0" applyNumberFormat="1" applyBorder="1" applyAlignment="1">
      <alignment horizontal="center"/>
    </xf>
    <xf numFmtId="165" fontId="5" fillId="0" borderId="7" xfId="0" applyNumberFormat="1" applyFont="1" applyBorder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tabSelected="1" workbookViewId="0">
      <selection activeCell="C5" sqref="C5:G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16" t="s">
        <v>609</v>
      </c>
      <c r="D1" s="117"/>
      <c r="E1" s="118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19" t="s">
        <v>702</v>
      </c>
      <c r="D3" s="120"/>
      <c r="E3" s="120"/>
      <c r="F3" s="120"/>
      <c r="G3" s="121"/>
    </row>
    <row r="4" spans="1:8" ht="15.75" thickBot="1" x14ac:dyDescent="0.3"/>
    <row r="5" spans="1:8" ht="16.5" thickBot="1" x14ac:dyDescent="0.3">
      <c r="A5" s="71" t="s">
        <v>610</v>
      </c>
      <c r="C5" s="119" t="s">
        <v>699</v>
      </c>
      <c r="D5" s="120"/>
      <c r="E5" s="120"/>
      <c r="F5" s="120"/>
      <c r="G5" s="121"/>
    </row>
    <row r="6" spans="1:8" ht="15.75" thickBot="1" x14ac:dyDescent="0.3">
      <c r="H6" s="72"/>
    </row>
    <row r="7" spans="1:8" ht="16.5" thickBot="1" x14ac:dyDescent="0.3">
      <c r="A7" s="71" t="s">
        <v>611</v>
      </c>
      <c r="C7" s="119" t="s">
        <v>700</v>
      </c>
      <c r="D7" s="120"/>
      <c r="E7" s="120"/>
      <c r="F7" s="120"/>
      <c r="G7" s="121"/>
    </row>
    <row r="8" spans="1:8" ht="15.75" thickBot="1" x14ac:dyDescent="0.3"/>
    <row r="9" spans="1:8" ht="16.5" thickBot="1" x14ac:dyDescent="0.3">
      <c r="A9" s="71" t="s">
        <v>421</v>
      </c>
      <c r="C9" s="106">
        <v>45402</v>
      </c>
    </row>
    <row r="10" spans="1:8" ht="15.75" thickBot="1" x14ac:dyDescent="0.3"/>
    <row r="11" spans="1:8" ht="16.5" thickBot="1" x14ac:dyDescent="0.3">
      <c r="A11" s="71" t="s">
        <v>612</v>
      </c>
      <c r="C11" s="122" t="s">
        <v>757</v>
      </c>
      <c r="D11" s="123"/>
      <c r="E11" s="122" t="s">
        <v>758</v>
      </c>
      <c r="F11" s="123"/>
      <c r="G11" s="122" t="s">
        <v>759</v>
      </c>
      <c r="H11" s="123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22" t="s">
        <v>760</v>
      </c>
      <c r="D13" s="123"/>
      <c r="E13" s="122" t="s">
        <v>761</v>
      </c>
      <c r="F13" s="123"/>
      <c r="G13" s="122" t="s">
        <v>562</v>
      </c>
      <c r="H13" s="123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22" t="s">
        <v>762</v>
      </c>
      <c r="D15" s="123"/>
      <c r="E15" s="122"/>
      <c r="F15" s="123"/>
      <c r="G15" s="122"/>
      <c r="H15" s="123"/>
    </row>
  </sheetData>
  <sheetProtection sheet="1" objects="1" scenarios="1" selectLockedCells="1"/>
  <mergeCells count="13">
    <mergeCell ref="C13:D13"/>
    <mergeCell ref="E13:F13"/>
    <mergeCell ref="G13:H13"/>
    <mergeCell ref="C15:D15"/>
    <mergeCell ref="E15:F15"/>
    <mergeCell ref="G15:H15"/>
    <mergeCell ref="C1:E1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topLeftCell="A2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4" t="s">
        <v>609</v>
      </c>
      <c r="D2" s="125"/>
      <c r="E2" s="125"/>
      <c r="F2" s="125"/>
      <c r="G2" s="126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7" t="s">
        <v>702</v>
      </c>
      <c r="C4" s="127"/>
      <c r="D4" s="127"/>
      <c r="E4" s="127"/>
      <c r="F4" s="127"/>
    </row>
    <row r="5" spans="1:7" x14ac:dyDescent="0.25">
      <c r="A5" s="4" t="s">
        <v>616</v>
      </c>
      <c r="B5" s="128" t="s">
        <v>699</v>
      </c>
      <c r="C5" s="128"/>
      <c r="D5" s="128"/>
      <c r="E5" s="128"/>
      <c r="F5" s="128"/>
    </row>
    <row r="6" spans="1:7" x14ac:dyDescent="0.25">
      <c r="A6" s="4" t="s">
        <v>617</v>
      </c>
      <c r="B6" s="128" t="s">
        <v>700</v>
      </c>
      <c r="C6" s="128"/>
      <c r="D6" s="128"/>
      <c r="E6" s="128"/>
      <c r="F6" s="128"/>
    </row>
    <row r="7" spans="1:7" x14ac:dyDescent="0.25">
      <c r="A7" s="4" t="s">
        <v>618</v>
      </c>
      <c r="B7" s="80">
        <v>45402</v>
      </c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3</v>
      </c>
      <c r="C10" s="4" t="s">
        <v>620</v>
      </c>
      <c r="D10" s="84">
        <v>70</v>
      </c>
    </row>
    <row r="11" spans="1:7" ht="15.75" thickBot="1" x14ac:dyDescent="0.3"/>
    <row r="12" spans="1:7" ht="15.75" thickBot="1" x14ac:dyDescent="0.3">
      <c r="A12" s="4" t="s">
        <v>621</v>
      </c>
      <c r="B12" s="84">
        <v>14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29" t="s">
        <v>623</v>
      </c>
      <c r="D15" s="129"/>
      <c r="E15" s="129"/>
      <c r="F15" s="129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>
        <v>1</v>
      </c>
      <c r="D17" s="85">
        <v>2</v>
      </c>
      <c r="E17" s="85">
        <v>2</v>
      </c>
      <c r="F17" s="85">
        <v>2</v>
      </c>
      <c r="H17" s="77" t="s">
        <v>626</v>
      </c>
    </row>
    <row r="18" spans="1:8" ht="15.75" thickBot="1" x14ac:dyDescent="0.3">
      <c r="B18" s="76" t="s">
        <v>620</v>
      </c>
      <c r="C18" s="104">
        <v>10</v>
      </c>
      <c r="D18" s="104">
        <v>10</v>
      </c>
      <c r="E18" s="104">
        <v>20</v>
      </c>
      <c r="F18" s="104">
        <v>50</v>
      </c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>
        <v>5</v>
      </c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>
        <v>0</v>
      </c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A4" sqref="A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0" t="s">
        <v>609</v>
      </c>
      <c r="D2" s="131"/>
      <c r="E2" s="131"/>
      <c r="F2" s="131"/>
      <c r="G2" s="132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27" t="s">
        <v>702</v>
      </c>
      <c r="C4" s="127"/>
      <c r="D4" s="127"/>
      <c r="E4" s="127"/>
      <c r="F4" s="127"/>
    </row>
    <row r="5" spans="1:7" x14ac:dyDescent="0.25">
      <c r="A5" s="4" t="s">
        <v>616</v>
      </c>
      <c r="B5" s="79" t="s">
        <v>699</v>
      </c>
      <c r="C5" s="79"/>
      <c r="D5" s="79"/>
      <c r="E5" s="79"/>
      <c r="F5" s="79"/>
    </row>
    <row r="6" spans="1:7" x14ac:dyDescent="0.25">
      <c r="A6" s="4" t="s">
        <v>617</v>
      </c>
      <c r="B6" s="79" t="s">
        <v>700</v>
      </c>
    </row>
    <row r="7" spans="1:7" x14ac:dyDescent="0.25">
      <c r="A7" s="4" t="s">
        <v>618</v>
      </c>
      <c r="B7" s="80">
        <v>45402</v>
      </c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>
        <v>1</v>
      </c>
      <c r="C10" s="4" t="s">
        <v>620</v>
      </c>
      <c r="D10" s="84">
        <v>30</v>
      </c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>
        <v>8</v>
      </c>
    </row>
    <row r="13" spans="1:7" ht="15.75" thickBot="1" x14ac:dyDescent="0.3"/>
    <row r="14" spans="1:7" ht="15.75" thickBot="1" x14ac:dyDescent="0.3">
      <c r="A14" s="4" t="s">
        <v>622</v>
      </c>
      <c r="B14" s="84">
        <v>1</v>
      </c>
    </row>
    <row r="15" spans="1:7" x14ac:dyDescent="0.25">
      <c r="C15" s="129" t="s">
        <v>636</v>
      </c>
      <c r="D15" s="129"/>
      <c r="E15" s="129"/>
      <c r="F15" s="129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>
        <v>1</v>
      </c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>
        <v>10</v>
      </c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>
        <v>0</v>
      </c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>
        <v>0</v>
      </c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workbookViewId="0">
      <selection activeCell="U14" sqref="U14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33"/>
      <c r="L2" s="133"/>
      <c r="M2" s="133"/>
      <c r="N2" s="133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33"/>
      <c r="L3" s="133"/>
      <c r="M3" s="133"/>
      <c r="N3" s="133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33"/>
      <c r="L4" s="133"/>
      <c r="M4" s="133"/>
      <c r="N4" s="133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34"/>
      <c r="L5" s="134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07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08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60</v>
      </c>
      <c r="C10" s="31"/>
      <c r="D10" s="31"/>
      <c r="E10" s="17"/>
      <c r="F10" s="17"/>
      <c r="G10" s="17"/>
      <c r="H10" s="100">
        <f>COUNTIF(H12:H411,"&lt;&gt;" &amp; "")</f>
        <v>50</v>
      </c>
      <c r="I10" s="100">
        <f t="shared" ref="I10:N10" si="0">COUNTIF(I12:I411,"&lt;&gt;" &amp; "")</f>
        <v>32</v>
      </c>
      <c r="J10" s="100">
        <f t="shared" si="0"/>
        <v>36</v>
      </c>
      <c r="K10" s="100">
        <f t="shared" si="0"/>
        <v>16</v>
      </c>
      <c r="L10" s="100">
        <f t="shared" si="0"/>
        <v>14</v>
      </c>
      <c r="M10" s="100">
        <f t="shared" si="0"/>
        <v>2</v>
      </c>
      <c r="N10" s="100">
        <f t="shared" si="0"/>
        <v>10</v>
      </c>
      <c r="O10" s="99">
        <f>SUM(O12:O411)</f>
        <v>920</v>
      </c>
      <c r="P10" s="32"/>
      <c r="Q10" s="25"/>
      <c r="R10" s="33">
        <f>SUM(R12:R411)</f>
        <v>4640</v>
      </c>
      <c r="S10" s="33">
        <f>SUM(S12:S411)</f>
        <v>1900</v>
      </c>
      <c r="T10" s="33">
        <f>SUM(T12:T411)</f>
        <v>6540</v>
      </c>
      <c r="U10" s="30">
        <f>COUNTIF(U12:U411,"&lt;&gt;" &amp; "")</f>
        <v>4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>
        <v>1</v>
      </c>
      <c r="C12" s="5" t="s">
        <v>703</v>
      </c>
      <c r="D12" s="5"/>
      <c r="E12" s="6" t="s">
        <v>6</v>
      </c>
      <c r="F12" s="48"/>
      <c r="G12" s="109"/>
      <c r="H12" s="49">
        <v>1</v>
      </c>
      <c r="I12" s="47"/>
      <c r="J12" s="47">
        <v>1</v>
      </c>
      <c r="K12" s="47"/>
      <c r="L12" s="47"/>
      <c r="M12" s="47"/>
      <c r="N12" s="47"/>
      <c r="O12" s="94">
        <f>T12*N12</f>
        <v>0</v>
      </c>
      <c r="P12" s="47" t="s">
        <v>701</v>
      </c>
      <c r="Q12" s="47">
        <v>909</v>
      </c>
      <c r="R12" s="95">
        <f>IF(OR(P12="c",P12="C"),+T12,"")</f>
        <v>100</v>
      </c>
      <c r="S12" s="95" t="str">
        <f>IF(OR(P12="$",N12=1),+T12,"")</f>
        <v/>
      </c>
      <c r="T12" s="96">
        <f>H12*[1]!FMainPool1Fee+I12*[1]!FMainPool2Fee+J12*[1]!FMainPool3Fee+K12*[1]!FMainPool4Fee+B12*[1]!FMainEntryFee</f>
        <v>100</v>
      </c>
      <c r="U12" s="51"/>
    </row>
    <row r="13" spans="1:21" x14ac:dyDescent="0.25">
      <c r="A13" s="46">
        <f t="shared" si="1"/>
        <v>2</v>
      </c>
      <c r="B13" s="47">
        <v>1</v>
      </c>
      <c r="C13" s="5" t="s">
        <v>704</v>
      </c>
      <c r="D13" s="5" t="s">
        <v>103</v>
      </c>
      <c r="E13" s="6" t="s">
        <v>705</v>
      </c>
      <c r="F13" s="48">
        <v>9169894301</v>
      </c>
      <c r="G13" s="109" t="s">
        <v>706</v>
      </c>
      <c r="H13" s="49">
        <v>1</v>
      </c>
      <c r="I13" s="47"/>
      <c r="J13" s="47">
        <v>1</v>
      </c>
      <c r="K13" s="47"/>
      <c r="L13" s="47"/>
      <c r="M13" s="47"/>
      <c r="N13" s="47"/>
      <c r="O13" s="94">
        <f>T13*N13</f>
        <v>0</v>
      </c>
      <c r="P13" s="47" t="s">
        <v>701</v>
      </c>
      <c r="Q13" s="47">
        <v>909</v>
      </c>
      <c r="R13" s="95">
        <f>IF(OR(P13="c",P13="C"),+T13,"")</f>
        <v>100</v>
      </c>
      <c r="S13" s="95" t="str">
        <f>IF(OR(P13="$",N13=1),+T13,"")</f>
        <v/>
      </c>
      <c r="T13" s="96">
        <f>H13*[1]!FMainPool1Fee+I13*[1]!FMainPool2Fee+J13*[1]!FMainPool3Fee+K13*[1]!FMainPool4Fee+B13*[1]!FMainEntryFee</f>
        <v>100</v>
      </c>
      <c r="U13" s="51"/>
    </row>
    <row r="14" spans="1:21" x14ac:dyDescent="0.25">
      <c r="A14" s="46">
        <f t="shared" si="1"/>
        <v>3</v>
      </c>
      <c r="B14" s="47">
        <v>1</v>
      </c>
      <c r="C14" s="7" t="s">
        <v>7</v>
      </c>
      <c r="D14" s="7" t="s">
        <v>8</v>
      </c>
      <c r="E14" s="8" t="s">
        <v>9</v>
      </c>
      <c r="F14" s="114" t="s">
        <v>445</v>
      </c>
      <c r="G14" s="12" t="s">
        <v>446</v>
      </c>
      <c r="H14" s="49">
        <v>1</v>
      </c>
      <c r="I14" s="47"/>
      <c r="J14" s="47"/>
      <c r="K14" s="47"/>
      <c r="L14" s="47"/>
      <c r="M14" s="47"/>
      <c r="N14" s="47">
        <v>1</v>
      </c>
      <c r="O14" s="94">
        <f>T14*N14</f>
        <v>80</v>
      </c>
      <c r="P14" s="47" t="s">
        <v>707</v>
      </c>
      <c r="Q14" s="47"/>
      <c r="R14" s="95" t="str">
        <f>IF(OR(P14="c",P14="C"),+T14,"")</f>
        <v/>
      </c>
      <c r="S14" s="95">
        <f>IF(OR(P14="$",N14=1),+T14,"")</f>
        <v>80</v>
      </c>
      <c r="T14" s="96">
        <f>H14*[1]!FMainPool1Fee+I14*[1]!FMainPool2Fee+J14*[1]!FMainPool3Fee+K14*[1]!FMainPool4Fee+B14*[1]!FMainEntryFee</f>
        <v>80</v>
      </c>
      <c r="U14" s="51"/>
    </row>
    <row r="15" spans="1:21" x14ac:dyDescent="0.25">
      <c r="A15" s="46">
        <f t="shared" si="1"/>
        <v>4</v>
      </c>
      <c r="B15" s="53"/>
      <c r="C15" s="5" t="s">
        <v>10</v>
      </c>
      <c r="D15" s="5" t="s">
        <v>11</v>
      </c>
      <c r="E15" s="6" t="s">
        <v>12</v>
      </c>
      <c r="F15" s="48"/>
      <c r="G15" s="5" t="s">
        <v>447</v>
      </c>
      <c r="H15" s="49"/>
      <c r="I15" s="47"/>
      <c r="J15" s="47"/>
      <c r="K15" s="47"/>
      <c r="L15" s="47"/>
      <c r="M15" s="47"/>
      <c r="N15" s="47"/>
      <c r="O15" s="94">
        <f>T15*N15</f>
        <v>0</v>
      </c>
      <c r="P15" s="47" t="s">
        <v>701</v>
      </c>
      <c r="Q15" s="47"/>
      <c r="R15" s="95">
        <f>IF(OR(P15="c",P15="C"),+T15,"")</f>
        <v>0</v>
      </c>
      <c r="S15" s="95" t="str">
        <f>IF(OR(P15="$",N15=1),+T15,"")</f>
        <v/>
      </c>
      <c r="T15" s="96">
        <f>H15*[1]!FMainPool1Fee+I15*[1]!FMainPool2Fee+J15*[1]!FMainPool3Fee+K15*[1]!FMainPool4Fee+B15*[1]!FMainEntryFee</f>
        <v>0</v>
      </c>
      <c r="U15" s="51"/>
    </row>
    <row r="16" spans="1:21" x14ac:dyDescent="0.25">
      <c r="A16" s="46">
        <f t="shared" si="1"/>
        <v>5</v>
      </c>
      <c r="B16" s="47"/>
      <c r="C16" s="5" t="s">
        <v>16</v>
      </c>
      <c r="D16" s="5" t="s">
        <v>17</v>
      </c>
      <c r="E16" s="6" t="s">
        <v>18</v>
      </c>
      <c r="F16" s="48">
        <v>9098875893</v>
      </c>
      <c r="G16" s="109" t="s">
        <v>448</v>
      </c>
      <c r="H16" s="49"/>
      <c r="I16" s="47"/>
      <c r="J16" s="47"/>
      <c r="K16" s="47"/>
      <c r="L16" s="47"/>
      <c r="M16" s="47"/>
      <c r="N16" s="47"/>
      <c r="O16" s="94">
        <f>T16*N16</f>
        <v>0</v>
      </c>
      <c r="P16" s="47" t="s">
        <v>701</v>
      </c>
      <c r="Q16" s="47"/>
      <c r="R16" s="95">
        <f>IF(OR(P16="c",P16="C"),+T16,"")</f>
        <v>0</v>
      </c>
      <c r="S16" s="95" t="str">
        <f>IF(OR(P16="$",N16=1),+T16,"")</f>
        <v/>
      </c>
      <c r="T16" s="96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5" t="s">
        <v>19</v>
      </c>
      <c r="D17" s="5" t="s">
        <v>20</v>
      </c>
      <c r="E17" s="6" t="s">
        <v>21</v>
      </c>
      <c r="F17" s="48"/>
      <c r="G17" s="12" t="s">
        <v>449</v>
      </c>
      <c r="H17" s="49"/>
      <c r="I17" s="47"/>
      <c r="J17" s="47"/>
      <c r="K17" s="47"/>
      <c r="L17" s="47"/>
      <c r="M17" s="47"/>
      <c r="N17" s="47"/>
      <c r="O17" s="94">
        <f>T17*N17</f>
        <v>0</v>
      </c>
      <c r="P17" s="47" t="s">
        <v>701</v>
      </c>
      <c r="Q17" s="47"/>
      <c r="R17" s="95">
        <f>IF(OR(P17="c",P17="C"),+T17,"")</f>
        <v>0</v>
      </c>
      <c r="S17" s="95" t="str">
        <f>IF(OR(P17="$",N17=1),+T17,"")</f>
        <v/>
      </c>
      <c r="T17" s="96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7" t="s">
        <v>22</v>
      </c>
      <c r="D18" s="7" t="s">
        <v>20</v>
      </c>
      <c r="E18" s="8" t="s">
        <v>23</v>
      </c>
      <c r="F18" s="58">
        <v>9168138609</v>
      </c>
      <c r="G18" s="12" t="s">
        <v>450</v>
      </c>
      <c r="H18" s="49"/>
      <c r="I18" s="47"/>
      <c r="J18" s="47"/>
      <c r="K18" s="47"/>
      <c r="L18" s="47"/>
      <c r="M18" s="47"/>
      <c r="N18" s="47"/>
      <c r="O18" s="94">
        <f>T18*N18</f>
        <v>0</v>
      </c>
      <c r="P18" s="47" t="s">
        <v>701</v>
      </c>
      <c r="Q18" s="47"/>
      <c r="R18" s="95">
        <f>IF(OR(P18="c",P18="C"),+T18,"")</f>
        <v>0</v>
      </c>
      <c r="S18" s="95" t="str">
        <f>IF(OR(P18="$",N18=1),+T18,"")</f>
        <v/>
      </c>
      <c r="T18" s="96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/>
      <c r="C19" s="5" t="s">
        <v>24</v>
      </c>
      <c r="D19" s="5" t="s">
        <v>25</v>
      </c>
      <c r="E19" s="6" t="s">
        <v>26</v>
      </c>
      <c r="F19" s="48">
        <v>5302775321</v>
      </c>
      <c r="G19" s="109" t="s">
        <v>451</v>
      </c>
      <c r="H19" s="49"/>
      <c r="I19" s="47"/>
      <c r="J19" s="47"/>
      <c r="K19" s="47"/>
      <c r="L19" s="47"/>
      <c r="M19" s="47"/>
      <c r="N19" s="47"/>
      <c r="O19" s="94">
        <f>T19*N19</f>
        <v>0</v>
      </c>
      <c r="P19" s="47" t="s">
        <v>701</v>
      </c>
      <c r="Q19" s="47"/>
      <c r="R19" s="95">
        <f>IF(OR(P19="c",P19="C"),+T19,"")</f>
        <v>0</v>
      </c>
      <c r="S19" s="95" t="str">
        <f>IF(OR(P19="$",N19=1),+T19,"")</f>
        <v/>
      </c>
      <c r="T19" s="96">
        <f>H19*[1]!FMainPool1Fee+I19*[1]!FMainPool2Fee+J19*[1]!FMainPool3Fee+K19*[1]!FMainPool4Fee+B19*[1]!FMainEntryFee</f>
        <v>0</v>
      </c>
      <c r="U19" s="51"/>
    </row>
    <row r="20" spans="1:21" x14ac:dyDescent="0.25">
      <c r="A20" s="46">
        <f t="shared" si="1"/>
        <v>9</v>
      </c>
      <c r="B20" s="47"/>
      <c r="C20" s="15" t="s">
        <v>697</v>
      </c>
      <c r="D20" s="103"/>
      <c r="E20" s="30" t="s">
        <v>698</v>
      </c>
      <c r="F20" s="139"/>
      <c r="G20" s="103"/>
      <c r="H20" s="49"/>
      <c r="I20" s="47"/>
      <c r="J20" s="47"/>
      <c r="K20" s="47"/>
      <c r="L20" s="47"/>
      <c r="M20" s="47"/>
      <c r="N20" s="47"/>
      <c r="O20" s="94">
        <f>T20*N20</f>
        <v>0</v>
      </c>
      <c r="P20" s="47" t="s">
        <v>701</v>
      </c>
      <c r="Q20" s="47"/>
      <c r="R20" s="95">
        <f>IF(OR(P20="c",P20="C"),+T20,"")</f>
        <v>0</v>
      </c>
      <c r="S20" s="95" t="str">
        <f>IF(OR(P20="$",N20=1),+T20,"")</f>
        <v/>
      </c>
      <c r="T20" s="96">
        <f>H20*[1]!FMainPool1Fee+I20*[1]!FMainPool2Fee+J20*[1]!FMainPool3Fee+K20*[1]!FMainPool4Fee+B20*[1]!FMainEntryFee</f>
        <v>0</v>
      </c>
      <c r="U20" s="51"/>
    </row>
    <row r="21" spans="1:21" x14ac:dyDescent="0.25">
      <c r="A21" s="46">
        <f t="shared" si="1"/>
        <v>10</v>
      </c>
      <c r="B21" s="47"/>
      <c r="C21" s="15" t="s">
        <v>640</v>
      </c>
      <c r="D21" s="15" t="s">
        <v>641</v>
      </c>
      <c r="E21" s="10" t="s">
        <v>642</v>
      </c>
      <c r="F21" s="110"/>
      <c r="G21" s="15"/>
      <c r="H21" s="49"/>
      <c r="I21" s="47"/>
      <c r="J21" s="47"/>
      <c r="K21" s="47"/>
      <c r="L21" s="47"/>
      <c r="M21" s="47"/>
      <c r="N21" s="47"/>
      <c r="O21" s="94">
        <f>T21*N21</f>
        <v>0</v>
      </c>
      <c r="P21" s="47" t="s">
        <v>701</v>
      </c>
      <c r="Q21" s="47"/>
      <c r="R21" s="95">
        <f>IF(OR(P21="c",P21="C"),+T21,"")</f>
        <v>0</v>
      </c>
      <c r="S21" s="95" t="str">
        <f>IF(OR(P21="$",N21=1),+T21,"")</f>
        <v/>
      </c>
      <c r="T21" s="96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>
        <v>1</v>
      </c>
      <c r="C22" s="5" t="s">
        <v>27</v>
      </c>
      <c r="D22" s="5" t="s">
        <v>28</v>
      </c>
      <c r="E22" s="6" t="s">
        <v>708</v>
      </c>
      <c r="F22" s="59">
        <v>4087325550</v>
      </c>
      <c r="G22" s="12" t="s">
        <v>452</v>
      </c>
      <c r="H22" s="49">
        <v>1</v>
      </c>
      <c r="I22" s="47">
        <v>1</v>
      </c>
      <c r="J22" s="47">
        <v>1</v>
      </c>
      <c r="K22" s="47">
        <v>1</v>
      </c>
      <c r="L22" s="47">
        <v>1</v>
      </c>
      <c r="M22" s="47"/>
      <c r="N22" s="47"/>
      <c r="O22" s="94">
        <f>T22*N22</f>
        <v>0</v>
      </c>
      <c r="P22" s="47" t="s">
        <v>701</v>
      </c>
      <c r="Q22" s="47">
        <v>1015</v>
      </c>
      <c r="R22" s="95">
        <f>IF(OR(P22="c",P22="C"),+T22,"")</f>
        <v>160</v>
      </c>
      <c r="S22" s="95" t="str">
        <f>IF(OR(P22="$",N22=1),+T22,"")</f>
        <v/>
      </c>
      <c r="T22" s="96">
        <f>H22*[1]!FMainPool1Fee+I22*[1]!FMainPool2Fee+J22*[1]!FMainPool3Fee+K22*[1]!FMainPool4Fee+B22*[1]!FMainEntryFee</f>
        <v>160</v>
      </c>
      <c r="U22" s="51"/>
    </row>
    <row r="23" spans="1:21" x14ac:dyDescent="0.25">
      <c r="A23" s="46">
        <f t="shared" si="1"/>
        <v>12</v>
      </c>
      <c r="B23" s="47">
        <v>1</v>
      </c>
      <c r="C23" s="5" t="s">
        <v>30</v>
      </c>
      <c r="D23" s="5" t="s">
        <v>20</v>
      </c>
      <c r="E23" s="6" t="s">
        <v>31</v>
      </c>
      <c r="F23" s="59">
        <v>9162036636</v>
      </c>
      <c r="G23" s="12" t="s">
        <v>453</v>
      </c>
      <c r="H23" s="49">
        <v>1</v>
      </c>
      <c r="I23" s="47">
        <v>1</v>
      </c>
      <c r="J23" s="47">
        <v>1</v>
      </c>
      <c r="K23" s="47">
        <v>1</v>
      </c>
      <c r="L23" s="47"/>
      <c r="M23" s="47"/>
      <c r="N23" s="47"/>
      <c r="O23" s="94">
        <f>T23*N23</f>
        <v>0</v>
      </c>
      <c r="P23" s="47" t="s">
        <v>701</v>
      </c>
      <c r="Q23" s="47">
        <v>3403</v>
      </c>
      <c r="R23" s="95">
        <f>IF(OR(P23="c",P23="C"),+T23,"")</f>
        <v>160</v>
      </c>
      <c r="S23" s="95" t="str">
        <f>IF(OR(P23="$",N23=1),+T23,"")</f>
        <v/>
      </c>
      <c r="T23" s="96">
        <f>H23*[1]!FMainPool1Fee+I23*[1]!FMainPool2Fee+J23*[1]!FMainPool3Fee+K23*[1]!FMainPool4Fee+B23*[1]!FMainEntryFee</f>
        <v>160</v>
      </c>
      <c r="U23" s="51"/>
    </row>
    <row r="24" spans="1:21" x14ac:dyDescent="0.25">
      <c r="A24" s="46">
        <f t="shared" si="1"/>
        <v>13</v>
      </c>
      <c r="B24" s="47"/>
      <c r="C24" s="7" t="s">
        <v>32</v>
      </c>
      <c r="D24" s="7" t="s">
        <v>33</v>
      </c>
      <c r="E24" s="8" t="s">
        <v>34</v>
      </c>
      <c r="F24" s="60">
        <v>7078430109</v>
      </c>
      <c r="G24" s="109" t="s">
        <v>454</v>
      </c>
      <c r="H24" s="49"/>
      <c r="I24" s="47"/>
      <c r="J24" s="47"/>
      <c r="K24" s="47"/>
      <c r="L24" s="47"/>
      <c r="M24" s="47"/>
      <c r="N24" s="47"/>
      <c r="O24" s="94">
        <f>T24*N24</f>
        <v>0</v>
      </c>
      <c r="P24" s="47" t="s">
        <v>701</v>
      </c>
      <c r="Q24" s="47"/>
      <c r="R24" s="95">
        <f>IF(OR(P24="c",P24="C"),+T24,"")</f>
        <v>0</v>
      </c>
      <c r="S24" s="95" t="str">
        <f>IF(OR(P24="$",N24=1),+T24,"")</f>
        <v/>
      </c>
      <c r="T24" s="96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5" t="s">
        <v>35</v>
      </c>
      <c r="D25" s="5" t="s">
        <v>36</v>
      </c>
      <c r="E25" s="6" t="s">
        <v>37</v>
      </c>
      <c r="F25" s="137">
        <v>8054892161</v>
      </c>
      <c r="G25" s="15" t="s">
        <v>455</v>
      </c>
      <c r="H25" s="49"/>
      <c r="I25" s="47"/>
      <c r="J25" s="47"/>
      <c r="K25" s="47"/>
      <c r="L25" s="47"/>
      <c r="M25" s="47"/>
      <c r="N25" s="47"/>
      <c r="O25" s="94">
        <f>T25*N25</f>
        <v>0</v>
      </c>
      <c r="P25" s="47" t="s">
        <v>701</v>
      </c>
      <c r="Q25" s="47"/>
      <c r="R25" s="95">
        <f>IF(OR(P25="c",P25="C"),+T25,"")</f>
        <v>0</v>
      </c>
      <c r="S25" s="95" t="str">
        <f>IF(OR(P25="$",N25=1),+T25,"")</f>
        <v/>
      </c>
      <c r="T25" s="96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>
        <v>1</v>
      </c>
      <c r="C26" s="68" t="s">
        <v>643</v>
      </c>
      <c r="D26" s="68" t="s">
        <v>173</v>
      </c>
      <c r="E26" s="92" t="s">
        <v>644</v>
      </c>
      <c r="F26" s="110">
        <v>5305666454</v>
      </c>
      <c r="G26" s="111" t="s">
        <v>709</v>
      </c>
      <c r="H26" s="49">
        <v>1</v>
      </c>
      <c r="I26" s="47"/>
      <c r="J26" s="47"/>
      <c r="K26" s="47"/>
      <c r="L26" s="47">
        <v>1</v>
      </c>
      <c r="M26" s="47"/>
      <c r="N26" s="47"/>
      <c r="O26" s="94">
        <f>T26*N26</f>
        <v>0</v>
      </c>
      <c r="P26" s="47" t="s">
        <v>701</v>
      </c>
      <c r="Q26" s="112" t="s">
        <v>710</v>
      </c>
      <c r="R26" s="95">
        <f>IF(OR(P26="c",P26="C"),+T26,"")</f>
        <v>80</v>
      </c>
      <c r="S26" s="95" t="str">
        <f>IF(OR(P26="$",N26=1),+T26,"")</f>
        <v/>
      </c>
      <c r="T26" s="96">
        <f>H26*[1]!FMainPool1Fee+I26*[1]!FMainPool2Fee+J26*[1]!FMainPool3Fee+K26*[1]!FMainPool4Fee+B26*[1]!FMainEntryFee</f>
        <v>80</v>
      </c>
      <c r="U26" s="51"/>
    </row>
    <row r="27" spans="1:21" x14ac:dyDescent="0.25">
      <c r="A27" s="46">
        <f t="shared" si="1"/>
        <v>16</v>
      </c>
      <c r="B27" s="47"/>
      <c r="C27" s="5" t="s">
        <v>38</v>
      </c>
      <c r="D27" s="5" t="s">
        <v>39</v>
      </c>
      <c r="E27" s="6" t="s">
        <v>40</v>
      </c>
      <c r="F27" s="59">
        <v>9167055602</v>
      </c>
      <c r="G27" s="12" t="s">
        <v>456</v>
      </c>
      <c r="H27" s="49"/>
      <c r="I27" s="47"/>
      <c r="J27" s="47"/>
      <c r="K27" s="47"/>
      <c r="L27" s="47"/>
      <c r="M27" s="47"/>
      <c r="N27" s="47"/>
      <c r="O27" s="94">
        <f>T27*N27</f>
        <v>0</v>
      </c>
      <c r="P27" s="47" t="s">
        <v>701</v>
      </c>
      <c r="Q27" s="47"/>
      <c r="R27" s="95">
        <f>IF(OR(P27="c",P27="C"),+T27,"")</f>
        <v>0</v>
      </c>
      <c r="S27" s="95" t="str">
        <f>IF(OR(P27="$",N27=1),+T27,"")</f>
        <v/>
      </c>
      <c r="T27" s="96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15" t="s">
        <v>645</v>
      </c>
      <c r="D28" s="15" t="s">
        <v>39</v>
      </c>
      <c r="E28" s="10" t="s">
        <v>646</v>
      </c>
      <c r="F28" s="110"/>
      <c r="G28" s="15"/>
      <c r="H28" s="49"/>
      <c r="I28" s="47"/>
      <c r="J28" s="47"/>
      <c r="K28" s="47"/>
      <c r="L28" s="47"/>
      <c r="M28" s="47"/>
      <c r="N28" s="47"/>
      <c r="O28" s="94">
        <f>T28*N28</f>
        <v>0</v>
      </c>
      <c r="P28" s="47" t="s">
        <v>701</v>
      </c>
      <c r="Q28" s="47"/>
      <c r="R28" s="95">
        <f>IF(OR(P28="c",P28="C"),+T28,"")</f>
        <v>0</v>
      </c>
      <c r="S28" s="95" t="str">
        <f>IF(OR(P28="$",N28=1),+T28,"")</f>
        <v/>
      </c>
      <c r="T28" s="96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5" t="s">
        <v>41</v>
      </c>
      <c r="D29" s="5" t="s">
        <v>42</v>
      </c>
      <c r="E29" s="6" t="s">
        <v>43</v>
      </c>
      <c r="F29" s="110" t="s">
        <v>457</v>
      </c>
      <c r="G29" s="15" t="s">
        <v>458</v>
      </c>
      <c r="H29" s="49"/>
      <c r="I29" s="47"/>
      <c r="J29" s="47"/>
      <c r="K29" s="47"/>
      <c r="L29" s="47"/>
      <c r="M29" s="47"/>
      <c r="N29" s="47"/>
      <c r="O29" s="94">
        <f>T29*N29</f>
        <v>0</v>
      </c>
      <c r="P29" s="47" t="s">
        <v>701</v>
      </c>
      <c r="Q29" s="47"/>
      <c r="R29" s="95">
        <f>IF(OR(P29="c",P29="C"),+T29,"")</f>
        <v>0</v>
      </c>
      <c r="S29" s="95" t="str">
        <f>IF(OR(P29="$",N29=1),+T29,"")</f>
        <v/>
      </c>
      <c r="T29" s="96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7" t="s">
        <v>44</v>
      </c>
      <c r="D30" s="7" t="s">
        <v>45</v>
      </c>
      <c r="E30" s="8" t="s">
        <v>46</v>
      </c>
      <c r="F30" s="60" t="s">
        <v>459</v>
      </c>
      <c r="G30" s="12" t="s">
        <v>460</v>
      </c>
      <c r="H30" s="49"/>
      <c r="I30" s="47"/>
      <c r="J30" s="47"/>
      <c r="K30" s="47"/>
      <c r="L30" s="47"/>
      <c r="M30" s="47"/>
      <c r="N30" s="47"/>
      <c r="O30" s="94">
        <f>T30*N30</f>
        <v>0</v>
      </c>
      <c r="P30" s="47" t="s">
        <v>701</v>
      </c>
      <c r="Q30" s="47"/>
      <c r="R30" s="95">
        <f>IF(OR(P30="c",P30="C"),+T30,"")</f>
        <v>0</v>
      </c>
      <c r="S30" s="95" t="str">
        <f>IF(OR(P30="$",N30=1),+T30,"")</f>
        <v/>
      </c>
      <c r="T30" s="96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7" t="s">
        <v>47</v>
      </c>
      <c r="D31" s="7" t="s">
        <v>45</v>
      </c>
      <c r="E31" s="8" t="s">
        <v>48</v>
      </c>
      <c r="F31" s="60" t="s">
        <v>459</v>
      </c>
      <c r="G31" s="12" t="s">
        <v>460</v>
      </c>
      <c r="H31" s="49"/>
      <c r="I31" s="47"/>
      <c r="J31" s="47"/>
      <c r="K31" s="47"/>
      <c r="L31" s="47"/>
      <c r="M31" s="47"/>
      <c r="N31" s="47"/>
      <c r="O31" s="94">
        <f>T31*N31</f>
        <v>0</v>
      </c>
      <c r="P31" s="47" t="s">
        <v>701</v>
      </c>
      <c r="Q31" s="47"/>
      <c r="R31" s="95">
        <f>IF(OR(P31="c",P31="C"),+T31,"")</f>
        <v>0</v>
      </c>
      <c r="S31" s="95" t="str">
        <f>IF(OR(P31="$",N31=1),+T31,"")</f>
        <v/>
      </c>
      <c r="T31" s="96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>
        <v>1</v>
      </c>
      <c r="C32" s="7" t="s">
        <v>711</v>
      </c>
      <c r="D32" s="7" t="s">
        <v>67</v>
      </c>
      <c r="E32" s="8" t="s">
        <v>712</v>
      </c>
      <c r="F32" s="60">
        <v>7075994896</v>
      </c>
      <c r="G32" s="115" t="s">
        <v>713</v>
      </c>
      <c r="H32" s="49">
        <v>1</v>
      </c>
      <c r="I32" s="47">
        <v>1</v>
      </c>
      <c r="J32" s="47">
        <v>1</v>
      </c>
      <c r="K32" s="47"/>
      <c r="L32" s="47">
        <v>1</v>
      </c>
      <c r="M32" s="47"/>
      <c r="N32" s="47"/>
      <c r="O32" s="94"/>
      <c r="P32" s="47" t="s">
        <v>707</v>
      </c>
      <c r="Q32" s="47"/>
      <c r="R32" s="95" t="str">
        <f>IF(OR(P32="c",P32="C"),+T32,"")</f>
        <v/>
      </c>
      <c r="S32" s="95">
        <v>110</v>
      </c>
      <c r="T32" s="96">
        <f>H32*[1]!FMainPool1Fee+I32*[1]!FMainPool2Fee+J32*[1]!FMainPool3Fee+K32*[1]!FMainPool4Fee+B32*[1]!FMainEntryFee</f>
        <v>110</v>
      </c>
      <c r="U32" s="51"/>
    </row>
    <row r="33" spans="1:21" x14ac:dyDescent="0.25">
      <c r="A33" s="46">
        <f t="shared" si="1"/>
        <v>22</v>
      </c>
      <c r="B33" s="47"/>
      <c r="C33" s="5" t="s">
        <v>49</v>
      </c>
      <c r="D33" s="5" t="s">
        <v>50</v>
      </c>
      <c r="E33" s="6" t="s">
        <v>51</v>
      </c>
      <c r="F33" s="59"/>
      <c r="G33" s="12" t="s">
        <v>461</v>
      </c>
      <c r="H33" s="49"/>
      <c r="I33" s="47"/>
      <c r="J33" s="47"/>
      <c r="K33" s="47"/>
      <c r="L33" s="47"/>
      <c r="M33" s="47"/>
      <c r="N33" s="47"/>
      <c r="O33" s="94">
        <f>T33*N33</f>
        <v>0</v>
      </c>
      <c r="P33" s="47" t="s">
        <v>701</v>
      </c>
      <c r="Q33" s="47"/>
      <c r="R33" s="95">
        <f>IF(OR(P33="c",P33="C"),+T33,"")</f>
        <v>0</v>
      </c>
      <c r="S33" s="95" t="str">
        <f>IF(OR(P33="$",N33=1),+T33,"")</f>
        <v/>
      </c>
      <c r="T33" s="96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5" t="s">
        <v>52</v>
      </c>
      <c r="D34" s="7" t="s">
        <v>45</v>
      </c>
      <c r="E34" s="6" t="s">
        <v>53</v>
      </c>
      <c r="F34" s="59" t="s">
        <v>462</v>
      </c>
      <c r="G34" s="12" t="s">
        <v>463</v>
      </c>
      <c r="H34" s="49"/>
      <c r="I34" s="47"/>
      <c r="J34" s="47"/>
      <c r="K34" s="47"/>
      <c r="L34" s="47"/>
      <c r="M34" s="47"/>
      <c r="N34" s="47"/>
      <c r="O34" s="94">
        <f>T34*N34</f>
        <v>0</v>
      </c>
      <c r="P34" s="47" t="s">
        <v>701</v>
      </c>
      <c r="Q34" s="47"/>
      <c r="R34" s="95">
        <f>IF(OR(P34="c",P34="C"),+T34,"")</f>
        <v>0</v>
      </c>
      <c r="S34" s="95" t="str">
        <f>IF(OR(P34="$",N34=1),+T34,"")</f>
        <v/>
      </c>
      <c r="T34" s="96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54</v>
      </c>
      <c r="D35" s="5" t="s">
        <v>55</v>
      </c>
      <c r="E35" s="6" t="s">
        <v>56</v>
      </c>
      <c r="F35" s="48"/>
      <c r="G35" s="12" t="s">
        <v>464</v>
      </c>
      <c r="H35" s="49"/>
      <c r="I35" s="47"/>
      <c r="J35" s="47"/>
      <c r="K35" s="47"/>
      <c r="L35" s="47"/>
      <c r="M35" s="47"/>
      <c r="N35" s="47"/>
      <c r="O35" s="94">
        <f>T35*N35</f>
        <v>0</v>
      </c>
      <c r="P35" s="47" t="s">
        <v>701</v>
      </c>
      <c r="Q35" s="47"/>
      <c r="R35" s="95">
        <f>IF(OR(P35="c",P35="C"),+T35,"")</f>
        <v>0</v>
      </c>
      <c r="S35" s="95" t="str">
        <f>IF(OR(P35="$",N35=1),+T35,"")</f>
        <v/>
      </c>
      <c r="T35" s="96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5" t="s">
        <v>714</v>
      </c>
      <c r="D36" s="5" t="s">
        <v>235</v>
      </c>
      <c r="E36" s="6" t="s">
        <v>715</v>
      </c>
      <c r="F36" s="48">
        <v>9254322030</v>
      </c>
      <c r="G36" s="12" t="s">
        <v>468</v>
      </c>
      <c r="H36" s="49"/>
      <c r="I36" s="47"/>
      <c r="J36" s="47"/>
      <c r="K36" s="47"/>
      <c r="L36" s="47"/>
      <c r="M36" s="47"/>
      <c r="N36" s="47"/>
      <c r="O36" s="94">
        <f>T36*N36</f>
        <v>0</v>
      </c>
      <c r="P36" s="47" t="s">
        <v>701</v>
      </c>
      <c r="Q36" s="47">
        <v>4818</v>
      </c>
      <c r="R36" s="95">
        <f>IF(OR(P36="c",P36="C"),+T36,"")</f>
        <v>0</v>
      </c>
      <c r="S36" s="95" t="str">
        <f>IF(OR(P36="$",N36=1),+T36,"")</f>
        <v/>
      </c>
      <c r="T36" s="96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/>
      <c r="C37" s="5" t="s">
        <v>57</v>
      </c>
      <c r="D37" s="5" t="s">
        <v>58</v>
      </c>
      <c r="E37" s="6" t="s">
        <v>59</v>
      </c>
      <c r="F37" s="48"/>
      <c r="G37" s="12" t="s">
        <v>465</v>
      </c>
      <c r="H37" s="49"/>
      <c r="I37" s="47"/>
      <c r="J37" s="47"/>
      <c r="K37" s="47"/>
      <c r="L37" s="47"/>
      <c r="M37" s="47"/>
      <c r="N37" s="47"/>
      <c r="O37" s="94">
        <f>T37*N37</f>
        <v>0</v>
      </c>
      <c r="P37" s="47" t="s">
        <v>701</v>
      </c>
      <c r="Q37" s="47"/>
      <c r="R37" s="95">
        <f>IF(OR(P37="c",P37="C"),+T37,"")</f>
        <v>0</v>
      </c>
      <c r="S37" s="95" t="str">
        <f>IF(OR(P37="$",N37=1),+T37,"")</f>
        <v/>
      </c>
      <c r="T37" s="96">
        <f>H37*[1]!FMainPool1Fee+I37*[1]!FMainPool2Fee+J37*[1]!FMainPool3Fee+K37*[1]!FMainPool4Fee+B37*[1]!FMainEntryFee</f>
        <v>0</v>
      </c>
      <c r="U37" s="51"/>
    </row>
    <row r="38" spans="1:21" x14ac:dyDescent="0.25">
      <c r="A38" s="46">
        <f t="shared" si="1"/>
        <v>27</v>
      </c>
      <c r="B38" s="47"/>
      <c r="C38" s="7" t="s">
        <v>60</v>
      </c>
      <c r="D38" s="7" t="s">
        <v>61</v>
      </c>
      <c r="E38" s="8" t="s">
        <v>62</v>
      </c>
      <c r="F38" s="55">
        <v>9253213485</v>
      </c>
      <c r="G38" s="12" t="s">
        <v>466</v>
      </c>
      <c r="H38" s="49"/>
      <c r="I38" s="47"/>
      <c r="J38" s="47"/>
      <c r="K38" s="47"/>
      <c r="L38" s="47"/>
      <c r="M38" s="47"/>
      <c r="N38" s="47"/>
      <c r="O38" s="94">
        <f>T38*N38</f>
        <v>0</v>
      </c>
      <c r="P38" s="47" t="s">
        <v>701</v>
      </c>
      <c r="Q38" s="47"/>
      <c r="R38" s="95">
        <f>IF(OR(P38="c",P38="C"),+T38,"")</f>
        <v>0</v>
      </c>
      <c r="S38" s="95" t="str">
        <f>IF(OR(P38="$",N38=1),+T38,"")</f>
        <v/>
      </c>
      <c r="T38" s="96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/>
      <c r="C39" s="5" t="s">
        <v>63</v>
      </c>
      <c r="D39" s="5" t="s">
        <v>64</v>
      </c>
      <c r="E39" s="6" t="s">
        <v>65</v>
      </c>
      <c r="F39" s="48"/>
      <c r="G39" s="12"/>
      <c r="H39" s="49"/>
      <c r="I39" s="47"/>
      <c r="J39" s="47"/>
      <c r="K39" s="47"/>
      <c r="L39" s="47"/>
      <c r="M39" s="47"/>
      <c r="N39" s="47"/>
      <c r="O39" s="94">
        <f>T39*N39</f>
        <v>0</v>
      </c>
      <c r="P39" s="47" t="s">
        <v>701</v>
      </c>
      <c r="Q39" s="47"/>
      <c r="R39" s="95">
        <f>IF(OR(P39="c",P39="C"),+T39,"")</f>
        <v>0</v>
      </c>
      <c r="S39" s="95" t="str">
        <f>IF(OR(P39="$",N39=1),+T39,"")</f>
        <v/>
      </c>
      <c r="T39" s="96">
        <f>H39*[1]!FMainPool1Fee+I39*[1]!FMainPool2Fee+J39*[1]!FMainPool3Fee+K39*[1]!FMainPool4Fee+B39*[1]!FMainEntryFee</f>
        <v>0</v>
      </c>
      <c r="U39" s="51"/>
    </row>
    <row r="40" spans="1:21" x14ac:dyDescent="0.25">
      <c r="A40" s="46">
        <f t="shared" si="1"/>
        <v>29</v>
      </c>
      <c r="B40" s="47"/>
      <c r="C40" s="5" t="s">
        <v>66</v>
      </c>
      <c r="D40" s="5" t="s">
        <v>67</v>
      </c>
      <c r="E40" s="6" t="s">
        <v>68</v>
      </c>
      <c r="F40" s="48"/>
      <c r="G40" s="12"/>
      <c r="H40" s="49"/>
      <c r="I40" s="47"/>
      <c r="J40" s="47"/>
      <c r="K40" s="47"/>
      <c r="L40" s="47"/>
      <c r="M40" s="47"/>
      <c r="N40" s="47"/>
      <c r="O40" s="94">
        <f>T40*N40</f>
        <v>0</v>
      </c>
      <c r="P40" s="47" t="s">
        <v>701</v>
      </c>
      <c r="Q40" s="47"/>
      <c r="R40" s="95">
        <f>IF(OR(P40="c",P40="C"),+T40,"")</f>
        <v>0</v>
      </c>
      <c r="S40" s="95" t="str">
        <f>IF(OR(P40="$",N40=1),+T40,"")</f>
        <v/>
      </c>
      <c r="T40" s="96">
        <f>H40*[1]!FMainPool1Fee+I40*[1]!FMainPool2Fee+J40*[1]!FMainPool3Fee+K40*[1]!FMainPool4Fee+B40*[1]!FMainEntryFee</f>
        <v>0</v>
      </c>
      <c r="U40" s="51"/>
    </row>
    <row r="41" spans="1:21" x14ac:dyDescent="0.25">
      <c r="A41" s="46">
        <f t="shared" si="1"/>
        <v>30</v>
      </c>
      <c r="B41" s="47"/>
      <c r="C41" s="5" t="s">
        <v>69</v>
      </c>
      <c r="D41" s="5" t="s">
        <v>67</v>
      </c>
      <c r="E41" s="6" t="s">
        <v>70</v>
      </c>
      <c r="F41" s="48"/>
      <c r="G41" s="109" t="s">
        <v>467</v>
      </c>
      <c r="H41" s="49"/>
      <c r="I41" s="47"/>
      <c r="J41" s="47"/>
      <c r="K41" s="47"/>
      <c r="L41" s="47"/>
      <c r="M41" s="47"/>
      <c r="N41" s="47"/>
      <c r="O41" s="94">
        <f>T41*N41</f>
        <v>0</v>
      </c>
      <c r="P41" s="47" t="s">
        <v>701</v>
      </c>
      <c r="Q41" s="47"/>
      <c r="R41" s="95">
        <f>IF(OR(P41="c",P41="C"),+T41,"")</f>
        <v>0</v>
      </c>
      <c r="S41" s="95" t="str">
        <f>IF(OR(P41="$",N41=1),+T41,"")</f>
        <v/>
      </c>
      <c r="T41" s="96">
        <f>H41*[1]!FMainPool1Fee+I41*[1]!FMainPool2Fee+J41*[1]!FMainPool3Fee+K41*[1]!FMainPool4Fee+B41*[1]!FMainEntryFee</f>
        <v>0</v>
      </c>
      <c r="U41" s="51"/>
    </row>
    <row r="42" spans="1:21" x14ac:dyDescent="0.25">
      <c r="A42" s="46">
        <f t="shared" si="1"/>
        <v>31</v>
      </c>
      <c r="B42" s="47">
        <v>1</v>
      </c>
      <c r="C42" s="7" t="s">
        <v>71</v>
      </c>
      <c r="D42" s="7" t="s">
        <v>72</v>
      </c>
      <c r="E42" s="8" t="s">
        <v>73</v>
      </c>
      <c r="F42" s="55">
        <v>9705539123</v>
      </c>
      <c r="G42" s="12" t="s">
        <v>468</v>
      </c>
      <c r="H42" s="49">
        <v>1</v>
      </c>
      <c r="I42" s="47"/>
      <c r="J42" s="47"/>
      <c r="K42" s="47"/>
      <c r="L42" s="47">
        <v>1</v>
      </c>
      <c r="M42" s="47"/>
      <c r="N42" s="47"/>
      <c r="O42" s="94">
        <f>T42*N42</f>
        <v>0</v>
      </c>
      <c r="P42" s="47" t="s">
        <v>701</v>
      </c>
      <c r="Q42" s="47">
        <v>171</v>
      </c>
      <c r="R42" s="95">
        <f>IF(OR(P42="c",P42="C"),+T42,"")</f>
        <v>80</v>
      </c>
      <c r="S42" s="95" t="str">
        <f>IF(OR(P42="$",N42=1),+T42,"")</f>
        <v/>
      </c>
      <c r="T42" s="96">
        <f>H42*[1]!FMainPool1Fee+I42*[1]!FMainPool2Fee+J42*[1]!FMainPool3Fee+K42*[1]!FMainPool4Fee+B42*[1]!FMainEntryFee</f>
        <v>80</v>
      </c>
      <c r="U42" s="51"/>
    </row>
    <row r="43" spans="1:21" x14ac:dyDescent="0.25">
      <c r="A43" s="46">
        <f t="shared" si="1"/>
        <v>32</v>
      </c>
      <c r="B43" s="47"/>
      <c r="C43" s="7" t="s">
        <v>74</v>
      </c>
      <c r="D43" s="7" t="s">
        <v>75</v>
      </c>
      <c r="E43" s="8" t="s">
        <v>76</v>
      </c>
      <c r="F43" s="55"/>
      <c r="G43" s="12" t="s">
        <v>469</v>
      </c>
      <c r="H43" s="49"/>
      <c r="I43" s="47"/>
      <c r="J43" s="47"/>
      <c r="K43" s="47"/>
      <c r="L43" s="47"/>
      <c r="M43" s="47"/>
      <c r="N43" s="47"/>
      <c r="O43" s="94">
        <f>T43*N43</f>
        <v>0</v>
      </c>
      <c r="P43" s="47" t="s">
        <v>701</v>
      </c>
      <c r="Q43" s="47"/>
      <c r="R43" s="95">
        <f>IF(OR(P43="c",P43="C"),+T43,"")</f>
        <v>0</v>
      </c>
      <c r="S43" s="95" t="str">
        <f>IF(OR(P43="$",N43=1),+T43,"")</f>
        <v/>
      </c>
      <c r="T43" s="96">
        <f>H43*[1]!FMainPool1Fee+I43*[1]!FMainPool2Fee+J43*[1]!FMainPool3Fee+K43*[1]!FMainPool4Fee+B43*[1]!FMainEntryFee</f>
        <v>0</v>
      </c>
      <c r="U43" s="51"/>
    </row>
    <row r="44" spans="1:21" x14ac:dyDescent="0.25">
      <c r="A44" s="46">
        <f t="shared" si="1"/>
        <v>33</v>
      </c>
      <c r="B44" s="47"/>
      <c r="C44" s="7" t="s">
        <v>77</v>
      </c>
      <c r="D44" s="7" t="s">
        <v>78</v>
      </c>
      <c r="E44" s="9" t="s">
        <v>79</v>
      </c>
      <c r="F44" s="113" t="s">
        <v>470</v>
      </c>
      <c r="G44" s="15" t="s">
        <v>471</v>
      </c>
      <c r="H44" s="49"/>
      <c r="I44" s="47"/>
      <c r="J44" s="47"/>
      <c r="K44" s="47"/>
      <c r="L44" s="47"/>
      <c r="M44" s="47"/>
      <c r="N44" s="47"/>
      <c r="O44" s="94">
        <f>T44*N44</f>
        <v>0</v>
      </c>
      <c r="P44" s="47" t="s">
        <v>701</v>
      </c>
      <c r="Q44" s="47"/>
      <c r="R44" s="95">
        <f>IF(OR(P44="c",P44="C"),+T44,"")</f>
        <v>0</v>
      </c>
      <c r="S44" s="95" t="str">
        <f>IF(OR(P44="$",N44=1),+T44,"")</f>
        <v/>
      </c>
      <c r="T44" s="96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>
        <v>1</v>
      </c>
      <c r="C45" s="15" t="s">
        <v>647</v>
      </c>
      <c r="D45" s="15" t="s">
        <v>45</v>
      </c>
      <c r="E45" s="10" t="s">
        <v>648</v>
      </c>
      <c r="F45" s="113">
        <v>7079744711</v>
      </c>
      <c r="G45" s="111" t="s">
        <v>649</v>
      </c>
      <c r="H45" s="49"/>
      <c r="I45" s="47"/>
      <c r="J45" s="47"/>
      <c r="K45" s="47"/>
      <c r="L45" s="47"/>
      <c r="M45" s="47"/>
      <c r="N45" s="47"/>
      <c r="O45" s="94">
        <f>T45*N45</f>
        <v>0</v>
      </c>
      <c r="P45" s="47" t="s">
        <v>701</v>
      </c>
      <c r="Q45" s="47">
        <v>1075</v>
      </c>
      <c r="R45" s="95">
        <f>IF(OR(P45="c",P45="C"),+T45,"")</f>
        <v>70</v>
      </c>
      <c r="S45" s="95" t="str">
        <f>IF(OR(P45="$",N45=1),+T45,"")</f>
        <v/>
      </c>
      <c r="T45" s="96">
        <f>H45*[1]!FMainPool1Fee+I45*[1]!FMainPool2Fee+J45*[1]!FMainPool3Fee+K45*[1]!FMainPool4Fee+B45*[1]!FMainEntryFee</f>
        <v>70</v>
      </c>
      <c r="U45" s="51"/>
    </row>
    <row r="46" spans="1:21" x14ac:dyDescent="0.25">
      <c r="A46" s="46">
        <f t="shared" si="1"/>
        <v>35</v>
      </c>
      <c r="B46" s="47">
        <v>1</v>
      </c>
      <c r="C46" s="15" t="s">
        <v>716</v>
      </c>
      <c r="D46" s="15" t="s">
        <v>67</v>
      </c>
      <c r="E46" s="10" t="s">
        <v>717</v>
      </c>
      <c r="F46" s="113">
        <v>7075027980</v>
      </c>
      <c r="G46" s="111" t="s">
        <v>718</v>
      </c>
      <c r="H46" s="49">
        <v>1</v>
      </c>
      <c r="I46" s="47">
        <v>1</v>
      </c>
      <c r="J46" s="47">
        <v>1</v>
      </c>
      <c r="K46" s="47"/>
      <c r="L46" s="47"/>
      <c r="M46" s="47"/>
      <c r="N46" s="47"/>
      <c r="O46" s="94"/>
      <c r="P46" s="47" t="s">
        <v>707</v>
      </c>
      <c r="Q46" s="47"/>
      <c r="R46" s="95" t="str">
        <f>IF(OR(P46="c",P46="C"),+T46,"")</f>
        <v/>
      </c>
      <c r="S46" s="95">
        <f>IF(OR(P46="$",N46=1),+T46,"")</f>
        <v>110</v>
      </c>
      <c r="T46" s="96">
        <f>H46*[1]!FMainPool1Fee+I46*[1]!FMainPool2Fee+J46*[1]!FMainPool3Fee+K46*[1]!FMainPool4Fee+B46*[1]!FMainEntryFee</f>
        <v>110</v>
      </c>
      <c r="U46" s="51"/>
    </row>
    <row r="47" spans="1:21" x14ac:dyDescent="0.25">
      <c r="A47" s="46">
        <f t="shared" si="1"/>
        <v>36</v>
      </c>
      <c r="B47" s="47"/>
      <c r="C47" s="5" t="s">
        <v>80</v>
      </c>
      <c r="D47" s="5" t="s">
        <v>81</v>
      </c>
      <c r="E47" s="6" t="s">
        <v>82</v>
      </c>
      <c r="F47" s="48"/>
      <c r="G47" s="12" t="s">
        <v>472</v>
      </c>
      <c r="H47" s="49"/>
      <c r="I47" s="47"/>
      <c r="J47" s="47"/>
      <c r="K47" s="47"/>
      <c r="L47" s="47"/>
      <c r="M47" s="47"/>
      <c r="N47" s="47"/>
      <c r="O47" s="94">
        <f>T47*N47</f>
        <v>0</v>
      </c>
      <c r="P47" s="47" t="s">
        <v>701</v>
      </c>
      <c r="Q47" s="47"/>
      <c r="R47" s="95">
        <f>IF(OR(P47="c",P47="C"),+T47,"")</f>
        <v>0</v>
      </c>
      <c r="S47" s="95" t="str">
        <f>IF(OR(P47="$",N47=1),+T47,"")</f>
        <v/>
      </c>
      <c r="T47" s="96">
        <f>H47*[1]!FMainPool1Fee+I47*[1]!FMainPool2Fee+J47*[1]!FMainPool3Fee+K47*[1]!FMainPool4Fee+B47*[1]!FMainEntryFee</f>
        <v>0</v>
      </c>
      <c r="U47" s="51"/>
    </row>
    <row r="48" spans="1:21" x14ac:dyDescent="0.25">
      <c r="A48" s="46">
        <f t="shared" si="1"/>
        <v>37</v>
      </c>
      <c r="B48" s="47"/>
      <c r="C48" s="7" t="s">
        <v>83</v>
      </c>
      <c r="D48" s="7" t="s">
        <v>84</v>
      </c>
      <c r="E48" s="8" t="s">
        <v>85</v>
      </c>
      <c r="F48" s="55"/>
      <c r="G48" s="12" t="s">
        <v>473</v>
      </c>
      <c r="H48" s="49"/>
      <c r="I48" s="47"/>
      <c r="J48" s="47"/>
      <c r="K48" s="47"/>
      <c r="L48" s="47"/>
      <c r="M48" s="47"/>
      <c r="N48" s="47"/>
      <c r="O48" s="94">
        <f>T48*N48</f>
        <v>0</v>
      </c>
      <c r="P48" s="47" t="s">
        <v>701</v>
      </c>
      <c r="Q48" s="47"/>
      <c r="R48" s="95">
        <f>IF(OR(P48="c",P48="C"),+T48,"")</f>
        <v>0</v>
      </c>
      <c r="S48" s="95" t="str">
        <f>IF(OR(P48="$",N48=1),+T48,"")</f>
        <v/>
      </c>
      <c r="T48" s="96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>
        <v>1</v>
      </c>
      <c r="C49" s="7" t="s">
        <v>86</v>
      </c>
      <c r="D49" s="7" t="s">
        <v>64</v>
      </c>
      <c r="E49" s="8" t="s">
        <v>87</v>
      </c>
      <c r="F49" s="55">
        <v>7073175740</v>
      </c>
      <c r="G49" s="109" t="s">
        <v>474</v>
      </c>
      <c r="H49" s="49">
        <v>1</v>
      </c>
      <c r="I49" s="47"/>
      <c r="J49" s="47">
        <v>1</v>
      </c>
      <c r="K49" s="47"/>
      <c r="L49" s="47"/>
      <c r="M49" s="47"/>
      <c r="N49" s="47"/>
      <c r="O49" s="94">
        <f>T49*N49</f>
        <v>0</v>
      </c>
      <c r="P49" s="47" t="s">
        <v>707</v>
      </c>
      <c r="Q49" s="47"/>
      <c r="R49" s="95" t="str">
        <f>IF(OR(P49="c",P49="C"),+T49,"")</f>
        <v/>
      </c>
      <c r="S49" s="95">
        <f>IF(OR(P49="$",N49=1),+T49,"")</f>
        <v>100</v>
      </c>
      <c r="T49" s="96">
        <f>H49*[1]!FMainPool1Fee+I49*[1]!FMainPool2Fee+J49*[1]!FMainPool3Fee+K49*[1]!FMainPool4Fee+B49*[1]!FMainEntryFee</f>
        <v>100</v>
      </c>
      <c r="U49" s="51"/>
    </row>
    <row r="50" spans="1:21" x14ac:dyDescent="0.25">
      <c r="A50" s="46">
        <f t="shared" si="1"/>
        <v>39</v>
      </c>
      <c r="B50" s="47"/>
      <c r="C50" s="5" t="s">
        <v>88</v>
      </c>
      <c r="D50" s="5" t="s">
        <v>84</v>
      </c>
      <c r="E50" s="6" t="s">
        <v>89</v>
      </c>
      <c r="F50" s="48"/>
      <c r="G50" s="12" t="s">
        <v>475</v>
      </c>
      <c r="H50" s="49"/>
      <c r="I50" s="47"/>
      <c r="J50" s="47"/>
      <c r="K50" s="47"/>
      <c r="L50" s="47"/>
      <c r="M50" s="47"/>
      <c r="N50" s="47"/>
      <c r="O50" s="94">
        <f>T50*N50</f>
        <v>0</v>
      </c>
      <c r="P50" s="47" t="s">
        <v>701</v>
      </c>
      <c r="Q50" s="47"/>
      <c r="R50" s="95">
        <f>IF(OR(P50="c",P50="C"),+T50,"")</f>
        <v>0</v>
      </c>
      <c r="S50" s="95" t="str">
        <f>IF(OR(P50="$",N50=1),+T50,"")</f>
        <v/>
      </c>
      <c r="T50" s="96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>
        <v>1</v>
      </c>
      <c r="C51" s="15" t="s">
        <v>650</v>
      </c>
      <c r="D51" s="15" t="s">
        <v>5</v>
      </c>
      <c r="E51" s="10" t="s">
        <v>651</v>
      </c>
      <c r="F51" s="138">
        <v>2793335535</v>
      </c>
      <c r="G51" s="15"/>
      <c r="H51" s="49">
        <v>1</v>
      </c>
      <c r="I51" s="47">
        <v>1</v>
      </c>
      <c r="J51" s="47">
        <v>1</v>
      </c>
      <c r="K51" s="47"/>
      <c r="L51" s="47">
        <v>1</v>
      </c>
      <c r="M51" s="47"/>
      <c r="N51" s="47"/>
      <c r="O51" s="94">
        <f>T51*N51</f>
        <v>0</v>
      </c>
      <c r="P51" s="47" t="s">
        <v>701</v>
      </c>
      <c r="Q51" s="47">
        <v>1299</v>
      </c>
      <c r="R51" s="95">
        <f>IF(OR(P51="c",P51="C"),+T51,"")</f>
        <v>110</v>
      </c>
      <c r="S51" s="95" t="str">
        <f>IF(OR(P51="$",N51=1),+T51,"")</f>
        <v/>
      </c>
      <c r="T51" s="96">
        <f>H51*[1]!FMainPool1Fee+I51*[1]!FMainPool2Fee+J51*[1]!FMainPool3Fee+K51*[1]!FMainPool4Fee+B51*[1]!FMainEntryFee</f>
        <v>110</v>
      </c>
      <c r="U51" s="51"/>
    </row>
    <row r="52" spans="1:21" x14ac:dyDescent="0.25">
      <c r="A52" s="46">
        <f t="shared" si="1"/>
        <v>41</v>
      </c>
      <c r="B52" s="47"/>
      <c r="C52" s="7" t="s">
        <v>93</v>
      </c>
      <c r="D52" s="7" t="s">
        <v>94</v>
      </c>
      <c r="E52" s="8" t="s">
        <v>95</v>
      </c>
      <c r="F52" s="55"/>
      <c r="G52" s="12" t="s">
        <v>478</v>
      </c>
      <c r="H52" s="49"/>
      <c r="I52" s="47"/>
      <c r="J52" s="47"/>
      <c r="K52" s="47"/>
      <c r="L52" s="47"/>
      <c r="M52" s="47"/>
      <c r="N52" s="47"/>
      <c r="O52" s="94">
        <f>T52*N52</f>
        <v>0</v>
      </c>
      <c r="P52" s="47" t="s">
        <v>701</v>
      </c>
      <c r="Q52" s="47"/>
      <c r="R52" s="95">
        <f>IF(OR(P52="c",P52="C"),+T52,"")</f>
        <v>0</v>
      </c>
      <c r="S52" s="95" t="str">
        <f>IF(OR(P52="$",N52=1),+T52,"")</f>
        <v/>
      </c>
      <c r="T52" s="96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/>
      <c r="C53" s="5" t="s">
        <v>96</v>
      </c>
      <c r="D53" s="5" t="s">
        <v>97</v>
      </c>
      <c r="E53" s="6" t="s">
        <v>98</v>
      </c>
      <c r="F53" s="48"/>
      <c r="G53" s="12" t="s">
        <v>479</v>
      </c>
      <c r="H53" s="49"/>
      <c r="I53" s="47"/>
      <c r="J53" s="47"/>
      <c r="K53" s="47"/>
      <c r="L53" s="47"/>
      <c r="M53" s="47"/>
      <c r="N53" s="47"/>
      <c r="O53" s="94">
        <f>T53*N53</f>
        <v>0</v>
      </c>
      <c r="P53" s="47" t="s">
        <v>701</v>
      </c>
      <c r="Q53" s="47"/>
      <c r="R53" s="95">
        <f>IF(OR(P53="c",P53="C"),+T53,"")</f>
        <v>0</v>
      </c>
      <c r="S53" s="95" t="str">
        <f>IF(OR(P53="$",N53=1),+T53,"")</f>
        <v/>
      </c>
      <c r="T53" s="96">
        <f>H53*[1]!FMainPool1Fee+I53*[1]!FMainPool2Fee+J53*[1]!FMainPool3Fee+K53*[1]!FMainPool4Fee+B53*[1]!FMainEntryFee</f>
        <v>0</v>
      </c>
      <c r="U53" s="51"/>
    </row>
    <row r="54" spans="1:21" x14ac:dyDescent="0.25">
      <c r="A54" s="46">
        <f t="shared" si="1"/>
        <v>43</v>
      </c>
      <c r="B54" s="47"/>
      <c r="C54" s="7" t="s">
        <v>99</v>
      </c>
      <c r="D54" s="7" t="s">
        <v>100</v>
      </c>
      <c r="E54" s="8" t="s">
        <v>101</v>
      </c>
      <c r="F54" s="55"/>
      <c r="G54" s="12" t="s">
        <v>480</v>
      </c>
      <c r="H54" s="49"/>
      <c r="I54" s="47"/>
      <c r="J54" s="47"/>
      <c r="K54" s="47"/>
      <c r="L54" s="47"/>
      <c r="M54" s="47"/>
      <c r="N54" s="47"/>
      <c r="O54" s="94">
        <f>T54*N54</f>
        <v>0</v>
      </c>
      <c r="P54" s="47" t="s">
        <v>701</v>
      </c>
      <c r="Q54" s="47"/>
      <c r="R54" s="95">
        <f>IF(OR(P54="c",P54="C"),+T54,"")</f>
        <v>0</v>
      </c>
      <c r="S54" s="95" t="str">
        <f>IF(OR(P54="$",N54=1),+T54,"")</f>
        <v/>
      </c>
      <c r="T54" s="96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/>
      <c r="C55" s="5" t="s">
        <v>102</v>
      </c>
      <c r="D55" s="5" t="s">
        <v>103</v>
      </c>
      <c r="E55" s="6" t="s">
        <v>104</v>
      </c>
      <c r="F55" s="48">
        <v>9165213208</v>
      </c>
      <c r="G55" s="12" t="s">
        <v>481</v>
      </c>
      <c r="H55" s="49"/>
      <c r="I55" s="47"/>
      <c r="J55" s="47"/>
      <c r="K55" s="47"/>
      <c r="L55" s="47"/>
      <c r="M55" s="47"/>
      <c r="N55" s="47"/>
      <c r="O55" s="94">
        <f>T55*N55</f>
        <v>0</v>
      </c>
      <c r="P55" s="47" t="s">
        <v>701</v>
      </c>
      <c r="Q55" s="47"/>
      <c r="R55" s="95">
        <f>IF(OR(P55="c",P55="C"),+T55,"")</f>
        <v>0</v>
      </c>
      <c r="S55" s="95" t="str">
        <f>IF(OR(P55="$",N55=1),+T55,"")</f>
        <v/>
      </c>
      <c r="T55" s="96">
        <f>H55*[1]!FMainPool1Fee+I55*[1]!FMainPool2Fee+J55*[1]!FMainPool3Fee+K55*[1]!FMainPool4Fee+B55*[1]!FMainEntryFee</f>
        <v>0</v>
      </c>
      <c r="U55" s="51"/>
    </row>
    <row r="56" spans="1:21" x14ac:dyDescent="0.25">
      <c r="A56" s="46">
        <f t="shared" si="1"/>
        <v>45</v>
      </c>
      <c r="B56" s="47"/>
      <c r="C56" s="5" t="s">
        <v>105</v>
      </c>
      <c r="D56" s="5" t="s">
        <v>106</v>
      </c>
      <c r="E56" s="6" t="s">
        <v>107</v>
      </c>
      <c r="F56" s="48"/>
      <c r="G56" s="12" t="s">
        <v>482</v>
      </c>
      <c r="H56" s="49"/>
      <c r="I56" s="47"/>
      <c r="J56" s="47"/>
      <c r="K56" s="47"/>
      <c r="L56" s="47"/>
      <c r="M56" s="47"/>
      <c r="N56" s="47"/>
      <c r="O56" s="94">
        <f>T56*N56</f>
        <v>0</v>
      </c>
      <c r="P56" s="47" t="s">
        <v>701</v>
      </c>
      <c r="Q56" s="47"/>
      <c r="R56" s="95">
        <f>IF(OR(P56="c",P56="C"),+T56,"")</f>
        <v>0</v>
      </c>
      <c r="S56" s="95" t="str">
        <f>IF(OR(P56="$",N56=1),+T56,"")</f>
        <v/>
      </c>
      <c r="T56" s="96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>
        <v>1</v>
      </c>
      <c r="C57" s="7" t="s">
        <v>108</v>
      </c>
      <c r="D57" s="7" t="s">
        <v>72</v>
      </c>
      <c r="E57" s="8" t="s">
        <v>109</v>
      </c>
      <c r="F57" s="113" t="s">
        <v>483</v>
      </c>
      <c r="G57" s="12" t="s">
        <v>484</v>
      </c>
      <c r="H57" s="49">
        <v>1</v>
      </c>
      <c r="I57" s="47">
        <v>1</v>
      </c>
      <c r="J57" s="47">
        <v>1</v>
      </c>
      <c r="K57" s="47"/>
      <c r="L57" s="47"/>
      <c r="M57" s="47"/>
      <c r="N57" s="47"/>
      <c r="O57" s="94">
        <f>T57*N57</f>
        <v>0</v>
      </c>
      <c r="P57" s="47" t="s">
        <v>701</v>
      </c>
      <c r="Q57" s="47">
        <v>1974</v>
      </c>
      <c r="R57" s="95">
        <f>IF(OR(P57="c",P57="C"),+T57,"")</f>
        <v>110</v>
      </c>
      <c r="S57" s="95" t="str">
        <f>IF(OR(P57="$",N57=1),+T57,"")</f>
        <v/>
      </c>
      <c r="T57" s="96">
        <f>H57*[1]!FMainPool1Fee+I57*[1]!FMainPool2Fee+J57*[1]!FMainPool3Fee+K57*[1]!FMainPool4Fee+B57*[1]!FMainEntryFee</f>
        <v>110</v>
      </c>
      <c r="U57" s="51"/>
    </row>
    <row r="58" spans="1:21" x14ac:dyDescent="0.25">
      <c r="A58" s="46">
        <f t="shared" si="1"/>
        <v>47</v>
      </c>
      <c r="B58" s="47"/>
      <c r="C58" s="7" t="s">
        <v>110</v>
      </c>
      <c r="D58" s="7" t="s">
        <v>20</v>
      </c>
      <c r="E58" s="8" t="s">
        <v>111</v>
      </c>
      <c r="F58" s="138" t="s">
        <v>485</v>
      </c>
      <c r="G58" s="12" t="s">
        <v>486</v>
      </c>
      <c r="H58" s="49"/>
      <c r="I58" s="47"/>
      <c r="J58" s="47"/>
      <c r="K58" s="47"/>
      <c r="L58" s="47"/>
      <c r="M58" s="47"/>
      <c r="N58" s="47"/>
      <c r="O58" s="94">
        <f>T58*N58</f>
        <v>0</v>
      </c>
      <c r="P58" s="47" t="s">
        <v>701</v>
      </c>
      <c r="Q58" s="47"/>
      <c r="R58" s="95">
        <f>IF(OR(P58="c",P58="C"),+T58,"")</f>
        <v>0</v>
      </c>
      <c r="S58" s="95" t="str">
        <f>IF(OR(P58="$",N58=1),+T58,"")</f>
        <v/>
      </c>
      <c r="T58" s="96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5" t="s">
        <v>112</v>
      </c>
      <c r="D59" s="5" t="s">
        <v>55</v>
      </c>
      <c r="E59" s="6" t="s">
        <v>113</v>
      </c>
      <c r="F59" s="48"/>
      <c r="G59" s="12" t="s">
        <v>487</v>
      </c>
      <c r="H59" s="49"/>
      <c r="I59" s="47"/>
      <c r="J59" s="47"/>
      <c r="K59" s="47"/>
      <c r="L59" s="47"/>
      <c r="M59" s="47"/>
      <c r="N59" s="47"/>
      <c r="O59" s="94">
        <f>T59*N59</f>
        <v>0</v>
      </c>
      <c r="P59" s="47" t="s">
        <v>701</v>
      </c>
      <c r="Q59" s="47"/>
      <c r="R59" s="95">
        <f>IF(OR(P59="c",P59="C"),+T59,"")</f>
        <v>0</v>
      </c>
      <c r="S59" s="95" t="str">
        <f>IF(OR(P59="$",N59=1),+T59,"")</f>
        <v/>
      </c>
      <c r="T59" s="96">
        <f>H59*[1]!FMainPool1Fee+I59*[1]!FMainPool2Fee+J59*[1]!FMainPool3Fee+K59*[1]!FMainPool4Fee+B59*[1]!FMainEntryFee</f>
        <v>0</v>
      </c>
      <c r="U59" s="51"/>
    </row>
    <row r="60" spans="1:21" ht="15.75" x14ac:dyDescent="0.25">
      <c r="A60" s="46">
        <f t="shared" si="1"/>
        <v>49</v>
      </c>
      <c r="B60" s="47">
        <v>1</v>
      </c>
      <c r="C60" s="7" t="s">
        <v>114</v>
      </c>
      <c r="D60" s="7" t="s">
        <v>72</v>
      </c>
      <c r="E60" s="8" t="s">
        <v>115</v>
      </c>
      <c r="F60" s="55" t="s">
        <v>488</v>
      </c>
      <c r="G60" s="12" t="s">
        <v>468</v>
      </c>
      <c r="H60" s="49">
        <v>1</v>
      </c>
      <c r="I60" s="47">
        <v>1</v>
      </c>
      <c r="J60" s="47">
        <v>1</v>
      </c>
      <c r="K60" s="47">
        <v>1</v>
      </c>
      <c r="L60" s="47"/>
      <c r="M60" s="47"/>
      <c r="N60" s="47"/>
      <c r="O60" s="94">
        <f>T60*N60</f>
        <v>0</v>
      </c>
      <c r="P60" s="47" t="s">
        <v>701</v>
      </c>
      <c r="Q60" s="47">
        <v>2213</v>
      </c>
      <c r="R60" s="95">
        <f>IF(OR(P60="c",P60="C"),+T60,"")</f>
        <v>160</v>
      </c>
      <c r="S60" s="95" t="str">
        <f>IF(OR(P60="$",N60=1),+T60,"")</f>
        <v/>
      </c>
      <c r="T60" s="96">
        <f>H60*[1]!FMainPool1Fee+I60*[1]!FMainPool2Fee+J60*[1]!FMainPool3Fee+K60*[1]!FMainPool4Fee+B60*[1]!FMainEntryFee</f>
        <v>160</v>
      </c>
      <c r="U60" s="51"/>
    </row>
    <row r="61" spans="1:21" x14ac:dyDescent="0.25">
      <c r="A61" s="46">
        <f t="shared" si="1"/>
        <v>50</v>
      </c>
      <c r="B61" s="47"/>
      <c r="C61" s="5" t="s">
        <v>116</v>
      </c>
      <c r="D61" s="5" t="s">
        <v>117</v>
      </c>
      <c r="E61" s="6" t="s">
        <v>118</v>
      </c>
      <c r="F61" s="137"/>
      <c r="G61" s="12"/>
      <c r="H61" s="49"/>
      <c r="I61" s="47"/>
      <c r="J61" s="47"/>
      <c r="K61" s="47"/>
      <c r="L61" s="47"/>
      <c r="M61" s="47"/>
      <c r="N61" s="47"/>
      <c r="O61" s="94">
        <f>T61*N61</f>
        <v>0</v>
      </c>
      <c r="P61" s="47" t="s">
        <v>701</v>
      </c>
      <c r="Q61" s="47"/>
      <c r="R61" s="95">
        <f>IF(OR(P61="c",P61="C"),+T61,"")</f>
        <v>0</v>
      </c>
      <c r="S61" s="95" t="str">
        <f>IF(OR(P61="$",N61=1),+T61,"")</f>
        <v/>
      </c>
      <c r="T61" s="96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>
        <v>1</v>
      </c>
      <c r="C62" s="5" t="s">
        <v>119</v>
      </c>
      <c r="D62" s="5" t="s">
        <v>72</v>
      </c>
      <c r="E62" s="6" t="s">
        <v>120</v>
      </c>
      <c r="F62" s="137">
        <v>7078499317</v>
      </c>
      <c r="G62" s="12" t="s">
        <v>489</v>
      </c>
      <c r="H62" s="49">
        <v>1</v>
      </c>
      <c r="I62" s="47">
        <v>1</v>
      </c>
      <c r="J62" s="47">
        <v>1</v>
      </c>
      <c r="K62" s="47">
        <v>1</v>
      </c>
      <c r="L62" s="47"/>
      <c r="M62" s="47"/>
      <c r="N62" s="47"/>
      <c r="O62" s="94">
        <f>T62*N62</f>
        <v>0</v>
      </c>
      <c r="P62" s="47" t="s">
        <v>701</v>
      </c>
      <c r="Q62" s="47">
        <v>4008</v>
      </c>
      <c r="R62" s="95">
        <f>IF(OR(P62="c",P62="C"),+T62,"")</f>
        <v>160</v>
      </c>
      <c r="S62" s="95" t="str">
        <f>IF(OR(P62="$",N62=1),+T62,"")</f>
        <v/>
      </c>
      <c r="T62" s="96">
        <f>H62*[1]!FMainPool1Fee+I62*[1]!FMainPool2Fee+J62*[1]!FMainPool3Fee+K62*[1]!FMainPool4Fee+B62*[1]!FMainEntryFee</f>
        <v>160</v>
      </c>
      <c r="U62" s="51"/>
    </row>
    <row r="63" spans="1:21" x14ac:dyDescent="0.25">
      <c r="A63" s="46">
        <f t="shared" si="1"/>
        <v>52</v>
      </c>
      <c r="B63" s="47"/>
      <c r="C63" s="5" t="s">
        <v>121</v>
      </c>
      <c r="D63" s="5" t="s">
        <v>122</v>
      </c>
      <c r="E63" s="6" t="s">
        <v>123</v>
      </c>
      <c r="F63" s="48"/>
      <c r="G63" s="12" t="s">
        <v>490</v>
      </c>
      <c r="H63" s="49"/>
      <c r="I63" s="47"/>
      <c r="J63" s="47"/>
      <c r="K63" s="47"/>
      <c r="L63" s="47"/>
      <c r="M63" s="47"/>
      <c r="N63" s="47"/>
      <c r="O63" s="94">
        <f>T63*N63</f>
        <v>0</v>
      </c>
      <c r="P63" s="47" t="s">
        <v>701</v>
      </c>
      <c r="Q63" s="47"/>
      <c r="R63" s="95">
        <f>IF(OR(P63="c",P63="C"),+T63,"")</f>
        <v>0</v>
      </c>
      <c r="S63" s="95" t="str">
        <f>IF(OR(P63="$",N63=1),+T63,"")</f>
        <v/>
      </c>
      <c r="T63" s="96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>
        <v>1</v>
      </c>
      <c r="C64" s="5" t="s">
        <v>124</v>
      </c>
      <c r="D64" s="5" t="s">
        <v>72</v>
      </c>
      <c r="E64" s="6" t="s">
        <v>125</v>
      </c>
      <c r="F64" s="48">
        <v>7073225806</v>
      </c>
      <c r="G64" s="109" t="s">
        <v>491</v>
      </c>
      <c r="H64" s="49"/>
      <c r="I64" s="47"/>
      <c r="J64" s="47"/>
      <c r="K64" s="47"/>
      <c r="L64" s="47"/>
      <c r="M64" s="47"/>
      <c r="N64" s="47"/>
      <c r="O64" s="94">
        <f>T64*N64</f>
        <v>0</v>
      </c>
      <c r="P64" s="47" t="s">
        <v>701</v>
      </c>
      <c r="Q64" s="47">
        <v>1795</v>
      </c>
      <c r="R64" s="95">
        <f>IF(OR(P64="c",P64="C"),+T64,"")</f>
        <v>70</v>
      </c>
      <c r="S64" s="95" t="str">
        <f>IF(OR(P64="$",N64=1),+T64,"")</f>
        <v/>
      </c>
      <c r="T64" s="96">
        <f>H64*[1]!FMainPool1Fee+I64*[1]!FMainPool2Fee+J64*[1]!FMainPool3Fee+K64*[1]!FMainPool4Fee+B64*[1]!FMainEntryFee</f>
        <v>70</v>
      </c>
      <c r="U64" s="51"/>
    </row>
    <row r="65" spans="1:21" x14ac:dyDescent="0.25">
      <c r="A65" s="46">
        <f t="shared" si="1"/>
        <v>54</v>
      </c>
      <c r="B65" s="47">
        <v>1</v>
      </c>
      <c r="C65" s="5" t="s">
        <v>719</v>
      </c>
      <c r="D65" s="5" t="s">
        <v>185</v>
      </c>
      <c r="E65" s="6" t="s">
        <v>720</v>
      </c>
      <c r="F65" s="48">
        <v>9258406622</v>
      </c>
      <c r="G65" s="109" t="s">
        <v>721</v>
      </c>
      <c r="H65" s="49">
        <v>1</v>
      </c>
      <c r="I65" s="47"/>
      <c r="J65" s="47"/>
      <c r="K65" s="47"/>
      <c r="L65" s="47"/>
      <c r="M65" s="47"/>
      <c r="N65" s="47"/>
      <c r="O65" s="94">
        <f>T65*N65</f>
        <v>0</v>
      </c>
      <c r="P65" s="47" t="s">
        <v>701</v>
      </c>
      <c r="Q65" s="47">
        <v>1208</v>
      </c>
      <c r="R65" s="95">
        <f>IF(OR(P65="c",P65="C"),+T65,"")</f>
        <v>80</v>
      </c>
      <c r="S65" s="95" t="str">
        <f>IF(OR(P65="$",N65=1),+T65,"")</f>
        <v/>
      </c>
      <c r="T65" s="96">
        <f>H65*[1]!FMainPool1Fee+I65*[1]!FMainPool2Fee+J65*[1]!FMainPool3Fee+K65*[1]!FMainPool4Fee+B65*[1]!FMainEntryFee</f>
        <v>80</v>
      </c>
      <c r="U65" s="51"/>
    </row>
    <row r="66" spans="1:21" x14ac:dyDescent="0.25">
      <c r="A66" s="46">
        <f t="shared" si="1"/>
        <v>55</v>
      </c>
      <c r="B66" s="47">
        <v>1</v>
      </c>
      <c r="C66" s="7" t="s">
        <v>126</v>
      </c>
      <c r="D66" s="7" t="s">
        <v>127</v>
      </c>
      <c r="E66" s="136" t="s">
        <v>128</v>
      </c>
      <c r="F66" s="113" t="s">
        <v>492</v>
      </c>
      <c r="G66" s="12" t="s">
        <v>493</v>
      </c>
      <c r="H66" s="49">
        <v>1</v>
      </c>
      <c r="I66" s="47">
        <v>1</v>
      </c>
      <c r="J66" s="47">
        <v>1</v>
      </c>
      <c r="K66" s="47">
        <v>1</v>
      </c>
      <c r="L66" s="47">
        <v>1</v>
      </c>
      <c r="M66" s="47"/>
      <c r="N66" s="47">
        <v>1</v>
      </c>
      <c r="O66" s="94">
        <f>T66*N66</f>
        <v>160</v>
      </c>
      <c r="P66" s="47" t="s">
        <v>707</v>
      </c>
      <c r="Q66" s="47"/>
      <c r="R66" s="95" t="str">
        <f>IF(OR(P66="c",P66="C"),+T66,"")</f>
        <v/>
      </c>
      <c r="S66" s="95">
        <f>IF(OR(P66="$",N66=1),+T66,"")</f>
        <v>160</v>
      </c>
      <c r="T66" s="96">
        <f>H66*[1]!FMainPool1Fee+I66*[1]!FMainPool2Fee+J66*[1]!FMainPool3Fee+K66*[1]!FMainPool4Fee+B66*[1]!FMainEntryFee</f>
        <v>160</v>
      </c>
      <c r="U66" s="51"/>
    </row>
    <row r="67" spans="1:21" x14ac:dyDescent="0.25">
      <c r="A67" s="46">
        <f t="shared" si="1"/>
        <v>56</v>
      </c>
      <c r="B67" s="47"/>
      <c r="C67" s="5" t="s">
        <v>129</v>
      </c>
      <c r="D67" s="5" t="s">
        <v>130</v>
      </c>
      <c r="E67" s="6" t="s">
        <v>131</v>
      </c>
      <c r="F67" s="48"/>
      <c r="G67" s="12" t="s">
        <v>494</v>
      </c>
      <c r="H67" s="49"/>
      <c r="I67" s="47"/>
      <c r="J67" s="47"/>
      <c r="K67" s="47"/>
      <c r="L67" s="47"/>
      <c r="M67" s="47"/>
      <c r="N67" s="47"/>
      <c r="O67" s="94">
        <f>T67*N67</f>
        <v>0</v>
      </c>
      <c r="P67" s="47" t="s">
        <v>701</v>
      </c>
      <c r="Q67" s="47"/>
      <c r="R67" s="95">
        <f>IF(OR(P67="c",P67="C"),+T67,"")</f>
        <v>0</v>
      </c>
      <c r="S67" s="95" t="str">
        <f>IF(OR(P67="$",N67=1),+T67,"")</f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15" t="s">
        <v>652</v>
      </c>
      <c r="D68" s="15" t="s">
        <v>45</v>
      </c>
      <c r="E68" s="10" t="s">
        <v>653</v>
      </c>
      <c r="F68" s="113"/>
      <c r="G68" s="15"/>
      <c r="H68" s="49"/>
      <c r="I68" s="47"/>
      <c r="J68" s="47"/>
      <c r="K68" s="47"/>
      <c r="L68" s="47"/>
      <c r="M68" s="47"/>
      <c r="N68" s="47"/>
      <c r="O68" s="94">
        <f>T68*N68</f>
        <v>0</v>
      </c>
      <c r="P68" s="47" t="s">
        <v>701</v>
      </c>
      <c r="Q68" s="47"/>
      <c r="R68" s="95">
        <f>IF(OR(P68="c",P68="C"),+T68,"")</f>
        <v>0</v>
      </c>
      <c r="S68" s="95" t="str">
        <f>IF(OR(P68="$",N68=1),+T68,"")</f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5" t="s">
        <v>132</v>
      </c>
      <c r="D69" s="5" t="s">
        <v>84</v>
      </c>
      <c r="E69" s="6" t="s">
        <v>133</v>
      </c>
      <c r="F69" s="48"/>
      <c r="G69" s="12"/>
      <c r="H69" s="49"/>
      <c r="I69" s="47"/>
      <c r="J69" s="47"/>
      <c r="K69" s="47"/>
      <c r="L69" s="47"/>
      <c r="M69" s="47"/>
      <c r="N69" s="47"/>
      <c r="O69" s="94">
        <f>T69*N69</f>
        <v>0</v>
      </c>
      <c r="P69" s="47" t="s">
        <v>701</v>
      </c>
      <c r="Q69" s="47"/>
      <c r="R69" s="95">
        <f>IF(OR(P69="c",P69="C"),+T69,"")</f>
        <v>0</v>
      </c>
      <c r="S69" s="95" t="str">
        <f>IF(OR(P69="$",N69=1),+T69,"")</f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5" t="s">
        <v>134</v>
      </c>
      <c r="D70" s="5" t="s">
        <v>135</v>
      </c>
      <c r="E70" s="6" t="s">
        <v>136</v>
      </c>
      <c r="F70" s="48">
        <v>4152058885</v>
      </c>
      <c r="G70" s="109" t="s">
        <v>495</v>
      </c>
      <c r="H70" s="49"/>
      <c r="I70" s="47"/>
      <c r="J70" s="47"/>
      <c r="K70" s="47"/>
      <c r="L70" s="47"/>
      <c r="M70" s="47"/>
      <c r="N70" s="47"/>
      <c r="O70" s="94">
        <f>T70*N70</f>
        <v>0</v>
      </c>
      <c r="P70" s="47" t="s">
        <v>701</v>
      </c>
      <c r="Q70" s="47"/>
      <c r="R70" s="95">
        <f>IF(OR(P70="c",P70="C"),+T70,"")</f>
        <v>0</v>
      </c>
      <c r="S70" s="95" t="str">
        <f>IF(OR(P70="$",N70=1),+T70,"")</f>
        <v/>
      </c>
      <c r="T70" s="96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/>
      <c r="C71" s="5" t="s">
        <v>137</v>
      </c>
      <c r="D71" s="5" t="s">
        <v>138</v>
      </c>
      <c r="E71" s="6" t="s">
        <v>139</v>
      </c>
      <c r="F71" s="48">
        <v>4152052574</v>
      </c>
      <c r="G71" s="109" t="s">
        <v>496</v>
      </c>
      <c r="H71" s="49"/>
      <c r="I71" s="47"/>
      <c r="J71" s="47"/>
      <c r="K71" s="47"/>
      <c r="L71" s="47"/>
      <c r="M71" s="47"/>
      <c r="N71" s="47"/>
      <c r="O71" s="94">
        <f>T71*N71</f>
        <v>0</v>
      </c>
      <c r="P71" s="47" t="s">
        <v>701</v>
      </c>
      <c r="Q71" s="47"/>
      <c r="R71" s="95">
        <f>IF(OR(P71="c",P71="C"),+T71,"")</f>
        <v>0</v>
      </c>
      <c r="S71" s="95" t="str">
        <f>IF(OR(P71="$",N71=1),+T71,"")</f>
        <v/>
      </c>
      <c r="T71" s="96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47"/>
      <c r="C72" s="15" t="s">
        <v>654</v>
      </c>
      <c r="D72" s="15" t="s">
        <v>45</v>
      </c>
      <c r="E72" s="10" t="s">
        <v>655</v>
      </c>
      <c r="F72" s="113"/>
      <c r="G72" s="15"/>
      <c r="H72" s="49"/>
      <c r="I72" s="47"/>
      <c r="J72" s="47"/>
      <c r="K72" s="47"/>
      <c r="L72" s="47"/>
      <c r="M72" s="47"/>
      <c r="N72" s="47"/>
      <c r="O72" s="94">
        <f>T72*N72</f>
        <v>0</v>
      </c>
      <c r="P72" s="47" t="s">
        <v>701</v>
      </c>
      <c r="Q72" s="47"/>
      <c r="R72" s="95">
        <f>IF(OR(P72="c",P72="C"),+T72,"")</f>
        <v>0</v>
      </c>
      <c r="S72" s="95" t="str">
        <f>IF(OR(P72="$",N72=1),+T72,"")</f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140</v>
      </c>
      <c r="D73" s="5" t="s">
        <v>138</v>
      </c>
      <c r="E73" s="10" t="s">
        <v>141</v>
      </c>
      <c r="F73" s="137"/>
      <c r="G73" s="12"/>
      <c r="H73" s="49"/>
      <c r="I73" s="47"/>
      <c r="J73" s="47"/>
      <c r="K73" s="47"/>
      <c r="L73" s="47"/>
      <c r="M73" s="47"/>
      <c r="N73" s="47"/>
      <c r="O73" s="94">
        <f>T73*N73</f>
        <v>0</v>
      </c>
      <c r="P73" s="47" t="s">
        <v>701</v>
      </c>
      <c r="Q73" s="47"/>
      <c r="R73" s="95">
        <f>IF(OR(P73="c",P73="C"),+T73,"")</f>
        <v>0</v>
      </c>
      <c r="S73" s="95" t="str">
        <f>IF(OR(P73="$",N73=1),+T73,"")</f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>
        <v>1</v>
      </c>
      <c r="C74" s="5" t="s">
        <v>142</v>
      </c>
      <c r="D74" s="7" t="s">
        <v>45</v>
      </c>
      <c r="E74" s="6" t="s">
        <v>143</v>
      </c>
      <c r="F74" s="48" t="s">
        <v>497</v>
      </c>
      <c r="G74" s="12" t="s">
        <v>498</v>
      </c>
      <c r="H74" s="49">
        <v>1</v>
      </c>
      <c r="I74" s="47">
        <v>1</v>
      </c>
      <c r="J74" s="47">
        <v>1</v>
      </c>
      <c r="K74" s="47">
        <v>1</v>
      </c>
      <c r="L74" s="47">
        <v>1</v>
      </c>
      <c r="M74" s="47"/>
      <c r="N74" s="47"/>
      <c r="O74" s="94">
        <f>T74*N74</f>
        <v>0</v>
      </c>
      <c r="P74" s="47" t="s">
        <v>707</v>
      </c>
      <c r="Q74" s="47"/>
      <c r="R74" s="95" t="str">
        <f>IF(OR(P74="c",P74="C"),+T74,"")</f>
        <v/>
      </c>
      <c r="S74" s="95">
        <f>IF(OR(P74="$",N74=1),+T74,"")</f>
        <v>160</v>
      </c>
      <c r="T74" s="96">
        <f>H74*[1]!FMainPool1Fee+I74*[1]!FMainPool2Fee+J74*[1]!FMainPool3Fee+K74*[1]!FMainPool4Fee+B74*[1]!FMainEntryFee</f>
        <v>160</v>
      </c>
      <c r="U74" s="51"/>
    </row>
    <row r="75" spans="1:21" x14ac:dyDescent="0.25">
      <c r="A75" s="46">
        <f t="shared" si="1"/>
        <v>64</v>
      </c>
      <c r="B75" s="47">
        <v>1</v>
      </c>
      <c r="C75" s="15" t="s">
        <v>656</v>
      </c>
      <c r="D75" s="15" t="s">
        <v>409</v>
      </c>
      <c r="E75" s="10" t="s">
        <v>657</v>
      </c>
      <c r="F75" s="113">
        <v>5103043540</v>
      </c>
      <c r="G75" s="111" t="s">
        <v>722</v>
      </c>
      <c r="H75" s="49">
        <v>1</v>
      </c>
      <c r="I75" s="47"/>
      <c r="J75" s="47"/>
      <c r="K75" s="47"/>
      <c r="L75" s="47"/>
      <c r="M75" s="47"/>
      <c r="N75" s="47">
        <v>1</v>
      </c>
      <c r="O75" s="94">
        <f>T75*N75</f>
        <v>80</v>
      </c>
      <c r="P75" s="47" t="s">
        <v>707</v>
      </c>
      <c r="Q75" s="47"/>
      <c r="R75" s="95" t="str">
        <f>IF(OR(P75="c",P75="C"),+T75,"")</f>
        <v/>
      </c>
      <c r="S75" s="95">
        <f>IF(OR(P75="$",N75=1),+T75,"")</f>
        <v>80</v>
      </c>
      <c r="T75" s="96">
        <f>H75*[1]!FMainPool1Fee+I75*[1]!FMainPool2Fee+J75*[1]!FMainPool3Fee+K75*[1]!FMainPool4Fee+B75*[1]!FMainEntryFee</f>
        <v>80</v>
      </c>
      <c r="U75" s="51"/>
    </row>
    <row r="76" spans="1:21" x14ac:dyDescent="0.25">
      <c r="A76" s="46">
        <f t="shared" ref="A76:A139" si="2">ROW() - ROW(FRegEntriesEnteredHdr)</f>
        <v>65</v>
      </c>
      <c r="B76" s="47">
        <v>1</v>
      </c>
      <c r="C76" s="15" t="s">
        <v>723</v>
      </c>
      <c r="D76" s="15" t="s">
        <v>724</v>
      </c>
      <c r="E76" s="10" t="s">
        <v>725</v>
      </c>
      <c r="F76" s="113">
        <v>5309277047</v>
      </c>
      <c r="G76" s="111" t="s">
        <v>726</v>
      </c>
      <c r="H76" s="49">
        <v>1</v>
      </c>
      <c r="I76" s="47">
        <v>1</v>
      </c>
      <c r="J76" s="47">
        <v>1</v>
      </c>
      <c r="K76" s="47">
        <v>1</v>
      </c>
      <c r="L76" s="47"/>
      <c r="M76" s="47"/>
      <c r="N76" s="47"/>
      <c r="O76" s="94"/>
      <c r="P76" s="47" t="s">
        <v>701</v>
      </c>
      <c r="Q76" s="47">
        <v>6681</v>
      </c>
      <c r="R76" s="95">
        <v>160</v>
      </c>
      <c r="S76" s="95"/>
      <c r="T76" s="96">
        <f>H76*[1]!FMainPool1Fee+I76*[1]!FMainPool2Fee+J76*[1]!FMainPool3Fee+K76*[1]!FMainPool4Fee+B76*[1]!FMainEntryFee</f>
        <v>160</v>
      </c>
      <c r="U76" s="51"/>
    </row>
    <row r="77" spans="1:21" x14ac:dyDescent="0.25">
      <c r="A77" s="46">
        <f t="shared" si="2"/>
        <v>66</v>
      </c>
      <c r="B77" s="47">
        <v>1</v>
      </c>
      <c r="C77" s="15" t="s">
        <v>727</v>
      </c>
      <c r="D77" s="15" t="s">
        <v>724</v>
      </c>
      <c r="E77" s="10" t="s">
        <v>728</v>
      </c>
      <c r="F77" s="113">
        <v>5309277048</v>
      </c>
      <c r="G77" s="111" t="s">
        <v>729</v>
      </c>
      <c r="H77" s="49">
        <v>1</v>
      </c>
      <c r="I77" s="47">
        <v>1</v>
      </c>
      <c r="J77" s="47">
        <v>1</v>
      </c>
      <c r="K77" s="47">
        <v>1</v>
      </c>
      <c r="L77" s="47"/>
      <c r="M77" s="47"/>
      <c r="N77" s="47"/>
      <c r="O77" s="94"/>
      <c r="P77" s="47" t="s">
        <v>701</v>
      </c>
      <c r="Q77" s="47">
        <v>6681</v>
      </c>
      <c r="R77" s="95">
        <v>160</v>
      </c>
      <c r="S77" s="95"/>
      <c r="T77" s="96">
        <f>H77*[1]!FMainPool1Fee+I77*[1]!FMainPool2Fee+J77*[1]!FMainPool3Fee+K77*[1]!FMainPool4Fee+B77*[1]!FMainEntryFee</f>
        <v>160</v>
      </c>
      <c r="U77" s="51"/>
    </row>
    <row r="78" spans="1:21" x14ac:dyDescent="0.25">
      <c r="A78" s="46">
        <f t="shared" si="2"/>
        <v>67</v>
      </c>
      <c r="B78" s="47"/>
      <c r="C78" s="5" t="s">
        <v>144</v>
      </c>
      <c r="D78" s="5" t="s">
        <v>145</v>
      </c>
      <c r="E78" s="6" t="s">
        <v>146</v>
      </c>
      <c r="F78" s="48"/>
      <c r="G78" s="12" t="s">
        <v>499</v>
      </c>
      <c r="H78" s="49"/>
      <c r="I78" s="47"/>
      <c r="J78" s="47"/>
      <c r="K78" s="47"/>
      <c r="L78" s="47"/>
      <c r="M78" s="47"/>
      <c r="N78" s="47"/>
      <c r="O78" s="94">
        <f>T78*N78</f>
        <v>0</v>
      </c>
      <c r="P78" s="47" t="s">
        <v>701</v>
      </c>
      <c r="Q78" s="47"/>
      <c r="R78" s="95">
        <f>IF(OR(P78="c",P78="C"),+T78,"")</f>
        <v>0</v>
      </c>
      <c r="S78" s="95" t="str">
        <f>IF(OR(P78="$",N78=1),+T78,"")</f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2"/>
        <v>68</v>
      </c>
      <c r="B79" s="47"/>
      <c r="C79" s="7" t="s">
        <v>147</v>
      </c>
      <c r="D79" s="7" t="s">
        <v>148</v>
      </c>
      <c r="E79" s="8" t="s">
        <v>149</v>
      </c>
      <c r="F79" s="55">
        <v>9166997163</v>
      </c>
      <c r="G79" s="109" t="s">
        <v>500</v>
      </c>
      <c r="H79" s="49"/>
      <c r="I79" s="47"/>
      <c r="J79" s="47"/>
      <c r="K79" s="47"/>
      <c r="L79" s="47"/>
      <c r="M79" s="47"/>
      <c r="N79" s="47"/>
      <c r="O79" s="94">
        <f>T79*N79</f>
        <v>0</v>
      </c>
      <c r="P79" s="47" t="s">
        <v>701</v>
      </c>
      <c r="Q79" s="47"/>
      <c r="R79" s="95">
        <f>IF(OR(P79="c",P79="C"),+T79,"")</f>
        <v>0</v>
      </c>
      <c r="S79" s="95" t="str">
        <f>IF(OR(P79="$",N79=1),+T79,"")</f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2"/>
        <v>69</v>
      </c>
      <c r="B80" s="47"/>
      <c r="C80" s="15" t="s">
        <v>658</v>
      </c>
      <c r="D80" s="15" t="s">
        <v>191</v>
      </c>
      <c r="E80" s="10" t="s">
        <v>659</v>
      </c>
      <c r="F80" s="113"/>
      <c r="G80" s="109" t="s">
        <v>660</v>
      </c>
      <c r="H80" s="49"/>
      <c r="I80" s="47"/>
      <c r="J80" s="47"/>
      <c r="K80" s="47"/>
      <c r="L80" s="47"/>
      <c r="M80" s="47"/>
      <c r="N80" s="47"/>
      <c r="O80" s="94">
        <f>T80*N80</f>
        <v>0</v>
      </c>
      <c r="P80" s="47" t="s">
        <v>701</v>
      </c>
      <c r="Q80" s="47"/>
      <c r="R80" s="95">
        <f>IF(OR(P80="c",P80="C"),+T80,"")</f>
        <v>0</v>
      </c>
      <c r="S80" s="95" t="str">
        <f>IF(OR(P80="$",N80=1),+T80,"")</f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2"/>
        <v>70</v>
      </c>
      <c r="B81" s="47"/>
      <c r="C81" s="15" t="s">
        <v>661</v>
      </c>
      <c r="D81" s="15" t="s">
        <v>33</v>
      </c>
      <c r="E81" s="10" t="s">
        <v>662</v>
      </c>
      <c r="F81" s="113"/>
      <c r="G81" s="109" t="s">
        <v>663</v>
      </c>
      <c r="H81" s="49"/>
      <c r="I81" s="47"/>
      <c r="J81" s="47"/>
      <c r="K81" s="47"/>
      <c r="L81" s="47"/>
      <c r="M81" s="47"/>
      <c r="N81" s="47"/>
      <c r="O81" s="94">
        <f>T81*N81</f>
        <v>0</v>
      </c>
      <c r="P81" s="47" t="s">
        <v>701</v>
      </c>
      <c r="Q81" s="47"/>
      <c r="R81" s="95">
        <f>IF(OR(P81="c",P81="C"),+T81,"")</f>
        <v>0</v>
      </c>
      <c r="S81" s="95" t="str">
        <f>IF(OR(P81="$",N81=1),+T81,"")</f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2"/>
        <v>71</v>
      </c>
      <c r="B82" s="47"/>
      <c r="C82" s="12" t="s">
        <v>150</v>
      </c>
      <c r="D82" s="7" t="s">
        <v>151</v>
      </c>
      <c r="E82" s="8" t="s">
        <v>152</v>
      </c>
      <c r="F82" s="55">
        <v>5104613953</v>
      </c>
      <c r="G82" s="109" t="s">
        <v>501</v>
      </c>
      <c r="H82" s="49"/>
      <c r="I82" s="47"/>
      <c r="J82" s="47"/>
      <c r="K82" s="47"/>
      <c r="L82" s="47"/>
      <c r="M82" s="47"/>
      <c r="N82" s="47"/>
      <c r="O82" s="94">
        <f>T82*N82</f>
        <v>0</v>
      </c>
      <c r="P82" s="47" t="s">
        <v>701</v>
      </c>
      <c r="Q82" s="47"/>
      <c r="R82" s="95">
        <f>IF(OR(P82="c",P82="C"),+T82,"")</f>
        <v>0</v>
      </c>
      <c r="S82" s="95" t="str">
        <f>IF(OR(P82="$",N82=1),+T82,"")</f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2"/>
        <v>72</v>
      </c>
      <c r="B83" s="47"/>
      <c r="C83" s="5" t="s">
        <v>155</v>
      </c>
      <c r="D83" s="5" t="s">
        <v>156</v>
      </c>
      <c r="E83" s="6" t="s">
        <v>157</v>
      </c>
      <c r="F83" s="48"/>
      <c r="G83" s="12" t="s">
        <v>503</v>
      </c>
      <c r="H83" s="49"/>
      <c r="I83" s="47"/>
      <c r="J83" s="47"/>
      <c r="K83" s="47"/>
      <c r="L83" s="47"/>
      <c r="M83" s="47"/>
      <c r="N83" s="47"/>
      <c r="O83" s="94">
        <f>T83*N83</f>
        <v>0</v>
      </c>
      <c r="P83" s="47" t="s">
        <v>701</v>
      </c>
      <c r="Q83" s="47"/>
      <c r="R83" s="95">
        <f>IF(OR(P83="c",P83="C"),+T83,"")</f>
        <v>0</v>
      </c>
      <c r="S83" s="95" t="str">
        <f>IF(OR(P83="$",N83=1),+T83,"")</f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2"/>
        <v>73</v>
      </c>
      <c r="B84" s="47">
        <v>1</v>
      </c>
      <c r="C84" s="7" t="s">
        <v>158</v>
      </c>
      <c r="D84" s="7" t="s">
        <v>159</v>
      </c>
      <c r="E84" s="8" t="s">
        <v>160</v>
      </c>
      <c r="F84" s="138" t="s">
        <v>504</v>
      </c>
      <c r="G84" s="12" t="s">
        <v>468</v>
      </c>
      <c r="H84" s="49">
        <v>1</v>
      </c>
      <c r="I84" s="47">
        <v>1</v>
      </c>
      <c r="J84" s="47">
        <v>1</v>
      </c>
      <c r="K84" s="47"/>
      <c r="L84" s="47"/>
      <c r="M84" s="47"/>
      <c r="N84" s="47"/>
      <c r="O84" s="94">
        <f>T84*N84</f>
        <v>0</v>
      </c>
      <c r="P84" s="47" t="s">
        <v>701</v>
      </c>
      <c r="Q84" s="47">
        <v>8899</v>
      </c>
      <c r="R84" s="95">
        <f>IF(OR(P84="c",P84="C"),+T84,"")</f>
        <v>110</v>
      </c>
      <c r="S84" s="95" t="str">
        <f>IF(OR(P84="$",N84=1),+T84,"")</f>
        <v/>
      </c>
      <c r="T84" s="96">
        <f>H84*[1]!FMainPool1Fee+I84*[1]!FMainPool2Fee+J84*[1]!FMainPool3Fee+K84*[1]!FMainPool4Fee+B84*[1]!FMainEntryFee</f>
        <v>110</v>
      </c>
      <c r="U84" s="51"/>
    </row>
    <row r="85" spans="1:21" x14ac:dyDescent="0.25">
      <c r="A85" s="46">
        <f t="shared" si="2"/>
        <v>74</v>
      </c>
      <c r="B85" s="47">
        <v>1</v>
      </c>
      <c r="C85" s="5" t="s">
        <v>161</v>
      </c>
      <c r="D85" s="5" t="s">
        <v>91</v>
      </c>
      <c r="E85" s="6" t="s">
        <v>162</v>
      </c>
      <c r="F85" s="48">
        <v>7074223729</v>
      </c>
      <c r="G85" s="12" t="s">
        <v>505</v>
      </c>
      <c r="H85" s="49">
        <v>1</v>
      </c>
      <c r="I85" s="47"/>
      <c r="J85" s="47"/>
      <c r="K85" s="47"/>
      <c r="L85" s="47"/>
      <c r="M85" s="47"/>
      <c r="N85" s="47"/>
      <c r="O85" s="94">
        <f>T85*N85</f>
        <v>0</v>
      </c>
      <c r="P85" s="47" t="s">
        <v>701</v>
      </c>
      <c r="Q85" s="47">
        <v>2548</v>
      </c>
      <c r="R85" s="95">
        <f>IF(OR(P85="c",P85="C"),+T85,"")</f>
        <v>80</v>
      </c>
      <c r="S85" s="95" t="str">
        <f>IF(OR(P85="$",N85=1),+T85,"")</f>
        <v/>
      </c>
      <c r="T85" s="96">
        <f>H85*[1]!FMainPool1Fee+I85*[1]!FMainPool2Fee+J85*[1]!FMainPool3Fee+K85*[1]!FMainPool4Fee+B85*[1]!FMainEntryFee</f>
        <v>80</v>
      </c>
      <c r="U85" s="51"/>
    </row>
    <row r="86" spans="1:21" x14ac:dyDescent="0.25">
      <c r="A86" s="46">
        <f t="shared" si="2"/>
        <v>75</v>
      </c>
      <c r="B86" s="47"/>
      <c r="C86" s="5" t="s">
        <v>163</v>
      </c>
      <c r="D86" s="5" t="s">
        <v>164</v>
      </c>
      <c r="E86" s="6" t="s">
        <v>165</v>
      </c>
      <c r="F86" s="48"/>
      <c r="G86" s="12" t="s">
        <v>506</v>
      </c>
      <c r="H86" s="49"/>
      <c r="I86" s="47"/>
      <c r="J86" s="47"/>
      <c r="K86" s="47"/>
      <c r="L86" s="47"/>
      <c r="M86" s="47"/>
      <c r="N86" s="47"/>
      <c r="O86" s="94">
        <f>T86*N86</f>
        <v>0</v>
      </c>
      <c r="P86" s="47" t="s">
        <v>701</v>
      </c>
      <c r="Q86" s="47"/>
      <c r="R86" s="95">
        <f>IF(OR(P86="c",P86="C"),+T86,"")</f>
        <v>0</v>
      </c>
      <c r="S86" s="95" t="str">
        <f>IF(OR(P86="$",N86=1),+T86,"")</f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2"/>
        <v>76</v>
      </c>
      <c r="B87" s="47"/>
      <c r="C87" s="5" t="s">
        <v>166</v>
      </c>
      <c r="D87" s="5" t="s">
        <v>167</v>
      </c>
      <c r="E87" s="6" t="s">
        <v>168</v>
      </c>
      <c r="F87" s="137">
        <v>9253604907</v>
      </c>
      <c r="G87" s="12" t="s">
        <v>507</v>
      </c>
      <c r="H87" s="49"/>
      <c r="I87" s="47"/>
      <c r="J87" s="47"/>
      <c r="K87" s="47"/>
      <c r="L87" s="47"/>
      <c r="M87" s="47"/>
      <c r="N87" s="47"/>
      <c r="O87" s="94">
        <f>T87*N87</f>
        <v>0</v>
      </c>
      <c r="P87" s="47" t="s">
        <v>701</v>
      </c>
      <c r="Q87" s="47"/>
      <c r="R87" s="95">
        <f>IF(OR(P87="c",P87="C"),+T87,"")</f>
        <v>0</v>
      </c>
      <c r="S87" s="95" t="str">
        <f>IF(OR(P87="$",N87=1),+T87,"")</f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2"/>
        <v>77</v>
      </c>
      <c r="B88" s="47"/>
      <c r="C88" s="7" t="s">
        <v>169</v>
      </c>
      <c r="D88" s="7" t="s">
        <v>170</v>
      </c>
      <c r="E88" s="8" t="s">
        <v>171</v>
      </c>
      <c r="F88" s="48"/>
      <c r="G88" s="12" t="s">
        <v>508</v>
      </c>
      <c r="H88" s="49"/>
      <c r="I88" s="47"/>
      <c r="J88" s="47"/>
      <c r="K88" s="47"/>
      <c r="L88" s="47"/>
      <c r="M88" s="47"/>
      <c r="N88" s="47"/>
      <c r="O88" s="94">
        <f>T88*N88</f>
        <v>0</v>
      </c>
      <c r="P88" s="47" t="s">
        <v>701</v>
      </c>
      <c r="Q88" s="47"/>
      <c r="R88" s="95">
        <f>IF(OR(P88="c",P88="C"),+T88,"")</f>
        <v>0</v>
      </c>
      <c r="S88" s="95" t="str">
        <f>IF(OR(P88="$",N88=1),+T88,"")</f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2"/>
        <v>78</v>
      </c>
      <c r="B89" s="47">
        <v>1</v>
      </c>
      <c r="C89" s="5" t="s">
        <v>172</v>
      </c>
      <c r="D89" s="5" t="s">
        <v>173</v>
      </c>
      <c r="E89" s="6" t="s">
        <v>174</v>
      </c>
      <c r="F89" s="48">
        <v>5305180274</v>
      </c>
      <c r="G89" s="12" t="s">
        <v>509</v>
      </c>
      <c r="H89" s="49">
        <v>1</v>
      </c>
      <c r="I89" s="47">
        <v>1</v>
      </c>
      <c r="J89" s="47">
        <v>1</v>
      </c>
      <c r="K89" s="47"/>
      <c r="L89" s="47"/>
      <c r="M89" s="47"/>
      <c r="N89" s="47"/>
      <c r="O89" s="94">
        <f>T89*N89</f>
        <v>0</v>
      </c>
      <c r="P89" s="47" t="s">
        <v>701</v>
      </c>
      <c r="Q89" s="47">
        <v>7240</v>
      </c>
      <c r="R89" s="95">
        <f>IF(OR(P89="c",P89="C"),+T89,"")</f>
        <v>110</v>
      </c>
      <c r="S89" s="95" t="str">
        <f>IF(OR(P89="$",N89=1),+T89,"")</f>
        <v/>
      </c>
      <c r="T89" s="96">
        <f>H89*[1]!FMainPool1Fee+I89*[1]!FMainPool2Fee+J89*[1]!FMainPool3Fee+K89*[1]!FMainPool4Fee+B89*[1]!FMainEntryFee</f>
        <v>110</v>
      </c>
      <c r="U89" s="51"/>
    </row>
    <row r="90" spans="1:21" x14ac:dyDescent="0.25">
      <c r="A90" s="46">
        <f t="shared" si="2"/>
        <v>79</v>
      </c>
      <c r="B90" s="47">
        <v>1</v>
      </c>
      <c r="C90" s="5" t="s">
        <v>175</v>
      </c>
      <c r="D90" s="5" t="s">
        <v>72</v>
      </c>
      <c r="E90" s="6" t="s">
        <v>176</v>
      </c>
      <c r="F90" s="48">
        <v>7079536818</v>
      </c>
      <c r="G90" s="109" t="s">
        <v>730</v>
      </c>
      <c r="H90" s="49">
        <v>1</v>
      </c>
      <c r="I90" s="47"/>
      <c r="J90" s="47"/>
      <c r="K90" s="47"/>
      <c r="L90" s="47"/>
      <c r="M90" s="47"/>
      <c r="N90" s="47"/>
      <c r="O90" s="94">
        <f>T90*N90</f>
        <v>0</v>
      </c>
      <c r="P90" s="47" t="s">
        <v>701</v>
      </c>
      <c r="Q90" s="47">
        <v>170</v>
      </c>
      <c r="R90" s="95">
        <f>IF(OR(P90="c",P90="C"),+T90,"")</f>
        <v>80</v>
      </c>
      <c r="S90" s="95" t="str">
        <f>IF(OR(P90="$",N90=1),+T90,"")</f>
        <v/>
      </c>
      <c r="T90" s="96">
        <f>H90*[1]!FMainPool1Fee+I90*[1]!FMainPool2Fee+J90*[1]!FMainPool3Fee+K90*[1]!FMainPool4Fee+B90*[1]!FMainEntryFee</f>
        <v>80</v>
      </c>
      <c r="U90" s="51"/>
    </row>
    <row r="91" spans="1:21" x14ac:dyDescent="0.25">
      <c r="A91" s="46">
        <f t="shared" si="2"/>
        <v>80</v>
      </c>
      <c r="B91" s="47"/>
      <c r="C91" s="5" t="s">
        <v>177</v>
      </c>
      <c r="D91" s="5" t="s">
        <v>156</v>
      </c>
      <c r="E91" s="6" t="s">
        <v>178</v>
      </c>
      <c r="F91" s="48"/>
      <c r="G91" s="12" t="s">
        <v>510</v>
      </c>
      <c r="H91" s="49"/>
      <c r="I91" s="47"/>
      <c r="J91" s="47"/>
      <c r="K91" s="47"/>
      <c r="L91" s="47"/>
      <c r="M91" s="47"/>
      <c r="N91" s="47"/>
      <c r="O91" s="94">
        <f>T91*N91</f>
        <v>0</v>
      </c>
      <c r="P91" s="47" t="s">
        <v>701</v>
      </c>
      <c r="Q91" s="47"/>
      <c r="R91" s="95">
        <f>IF(OR(P91="c",P91="C"),+T91,"")</f>
        <v>0</v>
      </c>
      <c r="S91" s="95" t="str">
        <f>IF(OR(P91="$",N91=1),+T91,"")</f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2"/>
        <v>81</v>
      </c>
      <c r="B92" s="47"/>
      <c r="C92" s="7" t="s">
        <v>179</v>
      </c>
      <c r="D92" s="7" t="s">
        <v>180</v>
      </c>
      <c r="E92" s="8" t="s">
        <v>181</v>
      </c>
      <c r="F92" s="55"/>
      <c r="G92" s="12" t="s">
        <v>511</v>
      </c>
      <c r="H92" s="49"/>
      <c r="I92" s="47"/>
      <c r="J92" s="47"/>
      <c r="K92" s="47"/>
      <c r="L92" s="47"/>
      <c r="M92" s="47"/>
      <c r="N92" s="47"/>
      <c r="O92" s="94">
        <f>T92*N92</f>
        <v>0</v>
      </c>
      <c r="P92" s="47" t="s">
        <v>701</v>
      </c>
      <c r="Q92" s="47"/>
      <c r="R92" s="95">
        <f>IF(OR(P92="c",P92="C"),+T92,"")</f>
        <v>0</v>
      </c>
      <c r="S92" s="95" t="str">
        <f>IF(OR(P92="$",N92=1),+T92,"")</f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2"/>
        <v>82</v>
      </c>
      <c r="B93" s="47"/>
      <c r="C93" s="5" t="s">
        <v>182</v>
      </c>
      <c r="D93" s="5" t="s">
        <v>20</v>
      </c>
      <c r="E93" s="6" t="s">
        <v>183</v>
      </c>
      <c r="F93" s="48"/>
      <c r="G93" s="12" t="s">
        <v>512</v>
      </c>
      <c r="H93" s="49"/>
      <c r="I93" s="47"/>
      <c r="J93" s="47"/>
      <c r="K93" s="47"/>
      <c r="L93" s="47"/>
      <c r="M93" s="47"/>
      <c r="N93" s="47"/>
      <c r="O93" s="94">
        <f>T93*N93</f>
        <v>0</v>
      </c>
      <c r="P93" s="47" t="s">
        <v>701</v>
      </c>
      <c r="Q93" s="47"/>
      <c r="R93" s="95">
        <f>IF(OR(P93="c",P93="C"),+T93,"")</f>
        <v>0</v>
      </c>
      <c r="S93" s="95" t="str">
        <f>IF(OR(P93="$",N93=1),+T93,"")</f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2"/>
        <v>83</v>
      </c>
      <c r="B94" s="47">
        <v>1</v>
      </c>
      <c r="C94" s="5" t="s">
        <v>184</v>
      </c>
      <c r="D94" s="5" t="s">
        <v>185</v>
      </c>
      <c r="E94" s="6" t="s">
        <v>186</v>
      </c>
      <c r="F94" s="113" t="s">
        <v>513</v>
      </c>
      <c r="G94" s="12" t="s">
        <v>468</v>
      </c>
      <c r="H94" s="49">
        <v>1</v>
      </c>
      <c r="I94" s="47"/>
      <c r="J94" s="47"/>
      <c r="K94" s="47"/>
      <c r="L94" s="47"/>
      <c r="M94" s="47"/>
      <c r="N94" s="47">
        <v>1</v>
      </c>
      <c r="O94" s="94">
        <v>80</v>
      </c>
      <c r="P94" s="47" t="s">
        <v>707</v>
      </c>
      <c r="Q94" s="47"/>
      <c r="R94" s="95" t="str">
        <f>IF(OR(P94="c",P94="C"),+T94,"")</f>
        <v/>
      </c>
      <c r="S94" s="95">
        <f>IF(OR(P94="$",N94=1),+T94,"")</f>
        <v>80</v>
      </c>
      <c r="T94" s="96">
        <f>H94*[1]!FMainPool1Fee+I94*[1]!FMainPool2Fee+J94*[1]!FMainPool3Fee+K94*[1]!FMainPool4Fee+B94*[1]!FMainEntryFee</f>
        <v>80</v>
      </c>
      <c r="U94" s="51"/>
    </row>
    <row r="95" spans="1:21" x14ac:dyDescent="0.25">
      <c r="A95" s="46">
        <f t="shared" si="2"/>
        <v>84</v>
      </c>
      <c r="B95" s="47"/>
      <c r="C95" s="5" t="s">
        <v>187</v>
      </c>
      <c r="D95" s="5" t="s">
        <v>188</v>
      </c>
      <c r="E95" s="6" t="s">
        <v>189</v>
      </c>
      <c r="F95" s="48"/>
      <c r="G95" s="12" t="s">
        <v>514</v>
      </c>
      <c r="H95" s="49"/>
      <c r="I95" s="47"/>
      <c r="J95" s="47"/>
      <c r="K95" s="47"/>
      <c r="L95" s="47"/>
      <c r="M95" s="47"/>
      <c r="N95" s="47"/>
      <c r="O95" s="94">
        <f>T95*N95</f>
        <v>0</v>
      </c>
      <c r="P95" s="47" t="s">
        <v>701</v>
      </c>
      <c r="Q95" s="47"/>
      <c r="R95" s="95">
        <f>IF(OR(P95="c",P95="C"),+T95,"")</f>
        <v>0</v>
      </c>
      <c r="S95" s="95" t="str">
        <f>IF(OR(P95="$",N95=1),+T95,"")</f>
        <v/>
      </c>
      <c r="T95" s="96">
        <f>H95*[1]!FMainPool1Fee+I95*[1]!FMainPool2Fee+J95*[1]!FMainPool3Fee+K95*[1]!FMainPool4Fee+B95*[1]!FMainEntryFee</f>
        <v>0</v>
      </c>
      <c r="U95" s="51"/>
    </row>
    <row r="96" spans="1:21" ht="15.75" x14ac:dyDescent="0.25">
      <c r="A96" s="46">
        <f t="shared" si="2"/>
        <v>85</v>
      </c>
      <c r="B96" s="47"/>
      <c r="C96" s="5" t="s">
        <v>190</v>
      </c>
      <c r="D96" s="5" t="s">
        <v>191</v>
      </c>
      <c r="E96" s="6" t="s">
        <v>192</v>
      </c>
      <c r="F96" s="48"/>
      <c r="G96" s="12" t="s">
        <v>515</v>
      </c>
      <c r="H96" s="49"/>
      <c r="I96" s="47"/>
      <c r="J96" s="47"/>
      <c r="K96" s="47"/>
      <c r="L96" s="47"/>
      <c r="M96" s="47"/>
      <c r="N96" s="47"/>
      <c r="O96" s="94">
        <f>T96*N96</f>
        <v>0</v>
      </c>
      <c r="P96" s="47" t="s">
        <v>701</v>
      </c>
      <c r="Q96" s="47"/>
      <c r="R96" s="95">
        <f>IF(OR(P96="c",P96="C"),+T96,"")</f>
        <v>0</v>
      </c>
      <c r="S96" s="95" t="str">
        <f>IF(OR(P96="$",N96=1),+T96,"")</f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2"/>
        <v>86</v>
      </c>
      <c r="B97" s="47"/>
      <c r="C97" s="5" t="s">
        <v>193</v>
      </c>
      <c r="D97" s="5" t="s">
        <v>194</v>
      </c>
      <c r="E97" s="6" t="s">
        <v>195</v>
      </c>
      <c r="F97" s="113" t="s">
        <v>731</v>
      </c>
      <c r="G97" s="109" t="s">
        <v>517</v>
      </c>
      <c r="H97" s="49"/>
      <c r="I97" s="47"/>
      <c r="J97" s="47"/>
      <c r="K97" s="47"/>
      <c r="L97" s="47"/>
      <c r="M97" s="47"/>
      <c r="N97" s="47"/>
      <c r="O97" s="94">
        <f>T97*N97</f>
        <v>0</v>
      </c>
      <c r="P97" s="47" t="s">
        <v>701</v>
      </c>
      <c r="Q97" s="47"/>
      <c r="R97" s="95">
        <f>IF(OR(P97="c",P97="C"),+T97,"")</f>
        <v>0</v>
      </c>
      <c r="S97" s="95" t="str">
        <f>IF(OR(P97="$",N97=1),+T97,"")</f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2"/>
        <v>87</v>
      </c>
      <c r="B98" s="47">
        <v>1</v>
      </c>
      <c r="C98" s="7" t="s">
        <v>196</v>
      </c>
      <c r="D98" s="7" t="s">
        <v>64</v>
      </c>
      <c r="E98" s="8" t="s">
        <v>197</v>
      </c>
      <c r="F98" s="55">
        <v>4084722020</v>
      </c>
      <c r="G98" s="109" t="s">
        <v>518</v>
      </c>
      <c r="H98" s="49">
        <v>1</v>
      </c>
      <c r="I98" s="47">
        <v>1</v>
      </c>
      <c r="J98" s="47">
        <v>1</v>
      </c>
      <c r="K98" s="47">
        <v>1</v>
      </c>
      <c r="L98" s="47"/>
      <c r="M98" s="47"/>
      <c r="N98" s="47"/>
      <c r="O98" s="94">
        <f>T98*N98</f>
        <v>0</v>
      </c>
      <c r="P98" s="47" t="s">
        <v>701</v>
      </c>
      <c r="Q98" s="47">
        <v>5206</v>
      </c>
      <c r="R98" s="95">
        <f>IF(OR(P98="c",P98="C"),+T98,"")</f>
        <v>160</v>
      </c>
      <c r="S98" s="95" t="str">
        <f>IF(OR(P98="$",N98=1),+T98,"")</f>
        <v/>
      </c>
      <c r="T98" s="96">
        <f>H98*[1]!FMainPool1Fee+I98*[1]!FMainPool2Fee+J98*[1]!FMainPool3Fee+K98*[1]!FMainPool4Fee+B98*[1]!FMainEntryFee</f>
        <v>160</v>
      </c>
      <c r="U98" s="51"/>
    </row>
    <row r="99" spans="1:21" x14ac:dyDescent="0.25">
      <c r="A99" s="46">
        <f t="shared" si="2"/>
        <v>88</v>
      </c>
      <c r="B99" s="47"/>
      <c r="C99" s="5" t="s">
        <v>201</v>
      </c>
      <c r="D99" s="5" t="s">
        <v>202</v>
      </c>
      <c r="E99" s="6" t="s">
        <v>203</v>
      </c>
      <c r="F99" s="48"/>
      <c r="G99" s="12" t="s">
        <v>519</v>
      </c>
      <c r="H99" s="49"/>
      <c r="I99" s="47"/>
      <c r="J99" s="47"/>
      <c r="K99" s="47"/>
      <c r="L99" s="47"/>
      <c r="M99" s="47"/>
      <c r="N99" s="47"/>
      <c r="O99" s="94">
        <f>T99*N99</f>
        <v>0</v>
      </c>
      <c r="P99" s="47" t="s">
        <v>701</v>
      </c>
      <c r="Q99" s="47"/>
      <c r="R99" s="95">
        <f>IF(OR(P99="c",P99="C"),+T99,"")</f>
        <v>0</v>
      </c>
      <c r="S99" s="95" t="str">
        <f>IF(OR(P99="$",N99=1),+T99,"")</f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2"/>
        <v>89</v>
      </c>
      <c r="B100" s="47"/>
      <c r="C100" s="7" t="s">
        <v>204</v>
      </c>
      <c r="D100" s="7" t="s">
        <v>205</v>
      </c>
      <c r="E100" s="8" t="s">
        <v>206</v>
      </c>
      <c r="F100" s="55"/>
      <c r="G100" s="12" t="s">
        <v>520</v>
      </c>
      <c r="H100" s="49"/>
      <c r="I100" s="47"/>
      <c r="J100" s="47"/>
      <c r="K100" s="47"/>
      <c r="L100" s="47"/>
      <c r="M100" s="47"/>
      <c r="N100" s="47"/>
      <c r="O100" s="94">
        <f>T100*N100</f>
        <v>0</v>
      </c>
      <c r="P100" s="47" t="s">
        <v>701</v>
      </c>
      <c r="Q100" s="47"/>
      <c r="R100" s="95">
        <f>IF(OR(P100="c",P100="C"),+T100,"")</f>
        <v>0</v>
      </c>
      <c r="S100" s="95" t="str">
        <f>IF(OR(P100="$",N100=1),+T100,"")</f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2"/>
        <v>90</v>
      </c>
      <c r="B101" s="47"/>
      <c r="C101" s="5" t="s">
        <v>207</v>
      </c>
      <c r="D101" s="5" t="s">
        <v>208</v>
      </c>
      <c r="E101" s="6" t="s">
        <v>209</v>
      </c>
      <c r="F101" s="48">
        <v>9254579513</v>
      </c>
      <c r="G101" s="109" t="s">
        <v>521</v>
      </c>
      <c r="H101" s="49"/>
      <c r="I101" s="47"/>
      <c r="J101" s="47"/>
      <c r="K101" s="47"/>
      <c r="L101" s="47"/>
      <c r="M101" s="47"/>
      <c r="N101" s="47"/>
      <c r="O101" s="94">
        <f>T101*N101</f>
        <v>0</v>
      </c>
      <c r="P101" s="47" t="s">
        <v>701</v>
      </c>
      <c r="Q101" s="47"/>
      <c r="R101" s="95">
        <f>IF(OR(P101="c",P101="C"),+T101,"")</f>
        <v>0</v>
      </c>
      <c r="S101" s="95" t="str">
        <f>IF(OR(P101="$",N101=1),+T101,"")</f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2"/>
        <v>91</v>
      </c>
      <c r="B102" s="47"/>
      <c r="C102" s="7" t="s">
        <v>210</v>
      </c>
      <c r="D102" s="7" t="s">
        <v>211</v>
      </c>
      <c r="E102" s="8" t="s">
        <v>212</v>
      </c>
      <c r="F102" s="55"/>
      <c r="G102" s="12"/>
      <c r="H102" s="49"/>
      <c r="I102" s="47"/>
      <c r="J102" s="47"/>
      <c r="K102" s="47"/>
      <c r="L102" s="47"/>
      <c r="M102" s="47"/>
      <c r="N102" s="47"/>
      <c r="O102" s="94">
        <f>T102*N102</f>
        <v>0</v>
      </c>
      <c r="P102" s="47" t="s">
        <v>701</v>
      </c>
      <c r="Q102" s="47"/>
      <c r="R102" s="95">
        <f>IF(OR(P102="c",P102="C"),+T102,"")</f>
        <v>0</v>
      </c>
      <c r="S102" s="95" t="str">
        <f>IF(OR(P102="$",N102=1),+T102,"")</f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2"/>
        <v>92</v>
      </c>
      <c r="B103" s="47"/>
      <c r="C103" s="5" t="s">
        <v>213</v>
      </c>
      <c r="D103" s="5" t="s">
        <v>214</v>
      </c>
      <c r="E103" s="6" t="s">
        <v>215</v>
      </c>
      <c r="F103" s="48"/>
      <c r="G103" s="12" t="s">
        <v>522</v>
      </c>
      <c r="H103" s="49"/>
      <c r="I103" s="47"/>
      <c r="J103" s="47"/>
      <c r="K103" s="47"/>
      <c r="L103" s="47"/>
      <c r="M103" s="47"/>
      <c r="N103" s="47"/>
      <c r="O103" s="94">
        <f>T103*N103</f>
        <v>0</v>
      </c>
      <c r="P103" s="47" t="s">
        <v>701</v>
      </c>
      <c r="Q103" s="47"/>
      <c r="R103" s="95">
        <f>IF(OR(P103="c",P103="C"),+T103,"")</f>
        <v>0</v>
      </c>
      <c r="S103" s="95" t="str">
        <f>IF(OR(P103="$",N103=1),+T103,"")</f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2"/>
        <v>93</v>
      </c>
      <c r="B104" s="47"/>
      <c r="C104" s="15" t="s">
        <v>664</v>
      </c>
      <c r="D104" s="15" t="s">
        <v>39</v>
      </c>
      <c r="E104" s="10" t="s">
        <v>665</v>
      </c>
      <c r="F104" s="113"/>
      <c r="G104" s="12" t="s">
        <v>523</v>
      </c>
      <c r="H104" s="49"/>
      <c r="I104" s="47"/>
      <c r="J104" s="47"/>
      <c r="K104" s="47"/>
      <c r="L104" s="47"/>
      <c r="M104" s="47"/>
      <c r="N104" s="47"/>
      <c r="O104" s="94">
        <f>T104*N104</f>
        <v>0</v>
      </c>
      <c r="P104" s="47" t="s">
        <v>701</v>
      </c>
      <c r="Q104" s="47"/>
      <c r="R104" s="95">
        <f>IF(OR(P104="c",P104="C"),+T104,"")</f>
        <v>0</v>
      </c>
      <c r="S104" s="95" t="str">
        <f>IF(OR(P104="$",N104=1),+T104,"")</f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2"/>
        <v>94</v>
      </c>
      <c r="B105" s="47"/>
      <c r="C105" s="5" t="s">
        <v>216</v>
      </c>
      <c r="D105" s="5" t="s">
        <v>217</v>
      </c>
      <c r="E105" s="6" t="s">
        <v>218</v>
      </c>
      <c r="F105" s="48"/>
      <c r="G105" s="12" t="s">
        <v>523</v>
      </c>
      <c r="H105" s="49"/>
      <c r="I105" s="47"/>
      <c r="J105" s="47"/>
      <c r="K105" s="47"/>
      <c r="L105" s="47"/>
      <c r="M105" s="47"/>
      <c r="N105" s="47"/>
      <c r="O105" s="94">
        <f>T105*N105</f>
        <v>0</v>
      </c>
      <c r="P105" s="47" t="s">
        <v>701</v>
      </c>
      <c r="Q105" s="47"/>
      <c r="R105" s="95">
        <f>IF(OR(P105="c",P105="C"),+T105,"")</f>
        <v>0</v>
      </c>
      <c r="S105" s="95" t="str">
        <f>IF(OR(P105="$",N105=1),+T105,"")</f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2"/>
        <v>95</v>
      </c>
      <c r="B106" s="47"/>
      <c r="C106" s="7" t="s">
        <v>219</v>
      </c>
      <c r="D106" s="7" t="s">
        <v>220</v>
      </c>
      <c r="E106" s="8" t="s">
        <v>221</v>
      </c>
      <c r="F106" s="55"/>
      <c r="G106" s="12" t="s">
        <v>524</v>
      </c>
      <c r="H106" s="49"/>
      <c r="I106" s="47"/>
      <c r="J106" s="47"/>
      <c r="K106" s="47"/>
      <c r="L106" s="47"/>
      <c r="M106" s="47"/>
      <c r="N106" s="47"/>
      <c r="O106" s="94">
        <f>T106*N106</f>
        <v>0</v>
      </c>
      <c r="P106" s="47" t="s">
        <v>701</v>
      </c>
      <c r="Q106" s="47"/>
      <c r="R106" s="95">
        <f>IF(OR(P106="c",P106="C"),+T106,"")</f>
        <v>0</v>
      </c>
      <c r="S106" s="95" t="str">
        <f>IF(OR(P106="$",N106=1),+T106,"")</f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2"/>
        <v>96</v>
      </c>
      <c r="B107" s="47"/>
      <c r="C107" s="5" t="s">
        <v>222</v>
      </c>
      <c r="D107" s="5" t="s">
        <v>223</v>
      </c>
      <c r="E107" s="6" t="s">
        <v>224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>T107*N107</f>
        <v>0</v>
      </c>
      <c r="P107" s="47" t="s">
        <v>701</v>
      </c>
      <c r="Q107" s="47"/>
      <c r="R107" s="95">
        <f>IF(OR(P107="c",P107="C"),+T107,"")</f>
        <v>0</v>
      </c>
      <c r="S107" s="95" t="str">
        <f>IF(OR(P107="$",N107=1),+T107,"")</f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2"/>
        <v>97</v>
      </c>
      <c r="B108" s="47"/>
      <c r="C108" s="5" t="s">
        <v>225</v>
      </c>
      <c r="D108" s="5" t="s">
        <v>226</v>
      </c>
      <c r="E108" s="6" t="s">
        <v>227</v>
      </c>
      <c r="F108" s="48">
        <v>5106819675</v>
      </c>
      <c r="G108" s="109" t="s">
        <v>525</v>
      </c>
      <c r="H108" s="49"/>
      <c r="I108" s="47"/>
      <c r="J108" s="47"/>
      <c r="K108" s="47"/>
      <c r="L108" s="47"/>
      <c r="M108" s="47"/>
      <c r="N108" s="47"/>
      <c r="O108" s="94">
        <f>T108*N108</f>
        <v>0</v>
      </c>
      <c r="P108" s="47" t="s">
        <v>701</v>
      </c>
      <c r="Q108" s="47">
        <v>1059</v>
      </c>
      <c r="R108" s="95">
        <f>IF(OR(P108="c",P108="C"),+T108,"")</f>
        <v>0</v>
      </c>
      <c r="S108" s="95" t="str">
        <f>IF(OR(P108="$",N108=1),+T108,"")</f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2"/>
        <v>98</v>
      </c>
      <c r="B109" s="47">
        <v>1</v>
      </c>
      <c r="C109" s="5" t="s">
        <v>228</v>
      </c>
      <c r="D109" s="5" t="s">
        <v>229</v>
      </c>
      <c r="E109" s="6" t="s">
        <v>230</v>
      </c>
      <c r="F109" s="137"/>
      <c r="G109" s="12" t="s">
        <v>526</v>
      </c>
      <c r="H109" s="49">
        <v>1</v>
      </c>
      <c r="I109" s="47"/>
      <c r="J109" s="47"/>
      <c r="K109" s="47"/>
      <c r="L109" s="47">
        <v>1</v>
      </c>
      <c r="M109" s="47"/>
      <c r="N109" s="47"/>
      <c r="O109" s="94">
        <f>T109*N109</f>
        <v>0</v>
      </c>
      <c r="P109" s="47" t="s">
        <v>701</v>
      </c>
      <c r="Q109" s="47">
        <v>4900</v>
      </c>
      <c r="R109" s="95">
        <f>IF(OR(P109="c",P109="C"),+T109,"")</f>
        <v>80</v>
      </c>
      <c r="S109" s="95" t="str">
        <f>IF(OR(P109="$",N109=1),+T109,"")</f>
        <v/>
      </c>
      <c r="T109" s="96">
        <f>H109*[1]!FMainPool1Fee+I109*[1]!FMainPool2Fee+J109*[1]!FMainPool3Fee+K109*[1]!FMainPool4Fee+B109*[1]!FMainEntryFee</f>
        <v>80</v>
      </c>
      <c r="U109" s="51"/>
    </row>
    <row r="110" spans="1:21" x14ac:dyDescent="0.25">
      <c r="A110" s="46">
        <f t="shared" si="2"/>
        <v>99</v>
      </c>
      <c r="B110" s="47">
        <v>1</v>
      </c>
      <c r="C110" s="7" t="s">
        <v>231</v>
      </c>
      <c r="D110" s="12" t="s">
        <v>232</v>
      </c>
      <c r="E110" s="8" t="s">
        <v>233</v>
      </c>
      <c r="F110" s="59"/>
      <c r="G110" s="12" t="s">
        <v>527</v>
      </c>
      <c r="H110" s="49">
        <v>1</v>
      </c>
      <c r="I110" s="47"/>
      <c r="J110" s="47"/>
      <c r="K110" s="47"/>
      <c r="L110" s="47">
        <v>1</v>
      </c>
      <c r="M110" s="47"/>
      <c r="N110" s="47"/>
      <c r="O110" s="94">
        <f>T110*N110</f>
        <v>0</v>
      </c>
      <c r="P110" s="47" t="s">
        <v>707</v>
      </c>
      <c r="Q110" s="47"/>
      <c r="R110" s="95" t="str">
        <f>IF(OR(P110="c",P110="C"),+T110,"")</f>
        <v/>
      </c>
      <c r="S110" s="95">
        <f>IF(OR(P110="$",N110=1),+T110,"")</f>
        <v>80</v>
      </c>
      <c r="T110" s="96">
        <f>H110*[1]!FMainPool1Fee+I110*[1]!FMainPool2Fee+J110*[1]!FMainPool3Fee+K110*[1]!FMainPool4Fee+B110*[1]!FMainEntryFee</f>
        <v>80</v>
      </c>
      <c r="U110" s="51">
        <v>1</v>
      </c>
    </row>
    <row r="111" spans="1:21" x14ac:dyDescent="0.25">
      <c r="A111" s="46">
        <f t="shared" si="2"/>
        <v>100</v>
      </c>
      <c r="B111" s="47"/>
      <c r="C111" s="7" t="s">
        <v>234</v>
      </c>
      <c r="D111" s="7" t="s">
        <v>235</v>
      </c>
      <c r="E111" s="8" t="s">
        <v>236</v>
      </c>
      <c r="F111" s="55"/>
      <c r="G111" s="12" t="s">
        <v>528</v>
      </c>
      <c r="H111" s="49"/>
      <c r="I111" s="47"/>
      <c r="J111" s="47"/>
      <c r="K111" s="47"/>
      <c r="L111" s="47"/>
      <c r="M111" s="47"/>
      <c r="N111" s="47"/>
      <c r="O111" s="94">
        <f>T111*N111</f>
        <v>0</v>
      </c>
      <c r="P111" s="47" t="s">
        <v>701</v>
      </c>
      <c r="Q111" s="47"/>
      <c r="R111" s="95">
        <f>IF(OR(P111="c",P111="C"),+T111,"")</f>
        <v>0</v>
      </c>
      <c r="S111" s="95" t="str">
        <f>IF(OR(P111="$",N111=1),+T111,"")</f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2"/>
        <v>101</v>
      </c>
      <c r="B112" s="47">
        <v>1</v>
      </c>
      <c r="C112" s="15" t="s">
        <v>666</v>
      </c>
      <c r="D112" s="15" t="s">
        <v>667</v>
      </c>
      <c r="E112" s="10" t="s">
        <v>668</v>
      </c>
      <c r="F112" s="113">
        <v>8315959920</v>
      </c>
      <c r="G112" s="111" t="s">
        <v>732</v>
      </c>
      <c r="H112" s="49">
        <v>1</v>
      </c>
      <c r="I112" s="47"/>
      <c r="J112" s="47"/>
      <c r="K112" s="47"/>
      <c r="L112" s="47"/>
      <c r="M112" s="47"/>
      <c r="N112" s="47"/>
      <c r="O112" s="94">
        <f>T112*N112</f>
        <v>0</v>
      </c>
      <c r="P112" s="47" t="s">
        <v>701</v>
      </c>
      <c r="Q112" s="47">
        <v>16285</v>
      </c>
      <c r="R112" s="95">
        <f>IF(OR(P112="c",P112="C"),+T112,"")</f>
        <v>80</v>
      </c>
      <c r="S112" s="95" t="str">
        <f>IF(OR(P112="$",N112=1),+T112,"")</f>
        <v/>
      </c>
      <c r="T112" s="96">
        <f>H112*[1]!FMainPool1Fee+I112*[1]!FMainPool2Fee+J112*[1]!FMainPool3Fee+K112*[1]!FMainPool4Fee+B112*[1]!FMainEntryFee</f>
        <v>80</v>
      </c>
      <c r="U112" s="51"/>
    </row>
    <row r="113" spans="1:21" x14ac:dyDescent="0.25">
      <c r="A113" s="46">
        <f t="shared" si="2"/>
        <v>102</v>
      </c>
      <c r="B113" s="47"/>
      <c r="C113" s="7" t="s">
        <v>237</v>
      </c>
      <c r="D113" s="7" t="s">
        <v>194</v>
      </c>
      <c r="E113" s="8" t="s">
        <v>238</v>
      </c>
      <c r="F113" s="55"/>
      <c r="G113" s="12" t="s">
        <v>529</v>
      </c>
      <c r="H113" s="49"/>
      <c r="I113" s="47"/>
      <c r="J113" s="47"/>
      <c r="K113" s="47"/>
      <c r="L113" s="47"/>
      <c r="M113" s="47"/>
      <c r="N113" s="47"/>
      <c r="O113" s="94">
        <f>T113*N113</f>
        <v>0</v>
      </c>
      <c r="P113" s="47" t="s">
        <v>701</v>
      </c>
      <c r="Q113" s="47"/>
      <c r="R113" s="95">
        <f>IF(OR(P113="c",P113="C"),+T113,"")</f>
        <v>0</v>
      </c>
      <c r="S113" s="95" t="str">
        <f>IF(OR(P113="$",N113=1),+T113,"")</f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2"/>
        <v>103</v>
      </c>
      <c r="B114" s="47"/>
      <c r="C114" s="5" t="s">
        <v>239</v>
      </c>
      <c r="D114" s="5" t="s">
        <v>240</v>
      </c>
      <c r="E114" s="6" t="s">
        <v>241</v>
      </c>
      <c r="F114" s="48"/>
      <c r="G114" s="12" t="s">
        <v>530</v>
      </c>
      <c r="H114" s="49"/>
      <c r="I114" s="47"/>
      <c r="J114" s="47"/>
      <c r="K114" s="47"/>
      <c r="L114" s="47"/>
      <c r="M114" s="47"/>
      <c r="N114" s="47"/>
      <c r="O114" s="94">
        <f>T114*N114</f>
        <v>0</v>
      </c>
      <c r="P114" s="47" t="s">
        <v>701</v>
      </c>
      <c r="Q114" s="47"/>
      <c r="R114" s="95">
        <f>IF(OR(P114="c",P114="C"),+T114,"")</f>
        <v>0</v>
      </c>
      <c r="S114" s="95" t="str">
        <f>IF(OR(P114="$",N114=1),+T114,"")</f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2"/>
        <v>104</v>
      </c>
      <c r="B115" s="47"/>
      <c r="C115" s="5" t="s">
        <v>242</v>
      </c>
      <c r="D115" s="5" t="s">
        <v>130</v>
      </c>
      <c r="E115" s="6" t="s">
        <v>243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>T115*N115</f>
        <v>0</v>
      </c>
      <c r="P115" s="47" t="s">
        <v>701</v>
      </c>
      <c r="Q115" s="47"/>
      <c r="R115" s="95">
        <f>IF(OR(P115="c",P115="C"),+T115,"")</f>
        <v>0</v>
      </c>
      <c r="S115" s="95" t="str">
        <f>IF(OR(P115="$",N115=1),+T115,"")</f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2"/>
        <v>105</v>
      </c>
      <c r="B116" s="47">
        <v>1</v>
      </c>
      <c r="C116" s="15" t="s">
        <v>669</v>
      </c>
      <c r="D116" s="15" t="s">
        <v>159</v>
      </c>
      <c r="E116" s="10" t="s">
        <v>670</v>
      </c>
      <c r="F116" s="113">
        <v>5104930824</v>
      </c>
      <c r="G116" s="111" t="s">
        <v>671</v>
      </c>
      <c r="H116" s="49">
        <v>1</v>
      </c>
      <c r="I116" s="47"/>
      <c r="J116" s="47"/>
      <c r="K116" s="47"/>
      <c r="L116" s="47">
        <v>1</v>
      </c>
      <c r="M116" s="47"/>
      <c r="N116" s="47">
        <v>1</v>
      </c>
      <c r="O116" s="94">
        <f>T116*N116</f>
        <v>80</v>
      </c>
      <c r="P116" s="47" t="s">
        <v>707</v>
      </c>
      <c r="Q116" s="47"/>
      <c r="R116" s="95" t="str">
        <f>IF(OR(P116="c",P116="C"),+T116,"")</f>
        <v/>
      </c>
      <c r="S116" s="95">
        <f>IF(OR(P116="$",N116=1),+T116,"")</f>
        <v>80</v>
      </c>
      <c r="T116" s="96">
        <f>H116*[1]!FMainPool1Fee+I116*[1]!FMainPool2Fee+J116*[1]!FMainPool3Fee+K116*[1]!FMainPool4Fee+B116*[1]!FMainEntryFee</f>
        <v>80</v>
      </c>
      <c r="U116" s="51"/>
    </row>
    <row r="117" spans="1:21" x14ac:dyDescent="0.25">
      <c r="A117" s="46">
        <f t="shared" si="2"/>
        <v>106</v>
      </c>
      <c r="B117" s="47"/>
      <c r="C117" s="5" t="s">
        <v>244</v>
      </c>
      <c r="D117" s="5" t="s">
        <v>245</v>
      </c>
      <c r="E117" s="6" t="s">
        <v>246</v>
      </c>
      <c r="F117" s="48"/>
      <c r="G117" s="12" t="s">
        <v>531</v>
      </c>
      <c r="H117" s="49"/>
      <c r="I117" s="47"/>
      <c r="J117" s="47"/>
      <c r="K117" s="47"/>
      <c r="L117" s="47"/>
      <c r="M117" s="47"/>
      <c r="N117" s="47"/>
      <c r="O117" s="94">
        <f>T117*N117</f>
        <v>0</v>
      </c>
      <c r="P117" s="47" t="s">
        <v>701</v>
      </c>
      <c r="Q117" s="47"/>
      <c r="R117" s="95">
        <f>IF(OR(P117="c",P117="C"),+T117,"")</f>
        <v>0</v>
      </c>
      <c r="S117" s="95" t="str">
        <f>IF(OR(P117="$",N117=1),+T117,"")</f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2"/>
        <v>107</v>
      </c>
      <c r="B118" s="47"/>
      <c r="C118" s="7" t="s">
        <v>247</v>
      </c>
      <c r="D118" s="7" t="s">
        <v>185</v>
      </c>
      <c r="E118" s="8" t="s">
        <v>248</v>
      </c>
      <c r="F118" s="55"/>
      <c r="G118" s="12" t="s">
        <v>532</v>
      </c>
      <c r="H118" s="49"/>
      <c r="I118" s="47"/>
      <c r="J118" s="47"/>
      <c r="K118" s="47"/>
      <c r="L118" s="47"/>
      <c r="M118" s="47"/>
      <c r="N118" s="47"/>
      <c r="O118" s="94">
        <f>T118*N118</f>
        <v>0</v>
      </c>
      <c r="P118" s="47" t="s">
        <v>701</v>
      </c>
      <c r="Q118" s="47"/>
      <c r="R118" s="95">
        <f>IF(OR(P118="c",P118="C"),+T118,"")</f>
        <v>0</v>
      </c>
      <c r="S118" s="95" t="str">
        <f>IF(OR(P118="$",N118=1),+T118,"")</f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2"/>
        <v>108</v>
      </c>
      <c r="B119" s="47">
        <v>1</v>
      </c>
      <c r="C119" s="7" t="s">
        <v>249</v>
      </c>
      <c r="D119" s="7" t="s">
        <v>250</v>
      </c>
      <c r="E119" s="8" t="s">
        <v>251</v>
      </c>
      <c r="F119" s="48">
        <v>8054556079</v>
      </c>
      <c r="G119" s="12" t="s">
        <v>533</v>
      </c>
      <c r="H119" s="49">
        <v>1</v>
      </c>
      <c r="I119" s="47">
        <v>1</v>
      </c>
      <c r="J119" s="47">
        <v>1</v>
      </c>
      <c r="K119" s="47">
        <v>1</v>
      </c>
      <c r="L119" s="47">
        <v>1</v>
      </c>
      <c r="M119" s="47"/>
      <c r="N119" s="47"/>
      <c r="O119" s="94">
        <f>T119*N119</f>
        <v>0</v>
      </c>
      <c r="P119" s="47" t="s">
        <v>701</v>
      </c>
      <c r="Q119" s="47">
        <v>5878</v>
      </c>
      <c r="R119" s="95">
        <f>IF(OR(P119="c",P119="C"),+T119,"")</f>
        <v>160</v>
      </c>
      <c r="S119" s="95" t="str">
        <f>IF(OR(P119="$",N119=1),+T119,"")</f>
        <v/>
      </c>
      <c r="T119" s="96">
        <f>H119*[1]!FMainPool1Fee+I119*[1]!FMainPool2Fee+J119*[1]!FMainPool3Fee+K119*[1]!FMainPool4Fee+B119*[1]!FMainEntryFee</f>
        <v>160</v>
      </c>
      <c r="U119" s="51"/>
    </row>
    <row r="120" spans="1:21" x14ac:dyDescent="0.25">
      <c r="A120" s="46">
        <f t="shared" si="2"/>
        <v>109</v>
      </c>
      <c r="B120" s="47"/>
      <c r="C120" s="5" t="s">
        <v>252</v>
      </c>
      <c r="D120" s="5" t="s">
        <v>42</v>
      </c>
      <c r="E120" s="6" t="s">
        <v>253</v>
      </c>
      <c r="F120" s="48"/>
      <c r="G120" s="12" t="s">
        <v>534</v>
      </c>
      <c r="H120" s="49"/>
      <c r="I120" s="47"/>
      <c r="J120" s="47"/>
      <c r="K120" s="47"/>
      <c r="L120" s="47"/>
      <c r="M120" s="47"/>
      <c r="N120" s="47"/>
      <c r="O120" s="94">
        <f>T120*N120</f>
        <v>0</v>
      </c>
      <c r="P120" s="47" t="s">
        <v>701</v>
      </c>
      <c r="Q120" s="47"/>
      <c r="R120" s="95">
        <f>IF(OR(P120="c",P120="C"),+T120,"")</f>
        <v>0</v>
      </c>
      <c r="S120" s="95" t="str">
        <f>IF(OR(P120="$",N120=1),+T120,"")</f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2"/>
        <v>110</v>
      </c>
      <c r="B121" s="47"/>
      <c r="C121" s="5" t="s">
        <v>254</v>
      </c>
      <c r="D121" s="5" t="s">
        <v>255</v>
      </c>
      <c r="E121" s="6" t="s">
        <v>256</v>
      </c>
      <c r="F121" s="114" t="s">
        <v>535</v>
      </c>
      <c r="G121" s="109" t="s">
        <v>536</v>
      </c>
      <c r="H121" s="49"/>
      <c r="I121" s="47"/>
      <c r="J121" s="47"/>
      <c r="K121" s="47"/>
      <c r="L121" s="47"/>
      <c r="M121" s="47"/>
      <c r="N121" s="47"/>
      <c r="O121" s="94">
        <f>T121*N121</f>
        <v>0</v>
      </c>
      <c r="P121" s="47" t="s">
        <v>701</v>
      </c>
      <c r="Q121" s="47"/>
      <c r="R121" s="95">
        <f>IF(OR(P121="c",P121="C"),+T121,"")</f>
        <v>0</v>
      </c>
      <c r="S121" s="95" t="str">
        <f>IF(OR(P121="$",N121=1),+T121,"")</f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2"/>
        <v>111</v>
      </c>
      <c r="B122" s="47"/>
      <c r="C122" s="5" t="s">
        <v>257</v>
      </c>
      <c r="D122" s="135" t="s">
        <v>255</v>
      </c>
      <c r="E122" s="6" t="s">
        <v>258</v>
      </c>
      <c r="F122" s="113" t="s">
        <v>535</v>
      </c>
      <c r="G122" s="109" t="s">
        <v>537</v>
      </c>
      <c r="H122" s="49"/>
      <c r="I122" s="47"/>
      <c r="J122" s="47"/>
      <c r="K122" s="47"/>
      <c r="L122" s="47"/>
      <c r="M122" s="47"/>
      <c r="N122" s="47"/>
      <c r="O122" s="94">
        <f>T122*N122</f>
        <v>0</v>
      </c>
      <c r="P122" s="47" t="s">
        <v>701</v>
      </c>
      <c r="Q122" s="47"/>
      <c r="R122" s="95">
        <f>IF(OR(P122="c",P122="C"),+T122,"")</f>
        <v>0</v>
      </c>
      <c r="S122" s="95" t="str">
        <f>IF(OR(P122="$",N122=1),+T122,"")</f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2"/>
        <v>112</v>
      </c>
      <c r="B123" s="47">
        <v>1</v>
      </c>
      <c r="C123" s="5" t="s">
        <v>733</v>
      </c>
      <c r="D123" s="135" t="s">
        <v>45</v>
      </c>
      <c r="E123" s="6" t="s">
        <v>734</v>
      </c>
      <c r="F123" s="113">
        <v>7072279891</v>
      </c>
      <c r="G123" s="109" t="s">
        <v>735</v>
      </c>
      <c r="H123" s="49">
        <v>1</v>
      </c>
      <c r="I123" s="47">
        <v>1</v>
      </c>
      <c r="J123" s="47">
        <v>1</v>
      </c>
      <c r="K123" s="47">
        <v>1</v>
      </c>
      <c r="L123" s="47"/>
      <c r="M123" s="47"/>
      <c r="N123" s="47"/>
      <c r="O123" s="94">
        <f>T123*N123</f>
        <v>0</v>
      </c>
      <c r="P123" s="47" t="s">
        <v>707</v>
      </c>
      <c r="Q123" s="47"/>
      <c r="R123" s="95" t="str">
        <f>IF(OR(P123="c",P123="C"),+T123,"")</f>
        <v/>
      </c>
      <c r="S123" s="95">
        <f>IF(OR(P123="$",N123=1),+T123,"")</f>
        <v>160</v>
      </c>
      <c r="T123" s="96">
        <f>H123*[1]!FMainPool1Fee+I123*[1]!FMainPool2Fee+J123*[1]!FMainPool3Fee+K123*[1]!FMainPool4Fee+B123*[1]!FMainEntryFee</f>
        <v>160</v>
      </c>
      <c r="U123" s="51"/>
    </row>
    <row r="124" spans="1:21" x14ac:dyDescent="0.25">
      <c r="A124" s="46">
        <f t="shared" si="2"/>
        <v>113</v>
      </c>
      <c r="B124" s="47"/>
      <c r="C124" s="5" t="s">
        <v>261</v>
      </c>
      <c r="D124" s="5" t="s">
        <v>262</v>
      </c>
      <c r="E124" s="6" t="s">
        <v>263</v>
      </c>
      <c r="F124" s="113" t="s">
        <v>539</v>
      </c>
      <c r="G124" s="15" t="s">
        <v>540</v>
      </c>
      <c r="H124" s="49"/>
      <c r="I124" s="47"/>
      <c r="J124" s="47"/>
      <c r="K124" s="47"/>
      <c r="L124" s="47"/>
      <c r="M124" s="47"/>
      <c r="N124" s="47"/>
      <c r="O124" s="94">
        <f>T124*N124</f>
        <v>0</v>
      </c>
      <c r="P124" s="47" t="s">
        <v>701</v>
      </c>
      <c r="Q124" s="47"/>
      <c r="R124" s="95">
        <f>IF(OR(P124="c",P124="C"),+T124,"")</f>
        <v>0</v>
      </c>
      <c r="S124" s="95" t="str">
        <f>IF(OR(P124="$",N124=1),+T124,"")</f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2"/>
        <v>114</v>
      </c>
      <c r="B125" s="47"/>
      <c r="C125" s="5" t="s">
        <v>264</v>
      </c>
      <c r="D125" s="5" t="s">
        <v>45</v>
      </c>
      <c r="E125" s="6" t="s">
        <v>265</v>
      </c>
      <c r="F125" s="48" t="s">
        <v>541</v>
      </c>
      <c r="G125" s="15" t="s">
        <v>542</v>
      </c>
      <c r="H125" s="49"/>
      <c r="I125" s="47"/>
      <c r="J125" s="47"/>
      <c r="K125" s="47"/>
      <c r="L125" s="47"/>
      <c r="M125" s="47"/>
      <c r="N125" s="47"/>
      <c r="O125" s="94">
        <f>T125*N125</f>
        <v>0</v>
      </c>
      <c r="P125" s="47" t="s">
        <v>701</v>
      </c>
      <c r="Q125" s="47"/>
      <c r="R125" s="95">
        <f>IF(OR(P125="c",P125="C"),+T125,"")</f>
        <v>0</v>
      </c>
      <c r="S125" s="95" t="str">
        <f>IF(OR(P125="$",N125=1),+T125,"")</f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2"/>
        <v>115</v>
      </c>
      <c r="B126" s="47"/>
      <c r="C126" s="5" t="s">
        <v>269</v>
      </c>
      <c r="D126" s="5" t="s">
        <v>270</v>
      </c>
      <c r="E126" s="6" t="s">
        <v>271</v>
      </c>
      <c r="F126" s="48"/>
      <c r="G126" s="12" t="s">
        <v>543</v>
      </c>
      <c r="H126" s="49"/>
      <c r="I126" s="47"/>
      <c r="J126" s="47"/>
      <c r="K126" s="47"/>
      <c r="L126" s="47"/>
      <c r="M126" s="47"/>
      <c r="N126" s="47"/>
      <c r="O126" s="94">
        <f>T126*N126</f>
        <v>0</v>
      </c>
      <c r="P126" s="47" t="s">
        <v>701</v>
      </c>
      <c r="Q126" s="47"/>
      <c r="R126" s="95">
        <f>IF(OR(P126="c",P126="C"),+T126,"")</f>
        <v>0</v>
      </c>
      <c r="S126" s="95" t="str">
        <f>IF(OR(P126="$",N126=1),+T126,"")</f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2"/>
        <v>116</v>
      </c>
      <c r="B127" s="47">
        <v>1</v>
      </c>
      <c r="C127" s="15" t="s">
        <v>672</v>
      </c>
      <c r="D127" s="15" t="s">
        <v>350</v>
      </c>
      <c r="E127" s="10" t="s">
        <v>673</v>
      </c>
      <c r="F127" s="113">
        <v>7078892101</v>
      </c>
      <c r="G127" s="15"/>
      <c r="H127" s="49">
        <v>1</v>
      </c>
      <c r="I127" s="47">
        <v>1</v>
      </c>
      <c r="J127" s="47">
        <v>1</v>
      </c>
      <c r="K127" s="47"/>
      <c r="L127" s="47"/>
      <c r="M127" s="47"/>
      <c r="N127" s="47">
        <v>1</v>
      </c>
      <c r="O127" s="94">
        <v>110</v>
      </c>
      <c r="P127" s="47" t="s">
        <v>707</v>
      </c>
      <c r="Q127" s="47"/>
      <c r="R127" s="95" t="str">
        <f>IF(OR(P127="c",P127="C"),+T127,"")</f>
        <v/>
      </c>
      <c r="S127" s="95">
        <f>IF(OR(P127="$",N127=1),+T127,"")</f>
        <v>110</v>
      </c>
      <c r="T127" s="96">
        <f>H127*[1]!FMainPool1Fee+I127*[1]!FMainPool2Fee+J127*[1]!FMainPool3Fee+K127*[1]!FMainPool4Fee+B127*[1]!FMainEntryFee</f>
        <v>110</v>
      </c>
      <c r="U127" s="51">
        <v>1</v>
      </c>
    </row>
    <row r="128" spans="1:21" x14ac:dyDescent="0.25">
      <c r="A128" s="46">
        <f t="shared" si="2"/>
        <v>117</v>
      </c>
      <c r="B128" s="47">
        <v>1</v>
      </c>
      <c r="C128" s="7" t="s">
        <v>272</v>
      </c>
      <c r="D128" s="7" t="s">
        <v>45</v>
      </c>
      <c r="E128" s="8" t="s">
        <v>273</v>
      </c>
      <c r="F128" s="55">
        <v>7072242345</v>
      </c>
      <c r="G128" s="12" t="s">
        <v>544</v>
      </c>
      <c r="H128" s="49">
        <v>1</v>
      </c>
      <c r="I128" s="47">
        <v>1</v>
      </c>
      <c r="J128" s="47">
        <v>1</v>
      </c>
      <c r="K128" s="47">
        <v>1</v>
      </c>
      <c r="L128" s="47"/>
      <c r="M128" s="47"/>
      <c r="N128" s="47"/>
      <c r="O128" s="94">
        <f>T128*N128</f>
        <v>0</v>
      </c>
      <c r="P128" s="47" t="s">
        <v>701</v>
      </c>
      <c r="Q128" s="47">
        <v>2491</v>
      </c>
      <c r="R128" s="95">
        <f>IF(OR(P128="c",P128="C"),+T128,"")</f>
        <v>160</v>
      </c>
      <c r="S128" s="95" t="str">
        <f>IF(OR(P128="$",N128=1),+T128,"")</f>
        <v/>
      </c>
      <c r="T128" s="96">
        <f>H128*[1]!FMainPool1Fee+I128*[1]!FMainPool2Fee+J128*[1]!FMainPool3Fee+K128*[1]!FMainPool4Fee+B128*[1]!FMainEntryFee</f>
        <v>160</v>
      </c>
      <c r="U128" s="51"/>
    </row>
    <row r="129" spans="1:21" x14ac:dyDescent="0.25">
      <c r="A129" s="46">
        <f t="shared" si="2"/>
        <v>118</v>
      </c>
      <c r="B129" s="47"/>
      <c r="C129" s="5" t="s">
        <v>274</v>
      </c>
      <c r="D129" s="5" t="s">
        <v>275</v>
      </c>
      <c r="E129" s="6" t="s">
        <v>276</v>
      </c>
      <c r="F129" s="48"/>
      <c r="G129" s="12" t="s">
        <v>545</v>
      </c>
      <c r="H129" s="49"/>
      <c r="I129" s="47"/>
      <c r="J129" s="47"/>
      <c r="K129" s="47"/>
      <c r="L129" s="47"/>
      <c r="M129" s="47"/>
      <c r="N129" s="47"/>
      <c r="O129" s="94">
        <f>T129*N129</f>
        <v>0</v>
      </c>
      <c r="P129" s="47" t="s">
        <v>701</v>
      </c>
      <c r="Q129" s="47"/>
      <c r="R129" s="95">
        <f>IF(OR(P129="c",P129="C"),+T129,"")</f>
        <v>0</v>
      </c>
      <c r="S129" s="95" t="str">
        <f>IF(OR(P129="$",N129=1),+T129,"")</f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2"/>
        <v>119</v>
      </c>
      <c r="B130" s="47"/>
      <c r="C130" s="7" t="s">
        <v>277</v>
      </c>
      <c r="D130" s="7" t="s">
        <v>194</v>
      </c>
      <c r="E130" s="8" t="s">
        <v>278</v>
      </c>
      <c r="F130" s="55"/>
      <c r="G130" s="12" t="s">
        <v>546</v>
      </c>
      <c r="H130" s="49"/>
      <c r="I130" s="47"/>
      <c r="J130" s="47"/>
      <c r="K130" s="47"/>
      <c r="L130" s="47"/>
      <c r="M130" s="47"/>
      <c r="N130" s="47"/>
      <c r="O130" s="94">
        <f>T130*N130</f>
        <v>0</v>
      </c>
      <c r="P130" s="47" t="s">
        <v>701</v>
      </c>
      <c r="Q130" s="47"/>
      <c r="R130" s="95">
        <f>IF(OR(P130="c",P130="C"),+T130,"")</f>
        <v>0</v>
      </c>
      <c r="S130" s="95" t="str">
        <f>IF(OR(P130="$",N130=1),+T130,"")</f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2"/>
        <v>120</v>
      </c>
      <c r="B131" s="47">
        <v>1</v>
      </c>
      <c r="C131" s="7" t="s">
        <v>736</v>
      </c>
      <c r="D131" s="7"/>
      <c r="E131" s="8" t="s">
        <v>737</v>
      </c>
      <c r="F131" s="55"/>
      <c r="G131" s="109" t="s">
        <v>738</v>
      </c>
      <c r="H131" s="49"/>
      <c r="I131" s="47"/>
      <c r="J131" s="47">
        <v>1</v>
      </c>
      <c r="K131" s="47"/>
      <c r="L131" s="47"/>
      <c r="M131" s="47"/>
      <c r="N131" s="47">
        <v>1</v>
      </c>
      <c r="O131" s="94">
        <v>90</v>
      </c>
      <c r="P131" s="47" t="s">
        <v>707</v>
      </c>
      <c r="Q131" s="47"/>
      <c r="R131" s="95" t="str">
        <f>IF(OR(P131="c",P131="C"),+T131,"")</f>
        <v/>
      </c>
      <c r="S131" s="95">
        <f>IF(OR(P131="$",N131=1),+T131,"")</f>
        <v>90</v>
      </c>
      <c r="T131" s="96">
        <f>H131*[1]!FMainPool1Fee+I131*[1]!FMainPool2Fee+J131*[1]!FMainPool3Fee+K131*[1]!FMainPool4Fee+B131*[1]!FMainEntryFee</f>
        <v>90</v>
      </c>
      <c r="U131" s="51"/>
    </row>
    <row r="132" spans="1:21" x14ac:dyDescent="0.25">
      <c r="A132" s="46">
        <f t="shared" si="2"/>
        <v>121</v>
      </c>
      <c r="B132" s="47"/>
      <c r="C132" s="15" t="s">
        <v>674</v>
      </c>
      <c r="D132" s="15" t="s">
        <v>159</v>
      </c>
      <c r="E132" s="10" t="s">
        <v>675</v>
      </c>
      <c r="F132" s="113"/>
      <c r="G132" s="111" t="s">
        <v>676</v>
      </c>
      <c r="H132" s="49"/>
      <c r="I132" s="47"/>
      <c r="J132" s="47"/>
      <c r="K132" s="47"/>
      <c r="L132" s="47"/>
      <c r="M132" s="47"/>
      <c r="N132" s="47"/>
      <c r="O132" s="94">
        <f>T132*N132</f>
        <v>0</v>
      </c>
      <c r="P132" s="47" t="s">
        <v>701</v>
      </c>
      <c r="Q132" s="47"/>
      <c r="R132" s="95">
        <f>IF(OR(P132="c",P132="C"),+T132,"")</f>
        <v>0</v>
      </c>
      <c r="S132" s="95" t="str">
        <f>IF(OR(P132="$",N132=1),+T132,"")</f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2"/>
        <v>122</v>
      </c>
      <c r="B133" s="47">
        <v>1</v>
      </c>
      <c r="C133" s="15" t="s">
        <v>739</v>
      </c>
      <c r="D133" s="15" t="s">
        <v>232</v>
      </c>
      <c r="E133" s="10" t="s">
        <v>740</v>
      </c>
      <c r="F133" s="113">
        <v>9254081849</v>
      </c>
      <c r="G133" s="111" t="s">
        <v>741</v>
      </c>
      <c r="H133" s="49">
        <v>1</v>
      </c>
      <c r="I133" s="47"/>
      <c r="J133" s="47"/>
      <c r="K133" s="47"/>
      <c r="L133" s="47"/>
      <c r="M133" s="47"/>
      <c r="N133" s="47"/>
      <c r="O133" s="94">
        <f>T133*N133</f>
        <v>0</v>
      </c>
      <c r="P133" s="47" t="s">
        <v>701</v>
      </c>
      <c r="Q133" s="47">
        <v>776</v>
      </c>
      <c r="R133" s="95">
        <f>IF(OR(P133="c",P133="C"),+T133,"")</f>
        <v>80</v>
      </c>
      <c r="S133" s="95" t="str">
        <f>IF(OR(P133="$",N133=1),+T133,"")</f>
        <v/>
      </c>
      <c r="T133" s="96">
        <f>H133*[1]!FMainPool1Fee+I133*[1]!FMainPool2Fee+J133*[1]!FMainPool3Fee+K133*[1]!FMainPool4Fee+B133*[1]!FMainEntryFee</f>
        <v>80</v>
      </c>
      <c r="U133" s="51"/>
    </row>
    <row r="134" spans="1:21" x14ac:dyDescent="0.25">
      <c r="A134" s="46">
        <f t="shared" si="2"/>
        <v>123</v>
      </c>
      <c r="B134" s="47"/>
      <c r="C134" s="5" t="s">
        <v>279</v>
      </c>
      <c r="D134" s="5" t="s">
        <v>8</v>
      </c>
      <c r="E134" s="6" t="s">
        <v>280</v>
      </c>
      <c r="F134" s="48"/>
      <c r="G134" s="12" t="s">
        <v>547</v>
      </c>
      <c r="H134" s="49"/>
      <c r="I134" s="47"/>
      <c r="J134" s="47"/>
      <c r="K134" s="47"/>
      <c r="L134" s="47"/>
      <c r="M134" s="47"/>
      <c r="N134" s="47"/>
      <c r="O134" s="94">
        <f>T134*N134</f>
        <v>0</v>
      </c>
      <c r="P134" s="47" t="s">
        <v>701</v>
      </c>
      <c r="Q134" s="47"/>
      <c r="R134" s="95">
        <f>IF(OR(P134="c",P134="C"),+T134,"")</f>
        <v>0</v>
      </c>
      <c r="S134" s="95" t="str">
        <f>IF(OR(P134="$",N134=1),+T134,"")</f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2"/>
        <v>124</v>
      </c>
      <c r="B135" s="47"/>
      <c r="C135" s="5" t="s">
        <v>281</v>
      </c>
      <c r="D135" s="5" t="s">
        <v>282</v>
      </c>
      <c r="E135" s="6"/>
      <c r="F135" s="137"/>
      <c r="G135" s="12" t="s">
        <v>548</v>
      </c>
      <c r="H135" s="49"/>
      <c r="I135" s="47"/>
      <c r="J135" s="47"/>
      <c r="K135" s="47"/>
      <c r="L135" s="47"/>
      <c r="M135" s="47"/>
      <c r="N135" s="47"/>
      <c r="O135" s="94">
        <f>T135*N135</f>
        <v>0</v>
      </c>
      <c r="P135" s="47" t="s">
        <v>701</v>
      </c>
      <c r="Q135" s="47"/>
      <c r="R135" s="95">
        <f>IF(OR(P135="c",P135="C"),+T135,"")</f>
        <v>0</v>
      </c>
      <c r="S135" s="95" t="str">
        <f>IF(OR(P135="$",N135=1),+T135,"")</f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2"/>
        <v>125</v>
      </c>
      <c r="B136" s="47">
        <v>1</v>
      </c>
      <c r="C136" s="7" t="s">
        <v>283</v>
      </c>
      <c r="D136" s="7" t="s">
        <v>81</v>
      </c>
      <c r="E136" s="8" t="s">
        <v>284</v>
      </c>
      <c r="F136" s="55">
        <v>8315952169</v>
      </c>
      <c r="G136" s="12" t="s">
        <v>468</v>
      </c>
      <c r="H136" s="49">
        <v>1</v>
      </c>
      <c r="I136" s="47">
        <v>1</v>
      </c>
      <c r="J136" s="47">
        <v>1</v>
      </c>
      <c r="K136" s="47"/>
      <c r="L136" s="47"/>
      <c r="M136" s="47">
        <v>1</v>
      </c>
      <c r="N136" s="47"/>
      <c r="O136" s="94">
        <f>T136*N136</f>
        <v>0</v>
      </c>
      <c r="P136" s="47" t="s">
        <v>701</v>
      </c>
      <c r="Q136" s="47">
        <v>16285</v>
      </c>
      <c r="R136" s="95">
        <f>IF(OR(P136="c",P136="C"),+T136,"")</f>
        <v>110</v>
      </c>
      <c r="S136" s="95" t="str">
        <f>IF(OR(P136="$",N136=1),+T136,"")</f>
        <v/>
      </c>
      <c r="T136" s="96">
        <f>H136*[1]!FMainPool1Fee+I136*[1]!FMainPool2Fee+J136*[1]!FMainPool3Fee+K136*[1]!FMainPool4Fee+B136*[1]!FMainEntryFee</f>
        <v>110</v>
      </c>
      <c r="U136" s="51"/>
    </row>
    <row r="137" spans="1:21" x14ac:dyDescent="0.25">
      <c r="A137" s="46">
        <f t="shared" si="2"/>
        <v>126</v>
      </c>
      <c r="B137" s="47"/>
      <c r="C137" s="5" t="s">
        <v>285</v>
      </c>
      <c r="D137" s="5" t="s">
        <v>191</v>
      </c>
      <c r="E137" s="6" t="s">
        <v>286</v>
      </c>
      <c r="F137" s="48"/>
      <c r="G137" s="12" t="s">
        <v>550</v>
      </c>
      <c r="H137" s="49"/>
      <c r="I137" s="47"/>
      <c r="J137" s="47"/>
      <c r="K137" s="47"/>
      <c r="L137" s="47"/>
      <c r="M137" s="47"/>
      <c r="N137" s="47"/>
      <c r="O137" s="94">
        <f>T137*N137</f>
        <v>0</v>
      </c>
      <c r="P137" s="47" t="s">
        <v>701</v>
      </c>
      <c r="Q137" s="47"/>
      <c r="R137" s="95">
        <f>IF(OR(P137="c",P137="C"),+T137,"")</f>
        <v>0</v>
      </c>
      <c r="S137" s="95" t="str">
        <f>IF(OR(P137="$",N137=1),+T137,"")</f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2"/>
        <v>127</v>
      </c>
      <c r="B138" s="47"/>
      <c r="C138" s="5" t="s">
        <v>287</v>
      </c>
      <c r="D138" s="5" t="s">
        <v>156</v>
      </c>
      <c r="E138" s="6" t="s">
        <v>288</v>
      </c>
      <c r="F138" s="48"/>
      <c r="G138" s="12" t="s">
        <v>551</v>
      </c>
      <c r="H138" s="49"/>
      <c r="I138" s="47"/>
      <c r="J138" s="47"/>
      <c r="K138" s="47"/>
      <c r="L138" s="47"/>
      <c r="M138" s="47"/>
      <c r="N138" s="47"/>
      <c r="O138" s="94">
        <f>T138*N138</f>
        <v>0</v>
      </c>
      <c r="P138" s="47" t="s">
        <v>701</v>
      </c>
      <c r="Q138" s="47"/>
      <c r="R138" s="95">
        <f>IF(OR(P138="c",P138="C"),+T138,"")</f>
        <v>0</v>
      </c>
      <c r="S138" s="95" t="str">
        <f>IF(OR(P138="$",N138=1),+T138,"")</f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2"/>
        <v>128</v>
      </c>
      <c r="B139" s="47"/>
      <c r="C139" s="15" t="s">
        <v>677</v>
      </c>
      <c r="D139" s="15" t="s">
        <v>678</v>
      </c>
      <c r="E139" s="10" t="s">
        <v>662</v>
      </c>
      <c r="F139" s="113"/>
      <c r="G139" s="109" t="s">
        <v>679</v>
      </c>
      <c r="H139" s="49"/>
      <c r="I139" s="47"/>
      <c r="J139" s="47"/>
      <c r="K139" s="47"/>
      <c r="L139" s="47"/>
      <c r="M139" s="47"/>
      <c r="N139" s="47"/>
      <c r="O139" s="94">
        <f>T139*N139</f>
        <v>0</v>
      </c>
      <c r="P139" s="47" t="s">
        <v>701</v>
      </c>
      <c r="Q139" s="47"/>
      <c r="R139" s="95">
        <f>IF(OR(P139="c",P139="C"),+T139,"")</f>
        <v>0</v>
      </c>
      <c r="S139" s="95" t="str">
        <f>IF(OR(P139="$",N139=1),+T139,"")</f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3">ROW() - ROW(FRegEntriesEnteredHdr)</f>
        <v>129</v>
      </c>
      <c r="B140" s="47"/>
      <c r="C140" s="5" t="s">
        <v>291</v>
      </c>
      <c r="D140" s="5" t="s">
        <v>255</v>
      </c>
      <c r="E140" s="6"/>
      <c r="F140" s="48"/>
      <c r="G140" s="12" t="s">
        <v>554</v>
      </c>
      <c r="H140" s="49"/>
      <c r="I140" s="47"/>
      <c r="J140" s="47"/>
      <c r="K140" s="47"/>
      <c r="L140" s="47"/>
      <c r="M140" s="47"/>
      <c r="N140" s="47"/>
      <c r="O140" s="94">
        <f>T140*N140</f>
        <v>0</v>
      </c>
      <c r="P140" s="47" t="s">
        <v>701</v>
      </c>
      <c r="Q140" s="47"/>
      <c r="R140" s="95">
        <f>IF(OR(P140="c",P140="C"),+T140,"")</f>
        <v>0</v>
      </c>
      <c r="S140" s="95" t="str">
        <f>IF(OR(P140="$",N140=1),+T140,"")</f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3"/>
        <v>130</v>
      </c>
      <c r="B141" s="47">
        <v>1</v>
      </c>
      <c r="C141" s="7" t="s">
        <v>292</v>
      </c>
      <c r="D141" s="7" t="s">
        <v>293</v>
      </c>
      <c r="E141" s="8" t="s">
        <v>294</v>
      </c>
      <c r="F141" s="55">
        <v>9253780132</v>
      </c>
      <c r="G141" s="12" t="s">
        <v>555</v>
      </c>
      <c r="H141" s="49">
        <v>1</v>
      </c>
      <c r="I141" s="47">
        <v>1</v>
      </c>
      <c r="J141" s="47">
        <v>1</v>
      </c>
      <c r="K141" s="47"/>
      <c r="L141" s="47"/>
      <c r="M141" s="47"/>
      <c r="N141" s="47"/>
      <c r="O141" s="94">
        <f>T141*N141</f>
        <v>0</v>
      </c>
      <c r="P141" s="47" t="s">
        <v>701</v>
      </c>
      <c r="Q141" s="47">
        <v>5196</v>
      </c>
      <c r="R141" s="95">
        <f>IF(OR(P141="c",P141="C"),+T141,"")</f>
        <v>110</v>
      </c>
      <c r="S141" s="95" t="str">
        <f>IF(OR(P141="$",N141=1),+T141,"")</f>
        <v/>
      </c>
      <c r="T141" s="96">
        <f>H141*[1]!FMainPool1Fee+I141*[1]!FMainPool2Fee+J141*[1]!FMainPool3Fee+K141*[1]!FMainPool4Fee+B141*[1]!FMainEntryFee</f>
        <v>110</v>
      </c>
      <c r="U141" s="51">
        <v>1</v>
      </c>
    </row>
    <row r="142" spans="1:21" x14ac:dyDescent="0.25">
      <c r="A142" s="46">
        <f t="shared" si="3"/>
        <v>131</v>
      </c>
      <c r="B142" s="47"/>
      <c r="C142" s="5" t="s">
        <v>295</v>
      </c>
      <c r="D142" s="5" t="s">
        <v>127</v>
      </c>
      <c r="E142" s="6" t="s">
        <v>296</v>
      </c>
      <c r="F142" s="48">
        <v>8057047967</v>
      </c>
      <c r="G142" s="12"/>
      <c r="H142" s="49"/>
      <c r="I142" s="47"/>
      <c r="J142" s="47"/>
      <c r="K142" s="47"/>
      <c r="L142" s="47"/>
      <c r="M142" s="47"/>
      <c r="N142" s="47"/>
      <c r="O142" s="94">
        <f>T142*N142</f>
        <v>0</v>
      </c>
      <c r="P142" s="47" t="s">
        <v>701</v>
      </c>
      <c r="Q142" s="47"/>
      <c r="R142" s="95">
        <f>IF(OR(P142="c",P142="C"),+T142,"")</f>
        <v>0</v>
      </c>
      <c r="S142" s="95" t="str">
        <f>IF(OR(P142="$",N142=1),+T142,"")</f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3"/>
        <v>132</v>
      </c>
      <c r="B143" s="47"/>
      <c r="C143" s="7" t="s">
        <v>297</v>
      </c>
      <c r="D143" s="7" t="s">
        <v>61</v>
      </c>
      <c r="E143" s="8" t="s">
        <v>298</v>
      </c>
      <c r="F143" s="55"/>
      <c r="G143" s="12" t="s">
        <v>556</v>
      </c>
      <c r="H143" s="49"/>
      <c r="I143" s="47"/>
      <c r="J143" s="47"/>
      <c r="K143" s="47"/>
      <c r="L143" s="47"/>
      <c r="M143" s="47"/>
      <c r="N143" s="47"/>
      <c r="O143" s="94">
        <f>T143*N143</f>
        <v>0</v>
      </c>
      <c r="P143" s="47" t="s">
        <v>701</v>
      </c>
      <c r="Q143" s="47"/>
      <c r="R143" s="95">
        <f>IF(OR(P143="c",P143="C"),+T143,"")</f>
        <v>0</v>
      </c>
      <c r="S143" s="95" t="str">
        <f>IF(OR(P143="$",N143=1),+T143,"")</f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3"/>
        <v>133</v>
      </c>
      <c r="B144" s="47"/>
      <c r="C144" s="5" t="s">
        <v>299</v>
      </c>
      <c r="D144" s="5" t="s">
        <v>300</v>
      </c>
      <c r="E144" s="6" t="s">
        <v>301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>T144*N144</f>
        <v>0</v>
      </c>
      <c r="P144" s="47" t="s">
        <v>701</v>
      </c>
      <c r="Q144" s="47"/>
      <c r="R144" s="95">
        <f>IF(OR(P144="c",P144="C"),+T144,"")</f>
        <v>0</v>
      </c>
      <c r="S144" s="95" t="str">
        <f>IF(OR(P144="$",N144=1),+T144,"")</f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3"/>
        <v>134</v>
      </c>
      <c r="B145" s="47"/>
      <c r="C145" s="7" t="s">
        <v>302</v>
      </c>
      <c r="D145" s="7" t="s">
        <v>72</v>
      </c>
      <c r="E145" s="8" t="s">
        <v>303</v>
      </c>
      <c r="F145" s="55"/>
      <c r="G145" s="12" t="s">
        <v>557</v>
      </c>
      <c r="H145" s="49"/>
      <c r="I145" s="47"/>
      <c r="J145" s="47"/>
      <c r="K145" s="47"/>
      <c r="L145" s="47"/>
      <c r="M145" s="47"/>
      <c r="N145" s="47"/>
      <c r="O145" s="94">
        <f>T145*N145</f>
        <v>0</v>
      </c>
      <c r="P145" s="47" t="s">
        <v>701</v>
      </c>
      <c r="Q145" s="47"/>
      <c r="R145" s="95">
        <f>IF(OR(P145="c",P145="C"),+T145,"")</f>
        <v>0</v>
      </c>
      <c r="S145" s="95" t="str">
        <f>IF(OR(P145="$",N145=1),+T145,"")</f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3"/>
        <v>135</v>
      </c>
      <c r="B146" s="47"/>
      <c r="C146" s="5" t="s">
        <v>304</v>
      </c>
      <c r="D146" s="5" t="s">
        <v>305</v>
      </c>
      <c r="E146" s="6" t="s">
        <v>306</v>
      </c>
      <c r="F146" s="48"/>
      <c r="G146" s="12" t="s">
        <v>558</v>
      </c>
      <c r="H146" s="49"/>
      <c r="I146" s="47"/>
      <c r="J146" s="47"/>
      <c r="K146" s="47"/>
      <c r="L146" s="47"/>
      <c r="M146" s="47"/>
      <c r="N146" s="47"/>
      <c r="O146" s="94">
        <f>T146*N146</f>
        <v>0</v>
      </c>
      <c r="P146" s="47" t="s">
        <v>701</v>
      </c>
      <c r="Q146" s="47"/>
      <c r="R146" s="95">
        <f>IF(OR(P146="c",P146="C"),+T146,"")</f>
        <v>0</v>
      </c>
      <c r="S146" s="95" t="str">
        <f>IF(OR(P146="$",N146=1),+T146,"")</f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3"/>
        <v>136</v>
      </c>
      <c r="B147" s="47"/>
      <c r="C147" s="5" t="s">
        <v>307</v>
      </c>
      <c r="D147" s="5" t="s">
        <v>39</v>
      </c>
      <c r="E147" s="6" t="s">
        <v>308</v>
      </c>
      <c r="F147" s="48"/>
      <c r="G147" s="12" t="s">
        <v>559</v>
      </c>
      <c r="H147" s="49"/>
      <c r="I147" s="47"/>
      <c r="J147" s="47"/>
      <c r="K147" s="47"/>
      <c r="L147" s="47"/>
      <c r="M147" s="47"/>
      <c r="N147" s="47"/>
      <c r="O147" s="94">
        <f>T147*N147</f>
        <v>0</v>
      </c>
      <c r="P147" s="47" t="s">
        <v>701</v>
      </c>
      <c r="Q147" s="47"/>
      <c r="R147" s="95">
        <f>IF(OR(P147="c",P147="C"),+T147,"")</f>
        <v>0</v>
      </c>
      <c r="S147" s="95" t="str">
        <f>IF(OR(P147="$",N147=1),+T147,"")</f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3"/>
        <v>137</v>
      </c>
      <c r="B148" s="47">
        <v>1</v>
      </c>
      <c r="C148" s="5" t="s">
        <v>309</v>
      </c>
      <c r="D148" s="5" t="s">
        <v>72</v>
      </c>
      <c r="E148" s="6" t="s">
        <v>310</v>
      </c>
      <c r="F148" s="137">
        <v>7074845031</v>
      </c>
      <c r="G148" s="12" t="s">
        <v>560</v>
      </c>
      <c r="H148" s="49">
        <v>1</v>
      </c>
      <c r="I148" s="47">
        <v>1</v>
      </c>
      <c r="J148" s="47">
        <v>1</v>
      </c>
      <c r="K148" s="47"/>
      <c r="L148" s="47"/>
      <c r="M148" s="47"/>
      <c r="N148" s="47"/>
      <c r="O148" s="94">
        <f>T148*N148</f>
        <v>0</v>
      </c>
      <c r="P148" s="47" t="s">
        <v>701</v>
      </c>
      <c r="Q148" s="47">
        <v>7346</v>
      </c>
      <c r="R148" s="95">
        <f>IF(OR(P148="c",P148="C"),+T148,"")</f>
        <v>110</v>
      </c>
      <c r="S148" s="95" t="str">
        <f>IF(OR(P148="$",N148=1),+T148,"")</f>
        <v/>
      </c>
      <c r="T148" s="96">
        <f>H148*[1]!FMainPool1Fee+I148*[1]!FMainPool2Fee+J148*[1]!FMainPool3Fee+K148*[1]!FMainPool4Fee+B148*[1]!FMainEntryFee</f>
        <v>110</v>
      </c>
      <c r="U148" s="51"/>
    </row>
    <row r="149" spans="1:21" x14ac:dyDescent="0.25">
      <c r="A149" s="46">
        <f t="shared" si="3"/>
        <v>138</v>
      </c>
      <c r="B149" s="47"/>
      <c r="C149" s="5" t="s">
        <v>311</v>
      </c>
      <c r="D149" s="5" t="s">
        <v>84</v>
      </c>
      <c r="E149" s="6" t="s">
        <v>312</v>
      </c>
      <c r="F149" s="48"/>
      <c r="G149" s="12" t="s">
        <v>561</v>
      </c>
      <c r="H149" s="49"/>
      <c r="I149" s="47"/>
      <c r="J149" s="47"/>
      <c r="K149" s="47"/>
      <c r="L149" s="47"/>
      <c r="M149" s="47"/>
      <c r="N149" s="47"/>
      <c r="O149" s="94">
        <f>T149*N149</f>
        <v>0</v>
      </c>
      <c r="P149" s="47" t="s">
        <v>701</v>
      </c>
      <c r="Q149" s="47"/>
      <c r="R149" s="95">
        <f>IF(OR(P149="c",P149="C"),+T149,"")</f>
        <v>0</v>
      </c>
      <c r="S149" s="95" t="str">
        <f>IF(OR(P149="$",N149=1),+T149,"")</f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3"/>
        <v>139</v>
      </c>
      <c r="B150" s="47"/>
      <c r="C150" s="5" t="s">
        <v>313</v>
      </c>
      <c r="D150" s="5" t="s">
        <v>314</v>
      </c>
      <c r="E150" s="6" t="s">
        <v>315</v>
      </c>
      <c r="F150" s="48"/>
      <c r="G150" s="12"/>
      <c r="H150" s="49"/>
      <c r="I150" s="47"/>
      <c r="J150" s="47"/>
      <c r="K150" s="47"/>
      <c r="L150" s="47"/>
      <c r="M150" s="47"/>
      <c r="N150" s="47"/>
      <c r="O150" s="94">
        <f>T150*N150</f>
        <v>0</v>
      </c>
      <c r="P150" s="47" t="s">
        <v>701</v>
      </c>
      <c r="Q150" s="47"/>
      <c r="R150" s="95">
        <f>IF(OR(P150="c",P150="C"),+T150,"")</f>
        <v>0</v>
      </c>
      <c r="S150" s="95" t="str">
        <f>IF(OR(P150="$",N150=1),+T150,"")</f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3"/>
        <v>140</v>
      </c>
      <c r="B151" s="47">
        <v>1</v>
      </c>
      <c r="C151" s="15" t="s">
        <v>680</v>
      </c>
      <c r="D151" s="15" t="s">
        <v>91</v>
      </c>
      <c r="E151" s="10" t="s">
        <v>681</v>
      </c>
      <c r="F151" s="113"/>
      <c r="G151" s="15"/>
      <c r="H151" s="49">
        <v>1</v>
      </c>
      <c r="I151" s="47"/>
      <c r="J151" s="47">
        <v>1</v>
      </c>
      <c r="K151" s="47"/>
      <c r="L151" s="47"/>
      <c r="M151" s="47"/>
      <c r="N151" s="47">
        <v>1</v>
      </c>
      <c r="O151" s="94">
        <f>T151*N151</f>
        <v>100</v>
      </c>
      <c r="P151" s="47" t="s">
        <v>707</v>
      </c>
      <c r="Q151" s="47"/>
      <c r="R151" s="95" t="str">
        <f>IF(OR(P151="c",P151="C"),+T151,"")</f>
        <v/>
      </c>
      <c r="S151" s="95">
        <f>IF(OR(P151="$",N151=1),+T151,"")</f>
        <v>100</v>
      </c>
      <c r="T151" s="96">
        <f>H151*[1]!FMainPool1Fee+I151*[1]!FMainPool2Fee+J151*[1]!FMainPool3Fee+K151*[1]!FMainPool4Fee+B151*[1]!FMainEntryFee</f>
        <v>100</v>
      </c>
      <c r="U151" s="51"/>
    </row>
    <row r="152" spans="1:21" x14ac:dyDescent="0.25">
      <c r="A152" s="46">
        <f t="shared" si="3"/>
        <v>141</v>
      </c>
      <c r="B152" s="47">
        <v>1</v>
      </c>
      <c r="C152" s="7" t="s">
        <v>316</v>
      </c>
      <c r="D152" s="7" t="s">
        <v>45</v>
      </c>
      <c r="E152" s="8" t="s">
        <v>317</v>
      </c>
      <c r="F152" s="55">
        <v>5105046905</v>
      </c>
      <c r="G152" s="109" t="s">
        <v>562</v>
      </c>
      <c r="H152" s="49">
        <v>1</v>
      </c>
      <c r="I152" s="47">
        <v>1</v>
      </c>
      <c r="J152" s="47">
        <v>1</v>
      </c>
      <c r="K152" s="47">
        <v>1</v>
      </c>
      <c r="L152" s="47">
        <v>1</v>
      </c>
      <c r="M152" s="47"/>
      <c r="N152" s="47"/>
      <c r="O152" s="94">
        <f>T152*N152</f>
        <v>0</v>
      </c>
      <c r="P152" s="47" t="s">
        <v>701</v>
      </c>
      <c r="Q152" s="47">
        <v>4939</v>
      </c>
      <c r="R152" s="95">
        <f>IF(OR(P152="c",P152="C"),+T152,"")</f>
        <v>160</v>
      </c>
      <c r="S152" s="95" t="str">
        <f>IF(OR(P152="$",N152=1),+T152,"")</f>
        <v/>
      </c>
      <c r="T152" s="96">
        <f>H152*[1]!FMainPool1Fee+I152*[1]!FMainPool2Fee+J152*[1]!FMainPool3Fee+K152*[1]!FMainPool4Fee+B152*[1]!FMainEntryFee</f>
        <v>160</v>
      </c>
      <c r="U152" s="51">
        <v>1</v>
      </c>
    </row>
    <row r="153" spans="1:21" x14ac:dyDescent="0.25">
      <c r="A153" s="46">
        <f t="shared" si="3"/>
        <v>142</v>
      </c>
      <c r="B153" s="47">
        <v>1</v>
      </c>
      <c r="C153" s="5" t="s">
        <v>318</v>
      </c>
      <c r="D153" s="5" t="s">
        <v>148</v>
      </c>
      <c r="E153" s="6" t="s">
        <v>319</v>
      </c>
      <c r="F153" s="113" t="s">
        <v>563</v>
      </c>
      <c r="G153" s="12" t="s">
        <v>564</v>
      </c>
      <c r="H153" s="49">
        <v>1</v>
      </c>
      <c r="I153" s="47">
        <v>1</v>
      </c>
      <c r="J153" s="47">
        <v>1</v>
      </c>
      <c r="K153" s="47">
        <v>1</v>
      </c>
      <c r="L153" s="47"/>
      <c r="M153" s="47"/>
      <c r="N153" s="47"/>
      <c r="O153" s="94">
        <f>T153*N153</f>
        <v>0</v>
      </c>
      <c r="P153" s="47" t="s">
        <v>701</v>
      </c>
      <c r="Q153" s="47">
        <v>141</v>
      </c>
      <c r="R153" s="95">
        <f>IF(OR(P153="c",P153="C"),+T153,"")</f>
        <v>160</v>
      </c>
      <c r="S153" s="95" t="str">
        <f>IF(OR(P153="$",N153=1),+T153,"")</f>
        <v/>
      </c>
      <c r="T153" s="96">
        <f>H153*[1]!FMainPool1Fee+I153*[1]!FMainPool2Fee+J153*[1]!FMainPool3Fee+K153*[1]!FMainPool4Fee+B153*[1]!FMainEntryFee</f>
        <v>160</v>
      </c>
      <c r="U153" s="51"/>
    </row>
    <row r="154" spans="1:21" x14ac:dyDescent="0.25">
      <c r="A154" s="46">
        <f t="shared" si="3"/>
        <v>143</v>
      </c>
      <c r="B154" s="47">
        <v>1</v>
      </c>
      <c r="C154" s="5" t="s">
        <v>742</v>
      </c>
      <c r="D154" s="5" t="s">
        <v>211</v>
      </c>
      <c r="E154" s="6" t="s">
        <v>743</v>
      </c>
      <c r="F154" s="113">
        <v>4086670073</v>
      </c>
      <c r="G154" s="115" t="s">
        <v>744</v>
      </c>
      <c r="H154" s="49"/>
      <c r="I154" s="47"/>
      <c r="J154" s="47"/>
      <c r="K154" s="47"/>
      <c r="L154" s="47"/>
      <c r="M154" s="47"/>
      <c r="N154" s="47"/>
      <c r="O154" s="94">
        <f>T154*N154</f>
        <v>0</v>
      </c>
      <c r="P154" s="47" t="s">
        <v>701</v>
      </c>
      <c r="Q154" s="47">
        <v>1034</v>
      </c>
      <c r="R154" s="95">
        <f>IF(OR(P154="c",P154="C"),+T154,"")</f>
        <v>70</v>
      </c>
      <c r="S154" s="95" t="str">
        <f>IF(OR(P154="$",N154=1),+T154,"")</f>
        <v/>
      </c>
      <c r="T154" s="96">
        <f>H154*[1]!FMainPool1Fee+I154*[1]!FMainPool2Fee+J154*[1]!FMainPool3Fee+K154*[1]!FMainPool4Fee+B154*[1]!FMainEntryFee</f>
        <v>70</v>
      </c>
      <c r="U154" s="51"/>
    </row>
    <row r="155" spans="1:21" x14ac:dyDescent="0.25">
      <c r="A155" s="46">
        <f t="shared" si="3"/>
        <v>144</v>
      </c>
      <c r="B155" s="47"/>
      <c r="C155" s="7" t="s">
        <v>320</v>
      </c>
      <c r="D155" s="7" t="s">
        <v>321</v>
      </c>
      <c r="E155" s="8" t="s">
        <v>322</v>
      </c>
      <c r="F155" s="55">
        <v>9167697400</v>
      </c>
      <c r="G155" s="12" t="s">
        <v>565</v>
      </c>
      <c r="H155" s="49"/>
      <c r="I155" s="47"/>
      <c r="J155" s="47"/>
      <c r="K155" s="47"/>
      <c r="L155" s="47"/>
      <c r="M155" s="47"/>
      <c r="N155" s="47"/>
      <c r="O155" s="94">
        <f>T155*N155</f>
        <v>0</v>
      </c>
      <c r="P155" s="47" t="s">
        <v>701</v>
      </c>
      <c r="Q155" s="47"/>
      <c r="R155" s="95">
        <f>IF(OR(P155="c",P155="C"),+T155,"")</f>
        <v>0</v>
      </c>
      <c r="S155" s="95" t="str">
        <f>IF(OR(P155="$",N155=1),+T155,"")</f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3"/>
        <v>145</v>
      </c>
      <c r="B156" s="47"/>
      <c r="C156" s="7" t="s">
        <v>323</v>
      </c>
      <c r="D156" s="7" t="s">
        <v>235</v>
      </c>
      <c r="E156" s="8" t="s">
        <v>324</v>
      </c>
      <c r="F156" s="58"/>
      <c r="G156" s="12" t="s">
        <v>566</v>
      </c>
      <c r="H156" s="49"/>
      <c r="I156" s="47"/>
      <c r="J156" s="47"/>
      <c r="K156" s="47"/>
      <c r="L156" s="47"/>
      <c r="M156" s="47"/>
      <c r="N156" s="47"/>
      <c r="O156" s="94">
        <f>T156*N156</f>
        <v>0</v>
      </c>
      <c r="P156" s="47" t="s">
        <v>701</v>
      </c>
      <c r="Q156" s="47"/>
      <c r="R156" s="95">
        <f>IF(OR(P156="c",P156="C"),+T156,"")</f>
        <v>0</v>
      </c>
      <c r="S156" s="95" t="str">
        <f>IF(OR(P156="$",N156=1),+T156,"")</f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3"/>
        <v>146</v>
      </c>
      <c r="B157" s="47">
        <v>1</v>
      </c>
      <c r="C157" s="7" t="s">
        <v>745</v>
      </c>
      <c r="D157" s="7" t="s">
        <v>45</v>
      </c>
      <c r="E157" s="8" t="s">
        <v>746</v>
      </c>
      <c r="F157" s="58">
        <v>7072944291</v>
      </c>
      <c r="G157" s="109" t="s">
        <v>747</v>
      </c>
      <c r="H157" s="49">
        <v>1</v>
      </c>
      <c r="I157" s="47"/>
      <c r="J157" s="47"/>
      <c r="K157" s="47"/>
      <c r="L157" s="47"/>
      <c r="M157" s="47"/>
      <c r="N157" s="47"/>
      <c r="O157" s="94">
        <f>T157*N157</f>
        <v>0</v>
      </c>
      <c r="P157" s="47" t="s">
        <v>701</v>
      </c>
      <c r="Q157" s="47">
        <v>1376</v>
      </c>
      <c r="R157" s="95">
        <f>IF(OR(P157="c",P157="C"),+T157,"")</f>
        <v>80</v>
      </c>
      <c r="S157" s="95" t="str">
        <f>IF(OR(P157="$",N157=1),+T157,"")</f>
        <v/>
      </c>
      <c r="T157" s="96">
        <f>H157*[1]!FMainPool1Fee+I157*[1]!FMainPool2Fee+J157*[1]!FMainPool3Fee+K157*[1]!FMainPool4Fee+B157*[1]!FMainEntryFee</f>
        <v>80</v>
      </c>
      <c r="U157" s="51"/>
    </row>
    <row r="158" spans="1:21" x14ac:dyDescent="0.25">
      <c r="A158" s="46">
        <f t="shared" si="3"/>
        <v>147</v>
      </c>
      <c r="B158" s="47"/>
      <c r="C158" s="7" t="s">
        <v>325</v>
      </c>
      <c r="D158" s="7" t="s">
        <v>326</v>
      </c>
      <c r="E158" s="8" t="s">
        <v>327</v>
      </c>
      <c r="F158" s="55"/>
      <c r="G158" s="12" t="s">
        <v>567</v>
      </c>
      <c r="H158" s="49"/>
      <c r="I158" s="47"/>
      <c r="J158" s="47"/>
      <c r="K158" s="47"/>
      <c r="L158" s="47"/>
      <c r="M158" s="47"/>
      <c r="N158" s="47"/>
      <c r="O158" s="94">
        <f>T158*N158</f>
        <v>0</v>
      </c>
      <c r="P158" s="47" t="s">
        <v>701</v>
      </c>
      <c r="Q158" s="47"/>
      <c r="R158" s="95">
        <f>IF(OR(P158="c",P158="C"),+T158,"")</f>
        <v>0</v>
      </c>
      <c r="S158" s="95" t="str">
        <f>IF(OR(P158="$",N158=1),+T158,"")</f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3"/>
        <v>148</v>
      </c>
      <c r="B159" s="47"/>
      <c r="C159" s="5" t="s">
        <v>328</v>
      </c>
      <c r="D159" s="5" t="s">
        <v>329</v>
      </c>
      <c r="E159" s="6" t="s">
        <v>330</v>
      </c>
      <c r="F159" s="48">
        <v>5302194729</v>
      </c>
      <c r="G159" s="109" t="s">
        <v>568</v>
      </c>
      <c r="H159" s="49"/>
      <c r="I159" s="47"/>
      <c r="J159" s="47"/>
      <c r="K159" s="47"/>
      <c r="L159" s="47"/>
      <c r="M159" s="47"/>
      <c r="N159" s="47"/>
      <c r="O159" s="94">
        <f>T159*N159</f>
        <v>0</v>
      </c>
      <c r="P159" s="47" t="s">
        <v>701</v>
      </c>
      <c r="Q159" s="47"/>
      <c r="R159" s="95">
        <f>IF(OR(P159="c",P159="C"),+T159,"")</f>
        <v>0</v>
      </c>
      <c r="S159" s="95" t="str">
        <f>IF(OR(P159="$",N159=1),+T159,"")</f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3"/>
        <v>149</v>
      </c>
      <c r="B160" s="47"/>
      <c r="C160" s="5" t="s">
        <v>331</v>
      </c>
      <c r="D160" s="5" t="s">
        <v>332</v>
      </c>
      <c r="E160" s="6" t="s">
        <v>333</v>
      </c>
      <c r="F160" s="48"/>
      <c r="G160" s="12" t="s">
        <v>569</v>
      </c>
      <c r="H160" s="49"/>
      <c r="I160" s="47"/>
      <c r="J160" s="47"/>
      <c r="K160" s="47"/>
      <c r="L160" s="47"/>
      <c r="M160" s="47"/>
      <c r="N160" s="47"/>
      <c r="O160" s="94">
        <f>T160*N160</f>
        <v>0</v>
      </c>
      <c r="P160" s="47" t="s">
        <v>701</v>
      </c>
      <c r="Q160" s="47"/>
      <c r="R160" s="95">
        <f>IF(OR(P160="c",P160="C"),+T160,"")</f>
        <v>0</v>
      </c>
      <c r="S160" s="95" t="str">
        <f>IF(OR(P160="$",N160=1),+T160,"")</f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3"/>
        <v>150</v>
      </c>
      <c r="B161" s="47"/>
      <c r="C161" s="15" t="s">
        <v>682</v>
      </c>
      <c r="D161" s="15" t="s">
        <v>81</v>
      </c>
      <c r="E161" s="10" t="s">
        <v>683</v>
      </c>
      <c r="F161" s="113"/>
      <c r="G161" s="109" t="s">
        <v>684</v>
      </c>
      <c r="H161" s="49"/>
      <c r="I161" s="47"/>
      <c r="J161" s="47"/>
      <c r="K161" s="47"/>
      <c r="L161" s="47"/>
      <c r="M161" s="47"/>
      <c r="N161" s="47"/>
      <c r="O161" s="94">
        <f>T161*N161</f>
        <v>0</v>
      </c>
      <c r="P161" s="47" t="s">
        <v>701</v>
      </c>
      <c r="Q161" s="47"/>
      <c r="R161" s="95">
        <f>IF(OR(P161="c",P161="C"),+T161,"")</f>
        <v>0</v>
      </c>
      <c r="S161" s="95" t="str">
        <f>IF(OR(P161="$",N161=1),+T161,"")</f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3"/>
        <v>151</v>
      </c>
      <c r="B162" s="47">
        <v>1</v>
      </c>
      <c r="C162" s="5" t="s">
        <v>336</v>
      </c>
      <c r="D162" s="5" t="s">
        <v>67</v>
      </c>
      <c r="E162" s="6" t="s">
        <v>337</v>
      </c>
      <c r="F162" s="48">
        <v>7075991826</v>
      </c>
      <c r="G162" s="12" t="s">
        <v>570</v>
      </c>
      <c r="H162" s="49">
        <v>1</v>
      </c>
      <c r="I162" s="47">
        <v>1</v>
      </c>
      <c r="J162" s="47">
        <v>1</v>
      </c>
      <c r="K162" s="47">
        <v>1</v>
      </c>
      <c r="L162" s="47">
        <v>1</v>
      </c>
      <c r="M162" s="47"/>
      <c r="N162" s="47"/>
      <c r="O162" s="94">
        <f>T162*N162</f>
        <v>0</v>
      </c>
      <c r="P162" s="47" t="s">
        <v>701</v>
      </c>
      <c r="Q162" s="47">
        <v>1508</v>
      </c>
      <c r="R162" s="95">
        <f>IF(OR(P162="c",P162="C"),+T162,"")</f>
        <v>160</v>
      </c>
      <c r="S162" s="95" t="str">
        <f>IF(OR(P162="$",N162=1),+T162,"")</f>
        <v/>
      </c>
      <c r="T162" s="96">
        <f>H162*[1]!FMainPool1Fee+I162*[1]!FMainPool2Fee+J162*[1]!FMainPool3Fee+K162*[1]!FMainPool4Fee+B162*[1]!FMainEntryFee</f>
        <v>160</v>
      </c>
      <c r="U162" s="51"/>
    </row>
    <row r="163" spans="1:21" x14ac:dyDescent="0.25">
      <c r="A163" s="46">
        <f t="shared" si="3"/>
        <v>152</v>
      </c>
      <c r="B163" s="47">
        <v>1</v>
      </c>
      <c r="C163" s="7" t="s">
        <v>338</v>
      </c>
      <c r="D163" s="7" t="s">
        <v>67</v>
      </c>
      <c r="E163" s="8" t="s">
        <v>339</v>
      </c>
      <c r="F163" s="55">
        <v>7075994605</v>
      </c>
      <c r="G163" s="15" t="s">
        <v>571</v>
      </c>
      <c r="H163" s="49">
        <v>1</v>
      </c>
      <c r="I163" s="47">
        <v>1</v>
      </c>
      <c r="J163" s="47">
        <v>1</v>
      </c>
      <c r="K163" s="47">
        <v>1</v>
      </c>
      <c r="L163" s="47">
        <v>1</v>
      </c>
      <c r="M163" s="47"/>
      <c r="N163" s="47"/>
      <c r="O163" s="94">
        <f>T163*N163</f>
        <v>0</v>
      </c>
      <c r="P163" s="47" t="s">
        <v>701</v>
      </c>
      <c r="Q163" s="47">
        <v>1508</v>
      </c>
      <c r="R163" s="95">
        <v>160</v>
      </c>
      <c r="S163" s="95" t="str">
        <f>IF(OR(P163="$",N163=1),+T163,"")</f>
        <v/>
      </c>
      <c r="T163" s="96">
        <f>H163*[1]!FMainPool1Fee+I163*[1]!FMainPool2Fee+J163*[1]!FMainPool3Fee+K163*[1]!FMainPool4Fee+B163*[1]!FMainEntryFee</f>
        <v>160</v>
      </c>
      <c r="U163" s="51"/>
    </row>
    <row r="164" spans="1:21" x14ac:dyDescent="0.25">
      <c r="A164" s="46">
        <f t="shared" si="3"/>
        <v>153</v>
      </c>
      <c r="B164" s="47"/>
      <c r="C164" s="14" t="s">
        <v>340</v>
      </c>
      <c r="D164" s="14" t="s">
        <v>255</v>
      </c>
      <c r="E164" s="6"/>
      <c r="F164" s="48"/>
      <c r="G164" s="12" t="s">
        <v>572</v>
      </c>
      <c r="H164" s="49"/>
      <c r="I164" s="47"/>
      <c r="J164" s="47"/>
      <c r="K164" s="47"/>
      <c r="L164" s="47"/>
      <c r="M164" s="47"/>
      <c r="N164" s="47"/>
      <c r="O164" s="94">
        <f>T164*N164</f>
        <v>0</v>
      </c>
      <c r="P164" s="47" t="s">
        <v>701</v>
      </c>
      <c r="Q164" s="47"/>
      <c r="R164" s="95">
        <f>IF(OR(P164="c",P164="C"),+T164,"")</f>
        <v>0</v>
      </c>
      <c r="S164" s="95" t="str">
        <f>IF(OR(P164="$",N164=1),+T164,"")</f>
        <v/>
      </c>
      <c r="T164" s="96">
        <f>H164*[1]!FMainPool1Fee+I164*[1]!FMainPool2Fee+J164*[1]!FMainPool3Fee+K164*[1]!FMainPool4Fee+B164*[1]!FMainEntryFee</f>
        <v>0</v>
      </c>
      <c r="U164" s="51"/>
    </row>
    <row r="165" spans="1:21" x14ac:dyDescent="0.25">
      <c r="A165" s="46">
        <f t="shared" si="3"/>
        <v>154</v>
      </c>
      <c r="B165" s="47">
        <v>1</v>
      </c>
      <c r="C165" s="14" t="s">
        <v>748</v>
      </c>
      <c r="D165" s="14" t="s">
        <v>749</v>
      </c>
      <c r="E165" s="6" t="s">
        <v>750</v>
      </c>
      <c r="F165" s="48">
        <v>7752876408</v>
      </c>
      <c r="G165" s="109" t="s">
        <v>751</v>
      </c>
      <c r="H165" s="49">
        <v>1</v>
      </c>
      <c r="I165" s="47"/>
      <c r="J165" s="47"/>
      <c r="K165" s="47"/>
      <c r="L165" s="47"/>
      <c r="M165" s="47"/>
      <c r="N165" s="47"/>
      <c r="O165" s="94">
        <f>T165*N165</f>
        <v>0</v>
      </c>
      <c r="P165" s="47" t="s">
        <v>707</v>
      </c>
      <c r="Q165" s="47"/>
      <c r="R165" s="95" t="str">
        <f>IF(OR(P165="c",P165="C"),+T165,"")</f>
        <v/>
      </c>
      <c r="S165" s="95">
        <f>IF(OR(P165="$",N165=1),+T165,"")</f>
        <v>80</v>
      </c>
      <c r="T165" s="96">
        <f>H165*[1]!FMainPool1Fee+I165*[1]!FMainPool2Fee+J165*[1]!FMainPool3Fee+K165*[1]!FMainPool4Fee+B165*[1]!FMainEntryFee</f>
        <v>80</v>
      </c>
      <c r="U165" s="51"/>
    </row>
    <row r="166" spans="1:21" x14ac:dyDescent="0.25">
      <c r="A166" s="46">
        <f t="shared" si="3"/>
        <v>155</v>
      </c>
      <c r="B166" s="47"/>
      <c r="C166" s="5" t="s">
        <v>341</v>
      </c>
      <c r="D166" s="5" t="s">
        <v>342</v>
      </c>
      <c r="E166" s="6" t="s">
        <v>343</v>
      </c>
      <c r="F166" s="48">
        <v>7073490481</v>
      </c>
      <c r="G166" s="109" t="s">
        <v>573</v>
      </c>
      <c r="H166" s="49"/>
      <c r="I166" s="47"/>
      <c r="J166" s="47"/>
      <c r="K166" s="47"/>
      <c r="L166" s="47"/>
      <c r="M166" s="47"/>
      <c r="N166" s="47"/>
      <c r="O166" s="94">
        <f>T166*N166</f>
        <v>0</v>
      </c>
      <c r="P166" s="47" t="s">
        <v>701</v>
      </c>
      <c r="Q166" s="47"/>
      <c r="R166" s="95">
        <f>IF(OR(P166="c",P166="C"),+T166,"")</f>
        <v>0</v>
      </c>
      <c r="S166" s="95" t="str">
        <f>IF(OR(P166="$",N166=1),+T166,"")</f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3"/>
        <v>156</v>
      </c>
      <c r="B167" s="47"/>
      <c r="C167" s="15" t="s">
        <v>685</v>
      </c>
      <c r="D167" s="15" t="s">
        <v>45</v>
      </c>
      <c r="E167" s="10" t="s">
        <v>686</v>
      </c>
      <c r="F167" s="113">
        <v>7752876408</v>
      </c>
      <c r="G167" s="15"/>
      <c r="H167" s="49"/>
      <c r="I167" s="47"/>
      <c r="J167" s="47"/>
      <c r="K167" s="47"/>
      <c r="L167" s="47"/>
      <c r="M167" s="47"/>
      <c r="N167" s="47"/>
      <c r="O167" s="94">
        <f>T167*N167</f>
        <v>0</v>
      </c>
      <c r="P167" s="47" t="s">
        <v>701</v>
      </c>
      <c r="Q167" s="47"/>
      <c r="R167" s="95">
        <f>IF(OR(P167="c",P167="C"),+T167,"")</f>
        <v>0</v>
      </c>
      <c r="S167" s="95" t="str">
        <f>IF(OR(P167="$",N167=1),+T167,"")</f>
        <v/>
      </c>
      <c r="T167" s="96">
        <f>H167*[1]!FMainPool1Fee+I167*[1]!FMainPool2Fee+J167*[1]!FMainPool3Fee+K167*[1]!FMainPool4Fee+B167*[1]!FMainEntryFee</f>
        <v>0</v>
      </c>
      <c r="U167" s="51"/>
    </row>
    <row r="168" spans="1:21" x14ac:dyDescent="0.25">
      <c r="A168" s="46">
        <f t="shared" si="3"/>
        <v>157</v>
      </c>
      <c r="B168" s="47"/>
      <c r="C168" s="14" t="s">
        <v>344</v>
      </c>
      <c r="D168" s="14" t="s">
        <v>33</v>
      </c>
      <c r="E168" s="6" t="s">
        <v>345</v>
      </c>
      <c r="F168" s="48"/>
      <c r="G168" s="12" t="s">
        <v>574</v>
      </c>
      <c r="H168" s="49"/>
      <c r="I168" s="47"/>
      <c r="J168" s="47"/>
      <c r="K168" s="47"/>
      <c r="L168" s="47"/>
      <c r="M168" s="47"/>
      <c r="N168" s="47"/>
      <c r="O168" s="94">
        <f>T168*N168</f>
        <v>0</v>
      </c>
      <c r="P168" s="47" t="s">
        <v>701</v>
      </c>
      <c r="Q168" s="47"/>
      <c r="R168" s="95">
        <f>IF(OR(P168="c",P168="C"),+T168,"")</f>
        <v>0</v>
      </c>
      <c r="S168" s="95" t="str">
        <f>IF(OR(P168="$",N168=1),+T168,"")</f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3"/>
        <v>158</v>
      </c>
      <c r="B169" s="47"/>
      <c r="C169" s="5" t="s">
        <v>346</v>
      </c>
      <c r="D169" s="5" t="s">
        <v>347</v>
      </c>
      <c r="E169" s="6" t="s">
        <v>348</v>
      </c>
      <c r="F169" s="48">
        <v>2093653232</v>
      </c>
      <c r="G169" s="109" t="s">
        <v>575</v>
      </c>
      <c r="H169" s="49"/>
      <c r="I169" s="47"/>
      <c r="J169" s="47"/>
      <c r="K169" s="47"/>
      <c r="L169" s="47"/>
      <c r="M169" s="47"/>
      <c r="N169" s="47"/>
      <c r="O169" s="94">
        <f>T169*N169</f>
        <v>0</v>
      </c>
      <c r="P169" s="47" t="s">
        <v>701</v>
      </c>
      <c r="Q169" s="47"/>
      <c r="R169" s="95">
        <f>IF(OR(P169="c",P169="C"),+T169,"")</f>
        <v>0</v>
      </c>
      <c r="S169" s="95" t="str">
        <f>IF(OR(P169="$",N169=1),+T169,"")</f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3"/>
        <v>159</v>
      </c>
      <c r="B170" s="47">
        <v>1</v>
      </c>
      <c r="C170" s="5" t="s">
        <v>349</v>
      </c>
      <c r="D170" s="5" t="s">
        <v>350</v>
      </c>
      <c r="E170" s="6" t="s">
        <v>351</v>
      </c>
      <c r="F170" s="48">
        <v>7076641532</v>
      </c>
      <c r="G170" s="109" t="s">
        <v>576</v>
      </c>
      <c r="H170" s="49"/>
      <c r="I170" s="47">
        <v>1</v>
      </c>
      <c r="J170" s="47">
        <v>1</v>
      </c>
      <c r="K170" s="47"/>
      <c r="L170" s="47"/>
      <c r="M170" s="47"/>
      <c r="N170" s="47"/>
      <c r="O170" s="94">
        <f>T170*N170</f>
        <v>0</v>
      </c>
      <c r="P170" s="47" t="s">
        <v>701</v>
      </c>
      <c r="Q170" s="47">
        <v>204</v>
      </c>
      <c r="R170" s="95">
        <f>IF(OR(P170="c",P170="C"),+T170,"")</f>
        <v>100</v>
      </c>
      <c r="S170" s="95" t="str">
        <f>IF(OR(P170="$",N170=1),+T170,"")</f>
        <v/>
      </c>
      <c r="T170" s="96">
        <f>H170*[1]!FMainPool1Fee+I170*[1]!FMainPool2Fee+J170*[1]!FMainPool3Fee+K170*[1]!FMainPool4Fee+B170*[1]!FMainEntryFee</f>
        <v>100</v>
      </c>
      <c r="U170" s="51"/>
    </row>
    <row r="171" spans="1:21" x14ac:dyDescent="0.25">
      <c r="A171" s="46">
        <f t="shared" si="3"/>
        <v>160</v>
      </c>
      <c r="B171" s="47">
        <v>1</v>
      </c>
      <c r="C171" s="5" t="s">
        <v>352</v>
      </c>
      <c r="D171" s="5" t="s">
        <v>45</v>
      </c>
      <c r="E171" s="6" t="s">
        <v>353</v>
      </c>
      <c r="F171" s="113" t="s">
        <v>577</v>
      </c>
      <c r="G171" s="12" t="s">
        <v>578</v>
      </c>
      <c r="H171" s="49">
        <v>1</v>
      </c>
      <c r="I171" s="47">
        <v>1</v>
      </c>
      <c r="J171" s="47">
        <v>1</v>
      </c>
      <c r="K171" s="47"/>
      <c r="L171" s="47"/>
      <c r="M171" s="47"/>
      <c r="N171" s="47"/>
      <c r="O171" s="94">
        <f>T171*N171</f>
        <v>0</v>
      </c>
      <c r="P171" s="47" t="s">
        <v>707</v>
      </c>
      <c r="Q171" s="47"/>
      <c r="R171" s="95" t="str">
        <f>IF(OR(P171="c",P171="C"),+T171,"")</f>
        <v/>
      </c>
      <c r="S171" s="95">
        <f>IF(OR(P171="$",N171=1),+T171,"")</f>
        <v>110</v>
      </c>
      <c r="T171" s="96">
        <f>H171*[1]!FMainPool1Fee+I171*[1]!FMainPool2Fee+J171*[1]!FMainPool3Fee+K171*[1]!FMainPool4Fee+B171*[1]!FMainEntryFee</f>
        <v>110</v>
      </c>
      <c r="U171" s="51"/>
    </row>
    <row r="172" spans="1:21" x14ac:dyDescent="0.25">
      <c r="A172" s="46">
        <f t="shared" si="3"/>
        <v>161</v>
      </c>
      <c r="B172" s="47">
        <v>1</v>
      </c>
      <c r="C172" s="5" t="s">
        <v>752</v>
      </c>
      <c r="D172" s="5" t="s">
        <v>45</v>
      </c>
      <c r="E172" s="6" t="s">
        <v>753</v>
      </c>
      <c r="F172" s="113">
        <v>7074804517</v>
      </c>
      <c r="G172" s="109" t="s">
        <v>754</v>
      </c>
      <c r="H172" s="49"/>
      <c r="I172" s="47"/>
      <c r="J172" s="47"/>
      <c r="K172" s="47"/>
      <c r="L172" s="47"/>
      <c r="M172" s="47"/>
      <c r="N172" s="47"/>
      <c r="O172" s="94">
        <f>T172*N172</f>
        <v>0</v>
      </c>
      <c r="P172" s="47" t="s">
        <v>707</v>
      </c>
      <c r="Q172" s="47"/>
      <c r="R172" s="95" t="str">
        <f>IF(OR(P172="c",P172="C"),+T172,"")</f>
        <v/>
      </c>
      <c r="S172" s="95">
        <f>IF(OR(P172="$",N172=1),+T172,"")</f>
        <v>70</v>
      </c>
      <c r="T172" s="96">
        <f>H172*[1]!FMainPool1Fee+I172*[1]!FMainPool2Fee+J172*[1]!FMainPool3Fee+K172*[1]!FMainPool4Fee+B172*[1]!FMainEntryFee</f>
        <v>70</v>
      </c>
      <c r="U172" s="51"/>
    </row>
    <row r="173" spans="1:21" x14ac:dyDescent="0.25">
      <c r="A173" s="46">
        <f t="shared" si="3"/>
        <v>162</v>
      </c>
      <c r="B173" s="47"/>
      <c r="C173" s="7" t="s">
        <v>354</v>
      </c>
      <c r="D173" s="7" t="s">
        <v>355</v>
      </c>
      <c r="E173" s="8" t="s">
        <v>356</v>
      </c>
      <c r="F173" s="55"/>
      <c r="G173" s="12" t="s">
        <v>579</v>
      </c>
      <c r="H173" s="49"/>
      <c r="I173" s="47"/>
      <c r="J173" s="47"/>
      <c r="K173" s="47"/>
      <c r="L173" s="47"/>
      <c r="M173" s="47"/>
      <c r="N173" s="47"/>
      <c r="O173" s="94">
        <f>T173*N173</f>
        <v>0</v>
      </c>
      <c r="P173" s="47" t="s">
        <v>701</v>
      </c>
      <c r="Q173" s="47"/>
      <c r="R173" s="95">
        <f>IF(OR(P173="c",P173="C"),+T173,"")</f>
        <v>0</v>
      </c>
      <c r="S173" s="95" t="str">
        <f>IF(OR(P173="$",N173=1),+T173,"")</f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3"/>
        <v>163</v>
      </c>
      <c r="B174" s="47"/>
      <c r="C174" s="5" t="s">
        <v>357</v>
      </c>
      <c r="D174" s="5" t="s">
        <v>358</v>
      </c>
      <c r="E174" s="6" t="s">
        <v>359</v>
      </c>
      <c r="F174" s="48"/>
      <c r="G174" s="12" t="s">
        <v>580</v>
      </c>
      <c r="H174" s="49"/>
      <c r="I174" s="47"/>
      <c r="J174" s="47"/>
      <c r="K174" s="47"/>
      <c r="L174" s="47"/>
      <c r="M174" s="47"/>
      <c r="N174" s="47"/>
      <c r="O174" s="94">
        <f>T174*N174</f>
        <v>0</v>
      </c>
      <c r="P174" s="47" t="s">
        <v>701</v>
      </c>
      <c r="Q174" s="47"/>
      <c r="R174" s="95">
        <f>IF(OR(P174="c",P174="C"),+T174,"")</f>
        <v>0</v>
      </c>
      <c r="S174" s="95" t="str">
        <f>IF(OR(P174="$",N174=1),+T174,"")</f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3"/>
        <v>164</v>
      </c>
      <c r="B175" s="47"/>
      <c r="C175" s="5" t="s">
        <v>360</v>
      </c>
      <c r="D175" s="5" t="s">
        <v>255</v>
      </c>
      <c r="E175" s="6"/>
      <c r="F175" s="48"/>
      <c r="G175" s="12" t="s">
        <v>581</v>
      </c>
      <c r="H175" s="49"/>
      <c r="I175" s="47"/>
      <c r="J175" s="47"/>
      <c r="K175" s="47"/>
      <c r="L175" s="47"/>
      <c r="M175" s="47"/>
      <c r="N175" s="47"/>
      <c r="O175" s="94">
        <f>T175*N175</f>
        <v>0</v>
      </c>
      <c r="P175" s="47" t="s">
        <v>701</v>
      </c>
      <c r="Q175" s="47"/>
      <c r="R175" s="95">
        <f>IF(OR(P175="c",P175="C"),+T175,"")</f>
        <v>0</v>
      </c>
      <c r="S175" s="95" t="str">
        <f>IF(OR(P175="$",N175=1),+T175,"")</f>
        <v/>
      </c>
      <c r="T175" s="96">
        <f>H175*[1]!FMainPool1Fee+I175*[1]!FMainPool2Fee+J175*[1]!FMainPool3Fee+K175*[1]!FMainPool4Fee+B175*[1]!FMainEntryFee</f>
        <v>0</v>
      </c>
      <c r="U175" s="51"/>
    </row>
    <row r="176" spans="1:21" ht="15.75" x14ac:dyDescent="0.25">
      <c r="A176" s="46">
        <f t="shared" si="3"/>
        <v>165</v>
      </c>
      <c r="B176" s="47">
        <v>1</v>
      </c>
      <c r="C176" s="5" t="s">
        <v>361</v>
      </c>
      <c r="D176" s="5" t="s">
        <v>45</v>
      </c>
      <c r="E176" s="6" t="s">
        <v>362</v>
      </c>
      <c r="F176" s="48">
        <v>5303666465</v>
      </c>
      <c r="G176" s="109" t="s">
        <v>582</v>
      </c>
      <c r="H176" s="49"/>
      <c r="I176" s="47">
        <v>1</v>
      </c>
      <c r="J176" s="47">
        <v>1</v>
      </c>
      <c r="K176" s="47"/>
      <c r="L176" s="47"/>
      <c r="M176" s="47"/>
      <c r="N176" s="47"/>
      <c r="O176" s="94">
        <f>T176*N176</f>
        <v>0</v>
      </c>
      <c r="P176" s="47" t="s">
        <v>701</v>
      </c>
      <c r="Q176" s="47">
        <v>8223</v>
      </c>
      <c r="R176" s="95">
        <f>IF(OR(P176="c",P176="C"),+T176,"")</f>
        <v>100</v>
      </c>
      <c r="S176" s="95" t="str">
        <f>IF(OR(P176="$",N176=1),+T176,"")</f>
        <v/>
      </c>
      <c r="T176" s="96">
        <f>H176*[1]!FMainPool1Fee+I176*[1]!FMainPool2Fee+J176*[1]!FMainPool3Fee+K176*[1]!FMainPool4Fee+B176*[1]!FMainEntryFee</f>
        <v>100</v>
      </c>
      <c r="U176" s="51"/>
    </row>
    <row r="177" spans="1:21" x14ac:dyDescent="0.25">
      <c r="A177" s="46">
        <f t="shared" si="3"/>
        <v>166</v>
      </c>
      <c r="B177" s="47"/>
      <c r="C177" s="15" t="s">
        <v>687</v>
      </c>
      <c r="D177" s="15" t="s">
        <v>199</v>
      </c>
      <c r="E177" s="10" t="s">
        <v>662</v>
      </c>
      <c r="F177" s="113"/>
      <c r="G177" s="109" t="s">
        <v>688</v>
      </c>
      <c r="H177" s="49"/>
      <c r="I177" s="47"/>
      <c r="J177" s="47"/>
      <c r="K177" s="47"/>
      <c r="L177" s="47"/>
      <c r="M177" s="47"/>
      <c r="N177" s="47"/>
      <c r="O177" s="94">
        <f>T177*N177</f>
        <v>0</v>
      </c>
      <c r="P177" s="47" t="s">
        <v>701</v>
      </c>
      <c r="Q177" s="47"/>
      <c r="R177" s="95">
        <f>IF(OR(P177="c",P177="C"),+T177,"")</f>
        <v>0</v>
      </c>
      <c r="S177" s="95" t="str">
        <f>IF(OR(P177="$",N177=1),+T177,"")</f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3"/>
        <v>167</v>
      </c>
      <c r="B178" s="47"/>
      <c r="C178" s="7" t="s">
        <v>365</v>
      </c>
      <c r="D178" s="7" t="s">
        <v>72</v>
      </c>
      <c r="E178" s="8" t="s">
        <v>366</v>
      </c>
      <c r="F178" s="58"/>
      <c r="G178" s="12" t="s">
        <v>584</v>
      </c>
      <c r="H178" s="49"/>
      <c r="I178" s="47"/>
      <c r="J178" s="47"/>
      <c r="K178" s="47"/>
      <c r="L178" s="47"/>
      <c r="M178" s="47"/>
      <c r="N178" s="47"/>
      <c r="O178" s="94">
        <f>T178*N178</f>
        <v>0</v>
      </c>
      <c r="P178" s="47" t="s">
        <v>701</v>
      </c>
      <c r="Q178" s="47"/>
      <c r="R178" s="95">
        <f>IF(OR(P178="c",P178="C"),+T178,"")</f>
        <v>0</v>
      </c>
      <c r="S178" s="95" t="str">
        <f>IF(OR(P178="$",N178=1),+T178,"")</f>
        <v/>
      </c>
      <c r="T178" s="96">
        <f>H178*[1]!FMainPool1Fee+I178*[1]!FMainPool2Fee+J178*[1]!FMainPool3Fee+K178*[1]!FMainPool4Fee+B178*[1]!FMainEntryFee</f>
        <v>0</v>
      </c>
      <c r="U178" s="51"/>
    </row>
    <row r="179" spans="1:21" ht="15.75" x14ac:dyDescent="0.25">
      <c r="A179" s="46">
        <f t="shared" si="3"/>
        <v>168</v>
      </c>
      <c r="B179" s="47">
        <v>1</v>
      </c>
      <c r="C179" s="7" t="s">
        <v>367</v>
      </c>
      <c r="D179" s="7" t="s">
        <v>45</v>
      </c>
      <c r="E179" s="8" t="s">
        <v>368</v>
      </c>
      <c r="F179" s="55">
        <v>7072524331</v>
      </c>
      <c r="G179" s="12" t="s">
        <v>585</v>
      </c>
      <c r="H179" s="49">
        <v>1</v>
      </c>
      <c r="I179" s="47">
        <v>1</v>
      </c>
      <c r="J179" s="47">
        <v>1</v>
      </c>
      <c r="K179" s="47"/>
      <c r="L179" s="47"/>
      <c r="M179" s="47"/>
      <c r="N179" s="47"/>
      <c r="O179" s="94">
        <f>T179*N179</f>
        <v>0</v>
      </c>
      <c r="P179" s="47" t="s">
        <v>701</v>
      </c>
      <c r="Q179" s="47">
        <v>677</v>
      </c>
      <c r="R179" s="95">
        <f>IF(OR(P179="c",P179="C"),+T179,"")</f>
        <v>110</v>
      </c>
      <c r="S179" s="95" t="str">
        <f>IF(OR(P179="$",N179=1),+T179,"")</f>
        <v/>
      </c>
      <c r="T179" s="96">
        <f>H179*[1]!FMainPool1Fee+I179*[1]!FMainPool2Fee+J179*[1]!FMainPool3Fee+K179*[1]!FMainPool4Fee+B179*[1]!FMainEntryFee</f>
        <v>110</v>
      </c>
      <c r="U179" s="51"/>
    </row>
    <row r="180" spans="1:21" x14ac:dyDescent="0.25">
      <c r="A180" s="46">
        <f t="shared" si="3"/>
        <v>169</v>
      </c>
      <c r="B180" s="47">
        <v>1</v>
      </c>
      <c r="C180" s="7" t="s">
        <v>369</v>
      </c>
      <c r="D180" s="7" t="s">
        <v>45</v>
      </c>
      <c r="E180" s="8" t="s">
        <v>370</v>
      </c>
      <c r="F180" s="55" t="s">
        <v>586</v>
      </c>
      <c r="G180" s="12" t="s">
        <v>587</v>
      </c>
      <c r="H180" s="49">
        <v>1</v>
      </c>
      <c r="I180" s="47"/>
      <c r="J180" s="47"/>
      <c r="K180" s="47"/>
      <c r="L180" s="47"/>
      <c r="M180" s="47">
        <v>1</v>
      </c>
      <c r="N180" s="47"/>
      <c r="O180" s="94">
        <f>T180*N180</f>
        <v>0</v>
      </c>
      <c r="P180" s="47" t="s">
        <v>701</v>
      </c>
      <c r="Q180" s="47">
        <v>677</v>
      </c>
      <c r="R180" s="95">
        <f>IF(OR(P180="c",P180="C"),+T180,"")</f>
        <v>80</v>
      </c>
      <c r="S180" s="95" t="str">
        <f>IF(OR(P180="$",N180=1),+T180,"")</f>
        <v/>
      </c>
      <c r="T180" s="96">
        <f>H180*[1]!FMainPool1Fee+I180*[1]!FMainPool2Fee+J180*[1]!FMainPool3Fee+K180*[1]!FMainPool4Fee+B180*[1]!FMainEntryFee</f>
        <v>80</v>
      </c>
      <c r="U180" s="51"/>
    </row>
    <row r="181" spans="1:21" x14ac:dyDescent="0.25">
      <c r="A181" s="46">
        <f t="shared" si="3"/>
        <v>170</v>
      </c>
      <c r="B181" s="47"/>
      <c r="C181" s="7" t="s">
        <v>371</v>
      </c>
      <c r="D181" s="7" t="s">
        <v>372</v>
      </c>
      <c r="E181" s="8" t="s">
        <v>373</v>
      </c>
      <c r="F181" s="55"/>
      <c r="G181" s="12" t="s">
        <v>588</v>
      </c>
      <c r="H181" s="49"/>
      <c r="I181" s="47"/>
      <c r="J181" s="47"/>
      <c r="K181" s="47"/>
      <c r="L181" s="47"/>
      <c r="M181" s="47"/>
      <c r="N181" s="47"/>
      <c r="O181" s="94">
        <f>T181*N181</f>
        <v>0</v>
      </c>
      <c r="P181" s="47" t="s">
        <v>701</v>
      </c>
      <c r="Q181" s="47"/>
      <c r="R181" s="95">
        <f>IF(OR(P181="c",P181="C"),+T181,"")</f>
        <v>0</v>
      </c>
      <c r="S181" s="95" t="str">
        <f>IF(OR(P181="$",N181=1),+T181,"")</f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3"/>
        <v>171</v>
      </c>
      <c r="B182" s="47"/>
      <c r="C182" s="5" t="s">
        <v>374</v>
      </c>
      <c r="D182" s="5" t="s">
        <v>375</v>
      </c>
      <c r="E182" s="6" t="s">
        <v>376</v>
      </c>
      <c r="F182" s="48"/>
      <c r="G182" s="12" t="s">
        <v>589</v>
      </c>
      <c r="H182" s="49"/>
      <c r="I182" s="47"/>
      <c r="J182" s="47"/>
      <c r="K182" s="47"/>
      <c r="L182" s="47"/>
      <c r="M182" s="47"/>
      <c r="N182" s="47"/>
      <c r="O182" s="94">
        <f>T182*N182</f>
        <v>0</v>
      </c>
      <c r="P182" s="47" t="s">
        <v>701</v>
      </c>
      <c r="Q182" s="47"/>
      <c r="R182" s="95">
        <f>IF(OR(P182="c",P182="C"),+T182,"")</f>
        <v>0</v>
      </c>
      <c r="S182" s="95" t="str">
        <f>IF(OR(P182="$",N182=1),+T182,"")</f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3"/>
        <v>172</v>
      </c>
      <c r="B183" s="47"/>
      <c r="C183" s="5" t="s">
        <v>379</v>
      </c>
      <c r="D183" s="5" t="s">
        <v>145</v>
      </c>
      <c r="E183" s="6" t="s">
        <v>380</v>
      </c>
      <c r="F183" s="48"/>
      <c r="G183" s="12" t="s">
        <v>591</v>
      </c>
      <c r="H183" s="49"/>
      <c r="I183" s="47"/>
      <c r="J183" s="47"/>
      <c r="K183" s="47"/>
      <c r="L183" s="47"/>
      <c r="M183" s="47"/>
      <c r="N183" s="47"/>
      <c r="O183" s="94">
        <f>T183*N183</f>
        <v>0</v>
      </c>
      <c r="P183" s="47" t="s">
        <v>701</v>
      </c>
      <c r="Q183" s="47"/>
      <c r="R183" s="95">
        <f>IF(OR(P183="c",P183="C"),+T183,"")</f>
        <v>0</v>
      </c>
      <c r="S183" s="95" t="str">
        <f>IF(OR(P183="$",N183=1),+T183,"")</f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3"/>
        <v>173</v>
      </c>
      <c r="B184" s="47">
        <v>1</v>
      </c>
      <c r="C184" s="7" t="s">
        <v>381</v>
      </c>
      <c r="D184" s="7" t="s">
        <v>103</v>
      </c>
      <c r="E184" s="8" t="s">
        <v>382</v>
      </c>
      <c r="F184" s="48"/>
      <c r="G184" s="12" t="s">
        <v>592</v>
      </c>
      <c r="H184" s="49">
        <v>1</v>
      </c>
      <c r="I184" s="47"/>
      <c r="J184" s="47"/>
      <c r="K184" s="47"/>
      <c r="L184" s="47"/>
      <c r="M184" s="47"/>
      <c r="N184" s="47"/>
      <c r="O184" s="94">
        <f>T184*N184</f>
        <v>0</v>
      </c>
      <c r="P184" s="47" t="s">
        <v>701</v>
      </c>
      <c r="Q184" s="47">
        <v>2480</v>
      </c>
      <c r="R184" s="95">
        <f>IF(OR(P184="c",P184="C"),+T184,"")</f>
        <v>80</v>
      </c>
      <c r="S184" s="95" t="str">
        <f>IF(OR(P184="$",N184=1),+T184,"")</f>
        <v/>
      </c>
      <c r="T184" s="96">
        <f>H184*[1]!FMainPool1Fee+I184*[1]!FMainPool2Fee+J184*[1]!FMainPool3Fee+K184*[1]!FMainPool4Fee+B184*[1]!FMainEntryFee</f>
        <v>80</v>
      </c>
      <c r="U184" s="51"/>
    </row>
    <row r="185" spans="1:21" x14ac:dyDescent="0.25">
      <c r="A185" s="46">
        <f t="shared" si="3"/>
        <v>174</v>
      </c>
      <c r="B185" s="47"/>
      <c r="C185" s="5" t="s">
        <v>383</v>
      </c>
      <c r="D185" s="5" t="s">
        <v>185</v>
      </c>
      <c r="E185" s="6" t="s">
        <v>384</v>
      </c>
      <c r="F185" s="113" t="s">
        <v>593</v>
      </c>
      <c r="G185" s="15" t="s">
        <v>594</v>
      </c>
      <c r="H185" s="49"/>
      <c r="I185" s="47"/>
      <c r="J185" s="47"/>
      <c r="K185" s="47"/>
      <c r="L185" s="47"/>
      <c r="M185" s="47"/>
      <c r="N185" s="47"/>
      <c r="O185" s="94">
        <f>T185*N185</f>
        <v>0</v>
      </c>
      <c r="P185" s="47" t="s">
        <v>701</v>
      </c>
      <c r="Q185" s="47"/>
      <c r="R185" s="95">
        <f>IF(OR(P185="c",P185="C"),+T185,"")</f>
        <v>0</v>
      </c>
      <c r="S185" s="95" t="str">
        <f>IF(OR(P185="$",N185=1),+T185,"")</f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3"/>
        <v>175</v>
      </c>
      <c r="B186" s="47"/>
      <c r="C186" s="5" t="s">
        <v>385</v>
      </c>
      <c r="D186" s="5" t="s">
        <v>84</v>
      </c>
      <c r="E186" s="6" t="s">
        <v>386</v>
      </c>
      <c r="F186" s="48"/>
      <c r="G186" s="12"/>
      <c r="H186" s="49"/>
      <c r="I186" s="47"/>
      <c r="J186" s="47"/>
      <c r="K186" s="47"/>
      <c r="L186" s="47"/>
      <c r="M186" s="47"/>
      <c r="N186" s="47"/>
      <c r="O186" s="94">
        <f>T186*N186</f>
        <v>0</v>
      </c>
      <c r="P186" s="47" t="s">
        <v>701</v>
      </c>
      <c r="Q186" s="47"/>
      <c r="R186" s="95">
        <f>IF(OR(P186="c",P186="C"),+T186,"")</f>
        <v>0</v>
      </c>
      <c r="S186" s="95" t="str">
        <f>IF(OR(P186="$",N186=1),+T186,"")</f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3"/>
        <v>176</v>
      </c>
      <c r="B187" s="47"/>
      <c r="C187" s="5" t="s">
        <v>387</v>
      </c>
      <c r="D187" s="5" t="s">
        <v>388</v>
      </c>
      <c r="E187" s="6" t="s">
        <v>389</v>
      </c>
      <c r="F187" s="48"/>
      <c r="G187" s="12"/>
      <c r="H187" s="49"/>
      <c r="I187" s="47"/>
      <c r="J187" s="47"/>
      <c r="K187" s="47"/>
      <c r="L187" s="47"/>
      <c r="M187" s="47"/>
      <c r="N187" s="47"/>
      <c r="O187" s="94">
        <f>T187*N187</f>
        <v>0</v>
      </c>
      <c r="P187" s="47" t="s">
        <v>701</v>
      </c>
      <c r="Q187" s="47"/>
      <c r="R187" s="95">
        <f>IF(OR(P187="c",P187="C"),+T187,"")</f>
        <v>0</v>
      </c>
      <c r="S187" s="95" t="str">
        <f>IF(OR(P187="$",N187=1),+T187,"")</f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3"/>
        <v>177</v>
      </c>
      <c r="B188" s="47"/>
      <c r="C188" s="5" t="s">
        <v>390</v>
      </c>
      <c r="D188" s="5" t="s">
        <v>208</v>
      </c>
      <c r="E188" s="6" t="s">
        <v>391</v>
      </c>
      <c r="F188" s="48"/>
      <c r="G188" s="12" t="s">
        <v>595</v>
      </c>
      <c r="H188" s="49"/>
      <c r="I188" s="47"/>
      <c r="J188" s="47"/>
      <c r="K188" s="47"/>
      <c r="L188" s="47"/>
      <c r="M188" s="47"/>
      <c r="N188" s="47"/>
      <c r="O188" s="94">
        <f>T188*N188</f>
        <v>0</v>
      </c>
      <c r="P188" s="47" t="s">
        <v>701</v>
      </c>
      <c r="Q188" s="47"/>
      <c r="R188" s="95">
        <f>IF(OR(P188="c",P188="C"),+T188,"")</f>
        <v>0</v>
      </c>
      <c r="S188" s="95" t="str">
        <f>IF(OR(P188="$",N188=1),+T188,"")</f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3"/>
        <v>178</v>
      </c>
      <c r="B189" s="47"/>
      <c r="C189" s="5" t="s">
        <v>392</v>
      </c>
      <c r="D189" s="5" t="s">
        <v>342</v>
      </c>
      <c r="E189" s="6" t="s">
        <v>393</v>
      </c>
      <c r="F189" s="48">
        <v>7075087889</v>
      </c>
      <c r="G189" s="12" t="s">
        <v>468</v>
      </c>
      <c r="H189" s="49"/>
      <c r="I189" s="47"/>
      <c r="J189" s="47"/>
      <c r="K189" s="47"/>
      <c r="L189" s="47"/>
      <c r="M189" s="47"/>
      <c r="N189" s="47"/>
      <c r="O189" s="94">
        <f>T189*N189</f>
        <v>0</v>
      </c>
      <c r="P189" s="47" t="s">
        <v>701</v>
      </c>
      <c r="Q189" s="47"/>
      <c r="R189" s="95">
        <f>IF(OR(P189="c",P189="C"),+T189,"")</f>
        <v>0</v>
      </c>
      <c r="S189" s="95" t="str">
        <f>IF(OR(P189="$",N189=1),+T189,"")</f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3"/>
        <v>179</v>
      </c>
      <c r="B190" s="47"/>
      <c r="C190" s="5" t="s">
        <v>394</v>
      </c>
      <c r="D190" s="5" t="s">
        <v>50</v>
      </c>
      <c r="E190" s="6" t="s">
        <v>395</v>
      </c>
      <c r="F190" s="48"/>
      <c r="G190" s="12" t="s">
        <v>596</v>
      </c>
      <c r="H190" s="49"/>
      <c r="I190" s="47"/>
      <c r="J190" s="47"/>
      <c r="K190" s="47"/>
      <c r="L190" s="47"/>
      <c r="M190" s="47"/>
      <c r="N190" s="47"/>
      <c r="O190" s="94">
        <f>T190*N190</f>
        <v>0</v>
      </c>
      <c r="P190" s="47" t="s">
        <v>701</v>
      </c>
      <c r="Q190" s="47"/>
      <c r="R190" s="95">
        <f>IF(OR(P190="c",P190="C"),+T190,"")</f>
        <v>0</v>
      </c>
      <c r="S190" s="95" t="str">
        <f>IF(OR(P190="$",N190=1),+T190,"")</f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3"/>
        <v>180</v>
      </c>
      <c r="B191" s="47">
        <v>1</v>
      </c>
      <c r="C191" s="5" t="s">
        <v>396</v>
      </c>
      <c r="D191" s="5" t="s">
        <v>72</v>
      </c>
      <c r="E191" s="6" t="s">
        <v>397</v>
      </c>
      <c r="F191" s="48">
        <v>7075290228</v>
      </c>
      <c r="G191" s="109" t="s">
        <v>597</v>
      </c>
      <c r="H191" s="49"/>
      <c r="I191" s="47"/>
      <c r="J191" s="47"/>
      <c r="K191" s="47"/>
      <c r="L191" s="47"/>
      <c r="M191" s="47"/>
      <c r="N191" s="47">
        <v>1</v>
      </c>
      <c r="O191" s="94">
        <f>T191*N191</f>
        <v>70</v>
      </c>
      <c r="P191" s="47" t="s">
        <v>707</v>
      </c>
      <c r="Q191" s="47"/>
      <c r="R191" s="95" t="str">
        <f>IF(OR(P191="c",P191="C"),+T191,"")</f>
        <v/>
      </c>
      <c r="S191" s="95">
        <f>IF(OR(P191="$",N191=1),+T191,"")</f>
        <v>70</v>
      </c>
      <c r="T191" s="96">
        <f>H191*[1]!FMainPool1Fee+I191*[1]!FMainPool2Fee+J191*[1]!FMainPool3Fee+K191*[1]!FMainPool4Fee+B191*[1]!FMainEntryFee</f>
        <v>70</v>
      </c>
      <c r="U191" s="51"/>
    </row>
    <row r="192" spans="1:21" x14ac:dyDescent="0.25">
      <c r="A192" s="46">
        <f t="shared" si="3"/>
        <v>181</v>
      </c>
      <c r="B192" s="47"/>
      <c r="C192" s="7" t="s">
        <v>398</v>
      </c>
      <c r="D192" s="7" t="s">
        <v>185</v>
      </c>
      <c r="E192" s="8" t="s">
        <v>399</v>
      </c>
      <c r="F192" s="58"/>
      <c r="G192" s="12" t="s">
        <v>532</v>
      </c>
      <c r="H192" s="49"/>
      <c r="I192" s="47"/>
      <c r="J192" s="47"/>
      <c r="K192" s="47"/>
      <c r="L192" s="47"/>
      <c r="M192" s="47"/>
      <c r="N192" s="47"/>
      <c r="O192" s="94">
        <f>T192*N192</f>
        <v>0</v>
      </c>
      <c r="P192" s="47" t="s">
        <v>701</v>
      </c>
      <c r="Q192" s="47"/>
      <c r="R192" s="95">
        <f>IF(OR(P192="c",P192="C"),+T192,"")</f>
        <v>0</v>
      </c>
      <c r="S192" s="95" t="str">
        <f>IF(OR(P192="$",N192=1),+T192,"")</f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3"/>
        <v>182</v>
      </c>
      <c r="B193" s="47">
        <v>1</v>
      </c>
      <c r="C193" s="7" t="s">
        <v>755</v>
      </c>
      <c r="D193" s="7" t="s">
        <v>409</v>
      </c>
      <c r="E193" s="8" t="s">
        <v>756</v>
      </c>
      <c r="F193" s="58"/>
      <c r="G193" s="12" t="s">
        <v>532</v>
      </c>
      <c r="H193" s="49"/>
      <c r="I193" s="47"/>
      <c r="J193" s="47"/>
      <c r="K193" s="47"/>
      <c r="L193" s="47"/>
      <c r="M193" s="47"/>
      <c r="N193" s="47">
        <v>1</v>
      </c>
      <c r="O193" s="94">
        <f>T193*N193</f>
        <v>70</v>
      </c>
      <c r="P193" s="47" t="s">
        <v>707</v>
      </c>
      <c r="Q193" s="47"/>
      <c r="R193" s="95" t="str">
        <f>IF(OR(P193="c",P193="C"),+T193,"")</f>
        <v/>
      </c>
      <c r="S193" s="95">
        <f>IF(OR(P193="$",N193=1),+T193,"")</f>
        <v>70</v>
      </c>
      <c r="T193" s="96">
        <f>H193*[1]!FMainPool1Fee+I193*[1]!FMainPool2Fee+J193*[1]!FMainPool3Fee+K193*[1]!FMainPool4Fee+B193*[1]!FMainEntryFee</f>
        <v>70</v>
      </c>
      <c r="U193" s="51"/>
    </row>
    <row r="194" spans="1:21" x14ac:dyDescent="0.25">
      <c r="A194" s="46">
        <f t="shared" si="3"/>
        <v>183</v>
      </c>
      <c r="B194" s="47"/>
      <c r="C194" s="5" t="s">
        <v>400</v>
      </c>
      <c r="D194" s="5" t="s">
        <v>194</v>
      </c>
      <c r="E194" s="6" t="s">
        <v>401</v>
      </c>
      <c r="F194" s="48"/>
      <c r="G194" s="12" t="s">
        <v>598</v>
      </c>
      <c r="H194" s="49"/>
      <c r="I194" s="47"/>
      <c r="J194" s="47"/>
      <c r="K194" s="47"/>
      <c r="L194" s="47"/>
      <c r="M194" s="47"/>
      <c r="N194" s="47"/>
      <c r="O194" s="94">
        <f>T194*N194</f>
        <v>0</v>
      </c>
      <c r="P194" s="47" t="s">
        <v>701</v>
      </c>
      <c r="Q194" s="47"/>
      <c r="R194" s="95">
        <f>IF(OR(P194="c",P194="C"),+T194,"")</f>
        <v>0</v>
      </c>
      <c r="S194" s="95" t="str">
        <f>IF(OR(P194="$",N194=1),+T194,"")</f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3"/>
        <v>184</v>
      </c>
      <c r="B195" s="47"/>
      <c r="C195" s="5" t="s">
        <v>402</v>
      </c>
      <c r="D195" s="5" t="s">
        <v>329</v>
      </c>
      <c r="E195" s="6" t="s">
        <v>403</v>
      </c>
      <c r="F195" s="48"/>
      <c r="G195" s="12" t="s">
        <v>599</v>
      </c>
      <c r="H195" s="49"/>
      <c r="I195" s="47"/>
      <c r="J195" s="47"/>
      <c r="K195" s="47"/>
      <c r="L195" s="47"/>
      <c r="M195" s="47"/>
      <c r="N195" s="47"/>
      <c r="O195" s="94">
        <f>T195*N195</f>
        <v>0</v>
      </c>
      <c r="P195" s="47" t="s">
        <v>701</v>
      </c>
      <c r="Q195" s="47"/>
      <c r="R195" s="95">
        <f>IF(OR(P195="c",P195="C"),+T195,"")</f>
        <v>0</v>
      </c>
      <c r="S195" s="95" t="str">
        <f>IF(OR(P195="$",N195=1),+T195,"")</f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3"/>
        <v>185</v>
      </c>
      <c r="B196" s="47">
        <v>1</v>
      </c>
      <c r="C196" s="5" t="s">
        <v>406</v>
      </c>
      <c r="D196" s="5" t="s">
        <v>45</v>
      </c>
      <c r="E196" s="6" t="s">
        <v>407</v>
      </c>
      <c r="F196" s="48">
        <v>7078150886</v>
      </c>
      <c r="G196" s="109" t="s">
        <v>600</v>
      </c>
      <c r="H196" s="49"/>
      <c r="I196" s="47">
        <v>1</v>
      </c>
      <c r="J196" s="47">
        <v>1</v>
      </c>
      <c r="K196" s="47"/>
      <c r="L196" s="47"/>
      <c r="M196" s="47"/>
      <c r="N196" s="47"/>
      <c r="O196" s="94">
        <f>T196*N196</f>
        <v>0</v>
      </c>
      <c r="P196" s="47" t="s">
        <v>701</v>
      </c>
      <c r="Q196" s="47">
        <v>3948</v>
      </c>
      <c r="R196" s="95">
        <f>IF(OR(P196="c",P196="C"),+T196,"")</f>
        <v>100</v>
      </c>
      <c r="S196" s="95" t="str">
        <f>IF(OR(P196="$",N196=1),+T196,"")</f>
        <v/>
      </c>
      <c r="T196" s="96">
        <f>H196*[1]!FMainPool1Fee+I196*[1]!FMainPool2Fee+J196*[1]!FMainPool3Fee+K196*[1]!FMainPool4Fee+B196*[1]!FMainEntryFee</f>
        <v>100</v>
      </c>
      <c r="U196" s="51"/>
    </row>
    <row r="197" spans="1:21" x14ac:dyDescent="0.25">
      <c r="A197" s="46">
        <f t="shared" si="3"/>
        <v>186</v>
      </c>
      <c r="B197" s="47"/>
      <c r="C197" s="5" t="s">
        <v>408</v>
      </c>
      <c r="D197" s="5" t="s">
        <v>409</v>
      </c>
      <c r="E197" s="6" t="s">
        <v>410</v>
      </c>
      <c r="F197" s="48">
        <v>5106764872</v>
      </c>
      <c r="G197" s="109" t="s">
        <v>601</v>
      </c>
      <c r="H197" s="49"/>
      <c r="I197" s="47"/>
      <c r="J197" s="47"/>
      <c r="K197" s="47"/>
      <c r="L197" s="47"/>
      <c r="M197" s="47"/>
      <c r="N197" s="47"/>
      <c r="O197" s="94">
        <f>T197*N197</f>
        <v>0</v>
      </c>
      <c r="P197" s="47" t="s">
        <v>701</v>
      </c>
      <c r="Q197" s="47"/>
      <c r="R197" s="95">
        <f>IF(OR(P197="c",P197="C"),+T197,"")</f>
        <v>0</v>
      </c>
      <c r="S197" s="95" t="str">
        <f>IF(OR(P197="$",N197=1),+T197,"")</f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3"/>
        <v>187</v>
      </c>
      <c r="B198" s="47"/>
      <c r="C198" s="5" t="s">
        <v>411</v>
      </c>
      <c r="D198" s="5" t="s">
        <v>412</v>
      </c>
      <c r="E198" s="6" t="s">
        <v>413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>T198*N198</f>
        <v>0</v>
      </c>
      <c r="P198" s="47" t="s">
        <v>701</v>
      </c>
      <c r="Q198" s="47"/>
      <c r="R198" s="95">
        <f>IF(OR(P198="c",P198="C"),+T198,"")</f>
        <v>0</v>
      </c>
      <c r="S198" s="95" t="str">
        <f>IF(OR(P198="$",N198=1),+T198,"")</f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3"/>
        <v>188</v>
      </c>
      <c r="B199" s="47"/>
      <c r="C199" s="5" t="s">
        <v>414</v>
      </c>
      <c r="D199" s="5" t="s">
        <v>412</v>
      </c>
      <c r="E199" s="6" t="s">
        <v>415</v>
      </c>
      <c r="F199" s="113" t="s">
        <v>602</v>
      </c>
      <c r="G199" s="12" t="s">
        <v>603</v>
      </c>
      <c r="H199" s="49"/>
      <c r="I199" s="47"/>
      <c r="J199" s="47"/>
      <c r="K199" s="47"/>
      <c r="L199" s="47"/>
      <c r="M199" s="47"/>
      <c r="N199" s="47"/>
      <c r="O199" s="94">
        <f>T199*N199</f>
        <v>0</v>
      </c>
      <c r="P199" s="47" t="s">
        <v>701</v>
      </c>
      <c r="Q199" s="47"/>
      <c r="R199" s="95">
        <f>IF(OR(P199="c",P199="C"),+T199,"")</f>
        <v>0</v>
      </c>
      <c r="S199" s="95" t="str">
        <f>IF(OR(P199="$",N199=1),+T199,"")</f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3"/>
        <v>189</v>
      </c>
      <c r="B200" s="47"/>
      <c r="C200" s="15" t="s">
        <v>689</v>
      </c>
      <c r="D200" s="15" t="s">
        <v>690</v>
      </c>
      <c r="E200" s="10" t="s">
        <v>691</v>
      </c>
      <c r="F200" s="113"/>
      <c r="G200" s="15"/>
      <c r="H200" s="49"/>
      <c r="I200" s="47"/>
      <c r="J200" s="47"/>
      <c r="K200" s="47"/>
      <c r="L200" s="47"/>
      <c r="M200" s="47"/>
      <c r="N200" s="47"/>
      <c r="O200" s="94">
        <f>T200*N200</f>
        <v>0</v>
      </c>
      <c r="P200" s="47" t="s">
        <v>701</v>
      </c>
      <c r="Q200" s="47"/>
      <c r="R200" s="95">
        <f>IF(OR(P200="c",P200="C"),+T200,"")</f>
        <v>0</v>
      </c>
      <c r="S200" s="95" t="str">
        <f>IF(OR(P200="$",N200=1),+T200,"")</f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3"/>
        <v>190</v>
      </c>
      <c r="B201" s="47">
        <v>1</v>
      </c>
      <c r="C201" s="15" t="s">
        <v>692</v>
      </c>
      <c r="D201" s="15" t="s">
        <v>159</v>
      </c>
      <c r="E201" s="10" t="s">
        <v>693</v>
      </c>
      <c r="F201" s="113">
        <v>5103661378</v>
      </c>
      <c r="G201" s="109" t="s">
        <v>694</v>
      </c>
      <c r="H201" s="49">
        <v>1</v>
      </c>
      <c r="I201" s="47">
        <v>1</v>
      </c>
      <c r="J201" s="47"/>
      <c r="K201" s="47"/>
      <c r="L201" s="47"/>
      <c r="M201" s="47"/>
      <c r="N201" s="47"/>
      <c r="O201" s="94">
        <f>T201*N201</f>
        <v>0</v>
      </c>
      <c r="P201" s="47" t="s">
        <v>701</v>
      </c>
      <c r="Q201" s="47">
        <v>317</v>
      </c>
      <c r="R201" s="95">
        <f>IF(OR(P201="c",P201="C"),+T201,"")</f>
        <v>90</v>
      </c>
      <c r="S201" s="95" t="str">
        <f>IF(OR(P201="$",N201=1),+T201,"")</f>
        <v/>
      </c>
      <c r="T201" s="96">
        <f>H201*[1]!FMainPool1Fee+I201*[1]!FMainPool2Fee+J201*[1]!FMainPool3Fee+K201*[1]!FMainPool4Fee+B201*[1]!FMainEntryFee</f>
        <v>90</v>
      </c>
      <c r="U201" s="51"/>
    </row>
    <row r="202" spans="1:21" x14ac:dyDescent="0.25">
      <c r="A202" s="46">
        <f t="shared" si="3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ref="O202:O203" si="4">T202*N202</f>
        <v>0</v>
      </c>
      <c r="P202" s="50"/>
      <c r="Q202" s="50"/>
      <c r="R202" s="95" t="str">
        <f t="shared" ref="R202:R203" si="5">IF(OR(P202="c",P202="C"),+T202,"")</f>
        <v/>
      </c>
      <c r="S202" s="95" t="str">
        <f t="shared" ref="S202:S203" si="6">IF(OR(P202="$",N202=1),+T202,"")</f>
        <v/>
      </c>
      <c r="T202" s="96">
        <f t="shared" ref="T202:T203" si="7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3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4"/>
        <v>0</v>
      </c>
      <c r="P203" s="50"/>
      <c r="Q203" s="50"/>
      <c r="R203" s="95" t="str">
        <f t="shared" si="5"/>
        <v/>
      </c>
      <c r="S203" s="95" t="str">
        <f t="shared" si="6"/>
        <v/>
      </c>
      <c r="T203" s="96">
        <f t="shared" si="7"/>
        <v>0</v>
      </c>
      <c r="U203" s="51"/>
    </row>
    <row r="204" spans="1:21" x14ac:dyDescent="0.25">
      <c r="A204" s="46">
        <f t="shared" ref="A204:A267" si="8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9">T204*N204</f>
        <v>0</v>
      </c>
      <c r="P204" s="50"/>
      <c r="Q204" s="50"/>
      <c r="R204" s="95" t="str">
        <f t="shared" ref="R204:R267" si="10">IF(OR(P204="c",P204="C"),+T204,"")</f>
        <v/>
      </c>
      <c r="S204" s="95" t="str">
        <f t="shared" ref="S204:S267" si="11">IF(OR(P204="$",N204=1),+T204,"")</f>
        <v/>
      </c>
      <c r="T204" s="96">
        <f t="shared" ref="T204:T267" si="12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8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9"/>
        <v>0</v>
      </c>
      <c r="P205" s="50"/>
      <c r="Q205" s="50"/>
      <c r="R205" s="95" t="str">
        <f t="shared" si="10"/>
        <v/>
      </c>
      <c r="S205" s="95" t="str">
        <f t="shared" si="11"/>
        <v/>
      </c>
      <c r="T205" s="96">
        <f t="shared" si="12"/>
        <v>0</v>
      </c>
      <c r="U205" s="51"/>
    </row>
    <row r="206" spans="1:21" x14ac:dyDescent="0.25">
      <c r="A206" s="46">
        <f t="shared" si="8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9"/>
        <v>0</v>
      </c>
      <c r="P206" s="50"/>
      <c r="Q206" s="50"/>
      <c r="R206" s="95" t="str">
        <f t="shared" si="10"/>
        <v/>
      </c>
      <c r="S206" s="95" t="str">
        <f t="shared" si="11"/>
        <v/>
      </c>
      <c r="T206" s="96">
        <f t="shared" si="12"/>
        <v>0</v>
      </c>
      <c r="U206" s="51"/>
    </row>
    <row r="207" spans="1:21" x14ac:dyDescent="0.25">
      <c r="A207" s="46">
        <f t="shared" si="8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9"/>
        <v>0</v>
      </c>
      <c r="P207" s="50"/>
      <c r="Q207" s="50"/>
      <c r="R207" s="95" t="str">
        <f t="shared" si="10"/>
        <v/>
      </c>
      <c r="S207" s="95" t="str">
        <f t="shared" si="11"/>
        <v/>
      </c>
      <c r="T207" s="96">
        <f t="shared" si="12"/>
        <v>0</v>
      </c>
      <c r="U207" s="51"/>
    </row>
    <row r="208" spans="1:21" x14ac:dyDescent="0.25">
      <c r="A208" s="46">
        <f t="shared" si="8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9"/>
        <v>0</v>
      </c>
      <c r="P208" s="50"/>
      <c r="Q208" s="50"/>
      <c r="R208" s="95" t="str">
        <f t="shared" si="10"/>
        <v/>
      </c>
      <c r="S208" s="95" t="str">
        <f t="shared" si="11"/>
        <v/>
      </c>
      <c r="T208" s="96">
        <f t="shared" si="12"/>
        <v>0</v>
      </c>
      <c r="U208" s="51"/>
    </row>
    <row r="209" spans="1:21" x14ac:dyDescent="0.25">
      <c r="A209" s="46">
        <f t="shared" si="8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9"/>
        <v>0</v>
      </c>
      <c r="P209" s="50"/>
      <c r="Q209" s="50"/>
      <c r="R209" s="95" t="str">
        <f t="shared" si="10"/>
        <v/>
      </c>
      <c r="S209" s="95" t="str">
        <f t="shared" si="11"/>
        <v/>
      </c>
      <c r="T209" s="96">
        <f t="shared" si="12"/>
        <v>0</v>
      </c>
      <c r="U209" s="51"/>
    </row>
    <row r="210" spans="1:21" x14ac:dyDescent="0.25">
      <c r="A210" s="46">
        <f t="shared" si="8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9"/>
        <v>0</v>
      </c>
      <c r="P210" s="50"/>
      <c r="Q210" s="50"/>
      <c r="R210" s="95" t="str">
        <f t="shared" si="10"/>
        <v/>
      </c>
      <c r="S210" s="95" t="str">
        <f t="shared" si="11"/>
        <v/>
      </c>
      <c r="T210" s="96">
        <f t="shared" si="12"/>
        <v>0</v>
      </c>
      <c r="U210" s="51"/>
    </row>
    <row r="211" spans="1:21" x14ac:dyDescent="0.25">
      <c r="A211" s="46">
        <f t="shared" si="8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9"/>
        <v>0</v>
      </c>
      <c r="P211" s="50"/>
      <c r="Q211" s="50"/>
      <c r="R211" s="95" t="str">
        <f t="shared" si="10"/>
        <v/>
      </c>
      <c r="S211" s="95" t="str">
        <f t="shared" si="11"/>
        <v/>
      </c>
      <c r="T211" s="96">
        <f t="shared" si="12"/>
        <v>0</v>
      </c>
      <c r="U211" s="51"/>
    </row>
    <row r="212" spans="1:21" x14ac:dyDescent="0.25">
      <c r="A212" s="46">
        <f t="shared" si="8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9"/>
        <v>0</v>
      </c>
      <c r="P212" s="50"/>
      <c r="Q212" s="50"/>
      <c r="R212" s="95" t="str">
        <f t="shared" si="10"/>
        <v/>
      </c>
      <c r="S212" s="95" t="str">
        <f t="shared" si="11"/>
        <v/>
      </c>
      <c r="T212" s="96">
        <f t="shared" si="12"/>
        <v>0</v>
      </c>
      <c r="U212" s="51"/>
    </row>
    <row r="213" spans="1:21" x14ac:dyDescent="0.25">
      <c r="A213" s="46">
        <f t="shared" si="8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9"/>
        <v>0</v>
      </c>
      <c r="P213" s="50"/>
      <c r="Q213" s="50"/>
      <c r="R213" s="95" t="str">
        <f t="shared" si="10"/>
        <v/>
      </c>
      <c r="S213" s="95" t="str">
        <f t="shared" si="11"/>
        <v/>
      </c>
      <c r="T213" s="96">
        <f t="shared" si="12"/>
        <v>0</v>
      </c>
      <c r="U213" s="51"/>
    </row>
    <row r="214" spans="1:21" x14ac:dyDescent="0.25">
      <c r="A214" s="46">
        <f t="shared" si="8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9"/>
        <v>0</v>
      </c>
      <c r="P214" s="50"/>
      <c r="Q214" s="50"/>
      <c r="R214" s="95" t="str">
        <f t="shared" si="10"/>
        <v/>
      </c>
      <c r="S214" s="95" t="str">
        <f t="shared" si="11"/>
        <v/>
      </c>
      <c r="T214" s="96">
        <f t="shared" si="12"/>
        <v>0</v>
      </c>
      <c r="U214" s="51"/>
    </row>
    <row r="215" spans="1:21" x14ac:dyDescent="0.25">
      <c r="A215" s="46">
        <f t="shared" si="8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9"/>
        <v>0</v>
      </c>
      <c r="P215" s="50"/>
      <c r="Q215" s="50"/>
      <c r="R215" s="95" t="str">
        <f t="shared" si="10"/>
        <v/>
      </c>
      <c r="S215" s="95" t="str">
        <f t="shared" si="11"/>
        <v/>
      </c>
      <c r="T215" s="96">
        <f t="shared" si="12"/>
        <v>0</v>
      </c>
      <c r="U215" s="51"/>
    </row>
    <row r="216" spans="1:21" x14ac:dyDescent="0.25">
      <c r="A216" s="46">
        <f t="shared" si="8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9"/>
        <v>0</v>
      </c>
      <c r="P216" s="50"/>
      <c r="Q216" s="50"/>
      <c r="R216" s="95" t="str">
        <f t="shared" si="10"/>
        <v/>
      </c>
      <c r="S216" s="95" t="str">
        <f t="shared" si="11"/>
        <v/>
      </c>
      <c r="T216" s="96">
        <f t="shared" si="12"/>
        <v>0</v>
      </c>
      <c r="U216" s="51"/>
    </row>
    <row r="217" spans="1:21" x14ac:dyDescent="0.25">
      <c r="A217" s="46">
        <f t="shared" si="8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9"/>
        <v>0</v>
      </c>
      <c r="P217" s="50"/>
      <c r="Q217" s="50"/>
      <c r="R217" s="95" t="str">
        <f t="shared" si="10"/>
        <v/>
      </c>
      <c r="S217" s="95" t="str">
        <f t="shared" si="11"/>
        <v/>
      </c>
      <c r="T217" s="96">
        <f t="shared" si="12"/>
        <v>0</v>
      </c>
      <c r="U217" s="51"/>
    </row>
    <row r="218" spans="1:21" x14ac:dyDescent="0.25">
      <c r="A218" s="46">
        <f t="shared" si="8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9"/>
        <v>0</v>
      </c>
      <c r="P218" s="50"/>
      <c r="Q218" s="50"/>
      <c r="R218" s="95" t="str">
        <f t="shared" si="10"/>
        <v/>
      </c>
      <c r="S218" s="95" t="str">
        <f t="shared" si="11"/>
        <v/>
      </c>
      <c r="T218" s="96">
        <f t="shared" si="12"/>
        <v>0</v>
      </c>
      <c r="U218" s="51"/>
    </row>
    <row r="219" spans="1:21" x14ac:dyDescent="0.25">
      <c r="A219" s="46">
        <f t="shared" si="8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9"/>
        <v>0</v>
      </c>
      <c r="P219" s="50"/>
      <c r="Q219" s="50"/>
      <c r="R219" s="95" t="str">
        <f t="shared" si="10"/>
        <v/>
      </c>
      <c r="S219" s="95" t="str">
        <f t="shared" si="11"/>
        <v/>
      </c>
      <c r="T219" s="96">
        <f t="shared" si="12"/>
        <v>0</v>
      </c>
      <c r="U219" s="51"/>
    </row>
    <row r="220" spans="1:21" x14ac:dyDescent="0.25">
      <c r="A220" s="46">
        <f t="shared" si="8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9"/>
        <v>0</v>
      </c>
      <c r="P220" s="50"/>
      <c r="Q220" s="50"/>
      <c r="R220" s="95" t="str">
        <f t="shared" si="10"/>
        <v/>
      </c>
      <c r="S220" s="95" t="str">
        <f t="shared" si="11"/>
        <v/>
      </c>
      <c r="T220" s="96">
        <f t="shared" si="12"/>
        <v>0</v>
      </c>
      <c r="U220" s="51"/>
    </row>
    <row r="221" spans="1:21" x14ac:dyDescent="0.25">
      <c r="A221" s="46">
        <f t="shared" si="8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9"/>
        <v>0</v>
      </c>
      <c r="P221" s="50"/>
      <c r="Q221" s="50"/>
      <c r="R221" s="95" t="str">
        <f t="shared" si="10"/>
        <v/>
      </c>
      <c r="S221" s="95" t="str">
        <f t="shared" si="11"/>
        <v/>
      </c>
      <c r="T221" s="96">
        <f t="shared" si="12"/>
        <v>0</v>
      </c>
      <c r="U221" s="51"/>
    </row>
    <row r="222" spans="1:21" x14ac:dyDescent="0.25">
      <c r="A222" s="46">
        <f t="shared" si="8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9"/>
        <v>0</v>
      </c>
      <c r="P222" s="50"/>
      <c r="Q222" s="50"/>
      <c r="R222" s="95" t="str">
        <f t="shared" si="10"/>
        <v/>
      </c>
      <c r="S222" s="95" t="str">
        <f t="shared" si="11"/>
        <v/>
      </c>
      <c r="T222" s="96">
        <f t="shared" si="12"/>
        <v>0</v>
      </c>
      <c r="U222" s="51"/>
    </row>
    <row r="223" spans="1:21" x14ac:dyDescent="0.25">
      <c r="A223" s="46">
        <f t="shared" si="8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9"/>
        <v>0</v>
      </c>
      <c r="P223" s="50"/>
      <c r="Q223" s="50"/>
      <c r="R223" s="95" t="str">
        <f t="shared" si="10"/>
        <v/>
      </c>
      <c r="S223" s="95" t="str">
        <f t="shared" si="11"/>
        <v/>
      </c>
      <c r="T223" s="96">
        <f t="shared" si="12"/>
        <v>0</v>
      </c>
      <c r="U223" s="51"/>
    </row>
    <row r="224" spans="1:21" x14ac:dyDescent="0.25">
      <c r="A224" s="46">
        <f t="shared" si="8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9"/>
        <v>0</v>
      </c>
      <c r="P224" s="50"/>
      <c r="Q224" s="50"/>
      <c r="R224" s="95" t="str">
        <f t="shared" si="10"/>
        <v/>
      </c>
      <c r="S224" s="95" t="str">
        <f t="shared" si="11"/>
        <v/>
      </c>
      <c r="T224" s="96">
        <f t="shared" si="12"/>
        <v>0</v>
      </c>
      <c r="U224" s="51"/>
    </row>
    <row r="225" spans="1:21" x14ac:dyDescent="0.25">
      <c r="A225" s="46">
        <f t="shared" si="8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9"/>
        <v>0</v>
      </c>
      <c r="P225" s="50"/>
      <c r="Q225" s="50"/>
      <c r="R225" s="95" t="str">
        <f t="shared" si="10"/>
        <v/>
      </c>
      <c r="S225" s="95" t="str">
        <f t="shared" si="11"/>
        <v/>
      </c>
      <c r="T225" s="96">
        <f t="shared" si="12"/>
        <v>0</v>
      </c>
      <c r="U225" s="51"/>
    </row>
    <row r="226" spans="1:21" x14ac:dyDescent="0.25">
      <c r="A226" s="46">
        <f t="shared" si="8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9"/>
        <v>0</v>
      </c>
      <c r="P226" s="50"/>
      <c r="Q226" s="50"/>
      <c r="R226" s="95" t="str">
        <f t="shared" si="10"/>
        <v/>
      </c>
      <c r="S226" s="95" t="str">
        <f t="shared" si="11"/>
        <v/>
      </c>
      <c r="T226" s="96">
        <f t="shared" si="12"/>
        <v>0</v>
      </c>
      <c r="U226" s="51"/>
    </row>
    <row r="227" spans="1:21" x14ac:dyDescent="0.25">
      <c r="A227" s="46">
        <f t="shared" si="8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9"/>
        <v>0</v>
      </c>
      <c r="P227" s="50"/>
      <c r="Q227" s="50"/>
      <c r="R227" s="95" t="str">
        <f t="shared" si="10"/>
        <v/>
      </c>
      <c r="S227" s="95" t="str">
        <f t="shared" si="11"/>
        <v/>
      </c>
      <c r="T227" s="96">
        <f t="shared" si="12"/>
        <v>0</v>
      </c>
      <c r="U227" s="51"/>
    </row>
    <row r="228" spans="1:21" x14ac:dyDescent="0.25">
      <c r="A228" s="46">
        <f t="shared" si="8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9"/>
        <v>0</v>
      </c>
      <c r="P228" s="50"/>
      <c r="Q228" s="50"/>
      <c r="R228" s="95" t="str">
        <f t="shared" si="10"/>
        <v/>
      </c>
      <c r="S228" s="95" t="str">
        <f t="shared" si="11"/>
        <v/>
      </c>
      <c r="T228" s="96">
        <f t="shared" si="12"/>
        <v>0</v>
      </c>
      <c r="U228" s="51"/>
    </row>
    <row r="229" spans="1:21" x14ac:dyDescent="0.25">
      <c r="A229" s="46">
        <f t="shared" si="8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9"/>
        <v>0</v>
      </c>
      <c r="P229" s="50"/>
      <c r="Q229" s="50"/>
      <c r="R229" s="95" t="str">
        <f t="shared" si="10"/>
        <v/>
      </c>
      <c r="S229" s="95" t="str">
        <f t="shared" si="11"/>
        <v/>
      </c>
      <c r="T229" s="96">
        <f t="shared" si="12"/>
        <v>0</v>
      </c>
      <c r="U229" s="51"/>
    </row>
    <row r="230" spans="1:21" x14ac:dyDescent="0.25">
      <c r="A230" s="46">
        <f t="shared" si="8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9"/>
        <v>0</v>
      </c>
      <c r="P230" s="50"/>
      <c r="Q230" s="50"/>
      <c r="R230" s="95" t="str">
        <f t="shared" si="10"/>
        <v/>
      </c>
      <c r="S230" s="95" t="str">
        <f t="shared" si="11"/>
        <v/>
      </c>
      <c r="T230" s="96">
        <f t="shared" si="12"/>
        <v>0</v>
      </c>
      <c r="U230" s="51"/>
    </row>
    <row r="231" spans="1:21" x14ac:dyDescent="0.25">
      <c r="A231" s="46">
        <f t="shared" si="8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9"/>
        <v>0</v>
      </c>
      <c r="P231" s="50"/>
      <c r="Q231" s="50"/>
      <c r="R231" s="95" t="str">
        <f t="shared" si="10"/>
        <v/>
      </c>
      <c r="S231" s="95" t="str">
        <f t="shared" si="11"/>
        <v/>
      </c>
      <c r="T231" s="96">
        <f t="shared" si="12"/>
        <v>0</v>
      </c>
      <c r="U231" s="51"/>
    </row>
    <row r="232" spans="1:21" x14ac:dyDescent="0.25">
      <c r="A232" s="46">
        <f t="shared" si="8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9"/>
        <v>0</v>
      </c>
      <c r="P232" s="50"/>
      <c r="Q232" s="50"/>
      <c r="R232" s="95" t="str">
        <f t="shared" si="10"/>
        <v/>
      </c>
      <c r="S232" s="95" t="str">
        <f t="shared" si="11"/>
        <v/>
      </c>
      <c r="T232" s="96">
        <f t="shared" si="12"/>
        <v>0</v>
      </c>
      <c r="U232" s="51"/>
    </row>
    <row r="233" spans="1:21" x14ac:dyDescent="0.25">
      <c r="A233" s="46">
        <f t="shared" si="8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9"/>
        <v>0</v>
      </c>
      <c r="P233" s="50"/>
      <c r="Q233" s="50"/>
      <c r="R233" s="95" t="str">
        <f t="shared" si="10"/>
        <v/>
      </c>
      <c r="S233" s="95" t="str">
        <f t="shared" si="11"/>
        <v/>
      </c>
      <c r="T233" s="96">
        <f t="shared" si="12"/>
        <v>0</v>
      </c>
      <c r="U233" s="51"/>
    </row>
    <row r="234" spans="1:21" x14ac:dyDescent="0.25">
      <c r="A234" s="46">
        <f t="shared" si="8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9"/>
        <v>0</v>
      </c>
      <c r="P234" s="50"/>
      <c r="Q234" s="50"/>
      <c r="R234" s="95" t="str">
        <f t="shared" si="10"/>
        <v/>
      </c>
      <c r="S234" s="95" t="str">
        <f t="shared" si="11"/>
        <v/>
      </c>
      <c r="T234" s="96">
        <f t="shared" si="12"/>
        <v>0</v>
      </c>
      <c r="U234" s="51"/>
    </row>
    <row r="235" spans="1:21" x14ac:dyDescent="0.25">
      <c r="A235" s="46">
        <f t="shared" si="8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9"/>
        <v>0</v>
      </c>
      <c r="P235" s="50"/>
      <c r="Q235" s="50"/>
      <c r="R235" s="95" t="str">
        <f t="shared" si="10"/>
        <v/>
      </c>
      <c r="S235" s="95" t="str">
        <f t="shared" si="11"/>
        <v/>
      </c>
      <c r="T235" s="96">
        <f t="shared" si="12"/>
        <v>0</v>
      </c>
      <c r="U235" s="51"/>
    </row>
    <row r="236" spans="1:21" x14ac:dyDescent="0.25">
      <c r="A236" s="46">
        <f t="shared" si="8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9"/>
        <v>0</v>
      </c>
      <c r="P236" s="50"/>
      <c r="Q236" s="50"/>
      <c r="R236" s="95" t="str">
        <f t="shared" si="10"/>
        <v/>
      </c>
      <c r="S236" s="95" t="str">
        <f t="shared" si="11"/>
        <v/>
      </c>
      <c r="T236" s="96">
        <f t="shared" si="12"/>
        <v>0</v>
      </c>
      <c r="U236" s="51"/>
    </row>
    <row r="237" spans="1:21" x14ac:dyDescent="0.25">
      <c r="A237" s="46">
        <f t="shared" si="8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9"/>
        <v>0</v>
      </c>
      <c r="P237" s="50"/>
      <c r="Q237" s="50"/>
      <c r="R237" s="95" t="str">
        <f t="shared" si="10"/>
        <v/>
      </c>
      <c r="S237" s="95" t="str">
        <f t="shared" si="11"/>
        <v/>
      </c>
      <c r="T237" s="96">
        <f t="shared" si="12"/>
        <v>0</v>
      </c>
      <c r="U237" s="51"/>
    </row>
    <row r="238" spans="1:21" x14ac:dyDescent="0.25">
      <c r="A238" s="46">
        <f t="shared" si="8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9"/>
        <v>0</v>
      </c>
      <c r="P238" s="50"/>
      <c r="Q238" s="50"/>
      <c r="R238" s="95" t="str">
        <f t="shared" si="10"/>
        <v/>
      </c>
      <c r="S238" s="95" t="str">
        <f t="shared" si="11"/>
        <v/>
      </c>
      <c r="T238" s="96">
        <f t="shared" si="12"/>
        <v>0</v>
      </c>
      <c r="U238" s="51"/>
    </row>
    <row r="239" spans="1:21" x14ac:dyDescent="0.25">
      <c r="A239" s="46">
        <f t="shared" si="8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9"/>
        <v>0</v>
      </c>
      <c r="P239" s="50"/>
      <c r="Q239" s="50"/>
      <c r="R239" s="95" t="str">
        <f t="shared" si="10"/>
        <v/>
      </c>
      <c r="S239" s="95" t="str">
        <f t="shared" si="11"/>
        <v/>
      </c>
      <c r="T239" s="96">
        <f t="shared" si="12"/>
        <v>0</v>
      </c>
      <c r="U239" s="51"/>
    </row>
    <row r="240" spans="1:21" x14ac:dyDescent="0.25">
      <c r="A240" s="46">
        <f t="shared" si="8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9"/>
        <v>0</v>
      </c>
      <c r="P240" s="50"/>
      <c r="Q240" s="50"/>
      <c r="R240" s="95" t="str">
        <f t="shared" si="10"/>
        <v/>
      </c>
      <c r="S240" s="95" t="str">
        <f t="shared" si="11"/>
        <v/>
      </c>
      <c r="T240" s="96">
        <f t="shared" si="12"/>
        <v>0</v>
      </c>
      <c r="U240" s="51"/>
    </row>
    <row r="241" spans="1:21" x14ac:dyDescent="0.25">
      <c r="A241" s="46">
        <f t="shared" si="8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9"/>
        <v>0</v>
      </c>
      <c r="P241" s="50"/>
      <c r="Q241" s="50"/>
      <c r="R241" s="95" t="str">
        <f t="shared" si="10"/>
        <v/>
      </c>
      <c r="S241" s="95" t="str">
        <f t="shared" si="11"/>
        <v/>
      </c>
      <c r="T241" s="96">
        <f t="shared" si="12"/>
        <v>0</v>
      </c>
      <c r="U241" s="51"/>
    </row>
    <row r="242" spans="1:21" x14ac:dyDescent="0.25">
      <c r="A242" s="46">
        <f t="shared" si="8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9"/>
        <v>0</v>
      </c>
      <c r="P242" s="50"/>
      <c r="Q242" s="50"/>
      <c r="R242" s="95" t="str">
        <f t="shared" si="10"/>
        <v/>
      </c>
      <c r="S242" s="95" t="str">
        <f t="shared" si="11"/>
        <v/>
      </c>
      <c r="T242" s="96">
        <f t="shared" si="12"/>
        <v>0</v>
      </c>
      <c r="U242" s="51"/>
    </row>
    <row r="243" spans="1:21" x14ac:dyDescent="0.25">
      <c r="A243" s="46">
        <f t="shared" si="8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9"/>
        <v>0</v>
      </c>
      <c r="P243" s="50"/>
      <c r="Q243" s="50"/>
      <c r="R243" s="95" t="str">
        <f t="shared" si="10"/>
        <v/>
      </c>
      <c r="S243" s="95" t="str">
        <f t="shared" si="11"/>
        <v/>
      </c>
      <c r="T243" s="96">
        <f t="shared" si="12"/>
        <v>0</v>
      </c>
      <c r="U243" s="51"/>
    </row>
    <row r="244" spans="1:21" x14ac:dyDescent="0.25">
      <c r="A244" s="46">
        <f t="shared" si="8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9"/>
        <v>0</v>
      </c>
      <c r="P244" s="50"/>
      <c r="Q244" s="50"/>
      <c r="R244" s="95" t="str">
        <f t="shared" si="10"/>
        <v/>
      </c>
      <c r="S244" s="95" t="str">
        <f t="shared" si="11"/>
        <v/>
      </c>
      <c r="T244" s="96">
        <f t="shared" si="12"/>
        <v>0</v>
      </c>
      <c r="U244" s="51"/>
    </row>
    <row r="245" spans="1:21" x14ac:dyDescent="0.25">
      <c r="A245" s="46">
        <f t="shared" si="8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9"/>
        <v>0</v>
      </c>
      <c r="P245" s="50"/>
      <c r="Q245" s="50"/>
      <c r="R245" s="95" t="str">
        <f t="shared" si="10"/>
        <v/>
      </c>
      <c r="S245" s="95" t="str">
        <f t="shared" si="11"/>
        <v/>
      </c>
      <c r="T245" s="96">
        <f t="shared" si="12"/>
        <v>0</v>
      </c>
      <c r="U245" s="51"/>
    </row>
    <row r="246" spans="1:21" x14ac:dyDescent="0.25">
      <c r="A246" s="46">
        <f t="shared" si="8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9"/>
        <v>0</v>
      </c>
      <c r="P246" s="50"/>
      <c r="Q246" s="50"/>
      <c r="R246" s="95" t="str">
        <f t="shared" si="10"/>
        <v/>
      </c>
      <c r="S246" s="95" t="str">
        <f t="shared" si="11"/>
        <v/>
      </c>
      <c r="T246" s="96">
        <f t="shared" si="12"/>
        <v>0</v>
      </c>
      <c r="U246" s="51"/>
    </row>
    <row r="247" spans="1:21" x14ac:dyDescent="0.25">
      <c r="A247" s="46">
        <f t="shared" si="8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9"/>
        <v>0</v>
      </c>
      <c r="P247" s="50"/>
      <c r="Q247" s="50"/>
      <c r="R247" s="95" t="str">
        <f t="shared" si="10"/>
        <v/>
      </c>
      <c r="S247" s="95" t="str">
        <f t="shared" si="11"/>
        <v/>
      </c>
      <c r="T247" s="96">
        <f t="shared" si="12"/>
        <v>0</v>
      </c>
      <c r="U247" s="51"/>
    </row>
    <row r="248" spans="1:21" x14ac:dyDescent="0.25">
      <c r="A248" s="46">
        <f t="shared" si="8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9"/>
        <v>0</v>
      </c>
      <c r="P248" s="50"/>
      <c r="Q248" s="50"/>
      <c r="R248" s="95" t="str">
        <f t="shared" si="10"/>
        <v/>
      </c>
      <c r="S248" s="95" t="str">
        <f t="shared" si="11"/>
        <v/>
      </c>
      <c r="T248" s="96">
        <f t="shared" si="12"/>
        <v>0</v>
      </c>
      <c r="U248" s="51"/>
    </row>
    <row r="249" spans="1:21" x14ac:dyDescent="0.25">
      <c r="A249" s="46">
        <f t="shared" si="8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9"/>
        <v>0</v>
      </c>
      <c r="P249" s="50"/>
      <c r="Q249" s="50"/>
      <c r="R249" s="95" t="str">
        <f t="shared" si="10"/>
        <v/>
      </c>
      <c r="S249" s="95" t="str">
        <f t="shared" si="11"/>
        <v/>
      </c>
      <c r="T249" s="96">
        <f t="shared" si="12"/>
        <v>0</v>
      </c>
      <c r="U249" s="51"/>
    </row>
    <row r="250" spans="1:21" x14ac:dyDescent="0.25">
      <c r="A250" s="46">
        <f t="shared" si="8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9"/>
        <v>0</v>
      </c>
      <c r="P250" s="50"/>
      <c r="Q250" s="50"/>
      <c r="R250" s="95" t="str">
        <f t="shared" si="10"/>
        <v/>
      </c>
      <c r="S250" s="95" t="str">
        <f t="shared" si="11"/>
        <v/>
      </c>
      <c r="T250" s="96">
        <f t="shared" si="12"/>
        <v>0</v>
      </c>
      <c r="U250" s="51"/>
    </row>
    <row r="251" spans="1:21" x14ac:dyDescent="0.25">
      <c r="A251" s="46">
        <f t="shared" si="8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9"/>
        <v>0</v>
      </c>
      <c r="P251" s="50"/>
      <c r="Q251" s="50"/>
      <c r="R251" s="95" t="str">
        <f t="shared" si="10"/>
        <v/>
      </c>
      <c r="S251" s="95" t="str">
        <f t="shared" si="11"/>
        <v/>
      </c>
      <c r="T251" s="96">
        <f t="shared" si="12"/>
        <v>0</v>
      </c>
      <c r="U251" s="51"/>
    </row>
    <row r="252" spans="1:21" x14ac:dyDescent="0.25">
      <c r="A252" s="46">
        <f t="shared" si="8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9"/>
        <v>0</v>
      </c>
      <c r="P252" s="50"/>
      <c r="Q252" s="50"/>
      <c r="R252" s="95" t="str">
        <f t="shared" si="10"/>
        <v/>
      </c>
      <c r="S252" s="95" t="str">
        <f t="shared" si="11"/>
        <v/>
      </c>
      <c r="T252" s="96">
        <f t="shared" si="12"/>
        <v>0</v>
      </c>
      <c r="U252" s="51"/>
    </row>
    <row r="253" spans="1:21" x14ac:dyDescent="0.25">
      <c r="A253" s="46">
        <f t="shared" si="8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9"/>
        <v>0</v>
      </c>
      <c r="P253" s="50"/>
      <c r="Q253" s="50"/>
      <c r="R253" s="95" t="str">
        <f t="shared" si="10"/>
        <v/>
      </c>
      <c r="S253" s="95" t="str">
        <f t="shared" si="11"/>
        <v/>
      </c>
      <c r="T253" s="96">
        <f t="shared" si="12"/>
        <v>0</v>
      </c>
      <c r="U253" s="51"/>
    </row>
    <row r="254" spans="1:21" x14ac:dyDescent="0.25">
      <c r="A254" s="46">
        <f t="shared" si="8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9"/>
        <v>0</v>
      </c>
      <c r="P254" s="50"/>
      <c r="Q254" s="50"/>
      <c r="R254" s="95" t="str">
        <f t="shared" si="10"/>
        <v/>
      </c>
      <c r="S254" s="95" t="str">
        <f t="shared" si="11"/>
        <v/>
      </c>
      <c r="T254" s="96">
        <f t="shared" si="12"/>
        <v>0</v>
      </c>
      <c r="U254" s="51"/>
    </row>
    <row r="255" spans="1:21" x14ac:dyDescent="0.25">
      <c r="A255" s="46">
        <f t="shared" si="8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9"/>
        <v>0</v>
      </c>
      <c r="P255" s="50"/>
      <c r="Q255" s="50"/>
      <c r="R255" s="95" t="str">
        <f t="shared" si="10"/>
        <v/>
      </c>
      <c r="S255" s="95" t="str">
        <f t="shared" si="11"/>
        <v/>
      </c>
      <c r="T255" s="96">
        <f t="shared" si="12"/>
        <v>0</v>
      </c>
      <c r="U255" s="51"/>
    </row>
    <row r="256" spans="1:21" x14ac:dyDescent="0.25">
      <c r="A256" s="46">
        <f t="shared" si="8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9"/>
        <v>0</v>
      </c>
      <c r="P256" s="50"/>
      <c r="Q256" s="50"/>
      <c r="R256" s="95" t="str">
        <f t="shared" si="10"/>
        <v/>
      </c>
      <c r="S256" s="95" t="str">
        <f t="shared" si="11"/>
        <v/>
      </c>
      <c r="T256" s="96">
        <f t="shared" si="12"/>
        <v>0</v>
      </c>
      <c r="U256" s="51"/>
    </row>
    <row r="257" spans="1:21" x14ac:dyDescent="0.25">
      <c r="A257" s="46">
        <f t="shared" si="8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9"/>
        <v>0</v>
      </c>
      <c r="P257" s="50"/>
      <c r="Q257" s="50"/>
      <c r="R257" s="95" t="str">
        <f t="shared" si="10"/>
        <v/>
      </c>
      <c r="S257" s="95" t="str">
        <f t="shared" si="11"/>
        <v/>
      </c>
      <c r="T257" s="96">
        <f t="shared" si="12"/>
        <v>0</v>
      </c>
      <c r="U257" s="51"/>
    </row>
    <row r="258" spans="1:21" x14ac:dyDescent="0.25">
      <c r="A258" s="46">
        <f t="shared" si="8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9"/>
        <v>0</v>
      </c>
      <c r="P258" s="50"/>
      <c r="Q258" s="50"/>
      <c r="R258" s="95" t="str">
        <f t="shared" si="10"/>
        <v/>
      </c>
      <c r="S258" s="95" t="str">
        <f t="shared" si="11"/>
        <v/>
      </c>
      <c r="T258" s="96">
        <f t="shared" si="12"/>
        <v>0</v>
      </c>
      <c r="U258" s="51"/>
    </row>
    <row r="259" spans="1:21" x14ac:dyDescent="0.25">
      <c r="A259" s="46">
        <f t="shared" si="8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9"/>
        <v>0</v>
      </c>
      <c r="P259" s="50"/>
      <c r="Q259" s="50"/>
      <c r="R259" s="95" t="str">
        <f t="shared" si="10"/>
        <v/>
      </c>
      <c r="S259" s="95" t="str">
        <f t="shared" si="11"/>
        <v/>
      </c>
      <c r="T259" s="96">
        <f t="shared" si="12"/>
        <v>0</v>
      </c>
      <c r="U259" s="51"/>
    </row>
    <row r="260" spans="1:21" x14ac:dyDescent="0.25">
      <c r="A260" s="46">
        <f t="shared" si="8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9"/>
        <v>0</v>
      </c>
      <c r="P260" s="50"/>
      <c r="Q260" s="50"/>
      <c r="R260" s="95" t="str">
        <f t="shared" si="10"/>
        <v/>
      </c>
      <c r="S260" s="95" t="str">
        <f t="shared" si="11"/>
        <v/>
      </c>
      <c r="T260" s="96">
        <f t="shared" si="12"/>
        <v>0</v>
      </c>
      <c r="U260" s="51"/>
    </row>
    <row r="261" spans="1:21" x14ac:dyDescent="0.25">
      <c r="A261" s="46">
        <f t="shared" si="8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9"/>
        <v>0</v>
      </c>
      <c r="P261" s="50"/>
      <c r="Q261" s="50"/>
      <c r="R261" s="95" t="str">
        <f t="shared" si="10"/>
        <v/>
      </c>
      <c r="S261" s="95" t="str">
        <f t="shared" si="11"/>
        <v/>
      </c>
      <c r="T261" s="96">
        <f t="shared" si="12"/>
        <v>0</v>
      </c>
      <c r="U261" s="51"/>
    </row>
    <row r="262" spans="1:21" x14ac:dyDescent="0.25">
      <c r="A262" s="46">
        <f t="shared" si="8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9"/>
        <v>0</v>
      </c>
      <c r="P262" s="50"/>
      <c r="Q262" s="50"/>
      <c r="R262" s="95" t="str">
        <f t="shared" si="10"/>
        <v/>
      </c>
      <c r="S262" s="95" t="str">
        <f t="shared" si="11"/>
        <v/>
      </c>
      <c r="T262" s="96">
        <f t="shared" si="12"/>
        <v>0</v>
      </c>
      <c r="U262" s="51"/>
    </row>
    <row r="263" spans="1:21" x14ac:dyDescent="0.25">
      <c r="A263" s="46">
        <f t="shared" si="8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9"/>
        <v>0</v>
      </c>
      <c r="P263" s="50"/>
      <c r="Q263" s="50"/>
      <c r="R263" s="95" t="str">
        <f t="shared" si="10"/>
        <v/>
      </c>
      <c r="S263" s="95" t="str">
        <f t="shared" si="11"/>
        <v/>
      </c>
      <c r="T263" s="96">
        <f t="shared" si="12"/>
        <v>0</v>
      </c>
      <c r="U263" s="51"/>
    </row>
    <row r="264" spans="1:21" x14ac:dyDescent="0.25">
      <c r="A264" s="46">
        <f t="shared" si="8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9"/>
        <v>0</v>
      </c>
      <c r="P264" s="50"/>
      <c r="Q264" s="50"/>
      <c r="R264" s="95" t="str">
        <f t="shared" si="10"/>
        <v/>
      </c>
      <c r="S264" s="95" t="str">
        <f t="shared" si="11"/>
        <v/>
      </c>
      <c r="T264" s="96">
        <f t="shared" si="12"/>
        <v>0</v>
      </c>
      <c r="U264" s="51"/>
    </row>
    <row r="265" spans="1:21" x14ac:dyDescent="0.25">
      <c r="A265" s="46">
        <f t="shared" si="8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9"/>
        <v>0</v>
      </c>
      <c r="P265" s="50"/>
      <c r="Q265" s="50"/>
      <c r="R265" s="95" t="str">
        <f t="shared" si="10"/>
        <v/>
      </c>
      <c r="S265" s="95" t="str">
        <f t="shared" si="11"/>
        <v/>
      </c>
      <c r="T265" s="96">
        <f t="shared" si="12"/>
        <v>0</v>
      </c>
      <c r="U265" s="51"/>
    </row>
    <row r="266" spans="1:21" x14ac:dyDescent="0.25">
      <c r="A266" s="46">
        <f t="shared" si="8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9"/>
        <v>0</v>
      </c>
      <c r="P266" s="50"/>
      <c r="Q266" s="50"/>
      <c r="R266" s="95" t="str">
        <f t="shared" si="10"/>
        <v/>
      </c>
      <c r="S266" s="95" t="str">
        <f t="shared" si="11"/>
        <v/>
      </c>
      <c r="T266" s="96">
        <f t="shared" si="12"/>
        <v>0</v>
      </c>
      <c r="U266" s="51"/>
    </row>
    <row r="267" spans="1:21" x14ac:dyDescent="0.25">
      <c r="A267" s="46">
        <f t="shared" si="8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9"/>
        <v>0</v>
      </c>
      <c r="P267" s="50"/>
      <c r="Q267" s="50"/>
      <c r="R267" s="95" t="str">
        <f t="shared" si="10"/>
        <v/>
      </c>
      <c r="S267" s="95" t="str">
        <f t="shared" si="11"/>
        <v/>
      </c>
      <c r="T267" s="96">
        <f t="shared" si="12"/>
        <v>0</v>
      </c>
      <c r="U267" s="51"/>
    </row>
    <row r="268" spans="1:21" x14ac:dyDescent="0.25">
      <c r="A268" s="46">
        <f t="shared" ref="A268:A331" si="13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14">T268*N268</f>
        <v>0</v>
      </c>
      <c r="P268" s="50"/>
      <c r="Q268" s="50"/>
      <c r="R268" s="95" t="str">
        <f t="shared" ref="R268:R331" si="15">IF(OR(P268="c",P268="C"),+T268,"")</f>
        <v/>
      </c>
      <c r="S268" s="95" t="str">
        <f t="shared" ref="S268:S331" si="16">IF(OR(P268="$",N268=1),+T268,"")</f>
        <v/>
      </c>
      <c r="T268" s="96">
        <f t="shared" ref="T268:T331" si="17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13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14"/>
        <v>0</v>
      </c>
      <c r="P269" s="50"/>
      <c r="Q269" s="50"/>
      <c r="R269" s="95" t="str">
        <f t="shared" si="15"/>
        <v/>
      </c>
      <c r="S269" s="95" t="str">
        <f t="shared" si="16"/>
        <v/>
      </c>
      <c r="T269" s="96">
        <f t="shared" si="17"/>
        <v>0</v>
      </c>
      <c r="U269" s="51"/>
    </row>
    <row r="270" spans="1:21" x14ac:dyDescent="0.25">
      <c r="A270" s="46">
        <f t="shared" si="13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14"/>
        <v>0</v>
      </c>
      <c r="P270" s="50"/>
      <c r="Q270" s="50"/>
      <c r="R270" s="95" t="str">
        <f t="shared" si="15"/>
        <v/>
      </c>
      <c r="S270" s="95" t="str">
        <f t="shared" si="16"/>
        <v/>
      </c>
      <c r="T270" s="96">
        <f t="shared" si="17"/>
        <v>0</v>
      </c>
      <c r="U270" s="51"/>
    </row>
    <row r="271" spans="1:21" x14ac:dyDescent="0.25">
      <c r="A271" s="46">
        <f t="shared" si="13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14"/>
        <v>0</v>
      </c>
      <c r="P271" s="50"/>
      <c r="Q271" s="50"/>
      <c r="R271" s="95" t="str">
        <f t="shared" si="15"/>
        <v/>
      </c>
      <c r="S271" s="95" t="str">
        <f t="shared" si="16"/>
        <v/>
      </c>
      <c r="T271" s="96">
        <f t="shared" si="17"/>
        <v>0</v>
      </c>
      <c r="U271" s="51"/>
    </row>
    <row r="272" spans="1:21" x14ac:dyDescent="0.25">
      <c r="A272" s="46">
        <f t="shared" si="13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14"/>
        <v>0</v>
      </c>
      <c r="P272" s="50"/>
      <c r="Q272" s="50"/>
      <c r="R272" s="95" t="str">
        <f t="shared" si="15"/>
        <v/>
      </c>
      <c r="S272" s="95" t="str">
        <f t="shared" si="16"/>
        <v/>
      </c>
      <c r="T272" s="96">
        <f t="shared" si="17"/>
        <v>0</v>
      </c>
      <c r="U272" s="51"/>
    </row>
    <row r="273" spans="1:21" x14ac:dyDescent="0.25">
      <c r="A273" s="46">
        <f t="shared" si="13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14"/>
        <v>0</v>
      </c>
      <c r="P273" s="50"/>
      <c r="Q273" s="50"/>
      <c r="R273" s="95" t="str">
        <f t="shared" si="15"/>
        <v/>
      </c>
      <c r="S273" s="95" t="str">
        <f t="shared" si="16"/>
        <v/>
      </c>
      <c r="T273" s="96">
        <f t="shared" si="17"/>
        <v>0</v>
      </c>
      <c r="U273" s="51"/>
    </row>
    <row r="274" spans="1:21" x14ac:dyDescent="0.25">
      <c r="A274" s="46">
        <f t="shared" si="13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14"/>
        <v>0</v>
      </c>
      <c r="P274" s="50"/>
      <c r="Q274" s="50"/>
      <c r="R274" s="95" t="str">
        <f t="shared" si="15"/>
        <v/>
      </c>
      <c r="S274" s="95" t="str">
        <f t="shared" si="16"/>
        <v/>
      </c>
      <c r="T274" s="96">
        <f t="shared" si="17"/>
        <v>0</v>
      </c>
      <c r="U274" s="51"/>
    </row>
    <row r="275" spans="1:21" x14ac:dyDescent="0.25">
      <c r="A275" s="46">
        <f t="shared" si="13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14"/>
        <v>0</v>
      </c>
      <c r="P275" s="50"/>
      <c r="Q275" s="50"/>
      <c r="R275" s="95" t="str">
        <f t="shared" si="15"/>
        <v/>
      </c>
      <c r="S275" s="95" t="str">
        <f t="shared" si="16"/>
        <v/>
      </c>
      <c r="T275" s="96">
        <f t="shared" si="17"/>
        <v>0</v>
      </c>
      <c r="U275" s="51"/>
    </row>
    <row r="276" spans="1:21" x14ac:dyDescent="0.25">
      <c r="A276" s="46">
        <f t="shared" si="13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14"/>
        <v>0</v>
      </c>
      <c r="P276" s="50"/>
      <c r="Q276" s="50"/>
      <c r="R276" s="95" t="str">
        <f t="shared" si="15"/>
        <v/>
      </c>
      <c r="S276" s="95" t="str">
        <f t="shared" si="16"/>
        <v/>
      </c>
      <c r="T276" s="96">
        <f t="shared" si="17"/>
        <v>0</v>
      </c>
      <c r="U276" s="51"/>
    </row>
    <row r="277" spans="1:21" x14ac:dyDescent="0.25">
      <c r="A277" s="46">
        <f t="shared" si="13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14"/>
        <v>0</v>
      </c>
      <c r="P277" s="50"/>
      <c r="Q277" s="50"/>
      <c r="R277" s="95" t="str">
        <f t="shared" si="15"/>
        <v/>
      </c>
      <c r="S277" s="95" t="str">
        <f t="shared" si="16"/>
        <v/>
      </c>
      <c r="T277" s="96">
        <f t="shared" si="17"/>
        <v>0</v>
      </c>
      <c r="U277" s="51"/>
    </row>
    <row r="278" spans="1:21" x14ac:dyDescent="0.25">
      <c r="A278" s="46">
        <f t="shared" si="13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14"/>
        <v>0</v>
      </c>
      <c r="P278" s="50"/>
      <c r="Q278" s="50"/>
      <c r="R278" s="95" t="str">
        <f t="shared" si="15"/>
        <v/>
      </c>
      <c r="S278" s="95" t="str">
        <f t="shared" si="16"/>
        <v/>
      </c>
      <c r="T278" s="96">
        <f t="shared" si="17"/>
        <v>0</v>
      </c>
      <c r="U278" s="51"/>
    </row>
    <row r="279" spans="1:21" x14ac:dyDescent="0.25">
      <c r="A279" s="46">
        <f t="shared" si="13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14"/>
        <v>0</v>
      </c>
      <c r="P279" s="50"/>
      <c r="Q279" s="50"/>
      <c r="R279" s="95" t="str">
        <f t="shared" si="15"/>
        <v/>
      </c>
      <c r="S279" s="95" t="str">
        <f t="shared" si="16"/>
        <v/>
      </c>
      <c r="T279" s="96">
        <f t="shared" si="17"/>
        <v>0</v>
      </c>
      <c r="U279" s="51"/>
    </row>
    <row r="280" spans="1:21" x14ac:dyDescent="0.25">
      <c r="A280" s="46">
        <f t="shared" si="13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14"/>
        <v>0</v>
      </c>
      <c r="P280" s="50"/>
      <c r="Q280" s="50"/>
      <c r="R280" s="95" t="str">
        <f t="shared" si="15"/>
        <v/>
      </c>
      <c r="S280" s="95" t="str">
        <f t="shared" si="16"/>
        <v/>
      </c>
      <c r="T280" s="96">
        <f t="shared" si="17"/>
        <v>0</v>
      </c>
      <c r="U280" s="51"/>
    </row>
    <row r="281" spans="1:21" x14ac:dyDescent="0.25">
      <c r="A281" s="46">
        <f t="shared" si="13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14"/>
        <v>0</v>
      </c>
      <c r="P281" s="50"/>
      <c r="Q281" s="50"/>
      <c r="R281" s="95" t="str">
        <f t="shared" si="15"/>
        <v/>
      </c>
      <c r="S281" s="95" t="str">
        <f t="shared" si="16"/>
        <v/>
      </c>
      <c r="T281" s="96">
        <f t="shared" si="17"/>
        <v>0</v>
      </c>
      <c r="U281" s="51"/>
    </row>
    <row r="282" spans="1:21" x14ac:dyDescent="0.25">
      <c r="A282" s="46">
        <f t="shared" si="13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14"/>
        <v>0</v>
      </c>
      <c r="P282" s="50"/>
      <c r="Q282" s="50"/>
      <c r="R282" s="95" t="str">
        <f t="shared" si="15"/>
        <v/>
      </c>
      <c r="S282" s="95" t="str">
        <f t="shared" si="16"/>
        <v/>
      </c>
      <c r="T282" s="96">
        <f t="shared" si="17"/>
        <v>0</v>
      </c>
      <c r="U282" s="51"/>
    </row>
    <row r="283" spans="1:21" x14ac:dyDescent="0.25">
      <c r="A283" s="46">
        <f t="shared" si="13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14"/>
        <v>0</v>
      </c>
      <c r="P283" s="50"/>
      <c r="Q283" s="50"/>
      <c r="R283" s="95" t="str">
        <f t="shared" si="15"/>
        <v/>
      </c>
      <c r="S283" s="95" t="str">
        <f t="shared" si="16"/>
        <v/>
      </c>
      <c r="T283" s="96">
        <f t="shared" si="17"/>
        <v>0</v>
      </c>
      <c r="U283" s="51"/>
    </row>
    <row r="284" spans="1:21" x14ac:dyDescent="0.25">
      <c r="A284" s="46">
        <f t="shared" si="13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14"/>
        <v>0</v>
      </c>
      <c r="P284" s="50"/>
      <c r="Q284" s="50"/>
      <c r="R284" s="95" t="str">
        <f t="shared" si="15"/>
        <v/>
      </c>
      <c r="S284" s="95" t="str">
        <f t="shared" si="16"/>
        <v/>
      </c>
      <c r="T284" s="96">
        <f t="shared" si="17"/>
        <v>0</v>
      </c>
      <c r="U284" s="51"/>
    </row>
    <row r="285" spans="1:21" x14ac:dyDescent="0.25">
      <c r="A285" s="46">
        <f t="shared" si="13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14"/>
        <v>0</v>
      </c>
      <c r="P285" s="50"/>
      <c r="Q285" s="50"/>
      <c r="R285" s="95" t="str">
        <f t="shared" si="15"/>
        <v/>
      </c>
      <c r="S285" s="95" t="str">
        <f t="shared" si="16"/>
        <v/>
      </c>
      <c r="T285" s="96">
        <f t="shared" si="17"/>
        <v>0</v>
      </c>
      <c r="U285" s="51"/>
    </row>
    <row r="286" spans="1:21" x14ac:dyDescent="0.25">
      <c r="A286" s="46">
        <f t="shared" si="13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14"/>
        <v>0</v>
      </c>
      <c r="P286" s="50"/>
      <c r="Q286" s="50"/>
      <c r="R286" s="95" t="str">
        <f t="shared" si="15"/>
        <v/>
      </c>
      <c r="S286" s="95" t="str">
        <f t="shared" si="16"/>
        <v/>
      </c>
      <c r="T286" s="96">
        <f t="shared" si="17"/>
        <v>0</v>
      </c>
      <c r="U286" s="51"/>
    </row>
    <row r="287" spans="1:21" x14ac:dyDescent="0.25">
      <c r="A287" s="46">
        <f t="shared" si="13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14"/>
        <v>0</v>
      </c>
      <c r="P287" s="50"/>
      <c r="Q287" s="50"/>
      <c r="R287" s="95" t="str">
        <f t="shared" si="15"/>
        <v/>
      </c>
      <c r="S287" s="95" t="str">
        <f t="shared" si="16"/>
        <v/>
      </c>
      <c r="T287" s="96">
        <f t="shared" si="17"/>
        <v>0</v>
      </c>
      <c r="U287" s="51"/>
    </row>
    <row r="288" spans="1:21" x14ac:dyDescent="0.25">
      <c r="A288" s="46">
        <f t="shared" si="13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14"/>
        <v>0</v>
      </c>
      <c r="P288" s="50"/>
      <c r="Q288" s="50"/>
      <c r="R288" s="95" t="str">
        <f t="shared" si="15"/>
        <v/>
      </c>
      <c r="S288" s="95" t="str">
        <f t="shared" si="16"/>
        <v/>
      </c>
      <c r="T288" s="96">
        <f t="shared" si="17"/>
        <v>0</v>
      </c>
      <c r="U288" s="51"/>
    </row>
    <row r="289" spans="1:21" x14ac:dyDescent="0.25">
      <c r="A289" s="46">
        <f t="shared" si="13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14"/>
        <v>0</v>
      </c>
      <c r="P289" s="50"/>
      <c r="Q289" s="50"/>
      <c r="R289" s="95" t="str">
        <f t="shared" si="15"/>
        <v/>
      </c>
      <c r="S289" s="95" t="str">
        <f t="shared" si="16"/>
        <v/>
      </c>
      <c r="T289" s="96">
        <f t="shared" si="17"/>
        <v>0</v>
      </c>
      <c r="U289" s="51"/>
    </row>
    <row r="290" spans="1:21" x14ac:dyDescent="0.25">
      <c r="A290" s="46">
        <f t="shared" si="13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14"/>
        <v>0</v>
      </c>
      <c r="P290" s="50"/>
      <c r="Q290" s="50"/>
      <c r="R290" s="95" t="str">
        <f t="shared" si="15"/>
        <v/>
      </c>
      <c r="S290" s="95" t="str">
        <f t="shared" si="16"/>
        <v/>
      </c>
      <c r="T290" s="96">
        <f t="shared" si="17"/>
        <v>0</v>
      </c>
      <c r="U290" s="51"/>
    </row>
    <row r="291" spans="1:21" x14ac:dyDescent="0.25">
      <c r="A291" s="46">
        <f t="shared" si="13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14"/>
        <v>0</v>
      </c>
      <c r="P291" s="50"/>
      <c r="Q291" s="50"/>
      <c r="R291" s="95" t="str">
        <f t="shared" si="15"/>
        <v/>
      </c>
      <c r="S291" s="95" t="str">
        <f t="shared" si="16"/>
        <v/>
      </c>
      <c r="T291" s="96">
        <f t="shared" si="17"/>
        <v>0</v>
      </c>
      <c r="U291" s="51"/>
    </row>
    <row r="292" spans="1:21" x14ac:dyDescent="0.25">
      <c r="A292" s="46">
        <f t="shared" si="13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14"/>
        <v>0</v>
      </c>
      <c r="P292" s="50"/>
      <c r="Q292" s="50"/>
      <c r="R292" s="95" t="str">
        <f t="shared" si="15"/>
        <v/>
      </c>
      <c r="S292" s="95" t="str">
        <f t="shared" si="16"/>
        <v/>
      </c>
      <c r="T292" s="96">
        <f t="shared" si="17"/>
        <v>0</v>
      </c>
      <c r="U292" s="51"/>
    </row>
    <row r="293" spans="1:21" x14ac:dyDescent="0.25">
      <c r="A293" s="46">
        <f t="shared" si="13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14"/>
        <v>0</v>
      </c>
      <c r="P293" s="50"/>
      <c r="Q293" s="50"/>
      <c r="R293" s="95" t="str">
        <f t="shared" si="15"/>
        <v/>
      </c>
      <c r="S293" s="95" t="str">
        <f t="shared" si="16"/>
        <v/>
      </c>
      <c r="T293" s="96">
        <f t="shared" si="17"/>
        <v>0</v>
      </c>
      <c r="U293" s="51"/>
    </row>
    <row r="294" spans="1:21" x14ac:dyDescent="0.25">
      <c r="A294" s="46">
        <f t="shared" si="13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14"/>
        <v>0</v>
      </c>
      <c r="P294" s="50"/>
      <c r="Q294" s="50"/>
      <c r="R294" s="95" t="str">
        <f t="shared" si="15"/>
        <v/>
      </c>
      <c r="S294" s="95" t="str">
        <f t="shared" si="16"/>
        <v/>
      </c>
      <c r="T294" s="96">
        <f t="shared" si="17"/>
        <v>0</v>
      </c>
      <c r="U294" s="51"/>
    </row>
    <row r="295" spans="1:21" x14ac:dyDescent="0.25">
      <c r="A295" s="46">
        <f t="shared" si="13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14"/>
        <v>0</v>
      </c>
      <c r="P295" s="50"/>
      <c r="Q295" s="50"/>
      <c r="R295" s="95" t="str">
        <f t="shared" si="15"/>
        <v/>
      </c>
      <c r="S295" s="95" t="str">
        <f t="shared" si="16"/>
        <v/>
      </c>
      <c r="T295" s="96">
        <f t="shared" si="17"/>
        <v>0</v>
      </c>
      <c r="U295" s="51"/>
    </row>
    <row r="296" spans="1:21" x14ac:dyDescent="0.25">
      <c r="A296" s="46">
        <f t="shared" si="13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14"/>
        <v>0</v>
      </c>
      <c r="P296" s="50"/>
      <c r="Q296" s="50"/>
      <c r="R296" s="95" t="str">
        <f t="shared" si="15"/>
        <v/>
      </c>
      <c r="S296" s="95" t="str">
        <f t="shared" si="16"/>
        <v/>
      </c>
      <c r="T296" s="96">
        <f t="shared" si="17"/>
        <v>0</v>
      </c>
      <c r="U296" s="51"/>
    </row>
    <row r="297" spans="1:21" x14ac:dyDescent="0.25">
      <c r="A297" s="46">
        <f t="shared" si="13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14"/>
        <v>0</v>
      </c>
      <c r="P297" s="50"/>
      <c r="Q297" s="50"/>
      <c r="R297" s="95" t="str">
        <f t="shared" si="15"/>
        <v/>
      </c>
      <c r="S297" s="95" t="str">
        <f t="shared" si="16"/>
        <v/>
      </c>
      <c r="T297" s="96">
        <f t="shared" si="17"/>
        <v>0</v>
      </c>
      <c r="U297" s="51"/>
    </row>
    <row r="298" spans="1:21" x14ac:dyDescent="0.25">
      <c r="A298" s="46">
        <f t="shared" si="13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14"/>
        <v>0</v>
      </c>
      <c r="P298" s="50"/>
      <c r="Q298" s="50"/>
      <c r="R298" s="95" t="str">
        <f t="shared" si="15"/>
        <v/>
      </c>
      <c r="S298" s="95" t="str">
        <f t="shared" si="16"/>
        <v/>
      </c>
      <c r="T298" s="96">
        <f t="shared" si="17"/>
        <v>0</v>
      </c>
      <c r="U298" s="51"/>
    </row>
    <row r="299" spans="1:21" x14ac:dyDescent="0.25">
      <c r="A299" s="46">
        <f t="shared" si="13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14"/>
        <v>0</v>
      </c>
      <c r="P299" s="50"/>
      <c r="Q299" s="50"/>
      <c r="R299" s="95" t="str">
        <f t="shared" si="15"/>
        <v/>
      </c>
      <c r="S299" s="95" t="str">
        <f t="shared" si="16"/>
        <v/>
      </c>
      <c r="T299" s="96">
        <f t="shared" si="17"/>
        <v>0</v>
      </c>
      <c r="U299" s="51"/>
    </row>
    <row r="300" spans="1:21" x14ac:dyDescent="0.25">
      <c r="A300" s="46">
        <f t="shared" si="13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14"/>
        <v>0</v>
      </c>
      <c r="P300" s="50"/>
      <c r="Q300" s="50"/>
      <c r="R300" s="95" t="str">
        <f t="shared" si="15"/>
        <v/>
      </c>
      <c r="S300" s="95" t="str">
        <f t="shared" si="16"/>
        <v/>
      </c>
      <c r="T300" s="96">
        <f t="shared" si="17"/>
        <v>0</v>
      </c>
      <c r="U300" s="51"/>
    </row>
    <row r="301" spans="1:21" x14ac:dyDescent="0.25">
      <c r="A301" s="46">
        <f t="shared" si="13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14"/>
        <v>0</v>
      </c>
      <c r="P301" s="50"/>
      <c r="Q301" s="50"/>
      <c r="R301" s="95" t="str">
        <f t="shared" si="15"/>
        <v/>
      </c>
      <c r="S301" s="95" t="str">
        <f t="shared" si="16"/>
        <v/>
      </c>
      <c r="T301" s="96">
        <f t="shared" si="17"/>
        <v>0</v>
      </c>
      <c r="U301" s="51"/>
    </row>
    <row r="302" spans="1:21" x14ac:dyDescent="0.25">
      <c r="A302" s="46">
        <f t="shared" si="13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14"/>
        <v>0</v>
      </c>
      <c r="P302" s="50"/>
      <c r="Q302" s="50"/>
      <c r="R302" s="95" t="str">
        <f t="shared" si="15"/>
        <v/>
      </c>
      <c r="S302" s="95" t="str">
        <f t="shared" si="16"/>
        <v/>
      </c>
      <c r="T302" s="96">
        <f t="shared" si="17"/>
        <v>0</v>
      </c>
      <c r="U302" s="51"/>
    </row>
    <row r="303" spans="1:21" x14ac:dyDescent="0.25">
      <c r="A303" s="46">
        <f t="shared" si="13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14"/>
        <v>0</v>
      </c>
      <c r="P303" s="50"/>
      <c r="Q303" s="50"/>
      <c r="R303" s="95" t="str">
        <f t="shared" si="15"/>
        <v/>
      </c>
      <c r="S303" s="95" t="str">
        <f t="shared" si="16"/>
        <v/>
      </c>
      <c r="T303" s="96">
        <f t="shared" si="17"/>
        <v>0</v>
      </c>
      <c r="U303" s="51"/>
    </row>
    <row r="304" spans="1:21" x14ac:dyDescent="0.25">
      <c r="A304" s="46">
        <f t="shared" si="13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14"/>
        <v>0</v>
      </c>
      <c r="P304" s="50"/>
      <c r="Q304" s="50"/>
      <c r="R304" s="95" t="str">
        <f t="shared" si="15"/>
        <v/>
      </c>
      <c r="S304" s="95" t="str">
        <f t="shared" si="16"/>
        <v/>
      </c>
      <c r="T304" s="96">
        <f t="shared" si="17"/>
        <v>0</v>
      </c>
      <c r="U304" s="51"/>
    </row>
    <row r="305" spans="1:21" x14ac:dyDescent="0.25">
      <c r="A305" s="46">
        <f t="shared" si="13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14"/>
        <v>0</v>
      </c>
      <c r="P305" s="50"/>
      <c r="Q305" s="50"/>
      <c r="R305" s="95" t="str">
        <f t="shared" si="15"/>
        <v/>
      </c>
      <c r="S305" s="95" t="str">
        <f t="shared" si="16"/>
        <v/>
      </c>
      <c r="T305" s="96">
        <f t="shared" si="17"/>
        <v>0</v>
      </c>
      <c r="U305" s="51"/>
    </row>
    <row r="306" spans="1:21" x14ac:dyDescent="0.25">
      <c r="A306" s="46">
        <f t="shared" si="13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14"/>
        <v>0</v>
      </c>
      <c r="P306" s="50"/>
      <c r="Q306" s="50"/>
      <c r="R306" s="95" t="str">
        <f t="shared" si="15"/>
        <v/>
      </c>
      <c r="S306" s="95" t="str">
        <f t="shared" si="16"/>
        <v/>
      </c>
      <c r="T306" s="96">
        <f t="shared" si="17"/>
        <v>0</v>
      </c>
      <c r="U306" s="51"/>
    </row>
    <row r="307" spans="1:21" x14ac:dyDescent="0.25">
      <c r="A307" s="46">
        <f t="shared" si="13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14"/>
        <v>0</v>
      </c>
      <c r="P307" s="50"/>
      <c r="Q307" s="50"/>
      <c r="R307" s="95" t="str">
        <f t="shared" si="15"/>
        <v/>
      </c>
      <c r="S307" s="95" t="str">
        <f t="shared" si="16"/>
        <v/>
      </c>
      <c r="T307" s="96">
        <f t="shared" si="17"/>
        <v>0</v>
      </c>
      <c r="U307" s="51"/>
    </row>
    <row r="308" spans="1:21" x14ac:dyDescent="0.25">
      <c r="A308" s="46">
        <f t="shared" si="13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14"/>
        <v>0</v>
      </c>
      <c r="P308" s="50"/>
      <c r="Q308" s="50"/>
      <c r="R308" s="95" t="str">
        <f t="shared" si="15"/>
        <v/>
      </c>
      <c r="S308" s="95" t="str">
        <f t="shared" si="16"/>
        <v/>
      </c>
      <c r="T308" s="96">
        <f t="shared" si="17"/>
        <v>0</v>
      </c>
      <c r="U308" s="51"/>
    </row>
    <row r="309" spans="1:21" x14ac:dyDescent="0.25">
      <c r="A309" s="46">
        <f t="shared" si="13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14"/>
        <v>0</v>
      </c>
      <c r="P309" s="50"/>
      <c r="Q309" s="50"/>
      <c r="R309" s="95" t="str">
        <f t="shared" si="15"/>
        <v/>
      </c>
      <c r="S309" s="95" t="str">
        <f t="shared" si="16"/>
        <v/>
      </c>
      <c r="T309" s="96">
        <f t="shared" si="17"/>
        <v>0</v>
      </c>
      <c r="U309" s="51"/>
    </row>
    <row r="310" spans="1:21" x14ac:dyDescent="0.25">
      <c r="A310" s="46">
        <f t="shared" si="13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14"/>
        <v>0</v>
      </c>
      <c r="P310" s="50"/>
      <c r="Q310" s="50"/>
      <c r="R310" s="95" t="str">
        <f t="shared" si="15"/>
        <v/>
      </c>
      <c r="S310" s="95" t="str">
        <f t="shared" si="16"/>
        <v/>
      </c>
      <c r="T310" s="96">
        <f t="shared" si="17"/>
        <v>0</v>
      </c>
      <c r="U310" s="51"/>
    </row>
    <row r="311" spans="1:21" x14ac:dyDescent="0.25">
      <c r="A311" s="46">
        <f t="shared" si="13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14"/>
        <v>0</v>
      </c>
      <c r="P311" s="50"/>
      <c r="Q311" s="50"/>
      <c r="R311" s="95" t="str">
        <f t="shared" si="15"/>
        <v/>
      </c>
      <c r="S311" s="95" t="str">
        <f t="shared" si="16"/>
        <v/>
      </c>
      <c r="T311" s="96">
        <f t="shared" si="17"/>
        <v>0</v>
      </c>
      <c r="U311" s="51"/>
    </row>
    <row r="312" spans="1:21" x14ac:dyDescent="0.25">
      <c r="A312" s="46">
        <f t="shared" si="13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14"/>
        <v>0</v>
      </c>
      <c r="P312" s="50"/>
      <c r="Q312" s="50"/>
      <c r="R312" s="95" t="str">
        <f t="shared" si="15"/>
        <v/>
      </c>
      <c r="S312" s="95" t="str">
        <f t="shared" si="16"/>
        <v/>
      </c>
      <c r="T312" s="96">
        <f t="shared" si="17"/>
        <v>0</v>
      </c>
      <c r="U312" s="51"/>
    </row>
    <row r="313" spans="1:21" x14ac:dyDescent="0.25">
      <c r="A313" s="46">
        <f t="shared" si="13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14"/>
        <v>0</v>
      </c>
      <c r="P313" s="50"/>
      <c r="Q313" s="50"/>
      <c r="R313" s="95" t="str">
        <f t="shared" si="15"/>
        <v/>
      </c>
      <c r="S313" s="95" t="str">
        <f t="shared" si="16"/>
        <v/>
      </c>
      <c r="T313" s="96">
        <f t="shared" si="17"/>
        <v>0</v>
      </c>
      <c r="U313" s="51"/>
    </row>
    <row r="314" spans="1:21" x14ac:dyDescent="0.25">
      <c r="A314" s="46">
        <f t="shared" si="13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14"/>
        <v>0</v>
      </c>
      <c r="P314" s="50"/>
      <c r="Q314" s="50"/>
      <c r="R314" s="95" t="str">
        <f t="shared" si="15"/>
        <v/>
      </c>
      <c r="S314" s="95" t="str">
        <f t="shared" si="16"/>
        <v/>
      </c>
      <c r="T314" s="96">
        <f t="shared" si="17"/>
        <v>0</v>
      </c>
      <c r="U314" s="51"/>
    </row>
    <row r="315" spans="1:21" x14ac:dyDescent="0.25">
      <c r="A315" s="46">
        <f t="shared" si="13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14"/>
        <v>0</v>
      </c>
      <c r="P315" s="50"/>
      <c r="Q315" s="50"/>
      <c r="R315" s="95" t="str">
        <f t="shared" si="15"/>
        <v/>
      </c>
      <c r="S315" s="95" t="str">
        <f t="shared" si="16"/>
        <v/>
      </c>
      <c r="T315" s="96">
        <f t="shared" si="17"/>
        <v>0</v>
      </c>
      <c r="U315" s="51"/>
    </row>
    <row r="316" spans="1:21" x14ac:dyDescent="0.25">
      <c r="A316" s="46">
        <f t="shared" si="13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14"/>
        <v>0</v>
      </c>
      <c r="P316" s="50"/>
      <c r="Q316" s="50"/>
      <c r="R316" s="95" t="str">
        <f t="shared" si="15"/>
        <v/>
      </c>
      <c r="S316" s="95" t="str">
        <f t="shared" si="16"/>
        <v/>
      </c>
      <c r="T316" s="96">
        <f t="shared" si="17"/>
        <v>0</v>
      </c>
      <c r="U316" s="51"/>
    </row>
    <row r="317" spans="1:21" x14ac:dyDescent="0.25">
      <c r="A317" s="46">
        <f t="shared" si="13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14"/>
        <v>0</v>
      </c>
      <c r="P317" s="50"/>
      <c r="Q317" s="50"/>
      <c r="R317" s="95" t="str">
        <f t="shared" si="15"/>
        <v/>
      </c>
      <c r="S317" s="95" t="str">
        <f t="shared" si="16"/>
        <v/>
      </c>
      <c r="T317" s="96">
        <f t="shared" si="17"/>
        <v>0</v>
      </c>
      <c r="U317" s="51"/>
    </row>
    <row r="318" spans="1:21" x14ac:dyDescent="0.25">
      <c r="A318" s="46">
        <f t="shared" si="13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14"/>
        <v>0</v>
      </c>
      <c r="P318" s="50"/>
      <c r="Q318" s="50"/>
      <c r="R318" s="95" t="str">
        <f t="shared" si="15"/>
        <v/>
      </c>
      <c r="S318" s="95" t="str">
        <f t="shared" si="16"/>
        <v/>
      </c>
      <c r="T318" s="96">
        <f t="shared" si="17"/>
        <v>0</v>
      </c>
      <c r="U318" s="51"/>
    </row>
    <row r="319" spans="1:21" x14ac:dyDescent="0.25">
      <c r="A319" s="46">
        <f t="shared" si="13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14"/>
        <v>0</v>
      </c>
      <c r="P319" s="50"/>
      <c r="Q319" s="50"/>
      <c r="R319" s="95" t="str">
        <f t="shared" si="15"/>
        <v/>
      </c>
      <c r="S319" s="95" t="str">
        <f t="shared" si="16"/>
        <v/>
      </c>
      <c r="T319" s="96">
        <f t="shared" si="17"/>
        <v>0</v>
      </c>
      <c r="U319" s="51"/>
    </row>
    <row r="320" spans="1:21" x14ac:dyDescent="0.25">
      <c r="A320" s="46">
        <f t="shared" si="13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14"/>
        <v>0</v>
      </c>
      <c r="P320" s="50"/>
      <c r="Q320" s="50"/>
      <c r="R320" s="95" t="str">
        <f t="shared" si="15"/>
        <v/>
      </c>
      <c r="S320" s="95" t="str">
        <f t="shared" si="16"/>
        <v/>
      </c>
      <c r="T320" s="96">
        <f t="shared" si="17"/>
        <v>0</v>
      </c>
      <c r="U320" s="51"/>
    </row>
    <row r="321" spans="1:21" x14ac:dyDescent="0.25">
      <c r="A321" s="46">
        <f t="shared" si="13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14"/>
        <v>0</v>
      </c>
      <c r="P321" s="50"/>
      <c r="Q321" s="50"/>
      <c r="R321" s="95" t="str">
        <f t="shared" si="15"/>
        <v/>
      </c>
      <c r="S321" s="95" t="str">
        <f t="shared" si="16"/>
        <v/>
      </c>
      <c r="T321" s="96">
        <f t="shared" si="17"/>
        <v>0</v>
      </c>
      <c r="U321" s="51"/>
    </row>
    <row r="322" spans="1:21" x14ac:dyDescent="0.25">
      <c r="A322" s="46">
        <f t="shared" si="13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14"/>
        <v>0</v>
      </c>
      <c r="P322" s="50"/>
      <c r="Q322" s="50"/>
      <c r="R322" s="95" t="str">
        <f t="shared" si="15"/>
        <v/>
      </c>
      <c r="S322" s="95" t="str">
        <f t="shared" si="16"/>
        <v/>
      </c>
      <c r="T322" s="96">
        <f t="shared" si="17"/>
        <v>0</v>
      </c>
      <c r="U322" s="51"/>
    </row>
    <row r="323" spans="1:21" x14ac:dyDescent="0.25">
      <c r="A323" s="46">
        <f t="shared" si="13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14"/>
        <v>0</v>
      </c>
      <c r="P323" s="50"/>
      <c r="Q323" s="50"/>
      <c r="R323" s="95" t="str">
        <f t="shared" si="15"/>
        <v/>
      </c>
      <c r="S323" s="95" t="str">
        <f t="shared" si="16"/>
        <v/>
      </c>
      <c r="T323" s="96">
        <f t="shared" si="17"/>
        <v>0</v>
      </c>
      <c r="U323" s="51"/>
    </row>
    <row r="324" spans="1:21" x14ac:dyDescent="0.25">
      <c r="A324" s="46">
        <f t="shared" si="13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14"/>
        <v>0</v>
      </c>
      <c r="P324" s="50"/>
      <c r="Q324" s="50"/>
      <c r="R324" s="95" t="str">
        <f t="shared" si="15"/>
        <v/>
      </c>
      <c r="S324" s="95" t="str">
        <f t="shared" si="16"/>
        <v/>
      </c>
      <c r="T324" s="96">
        <f t="shared" si="17"/>
        <v>0</v>
      </c>
      <c r="U324" s="51"/>
    </row>
    <row r="325" spans="1:21" x14ac:dyDescent="0.25">
      <c r="A325" s="46">
        <f t="shared" si="13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14"/>
        <v>0</v>
      </c>
      <c r="P325" s="50"/>
      <c r="Q325" s="50"/>
      <c r="R325" s="95" t="str">
        <f t="shared" si="15"/>
        <v/>
      </c>
      <c r="S325" s="95" t="str">
        <f t="shared" si="16"/>
        <v/>
      </c>
      <c r="T325" s="96">
        <f t="shared" si="17"/>
        <v>0</v>
      </c>
      <c r="U325" s="51"/>
    </row>
    <row r="326" spans="1:21" x14ac:dyDescent="0.25">
      <c r="A326" s="46">
        <f t="shared" si="13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14"/>
        <v>0</v>
      </c>
      <c r="P326" s="50"/>
      <c r="Q326" s="50"/>
      <c r="R326" s="95" t="str">
        <f t="shared" si="15"/>
        <v/>
      </c>
      <c r="S326" s="95" t="str">
        <f t="shared" si="16"/>
        <v/>
      </c>
      <c r="T326" s="96">
        <f t="shared" si="17"/>
        <v>0</v>
      </c>
      <c r="U326" s="51"/>
    </row>
    <row r="327" spans="1:21" x14ac:dyDescent="0.25">
      <c r="A327" s="46">
        <f t="shared" si="13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14"/>
        <v>0</v>
      </c>
      <c r="P327" s="50"/>
      <c r="Q327" s="50"/>
      <c r="R327" s="95" t="str">
        <f t="shared" si="15"/>
        <v/>
      </c>
      <c r="S327" s="95" t="str">
        <f t="shared" si="16"/>
        <v/>
      </c>
      <c r="T327" s="96">
        <f t="shared" si="17"/>
        <v>0</v>
      </c>
      <c r="U327" s="51"/>
    </row>
    <row r="328" spans="1:21" x14ac:dyDescent="0.25">
      <c r="A328" s="46">
        <f t="shared" si="13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14"/>
        <v>0</v>
      </c>
      <c r="P328" s="50"/>
      <c r="Q328" s="50"/>
      <c r="R328" s="95" t="str">
        <f t="shared" si="15"/>
        <v/>
      </c>
      <c r="S328" s="95" t="str">
        <f t="shared" si="16"/>
        <v/>
      </c>
      <c r="T328" s="96">
        <f t="shared" si="17"/>
        <v>0</v>
      </c>
      <c r="U328" s="51"/>
    </row>
    <row r="329" spans="1:21" x14ac:dyDescent="0.25">
      <c r="A329" s="46">
        <f t="shared" si="13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14"/>
        <v>0</v>
      </c>
      <c r="P329" s="50"/>
      <c r="Q329" s="50"/>
      <c r="R329" s="95" t="str">
        <f t="shared" si="15"/>
        <v/>
      </c>
      <c r="S329" s="95" t="str">
        <f t="shared" si="16"/>
        <v/>
      </c>
      <c r="T329" s="96">
        <f t="shared" si="17"/>
        <v>0</v>
      </c>
      <c r="U329" s="51"/>
    </row>
    <row r="330" spans="1:21" x14ac:dyDescent="0.25">
      <c r="A330" s="46">
        <f t="shared" si="13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14"/>
        <v>0</v>
      </c>
      <c r="P330" s="50"/>
      <c r="Q330" s="50"/>
      <c r="R330" s="95" t="str">
        <f t="shared" si="15"/>
        <v/>
      </c>
      <c r="S330" s="95" t="str">
        <f t="shared" si="16"/>
        <v/>
      </c>
      <c r="T330" s="96">
        <f t="shared" si="17"/>
        <v>0</v>
      </c>
      <c r="U330" s="51"/>
    </row>
    <row r="331" spans="1:21" x14ac:dyDescent="0.25">
      <c r="A331" s="46">
        <f t="shared" si="13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14"/>
        <v>0</v>
      </c>
      <c r="P331" s="50"/>
      <c r="Q331" s="50"/>
      <c r="R331" s="95" t="str">
        <f t="shared" si="15"/>
        <v/>
      </c>
      <c r="S331" s="95" t="str">
        <f t="shared" si="16"/>
        <v/>
      </c>
      <c r="T331" s="96">
        <f t="shared" si="17"/>
        <v>0</v>
      </c>
      <c r="U331" s="51"/>
    </row>
    <row r="332" spans="1:21" x14ac:dyDescent="0.25">
      <c r="A332" s="46">
        <f t="shared" ref="A332:A395" si="18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19">T332*N332</f>
        <v>0</v>
      </c>
      <c r="P332" s="50"/>
      <c r="Q332" s="50"/>
      <c r="R332" s="95" t="str">
        <f t="shared" ref="R332:R395" si="20">IF(OR(P332="c",P332="C"),+T332,"")</f>
        <v/>
      </c>
      <c r="S332" s="95" t="str">
        <f t="shared" ref="S332:S395" si="21">IF(OR(P332="$",N332=1),+T332,"")</f>
        <v/>
      </c>
      <c r="T332" s="96">
        <f t="shared" ref="T332:T395" si="22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18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19"/>
        <v>0</v>
      </c>
      <c r="P333" s="50"/>
      <c r="Q333" s="50"/>
      <c r="R333" s="95" t="str">
        <f t="shared" si="20"/>
        <v/>
      </c>
      <c r="S333" s="95" t="str">
        <f t="shared" si="21"/>
        <v/>
      </c>
      <c r="T333" s="96">
        <f t="shared" si="22"/>
        <v>0</v>
      </c>
      <c r="U333" s="51"/>
    </row>
    <row r="334" spans="1:21" x14ac:dyDescent="0.25">
      <c r="A334" s="46">
        <f t="shared" si="18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19"/>
        <v>0</v>
      </c>
      <c r="P334" s="50"/>
      <c r="Q334" s="50"/>
      <c r="R334" s="95" t="str">
        <f t="shared" si="20"/>
        <v/>
      </c>
      <c r="S334" s="95" t="str">
        <f t="shared" si="21"/>
        <v/>
      </c>
      <c r="T334" s="96">
        <f t="shared" si="22"/>
        <v>0</v>
      </c>
      <c r="U334" s="51"/>
    </row>
    <row r="335" spans="1:21" x14ac:dyDescent="0.25">
      <c r="A335" s="46">
        <f t="shared" si="18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19"/>
        <v>0</v>
      </c>
      <c r="P335" s="50"/>
      <c r="Q335" s="50"/>
      <c r="R335" s="95" t="str">
        <f t="shared" si="20"/>
        <v/>
      </c>
      <c r="S335" s="95" t="str">
        <f t="shared" si="21"/>
        <v/>
      </c>
      <c r="T335" s="96">
        <f t="shared" si="22"/>
        <v>0</v>
      </c>
      <c r="U335" s="51"/>
    </row>
    <row r="336" spans="1:21" x14ac:dyDescent="0.25">
      <c r="A336" s="46">
        <f t="shared" si="18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19"/>
        <v>0</v>
      </c>
      <c r="P336" s="50"/>
      <c r="Q336" s="50"/>
      <c r="R336" s="95" t="str">
        <f t="shared" si="20"/>
        <v/>
      </c>
      <c r="S336" s="95" t="str">
        <f t="shared" si="21"/>
        <v/>
      </c>
      <c r="T336" s="96">
        <f t="shared" si="22"/>
        <v>0</v>
      </c>
      <c r="U336" s="51"/>
    </row>
    <row r="337" spans="1:21" x14ac:dyDescent="0.25">
      <c r="A337" s="46">
        <f t="shared" si="18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19"/>
        <v>0</v>
      </c>
      <c r="P337" s="50"/>
      <c r="Q337" s="50"/>
      <c r="R337" s="95" t="str">
        <f t="shared" si="20"/>
        <v/>
      </c>
      <c r="S337" s="95" t="str">
        <f t="shared" si="21"/>
        <v/>
      </c>
      <c r="T337" s="96">
        <f t="shared" si="22"/>
        <v>0</v>
      </c>
      <c r="U337" s="51"/>
    </row>
    <row r="338" spans="1:21" x14ac:dyDescent="0.25">
      <c r="A338" s="46">
        <f t="shared" si="18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19"/>
        <v>0</v>
      </c>
      <c r="P338" s="50"/>
      <c r="Q338" s="50"/>
      <c r="R338" s="95" t="str">
        <f t="shared" si="20"/>
        <v/>
      </c>
      <c r="S338" s="95" t="str">
        <f t="shared" si="21"/>
        <v/>
      </c>
      <c r="T338" s="96">
        <f t="shared" si="22"/>
        <v>0</v>
      </c>
      <c r="U338" s="51"/>
    </row>
    <row r="339" spans="1:21" x14ac:dyDescent="0.25">
      <c r="A339" s="46">
        <f t="shared" si="18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19"/>
        <v>0</v>
      </c>
      <c r="P339" s="50"/>
      <c r="Q339" s="50"/>
      <c r="R339" s="95" t="str">
        <f t="shared" si="20"/>
        <v/>
      </c>
      <c r="S339" s="95" t="str">
        <f t="shared" si="21"/>
        <v/>
      </c>
      <c r="T339" s="96">
        <f t="shared" si="22"/>
        <v>0</v>
      </c>
      <c r="U339" s="51"/>
    </row>
    <row r="340" spans="1:21" x14ac:dyDescent="0.25">
      <c r="A340" s="46">
        <f t="shared" si="18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19"/>
        <v>0</v>
      </c>
      <c r="P340" s="50"/>
      <c r="Q340" s="50"/>
      <c r="R340" s="95" t="str">
        <f t="shared" si="20"/>
        <v/>
      </c>
      <c r="S340" s="95" t="str">
        <f t="shared" si="21"/>
        <v/>
      </c>
      <c r="T340" s="96">
        <f t="shared" si="22"/>
        <v>0</v>
      </c>
      <c r="U340" s="51"/>
    </row>
    <row r="341" spans="1:21" x14ac:dyDescent="0.25">
      <c r="A341" s="46">
        <f t="shared" si="18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19"/>
        <v>0</v>
      </c>
      <c r="P341" s="50"/>
      <c r="Q341" s="50"/>
      <c r="R341" s="95" t="str">
        <f t="shared" si="20"/>
        <v/>
      </c>
      <c r="S341" s="95" t="str">
        <f t="shared" si="21"/>
        <v/>
      </c>
      <c r="T341" s="96">
        <f t="shared" si="22"/>
        <v>0</v>
      </c>
      <c r="U341" s="51"/>
    </row>
    <row r="342" spans="1:21" x14ac:dyDescent="0.25">
      <c r="A342" s="46">
        <f t="shared" si="18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19"/>
        <v>0</v>
      </c>
      <c r="P342" s="50"/>
      <c r="Q342" s="50"/>
      <c r="R342" s="95" t="str">
        <f t="shared" si="20"/>
        <v/>
      </c>
      <c r="S342" s="95" t="str">
        <f t="shared" si="21"/>
        <v/>
      </c>
      <c r="T342" s="96">
        <f t="shared" si="22"/>
        <v>0</v>
      </c>
      <c r="U342" s="51"/>
    </row>
    <row r="343" spans="1:21" x14ac:dyDescent="0.25">
      <c r="A343" s="46">
        <f t="shared" si="18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19"/>
        <v>0</v>
      </c>
      <c r="P343" s="50"/>
      <c r="Q343" s="50"/>
      <c r="R343" s="95" t="str">
        <f t="shared" si="20"/>
        <v/>
      </c>
      <c r="S343" s="95" t="str">
        <f t="shared" si="21"/>
        <v/>
      </c>
      <c r="T343" s="96">
        <f t="shared" si="22"/>
        <v>0</v>
      </c>
      <c r="U343" s="51"/>
    </row>
    <row r="344" spans="1:21" x14ac:dyDescent="0.25">
      <c r="A344" s="46">
        <f t="shared" si="18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19"/>
        <v>0</v>
      </c>
      <c r="P344" s="50"/>
      <c r="Q344" s="50"/>
      <c r="R344" s="95" t="str">
        <f t="shared" si="20"/>
        <v/>
      </c>
      <c r="S344" s="95" t="str">
        <f t="shared" si="21"/>
        <v/>
      </c>
      <c r="T344" s="96">
        <f t="shared" si="22"/>
        <v>0</v>
      </c>
      <c r="U344" s="51"/>
    </row>
    <row r="345" spans="1:21" x14ac:dyDescent="0.25">
      <c r="A345" s="46">
        <f t="shared" si="18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19"/>
        <v>0</v>
      </c>
      <c r="P345" s="50"/>
      <c r="Q345" s="50"/>
      <c r="R345" s="95" t="str">
        <f t="shared" si="20"/>
        <v/>
      </c>
      <c r="S345" s="95" t="str">
        <f t="shared" si="21"/>
        <v/>
      </c>
      <c r="T345" s="96">
        <f t="shared" si="22"/>
        <v>0</v>
      </c>
      <c r="U345" s="51"/>
    </row>
    <row r="346" spans="1:21" x14ac:dyDescent="0.25">
      <c r="A346" s="46">
        <f t="shared" si="18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19"/>
        <v>0</v>
      </c>
      <c r="P346" s="50"/>
      <c r="Q346" s="50"/>
      <c r="R346" s="95" t="str">
        <f t="shared" si="20"/>
        <v/>
      </c>
      <c r="S346" s="95" t="str">
        <f t="shared" si="21"/>
        <v/>
      </c>
      <c r="T346" s="96">
        <f t="shared" si="22"/>
        <v>0</v>
      </c>
      <c r="U346" s="51"/>
    </row>
    <row r="347" spans="1:21" x14ac:dyDescent="0.25">
      <c r="A347" s="46">
        <f t="shared" si="18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19"/>
        <v>0</v>
      </c>
      <c r="P347" s="50"/>
      <c r="Q347" s="50"/>
      <c r="R347" s="95" t="str">
        <f t="shared" si="20"/>
        <v/>
      </c>
      <c r="S347" s="95" t="str">
        <f t="shared" si="21"/>
        <v/>
      </c>
      <c r="T347" s="96">
        <f t="shared" si="22"/>
        <v>0</v>
      </c>
      <c r="U347" s="51"/>
    </row>
    <row r="348" spans="1:21" x14ac:dyDescent="0.25">
      <c r="A348" s="46">
        <f t="shared" si="18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19"/>
        <v>0</v>
      </c>
      <c r="P348" s="50"/>
      <c r="Q348" s="50"/>
      <c r="R348" s="95" t="str">
        <f t="shared" si="20"/>
        <v/>
      </c>
      <c r="S348" s="95" t="str">
        <f t="shared" si="21"/>
        <v/>
      </c>
      <c r="T348" s="96">
        <f t="shared" si="22"/>
        <v>0</v>
      </c>
      <c r="U348" s="51"/>
    </row>
    <row r="349" spans="1:21" x14ac:dyDescent="0.25">
      <c r="A349" s="46">
        <f t="shared" si="18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19"/>
        <v>0</v>
      </c>
      <c r="P349" s="50"/>
      <c r="Q349" s="50"/>
      <c r="R349" s="95" t="str">
        <f t="shared" si="20"/>
        <v/>
      </c>
      <c r="S349" s="95" t="str">
        <f t="shared" si="21"/>
        <v/>
      </c>
      <c r="T349" s="96">
        <f t="shared" si="22"/>
        <v>0</v>
      </c>
      <c r="U349" s="51"/>
    </row>
    <row r="350" spans="1:21" x14ac:dyDescent="0.25">
      <c r="A350" s="46">
        <f t="shared" si="18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19"/>
        <v>0</v>
      </c>
      <c r="P350" s="50"/>
      <c r="Q350" s="50"/>
      <c r="R350" s="95" t="str">
        <f t="shared" si="20"/>
        <v/>
      </c>
      <c r="S350" s="95" t="str">
        <f t="shared" si="21"/>
        <v/>
      </c>
      <c r="T350" s="96">
        <f t="shared" si="22"/>
        <v>0</v>
      </c>
      <c r="U350" s="51"/>
    </row>
    <row r="351" spans="1:21" x14ac:dyDescent="0.25">
      <c r="A351" s="46">
        <f t="shared" si="18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19"/>
        <v>0</v>
      </c>
      <c r="P351" s="50"/>
      <c r="Q351" s="50"/>
      <c r="R351" s="95" t="str">
        <f t="shared" si="20"/>
        <v/>
      </c>
      <c r="S351" s="95" t="str">
        <f t="shared" si="21"/>
        <v/>
      </c>
      <c r="T351" s="96">
        <f t="shared" si="22"/>
        <v>0</v>
      </c>
      <c r="U351" s="51"/>
    </row>
    <row r="352" spans="1:21" x14ac:dyDescent="0.25">
      <c r="A352" s="46">
        <f t="shared" si="18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19"/>
        <v>0</v>
      </c>
      <c r="P352" s="50"/>
      <c r="Q352" s="50"/>
      <c r="R352" s="95" t="str">
        <f t="shared" si="20"/>
        <v/>
      </c>
      <c r="S352" s="95" t="str">
        <f t="shared" si="21"/>
        <v/>
      </c>
      <c r="T352" s="96">
        <f t="shared" si="22"/>
        <v>0</v>
      </c>
      <c r="U352" s="51"/>
    </row>
    <row r="353" spans="1:21" x14ac:dyDescent="0.25">
      <c r="A353" s="46">
        <f t="shared" si="18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19"/>
        <v>0</v>
      </c>
      <c r="P353" s="50"/>
      <c r="Q353" s="50"/>
      <c r="R353" s="95" t="str">
        <f t="shared" si="20"/>
        <v/>
      </c>
      <c r="S353" s="95" t="str">
        <f t="shared" si="21"/>
        <v/>
      </c>
      <c r="T353" s="96">
        <f t="shared" si="22"/>
        <v>0</v>
      </c>
      <c r="U353" s="51"/>
    </row>
    <row r="354" spans="1:21" x14ac:dyDescent="0.25">
      <c r="A354" s="46">
        <f t="shared" si="18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19"/>
        <v>0</v>
      </c>
      <c r="P354" s="50"/>
      <c r="Q354" s="50"/>
      <c r="R354" s="95" t="str">
        <f t="shared" si="20"/>
        <v/>
      </c>
      <c r="S354" s="95" t="str">
        <f t="shared" si="21"/>
        <v/>
      </c>
      <c r="T354" s="96">
        <f t="shared" si="22"/>
        <v>0</v>
      </c>
      <c r="U354" s="51"/>
    </row>
    <row r="355" spans="1:21" x14ac:dyDescent="0.25">
      <c r="A355" s="46">
        <f t="shared" si="18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19"/>
        <v>0</v>
      </c>
      <c r="P355" s="50"/>
      <c r="Q355" s="50"/>
      <c r="R355" s="95" t="str">
        <f t="shared" si="20"/>
        <v/>
      </c>
      <c r="S355" s="95" t="str">
        <f t="shared" si="21"/>
        <v/>
      </c>
      <c r="T355" s="96">
        <f t="shared" si="22"/>
        <v>0</v>
      </c>
      <c r="U355" s="51"/>
    </row>
    <row r="356" spans="1:21" x14ac:dyDescent="0.25">
      <c r="A356" s="46">
        <f t="shared" si="18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19"/>
        <v>0</v>
      </c>
      <c r="P356" s="50"/>
      <c r="Q356" s="50"/>
      <c r="R356" s="95" t="str">
        <f t="shared" si="20"/>
        <v/>
      </c>
      <c r="S356" s="95" t="str">
        <f t="shared" si="21"/>
        <v/>
      </c>
      <c r="T356" s="96">
        <f t="shared" si="22"/>
        <v>0</v>
      </c>
      <c r="U356" s="51"/>
    </row>
    <row r="357" spans="1:21" x14ac:dyDescent="0.25">
      <c r="A357" s="46">
        <f t="shared" si="18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19"/>
        <v>0</v>
      </c>
      <c r="P357" s="50"/>
      <c r="Q357" s="50"/>
      <c r="R357" s="95" t="str">
        <f t="shared" si="20"/>
        <v/>
      </c>
      <c r="S357" s="95" t="str">
        <f t="shared" si="21"/>
        <v/>
      </c>
      <c r="T357" s="96">
        <f t="shared" si="22"/>
        <v>0</v>
      </c>
      <c r="U357" s="51"/>
    </row>
    <row r="358" spans="1:21" x14ac:dyDescent="0.25">
      <c r="A358" s="46">
        <f t="shared" si="18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19"/>
        <v>0</v>
      </c>
      <c r="P358" s="50"/>
      <c r="Q358" s="50"/>
      <c r="R358" s="95" t="str">
        <f t="shared" si="20"/>
        <v/>
      </c>
      <c r="S358" s="95" t="str">
        <f t="shared" si="21"/>
        <v/>
      </c>
      <c r="T358" s="96">
        <f t="shared" si="22"/>
        <v>0</v>
      </c>
      <c r="U358" s="51"/>
    </row>
    <row r="359" spans="1:21" x14ac:dyDescent="0.25">
      <c r="A359" s="46">
        <f t="shared" si="18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19"/>
        <v>0</v>
      </c>
      <c r="P359" s="50"/>
      <c r="Q359" s="50"/>
      <c r="R359" s="95" t="str">
        <f t="shared" si="20"/>
        <v/>
      </c>
      <c r="S359" s="95" t="str">
        <f t="shared" si="21"/>
        <v/>
      </c>
      <c r="T359" s="96">
        <f t="shared" si="22"/>
        <v>0</v>
      </c>
      <c r="U359" s="51"/>
    </row>
    <row r="360" spans="1:21" x14ac:dyDescent="0.25">
      <c r="A360" s="46">
        <f t="shared" si="18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19"/>
        <v>0</v>
      </c>
      <c r="P360" s="50"/>
      <c r="Q360" s="50"/>
      <c r="R360" s="95" t="str">
        <f t="shared" si="20"/>
        <v/>
      </c>
      <c r="S360" s="95" t="str">
        <f t="shared" si="21"/>
        <v/>
      </c>
      <c r="T360" s="96">
        <f t="shared" si="22"/>
        <v>0</v>
      </c>
      <c r="U360" s="51"/>
    </row>
    <row r="361" spans="1:21" x14ac:dyDescent="0.25">
      <c r="A361" s="46">
        <f t="shared" si="18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19"/>
        <v>0</v>
      </c>
      <c r="P361" s="50"/>
      <c r="Q361" s="50"/>
      <c r="R361" s="95" t="str">
        <f t="shared" si="20"/>
        <v/>
      </c>
      <c r="S361" s="95" t="str">
        <f t="shared" si="21"/>
        <v/>
      </c>
      <c r="T361" s="96">
        <f t="shared" si="22"/>
        <v>0</v>
      </c>
      <c r="U361" s="51"/>
    </row>
    <row r="362" spans="1:21" x14ac:dyDescent="0.25">
      <c r="A362" s="46">
        <f t="shared" si="18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19"/>
        <v>0</v>
      </c>
      <c r="P362" s="50"/>
      <c r="Q362" s="50"/>
      <c r="R362" s="95" t="str">
        <f t="shared" si="20"/>
        <v/>
      </c>
      <c r="S362" s="95" t="str">
        <f t="shared" si="21"/>
        <v/>
      </c>
      <c r="T362" s="96">
        <f t="shared" si="22"/>
        <v>0</v>
      </c>
      <c r="U362" s="51"/>
    </row>
    <row r="363" spans="1:21" x14ac:dyDescent="0.25">
      <c r="A363" s="46">
        <f t="shared" si="18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19"/>
        <v>0</v>
      </c>
      <c r="P363" s="50"/>
      <c r="Q363" s="50"/>
      <c r="R363" s="95" t="str">
        <f t="shared" si="20"/>
        <v/>
      </c>
      <c r="S363" s="95" t="str">
        <f t="shared" si="21"/>
        <v/>
      </c>
      <c r="T363" s="96">
        <f t="shared" si="22"/>
        <v>0</v>
      </c>
      <c r="U363" s="51"/>
    </row>
    <row r="364" spans="1:21" x14ac:dyDescent="0.25">
      <c r="A364" s="46">
        <f t="shared" si="18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19"/>
        <v>0</v>
      </c>
      <c r="P364" s="50"/>
      <c r="Q364" s="50"/>
      <c r="R364" s="95" t="str">
        <f t="shared" si="20"/>
        <v/>
      </c>
      <c r="S364" s="95" t="str">
        <f t="shared" si="21"/>
        <v/>
      </c>
      <c r="T364" s="96">
        <f t="shared" si="22"/>
        <v>0</v>
      </c>
      <c r="U364" s="51"/>
    </row>
    <row r="365" spans="1:21" x14ac:dyDescent="0.25">
      <c r="A365" s="46">
        <f t="shared" si="18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19"/>
        <v>0</v>
      </c>
      <c r="P365" s="50"/>
      <c r="Q365" s="50"/>
      <c r="R365" s="95" t="str">
        <f t="shared" si="20"/>
        <v/>
      </c>
      <c r="S365" s="95" t="str">
        <f t="shared" si="21"/>
        <v/>
      </c>
      <c r="T365" s="96">
        <f t="shared" si="22"/>
        <v>0</v>
      </c>
      <c r="U365" s="51"/>
    </row>
    <row r="366" spans="1:21" x14ac:dyDescent="0.25">
      <c r="A366" s="46">
        <f t="shared" si="18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19"/>
        <v>0</v>
      </c>
      <c r="P366" s="50"/>
      <c r="Q366" s="50"/>
      <c r="R366" s="95" t="str">
        <f t="shared" si="20"/>
        <v/>
      </c>
      <c r="S366" s="95" t="str">
        <f t="shared" si="21"/>
        <v/>
      </c>
      <c r="T366" s="96">
        <f t="shared" si="22"/>
        <v>0</v>
      </c>
      <c r="U366" s="51"/>
    </row>
    <row r="367" spans="1:21" x14ac:dyDescent="0.25">
      <c r="A367" s="46">
        <f t="shared" si="18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19"/>
        <v>0</v>
      </c>
      <c r="P367" s="50"/>
      <c r="Q367" s="50"/>
      <c r="R367" s="95" t="str">
        <f t="shared" si="20"/>
        <v/>
      </c>
      <c r="S367" s="95" t="str">
        <f t="shared" si="21"/>
        <v/>
      </c>
      <c r="T367" s="96">
        <f t="shared" si="22"/>
        <v>0</v>
      </c>
      <c r="U367" s="51"/>
    </row>
    <row r="368" spans="1:21" x14ac:dyDescent="0.25">
      <c r="A368" s="46">
        <f t="shared" si="18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19"/>
        <v>0</v>
      </c>
      <c r="P368" s="50"/>
      <c r="Q368" s="50"/>
      <c r="R368" s="95" t="str">
        <f t="shared" si="20"/>
        <v/>
      </c>
      <c r="S368" s="95" t="str">
        <f t="shared" si="21"/>
        <v/>
      </c>
      <c r="T368" s="96">
        <f t="shared" si="22"/>
        <v>0</v>
      </c>
      <c r="U368" s="51"/>
    </row>
    <row r="369" spans="1:21" x14ac:dyDescent="0.25">
      <c r="A369" s="46">
        <f t="shared" si="18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19"/>
        <v>0</v>
      </c>
      <c r="P369" s="50"/>
      <c r="Q369" s="50"/>
      <c r="R369" s="95" t="str">
        <f t="shared" si="20"/>
        <v/>
      </c>
      <c r="S369" s="95" t="str">
        <f t="shared" si="21"/>
        <v/>
      </c>
      <c r="T369" s="96">
        <f t="shared" si="22"/>
        <v>0</v>
      </c>
      <c r="U369" s="51"/>
    </row>
    <row r="370" spans="1:21" x14ac:dyDescent="0.25">
      <c r="A370" s="46">
        <f t="shared" si="18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19"/>
        <v>0</v>
      </c>
      <c r="P370" s="50"/>
      <c r="Q370" s="50"/>
      <c r="R370" s="95" t="str">
        <f t="shared" si="20"/>
        <v/>
      </c>
      <c r="S370" s="95" t="str">
        <f t="shared" si="21"/>
        <v/>
      </c>
      <c r="T370" s="96">
        <f t="shared" si="22"/>
        <v>0</v>
      </c>
      <c r="U370" s="51"/>
    </row>
    <row r="371" spans="1:21" x14ac:dyDescent="0.25">
      <c r="A371" s="46">
        <f t="shared" si="18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19"/>
        <v>0</v>
      </c>
      <c r="P371" s="50"/>
      <c r="Q371" s="50"/>
      <c r="R371" s="95" t="str">
        <f t="shared" si="20"/>
        <v/>
      </c>
      <c r="S371" s="95" t="str">
        <f t="shared" si="21"/>
        <v/>
      </c>
      <c r="T371" s="96">
        <f t="shared" si="22"/>
        <v>0</v>
      </c>
      <c r="U371" s="51"/>
    </row>
    <row r="372" spans="1:21" x14ac:dyDescent="0.25">
      <c r="A372" s="46">
        <f t="shared" si="18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19"/>
        <v>0</v>
      </c>
      <c r="P372" s="50"/>
      <c r="Q372" s="50"/>
      <c r="R372" s="95" t="str">
        <f t="shared" si="20"/>
        <v/>
      </c>
      <c r="S372" s="95" t="str">
        <f t="shared" si="21"/>
        <v/>
      </c>
      <c r="T372" s="96">
        <f t="shared" si="22"/>
        <v>0</v>
      </c>
      <c r="U372" s="51"/>
    </row>
    <row r="373" spans="1:21" x14ac:dyDescent="0.25">
      <c r="A373" s="46">
        <f t="shared" si="18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19"/>
        <v>0</v>
      </c>
      <c r="P373" s="50"/>
      <c r="Q373" s="50"/>
      <c r="R373" s="95" t="str">
        <f t="shared" si="20"/>
        <v/>
      </c>
      <c r="S373" s="95" t="str">
        <f t="shared" si="21"/>
        <v/>
      </c>
      <c r="T373" s="96">
        <f t="shared" si="22"/>
        <v>0</v>
      </c>
      <c r="U373" s="51"/>
    </row>
    <row r="374" spans="1:21" x14ac:dyDescent="0.25">
      <c r="A374" s="46">
        <f t="shared" si="18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19"/>
        <v>0</v>
      </c>
      <c r="P374" s="50"/>
      <c r="Q374" s="50"/>
      <c r="R374" s="95" t="str">
        <f t="shared" si="20"/>
        <v/>
      </c>
      <c r="S374" s="95" t="str">
        <f t="shared" si="21"/>
        <v/>
      </c>
      <c r="T374" s="96">
        <f t="shared" si="22"/>
        <v>0</v>
      </c>
      <c r="U374" s="51"/>
    </row>
    <row r="375" spans="1:21" x14ac:dyDescent="0.25">
      <c r="A375" s="46">
        <f t="shared" si="18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19"/>
        <v>0</v>
      </c>
      <c r="P375" s="50"/>
      <c r="Q375" s="50"/>
      <c r="R375" s="95" t="str">
        <f t="shared" si="20"/>
        <v/>
      </c>
      <c r="S375" s="95" t="str">
        <f t="shared" si="21"/>
        <v/>
      </c>
      <c r="T375" s="96">
        <f t="shared" si="22"/>
        <v>0</v>
      </c>
      <c r="U375" s="51"/>
    </row>
    <row r="376" spans="1:21" x14ac:dyDescent="0.25">
      <c r="A376" s="46">
        <f t="shared" si="18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19"/>
        <v>0</v>
      </c>
      <c r="P376" s="50"/>
      <c r="Q376" s="50"/>
      <c r="R376" s="95" t="str">
        <f t="shared" si="20"/>
        <v/>
      </c>
      <c r="S376" s="95" t="str">
        <f t="shared" si="21"/>
        <v/>
      </c>
      <c r="T376" s="96">
        <f t="shared" si="22"/>
        <v>0</v>
      </c>
      <c r="U376" s="51"/>
    </row>
    <row r="377" spans="1:21" x14ac:dyDescent="0.25">
      <c r="A377" s="46">
        <f t="shared" si="18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19"/>
        <v>0</v>
      </c>
      <c r="P377" s="50"/>
      <c r="Q377" s="50"/>
      <c r="R377" s="95" t="str">
        <f t="shared" si="20"/>
        <v/>
      </c>
      <c r="S377" s="95" t="str">
        <f t="shared" si="21"/>
        <v/>
      </c>
      <c r="T377" s="96">
        <f t="shared" si="22"/>
        <v>0</v>
      </c>
      <c r="U377" s="51"/>
    </row>
    <row r="378" spans="1:21" x14ac:dyDescent="0.25">
      <c r="A378" s="46">
        <f t="shared" si="18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19"/>
        <v>0</v>
      </c>
      <c r="P378" s="50"/>
      <c r="Q378" s="50"/>
      <c r="R378" s="95" t="str">
        <f t="shared" si="20"/>
        <v/>
      </c>
      <c r="S378" s="95" t="str">
        <f t="shared" si="21"/>
        <v/>
      </c>
      <c r="T378" s="96">
        <f t="shared" si="22"/>
        <v>0</v>
      </c>
      <c r="U378" s="51"/>
    </row>
    <row r="379" spans="1:21" x14ac:dyDescent="0.25">
      <c r="A379" s="46">
        <f t="shared" si="18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19"/>
        <v>0</v>
      </c>
      <c r="P379" s="50"/>
      <c r="Q379" s="50"/>
      <c r="R379" s="95" t="str">
        <f t="shared" si="20"/>
        <v/>
      </c>
      <c r="S379" s="95" t="str">
        <f t="shared" si="21"/>
        <v/>
      </c>
      <c r="T379" s="96">
        <f t="shared" si="22"/>
        <v>0</v>
      </c>
      <c r="U379" s="51"/>
    </row>
    <row r="380" spans="1:21" x14ac:dyDescent="0.25">
      <c r="A380" s="46">
        <f t="shared" si="18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19"/>
        <v>0</v>
      </c>
      <c r="P380" s="50"/>
      <c r="Q380" s="50"/>
      <c r="R380" s="95" t="str">
        <f t="shared" si="20"/>
        <v/>
      </c>
      <c r="S380" s="95" t="str">
        <f t="shared" si="21"/>
        <v/>
      </c>
      <c r="T380" s="96">
        <f t="shared" si="22"/>
        <v>0</v>
      </c>
      <c r="U380" s="51"/>
    </row>
    <row r="381" spans="1:21" x14ac:dyDescent="0.25">
      <c r="A381" s="46">
        <f t="shared" si="18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19"/>
        <v>0</v>
      </c>
      <c r="P381" s="50"/>
      <c r="Q381" s="50"/>
      <c r="R381" s="95" t="str">
        <f t="shared" si="20"/>
        <v/>
      </c>
      <c r="S381" s="95" t="str">
        <f t="shared" si="21"/>
        <v/>
      </c>
      <c r="T381" s="96">
        <f t="shared" si="22"/>
        <v>0</v>
      </c>
      <c r="U381" s="51"/>
    </row>
    <row r="382" spans="1:21" x14ac:dyDescent="0.25">
      <c r="A382" s="46">
        <f t="shared" si="18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19"/>
        <v>0</v>
      </c>
      <c r="P382" s="50"/>
      <c r="Q382" s="50"/>
      <c r="R382" s="95" t="str">
        <f t="shared" si="20"/>
        <v/>
      </c>
      <c r="S382" s="95" t="str">
        <f t="shared" si="21"/>
        <v/>
      </c>
      <c r="T382" s="96">
        <f t="shared" si="22"/>
        <v>0</v>
      </c>
      <c r="U382" s="51"/>
    </row>
    <row r="383" spans="1:21" x14ac:dyDescent="0.25">
      <c r="A383" s="46">
        <f t="shared" si="18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19"/>
        <v>0</v>
      </c>
      <c r="P383" s="50"/>
      <c r="Q383" s="50"/>
      <c r="R383" s="95" t="str">
        <f t="shared" si="20"/>
        <v/>
      </c>
      <c r="S383" s="95" t="str">
        <f t="shared" si="21"/>
        <v/>
      </c>
      <c r="T383" s="96">
        <f t="shared" si="22"/>
        <v>0</v>
      </c>
      <c r="U383" s="51"/>
    </row>
    <row r="384" spans="1:21" x14ac:dyDescent="0.25">
      <c r="A384" s="46">
        <f t="shared" si="18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19"/>
        <v>0</v>
      </c>
      <c r="P384" s="50"/>
      <c r="Q384" s="50"/>
      <c r="R384" s="95" t="str">
        <f t="shared" si="20"/>
        <v/>
      </c>
      <c r="S384" s="95" t="str">
        <f t="shared" si="21"/>
        <v/>
      </c>
      <c r="T384" s="96">
        <f t="shared" si="22"/>
        <v>0</v>
      </c>
      <c r="U384" s="51"/>
    </row>
    <row r="385" spans="1:21" x14ac:dyDescent="0.25">
      <c r="A385" s="46">
        <f t="shared" si="18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19"/>
        <v>0</v>
      </c>
      <c r="P385" s="50"/>
      <c r="Q385" s="50"/>
      <c r="R385" s="95" t="str">
        <f t="shared" si="20"/>
        <v/>
      </c>
      <c r="S385" s="95" t="str">
        <f t="shared" si="21"/>
        <v/>
      </c>
      <c r="T385" s="96">
        <f t="shared" si="22"/>
        <v>0</v>
      </c>
      <c r="U385" s="51"/>
    </row>
    <row r="386" spans="1:21" x14ac:dyDescent="0.25">
      <c r="A386" s="46">
        <f t="shared" si="18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19"/>
        <v>0</v>
      </c>
      <c r="P386" s="50"/>
      <c r="Q386" s="50"/>
      <c r="R386" s="95" t="str">
        <f t="shared" si="20"/>
        <v/>
      </c>
      <c r="S386" s="95" t="str">
        <f t="shared" si="21"/>
        <v/>
      </c>
      <c r="T386" s="96">
        <f t="shared" si="22"/>
        <v>0</v>
      </c>
      <c r="U386" s="51"/>
    </row>
    <row r="387" spans="1:21" x14ac:dyDescent="0.25">
      <c r="A387" s="46">
        <f t="shared" si="18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19"/>
        <v>0</v>
      </c>
      <c r="P387" s="50"/>
      <c r="Q387" s="50"/>
      <c r="R387" s="95" t="str">
        <f t="shared" si="20"/>
        <v/>
      </c>
      <c r="S387" s="95" t="str">
        <f t="shared" si="21"/>
        <v/>
      </c>
      <c r="T387" s="96">
        <f t="shared" si="22"/>
        <v>0</v>
      </c>
      <c r="U387" s="51"/>
    </row>
    <row r="388" spans="1:21" x14ac:dyDescent="0.25">
      <c r="A388" s="46">
        <f t="shared" si="18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19"/>
        <v>0</v>
      </c>
      <c r="P388" s="50"/>
      <c r="Q388" s="50"/>
      <c r="R388" s="95" t="str">
        <f t="shared" si="20"/>
        <v/>
      </c>
      <c r="S388" s="95" t="str">
        <f t="shared" si="21"/>
        <v/>
      </c>
      <c r="T388" s="96">
        <f t="shared" si="22"/>
        <v>0</v>
      </c>
      <c r="U388" s="51"/>
    </row>
    <row r="389" spans="1:21" x14ac:dyDescent="0.25">
      <c r="A389" s="46">
        <f t="shared" si="18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19"/>
        <v>0</v>
      </c>
      <c r="P389" s="50"/>
      <c r="Q389" s="50"/>
      <c r="R389" s="95" t="str">
        <f t="shared" si="20"/>
        <v/>
      </c>
      <c r="S389" s="95" t="str">
        <f t="shared" si="21"/>
        <v/>
      </c>
      <c r="T389" s="96">
        <f t="shared" si="22"/>
        <v>0</v>
      </c>
      <c r="U389" s="51"/>
    </row>
    <row r="390" spans="1:21" x14ac:dyDescent="0.25">
      <c r="A390" s="46">
        <f t="shared" si="18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19"/>
        <v>0</v>
      </c>
      <c r="P390" s="50"/>
      <c r="Q390" s="50"/>
      <c r="R390" s="95" t="str">
        <f t="shared" si="20"/>
        <v/>
      </c>
      <c r="S390" s="95" t="str">
        <f t="shared" si="21"/>
        <v/>
      </c>
      <c r="T390" s="96">
        <f t="shared" si="22"/>
        <v>0</v>
      </c>
      <c r="U390" s="51"/>
    </row>
    <row r="391" spans="1:21" x14ac:dyDescent="0.25">
      <c r="A391" s="46">
        <f t="shared" si="18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19"/>
        <v>0</v>
      </c>
      <c r="P391" s="50"/>
      <c r="Q391" s="50"/>
      <c r="R391" s="95" t="str">
        <f t="shared" si="20"/>
        <v/>
      </c>
      <c r="S391" s="95" t="str">
        <f t="shared" si="21"/>
        <v/>
      </c>
      <c r="T391" s="96">
        <f t="shared" si="22"/>
        <v>0</v>
      </c>
      <c r="U391" s="51"/>
    </row>
    <row r="392" spans="1:21" x14ac:dyDescent="0.25">
      <c r="A392" s="46">
        <f t="shared" si="18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19"/>
        <v>0</v>
      </c>
      <c r="P392" s="50"/>
      <c r="Q392" s="50"/>
      <c r="R392" s="95" t="str">
        <f t="shared" si="20"/>
        <v/>
      </c>
      <c r="S392" s="95" t="str">
        <f t="shared" si="21"/>
        <v/>
      </c>
      <c r="T392" s="96">
        <f t="shared" si="22"/>
        <v>0</v>
      </c>
      <c r="U392" s="51"/>
    </row>
    <row r="393" spans="1:21" x14ac:dyDescent="0.25">
      <c r="A393" s="46">
        <f t="shared" si="18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19"/>
        <v>0</v>
      </c>
      <c r="P393" s="50"/>
      <c r="Q393" s="50"/>
      <c r="R393" s="95" t="str">
        <f t="shared" si="20"/>
        <v/>
      </c>
      <c r="S393" s="95" t="str">
        <f t="shared" si="21"/>
        <v/>
      </c>
      <c r="T393" s="96">
        <f t="shared" si="22"/>
        <v>0</v>
      </c>
      <c r="U393" s="51"/>
    </row>
    <row r="394" spans="1:21" x14ac:dyDescent="0.25">
      <c r="A394" s="46">
        <f t="shared" si="18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19"/>
        <v>0</v>
      </c>
      <c r="P394" s="50"/>
      <c r="Q394" s="50"/>
      <c r="R394" s="95" t="str">
        <f t="shared" si="20"/>
        <v/>
      </c>
      <c r="S394" s="95" t="str">
        <f t="shared" si="21"/>
        <v/>
      </c>
      <c r="T394" s="96">
        <f t="shared" si="22"/>
        <v>0</v>
      </c>
      <c r="U394" s="51"/>
    </row>
    <row r="395" spans="1:21" x14ac:dyDescent="0.25">
      <c r="A395" s="46">
        <f t="shared" si="18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19"/>
        <v>0</v>
      </c>
      <c r="P395" s="50"/>
      <c r="Q395" s="50"/>
      <c r="R395" s="95" t="str">
        <f t="shared" si="20"/>
        <v/>
      </c>
      <c r="S395" s="95" t="str">
        <f t="shared" si="21"/>
        <v/>
      </c>
      <c r="T395" s="96">
        <f t="shared" si="22"/>
        <v>0</v>
      </c>
      <c r="U395" s="51"/>
    </row>
    <row r="396" spans="1:21" x14ac:dyDescent="0.25">
      <c r="A396" s="46">
        <f t="shared" ref="A396:A411" si="23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24">T396*N396</f>
        <v>0</v>
      </c>
      <c r="P396" s="50"/>
      <c r="Q396" s="50"/>
      <c r="R396" s="95" t="str">
        <f t="shared" ref="R396:R411" si="25">IF(OR(P396="c",P396="C"),+T396,"")</f>
        <v/>
      </c>
      <c r="S396" s="95" t="str">
        <f t="shared" ref="S396:S411" si="26">IF(OR(P396="$",N396=1),+T396,"")</f>
        <v/>
      </c>
      <c r="T396" s="96">
        <f t="shared" ref="T396:T411" si="27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23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24"/>
        <v>0</v>
      </c>
      <c r="P397" s="50"/>
      <c r="Q397" s="50"/>
      <c r="R397" s="95" t="str">
        <f t="shared" si="25"/>
        <v/>
      </c>
      <c r="S397" s="95" t="str">
        <f t="shared" si="26"/>
        <v/>
      </c>
      <c r="T397" s="96">
        <f t="shared" si="27"/>
        <v>0</v>
      </c>
      <c r="U397" s="51"/>
    </row>
    <row r="398" spans="1:21" x14ac:dyDescent="0.25">
      <c r="A398" s="46">
        <f t="shared" si="23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24"/>
        <v>0</v>
      </c>
      <c r="P398" s="50"/>
      <c r="Q398" s="50"/>
      <c r="R398" s="95" t="str">
        <f t="shared" si="25"/>
        <v/>
      </c>
      <c r="S398" s="95" t="str">
        <f t="shared" si="26"/>
        <v/>
      </c>
      <c r="T398" s="96">
        <f t="shared" si="27"/>
        <v>0</v>
      </c>
      <c r="U398" s="51"/>
    </row>
    <row r="399" spans="1:21" x14ac:dyDescent="0.25">
      <c r="A399" s="46">
        <f t="shared" si="23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24"/>
        <v>0</v>
      </c>
      <c r="P399" s="50"/>
      <c r="Q399" s="50"/>
      <c r="R399" s="95" t="str">
        <f t="shared" si="25"/>
        <v/>
      </c>
      <c r="S399" s="95" t="str">
        <f t="shared" si="26"/>
        <v/>
      </c>
      <c r="T399" s="96">
        <f t="shared" si="27"/>
        <v>0</v>
      </c>
      <c r="U399" s="51"/>
    </row>
    <row r="400" spans="1:21" x14ac:dyDescent="0.25">
      <c r="A400" s="46">
        <f t="shared" si="23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24"/>
        <v>0</v>
      </c>
      <c r="P400" s="50"/>
      <c r="Q400" s="50"/>
      <c r="R400" s="95" t="str">
        <f t="shared" si="25"/>
        <v/>
      </c>
      <c r="S400" s="95" t="str">
        <f t="shared" si="26"/>
        <v/>
      </c>
      <c r="T400" s="96">
        <f t="shared" si="27"/>
        <v>0</v>
      </c>
      <c r="U400" s="51"/>
    </row>
    <row r="401" spans="1:21" x14ac:dyDescent="0.25">
      <c r="A401" s="46">
        <f t="shared" si="23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24"/>
        <v>0</v>
      </c>
      <c r="P401" s="50"/>
      <c r="Q401" s="50"/>
      <c r="R401" s="95" t="str">
        <f t="shared" si="25"/>
        <v/>
      </c>
      <c r="S401" s="95" t="str">
        <f t="shared" si="26"/>
        <v/>
      </c>
      <c r="T401" s="96">
        <f t="shared" si="27"/>
        <v>0</v>
      </c>
      <c r="U401" s="51"/>
    </row>
    <row r="402" spans="1:21" x14ac:dyDescent="0.25">
      <c r="A402" s="46">
        <f t="shared" si="23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24"/>
        <v>0</v>
      </c>
      <c r="P402" s="50"/>
      <c r="Q402" s="50"/>
      <c r="R402" s="95" t="str">
        <f t="shared" si="25"/>
        <v/>
      </c>
      <c r="S402" s="95" t="str">
        <f t="shared" si="26"/>
        <v/>
      </c>
      <c r="T402" s="96">
        <f t="shared" si="27"/>
        <v>0</v>
      </c>
      <c r="U402" s="51"/>
    </row>
    <row r="403" spans="1:21" x14ac:dyDescent="0.25">
      <c r="A403" s="46">
        <f t="shared" si="23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24"/>
        <v>0</v>
      </c>
      <c r="P403" s="50"/>
      <c r="Q403" s="50"/>
      <c r="R403" s="95" t="str">
        <f t="shared" si="25"/>
        <v/>
      </c>
      <c r="S403" s="95" t="str">
        <f t="shared" si="26"/>
        <v/>
      </c>
      <c r="T403" s="96">
        <f t="shared" si="27"/>
        <v>0</v>
      </c>
      <c r="U403" s="51"/>
    </row>
    <row r="404" spans="1:21" x14ac:dyDescent="0.25">
      <c r="A404" s="46">
        <f t="shared" si="23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24"/>
        <v>0</v>
      </c>
      <c r="P404" s="50"/>
      <c r="Q404" s="50"/>
      <c r="R404" s="95" t="str">
        <f t="shared" si="25"/>
        <v/>
      </c>
      <c r="S404" s="95" t="str">
        <f t="shared" si="26"/>
        <v/>
      </c>
      <c r="T404" s="96">
        <f t="shared" si="27"/>
        <v>0</v>
      </c>
      <c r="U404" s="51"/>
    </row>
    <row r="405" spans="1:21" x14ac:dyDescent="0.25">
      <c r="A405" s="46">
        <f t="shared" si="23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24"/>
        <v>0</v>
      </c>
      <c r="P405" s="50"/>
      <c r="Q405" s="50"/>
      <c r="R405" s="95" t="str">
        <f t="shared" si="25"/>
        <v/>
      </c>
      <c r="S405" s="95" t="str">
        <f t="shared" si="26"/>
        <v/>
      </c>
      <c r="T405" s="96">
        <f t="shared" si="27"/>
        <v>0</v>
      </c>
      <c r="U405" s="51"/>
    </row>
    <row r="406" spans="1:21" x14ac:dyDescent="0.25">
      <c r="A406" s="46">
        <f t="shared" si="23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24"/>
        <v>0</v>
      </c>
      <c r="P406" s="50"/>
      <c r="Q406" s="50"/>
      <c r="R406" s="95" t="str">
        <f t="shared" si="25"/>
        <v/>
      </c>
      <c r="S406" s="95" t="str">
        <f t="shared" si="26"/>
        <v/>
      </c>
      <c r="T406" s="96">
        <f t="shared" si="27"/>
        <v>0</v>
      </c>
      <c r="U406" s="51"/>
    </row>
    <row r="407" spans="1:21" x14ac:dyDescent="0.25">
      <c r="A407" s="46">
        <f t="shared" si="23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24"/>
        <v>0</v>
      </c>
      <c r="P407" s="50"/>
      <c r="Q407" s="50"/>
      <c r="R407" s="95" t="str">
        <f t="shared" si="25"/>
        <v/>
      </c>
      <c r="S407" s="95" t="str">
        <f t="shared" si="26"/>
        <v/>
      </c>
      <c r="T407" s="96">
        <f t="shared" si="27"/>
        <v>0</v>
      </c>
      <c r="U407" s="51"/>
    </row>
    <row r="408" spans="1:21" x14ac:dyDescent="0.25">
      <c r="A408" s="46">
        <f t="shared" si="23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24"/>
        <v>0</v>
      </c>
      <c r="P408" s="50"/>
      <c r="Q408" s="50"/>
      <c r="R408" s="95" t="str">
        <f t="shared" si="25"/>
        <v/>
      </c>
      <c r="S408" s="95" t="str">
        <f t="shared" si="26"/>
        <v/>
      </c>
      <c r="T408" s="96">
        <f t="shared" si="27"/>
        <v>0</v>
      </c>
      <c r="U408" s="51"/>
    </row>
    <row r="409" spans="1:21" x14ac:dyDescent="0.25">
      <c r="A409" s="46">
        <f t="shared" si="23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24"/>
        <v>0</v>
      </c>
      <c r="P409" s="50"/>
      <c r="Q409" s="50"/>
      <c r="R409" s="95" t="str">
        <f t="shared" si="25"/>
        <v/>
      </c>
      <c r="S409" s="95" t="str">
        <f t="shared" si="26"/>
        <v/>
      </c>
      <c r="T409" s="96">
        <f t="shared" si="27"/>
        <v>0</v>
      </c>
      <c r="U409" s="51"/>
    </row>
    <row r="410" spans="1:21" x14ac:dyDescent="0.25">
      <c r="A410" s="46">
        <f t="shared" si="23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24"/>
        <v>0</v>
      </c>
      <c r="P410" s="50"/>
      <c r="Q410" s="50"/>
      <c r="R410" s="95" t="str">
        <f t="shared" si="25"/>
        <v/>
      </c>
      <c r="S410" s="95" t="str">
        <f t="shared" si="26"/>
        <v/>
      </c>
      <c r="T410" s="96">
        <f t="shared" si="27"/>
        <v>0</v>
      </c>
      <c r="U410" s="51"/>
    </row>
    <row r="411" spans="1:21" x14ac:dyDescent="0.25">
      <c r="A411" s="46">
        <f t="shared" si="23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24"/>
        <v>0</v>
      </c>
      <c r="P411" s="50"/>
      <c r="Q411" s="50"/>
      <c r="R411" s="95" t="str">
        <f t="shared" si="25"/>
        <v/>
      </c>
      <c r="S411" s="95" t="str">
        <f t="shared" si="26"/>
        <v/>
      </c>
      <c r="T411" s="96">
        <f t="shared" si="27"/>
        <v>0</v>
      </c>
      <c r="U411" s="51"/>
    </row>
  </sheetData>
  <sheetProtection sheet="1" objects="1" scenarios="1" selectLockedCells="1"/>
  <sortState xmlns:xlrd2="http://schemas.microsoft.com/office/spreadsheetml/2017/richdata2" ref="B12:U201">
    <sortCondition ref="C12"/>
  </sortState>
  <mergeCells count="4">
    <mergeCell ref="K2:N2"/>
    <mergeCell ref="K3:N3"/>
    <mergeCell ref="K4:N4"/>
    <mergeCell ref="K5:L5"/>
  </mergeCells>
  <hyperlinks>
    <hyperlink ref="G70" r:id="rId1" xr:uid="{00000000-0004-0000-0300-000000000000}"/>
    <hyperlink ref="G170" r:id="rId2" xr:uid="{00000000-0004-0000-0300-000001000000}"/>
    <hyperlink ref="G16" r:id="rId3" xr:uid="{00000000-0004-0000-0300-000002000000}"/>
    <hyperlink ref="G19" r:id="rId4" xr:uid="{00000000-0004-0000-0300-000003000000}"/>
    <hyperlink ref="G24" r:id="rId5" xr:uid="{00000000-0004-0000-0300-000004000000}"/>
    <hyperlink ref="G49" r:id="rId6" xr:uid="{00000000-0004-0000-0300-000005000000}"/>
    <hyperlink ref="G64" r:id="rId7" xr:uid="{00000000-0004-0000-0300-000006000000}"/>
    <hyperlink ref="G71" r:id="rId8" xr:uid="{00000000-0004-0000-0300-000007000000}"/>
    <hyperlink ref="G79" r:id="rId9" xr:uid="{00000000-0004-0000-0300-000008000000}"/>
    <hyperlink ref="G82" r:id="rId10" xr:uid="{00000000-0004-0000-0300-000009000000}"/>
    <hyperlink ref="G97" r:id="rId11" xr:uid="{00000000-0004-0000-0300-00000A000000}"/>
    <hyperlink ref="G98" r:id="rId12" xr:uid="{00000000-0004-0000-0300-00000B000000}"/>
    <hyperlink ref="G101" r:id="rId13" xr:uid="{00000000-0004-0000-0300-00000C000000}"/>
    <hyperlink ref="G108" r:id="rId14" xr:uid="{00000000-0004-0000-0300-00000D000000}"/>
    <hyperlink ref="G152" r:id="rId15" xr:uid="{00000000-0004-0000-0300-00000E000000}"/>
    <hyperlink ref="G159" r:id="rId16" xr:uid="{00000000-0004-0000-0300-00000F000000}"/>
    <hyperlink ref="G166" r:id="rId17" xr:uid="{00000000-0004-0000-0300-000010000000}"/>
    <hyperlink ref="G169" r:id="rId18" xr:uid="{00000000-0004-0000-0300-000011000000}"/>
    <hyperlink ref="G176" r:id="rId19" xr:uid="{00000000-0004-0000-0300-000012000000}"/>
    <hyperlink ref="G191" r:id="rId20" xr:uid="{00000000-0004-0000-0300-000013000000}"/>
    <hyperlink ref="G196" r:id="rId21" xr:uid="{00000000-0004-0000-0300-000014000000}"/>
    <hyperlink ref="G197" r:id="rId22" xr:uid="{00000000-0004-0000-0300-000015000000}"/>
    <hyperlink ref="G121" r:id="rId23" xr:uid="{00000000-0004-0000-0300-000016000000}"/>
    <hyperlink ref="G122" r:id="rId24" xr:uid="{00000000-0004-0000-0300-000017000000}"/>
    <hyperlink ref="G45" r:id="rId25" xr:uid="{00000000-0004-0000-0300-000018000000}"/>
    <hyperlink ref="G112" r:id="rId26" xr:uid="{00000000-0004-0000-0300-000019000000}"/>
    <hyperlink ref="G80" r:id="rId27" xr:uid="{00000000-0004-0000-0300-00001A000000}"/>
    <hyperlink ref="G139" r:id="rId28" xr:uid="{00000000-0004-0000-0300-00001B000000}"/>
    <hyperlink ref="G132" r:id="rId29" xr:uid="{00000000-0004-0000-0300-00001C000000}"/>
    <hyperlink ref="G116" r:id="rId30" xr:uid="{00000000-0004-0000-0300-00001D000000}"/>
    <hyperlink ref="G81" r:id="rId31" xr:uid="{00000000-0004-0000-0300-00001E000000}"/>
    <hyperlink ref="G161" r:id="rId32" xr:uid="{00000000-0004-0000-0300-00001F000000}"/>
    <hyperlink ref="G177" r:id="rId33" xr:uid="{00000000-0004-0000-0300-000020000000}"/>
    <hyperlink ref="G201" r:id="rId34" xr:uid="{00000000-0004-0000-0300-000021000000}"/>
    <hyperlink ref="G165" r:id="rId35" xr:uid="{00000000-0004-0000-0300-000022000000}"/>
    <hyperlink ref="G131" r:id="rId36" xr:uid="{00000000-0004-0000-0300-000023000000}"/>
    <hyperlink ref="G172" r:id="rId37" xr:uid="{00000000-0004-0000-0300-000024000000}"/>
    <hyperlink ref="G32" r:id="rId38" xr:uid="{00000000-0004-0000-0300-000025000000}"/>
    <hyperlink ref="G157" r:id="rId39" xr:uid="{00000000-0004-0000-0300-000026000000}"/>
    <hyperlink ref="G154" r:id="rId40" xr:uid="{00000000-0004-0000-0300-000027000000}"/>
    <hyperlink ref="G90" r:id="rId41" xr:uid="{00000000-0004-0000-0300-000028000000}"/>
    <hyperlink ref="G76" r:id="rId42" xr:uid="{00000000-0004-0000-0300-000029000000}"/>
    <hyperlink ref="G77" r:id="rId43" xr:uid="{00000000-0004-0000-0300-00002A000000}"/>
    <hyperlink ref="G46" r:id="rId44" xr:uid="{00000000-0004-0000-0300-00002B000000}"/>
    <hyperlink ref="G13" r:id="rId45" xr:uid="{00000000-0004-0000-0300-00002C000000}"/>
    <hyperlink ref="G123" r:id="rId46" xr:uid="{00000000-0004-0000-0300-00002D000000}"/>
    <hyperlink ref="G26" r:id="rId47" xr:uid="{00000000-0004-0000-0300-00002E000000}"/>
    <hyperlink ref="G75" r:id="rId48" xr:uid="{00000000-0004-0000-0300-00002F000000}"/>
    <hyperlink ref="G65" r:id="rId49" xr:uid="{00000000-0004-0000-0300-000030000000}"/>
    <hyperlink ref="G133" r:id="rId50" xr:uid="{00000000-0004-0000-0300-000031000000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PlayerLabels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FRegEntriesSortUnpaid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FRegEntriesSortUnpaid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WhereAmI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ClearAll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A5" sqref="A5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 t="s">
        <v>7</v>
      </c>
      <c r="B5" s="7" t="s">
        <v>8</v>
      </c>
      <c r="C5" s="8" t="s">
        <v>9</v>
      </c>
      <c r="D5" s="49">
        <v>1</v>
      </c>
      <c r="E5" s="47"/>
      <c r="F5" s="47"/>
      <c r="G5" s="47"/>
      <c r="H5" s="47"/>
      <c r="I5" s="47"/>
      <c r="J5" s="47">
        <v>1</v>
      </c>
      <c r="K5" s="94">
        <v>80</v>
      </c>
      <c r="L5" s="68"/>
    </row>
    <row r="6" spans="1:12" x14ac:dyDescent="0.25">
      <c r="A6" s="7" t="s">
        <v>126</v>
      </c>
      <c r="B6" s="7" t="s">
        <v>127</v>
      </c>
      <c r="C6" s="8" t="s">
        <v>128</v>
      </c>
      <c r="D6" s="49">
        <v>1</v>
      </c>
      <c r="E6" s="47">
        <v>1</v>
      </c>
      <c r="F6" s="47">
        <v>1</v>
      </c>
      <c r="G6" s="47">
        <v>1</v>
      </c>
      <c r="H6" s="47">
        <v>1</v>
      </c>
      <c r="I6" s="47"/>
      <c r="J6" s="47">
        <v>1</v>
      </c>
      <c r="K6" s="94">
        <v>160</v>
      </c>
      <c r="L6" s="68"/>
    </row>
    <row r="7" spans="1:12" x14ac:dyDescent="0.25">
      <c r="A7" s="15" t="s">
        <v>656</v>
      </c>
      <c r="B7" s="15" t="s">
        <v>409</v>
      </c>
      <c r="C7" s="10" t="s">
        <v>657</v>
      </c>
      <c r="D7" s="49">
        <v>1</v>
      </c>
      <c r="E7" s="47"/>
      <c r="F7" s="47"/>
      <c r="G7" s="47"/>
      <c r="H7" s="47"/>
      <c r="I7" s="47"/>
      <c r="J7" s="47">
        <v>1</v>
      </c>
      <c r="K7" s="94">
        <v>80</v>
      </c>
      <c r="L7" s="68"/>
    </row>
    <row r="8" spans="1:12" x14ac:dyDescent="0.25">
      <c r="A8" s="5" t="s">
        <v>184</v>
      </c>
      <c r="B8" s="5" t="s">
        <v>185</v>
      </c>
      <c r="C8" s="6" t="s">
        <v>186</v>
      </c>
      <c r="D8" s="49">
        <v>1</v>
      </c>
      <c r="E8" s="47"/>
      <c r="F8" s="47"/>
      <c r="G8" s="47"/>
      <c r="H8" s="47"/>
      <c r="I8" s="47"/>
      <c r="J8" s="47">
        <v>1</v>
      </c>
      <c r="K8" s="94">
        <v>80</v>
      </c>
      <c r="L8" s="68"/>
    </row>
    <row r="9" spans="1:12" x14ac:dyDescent="0.25">
      <c r="A9" s="15" t="s">
        <v>669</v>
      </c>
      <c r="B9" s="15" t="s">
        <v>159</v>
      </c>
      <c r="C9" s="10" t="s">
        <v>670</v>
      </c>
      <c r="D9" s="49">
        <v>1</v>
      </c>
      <c r="E9" s="47"/>
      <c r="F9" s="47"/>
      <c r="G9" s="47"/>
      <c r="H9" s="47">
        <v>1</v>
      </c>
      <c r="I9" s="47"/>
      <c r="J9" s="47">
        <v>1</v>
      </c>
      <c r="K9" s="94">
        <v>80</v>
      </c>
      <c r="L9" s="68"/>
    </row>
    <row r="10" spans="1:12" x14ac:dyDescent="0.25">
      <c r="A10" s="15" t="s">
        <v>672</v>
      </c>
      <c r="B10" s="15" t="s">
        <v>350</v>
      </c>
      <c r="C10" s="10" t="s">
        <v>673</v>
      </c>
      <c r="D10" s="49">
        <v>1</v>
      </c>
      <c r="E10" s="47">
        <v>1</v>
      </c>
      <c r="F10" s="47">
        <v>1</v>
      </c>
      <c r="G10" s="47"/>
      <c r="H10" s="47"/>
      <c r="I10" s="47"/>
      <c r="J10" s="47">
        <v>1</v>
      </c>
      <c r="K10" s="94">
        <v>110</v>
      </c>
      <c r="L10" s="68"/>
    </row>
    <row r="11" spans="1:12" x14ac:dyDescent="0.25">
      <c r="A11" s="7" t="s">
        <v>736</v>
      </c>
      <c r="B11" s="7"/>
      <c r="C11" s="8" t="s">
        <v>737</v>
      </c>
      <c r="D11" s="49"/>
      <c r="E11" s="47"/>
      <c r="F11" s="47">
        <v>1</v>
      </c>
      <c r="G11" s="47"/>
      <c r="H11" s="47"/>
      <c r="I11" s="47"/>
      <c r="J11" s="47">
        <v>1</v>
      </c>
      <c r="K11" s="94">
        <v>90</v>
      </c>
      <c r="L11" s="68"/>
    </row>
    <row r="12" spans="1:12" x14ac:dyDescent="0.25">
      <c r="A12" s="15" t="s">
        <v>680</v>
      </c>
      <c r="B12" s="15" t="s">
        <v>91</v>
      </c>
      <c r="C12" s="10" t="s">
        <v>681</v>
      </c>
      <c r="D12" s="49">
        <v>1</v>
      </c>
      <c r="E12" s="47"/>
      <c r="F12" s="47">
        <v>1</v>
      </c>
      <c r="G12" s="47"/>
      <c r="H12" s="47"/>
      <c r="I12" s="47"/>
      <c r="J12" s="47">
        <v>1</v>
      </c>
      <c r="K12" s="94">
        <v>100</v>
      </c>
      <c r="L12" s="68"/>
    </row>
    <row r="13" spans="1:12" x14ac:dyDescent="0.25">
      <c r="A13" s="5" t="s">
        <v>396</v>
      </c>
      <c r="B13" s="5" t="s">
        <v>72</v>
      </c>
      <c r="C13" s="6" t="s">
        <v>397</v>
      </c>
      <c r="D13" s="49"/>
      <c r="E13" s="47"/>
      <c r="F13" s="47"/>
      <c r="G13" s="47"/>
      <c r="H13" s="47"/>
      <c r="I13" s="47"/>
      <c r="J13" s="47">
        <v>1</v>
      </c>
      <c r="K13" s="94">
        <v>70</v>
      </c>
      <c r="L13" s="68"/>
    </row>
    <row r="14" spans="1:12" x14ac:dyDescent="0.25">
      <c r="A14" s="7" t="s">
        <v>755</v>
      </c>
      <c r="B14" s="7" t="s">
        <v>409</v>
      </c>
      <c r="C14" s="8" t="s">
        <v>756</v>
      </c>
      <c r="D14" s="49"/>
      <c r="E14" s="47"/>
      <c r="F14" s="47"/>
      <c r="G14" s="47"/>
      <c r="H14" s="47"/>
      <c r="I14" s="47"/>
      <c r="J14" s="47">
        <v>1</v>
      </c>
      <c r="K14" s="94">
        <v>70</v>
      </c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 t="s">
        <v>714</v>
      </c>
      <c r="D7" s="5" t="s">
        <v>235</v>
      </c>
      <c r="E7" s="6" t="s">
        <v>715</v>
      </c>
    </row>
    <row r="8" spans="3:5" x14ac:dyDescent="0.25">
      <c r="C8" s="7" t="s">
        <v>283</v>
      </c>
      <c r="D8" s="7" t="s">
        <v>81</v>
      </c>
      <c r="E8" s="8" t="s">
        <v>284</v>
      </c>
    </row>
    <row r="9" spans="3:5" x14ac:dyDescent="0.25">
      <c r="C9" s="7" t="s">
        <v>369</v>
      </c>
      <c r="D9" s="7" t="s">
        <v>45</v>
      </c>
      <c r="E9" s="8" t="s">
        <v>370</v>
      </c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 t="s">
        <v>231</v>
      </c>
      <c r="D7" s="12" t="s">
        <v>232</v>
      </c>
      <c r="E7" s="8" t="s">
        <v>233</v>
      </c>
    </row>
    <row r="8" spans="3:5" x14ac:dyDescent="0.25">
      <c r="C8" s="15" t="s">
        <v>672</v>
      </c>
      <c r="D8" s="15" t="s">
        <v>350</v>
      </c>
      <c r="E8" s="10" t="s">
        <v>673</v>
      </c>
    </row>
    <row r="9" spans="3:5" x14ac:dyDescent="0.25">
      <c r="C9" s="7" t="s">
        <v>292</v>
      </c>
      <c r="D9" s="7" t="s">
        <v>293</v>
      </c>
      <c r="E9" s="8" t="s">
        <v>294</v>
      </c>
    </row>
    <row r="10" spans="3:5" x14ac:dyDescent="0.25">
      <c r="C10" s="7" t="s">
        <v>316</v>
      </c>
      <c r="D10" s="7" t="s">
        <v>45</v>
      </c>
      <c r="E10" s="8" t="s">
        <v>317</v>
      </c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2025-03-06T04:58:25Z</dcterms:modified>
</cp:coreProperties>
</file>