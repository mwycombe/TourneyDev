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 - copy of updated\YB PrelimReg\"/>
    </mc:Choice>
  </mc:AlternateContent>
  <xr:revisionPtr revIDLastSave="0" documentId="13_ncr:1_{9A50BA67-80BE-4763-A3D4-130B43474CD9}" xr6:coauthVersionLast="47" xr6:coauthVersionMax="47" xr10:uidLastSave="{00000000-0000-0000-0000-000000000000}"/>
  <bookViews>
    <workbookView xWindow="-26130" yWindow="2670" windowWidth="22080" windowHeight="1204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R31" i="1"/>
  <c r="S31" i="1"/>
  <c r="T31" i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O47" i="1" s="1"/>
  <c r="R48" i="1"/>
  <c r="S48" i="1"/>
  <c r="T48" i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R74" i="1"/>
  <c r="S74" i="1"/>
  <c r="T74" i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S105" i="1"/>
  <c r="T105" i="1"/>
  <c r="O105" i="1" s="1"/>
  <c r="R106" i="1"/>
  <c r="S106" i="1"/>
  <c r="T106" i="1"/>
  <c r="O106" i="1" s="1"/>
  <c r="R108" i="1"/>
  <c r="S108" i="1"/>
  <c r="T108" i="1"/>
  <c r="R109" i="1"/>
  <c r="S109" i="1"/>
  <c r="T109" i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30" i="1"/>
  <c r="O31" i="1"/>
  <c r="O43" i="1"/>
  <c r="O44" i="1"/>
  <c r="O45" i="1"/>
  <c r="O48" i="1"/>
  <c r="O52" i="1"/>
  <c r="O73" i="1"/>
  <c r="O74" i="1"/>
  <c r="O104" i="1"/>
  <c r="O108" i="1"/>
  <c r="O109" i="1"/>
  <c r="O113" i="1"/>
  <c r="O124" i="1"/>
  <c r="O134" i="1"/>
  <c r="O114" i="1" l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<sst xmlns="http://schemas.openxmlformats.org/spreadsheetml/2006/main" count="1025" uniqueCount="773">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</sst>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0" fontId="11" fillId="0" borderId="0" xfId="1" applyBorder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1" t="s">
        <v>574</v>
      </c>
      <c r="D1" s="122"/>
      <c r="E1" s="123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6" t="s">
        <v>648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45" t="s">
        <v>557</v>
      </c>
      <c r="C5" s="126" t="s">
        <v>649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45" t="s">
        <v>558</v>
      </c>
      <c r="C7" s="126" t="s">
        <v>650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4" t="s">
        <v>651</v>
      </c>
      <c r="D11" s="125"/>
      <c r="E11" s="124" t="s">
        <v>652</v>
      </c>
      <c r="F11" s="125"/>
      <c r="G11" s="124" t="s">
        <v>653</v>
      </c>
      <c r="H11" s="125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4" t="s">
        <v>654</v>
      </c>
      <c r="D13" s="125"/>
      <c r="E13" s="124" t="s">
        <v>655</v>
      </c>
      <c r="F13" s="125"/>
      <c r="G13" s="124" t="s">
        <v>656</v>
      </c>
      <c r="H13" s="125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4" t="s">
        <v>365</v>
      </c>
      <c r="D15" s="125"/>
      <c r="E15" s="124" t="s">
        <v>657</v>
      </c>
      <c r="F15" s="125"/>
      <c r="G15" s="124" t="s">
        <v>517</v>
      </c>
      <c r="H15" s="125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0" t="s">
        <v>574</v>
      </c>
      <c r="D2" s="131"/>
      <c r="E2" s="131"/>
      <c r="F2" s="131"/>
      <c r="G2" s="132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28" t="s">
        <v>576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28" t="s">
        <v>578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3" t="s">
        <v>575</v>
      </c>
      <c r="D15" s="133"/>
      <c r="E15" s="133"/>
      <c r="F15" s="133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0"/>
      <c r="H4" s="12" t="s">
        <v>567</v>
      </c>
      <c r="I4" s="12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0"/>
      <c r="H5" s="12" t="s">
        <v>559</v>
      </c>
      <c r="I5" s="12"/>
      <c r="K5" s="136">
        <f>Tourney!$C$9</f>
        <v>45402</v>
      </c>
      <c r="L5" s="136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0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 t="shared" si="2"/>
        <v>0</v>
      </c>
      <c r="P16" s="9"/>
      <c r="Q16" s="9"/>
      <c r="R16" s="89" t="str">
        <f t="shared" si="3"/>
        <v/>
      </c>
      <c r="S16" s="89" t="str">
        <f t="shared" si="4"/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 t="shared" si="2"/>
        <v>0</v>
      </c>
      <c r="P17" s="9"/>
      <c r="Q17" s="9"/>
      <c r="R17" s="89" t="str">
        <f t="shared" si="3"/>
        <v/>
      </c>
      <c r="S17" s="89" t="str">
        <f t="shared" si="4"/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 t="shared" si="2"/>
        <v>0</v>
      </c>
      <c r="P18" s="9"/>
      <c r="Q18" s="9"/>
      <c r="R18" s="89" t="str">
        <f t="shared" si="3"/>
        <v/>
      </c>
      <c r="S18" s="89" t="str">
        <f t="shared" si="4"/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 t="shared" si="2"/>
        <v>0</v>
      </c>
      <c r="P19" s="9" t="s">
        <v>721</v>
      </c>
      <c r="Q19" s="9">
        <v>1723</v>
      </c>
      <c r="R19" s="89">
        <f t="shared" si="3"/>
        <v>160</v>
      </c>
      <c r="S19" s="89" t="str">
        <f t="shared" si="4"/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 t="shared" si="2"/>
        <v>0</v>
      </c>
      <c r="P20" s="9" t="s">
        <v>721</v>
      </c>
      <c r="Q20" s="9">
        <v>1587</v>
      </c>
      <c r="R20" s="89">
        <f t="shared" si="3"/>
        <v>160</v>
      </c>
      <c r="S20" s="89" t="str">
        <f t="shared" si="4"/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19"/>
      <c r="G21" s="102"/>
      <c r="H21" s="8"/>
      <c r="I21" s="9"/>
      <c r="J21" s="9"/>
      <c r="K21" s="9"/>
      <c r="L21" s="9"/>
      <c r="M21" s="9"/>
      <c r="N21" s="9"/>
      <c r="O21" s="88">
        <f t="shared" si="2"/>
        <v>0</v>
      </c>
      <c r="P21" s="9"/>
      <c r="Q21" s="9"/>
      <c r="R21" s="89" t="str">
        <f t="shared" si="3"/>
        <v/>
      </c>
      <c r="S21" s="89" t="str">
        <f t="shared" si="4"/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 t="shared" si="2"/>
        <v>0</v>
      </c>
      <c r="P22" s="9"/>
      <c r="Q22" s="9"/>
      <c r="R22" s="89" t="str">
        <f t="shared" si="3"/>
        <v/>
      </c>
      <c r="S22" s="89" t="str">
        <f t="shared" si="4"/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 t="shared" si="2"/>
        <v>0</v>
      </c>
      <c r="P23" s="9" t="s">
        <v>721</v>
      </c>
      <c r="Q23" s="9">
        <v>1826</v>
      </c>
      <c r="R23" s="89">
        <f t="shared" si="3"/>
        <v>160</v>
      </c>
      <c r="S23" s="89" t="str">
        <f t="shared" si="4"/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/>
      <c r="Q24" s="9"/>
      <c r="R24" s="89" t="str">
        <f t="shared" si="3"/>
        <v/>
      </c>
      <c r="S24" s="89" t="str">
        <f t="shared" si="4"/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 t="shared" si="2"/>
        <v>0</v>
      </c>
      <c r="P25" s="9"/>
      <c r="Q25" s="9"/>
      <c r="R25" s="89" t="str">
        <f t="shared" si="3"/>
        <v/>
      </c>
      <c r="S25" s="89" t="str">
        <f t="shared" si="4"/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8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/>
      <c r="Q26" s="9"/>
      <c r="R26" s="89" t="str">
        <f t="shared" si="3"/>
        <v/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/>
      <c r="Q27" s="9"/>
      <c r="R27" s="89" t="str">
        <f t="shared" si="3"/>
        <v/>
      </c>
      <c r="S27" s="89" t="str">
        <f t="shared" si="4"/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 t="shared" si="2"/>
        <v>0</v>
      </c>
      <c r="P29" s="9"/>
      <c r="Q29" s="9"/>
      <c r="R29" s="89" t="str">
        <f t="shared" si="3"/>
        <v/>
      </c>
      <c r="S29" s="89" t="str">
        <f t="shared" si="4"/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 t="shared" si="2"/>
        <v>0</v>
      </c>
      <c r="P30" s="9"/>
      <c r="Q30" s="9"/>
      <c r="R30" s="89" t="str">
        <f t="shared" si="3"/>
        <v/>
      </c>
      <c r="S30" s="89" t="str">
        <f t="shared" si="4"/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/>
      <c r="Q32" s="9"/>
      <c r="R32" s="89" t="str">
        <f t="shared" si="3"/>
        <v/>
      </c>
      <c r="S32" s="89" t="str">
        <f t="shared" si="4"/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 t="shared" si="2"/>
        <v>0</v>
      </c>
      <c r="P33" s="9"/>
      <c r="Q33" s="9"/>
      <c r="R33" s="89" t="str">
        <f t="shared" si="3"/>
        <v/>
      </c>
      <c r="S33" s="89" t="str">
        <f t="shared" si="4"/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/>
      <c r="Q34" s="9"/>
      <c r="R34" s="89" t="str">
        <f t="shared" si="3"/>
        <v/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/>
      <c r="Q35" s="9"/>
      <c r="R35" s="89" t="str">
        <f t="shared" si="3"/>
        <v/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 t="s">
        <v>724</v>
      </c>
      <c r="Q37" s="9" t="s">
        <v>684</v>
      </c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20" t="s">
        <v>746</v>
      </c>
      <c r="H39" s="8">
        <v>1</v>
      </c>
      <c r="I39" s="9"/>
      <c r="J39" s="9"/>
      <c r="K39" s="9"/>
      <c r="L39" s="9"/>
      <c r="M39" s="9"/>
      <c r="N39" s="9"/>
      <c r="O39" s="88">
        <f t="shared" si="2"/>
        <v>0</v>
      </c>
      <c r="P39" s="9" t="s">
        <v>724</v>
      </c>
      <c r="Q39" s="9" t="s">
        <v>704</v>
      </c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20" t="s">
        <v>766</v>
      </c>
      <c r="H40" s="8">
        <v>1</v>
      </c>
      <c r="I40" s="9"/>
      <c r="J40" s="9"/>
      <c r="K40" s="9"/>
      <c r="L40" s="9"/>
      <c r="M40" s="9"/>
      <c r="N40" s="9"/>
      <c r="O40" s="88">
        <f t="shared" si="2"/>
        <v>0</v>
      </c>
      <c r="P40" s="9" t="s">
        <v>724</v>
      </c>
      <c r="Q40" s="9" t="s">
        <v>684</v>
      </c>
      <c r="R40" s="89" t="str">
        <f t="shared" si="3"/>
        <v/>
      </c>
      <c r="S40" s="89">
        <f t="shared" si="4"/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 t="shared" si="3"/>
        <v/>
      </c>
      <c r="S41" s="89" t="str">
        <f t="shared" si="4"/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 t="shared" ref="O42:O73" si="5">T42*N42</f>
        <v>0</v>
      </c>
      <c r="P42" s="9" t="s">
        <v>721</v>
      </c>
      <c r="Q42" s="9">
        <v>3536</v>
      </c>
      <c r="R42" s="89">
        <f t="shared" si="3"/>
        <v>160</v>
      </c>
      <c r="S42" s="89" t="str">
        <f t="shared" si="4"/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 t="shared" si="5"/>
        <v>0</v>
      </c>
      <c r="P43" s="9"/>
      <c r="Q43" s="9"/>
      <c r="R43" s="89" t="str">
        <f t="shared" si="3"/>
        <v/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 t="shared" si="5"/>
        <v>0</v>
      </c>
      <c r="P44" s="9"/>
      <c r="Q44" s="9"/>
      <c r="R44" s="89" t="str">
        <f t="shared" ref="R44:R75" si="6">IF(OR(P44="c",P44="C"),+T44,"")</f>
        <v/>
      </c>
      <c r="S44" s="89" t="str">
        <f t="shared" ref="S44:S75" si="7"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 t="shared" si="5"/>
        <v>0</v>
      </c>
      <c r="P45" s="9"/>
      <c r="Q45" s="9"/>
      <c r="R45" s="89" t="str">
        <f t="shared" si="6"/>
        <v/>
      </c>
      <c r="S45" s="89" t="str">
        <f t="shared" si="7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206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 t="shared" si="5"/>
        <v>0</v>
      </c>
      <c r="P47" s="9"/>
      <c r="Q47" s="9"/>
      <c r="R47" s="89" t="str">
        <f t="shared" si="6"/>
        <v/>
      </c>
      <c r="S47" s="89" t="str">
        <f t="shared" si="7"/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 t="shared" si="5"/>
        <v>0</v>
      </c>
      <c r="P48" s="9"/>
      <c r="Q48" s="9"/>
      <c r="R48" s="89" t="str">
        <f t="shared" si="6"/>
        <v/>
      </c>
      <c r="S48" s="89" t="str">
        <f t="shared" si="7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1094</v>
      </c>
      <c r="R49" s="89">
        <f t="shared" si="6"/>
        <v>70</v>
      </c>
      <c r="S49" s="89" t="str">
        <f t="shared" si="7"/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 t="shared" si="5"/>
        <v>0</v>
      </c>
      <c r="P50" s="9"/>
      <c r="Q50" s="9"/>
      <c r="R50" s="89" t="str">
        <f t="shared" si="6"/>
        <v/>
      </c>
      <c r="S50" s="89" t="str">
        <f t="shared" si="7"/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 t="shared" si="5"/>
        <v>0</v>
      </c>
      <c r="P51" s="9"/>
      <c r="Q51" s="9"/>
      <c r="R51" s="89" t="str">
        <f t="shared" si="6"/>
        <v/>
      </c>
      <c r="S51" s="89" t="str">
        <f t="shared" si="7"/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 t="shared" si="5"/>
        <v>0</v>
      </c>
      <c r="P52" s="9"/>
      <c r="Q52" s="9"/>
      <c r="R52" s="89" t="str">
        <f t="shared" si="6"/>
        <v/>
      </c>
      <c r="S52" s="89" t="str">
        <f t="shared" si="7"/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 t="shared" si="5"/>
        <v>0</v>
      </c>
      <c r="P53" s="9" t="s">
        <v>724</v>
      </c>
      <c r="Q53" s="9" t="s">
        <v>553</v>
      </c>
      <c r="R53" s="89" t="str">
        <f t="shared" si="6"/>
        <v/>
      </c>
      <c r="S53" s="89">
        <f t="shared" si="7"/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 t="shared" si="5"/>
        <v>0</v>
      </c>
      <c r="P54" s="9"/>
      <c r="Q54" s="9"/>
      <c r="R54" s="89" t="str">
        <f t="shared" si="6"/>
        <v/>
      </c>
      <c r="S54" s="89" t="str">
        <f t="shared" si="7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16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 t="shared" si="5"/>
        <v>0</v>
      </c>
      <c r="P55" s="9" t="s">
        <v>721</v>
      </c>
      <c r="Q55" s="9">
        <v>1360</v>
      </c>
      <c r="R55" s="89">
        <f t="shared" si="6"/>
        <v>110</v>
      </c>
      <c r="S55" s="89" t="str">
        <f t="shared" si="7"/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 t="shared" si="5"/>
        <v>0</v>
      </c>
      <c r="P56" s="9"/>
      <c r="Q56" s="9"/>
      <c r="R56" s="89" t="str">
        <f t="shared" si="6"/>
        <v/>
      </c>
      <c r="S56" s="89" t="str">
        <f t="shared" si="7"/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 t="shared" si="5"/>
        <v>0</v>
      </c>
      <c r="P57" s="9"/>
      <c r="Q57" s="9"/>
      <c r="R57" s="89" t="str">
        <f t="shared" si="6"/>
        <v/>
      </c>
      <c r="S57" s="89" t="str">
        <f t="shared" si="7"/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 t="shared" si="5"/>
        <v>0</v>
      </c>
      <c r="P58" s="9"/>
      <c r="Q58" s="9"/>
      <c r="R58" s="89" t="str">
        <f t="shared" si="6"/>
        <v/>
      </c>
      <c r="S58" s="89" t="str">
        <f t="shared" si="7"/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 t="shared" si="5"/>
        <v>0</v>
      </c>
      <c r="P59" s="9"/>
      <c r="Q59" s="9"/>
      <c r="R59" s="89" t="str">
        <f t="shared" si="6"/>
        <v/>
      </c>
      <c r="S59" s="89" t="str">
        <f t="shared" si="7"/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/>
      <c r="Q60" s="9"/>
      <c r="R60" s="89" t="str">
        <f t="shared" si="6"/>
        <v/>
      </c>
      <c r="S60" s="89" t="str">
        <f t="shared" si="7"/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 t="shared" si="5"/>
        <v>0</v>
      </c>
      <c r="P61" s="9"/>
      <c r="Q61" s="9"/>
      <c r="R61" s="89" t="str">
        <f t="shared" si="6"/>
        <v/>
      </c>
      <c r="S61" s="89" t="str">
        <f t="shared" si="7"/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16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 t="shared" si="5"/>
        <v>0</v>
      </c>
      <c r="P62" s="9"/>
      <c r="Q62" s="9"/>
      <c r="R62" s="89" t="str">
        <f t="shared" si="6"/>
        <v/>
      </c>
      <c r="S62" s="89" t="str">
        <f t="shared" si="7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 t="shared" si="5"/>
        <v>0</v>
      </c>
      <c r="P63" s="9"/>
      <c r="Q63" s="9"/>
      <c r="R63" s="89" t="str">
        <f t="shared" si="6"/>
        <v/>
      </c>
      <c r="S63" s="89" t="str">
        <f t="shared" si="7"/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 t="shared" si="5"/>
        <v>100</v>
      </c>
      <c r="P64" s="9" t="s">
        <v>724</v>
      </c>
      <c r="Q64" s="9"/>
      <c r="R64" s="89" t="str">
        <f t="shared" si="6"/>
        <v/>
      </c>
      <c r="S64" s="89">
        <f t="shared" si="7"/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8"/>
      <c r="G65" s="94"/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/>
      <c r="Q65" s="9"/>
      <c r="R65" s="89" t="str">
        <f t="shared" si="6"/>
        <v/>
      </c>
      <c r="S65" s="89" t="str">
        <f t="shared" si="7"/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8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 t="shared" si="5"/>
        <v>0</v>
      </c>
      <c r="P66" s="9"/>
      <c r="Q66" s="9"/>
      <c r="R66" s="89" t="str">
        <f t="shared" si="6"/>
        <v/>
      </c>
      <c r="S66" s="89" t="str">
        <f t="shared" si="7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 t="shared" si="5"/>
        <v>0</v>
      </c>
      <c r="P67" s="9"/>
      <c r="Q67" s="9"/>
      <c r="R67" s="89" t="str">
        <f t="shared" si="6"/>
        <v/>
      </c>
      <c r="S67" s="89" t="str">
        <f t="shared" si="7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 t="shared" si="5"/>
        <v>0</v>
      </c>
      <c r="P68" s="9"/>
      <c r="Q68" s="9"/>
      <c r="R68" s="89" t="str">
        <f t="shared" si="6"/>
        <v/>
      </c>
      <c r="S68" s="89" t="str">
        <f t="shared" si="7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 t="shared" si="5"/>
        <v>0</v>
      </c>
      <c r="P69" s="9"/>
      <c r="Q69" s="9"/>
      <c r="R69" s="89" t="str">
        <f t="shared" si="6"/>
        <v/>
      </c>
      <c r="S69" s="89" t="str">
        <f t="shared" si="7"/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 t="shared" si="5"/>
        <v>160</v>
      </c>
      <c r="P70" s="9"/>
      <c r="Q70" s="9"/>
      <c r="R70" s="89" t="str">
        <f t="shared" si="6"/>
        <v/>
      </c>
      <c r="S70" s="89">
        <f t="shared" si="7"/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 t="shared" si="5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 t="shared" si="5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 t="shared" si="5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 t="shared" ref="O74:O105" si="8">T74*N74</f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18"/>
      <c r="G77" s="94"/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 t="shared" si="8"/>
        <v>0</v>
      </c>
      <c r="P78" s="9" t="s">
        <v>724</v>
      </c>
      <c r="Q78" s="9"/>
      <c r="R78" s="89" t="str">
        <f t="shared" si="9"/>
        <v/>
      </c>
      <c r="S78" s="89">
        <f t="shared" si="10"/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 t="shared" si="8"/>
        <v>0</v>
      </c>
      <c r="P79" s="9" t="s">
        <v>724</v>
      </c>
      <c r="Q79" s="9" t="s">
        <v>684</v>
      </c>
      <c r="R79" s="89" t="str">
        <f t="shared" si="9"/>
        <v/>
      </c>
      <c r="S79" s="89">
        <f t="shared" si="10"/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 t="shared" si="8"/>
        <v>160</v>
      </c>
      <c r="P83" s="9"/>
      <c r="Q83" s="9"/>
      <c r="R83" s="89" t="str">
        <f t="shared" si="9"/>
        <v/>
      </c>
      <c r="S83" s="89">
        <f t="shared" si="10"/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 t="shared" si="8"/>
        <v>0</v>
      </c>
      <c r="P86" s="9" t="s">
        <v>724</v>
      </c>
      <c r="Q86" s="9" t="s">
        <v>704</v>
      </c>
      <c r="R86" s="89" t="str">
        <f t="shared" si="9"/>
        <v/>
      </c>
      <c r="S86" s="89">
        <f t="shared" si="10"/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1" t="s">
        <v>47</v>
      </c>
      <c r="D88" s="1" t="s">
        <v>48</v>
      </c>
      <c r="E88" s="2" t="s">
        <v>187</v>
      </c>
      <c r="F88" s="116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 t="shared" si="8"/>
        <v>0</v>
      </c>
      <c r="P89" s="9" t="s">
        <v>721</v>
      </c>
      <c r="Q89" s="9">
        <v>2575</v>
      </c>
      <c r="R89" s="89">
        <f t="shared" si="9"/>
        <v>80</v>
      </c>
      <c r="S89" s="89" t="str">
        <f t="shared" si="10"/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311</v>
      </c>
      <c r="D91" s="6" t="s">
        <v>312</v>
      </c>
      <c r="E91" s="7" t="s">
        <v>313</v>
      </c>
      <c r="F91" s="118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x14ac:dyDescent="0.25">
      <c r="A93" s="85">
        <f t="shared" si="11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 t="shared" si="8"/>
        <v>0</v>
      </c>
      <c r="P93" s="9" t="s">
        <v>721</v>
      </c>
      <c r="Q93" s="9">
        <v>7333</v>
      </c>
      <c r="R93" s="89">
        <f t="shared" si="9"/>
        <v>110</v>
      </c>
      <c r="S93" s="89" t="str">
        <f t="shared" si="10"/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 t="shared" si="8"/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 t="shared" si="8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 t="shared" si="8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 t="shared" si="8"/>
        <v>0</v>
      </c>
      <c r="P105" s="9" t="s">
        <v>721</v>
      </c>
      <c r="Q105" s="9">
        <v>648</v>
      </c>
      <c r="R105" s="89">
        <f t="shared" si="9"/>
        <v>80</v>
      </c>
      <c r="S105" s="89" t="str">
        <f t="shared" si="10"/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 t="shared" ref="O106:O137" si="12">T106*N106</f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>
        <v>1</v>
      </c>
      <c r="C107" s="1" t="s">
        <v>768</v>
      </c>
      <c r="D107" s="1" t="s">
        <v>769</v>
      </c>
      <c r="E107" s="5" t="s">
        <v>770</v>
      </c>
      <c r="F107" s="5" t="s">
        <v>772</v>
      </c>
      <c r="G107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 t="shared" si="12"/>
        <v>160</v>
      </c>
      <c r="P107" s="9"/>
      <c r="Q107" s="9"/>
      <c r="R107" s="89" t="str">
        <f t="shared" si="9"/>
        <v/>
      </c>
      <c r="S107" s="89">
        <f t="shared" si="10"/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 t="shared" si="12"/>
        <v>0</v>
      </c>
      <c r="P113" s="9" t="s">
        <v>724</v>
      </c>
      <c r="Q113" s="9"/>
      <c r="R113" s="89" t="str">
        <f t="shared" si="13"/>
        <v/>
      </c>
      <c r="S113" s="89">
        <f t="shared" si="14"/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18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 t="shared" si="12"/>
        <v>70</v>
      </c>
      <c r="P114" s="9"/>
      <c r="Q114" s="9"/>
      <c r="R114" s="89" t="str">
        <f t="shared" si="13"/>
        <v/>
      </c>
      <c r="S114" s="89">
        <f t="shared" si="14"/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 t="shared" si="12"/>
        <v>80</v>
      </c>
      <c r="P115" s="9"/>
      <c r="Q115" s="9"/>
      <c r="R115" s="89" t="str">
        <f t="shared" si="13"/>
        <v/>
      </c>
      <c r="S115" s="89">
        <f t="shared" si="14"/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 t="shared" si="12"/>
        <v>100</v>
      </c>
      <c r="P117" s="9"/>
      <c r="Q117" s="9"/>
      <c r="R117" s="89" t="str">
        <f t="shared" si="13"/>
        <v/>
      </c>
      <c r="S117" s="89">
        <f t="shared" si="14"/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 t="s">
        <v>721</v>
      </c>
      <c r="Q119" s="9">
        <v>1800</v>
      </c>
      <c r="R119" s="89">
        <f t="shared" si="13"/>
        <v>70</v>
      </c>
      <c r="S119" s="89" t="str">
        <f t="shared" si="14"/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472</v>
      </c>
      <c r="D126" s="6" t="s">
        <v>96</v>
      </c>
      <c r="E126" s="7" t="s">
        <v>473</v>
      </c>
      <c r="F126" s="116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6" t="s">
        <v>474</v>
      </c>
      <c r="D127" s="43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>
        <v>1</v>
      </c>
      <c r="C128" s="6" t="s">
        <v>697</v>
      </c>
      <c r="D128" s="43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 t="shared" si="12"/>
        <v>0</v>
      </c>
      <c r="P128" s="9" t="s">
        <v>724</v>
      </c>
      <c r="Q128" s="9" t="s">
        <v>741</v>
      </c>
      <c r="R128" s="89" t="str">
        <f t="shared" si="13"/>
        <v/>
      </c>
      <c r="S128" s="89">
        <f t="shared" si="14"/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 t="shared" si="12"/>
        <v>0</v>
      </c>
      <c r="P129" s="9" t="s">
        <v>721</v>
      </c>
      <c r="Q129" s="9">
        <v>1587</v>
      </c>
      <c r="R129" s="89">
        <f t="shared" si="13"/>
        <v>160</v>
      </c>
      <c r="S129" s="89" t="str">
        <f t="shared" si="14"/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 t="shared" si="12"/>
        <v>0</v>
      </c>
      <c r="P132" s="9" t="s">
        <v>724</v>
      </c>
      <c r="Q132" s="9" t="s">
        <v>684</v>
      </c>
      <c r="R132" s="89" t="str">
        <f t="shared" si="13"/>
        <v/>
      </c>
      <c r="S132" s="89">
        <f t="shared" si="14"/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 t="shared" si="12"/>
        <v>0</v>
      </c>
      <c r="P133" s="9" t="s">
        <v>721</v>
      </c>
      <c r="Q133" s="9">
        <v>2553</v>
      </c>
      <c r="R133" s="89">
        <f t="shared" si="13"/>
        <v>160</v>
      </c>
      <c r="S133" s="89" t="str">
        <f t="shared" si="14"/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 t="shared" si="12"/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 t="shared" si="12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 t="shared" si="12"/>
        <v>0</v>
      </c>
      <c r="P136" s="9" t="s">
        <v>721</v>
      </c>
      <c r="Q136" s="9">
        <v>133</v>
      </c>
      <c r="R136" s="89">
        <f t="shared" si="13"/>
        <v>80</v>
      </c>
      <c r="S136" s="89" t="str">
        <f t="shared" si="14"/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 t="shared" si="12"/>
        <v>110</v>
      </c>
      <c r="P137" s="9"/>
      <c r="Q137" s="9"/>
      <c r="R137" s="89" t="str">
        <f t="shared" si="13"/>
        <v/>
      </c>
      <c r="S137" s="89">
        <f t="shared" si="14"/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 t="shared" ref="O138:O169" si="15">T138*N138</f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382</v>
      </c>
      <c r="D140" s="6" t="s">
        <v>383</v>
      </c>
      <c r="E140" s="7"/>
      <c r="F140" s="118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 t="shared" si="15"/>
        <v>100</v>
      </c>
      <c r="P141" s="9"/>
      <c r="Q141" s="9"/>
      <c r="R141" s="89" t="str">
        <f t="shared" si="16"/>
        <v/>
      </c>
      <c r="S141" s="89">
        <f t="shared" si="17"/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 t="shared" si="15"/>
        <v>0</v>
      </c>
      <c r="P145" s="9" t="s">
        <v>721</v>
      </c>
      <c r="Q145" s="9">
        <v>5361</v>
      </c>
      <c r="R145" s="89">
        <f t="shared" si="16"/>
        <v>110</v>
      </c>
      <c r="S145" s="89" t="str">
        <f t="shared" si="17"/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11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 t="shared" si="15"/>
        <v>0</v>
      </c>
      <c r="P146" s="9" t="s">
        <v>721</v>
      </c>
      <c r="Q146" s="9">
        <v>5007</v>
      </c>
      <c r="R146" s="89">
        <f t="shared" si="16"/>
        <v>70</v>
      </c>
      <c r="S146" s="89" t="str">
        <f t="shared" si="17"/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157</v>
      </c>
      <c r="D153" s="6" t="s">
        <v>15</v>
      </c>
      <c r="E153" s="7" t="s">
        <v>200</v>
      </c>
      <c r="F153" s="118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 t="shared" si="15"/>
        <v>0</v>
      </c>
      <c r="P157" s="9" t="s">
        <v>721</v>
      </c>
      <c r="Q157" s="9">
        <v>5008</v>
      </c>
      <c r="R157" s="89">
        <f t="shared" si="16"/>
        <v>160</v>
      </c>
      <c r="S157" s="89" t="str">
        <f t="shared" si="17"/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 t="shared" si="15"/>
        <v>0</v>
      </c>
      <c r="P160" s="9" t="s">
        <v>721</v>
      </c>
      <c r="Q160" s="9">
        <v>375</v>
      </c>
      <c r="R160" s="89">
        <f t="shared" si="16"/>
        <v>80</v>
      </c>
      <c r="S160" s="89" t="str">
        <f t="shared" si="17"/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 t="shared" si="15"/>
        <v>0</v>
      </c>
      <c r="P163" s="9" t="s">
        <v>721</v>
      </c>
      <c r="Q163" s="9">
        <v>1399</v>
      </c>
      <c r="R163" s="89">
        <f t="shared" si="16"/>
        <v>100</v>
      </c>
      <c r="S163" s="89" t="str">
        <f t="shared" si="17"/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 t="shared" si="15"/>
        <v>0</v>
      </c>
      <c r="P164" s="9" t="s">
        <v>721</v>
      </c>
      <c r="Q164" s="9">
        <v>1399</v>
      </c>
      <c r="R164" s="89">
        <f t="shared" si="16"/>
        <v>160</v>
      </c>
      <c r="S164" s="89" t="str">
        <f t="shared" si="17"/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 t="shared" si="15"/>
        <v>0</v>
      </c>
      <c r="P166" s="9" t="s">
        <v>721</v>
      </c>
      <c r="Q166" s="9">
        <v>616</v>
      </c>
      <c r="R166" s="89">
        <f t="shared" si="16"/>
        <v>160</v>
      </c>
      <c r="S166" s="89" t="str">
        <f t="shared" si="17"/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 t="shared" si="15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 t="shared" si="15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 t="shared" si="15"/>
        <v>0</v>
      </c>
      <c r="P169" s="9" t="s">
        <v>721</v>
      </c>
      <c r="Q169" s="9">
        <v>1886</v>
      </c>
      <c r="R169" s="89">
        <f t="shared" si="16"/>
        <v>160</v>
      </c>
      <c r="S169" s="89" t="str">
        <f t="shared" si="17"/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 t="shared" ref="O170:O201" si="19">T170*N170</f>
        <v>0</v>
      </c>
      <c r="P170" s="9" t="s">
        <v>721</v>
      </c>
      <c r="Q170" s="9">
        <v>1886</v>
      </c>
      <c r="R170" s="89">
        <f t="shared" si="16"/>
        <v>160</v>
      </c>
      <c r="S170" s="89" t="str">
        <f t="shared" si="17"/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ht="15.75" x14ac:dyDescent="0.25">
      <c r="A171" s="85">
        <f t="shared" si="18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ht="15.75" x14ac:dyDescent="0.25">
      <c r="A172" s="85">
        <f t="shared" si="18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ht="15.75" x14ac:dyDescent="0.25">
      <c r="A175" s="85">
        <f t="shared" si="18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18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 t="shared" si="19"/>
        <v>110</v>
      </c>
      <c r="P178" s="9" t="s">
        <v>724</v>
      </c>
      <c r="Q178" s="9"/>
      <c r="R178" s="89" t="str">
        <f t="shared" si="20"/>
        <v/>
      </c>
      <c r="S178" s="89">
        <f t="shared" si="21"/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 t="shared" si="19"/>
        <v>0</v>
      </c>
      <c r="P179" s="9" t="s">
        <v>724</v>
      </c>
      <c r="Q179" s="9"/>
      <c r="R179" s="89" t="str">
        <f t="shared" si="20"/>
        <v/>
      </c>
      <c r="S179" s="89">
        <f t="shared" si="21"/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 t="s">
        <v>724</v>
      </c>
      <c r="Q180" s="9"/>
      <c r="R180" s="89" t="str">
        <f t="shared" si="20"/>
        <v/>
      </c>
      <c r="S180" s="89">
        <f t="shared" si="21"/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x14ac:dyDescent="0.25">
      <c r="A182" s="85">
        <f t="shared" si="18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x14ac:dyDescent="0.25">
      <c r="A183" s="85">
        <f t="shared" si="18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 t="shared" si="19"/>
        <v>0</v>
      </c>
      <c r="P184" s="9" t="s">
        <v>724</v>
      </c>
      <c r="Q184" s="9"/>
      <c r="R184" s="89" t="str">
        <f t="shared" si="20"/>
        <v/>
      </c>
      <c r="S184" s="89">
        <f t="shared" si="21"/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x14ac:dyDescent="0.25">
      <c r="A186" s="85">
        <f t="shared" si="18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x14ac:dyDescent="0.25">
      <c r="A187" s="85">
        <f t="shared" si="18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 t="shared" si="19"/>
        <v>0</v>
      </c>
      <c r="P187" s="9" t="s">
        <v>721</v>
      </c>
      <c r="Q187" s="9">
        <v>1149</v>
      </c>
      <c r="R187" s="89">
        <f t="shared" si="20"/>
        <v>110</v>
      </c>
      <c r="S187" s="89" t="str">
        <f t="shared" si="21"/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 t="shared" si="19"/>
        <v>0</v>
      </c>
      <c r="P188" s="9" t="s">
        <v>721</v>
      </c>
      <c r="Q188" s="9">
        <v>1149</v>
      </c>
      <c r="R188" s="89">
        <f t="shared" si="20"/>
        <v>80</v>
      </c>
      <c r="S188" s="89" t="str">
        <f t="shared" si="21"/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 t="shared" si="19"/>
        <v>0</v>
      </c>
      <c r="P192" s="9" t="s">
        <v>721</v>
      </c>
      <c r="Q192" s="9">
        <v>2487</v>
      </c>
      <c r="R192" s="89">
        <f t="shared" si="20"/>
        <v>80</v>
      </c>
      <c r="S192" s="89" t="str">
        <f t="shared" si="21"/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 t="s">
        <v>721</v>
      </c>
      <c r="Q197" s="9">
        <v>8803</v>
      </c>
      <c r="R197" s="89">
        <f t="shared" si="20"/>
        <v>70</v>
      </c>
      <c r="S197" s="89" t="str">
        <f t="shared" si="21"/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 t="shared" si="19"/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 t="shared" si="19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 t="shared" si="19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 t="shared" si="19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 t="shared" ref="O202:O210" si="22">T202*N202</f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 t="shared" si="22"/>
        <v>0</v>
      </c>
      <c r="P204" s="9" t="s">
        <v>721</v>
      </c>
      <c r="Q204" s="9">
        <v>7357</v>
      </c>
      <c r="R204" s="89">
        <f t="shared" ref="R204:R210" si="23">IF(OR(P204="c",P204="C"),+T204,"")</f>
        <v>160</v>
      </c>
      <c r="S204" s="89" t="str">
        <f t="shared" ref="S204:S210" si="24"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 t="shared" si="22"/>
        <v>0</v>
      </c>
      <c r="P205" s="9" t="s">
        <v>721</v>
      </c>
      <c r="Q205" s="9">
        <v>4040</v>
      </c>
      <c r="R205" s="89">
        <f t="shared" si="23"/>
        <v>100</v>
      </c>
      <c r="S205" s="89" t="str">
        <f t="shared" si="24"/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 t="shared" si="22"/>
        <v>0</v>
      </c>
      <c r="P210" s="9" t="s">
        <v>721</v>
      </c>
      <c r="Q210" s="9">
        <v>9990</v>
      </c>
      <c r="R210" s="89">
        <f t="shared" si="23"/>
        <v>110</v>
      </c>
      <c r="S210" s="89" t="str">
        <f t="shared" si="24"/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C9FC4D91-6CDD-1D4B-A4F6-3CC4DD985103}"/>
    <hyperlink ref="G136" r:id="rId36" xr:uid="{8CC2D16E-A360-EA40-9446-7C67566D1B72}"/>
    <hyperlink ref="G180" r:id="rId37" xr:uid="{BDDCC081-09A8-A24D-935F-78D4BC5084FF}"/>
    <hyperlink ref="G33" r:id="rId38" xr:uid="{F05D68B8-E23C-BA47-8F12-51FB1817BF4D}"/>
    <hyperlink ref="G163" r:id="rId39" xr:uid="{2998ED75-3559-EF4F-AEF6-140E8C4C066B}"/>
    <hyperlink ref="G159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4" r:id="rId45" xr:uid="{2A3E5490-CF3A-C94D-B79F-25C116027C1C}"/>
    <hyperlink ref="G128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8" r:id="rId50" xr:uid="{0C9E4AC4-9AEE-284B-AE41-091B341C0FE7}"/>
    <hyperlink ref="G204" r:id="rId51" xr:uid="{022E2A21-8AE2-1F4D-8A5A-4C41CC3DC300}"/>
    <hyperlink ref="G37" r:id="rId52" xr:uid="{145AEF6E-D947-4E4F-9E1F-822ADFC1FAEC}"/>
    <hyperlink ref="G39" r:id="rId53" xr:uid="{4835DDB8-6614-6E45-9D14-7F478946C02D}"/>
    <hyperlink ref="G197" r:id="rId54" xr:uid="{D98E004C-8574-6E4C-8B72-CA00FC430086}"/>
    <hyperlink ref="G160" r:id="rId55" xr:uid="{1E0403D3-4302-1946-8D2E-33A364F64D41}"/>
    <hyperlink ref="G12" r:id="rId56" xr:uid="{B6D17556-9C47-4C49-B8C9-D1698067C446}"/>
    <hyperlink ref="G146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2026-01-24T02:08:29Z</dcterms:modified>
</cp:coreProperties>
</file>