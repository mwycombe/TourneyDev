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223D9D87-7DB7-476E-8CE7-C99572F3B2E9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4" i="1" l="1"/>
  <c r="R64" i="1" s="1"/>
  <c r="S64" i="1"/>
  <c r="T212" i="1"/>
  <c r="O212" i="1" s="1"/>
  <c r="S212" i="1"/>
  <c r="T211" i="1"/>
  <c r="O211" i="1" s="1"/>
  <c r="S211" i="1"/>
  <c r="R211" i="1"/>
  <c r="T210" i="1"/>
  <c r="O210" i="1" s="1"/>
  <c r="S210" i="1"/>
  <c r="T209" i="1"/>
  <c r="O209" i="1" s="1"/>
  <c r="S209" i="1"/>
  <c r="R209" i="1"/>
  <c r="T63" i="1"/>
  <c r="R63" i="1" s="1"/>
  <c r="S63" i="1"/>
  <c r="T62" i="1"/>
  <c r="R62" i="1" s="1"/>
  <c r="S62" i="1"/>
  <c r="T208" i="1"/>
  <c r="O208" i="1" s="1"/>
  <c r="S208" i="1"/>
  <c r="R208" i="1"/>
  <c r="T207" i="1"/>
  <c r="O207" i="1" s="1"/>
  <c r="S207" i="1"/>
  <c r="T206" i="1"/>
  <c r="O206" i="1" s="1"/>
  <c r="S206" i="1"/>
  <c r="R206" i="1"/>
  <c r="T205" i="1"/>
  <c r="O205" i="1" s="1"/>
  <c r="S205" i="1"/>
  <c r="T204" i="1"/>
  <c r="O204" i="1" s="1"/>
  <c r="S204" i="1"/>
  <c r="T203" i="1"/>
  <c r="R203" i="1" s="1"/>
  <c r="S203" i="1"/>
  <c r="T61" i="1"/>
  <c r="R61" i="1" s="1"/>
  <c r="S61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T60" i="1"/>
  <c r="R60" i="1" s="1"/>
  <c r="S60" i="1"/>
  <c r="T198" i="1"/>
  <c r="O198" i="1" s="1"/>
  <c r="S198" i="1"/>
  <c r="R198" i="1"/>
  <c r="T197" i="1"/>
  <c r="O197" i="1" s="1"/>
  <c r="S197" i="1"/>
  <c r="T196" i="1"/>
  <c r="O196" i="1" s="1"/>
  <c r="S196" i="1"/>
  <c r="T59" i="1"/>
  <c r="R59" i="1" s="1"/>
  <c r="S59" i="1"/>
  <c r="T58" i="1"/>
  <c r="O58" i="1" s="1"/>
  <c r="S58" i="1"/>
  <c r="T195" i="1"/>
  <c r="O195" i="1" s="1"/>
  <c r="S195" i="1"/>
  <c r="T194" i="1"/>
  <c r="O194" i="1" s="1"/>
  <c r="S194" i="1"/>
  <c r="T57" i="1"/>
  <c r="O57" i="1" s="1"/>
  <c r="R57" i="1"/>
  <c r="T193" i="1"/>
  <c r="O193" i="1" s="1"/>
  <c r="S193" i="1"/>
  <c r="R193" i="1"/>
  <c r="T192" i="1"/>
  <c r="O192" i="1" s="1"/>
  <c r="S192" i="1"/>
  <c r="T191" i="1"/>
  <c r="O191" i="1" s="1"/>
  <c r="S191" i="1"/>
  <c r="T56" i="1"/>
  <c r="S56" i="1" s="1"/>
  <c r="R56" i="1"/>
  <c r="T55" i="1"/>
  <c r="O55" i="1" s="1"/>
  <c r="R55" i="1"/>
  <c r="T54" i="1"/>
  <c r="S54" i="1" s="1"/>
  <c r="R54" i="1"/>
  <c r="T190" i="1"/>
  <c r="O190" i="1" s="1"/>
  <c r="S190" i="1"/>
  <c r="R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53" i="1"/>
  <c r="R53" i="1" s="1"/>
  <c r="S53" i="1"/>
  <c r="T52" i="1"/>
  <c r="R52" i="1" s="1"/>
  <c r="S52" i="1"/>
  <c r="T183" i="1"/>
  <c r="O183" i="1" s="1"/>
  <c r="S183" i="1"/>
  <c r="R183" i="1"/>
  <c r="T182" i="1"/>
  <c r="O182" i="1" s="1"/>
  <c r="S182" i="1"/>
  <c r="R182" i="1"/>
  <c r="T50" i="1"/>
  <c r="O50" i="1" s="1"/>
  <c r="S50" i="1"/>
  <c r="T181" i="1"/>
  <c r="O181" i="1" s="1"/>
  <c r="S181" i="1"/>
  <c r="T49" i="1"/>
  <c r="R49" i="1" s="1"/>
  <c r="S49" i="1"/>
  <c r="T48" i="1"/>
  <c r="R48" i="1" s="1"/>
  <c r="S48" i="1"/>
  <c r="T180" i="1"/>
  <c r="O180" i="1" s="1"/>
  <c r="S180" i="1"/>
  <c r="R180" i="1"/>
  <c r="T179" i="1"/>
  <c r="O179" i="1" s="1"/>
  <c r="S179" i="1"/>
  <c r="T47" i="1"/>
  <c r="R47" i="1" s="1"/>
  <c r="S47" i="1"/>
  <c r="T178" i="1"/>
  <c r="O178" i="1" s="1"/>
  <c r="S178" i="1"/>
  <c r="T177" i="1"/>
  <c r="O177" i="1" s="1"/>
  <c r="S177" i="1"/>
  <c r="T46" i="1"/>
  <c r="R46" i="1" s="1"/>
  <c r="S46" i="1"/>
  <c r="T176" i="1"/>
  <c r="O176" i="1" s="1"/>
  <c r="S176" i="1"/>
  <c r="R176" i="1"/>
  <c r="T175" i="1"/>
  <c r="O175" i="1" s="1"/>
  <c r="S175" i="1"/>
  <c r="R175" i="1"/>
  <c r="T174" i="1"/>
  <c r="O174" i="1" s="1"/>
  <c r="S174" i="1"/>
  <c r="R174" i="1"/>
  <c r="T173" i="1"/>
  <c r="O173" i="1" s="1"/>
  <c r="S173" i="1"/>
  <c r="R173" i="1"/>
  <c r="T172" i="1"/>
  <c r="O172" i="1" s="1"/>
  <c r="S172" i="1"/>
  <c r="R172" i="1"/>
  <c r="T171" i="1"/>
  <c r="O171" i="1" s="1"/>
  <c r="S171" i="1"/>
  <c r="T170" i="1"/>
  <c r="O170" i="1" s="1"/>
  <c r="S170" i="1"/>
  <c r="R170" i="1"/>
  <c r="T169" i="1"/>
  <c r="O169" i="1" s="1"/>
  <c r="S169" i="1"/>
  <c r="T168" i="1"/>
  <c r="O168" i="1" s="1"/>
  <c r="S168" i="1"/>
  <c r="T167" i="1"/>
  <c r="O167" i="1" s="1"/>
  <c r="S167" i="1"/>
  <c r="R167" i="1"/>
  <c r="T45" i="1"/>
  <c r="R45" i="1" s="1"/>
  <c r="S45" i="1"/>
  <c r="T44" i="1"/>
  <c r="R44" i="1" s="1"/>
  <c r="S44" i="1"/>
  <c r="T166" i="1"/>
  <c r="O166" i="1" s="1"/>
  <c r="S166" i="1"/>
  <c r="T165" i="1"/>
  <c r="O165" i="1" s="1"/>
  <c r="S165" i="1"/>
  <c r="R165" i="1"/>
  <c r="T164" i="1"/>
  <c r="O164" i="1" s="1"/>
  <c r="S164" i="1"/>
  <c r="T43" i="1"/>
  <c r="S43" i="1" s="1"/>
  <c r="R43" i="1"/>
  <c r="T163" i="1"/>
  <c r="O163" i="1" s="1"/>
  <c r="S163" i="1"/>
  <c r="R163" i="1"/>
  <c r="T162" i="1"/>
  <c r="O162" i="1" s="1"/>
  <c r="S162" i="1"/>
  <c r="R162" i="1"/>
  <c r="T161" i="1"/>
  <c r="O161" i="1" s="1"/>
  <c r="S161" i="1"/>
  <c r="T160" i="1"/>
  <c r="O160" i="1" s="1"/>
  <c r="R160" i="1"/>
  <c r="T42" i="1"/>
  <c r="R42" i="1" s="1"/>
  <c r="S42" i="1"/>
  <c r="T159" i="1"/>
  <c r="O159" i="1" s="1"/>
  <c r="S159" i="1"/>
  <c r="R159" i="1"/>
  <c r="T158" i="1"/>
  <c r="O158" i="1" s="1"/>
  <c r="S158" i="1"/>
  <c r="R158" i="1"/>
  <c r="T41" i="1"/>
  <c r="R41" i="1" s="1"/>
  <c r="S41" i="1"/>
  <c r="T40" i="1"/>
  <c r="S40" i="1" s="1"/>
  <c r="R40" i="1"/>
  <c r="T157" i="1"/>
  <c r="O157" i="1" s="1"/>
  <c r="S157" i="1"/>
  <c r="T156" i="1"/>
  <c r="O156" i="1" s="1"/>
  <c r="S156" i="1"/>
  <c r="T155" i="1"/>
  <c r="R155" i="1" s="1"/>
  <c r="S155" i="1"/>
  <c r="T39" i="1"/>
  <c r="S39" i="1" s="1"/>
  <c r="R39" i="1"/>
  <c r="T154" i="1"/>
  <c r="O154" i="1" s="1"/>
  <c r="S154" i="1"/>
  <c r="T153" i="1"/>
  <c r="O153" i="1" s="1"/>
  <c r="S153" i="1"/>
  <c r="R153" i="1"/>
  <c r="T152" i="1"/>
  <c r="O152" i="1" s="1"/>
  <c r="S152" i="1"/>
  <c r="R152" i="1"/>
  <c r="T151" i="1"/>
  <c r="O151" i="1" s="1"/>
  <c r="S151" i="1"/>
  <c r="R151" i="1"/>
  <c r="T150" i="1"/>
  <c r="O150" i="1" s="1"/>
  <c r="S150" i="1"/>
  <c r="R150" i="1"/>
  <c r="T149" i="1"/>
  <c r="O149" i="1" s="1"/>
  <c r="S149" i="1"/>
  <c r="T148" i="1"/>
  <c r="O148" i="1" s="1"/>
  <c r="S148" i="1"/>
  <c r="T147" i="1"/>
  <c r="O147" i="1" s="1"/>
  <c r="S147" i="1"/>
  <c r="T38" i="1"/>
  <c r="R38" i="1" s="1"/>
  <c r="S38" i="1"/>
  <c r="T146" i="1"/>
  <c r="O146" i="1" s="1"/>
  <c r="S146" i="1"/>
  <c r="R146" i="1"/>
  <c r="T37" i="1"/>
  <c r="O37" i="1" s="1"/>
  <c r="R37" i="1"/>
  <c r="T145" i="1"/>
  <c r="O145" i="1" s="1"/>
  <c r="S145" i="1"/>
  <c r="R145" i="1"/>
  <c r="T36" i="1"/>
  <c r="S36" i="1" s="1"/>
  <c r="R36" i="1"/>
  <c r="T35" i="1"/>
  <c r="S35" i="1" s="1"/>
  <c r="R35" i="1"/>
  <c r="T34" i="1"/>
  <c r="O34" i="1" s="1"/>
  <c r="R34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T140" i="1"/>
  <c r="O140" i="1" s="1"/>
  <c r="S140" i="1"/>
  <c r="R140" i="1"/>
  <c r="T139" i="1"/>
  <c r="S139" i="1" s="1"/>
  <c r="R139" i="1"/>
  <c r="T138" i="1"/>
  <c r="O138" i="1" s="1"/>
  <c r="S138" i="1"/>
  <c r="T33" i="1"/>
  <c r="R33" i="1" s="1"/>
  <c r="S33" i="1"/>
  <c r="T137" i="1"/>
  <c r="O137" i="1" s="1"/>
  <c r="S137" i="1"/>
  <c r="R137" i="1"/>
  <c r="T136" i="1"/>
  <c r="O136" i="1" s="1"/>
  <c r="S136" i="1"/>
  <c r="R136" i="1"/>
  <c r="T135" i="1"/>
  <c r="O135" i="1" s="1"/>
  <c r="S135" i="1"/>
  <c r="R135" i="1"/>
  <c r="T134" i="1"/>
  <c r="O134" i="1" s="1"/>
  <c r="S134" i="1"/>
  <c r="R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R129" i="1"/>
  <c r="T128" i="1"/>
  <c r="O128" i="1" s="1"/>
  <c r="S128" i="1"/>
  <c r="R128" i="1"/>
  <c r="T127" i="1"/>
  <c r="O127" i="1" s="1"/>
  <c r="S127" i="1"/>
  <c r="R127" i="1"/>
  <c r="T32" i="1"/>
  <c r="R32" i="1" s="1"/>
  <c r="S32" i="1"/>
  <c r="T126" i="1"/>
  <c r="O126" i="1" s="1"/>
  <c r="S126" i="1"/>
  <c r="T125" i="1"/>
  <c r="O125" i="1" s="1"/>
  <c r="S125" i="1"/>
  <c r="T124" i="1"/>
  <c r="O124" i="1" s="1"/>
  <c r="S124" i="1"/>
  <c r="R124" i="1"/>
  <c r="T31" i="1"/>
  <c r="R31" i="1" s="1"/>
  <c r="S31" i="1"/>
  <c r="T123" i="1"/>
  <c r="O123" i="1" s="1"/>
  <c r="S123" i="1"/>
  <c r="R123" i="1"/>
  <c r="T122" i="1"/>
  <c r="O122" i="1" s="1"/>
  <c r="S122" i="1"/>
  <c r="T30" i="1"/>
  <c r="O30" i="1" s="1"/>
  <c r="R30" i="1"/>
  <c r="T121" i="1"/>
  <c r="O121" i="1" s="1"/>
  <c r="S121" i="1"/>
  <c r="R121" i="1"/>
  <c r="T120" i="1"/>
  <c r="O120" i="1" s="1"/>
  <c r="S120" i="1"/>
  <c r="R120" i="1"/>
  <c r="T29" i="1"/>
  <c r="S29" i="1" s="1"/>
  <c r="R29" i="1"/>
  <c r="T119" i="1"/>
  <c r="O119" i="1" s="1"/>
  <c r="S119" i="1"/>
  <c r="T118" i="1"/>
  <c r="O118" i="1" s="1"/>
  <c r="S118" i="1"/>
  <c r="R118" i="1"/>
  <c r="T117" i="1"/>
  <c r="O117" i="1" s="1"/>
  <c r="S117" i="1"/>
  <c r="R117" i="1"/>
  <c r="T28" i="1"/>
  <c r="O28" i="1" s="1"/>
  <c r="R28" i="1"/>
  <c r="T27" i="1"/>
  <c r="S27" i="1" s="1"/>
  <c r="R27" i="1"/>
  <c r="T116" i="1"/>
  <c r="O116" i="1" s="1"/>
  <c r="S116" i="1"/>
  <c r="R116" i="1"/>
  <c r="T115" i="1"/>
  <c r="O115" i="1" s="1"/>
  <c r="S115" i="1"/>
  <c r="T114" i="1"/>
  <c r="O114" i="1" s="1"/>
  <c r="S114" i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R110" i="1"/>
  <c r="T26" i="1"/>
  <c r="S26" i="1" s="1"/>
  <c r="R26" i="1"/>
  <c r="T109" i="1"/>
  <c r="O109" i="1" s="1"/>
  <c r="S109" i="1"/>
  <c r="R109" i="1"/>
  <c r="T108" i="1"/>
  <c r="O108" i="1" s="1"/>
  <c r="S108" i="1"/>
  <c r="R108" i="1"/>
  <c r="T107" i="1"/>
  <c r="O107" i="1" s="1"/>
  <c r="S107" i="1"/>
  <c r="R107" i="1"/>
  <c r="T106" i="1"/>
  <c r="O106" i="1" s="1"/>
  <c r="S106" i="1"/>
  <c r="T105" i="1"/>
  <c r="O105" i="1" s="1"/>
  <c r="S105" i="1"/>
  <c r="R105" i="1"/>
  <c r="T25" i="1"/>
  <c r="O25" i="1" s="1"/>
  <c r="R25" i="1"/>
  <c r="T104" i="1"/>
  <c r="O104" i="1" s="1"/>
  <c r="S104" i="1"/>
  <c r="R104" i="1"/>
  <c r="T103" i="1"/>
  <c r="O103" i="1" s="1"/>
  <c r="S103" i="1"/>
  <c r="R103" i="1"/>
  <c r="T101" i="1"/>
  <c r="O101" i="1" s="1"/>
  <c r="S101" i="1"/>
  <c r="T100" i="1"/>
  <c r="O100" i="1" s="1"/>
  <c r="S100" i="1"/>
  <c r="R100" i="1"/>
  <c r="T99" i="1"/>
  <c r="O99" i="1" s="1"/>
  <c r="S99" i="1"/>
  <c r="T98" i="1"/>
  <c r="O98" i="1" s="1"/>
  <c r="S98" i="1"/>
  <c r="R98" i="1"/>
  <c r="T97" i="1"/>
  <c r="O97" i="1" s="1"/>
  <c r="S97" i="1"/>
  <c r="T96" i="1"/>
  <c r="O96" i="1" s="1"/>
  <c r="S96" i="1"/>
  <c r="T24" i="1"/>
  <c r="R24" i="1" s="1"/>
  <c r="S24" i="1"/>
  <c r="T95" i="1"/>
  <c r="O95" i="1" s="1"/>
  <c r="S95" i="1"/>
  <c r="R95" i="1"/>
  <c r="T23" i="1"/>
  <c r="O23" i="1" s="1"/>
  <c r="R23" i="1"/>
  <c r="T94" i="1"/>
  <c r="O94" i="1" s="1"/>
  <c r="S94" i="1"/>
  <c r="R94" i="1"/>
  <c r="T93" i="1"/>
  <c r="O93" i="1" s="1"/>
  <c r="S93" i="1"/>
  <c r="R93" i="1"/>
  <c r="T92" i="1"/>
  <c r="O92" i="1" s="1"/>
  <c r="S92" i="1"/>
  <c r="R92" i="1"/>
  <c r="T22" i="1"/>
  <c r="R22" i="1" s="1"/>
  <c r="S22" i="1"/>
  <c r="T91" i="1"/>
  <c r="O91" i="1" s="1"/>
  <c r="S91" i="1"/>
  <c r="R91" i="1"/>
  <c r="T90" i="1"/>
  <c r="O90" i="1" s="1"/>
  <c r="S90" i="1"/>
  <c r="R90" i="1"/>
  <c r="T21" i="1"/>
  <c r="O21" i="1" s="1"/>
  <c r="S21" i="1"/>
  <c r="T89" i="1"/>
  <c r="O89" i="1" s="1"/>
  <c r="S89" i="1"/>
  <c r="T88" i="1"/>
  <c r="O88" i="1" s="1"/>
  <c r="S88" i="1"/>
  <c r="R88" i="1"/>
  <c r="T87" i="1"/>
  <c r="O87" i="1" s="1"/>
  <c r="S87" i="1"/>
  <c r="R87" i="1"/>
  <c r="T20" i="1"/>
  <c r="R20" i="1" s="1"/>
  <c r="S20" i="1"/>
  <c r="S86" i="1"/>
  <c r="R86" i="1"/>
  <c r="T19" i="1"/>
  <c r="S19" i="1" s="1"/>
  <c r="R19" i="1"/>
  <c r="T18" i="1"/>
  <c r="S18" i="1" s="1"/>
  <c r="R18" i="1"/>
  <c r="T85" i="1"/>
  <c r="O85" i="1" s="1"/>
  <c r="S85" i="1"/>
  <c r="R85" i="1"/>
  <c r="T17" i="1"/>
  <c r="S17" i="1" s="1"/>
  <c r="R17" i="1"/>
  <c r="T84" i="1"/>
  <c r="O84" i="1" s="1"/>
  <c r="S84" i="1"/>
  <c r="R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R80" i="1"/>
  <c r="T79" i="1"/>
  <c r="O79" i="1" s="1"/>
  <c r="S79" i="1"/>
  <c r="R79" i="1"/>
  <c r="T78" i="1"/>
  <c r="O78" i="1" s="1"/>
  <c r="S78" i="1"/>
  <c r="R78" i="1"/>
  <c r="T77" i="1"/>
  <c r="O77" i="1" s="1"/>
  <c r="S77" i="1"/>
  <c r="T76" i="1"/>
  <c r="O76" i="1" s="1"/>
  <c r="S76" i="1"/>
  <c r="T75" i="1"/>
  <c r="O75" i="1" s="1"/>
  <c r="S75" i="1"/>
  <c r="R75" i="1"/>
  <c r="T74" i="1"/>
  <c r="O74" i="1" s="1"/>
  <c r="S74" i="1"/>
  <c r="T73" i="1"/>
  <c r="O73" i="1" s="1"/>
  <c r="S73" i="1"/>
  <c r="T72" i="1"/>
  <c r="O72" i="1" s="1"/>
  <c r="S72" i="1"/>
  <c r="T71" i="1"/>
  <c r="R71" i="1" s="1"/>
  <c r="S71" i="1"/>
  <c r="T70" i="1"/>
  <c r="O70" i="1" s="1"/>
  <c r="S70" i="1"/>
  <c r="R70" i="1"/>
  <c r="T69" i="1"/>
  <c r="O69" i="1" s="1"/>
  <c r="S69" i="1"/>
  <c r="T16" i="1"/>
  <c r="R16" i="1" s="1"/>
  <c r="S16" i="1"/>
  <c r="T15" i="1"/>
  <c r="R15" i="1" s="1"/>
  <c r="S15" i="1"/>
  <c r="T68" i="1"/>
  <c r="O68" i="1" s="1"/>
  <c r="S68" i="1"/>
  <c r="T67" i="1"/>
  <c r="O67" i="1" s="1"/>
  <c r="S67" i="1"/>
  <c r="R67" i="1"/>
  <c r="T66" i="1"/>
  <c r="O66" i="1" s="1"/>
  <c r="S66" i="1"/>
  <c r="R66" i="1"/>
  <c r="T14" i="1"/>
  <c r="R14" i="1" s="1"/>
  <c r="S14" i="1"/>
  <c r="T65" i="1"/>
  <c r="R65" i="1" s="1"/>
  <c r="S65" i="1"/>
  <c r="T13" i="1"/>
  <c r="R13" i="1" s="1"/>
  <c r="S13" i="1"/>
  <c r="T12" i="1"/>
  <c r="O12" i="1" s="1"/>
  <c r="R12" i="1"/>
  <c r="R77" i="1" l="1"/>
  <c r="R101" i="1"/>
  <c r="R168" i="1"/>
  <c r="R191" i="1"/>
  <c r="R68" i="1"/>
  <c r="R119" i="1"/>
  <c r="R178" i="1"/>
  <c r="R81" i="1"/>
  <c r="R164" i="1"/>
  <c r="R131" i="1"/>
  <c r="R157" i="1"/>
  <c r="O203" i="1"/>
  <c r="R89" i="1"/>
  <c r="R212" i="1"/>
  <c r="R72" i="1"/>
  <c r="R82" i="1"/>
  <c r="R96" i="1"/>
  <c r="R148" i="1"/>
  <c r="R181" i="1"/>
  <c r="R204" i="1"/>
  <c r="R73" i="1"/>
  <c r="R133" i="1"/>
  <c r="R149" i="1"/>
  <c r="R166" i="1"/>
  <c r="R196" i="1"/>
  <c r="R192" i="1"/>
  <c r="R207" i="1"/>
  <c r="R76" i="1"/>
  <c r="R99" i="1"/>
  <c r="R132" i="1"/>
  <c r="R141" i="1"/>
  <c r="R147" i="1"/>
  <c r="R156" i="1"/>
  <c r="R171" i="1"/>
  <c r="R179" i="1"/>
  <c r="R185" i="1"/>
  <c r="R199" i="1"/>
  <c r="R195" i="1"/>
  <c r="R125" i="1"/>
  <c r="R194" i="1"/>
  <c r="R69" i="1"/>
  <c r="R126" i="1"/>
  <c r="R210" i="1"/>
  <c r="R138" i="1"/>
  <c r="R161" i="1"/>
  <c r="R177" i="1"/>
  <c r="R197" i="1"/>
  <c r="R106" i="1"/>
  <c r="R83" i="1"/>
  <c r="R115" i="1"/>
  <c r="R154" i="1"/>
  <c r="R205" i="1"/>
  <c r="R74" i="1"/>
  <c r="R97" i="1"/>
  <c r="R122" i="1"/>
  <c r="R130" i="1"/>
  <c r="R169" i="1"/>
  <c r="O52" i="1"/>
  <c r="S28" i="1"/>
  <c r="R50" i="1"/>
  <c r="O32" i="1"/>
  <c r="O35" i="1"/>
  <c r="S23" i="1"/>
  <c r="S30" i="1"/>
  <c r="R58" i="1"/>
  <c r="O27" i="1"/>
  <c r="O48" i="1"/>
  <c r="O39" i="1"/>
  <c r="S160" i="1"/>
  <c r="O43" i="1"/>
  <c r="O15" i="1"/>
  <c r="O19" i="1"/>
  <c r="S12" i="1"/>
  <c r="S57" i="1"/>
  <c r="S34" i="1"/>
  <c r="O24" i="1"/>
  <c r="R21" i="1"/>
  <c r="S37" i="1"/>
  <c r="O17" i="1"/>
  <c r="O13" i="1"/>
  <c r="O47" i="1"/>
  <c r="O63" i="1"/>
  <c r="O14" i="1"/>
  <c r="O71" i="1"/>
  <c r="O44" i="1"/>
  <c r="O61" i="1"/>
  <c r="S55" i="1"/>
  <c r="O16" i="1"/>
  <c r="O56" i="1"/>
  <c r="O29" i="1"/>
  <c r="O139" i="1"/>
  <c r="O59" i="1"/>
  <c r="O62" i="1"/>
  <c r="O40" i="1"/>
  <c r="O31" i="1"/>
  <c r="O45" i="1"/>
  <c r="O53" i="1"/>
  <c r="O18" i="1"/>
  <c r="O36" i="1"/>
  <c r="O155" i="1"/>
  <c r="O42" i="1"/>
  <c r="O46" i="1"/>
  <c r="O49" i="1"/>
  <c r="O54" i="1"/>
  <c r="O60" i="1"/>
  <c r="S25" i="1"/>
  <c r="O20" i="1"/>
  <c r="O22" i="1"/>
  <c r="O26" i="1"/>
  <c r="O33" i="1"/>
  <c r="O38" i="1"/>
  <c r="O41" i="1"/>
  <c r="O64" i="1"/>
  <c r="O65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51" i="1"/>
  <c r="O51" i="1" s="1"/>
  <c r="T102" i="1"/>
  <c r="O1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51" i="1"/>
  <c r="S1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51" i="1"/>
  <c r="R1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<sst xmlns="http://schemas.openxmlformats.org/spreadsheetml/2006/main" count="1817" uniqueCount="811">
  <si>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</si>
  <si>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</si>
  <si>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</si>
  <si>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</si>
  <si>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</si>
  <si>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</si>
  <si>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</si>
  <si>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</si>
  <si>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</si>
  <si>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</si>
  <si>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</si>
  <si>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</si>
  <si>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</si>
  <si>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</si>
  <si>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</si>
  <si>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</si>
  <si>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</si>
  <si>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</si>
  <si>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</si>
  <si>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</si>
  <si>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</si>
  <si>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</si>
  <si>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</si>
  <si>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</si>
  <si>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</si>
  <si>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</si>
  <si>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</si>
  <si>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</si>
  <si>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</si>
  <si>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</si>
  <si>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</si>
  <si>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</si>
  <si>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</si>
  <si>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</si>
  <si>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</si>
  <si>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</si>
  <si>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</si>
  <si>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</si>
  <si>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</si>
  <si>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</si>
  <si>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</si>
  <si>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</si>
  <si>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</si>
  <si>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</si>
  <si>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</si>
  <si>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</si>
  <si>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</si>
  <si>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</si>
  <si>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</si>
  <si>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</si>
  <si>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</si>
  <si>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</si>
  <si>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</si>
  <si>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</si>
  <si>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</si>
  <si>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</si>
  <si>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</si>
  <si>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</si>
  <si>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</si>
  <si>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</si>
  <si>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</si>
  <si>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</si>
  <si>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</si>
  <si>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</si>
  <si>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</si>
  <si>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</si>
  <si>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</si>
  <si>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</si>
  <si>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</si>
  <si>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</si>
  <si>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</si>
  <si>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</si>
  <si>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</si>
  <si>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</si>
  <si>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</si>
  <si>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</si>
  <si>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</si>
  <si>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</si>
  <si>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</si>
  <si>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</si>
  <si>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</si>
  <si>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</si>
  <si>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</si>
  <si>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</si>
  <si>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</si>
  <si>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</si>
  <si>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</si>
  <si>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</si>
  <si>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</si>
  <si>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</si>
  <si>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</si>
  <si>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</si>
  <si>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</si>
  <si>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</si>
  <si>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</si>
  <si>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</si>
  <si>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</si>
  <si>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</si>
  <si>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</si>
  <si>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</si>
  <si>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</si>
  <si>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</si>
  <si>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</si>
  <si>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</si>
  <si>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</si>
  <si>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</si>
  <si>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</si>
  <si>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</si>
  <si>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</si>
  <si>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</si>
  <si>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</si>
  <si>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</si>
  <si>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</si>
  <si>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</si>
  <si>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</si>
  <si>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</si>
  <si>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</si>
  <si>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</si>
  <si>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</si>
  <si>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</si>
  <si>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</si>
  <si>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</si>
  <si>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</si>
  <si>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</si>
  <si>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</si>
  <si>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</si>
  <si>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</si>
  <si>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</si>
  <si>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</si>
  <si>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</si>
  <si>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</si>
  <si>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</si>
  <si>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</si>
  <si>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</si>
  <si>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</si>
  <si>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</si>
  <si>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</si>
  <si>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</si>
  <si>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</si>
  <si>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</si>
  <si>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</si>
  <si>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</si>
  <si>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</si>
  <si>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</si>
  <si>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</si>
  <si>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</si>
  <si>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</si>
  <si>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</si>
  <si>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</si>
  <si>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</si>
  <si>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</si>
  <si>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</si>
  <si>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</si>
  <si>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</si>
  <si>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</si>
  <si>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</si>
  <si>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</si>
  <si>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</si>
  <si>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</si>
  <si>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</si>
  <si>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</si>
  <si>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</si>
  <si>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</si>
  <si>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</si>
  <si>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</si>
  <si>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</si>
  <si>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</si>
  <si>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</si>
  <si>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</si>
  <si>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</si>
  <si>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</si>
  <si>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</si>
  <si>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</si>
  <si>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</si>
  <si>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</si>
  <si>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</si>
  <si>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</si>
  <si>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</si>
  <si>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</si>
  <si>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</si>
  <si>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</si>
  <si>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</si>
  <si>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</si>
  <si>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</si>
  <si>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</si>
  <si>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</si>
  <si>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</si>
  <si>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</si>
  <si>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</si>
  <si>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</si>
  <si>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</si>
  <si>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</si>
  <si>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</si>
  <si>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</si>
  <si>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</si>
  <si>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</si>
  <si>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</si>
  <si>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</si>
  <si>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</si>
  <si>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</si>
  <si>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</si>
  <si>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</si>
  <si>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</si>
  <si>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</si>
  <si>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</si>
  <si>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</si>
  <si>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</si>
  <si>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</si>
  <si>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</si>
  <si>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</si>
  <si>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</si>
  <si>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</si>
  <si>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</si>
  <si>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</si>
  <si>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</si>
  <si>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</si>
  <si>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</si>
  <si>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</si>
  <si>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</si>
  <si>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</si>
  <si>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</si>
  <si>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</si>
  <si>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</si>
  <si>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</si>
  <si>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</si>
  <si>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</si>
  <si>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</si>
  <si>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</si>
  <si>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</si>
  <si>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</si>
  <si>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</si>
  <si>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</si>
  <si>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</si>
  <si>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</si>
  <si>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</si>
  <si>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</si>
  <si>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</si>
  <si>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</si>
  <si>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</si>
  <si>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</si>
  <si>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</si>
  <si>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</si>
  <si>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</si>
  <si>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</si>
  <si>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</si>
  <si>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</si>
  <si>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</si>
  <si>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</si>
  <si>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</si>
  <si>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</si>
  <si>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</si>
  <si>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</si>
  <si>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</si>
  <si>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</si>
  <si>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</si>
  <si>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</si>
  <si>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</si>
  <si>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</si>
  <si>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</si>
  <si>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</si>
  <si>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</si>
  <si>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</si>
  <si>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</si>
  <si>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</si>
  <si>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</si>
  <si>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</si>
  <si>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</si>
  <si>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</si>
  <si>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</si>
  <si>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</si>
  <si>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</si>
  <si>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</si>
  <si>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</si>
  <si>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</si>
  <si>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</si>
  <si>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</si>
  <si>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</si>
  <si>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</si>
  <si>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</si>
  <si>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</si>
  <si>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</si>
  <si>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</si>
  <si>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</si>
  <si>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</si>
  <si>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</si>
  <si>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</si>
  <si>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</si>
  <si>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</si>
  <si>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</si>
  <si>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</si>
  <si>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</si>
  <si>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</si>
  <si>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</si>
  <si>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</si>
  <si>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</si>
  <si>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</si>
  <si>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</si>
  <si>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</si>
  <si>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</si>
  <si>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</si>
  <si>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</si>
  <si>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</si>
  <si>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</si>
  <si>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</si>
  <si>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</si>
  <si>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</si>
  <si>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</si>
  <si>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</si>
  <si>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</si>
  <si>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</si>
  <si>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</si>
  <si>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</si>
  <si>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</si>
  <si>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</si>
  <si>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</si>
  <si>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</si>
  <si>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</si>
  <si>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</si>
  <si>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</si>
  <si>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</si>
  <si>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</si>
  <si>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</si>
  <si>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</si>
  <si>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</si>
  <si>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</si>
  <si>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</si>
  <si>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</si>
  <si>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</si>
  <si>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</si>
  <si>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</si>
  <si>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</si>
  <si>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</si>
  <si>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</si>
  <si>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</si>
  <si>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</si>
  <si>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</si>
  <si>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</si>
  <si>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</si>
  <si>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</si>
  <si>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</si>
  <si>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</si>
  <si>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</si>
  <si>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</si>
  <si>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</si>
  <si>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</si>
  <si>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</si>
  <si>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</si>
  <si>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</si>
  <si>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</si>
  <si>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</si>
  <si>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</si>
  <si>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</si>
  <si>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</si>
  <si>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</si>
  <si>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</si>
  <si>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</si>
  <si>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</si>
  <si>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</si>
  <si>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</si>
  <si>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</si>
  <si>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</si>
  <si>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</si>
  <si>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</si>
  <si>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</si>
  <si>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</si>
  <si>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</si>
  <si>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</si>
  <si>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</si>
  <si>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</si>
  <si>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</si>
  <si>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</si>
  <si>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</si>
  <si>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</si>
  <si>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</si>
  <si>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</si>
  <si>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</si>
  <si>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</si>
  <si>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</si>
  <si>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</si>
  <si>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</si>
  <si>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</si>
  <si>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</si>
  <si>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</si>
  <si>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</si>
  <si>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</si>
  <si>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</si>
  <si>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</si>
  <si>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</si>
  <si>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</si>
  <si>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</si>
  <si>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</si>
  <si>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</si>
  <si>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</si>
  <si>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</si>
  <si>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</si>
  <si>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</si>
  <si>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</si>
  <si>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</si>
  <si>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</si>
  <si>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</si>
  <si>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</si>
  <si>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</si>
  <si>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</si>
  <si>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</si>
  <si>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</si>
  <si>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</si>
  <si>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</si>
  <si>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</si>
  <si>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</si>
  <si>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</si>
  <si>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</si>
  <si>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</si>
  <si>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</si>
  <si>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</si>
  <si>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</si>
  <si>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</si>
  <si>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</si>
  <si>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</si>
  <si>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</si>
  <si>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</si>
  <si>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</si>
  <si>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</si>
  <si>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</si>
  <si>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</si>
  <si>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</si>
  <si>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</si>
  <si>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</si>
  <si>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</si>
  <si>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</si>
  <si>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</si>
  <si>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</si>
  <si>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</si>
  <si>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</si>
  <si>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</si>
  <si>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</si>
  <si>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</si>
  <si>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</si>
  <si>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</si>
  <si>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</si>
  <si>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</si>
  <si>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</si>
  <si>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</si>
  <si>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</si>
  <si>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</si>
  <si>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</si>
  <si>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</si>
  <si>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</si>
  <si>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</si>
  <si>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</si>
  <si>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</si>
  <si>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</si>
  <si>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</si>
  <si>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</si>
  <si>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</si>
  <si>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</si>
  <si>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</si>
  <si>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</si>
  <si>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</si>
  <si>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</si>
  <si>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</si>
  <si>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</si>
  <si>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</si>
  <si>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</si>
  <si>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</si>
  <si>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</si>
  <si>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</si>
  <si>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</si>
  <si>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</si>
  <si>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</si>
  <si>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</si>
  <si>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</si>
  <si>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</si>
  <si>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</si>
  <si>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</si>
  <si>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</si>
  <si>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</si>
  <si>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</si>
  <si>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</si>
  <si>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</si>
  <si>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</si>
  <si>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</si>
  <si>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</si>
  <si>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</si>
  <si>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</si>
  <si>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</si>
  <si>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</si>
  <si>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</si>
  <si>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</si>
  <si>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</si>
  <si>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</si>
  <si>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</si>
  <si>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</si>
  <si>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</si>
  <si>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</si>
  <si>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</si>
  <si>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</si>
  <si>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</si>
  <si>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</si>
  <si>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</si>
  <si>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</si>
  <si>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</si>
  <si>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</si>
  <si>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</si>
  <si>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</si>
  <si>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</si>
  <si>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</si>
  <si>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</si>
  <si>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</si>
  <si>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</si>
  <si>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</si>
  <si>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</si>
  <si>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</si>
  <si>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</si>
  <si>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</si>
  <si>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</si>
  <si>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</si>
  <si>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</si>
  <si>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</si>
  <si>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</si>
  <si>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</si>
  <si>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</si>
  <si>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</si>
  <si>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</si>
  <si>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</si>
  <si>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</si>
  <si>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</si>
  <si>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</si>
  <si>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</si>
  <si>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</si>
  <si>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</si>
  <si>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</si>
  <si>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</si>
  <si>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</si>
  <si>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</si>
  <si>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</si>
  <si>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</si>
  <si>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</si>
  <si>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</si>
  <si>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</si>
  <si>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</si>
  <si>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</si>
  <si>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</si>
  <si>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</si>
  <si>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</si>
  <si>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</si>
  <si>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</si>
  <si>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</si>
  <si>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</si>
  <si>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</si>
  <si>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</si>
  <si>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</si>
  <si>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</si>
  <si>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</si>
  <si>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</si>
  <si>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</si>
  <si>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</si>
  <si>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</si>
  <si>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</si>
  <si>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</si>
  <si>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</si>
  <si>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</si>
  <si>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</si>
  <si>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</si>
  <si>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</si>
  <si>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</si>
  <si>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</si>
  <si>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</si>
  <si>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</si>
  <si>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</si>
  <si>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</si>
  <si>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</si>
  <si>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</si>
  <si>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</si>
  <si>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</si>
  <si>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</si>
  <si>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</si>
  <si>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</si>
  <si>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</si>
  <si>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</si>
  <si>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</si>
  <si>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</si>
  <si>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</si>
  <si>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</si>
  <si>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</si>
  <si>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</si>
  <si>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</si>
  <si>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</si>
  <si>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</si>
  <si>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</si>
  <si>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</si>
  <si>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</si>
  <si>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</si>
  <si>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</si>
  <si>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</si>
  <si>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</si>
  <si>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</si>
  <si>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</si>
  <si>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</si>
  <si>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</si>
  <si>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</si>
  <si>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</si>
  <si>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</si>
  <si>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</si>
  <si>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</si>
  <si>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</si>
  <si>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</si>
  <si>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</si>
  <si>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</si>
  <si>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</si>
  <si>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</si>
  <si>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</si>
  <si>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</si>
  <si>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</si>
  <si>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</si>
  <si>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</si>
  <si>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</si>
  <si>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</si>
  <si>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</si>
  <si>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</si>
  <si>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</si>
  <si>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</si>
  <si>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</si>
  <si>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</si>
  <si>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</si>
  <si>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</si>
  <si>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</si>
  <si>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</si>
  <si>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</si>
  <si>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</si>
  <si>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</si>
  <si>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</si>
  <si>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</si>
  <si>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</si>
  <si>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</si>
  <si>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</si>
  <si>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</si>
  <si>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</si>
  <si>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</si>
  <si>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</si>
  <si>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</si>
  <si>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</si>
  <si>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</si>
  <si>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</si>
  <si>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</si>
  <si>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</si>
  <si>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</si>
  <si>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</si>
  <si>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</si>
  <si>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</si>
  <si>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</si>
  <si>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</si>
  <si>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</si>
  <si>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</si>
  <si>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</si>
  <si>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</si>
  <si>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</si>
  <si>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</si>
  <si>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</si>
  <si>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</si>
  <si>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</si>
  <si>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</si>
  <si>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</si>
  <si>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</si>
  <si>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</si>
  <si>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</si>
  <si>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</si>
  <si>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</si>
  <si>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</si>
  <si>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</si>
  <si>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</si>
  <si>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</si>
  <si>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</si>
  <si>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</si>
  <si>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</si>
  <si>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</si>
  <si>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</si>
  <si>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</si>
  <si>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</si>
  <si>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</si>
  <si>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</si>
  <si>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</si>
  <si>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</si>
  <si>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</si>
  <si>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</si>
  <si>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</si>
  <si>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</si>
  <si>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</si>
  <si>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</si>
  <si>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</si>
  <si>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</si>
  <si>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</si>
  <si>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</si>
  <si>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</si>
  <si>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</si>
  <si>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</si>
  <si>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</si>
  <si>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</si>
  <si>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</si>
  <si>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</si>
  <si>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</si>
  <si>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</si>
  <si>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</si>
  <si>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</si>
  <si>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</si>
  <si>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</si>
  <si>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</si>
  <si>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</si>
  <si>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</si>
  <si>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</si>
  <si>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</si>
  <si>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</si>
  <si>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</si>
  <si>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</si>
  <si>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</si>
  <si>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</si>
  <si>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</si>
  <si>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</si>
  <si>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</si>
  <si>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</si>
  <si>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</si>
  <si>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</si>
  <si>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</si>
  <si>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</si>
  <si>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</si>
  <si>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</si>
  <si>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</si>
  <si>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</si>
  <si>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</si>
  <si>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</si>
  <si>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</si>
  <si>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</si>
  <si>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</si>
  <si>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</si>
  <si>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</si>
  <si>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</si>
  <si>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</si>
  <si>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</si>
  <si>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</si>
  <si>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</si>
  <si>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</si>
  <si>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</si>
  <si>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</si>
  <si>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</si>
  <si>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</si>
  <si>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</si>
  <si>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</si>
  <si>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</si>
  <si>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</si>
  <si>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Napa Valley Spring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</si>
  <si>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</si>
  <si>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</si>
  <si>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</si>
  <si>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</si>
  <si>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</si>
  <si>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</si>
  <si>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</si>
  <si>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cribbageclub100@gmail.com</t>
  </si>
  <si>
    <t>707.843.0109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</si>
  <si>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</si>
  <si>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</si>
  <si>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</si>
  <si>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</si>
  <si>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</si>
  <si>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</si>
  <si>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</si>
  <si>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</si>
  <si>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</si>
  <si>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</si>
  <si>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</si>
  <si>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</si>
  <si>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</si>
  <si>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</si>
  <si>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</si>
  <si>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</si>
  <si>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</si>
  <si>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</si>
  <si>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</si>
  <si>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</si>
  <si>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</si>
  <si>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</si>
  <si>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</si>
  <si>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</si>
  <si>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</si>
  <si>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</si>
  <si>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</si>
  <si>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</si>
  <si>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</si>
  <si>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</si>
  <si>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</si>
  <si>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</si>
  <si>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</si>
  <si>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</si>
  <si>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</si>
  <si>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</si>
  <si>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</si>
  <si>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</si>
  <si>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</si>
  <si>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</si>
  <si>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</si>
  <si>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</si>
  <si>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</si>
  <si>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</si>
  <si>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</si>
  <si>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</si>
  <si>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</si>
  <si>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</si>
  <si>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Estes, Offra</t>
  </si>
  <si>
    <t>CA-7778</t>
  </si>
  <si>
    <t>Schuyler, Marylin</t>
  </si>
  <si>
    <t>CA-7916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</si>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</sst>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5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0" xfId="2" applyFill="1" applyBorder="1" applyAlignment="1" applyProtection="1">
      <protection locked="0"/>
    </xf>
    <xf numFmtId="0" fontId="9" fillId="0" borderId="3" xfId="2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49" fontId="4" fillId="0" borderId="0" xfId="0" applyNumberFormat="1" applyFont="1" applyBorder="1" applyProtection="1">
      <protection locked="0"/>
    </xf>
    <xf numFmtId="0" fontId="0" fillId="0" borderId="0" xfId="0" applyBorder="1" applyAlignment="1">
      <alignment horizontal="center"/>
    </xf>
    <xf numFmtId="49" fontId="4" fillId="0" borderId="0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165" fontId="4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>
      <protection locked="0"/>
    </xf>
    <xf numFmtId="0" fontId="0" fillId="0" borderId="0" xfId="0" applyBorder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5-Postmortem\2025_rerun\YB%20PrelimReg\25_3_15_ACC_Reg%20FINAL.xlsm" TargetMode="External"/><Relationship Id="rId1" Type="http://schemas.openxmlformats.org/officeDocument/2006/relationships/externalLinkPath" Target="/CribbageDev/TourneyDev/3-15-Postmortem/2025_rerun/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E13" sqref="E13:F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8" t="s">
        <v>609</v>
      </c>
      <c r="D1" s="119"/>
      <c r="E1" s="120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1" t="s">
        <v>748</v>
      </c>
      <c r="D3" s="122"/>
      <c r="E3" s="122"/>
      <c r="F3" s="122"/>
      <c r="G3" s="123"/>
    </row>
    <row r="4" spans="1:8" ht="15.75" thickBot="1" x14ac:dyDescent="0.3"/>
    <row r="5" spans="1:8" ht="16.5" thickBot="1" x14ac:dyDescent="0.3">
      <c r="A5" s="71" t="s">
        <v>610</v>
      </c>
      <c r="C5" s="121" t="s">
        <v>749</v>
      </c>
      <c r="D5" s="122"/>
      <c r="E5" s="122"/>
      <c r="F5" s="122"/>
      <c r="G5" s="123"/>
    </row>
    <row r="6" spans="1:8" ht="15.75" thickBot="1" x14ac:dyDescent="0.3">
      <c r="H6" s="72"/>
    </row>
    <row r="7" spans="1:8" ht="16.5" thickBot="1" x14ac:dyDescent="0.3">
      <c r="A7" s="71" t="s">
        <v>611</v>
      </c>
      <c r="C7" s="121" t="s">
        <v>750</v>
      </c>
      <c r="D7" s="122"/>
      <c r="E7" s="122"/>
      <c r="F7" s="122"/>
      <c r="G7" s="123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24" t="s">
        <v>751</v>
      </c>
      <c r="D11" s="125"/>
      <c r="E11" s="124" t="s">
        <v>752</v>
      </c>
      <c r="F11" s="125"/>
      <c r="G11" s="124" t="s">
        <v>753</v>
      </c>
      <c r="H11" s="125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4" t="s">
        <v>754</v>
      </c>
      <c r="D13" s="125"/>
      <c r="E13" s="124" t="s">
        <v>757</v>
      </c>
      <c r="F13" s="125"/>
      <c r="G13" s="124" t="s">
        <v>755</v>
      </c>
      <c r="H13" s="125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4" t="s">
        <v>498</v>
      </c>
      <c r="D15" s="125"/>
      <c r="E15" s="124" t="s">
        <v>756</v>
      </c>
      <c r="F15" s="125"/>
      <c r="G15" s="124" t="s">
        <v>562</v>
      </c>
      <c r="H15" s="125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10" sqref="B10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749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750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5" sqref="B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749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V18" sqref="V18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748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749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750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3520</v>
      </c>
      <c r="S10" s="33">
        <f>SUM(S12:S411)</f>
        <v>2210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758</v>
      </c>
      <c r="D12" s="5"/>
      <c r="E12" s="6" t="s">
        <v>759</v>
      </c>
      <c r="F12" s="48"/>
      <c r="G12" s="107" t="s">
        <v>760</v>
      </c>
      <c r="H12" s="49"/>
      <c r="I12" s="47"/>
      <c r="J12" s="47"/>
      <c r="K12" s="47"/>
      <c r="L12" s="47"/>
      <c r="M12" s="47"/>
      <c r="N12" s="47">
        <v>1</v>
      </c>
      <c r="O12" s="94">
        <f>T12*N12</f>
        <v>70</v>
      </c>
      <c r="P12" s="47" t="s">
        <v>761</v>
      </c>
      <c r="Q12" s="47"/>
      <c r="R12" s="95" t="str">
        <f>IF(OR(P12="c",P12="C"),+T12,"")</f>
        <v/>
      </c>
      <c r="S12" s="95">
        <f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762</v>
      </c>
      <c r="D13" s="5" t="s">
        <v>5</v>
      </c>
      <c r="E13" s="6" t="s">
        <v>6</v>
      </c>
      <c r="F13" s="10" t="s">
        <v>763</v>
      </c>
      <c r="G13" s="15" t="s">
        <v>764</v>
      </c>
      <c r="H13" s="49"/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765</v>
      </c>
      <c r="Q13" s="47">
        <v>930</v>
      </c>
      <c r="R13" s="95">
        <f>IF(OR(P13="c",P13="C"),+T13,"")</f>
        <v>90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1" t="s">
        <v>445</v>
      </c>
      <c r="G14" s="143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>T14*N14</f>
        <v>0</v>
      </c>
      <c r="P14" s="47" t="s">
        <v>765</v>
      </c>
      <c r="Q14" s="47">
        <v>398</v>
      </c>
      <c r="R14" s="95">
        <f>IF(OR(P14="c",P14="C"),+T14,"")</f>
        <v>80</v>
      </c>
      <c r="S14" s="95" t="str">
        <f>IF(OR(P14="$",N14=1),+T14,"")</f>
        <v/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4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>T15*N15</f>
        <v>0</v>
      </c>
      <c r="P15" s="47" t="s">
        <v>765</v>
      </c>
      <c r="Q15" s="47">
        <v>1723</v>
      </c>
      <c r="R15" s="95">
        <f>IF(OR(P15="c",P15="C"),+T15,"")</f>
        <v>160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7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>T16*N16</f>
        <v>0</v>
      </c>
      <c r="P16" s="47" t="s">
        <v>765</v>
      </c>
      <c r="Q16" s="47">
        <v>1587</v>
      </c>
      <c r="R16" s="95">
        <f>IF(OR(P16="c",P16="C"),+T16,"")</f>
        <v>160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5" t="s">
        <v>767</v>
      </c>
      <c r="D17" s="5" t="s">
        <v>768</v>
      </c>
      <c r="E17" s="6" t="s">
        <v>769</v>
      </c>
      <c r="F17" s="48">
        <v>9255487664</v>
      </c>
      <c r="G17" s="57" t="s">
        <v>770</v>
      </c>
      <c r="H17" s="49">
        <v>1</v>
      </c>
      <c r="I17" s="47"/>
      <c r="J17" s="47"/>
      <c r="K17" s="47"/>
      <c r="L17" s="47"/>
      <c r="M17" s="47"/>
      <c r="N17" s="47"/>
      <c r="O17" s="94">
        <f>T17*N17</f>
        <v>0</v>
      </c>
      <c r="P17" s="47" t="s">
        <v>761</v>
      </c>
      <c r="Q17" s="47" t="s">
        <v>771</v>
      </c>
      <c r="R17" s="95" t="str">
        <f>IF(OR(P17="c",P17="C"),+T17,"")</f>
        <v/>
      </c>
      <c r="S17" s="95">
        <f>IF(OR(P17="$",N17=1),+T17,"")</f>
        <v>80</v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5" t="s">
        <v>772</v>
      </c>
      <c r="D18" s="5" t="s">
        <v>773</v>
      </c>
      <c r="E18" s="6" t="s">
        <v>774</v>
      </c>
      <c r="F18" s="48">
        <v>9257272271</v>
      </c>
      <c r="G18" s="117" t="s">
        <v>775</v>
      </c>
      <c r="H18" s="49">
        <v>1</v>
      </c>
      <c r="I18" s="47"/>
      <c r="J18" s="47"/>
      <c r="K18" s="47"/>
      <c r="L18" s="47"/>
      <c r="M18" s="47"/>
      <c r="N18" s="47"/>
      <c r="O18" s="94">
        <f>T18*N18</f>
        <v>0</v>
      </c>
      <c r="P18" s="47" t="s">
        <v>761</v>
      </c>
      <c r="Q18" s="47" t="s">
        <v>776</v>
      </c>
      <c r="R18" s="95" t="str">
        <f>IF(OR(P18="c",P18="C"),+T18,"")</f>
        <v/>
      </c>
      <c r="S18" s="95">
        <f>IF(OR(P18="$",N18=1),+T18,"")</f>
        <v>80</v>
      </c>
      <c r="T18" s="96">
        <f>H18*[1]!FMainPool1Fee+I18*[1]!FMainPool2Fee+J18*[1]!FMainPool3Fee+K18*[1]!FMainPool4Fee+B18*[1]!FMainEntryFee</f>
        <v>80</v>
      </c>
      <c r="U18" s="51"/>
    </row>
    <row r="19" spans="1:21" x14ac:dyDescent="0.25">
      <c r="A19" s="46">
        <f t="shared" si="1"/>
        <v>8</v>
      </c>
      <c r="B19" s="47">
        <v>1</v>
      </c>
      <c r="C19" s="5" t="s">
        <v>777</v>
      </c>
      <c r="D19" s="5" t="s">
        <v>72</v>
      </c>
      <c r="E19" s="6" t="s">
        <v>778</v>
      </c>
      <c r="F19" s="48">
        <v>7078430341</v>
      </c>
      <c r="G19" s="117" t="s">
        <v>779</v>
      </c>
      <c r="H19" s="49">
        <v>1</v>
      </c>
      <c r="I19" s="47"/>
      <c r="J19" s="47"/>
      <c r="K19" s="47"/>
      <c r="L19" s="47"/>
      <c r="M19" s="47"/>
      <c r="N19" s="47"/>
      <c r="O19" s="94">
        <f>T19*N19</f>
        <v>0</v>
      </c>
      <c r="P19" s="47" t="s">
        <v>761</v>
      </c>
      <c r="Q19" s="47" t="s">
        <v>771</v>
      </c>
      <c r="R19" s="95" t="str">
        <f>IF(OR(P19="c",P19="C"),+T19,"")</f>
        <v/>
      </c>
      <c r="S19" s="95">
        <f>IF(OR(P19="$",N19=1),+T19,"")</f>
        <v>80</v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>T20*N20</f>
        <v>0</v>
      </c>
      <c r="P20" s="47" t="s">
        <v>765</v>
      </c>
      <c r="Q20" s="47">
        <v>3536</v>
      </c>
      <c r="R20" s="95">
        <f>IF(OR(P20="c",P20="C"),+T20,"")</f>
        <v>160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>T21*N21</f>
        <v>0</v>
      </c>
      <c r="P21" s="47" t="s">
        <v>765</v>
      </c>
      <c r="Q21" s="47">
        <v>206</v>
      </c>
      <c r="R21" s="95">
        <f>IF(OR(P21="c",P21="C"),+T21,"")</f>
        <v>80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80</v>
      </c>
      <c r="U21" s="51"/>
    </row>
    <row r="22" spans="1:21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8">
        <v>7079744711</v>
      </c>
      <c r="G22" s="109" t="s">
        <v>649</v>
      </c>
      <c r="H22" s="49"/>
      <c r="I22" s="47"/>
      <c r="J22" s="47"/>
      <c r="K22" s="47"/>
      <c r="L22" s="47"/>
      <c r="M22" s="47"/>
      <c r="N22" s="47"/>
      <c r="O22" s="94">
        <f>T22*N22</f>
        <v>0</v>
      </c>
      <c r="P22" s="47" t="s">
        <v>765</v>
      </c>
      <c r="Q22" s="47">
        <v>1094</v>
      </c>
      <c r="R22" s="95">
        <f>IF(OR(P22="c",P22="C"),+T22,"")</f>
        <v>70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70</v>
      </c>
      <c r="U22" s="51"/>
    </row>
    <row r="23" spans="1:21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7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>T23*N23</f>
        <v>0</v>
      </c>
      <c r="P23" s="47" t="s">
        <v>761</v>
      </c>
      <c r="Q23" s="47" t="s">
        <v>439</v>
      </c>
      <c r="R23" s="95" t="str">
        <f>IF(OR(P23="c",P23="C"),+T23,"")</f>
        <v/>
      </c>
      <c r="S23" s="95">
        <f>IF(OR(P23="$",N23=1),+T23,"")</f>
        <v>90</v>
      </c>
      <c r="T23" s="96">
        <f>H23*[1]!FMainPool1Fee+I23*[1]!FMainPool2Fee+J23*[1]!FMainPool3Fee+K23*[1]!FMainPool4Fee+B23*[1]!FMainEntryFee</f>
        <v>90</v>
      </c>
      <c r="U23" s="51"/>
    </row>
    <row r="24" spans="1:21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8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765</v>
      </c>
      <c r="Q24" s="47">
        <v>1360</v>
      </c>
      <c r="R24" s="95">
        <f>IF(OR(P24="c",P24="C"),+T24,"")</f>
        <v>110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>T25*N25</f>
        <v>100</v>
      </c>
      <c r="P25" s="47" t="s">
        <v>761</v>
      </c>
      <c r="Q25" s="47"/>
      <c r="R25" s="95" t="str">
        <f>IF(OR(P25="c",P25="C"),+T25,"")</f>
        <v/>
      </c>
      <c r="S25" s="95">
        <f>IF(OR(P25="$",N25=1),+T25,"")</f>
        <v>100</v>
      </c>
      <c r="T25" s="96">
        <f>H25*[1]!FMainPool1Fee+I25*[1]!FMainPool2Fee+J25*[1]!FMainPool3Fee+K25*[1]!FMainPool4Fee+B25*[1]!FMainEntryFee</f>
        <v>100</v>
      </c>
      <c r="U25" s="51"/>
    </row>
    <row r="26" spans="1:21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41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>T26*N26</f>
        <v>160</v>
      </c>
      <c r="P26" s="47" t="s">
        <v>761</v>
      </c>
      <c r="Q26" s="47"/>
      <c r="R26" s="95" t="str">
        <f>IF(OR(P26="c",P26="C"),+T26,"")</f>
        <v/>
      </c>
      <c r="S26" s="95">
        <f>IF(OR(P26="$",N26=1),+T26,"")</f>
        <v>160</v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>T27*N27</f>
        <v>0</v>
      </c>
      <c r="P27" s="47" t="s">
        <v>761</v>
      </c>
      <c r="Q27" s="47"/>
      <c r="R27" s="95" t="str">
        <f>IF(OR(P27="c",P27="C"),+T27,"")</f>
        <v/>
      </c>
      <c r="S27" s="95">
        <f>IF(OR(P27="$",N27=1),+T27,"")</f>
        <v>160</v>
      </c>
      <c r="T27" s="96">
        <f>H27*[1]!FMainPool1Fee+I27*[1]!FMainPool2Fee+J27*[1]!FMainPool3Fee+K27*[1]!FMainPool4Fee+B27*[1]!FMainEntryFee</f>
        <v>160</v>
      </c>
      <c r="U27" s="51"/>
    </row>
    <row r="28" spans="1:21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8">
        <v>5103043540</v>
      </c>
      <c r="G28" s="109" t="s">
        <v>714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761</v>
      </c>
      <c r="Q28" s="47" t="s">
        <v>771</v>
      </c>
      <c r="R28" s="95" t="str">
        <f>IF(OR(P28="c",P28="C"),+T28,"")</f>
        <v/>
      </c>
      <c r="S28" s="95">
        <f>IF(OR(P28="$",N28=1),+T28,"")</f>
        <v>80</v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7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761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7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>T30*N30</f>
        <v>0</v>
      </c>
      <c r="P30" s="47" t="s">
        <v>761</v>
      </c>
      <c r="Q30" s="47" t="s">
        <v>776</v>
      </c>
      <c r="R30" s="95" t="str">
        <f>IF(OR(P30="c",P30="C"),+T30,"")</f>
        <v/>
      </c>
      <c r="S30" s="95">
        <f>IF(OR(P30="$",N30=1),+T30,"")</f>
        <v>110</v>
      </c>
      <c r="T30" s="96">
        <f>H30*[1]!FMainPool1Fee+I30*[1]!FMainPool2Fee+J30*[1]!FMainPool3Fee+K30*[1]!FMainPool4Fee+B30*[1]!FMainEntryFee</f>
        <v>110</v>
      </c>
      <c r="U30" s="51"/>
    </row>
    <row r="31" spans="1:21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>T31*N31</f>
        <v>0</v>
      </c>
      <c r="P31" s="47" t="s">
        <v>765</v>
      </c>
      <c r="Q31" s="47">
        <v>2575</v>
      </c>
      <c r="R31" s="95">
        <f>IF(OR(P31="c",P31="C"),+T31,"")</f>
        <v>80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>T32*N32</f>
        <v>0</v>
      </c>
      <c r="P32" s="47" t="s">
        <v>765</v>
      </c>
      <c r="Q32" s="47">
        <v>7333</v>
      </c>
      <c r="R32" s="95">
        <f>IF(OR(P32="c",P32="C"),+T32,"")</f>
        <v>110</v>
      </c>
      <c r="S32" s="95" t="str">
        <f>IF(OR(P32="$",N32=1),+T32,"")</f>
        <v/>
      </c>
      <c r="T32" s="96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6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>T33*N33</f>
        <v>0</v>
      </c>
      <c r="P33" s="47" t="s">
        <v>765</v>
      </c>
      <c r="Q33" s="47">
        <v>648</v>
      </c>
      <c r="R33" s="95">
        <f>IF(OR(P33="c",P33="C"),+T33,"")</f>
        <v>80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80</v>
      </c>
      <c r="U33" s="51">
        <v>1</v>
      </c>
    </row>
    <row r="34" spans="1:21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7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>T34*N34</f>
        <v>0</v>
      </c>
      <c r="P34" s="47" t="s">
        <v>761</v>
      </c>
      <c r="Q34" s="47"/>
      <c r="R34" s="95" t="str">
        <f>IF(OR(P34="c",P34="C"),+T34,"")</f>
        <v/>
      </c>
      <c r="S34" s="95">
        <f>IF(OR(P34="$",N34=1),+T34,"")</f>
        <v>70</v>
      </c>
      <c r="T34" s="96">
        <f>H34*[1]!FMainPool1Fee+I34*[1]!FMainPool2Fee+J34*[1]!FMainPool3Fee+K34*[1]!FMainPool4Fee+B34*[1]!FMainEntryFee</f>
        <v>70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>T35*N35</f>
        <v>70</v>
      </c>
      <c r="P35" s="47" t="s">
        <v>761</v>
      </c>
      <c r="Q35" s="47"/>
      <c r="R35" s="95" t="str">
        <f>IF(OR(P35="c",P35="C"),+T35,"")</f>
        <v/>
      </c>
      <c r="S35" s="95">
        <f>IF(OR(P35="$",N35=1),+T35,"")</f>
        <v>70</v>
      </c>
      <c r="T35" s="96">
        <f>H35*[1]!FMainPool1Fee+I35*[1]!FMainPool2Fee+J35*[1]!FMainPool3Fee+K35*[1]!FMainPool4Fee+B35*[1]!FMainEntryFee</f>
        <v>70</v>
      </c>
      <c r="U35" s="51"/>
    </row>
    <row r="36" spans="1:21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>T36*N36</f>
        <v>80</v>
      </c>
      <c r="P36" s="47" t="s">
        <v>761</v>
      </c>
      <c r="Q36" s="47"/>
      <c r="R36" s="95" t="str">
        <f>IF(OR(P36="c",P36="C"),+T36,"")</f>
        <v/>
      </c>
      <c r="S36" s="95">
        <f>IF(OR(P36="$",N36=1),+T36,"")</f>
        <v>80</v>
      </c>
      <c r="T36" s="96">
        <f>H36*[1]!FMainPool1Fee+I36*[1]!FMainPool2Fee+J36*[1]!FMainPool3Fee+K36*[1]!FMainPool4Fee+B36*[1]!FMainEntryFee</f>
        <v>80</v>
      </c>
      <c r="U36" s="51">
        <v>1</v>
      </c>
    </row>
    <row r="37" spans="1:21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10">
        <v>8315959920</v>
      </c>
      <c r="G37" s="109" t="s">
        <v>724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>T37*N37</f>
        <v>100</v>
      </c>
      <c r="P37" s="47" t="s">
        <v>761</v>
      </c>
      <c r="Q37" s="47"/>
      <c r="R37" s="95" t="str">
        <f>IF(OR(P37="c",P37="C"),+T37,"")</f>
        <v/>
      </c>
      <c r="S37" s="95">
        <f>IF(OR(P37="$",N37=1),+T37,"")</f>
        <v>100</v>
      </c>
      <c r="T37" s="96">
        <f>H37*[1]!FMainPool1Fee+I37*[1]!FMainPool2Fee+J37*[1]!FMainPool3Fee+K37*[1]!FMainPool4Fee+B37*[1]!FMainEntryFee</f>
        <v>100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765</v>
      </c>
      <c r="Q38" s="47">
        <v>1800</v>
      </c>
      <c r="R38" s="95">
        <f>IF(OR(P38="c",P38="C"),+T38,"")</f>
        <v>70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70</v>
      </c>
      <c r="U38" s="51">
        <v>1</v>
      </c>
    </row>
    <row r="39" spans="1:21" x14ac:dyDescent="0.25">
      <c r="A39" s="46">
        <f t="shared" si="1"/>
        <v>28</v>
      </c>
      <c r="B39" s="47">
        <v>1</v>
      </c>
      <c r="C39" s="5" t="s">
        <v>725</v>
      </c>
      <c r="D39" s="5" t="s">
        <v>45</v>
      </c>
      <c r="E39" s="6" t="s">
        <v>726</v>
      </c>
      <c r="F39" s="110">
        <v>7072279891</v>
      </c>
      <c r="G39" s="116" t="s">
        <v>727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761</v>
      </c>
      <c r="Q39" s="47" t="s">
        <v>785</v>
      </c>
      <c r="R39" s="95" t="str">
        <f>IF(OR(P39="c",P39="C"),+T39,"")</f>
        <v/>
      </c>
      <c r="S39" s="95">
        <f>IF(OR(P39="$",N39=1),+T39,"")</f>
        <v>160</v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10">
        <v>7078892101</v>
      </c>
      <c r="G40" s="144"/>
      <c r="H40" s="49">
        <v>1</v>
      </c>
      <c r="I40" s="47"/>
      <c r="J40" s="47"/>
      <c r="K40" s="47"/>
      <c r="L40" s="47"/>
      <c r="M40" s="47"/>
      <c r="N40" s="47"/>
      <c r="O40" s="94">
        <f>T40*N40</f>
        <v>0</v>
      </c>
      <c r="P40" s="47" t="s">
        <v>761</v>
      </c>
      <c r="Q40" s="47" t="s">
        <v>771</v>
      </c>
      <c r="R40" s="95" t="str">
        <f>IF(OR(P40="c",P40="C"),+T40,"")</f>
        <v/>
      </c>
      <c r="S40" s="95">
        <f>IF(OR(P40="$",N40=1),+T40,"")</f>
        <v>80</v>
      </c>
      <c r="T40" s="96">
        <f>H40*[1]!FMainPool1Fee+I40*[1]!FMainPool2Fee+J40*[1]!FMainPool3Fee+K40*[1]!FMainPool4Fee+B40*[1]!FMainEntryFee</f>
        <v>80</v>
      </c>
      <c r="U40" s="51">
        <v>1</v>
      </c>
    </row>
    <row r="41" spans="1:21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786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>T41*N41</f>
        <v>0</v>
      </c>
      <c r="P41" s="47" t="s">
        <v>765</v>
      </c>
      <c r="Q41" s="47">
        <v>2553</v>
      </c>
      <c r="R41" s="95">
        <f>IF(OR(P41="c",P41="C"),+T41,"")</f>
        <v>160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160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728</v>
      </c>
      <c r="D42" s="7" t="s">
        <v>148</v>
      </c>
      <c r="E42" s="8" t="s">
        <v>729</v>
      </c>
      <c r="F42" s="55">
        <v>9168330331</v>
      </c>
      <c r="G42" s="107" t="s">
        <v>730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765</v>
      </c>
      <c r="Q42" s="47">
        <v>133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7" t="s">
        <v>283</v>
      </c>
      <c r="D43" s="7" t="s">
        <v>81</v>
      </c>
      <c r="E43" s="8" t="s">
        <v>284</v>
      </c>
      <c r="F43" s="55">
        <v>8315952169</v>
      </c>
      <c r="G43" s="12" t="s">
        <v>468</v>
      </c>
      <c r="H43" s="49">
        <v>1</v>
      </c>
      <c r="I43" s="47"/>
      <c r="J43" s="47">
        <v>1</v>
      </c>
      <c r="K43" s="47"/>
      <c r="L43" s="47"/>
      <c r="M43" s="47">
        <v>1</v>
      </c>
      <c r="N43" s="47">
        <v>1</v>
      </c>
      <c r="O43" s="94">
        <f>T43*N43</f>
        <v>100</v>
      </c>
      <c r="P43" s="47" t="s">
        <v>761</v>
      </c>
      <c r="Q43" s="47"/>
      <c r="R43" s="95" t="str">
        <f>IF(OR(P43="c",P43="C"),+T43,"")</f>
        <v/>
      </c>
      <c r="S43" s="95">
        <f>IF(OR(P43="$",N43=1),+T43,"")</f>
        <v>100</v>
      </c>
      <c r="T43" s="96">
        <f>H43*[1]!FMainPool1Fee+I43*[1]!FMainPool2Fee+J43*[1]!FMainPool3Fee+K43*[1]!FMainPool4Fee+B43*[1]!FMainEntryFee</f>
        <v>100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292</v>
      </c>
      <c r="D44" s="7" t="s">
        <v>293</v>
      </c>
      <c r="E44" s="8" t="s">
        <v>294</v>
      </c>
      <c r="F44" s="55">
        <v>9253780132</v>
      </c>
      <c r="G44" s="12" t="s">
        <v>555</v>
      </c>
      <c r="H44" s="49">
        <v>1</v>
      </c>
      <c r="I44" s="47">
        <v>1</v>
      </c>
      <c r="J44" s="47">
        <v>1</v>
      </c>
      <c r="K44" s="47"/>
      <c r="L44" s="47"/>
      <c r="M44" s="47"/>
      <c r="N44" s="47"/>
      <c r="O44" s="94">
        <f>T44*N44</f>
        <v>0</v>
      </c>
      <c r="P44" s="47" t="s">
        <v>765</v>
      </c>
      <c r="Q44" s="47">
        <v>5361</v>
      </c>
      <c r="R44" s="95">
        <f>IF(OR(P44="c",P44="C"),+T44,"")</f>
        <v>110</v>
      </c>
      <c r="S44" s="95" t="str">
        <f>IF(OR(P44="$",N44=1),+T44,"")</f>
        <v/>
      </c>
      <c r="T44" s="96">
        <f>H44*[1]!FMainPool1Fee+I44*[1]!FMainPool2Fee+J44*[1]!FMainPool3Fee+K44*[1]!FMainPool4Fee+B44*[1]!FMainEntryFee</f>
        <v>110</v>
      </c>
      <c r="U44" s="51">
        <v>1</v>
      </c>
    </row>
    <row r="45" spans="1:21" x14ac:dyDescent="0.25">
      <c r="A45" s="46">
        <f t="shared" si="1"/>
        <v>34</v>
      </c>
      <c r="B45" s="47">
        <v>1</v>
      </c>
      <c r="C45" s="7" t="s">
        <v>787</v>
      </c>
      <c r="D45" s="7" t="s">
        <v>788</v>
      </c>
      <c r="E45" s="8" t="s">
        <v>789</v>
      </c>
      <c r="F45" s="55">
        <v>6507733006</v>
      </c>
      <c r="G45" s="57" t="s">
        <v>790</v>
      </c>
      <c r="H45" s="49"/>
      <c r="I45" s="47"/>
      <c r="J45" s="47"/>
      <c r="K45" s="47"/>
      <c r="L45" s="47"/>
      <c r="M45" s="47">
        <v>1</v>
      </c>
      <c r="N45" s="47"/>
      <c r="O45" s="94">
        <f>T45*N45</f>
        <v>0</v>
      </c>
      <c r="P45" s="47" t="s">
        <v>765</v>
      </c>
      <c r="Q45" s="47">
        <v>5007</v>
      </c>
      <c r="R45" s="95">
        <f>IF(OR(P45="c",P45="C"),+T45,"")</f>
        <v>70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70</v>
      </c>
      <c r="U45" s="51">
        <v>1</v>
      </c>
    </row>
    <row r="46" spans="1:21" x14ac:dyDescent="0.25">
      <c r="A46" s="46">
        <f t="shared" si="1"/>
        <v>35</v>
      </c>
      <c r="B46" s="47">
        <v>1</v>
      </c>
      <c r="C46" s="7" t="s">
        <v>316</v>
      </c>
      <c r="D46" s="7" t="s">
        <v>45</v>
      </c>
      <c r="E46" s="8" t="s">
        <v>317</v>
      </c>
      <c r="F46" s="55">
        <v>5105046905</v>
      </c>
      <c r="G46" s="107" t="s">
        <v>562</v>
      </c>
      <c r="H46" s="49">
        <v>1</v>
      </c>
      <c r="I46" s="47">
        <v>1</v>
      </c>
      <c r="J46" s="47">
        <v>1</v>
      </c>
      <c r="K46" s="47">
        <v>1</v>
      </c>
      <c r="L46" s="47">
        <v>1</v>
      </c>
      <c r="M46" s="47"/>
      <c r="N46" s="47"/>
      <c r="O46" s="94">
        <f>T46*N46</f>
        <v>0</v>
      </c>
      <c r="P46" s="47" t="s">
        <v>765</v>
      </c>
      <c r="Q46" s="47">
        <v>5008</v>
      </c>
      <c r="R46" s="95">
        <f>IF(OR(P46="c",P46="C"),+T46,"")</f>
        <v>160</v>
      </c>
      <c r="S46" s="95" t="str">
        <f>IF(OR(P46="$",N46=1),+T46,"")</f>
        <v/>
      </c>
      <c r="T46" s="96">
        <f>H46*[1]!FMainPool1Fee+I46*[1]!FMainPool2Fee+J46*[1]!FMainPool3Fee+K46*[1]!FMainPool4Fee+B46*[1]!FMainEntryFee</f>
        <v>160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5" t="s">
        <v>810</v>
      </c>
      <c r="D47" s="5" t="s">
        <v>159</v>
      </c>
      <c r="E47" s="6" t="s">
        <v>791</v>
      </c>
      <c r="F47" s="110">
        <v>4086660276</v>
      </c>
      <c r="G47" s="109" t="s">
        <v>792</v>
      </c>
      <c r="H47" s="49">
        <v>1</v>
      </c>
      <c r="I47" s="47"/>
      <c r="J47" s="47"/>
      <c r="K47" s="47"/>
      <c r="L47" s="47"/>
      <c r="M47" s="47"/>
      <c r="N47" s="47"/>
      <c r="O47" s="94">
        <f>T47*N47</f>
        <v>0</v>
      </c>
      <c r="P47" s="47" t="s">
        <v>765</v>
      </c>
      <c r="Q47" s="47">
        <v>375</v>
      </c>
      <c r="R47" s="95">
        <f>IF(OR(P47="c",P47="C"),+T47,"")</f>
        <v>80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80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737</v>
      </c>
      <c r="D48" s="7" t="s">
        <v>45</v>
      </c>
      <c r="E48" s="8" t="s">
        <v>738</v>
      </c>
      <c r="F48" s="58">
        <v>7072944291</v>
      </c>
      <c r="G48" s="107" t="s">
        <v>739</v>
      </c>
      <c r="H48" s="49">
        <v>1</v>
      </c>
      <c r="I48" s="47"/>
      <c r="J48" s="47">
        <v>1</v>
      </c>
      <c r="K48" s="47"/>
      <c r="L48" s="47"/>
      <c r="M48" s="47"/>
      <c r="N48" s="47"/>
      <c r="O48" s="94">
        <f>T48*N48</f>
        <v>0</v>
      </c>
      <c r="P48" s="47" t="s">
        <v>765</v>
      </c>
      <c r="Q48" s="47">
        <v>1399</v>
      </c>
      <c r="R48" s="95">
        <f>IF(OR(P48="c",P48="C"),+T48,"")</f>
        <v>100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100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793</v>
      </c>
      <c r="D49" s="7" t="s">
        <v>794</v>
      </c>
      <c r="E49" s="8" t="s">
        <v>795</v>
      </c>
      <c r="F49" s="58">
        <v>4073616554</v>
      </c>
      <c r="G49" s="15" t="s">
        <v>796</v>
      </c>
      <c r="H49" s="49">
        <v>1</v>
      </c>
      <c r="I49" s="47">
        <v>1</v>
      </c>
      <c r="J49" s="47">
        <v>1</v>
      </c>
      <c r="K49" s="47">
        <v>1</v>
      </c>
      <c r="L49" s="47"/>
      <c r="M49" s="47"/>
      <c r="N49" s="47"/>
      <c r="O49" s="94">
        <f>T49*N49</f>
        <v>0</v>
      </c>
      <c r="P49" s="47" t="s">
        <v>765</v>
      </c>
      <c r="Q49" s="47">
        <v>1399</v>
      </c>
      <c r="R49" s="95">
        <f>IF(OR(P49="c",P49="C"),+T49,"")</f>
        <v>160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160</v>
      </c>
      <c r="U49" s="51"/>
    </row>
    <row r="50" spans="1:21" x14ac:dyDescent="0.25">
      <c r="A50" s="46">
        <f t="shared" si="1"/>
        <v>39</v>
      </c>
      <c r="B50" s="47">
        <v>1</v>
      </c>
      <c r="C50" s="5" t="s">
        <v>328</v>
      </c>
      <c r="D50" s="5" t="s">
        <v>329</v>
      </c>
      <c r="E50" s="6" t="s">
        <v>330</v>
      </c>
      <c r="F50" s="48">
        <v>5302194729</v>
      </c>
      <c r="G50" s="107" t="s">
        <v>568</v>
      </c>
      <c r="H50" s="49">
        <v>1</v>
      </c>
      <c r="I50" s="47">
        <v>1</v>
      </c>
      <c r="J50" s="47">
        <v>1</v>
      </c>
      <c r="K50" s="47">
        <v>1</v>
      </c>
      <c r="L50" s="47">
        <v>1</v>
      </c>
      <c r="M50" s="47"/>
      <c r="N50" s="47"/>
      <c r="O50" s="94">
        <f>T50*N50</f>
        <v>0</v>
      </c>
      <c r="P50" s="47" t="s">
        <v>765</v>
      </c>
      <c r="Q50" s="47">
        <v>616</v>
      </c>
      <c r="R50" s="95">
        <f>IF(OR(P50="c",P50="C"),+T50,"")</f>
        <v>160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160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808</v>
      </c>
      <c r="D51" s="15"/>
      <c r="E51" s="15" t="s">
        <v>809</v>
      </c>
      <c r="F51" s="15"/>
      <c r="G51" s="15"/>
      <c r="H51" s="49">
        <v>1</v>
      </c>
      <c r="I51" s="47"/>
      <c r="J51" s="47"/>
      <c r="K51" s="47"/>
      <c r="L51" s="47"/>
      <c r="M51" s="47"/>
      <c r="N51" s="47"/>
      <c r="O51" s="94">
        <f>T51*N51</f>
        <v>0</v>
      </c>
      <c r="P51" s="50" t="s">
        <v>765</v>
      </c>
      <c r="Q51" s="50"/>
      <c r="R51" s="95">
        <f>IF(OR(P51="c",P51="C"),+T51,"")</f>
        <v>80</v>
      </c>
      <c r="S51" s="95" t="str">
        <f>IF(OR(P51="$",N51=1),+T51,"")</f>
        <v/>
      </c>
      <c r="T51" s="96">
        <f>B51*FRegMainSetUpEntryFee + H51*FRegMainSetUpPool1Fee + I51*FRegMainSetUpPool2Fee + J51*FRegMainSetUpPool3Fee + K51*FRegMainSetUpPool4Fee</f>
        <v>80</v>
      </c>
      <c r="U51" s="51"/>
    </row>
    <row r="52" spans="1:21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>T52*N52</f>
        <v>0</v>
      </c>
      <c r="P52" s="47" t="s">
        <v>765</v>
      </c>
      <c r="Q52" s="47">
        <v>1886</v>
      </c>
      <c r="R52" s="95">
        <f>IF(OR(P52="c",P52="C"),+T52,"")</f>
        <v>160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160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>T53*N53</f>
        <v>0</v>
      </c>
      <c r="P53" s="47" t="s">
        <v>765</v>
      </c>
      <c r="Q53" s="47">
        <v>1886</v>
      </c>
      <c r="R53" s="95">
        <f>IF(OR(P53="c",P53="C"),+T53,"")</f>
        <v>160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160</v>
      </c>
      <c r="U53" s="51"/>
    </row>
    <row r="54" spans="1:21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7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>T54*N54</f>
        <v>110</v>
      </c>
      <c r="P54" s="47" t="s">
        <v>761</v>
      </c>
      <c r="Q54" s="47"/>
      <c r="R54" s="95" t="str">
        <f>IF(OR(P54="c",P54="C"),+T54,"")</f>
        <v/>
      </c>
      <c r="S54" s="95">
        <f>IF(OR(P54="$",N54=1),+T54,"")</f>
        <v>110</v>
      </c>
      <c r="T54" s="96">
        <f>H54*[1]!FMainPool1Fee+I54*[1]!FMainPool2Fee+J54*[1]!FMainPool3Fee+K54*[1]!FMainPool4Fee+B54*[1]!FMainEntryFee</f>
        <v>110</v>
      </c>
      <c r="U54" s="51"/>
    </row>
    <row r="55" spans="1:21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41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>T55*N55</f>
        <v>0</v>
      </c>
      <c r="P55" s="47" t="s">
        <v>761</v>
      </c>
      <c r="Q55" s="47"/>
      <c r="R55" s="95" t="str">
        <f>IF(OR(P55="c",P55="C"),+T55,"")</f>
        <v/>
      </c>
      <c r="S55" s="95">
        <f>IF(OR(P55="$",N55=1),+T55,"")</f>
        <v>110</v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744</v>
      </c>
      <c r="D56" s="5" t="s">
        <v>45</v>
      </c>
      <c r="E56" s="6"/>
      <c r="F56" s="110">
        <v>7074804517</v>
      </c>
      <c r="G56" s="107" t="s">
        <v>745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761</v>
      </c>
      <c r="Q56" s="47"/>
      <c r="R56" s="95" t="str">
        <f>IF(OR(P56="c",P56="C"),+T56,"")</f>
        <v/>
      </c>
      <c r="S56" s="95">
        <f>IF(OR(P56="$",N56=1),+T56,"")</f>
        <v>70</v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7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>T57*N57</f>
        <v>0</v>
      </c>
      <c r="P57" s="47" t="s">
        <v>761</v>
      </c>
      <c r="Q57" s="47"/>
      <c r="R57" s="95" t="str">
        <f>IF(OR(P57="c",P57="C"),+T57,"")</f>
        <v/>
      </c>
      <c r="S57" s="95">
        <f>IF(OR(P57="$",N57=1),+T57,"")</f>
        <v>90</v>
      </c>
      <c r="T57" s="96">
        <f>H57*[1]!FMainPool1Fee+I57*[1]!FMainPool2Fee+J57*[1]!FMainPool3Fee+K57*[1]!FMainPool4Fee+B57*[1]!FMainEntryFee</f>
        <v>90</v>
      </c>
      <c r="U57" s="51"/>
    </row>
    <row r="58" spans="1:21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>T58*N58</f>
        <v>0</v>
      </c>
      <c r="P58" s="47" t="s">
        <v>765</v>
      </c>
      <c r="Q58" s="47">
        <v>1149</v>
      </c>
      <c r="R58" s="95">
        <f>IF(OR(P58="c",P58="C"),+T58,"")</f>
        <v>110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110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>
        <v>1</v>
      </c>
      <c r="J59" s="47">
        <v>1</v>
      </c>
      <c r="K59" s="47">
        <v>1</v>
      </c>
      <c r="L59" s="47"/>
      <c r="M59" s="47">
        <v>1</v>
      </c>
      <c r="N59" s="47"/>
      <c r="O59" s="94">
        <f>T59*N59</f>
        <v>0</v>
      </c>
      <c r="P59" s="47" t="s">
        <v>765</v>
      </c>
      <c r="Q59" s="47">
        <v>1149</v>
      </c>
      <c r="R59" s="95">
        <f>IF(OR(P59="c",P59="C"),+T59,"")</f>
        <v>160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160</v>
      </c>
      <c r="U59" s="51"/>
    </row>
    <row r="60" spans="1:21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765</v>
      </c>
      <c r="Q60" s="47">
        <v>2487</v>
      </c>
      <c r="R60" s="95">
        <f>IF(OR(P60="c",P60="C"),+T60,"")</f>
        <v>80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801</v>
      </c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765</v>
      </c>
      <c r="Q61" s="47">
        <v>8803</v>
      </c>
      <c r="R61" s="95">
        <f>IF(OR(P61="c",P61="C"),+T61,"")</f>
        <v>70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70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802</v>
      </c>
      <c r="D62" s="5" t="s">
        <v>803</v>
      </c>
      <c r="E62" s="6" t="s">
        <v>804</v>
      </c>
      <c r="F62" s="61">
        <v>4178488838</v>
      </c>
      <c r="G62" s="57" t="s">
        <v>805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765</v>
      </c>
      <c r="Q62" s="47">
        <v>7357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7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>T63*N63</f>
        <v>0</v>
      </c>
      <c r="P63" s="47" t="s">
        <v>765</v>
      </c>
      <c r="Q63" s="47">
        <v>4040</v>
      </c>
      <c r="R63" s="95">
        <f>IF(OR(P63="c",P63="C"),+T63,"")</f>
        <v>100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100</v>
      </c>
      <c r="U63" s="51"/>
    </row>
    <row r="64" spans="1:21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10">
        <v>5103661378</v>
      </c>
      <c r="G64" s="107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765</v>
      </c>
      <c r="Q64" s="47">
        <v>9990</v>
      </c>
      <c r="R64" s="95">
        <f>IF(OR(P64="c",P64="C"),+T64,"")</f>
        <v>110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110</v>
      </c>
      <c r="U64" s="51"/>
    </row>
    <row r="65" spans="1:21" x14ac:dyDescent="0.25">
      <c r="A65" s="46">
        <f t="shared" si="1"/>
        <v>54</v>
      </c>
      <c r="B65" s="47"/>
      <c r="C65" s="5" t="s">
        <v>766</v>
      </c>
      <c r="D65" s="5" t="s">
        <v>103</v>
      </c>
      <c r="E65" s="6" t="s">
        <v>699</v>
      </c>
      <c r="F65" s="61">
        <v>9169894301</v>
      </c>
      <c r="G65" s="107" t="s">
        <v>700</v>
      </c>
      <c r="H65" s="49"/>
      <c r="I65" s="47"/>
      <c r="J65" s="47"/>
      <c r="K65" s="47"/>
      <c r="L65" s="47"/>
      <c r="M65" s="47"/>
      <c r="N65" s="47"/>
      <c r="O65" s="94">
        <f>T65*N65</f>
        <v>0</v>
      </c>
      <c r="P65" s="47" t="s">
        <v>765</v>
      </c>
      <c r="Q65" s="47">
        <v>930</v>
      </c>
      <c r="R65" s="95">
        <f>IF(OR(P65="c",P65="C"),+T65,"")</f>
        <v>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142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>T66*N66</f>
        <v>0</v>
      </c>
      <c r="P66" s="47" t="s">
        <v>765</v>
      </c>
      <c r="Q66" s="47"/>
      <c r="R66" s="95">
        <f>IF(OR(P66="c",P66="C"),+T66,"")</f>
        <v>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7" t="s">
        <v>448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765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765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15" t="s">
        <v>697</v>
      </c>
      <c r="D69" s="103"/>
      <c r="E69" s="30" t="s">
        <v>698</v>
      </c>
      <c r="F69" s="113"/>
      <c r="G69" s="103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765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15" t="s">
        <v>640</v>
      </c>
      <c r="D70" s="15" t="s">
        <v>641</v>
      </c>
      <c r="E70" s="138" t="s">
        <v>642</v>
      </c>
      <c r="F70" s="110"/>
      <c r="G70" s="15"/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765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701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765</v>
      </c>
      <c r="Q71" s="47">
        <v>1826</v>
      </c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765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7" t="s">
        <v>454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765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765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10">
        <v>5305666454</v>
      </c>
      <c r="G75" s="109" t="s">
        <v>702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765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2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765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2"/>
        <v>66</v>
      </c>
      <c r="B77" s="47"/>
      <c r="C77" s="15" t="s">
        <v>645</v>
      </c>
      <c r="D77" s="15" t="s">
        <v>39</v>
      </c>
      <c r="E77" s="10" t="s">
        <v>646</v>
      </c>
      <c r="F77" s="141"/>
      <c r="G77" s="15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765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2"/>
        <v>67</v>
      </c>
      <c r="B78" s="47"/>
      <c r="C78" s="5" t="s">
        <v>41</v>
      </c>
      <c r="D78" s="5" t="s">
        <v>42</v>
      </c>
      <c r="E78" s="6" t="s">
        <v>43</v>
      </c>
      <c r="F78" s="110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765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765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765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7" t="s">
        <v>703</v>
      </c>
      <c r="D81" s="7" t="s">
        <v>67</v>
      </c>
      <c r="E81" s="8" t="s">
        <v>704</v>
      </c>
      <c r="F81" s="55">
        <v>7075994896</v>
      </c>
      <c r="G81" s="109" t="s">
        <v>705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765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765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765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765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2"/>
        <v>74</v>
      </c>
      <c r="B85" s="47"/>
      <c r="C85" s="5" t="s">
        <v>706</v>
      </c>
      <c r="D85" s="5" t="s">
        <v>235</v>
      </c>
      <c r="E85" s="6" t="s">
        <v>707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765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2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765</v>
      </c>
      <c r="Q86" s="47"/>
      <c r="R86" s="95">
        <f>IF(OR(P86="c",P86="C"),+T86,"")</f>
        <v>0</v>
      </c>
      <c r="S86" s="95" t="str">
        <f>IF(OR(P86="$",N86=1),+T86,"")</f>
        <v/>
      </c>
      <c r="T86" s="96"/>
      <c r="U86" s="51"/>
    </row>
    <row r="87" spans="1:21" x14ac:dyDescent="0.25">
      <c r="A87" s="46">
        <f t="shared" si="2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765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5" t="s">
        <v>66</v>
      </c>
      <c r="D88" s="5" t="s">
        <v>67</v>
      </c>
      <c r="E88" s="6" t="s">
        <v>68</v>
      </c>
      <c r="F88" s="142"/>
      <c r="G88" s="12"/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765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7" t="s">
        <v>467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765</v>
      </c>
      <c r="Q89" s="47"/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2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765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2"/>
        <v>80</v>
      </c>
      <c r="B91" s="47"/>
      <c r="C91" s="7" t="s">
        <v>77</v>
      </c>
      <c r="D91" s="7" t="s">
        <v>78</v>
      </c>
      <c r="E91" s="9" t="s">
        <v>79</v>
      </c>
      <c r="F91" s="141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765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15" t="s">
        <v>708</v>
      </c>
      <c r="D92" s="15" t="s">
        <v>67</v>
      </c>
      <c r="E92" s="10" t="s">
        <v>709</v>
      </c>
      <c r="F92" s="110">
        <v>7075027980</v>
      </c>
      <c r="G92" s="109" t="s">
        <v>710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765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</row>
    <row r="93" spans="1:21" ht="15.75" x14ac:dyDescent="0.25">
      <c r="A93" s="46">
        <f t="shared" si="2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765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765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2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765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2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765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765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765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2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765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765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7" t="s">
        <v>108</v>
      </c>
      <c r="D101" s="7" t="s">
        <v>72</v>
      </c>
      <c r="E101" s="8" t="s">
        <v>109</v>
      </c>
      <c r="F101" s="110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765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15" t="s">
        <v>806</v>
      </c>
      <c r="D102" s="15"/>
      <c r="E102" s="15" t="s">
        <v>807</v>
      </c>
      <c r="F102" s="15"/>
      <c r="G102" s="15"/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50" t="s">
        <v>765</v>
      </c>
      <c r="Q102" s="50"/>
      <c r="R102" s="95">
        <f>IF(OR(P102="c",P102="C"),+T102,"")</f>
        <v>0</v>
      </c>
      <c r="S102" s="95" t="str">
        <f>IF(OR(P102="$",N102=1),+T102,"")</f>
        <v/>
      </c>
      <c r="T102" s="96">
        <f>B102*FRegMainSetUpEntryFee + H102*FRegMainSetUpPool1Fee + I102*FRegMainSetUpPool2Fee + J102*FRegMainSetUpPool3Fee + K102*FRegMainSetUpPool4Fee</f>
        <v>0</v>
      </c>
      <c r="U102" s="51"/>
    </row>
    <row r="103" spans="1:21" x14ac:dyDescent="0.25">
      <c r="A103" s="46">
        <f t="shared" si="2"/>
        <v>92</v>
      </c>
      <c r="B103" s="47"/>
      <c r="C103" s="7" t="s">
        <v>110</v>
      </c>
      <c r="D103" s="7" t="s">
        <v>20</v>
      </c>
      <c r="E103" s="8" t="s">
        <v>111</v>
      </c>
      <c r="F103" s="110" t="s">
        <v>485</v>
      </c>
      <c r="G103" s="12" t="s">
        <v>486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765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5" t="s">
        <v>112</v>
      </c>
      <c r="D104" s="5" t="s">
        <v>55</v>
      </c>
      <c r="E104" s="6" t="s">
        <v>113</v>
      </c>
      <c r="F104" s="48"/>
      <c r="G104" s="12" t="s">
        <v>487</v>
      </c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765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5" t="s">
        <v>116</v>
      </c>
      <c r="D105" s="5" t="s">
        <v>117</v>
      </c>
      <c r="E105" s="6" t="s">
        <v>118</v>
      </c>
      <c r="F105" s="48"/>
      <c r="G105" s="12"/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765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5" t="s">
        <v>119</v>
      </c>
      <c r="D106" s="5" t="s">
        <v>72</v>
      </c>
      <c r="E106" s="6" t="s">
        <v>120</v>
      </c>
      <c r="F106" s="48">
        <v>7078499317</v>
      </c>
      <c r="G106" s="12" t="s">
        <v>489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765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121</v>
      </c>
      <c r="D107" s="5" t="s">
        <v>122</v>
      </c>
      <c r="E107" s="139" t="s">
        <v>123</v>
      </c>
      <c r="F107" s="142"/>
      <c r="G107" s="143" t="s">
        <v>490</v>
      </c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765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124</v>
      </c>
      <c r="D108" s="5" t="s">
        <v>72</v>
      </c>
      <c r="E108" s="6" t="s">
        <v>125</v>
      </c>
      <c r="F108" s="48">
        <v>7073225806</v>
      </c>
      <c r="G108" s="107" t="s">
        <v>491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765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2"/>
        <v>98</v>
      </c>
      <c r="B109" s="47"/>
      <c r="C109" s="5" t="s">
        <v>711</v>
      </c>
      <c r="D109" s="5" t="s">
        <v>185</v>
      </c>
      <c r="E109" s="6" t="s">
        <v>712</v>
      </c>
      <c r="F109" s="48">
        <v>9258406622</v>
      </c>
      <c r="G109" s="107" t="s">
        <v>713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765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2"/>
        <v>99</v>
      </c>
      <c r="B110" s="47"/>
      <c r="C110" s="5" t="s">
        <v>129</v>
      </c>
      <c r="D110" s="5" t="s">
        <v>130</v>
      </c>
      <c r="E110" s="6" t="s">
        <v>131</v>
      </c>
      <c r="F110" s="48"/>
      <c r="G110" s="12" t="s">
        <v>494</v>
      </c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765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2"/>
        <v>100</v>
      </c>
      <c r="B111" s="47"/>
      <c r="C111" s="15" t="s">
        <v>652</v>
      </c>
      <c r="D111" s="15" t="s">
        <v>45</v>
      </c>
      <c r="E111" s="10" t="s">
        <v>653</v>
      </c>
      <c r="F111" s="110"/>
      <c r="G111" s="15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765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/>
      <c r="C112" s="5" t="s">
        <v>132</v>
      </c>
      <c r="D112" s="5" t="s">
        <v>84</v>
      </c>
      <c r="E112" s="6" t="s">
        <v>133</v>
      </c>
      <c r="F112" s="48"/>
      <c r="G112" s="12"/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765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2"/>
        <v>102</v>
      </c>
      <c r="B113" s="47"/>
      <c r="C113" s="5" t="s">
        <v>134</v>
      </c>
      <c r="D113" s="5" t="s">
        <v>135</v>
      </c>
      <c r="E113" s="6" t="s">
        <v>136</v>
      </c>
      <c r="F113" s="48">
        <v>4152058885</v>
      </c>
      <c r="G113" s="107" t="s">
        <v>495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765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5" t="s">
        <v>137</v>
      </c>
      <c r="D114" s="5" t="s">
        <v>138</v>
      </c>
      <c r="E114" s="6" t="s">
        <v>139</v>
      </c>
      <c r="F114" s="142">
        <v>4152052574</v>
      </c>
      <c r="G114" s="107" t="s">
        <v>496</v>
      </c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765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15" t="s">
        <v>654</v>
      </c>
      <c r="D115" s="15" t="s">
        <v>45</v>
      </c>
      <c r="E115" s="10" t="s">
        <v>655</v>
      </c>
      <c r="F115" s="108"/>
      <c r="G115" s="15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765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/>
      <c r="C116" s="5" t="s">
        <v>140</v>
      </c>
      <c r="D116" s="5" t="s">
        <v>138</v>
      </c>
      <c r="E116" s="10" t="s">
        <v>141</v>
      </c>
      <c r="F116" s="48"/>
      <c r="G116" s="12"/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765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2"/>
        <v>106</v>
      </c>
      <c r="B117" s="47"/>
      <c r="C117" s="15" t="s">
        <v>715</v>
      </c>
      <c r="D117" s="15" t="s">
        <v>716</v>
      </c>
      <c r="E117" s="10" t="s">
        <v>717</v>
      </c>
      <c r="F117" s="110">
        <v>5309277047</v>
      </c>
      <c r="G117" s="109" t="s">
        <v>718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765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15" t="s">
        <v>719</v>
      </c>
      <c r="D118" s="15" t="s">
        <v>716</v>
      </c>
      <c r="E118" s="10" t="s">
        <v>720</v>
      </c>
      <c r="F118" s="110">
        <v>5309277048</v>
      </c>
      <c r="G118" s="109" t="s">
        <v>721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765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/>
      <c r="C119" s="5" t="s">
        <v>144</v>
      </c>
      <c r="D119" s="5" t="s">
        <v>145</v>
      </c>
      <c r="E119" s="6" t="s">
        <v>146</v>
      </c>
      <c r="F119" s="48"/>
      <c r="G119" s="12" t="s">
        <v>499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765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2"/>
        <v>109</v>
      </c>
      <c r="B120" s="47"/>
      <c r="C120" s="15" t="s">
        <v>658</v>
      </c>
      <c r="D120" s="15" t="s">
        <v>191</v>
      </c>
      <c r="E120" s="10" t="s">
        <v>659</v>
      </c>
      <c r="F120" s="110"/>
      <c r="G120" s="107" t="s">
        <v>660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765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15" t="s">
        <v>661</v>
      </c>
      <c r="D121" s="15" t="s">
        <v>33</v>
      </c>
      <c r="E121" s="10" t="s">
        <v>662</v>
      </c>
      <c r="F121" s="110"/>
      <c r="G121" s="107" t="s">
        <v>663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765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155</v>
      </c>
      <c r="D122" s="5" t="s">
        <v>156</v>
      </c>
      <c r="E122" s="6" t="s">
        <v>157</v>
      </c>
      <c r="F122" s="48"/>
      <c r="G122" s="12" t="s">
        <v>503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765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/>
      <c r="C123" s="7" t="s">
        <v>158</v>
      </c>
      <c r="D123" s="7" t="s">
        <v>159</v>
      </c>
      <c r="E123" s="8" t="s">
        <v>160</v>
      </c>
      <c r="F123" s="110" t="s">
        <v>504</v>
      </c>
      <c r="G123" s="12" t="s">
        <v>468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765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2"/>
        <v>113</v>
      </c>
      <c r="B124" s="47"/>
      <c r="C124" s="5" t="s">
        <v>163</v>
      </c>
      <c r="D124" s="5" t="s">
        <v>164</v>
      </c>
      <c r="E124" s="6" t="s">
        <v>165</v>
      </c>
      <c r="F124" s="48"/>
      <c r="G124" s="12" t="s">
        <v>506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765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166</v>
      </c>
      <c r="D125" s="5" t="s">
        <v>167</v>
      </c>
      <c r="E125" s="6" t="s">
        <v>168</v>
      </c>
      <c r="F125" s="48">
        <v>9253604907</v>
      </c>
      <c r="G125" s="12" t="s">
        <v>507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765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7" t="s">
        <v>169</v>
      </c>
      <c r="D126" s="7" t="s">
        <v>170</v>
      </c>
      <c r="E126" s="8" t="s">
        <v>171</v>
      </c>
      <c r="F126" s="142"/>
      <c r="G126" s="12" t="s">
        <v>508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765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/>
      <c r="C127" s="5" t="s">
        <v>175</v>
      </c>
      <c r="D127" s="137" t="s">
        <v>72</v>
      </c>
      <c r="E127" s="6" t="s">
        <v>176</v>
      </c>
      <c r="F127" s="48">
        <v>7079536818</v>
      </c>
      <c r="G127" s="107" t="s">
        <v>722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765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2"/>
        <v>117</v>
      </c>
      <c r="B128" s="47"/>
      <c r="C128" s="5" t="s">
        <v>177</v>
      </c>
      <c r="D128" s="137" t="s">
        <v>156</v>
      </c>
      <c r="E128" s="6" t="s">
        <v>178</v>
      </c>
      <c r="F128" s="48"/>
      <c r="G128" s="12" t="s">
        <v>510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765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2"/>
        <v>118</v>
      </c>
      <c r="B129" s="47"/>
      <c r="C129" s="7" t="s">
        <v>179</v>
      </c>
      <c r="D129" s="7" t="s">
        <v>180</v>
      </c>
      <c r="E129" s="8" t="s">
        <v>181</v>
      </c>
      <c r="F129" s="55"/>
      <c r="G129" s="12" t="s">
        <v>511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765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5" t="s">
        <v>182</v>
      </c>
      <c r="D130" s="5" t="s">
        <v>20</v>
      </c>
      <c r="E130" s="6" t="s">
        <v>183</v>
      </c>
      <c r="F130" s="48"/>
      <c r="G130" s="12" t="s">
        <v>512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765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/>
      <c r="C131" s="5" t="s">
        <v>184</v>
      </c>
      <c r="D131" s="5" t="s">
        <v>185</v>
      </c>
      <c r="E131" s="6" t="s">
        <v>186</v>
      </c>
      <c r="F131" s="110" t="s">
        <v>513</v>
      </c>
      <c r="G131" s="12" t="s">
        <v>468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765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2"/>
        <v>121</v>
      </c>
      <c r="B132" s="47"/>
      <c r="C132" s="5" t="s">
        <v>187</v>
      </c>
      <c r="D132" s="5" t="s">
        <v>188</v>
      </c>
      <c r="E132" s="6" t="s">
        <v>189</v>
      </c>
      <c r="F132" s="48"/>
      <c r="G132" s="12" t="s">
        <v>514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765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/>
      <c r="C133" s="5" t="s">
        <v>190</v>
      </c>
      <c r="D133" s="5" t="s">
        <v>191</v>
      </c>
      <c r="E133" s="6" t="s">
        <v>192</v>
      </c>
      <c r="F133" s="48"/>
      <c r="G133" s="12" t="s">
        <v>515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765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2"/>
        <v>123</v>
      </c>
      <c r="B134" s="47"/>
      <c r="C134" s="5" t="s">
        <v>193</v>
      </c>
      <c r="D134" s="5" t="s">
        <v>194</v>
      </c>
      <c r="E134" s="6" t="s">
        <v>195</v>
      </c>
      <c r="F134" s="110" t="s">
        <v>723</v>
      </c>
      <c r="G134" s="107" t="s">
        <v>517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765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7" t="s">
        <v>196</v>
      </c>
      <c r="D135" s="7" t="s">
        <v>64</v>
      </c>
      <c r="E135" s="8" t="s">
        <v>197</v>
      </c>
      <c r="F135" s="55">
        <v>4084722020</v>
      </c>
      <c r="G135" s="107" t="s">
        <v>518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765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/>
      <c r="C136" s="5" t="s">
        <v>201</v>
      </c>
      <c r="D136" s="5" t="s">
        <v>202</v>
      </c>
      <c r="E136" s="6" t="s">
        <v>203</v>
      </c>
      <c r="F136" s="48"/>
      <c r="G136" s="12" t="s">
        <v>519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765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2"/>
        <v>126</v>
      </c>
      <c r="B137" s="47"/>
      <c r="C137" s="7" t="s">
        <v>204</v>
      </c>
      <c r="D137" s="7" t="s">
        <v>205</v>
      </c>
      <c r="E137" s="8" t="s">
        <v>206</v>
      </c>
      <c r="F137" s="55"/>
      <c r="G137" s="12" t="s">
        <v>520</v>
      </c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765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7" t="s">
        <v>210</v>
      </c>
      <c r="D138" s="7" t="s">
        <v>211</v>
      </c>
      <c r="E138" s="8" t="s">
        <v>212</v>
      </c>
      <c r="F138" s="55"/>
      <c r="G138" s="12"/>
      <c r="H138" s="49"/>
      <c r="I138" s="47"/>
      <c r="J138" s="47"/>
      <c r="K138" s="47"/>
      <c r="L138" s="47"/>
      <c r="M138" s="47"/>
      <c r="N138" s="47"/>
      <c r="O138" s="94">
        <f>T138*N138</f>
        <v>0</v>
      </c>
      <c r="P138" s="47" t="s">
        <v>765</v>
      </c>
      <c r="Q138" s="47"/>
      <c r="R138" s="95">
        <f>IF(OR(P138="c",P138="C"),+T138,"")</f>
        <v>0</v>
      </c>
      <c r="S138" s="95" t="str">
        <f>IF(OR(P138="$",N138=1),+T138,"")</f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7" t="s">
        <v>780</v>
      </c>
      <c r="D139" s="7" t="s">
        <v>781</v>
      </c>
      <c r="E139" s="10" t="s">
        <v>782</v>
      </c>
      <c r="F139" s="10" t="s">
        <v>783</v>
      </c>
      <c r="G139" s="15" t="s">
        <v>784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765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213</v>
      </c>
      <c r="D140" s="5" t="s">
        <v>214</v>
      </c>
      <c r="E140" s="6" t="s">
        <v>215</v>
      </c>
      <c r="F140" s="142"/>
      <c r="G140" s="12" t="s">
        <v>522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765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/>
      <c r="C141" s="15" t="s">
        <v>664</v>
      </c>
      <c r="D141" s="15" t="s">
        <v>39</v>
      </c>
      <c r="E141" s="10" t="s">
        <v>665</v>
      </c>
      <c r="F141" s="110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765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3"/>
        <v>131</v>
      </c>
      <c r="B142" s="47"/>
      <c r="C142" s="5" t="s">
        <v>216</v>
      </c>
      <c r="D142" s="5" t="s">
        <v>217</v>
      </c>
      <c r="E142" s="6" t="s">
        <v>218</v>
      </c>
      <c r="F142" s="48"/>
      <c r="G142" s="12" t="s">
        <v>523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765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7" t="s">
        <v>219</v>
      </c>
      <c r="D143" s="7" t="s">
        <v>220</v>
      </c>
      <c r="E143" s="8" t="s">
        <v>221</v>
      </c>
      <c r="F143" s="55"/>
      <c r="G143" s="12" t="s">
        <v>524</v>
      </c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765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222</v>
      </c>
      <c r="D144" s="5" t="s">
        <v>223</v>
      </c>
      <c r="E144" s="6" t="s">
        <v>224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765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7" t="s">
        <v>234</v>
      </c>
      <c r="D145" s="7" t="s">
        <v>235</v>
      </c>
      <c r="E145" s="8" t="s">
        <v>236</v>
      </c>
      <c r="F145" s="55"/>
      <c r="G145" s="12" t="s">
        <v>528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765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7" t="s">
        <v>237</v>
      </c>
      <c r="D146" s="7" t="s">
        <v>194</v>
      </c>
      <c r="E146" s="8" t="s">
        <v>238</v>
      </c>
      <c r="F146" s="55"/>
      <c r="G146" s="12" t="s">
        <v>529</v>
      </c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765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242</v>
      </c>
      <c r="D147" s="5" t="s">
        <v>130</v>
      </c>
      <c r="E147" s="6" t="s">
        <v>243</v>
      </c>
      <c r="F147" s="48"/>
      <c r="G147" s="12"/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765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/>
      <c r="C148" s="15" t="s">
        <v>669</v>
      </c>
      <c r="D148" s="15" t="s">
        <v>159</v>
      </c>
      <c r="E148" s="10" t="s">
        <v>670</v>
      </c>
      <c r="F148" s="110">
        <v>5104930824</v>
      </c>
      <c r="G148" s="109" t="s">
        <v>671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765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3"/>
        <v>138</v>
      </c>
      <c r="B149" s="47"/>
      <c r="C149" s="5" t="s">
        <v>244</v>
      </c>
      <c r="D149" s="5" t="s">
        <v>245</v>
      </c>
      <c r="E149" s="6" t="s">
        <v>246</v>
      </c>
      <c r="F149" s="48"/>
      <c r="G149" s="12" t="s">
        <v>531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765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7" t="s">
        <v>247</v>
      </c>
      <c r="D150" s="7" t="s">
        <v>185</v>
      </c>
      <c r="E150" s="8" t="s">
        <v>248</v>
      </c>
      <c r="F150" s="55"/>
      <c r="G150" s="12" t="s">
        <v>532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765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/>
      <c r="C151" s="7" t="s">
        <v>249</v>
      </c>
      <c r="D151" s="7" t="s">
        <v>250</v>
      </c>
      <c r="E151" s="8" t="s">
        <v>251</v>
      </c>
      <c r="F151" s="48">
        <v>8054556079</v>
      </c>
      <c r="G151" s="12" t="s">
        <v>533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765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3"/>
        <v>141</v>
      </c>
      <c r="B152" s="47"/>
      <c r="C152" s="5" t="s">
        <v>252</v>
      </c>
      <c r="D152" s="5" t="s">
        <v>42</v>
      </c>
      <c r="E152" s="6" t="s">
        <v>253</v>
      </c>
      <c r="F152" s="48"/>
      <c r="G152" s="12" t="s">
        <v>534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765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3"/>
        <v>142</v>
      </c>
      <c r="B153" s="47"/>
      <c r="C153" s="5" t="s">
        <v>254</v>
      </c>
      <c r="D153" s="5" t="s">
        <v>255</v>
      </c>
      <c r="E153" s="6" t="s">
        <v>256</v>
      </c>
      <c r="F153" s="141" t="s">
        <v>535</v>
      </c>
      <c r="G153" s="107" t="s">
        <v>536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765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3"/>
        <v>143</v>
      </c>
      <c r="B154" s="47"/>
      <c r="C154" s="5" t="s">
        <v>257</v>
      </c>
      <c r="D154" s="5" t="s">
        <v>255</v>
      </c>
      <c r="E154" s="6" t="s">
        <v>258</v>
      </c>
      <c r="F154" s="110" t="s">
        <v>535</v>
      </c>
      <c r="G154" s="107" t="s">
        <v>537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765</v>
      </c>
      <c r="Q154" s="47"/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3"/>
        <v>144</v>
      </c>
      <c r="B155" s="47"/>
      <c r="C155" s="5" t="s">
        <v>261</v>
      </c>
      <c r="D155" s="5" t="s">
        <v>262</v>
      </c>
      <c r="E155" s="6" t="s">
        <v>263</v>
      </c>
      <c r="F155" s="110" t="s">
        <v>539</v>
      </c>
      <c r="G155" s="15" t="s">
        <v>540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765</v>
      </c>
      <c r="Q155" s="47">
        <v>1587</v>
      </c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5" t="s">
        <v>264</v>
      </c>
      <c r="D156" s="5" t="s">
        <v>45</v>
      </c>
      <c r="E156" s="6" t="s">
        <v>265</v>
      </c>
      <c r="F156" s="48" t="s">
        <v>541</v>
      </c>
      <c r="G156" s="15" t="s">
        <v>542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765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/>
      <c r="C157" s="5" t="s">
        <v>269</v>
      </c>
      <c r="D157" s="5" t="s">
        <v>270</v>
      </c>
      <c r="E157" s="6" t="s">
        <v>271</v>
      </c>
      <c r="F157" s="48"/>
      <c r="G157" s="12" t="s">
        <v>543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765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3"/>
        <v>147</v>
      </c>
      <c r="B158" s="47"/>
      <c r="C158" s="5" t="s">
        <v>274</v>
      </c>
      <c r="D158" s="5" t="s">
        <v>275</v>
      </c>
      <c r="E158" s="6" t="s">
        <v>276</v>
      </c>
      <c r="F158" s="48"/>
      <c r="G158" s="12" t="s">
        <v>545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765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7" t="s">
        <v>277</v>
      </c>
      <c r="D159" s="7" t="s">
        <v>194</v>
      </c>
      <c r="E159" s="8" t="s">
        <v>278</v>
      </c>
      <c r="F159" s="55"/>
      <c r="G159" s="90" t="s">
        <v>546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765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15" t="s">
        <v>674</v>
      </c>
      <c r="D160" s="15" t="s">
        <v>159</v>
      </c>
      <c r="E160" s="10" t="s">
        <v>675</v>
      </c>
      <c r="F160" s="110"/>
      <c r="G160" s="112" t="s">
        <v>676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765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15" t="s">
        <v>731</v>
      </c>
      <c r="D161" s="15" t="s">
        <v>232</v>
      </c>
      <c r="E161" s="10" t="s">
        <v>732</v>
      </c>
      <c r="F161" s="110">
        <v>9254081849</v>
      </c>
      <c r="G161" s="109" t="s">
        <v>733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765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/>
      <c r="C162" s="5" t="s">
        <v>279</v>
      </c>
      <c r="D162" s="5" t="s">
        <v>8</v>
      </c>
      <c r="E162" s="6" t="s">
        <v>280</v>
      </c>
      <c r="F162" s="48"/>
      <c r="G162" s="12" t="s">
        <v>547</v>
      </c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765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3"/>
        <v>152</v>
      </c>
      <c r="B163" s="47"/>
      <c r="C163" s="5" t="s">
        <v>281</v>
      </c>
      <c r="D163" s="5" t="s">
        <v>282</v>
      </c>
      <c r="E163" s="6"/>
      <c r="F163" s="48"/>
      <c r="G163" s="12" t="s">
        <v>548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765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3"/>
        <v>153</v>
      </c>
      <c r="B164" s="47"/>
      <c r="C164" s="5" t="s">
        <v>287</v>
      </c>
      <c r="D164" s="5" t="s">
        <v>156</v>
      </c>
      <c r="E164" s="6" t="s">
        <v>288</v>
      </c>
      <c r="F164" s="48"/>
      <c r="G164" s="143" t="s">
        <v>551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765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3"/>
        <v>154</v>
      </c>
      <c r="B165" s="47"/>
      <c r="C165" s="15" t="s">
        <v>677</v>
      </c>
      <c r="D165" s="15" t="s">
        <v>678</v>
      </c>
      <c r="E165" s="10" t="s">
        <v>662</v>
      </c>
      <c r="F165" s="110"/>
      <c r="G165" s="107" t="s">
        <v>679</v>
      </c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765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3"/>
        <v>155</v>
      </c>
      <c r="B166" s="47"/>
      <c r="C166" s="5" t="s">
        <v>291</v>
      </c>
      <c r="D166" s="5" t="s">
        <v>255</v>
      </c>
      <c r="E166" s="6"/>
      <c r="F166" s="48"/>
      <c r="G166" s="12" t="s">
        <v>554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765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3"/>
        <v>156</v>
      </c>
      <c r="B167" s="47"/>
      <c r="C167" s="5" t="s">
        <v>295</v>
      </c>
      <c r="D167" s="5" t="s">
        <v>127</v>
      </c>
      <c r="E167" s="6" t="s">
        <v>296</v>
      </c>
      <c r="F167" s="48">
        <v>8057047967</v>
      </c>
      <c r="G167" s="12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765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3"/>
        <v>157</v>
      </c>
      <c r="B168" s="47"/>
      <c r="C168" s="7" t="s">
        <v>297</v>
      </c>
      <c r="D168" s="7" t="s">
        <v>61</v>
      </c>
      <c r="E168" s="8" t="s">
        <v>298</v>
      </c>
      <c r="F168" s="55"/>
      <c r="G168" s="12" t="s">
        <v>556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765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299</v>
      </c>
      <c r="D169" s="5" t="s">
        <v>300</v>
      </c>
      <c r="E169" s="6" t="s">
        <v>301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765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3"/>
        <v>159</v>
      </c>
      <c r="B170" s="47"/>
      <c r="C170" s="7" t="s">
        <v>302</v>
      </c>
      <c r="D170" s="7" t="s">
        <v>72</v>
      </c>
      <c r="E170" s="8" t="s">
        <v>303</v>
      </c>
      <c r="F170" s="55"/>
      <c r="G170" s="12" t="s">
        <v>557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765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3"/>
        <v>160</v>
      </c>
      <c r="B171" s="47"/>
      <c r="C171" s="5" t="s">
        <v>304</v>
      </c>
      <c r="D171" s="5" t="s">
        <v>305</v>
      </c>
      <c r="E171" s="6" t="s">
        <v>306</v>
      </c>
      <c r="F171" s="48"/>
      <c r="G171" s="12" t="s">
        <v>558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765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3"/>
        <v>161</v>
      </c>
      <c r="B172" s="47"/>
      <c r="C172" s="5" t="s">
        <v>307</v>
      </c>
      <c r="D172" s="5" t="s">
        <v>39</v>
      </c>
      <c r="E172" s="6" t="s">
        <v>308</v>
      </c>
      <c r="F172" s="48"/>
      <c r="G172" s="12" t="s">
        <v>559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765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3"/>
        <v>162</v>
      </c>
      <c r="B173" s="47"/>
      <c r="C173" s="5" t="s">
        <v>309</v>
      </c>
      <c r="D173" s="5" t="s">
        <v>72</v>
      </c>
      <c r="E173" s="6" t="s">
        <v>310</v>
      </c>
      <c r="F173" s="48">
        <v>7074845031</v>
      </c>
      <c r="G173" s="12" t="s">
        <v>560</v>
      </c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765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311</v>
      </c>
      <c r="D174" s="5" t="s">
        <v>84</v>
      </c>
      <c r="E174" s="6" t="s">
        <v>312</v>
      </c>
      <c r="F174" s="48"/>
      <c r="G174" s="12" t="s">
        <v>561</v>
      </c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765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5" t="s">
        <v>313</v>
      </c>
      <c r="D175" s="5" t="s">
        <v>314</v>
      </c>
      <c r="E175" s="6" t="s">
        <v>315</v>
      </c>
      <c r="F175" s="48"/>
      <c r="G175" s="12"/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765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3"/>
        <v>165</v>
      </c>
      <c r="B176" s="47"/>
      <c r="C176" s="15" t="s">
        <v>680</v>
      </c>
      <c r="D176" s="15" t="s">
        <v>91</v>
      </c>
      <c r="E176" s="10" t="s">
        <v>681</v>
      </c>
      <c r="F176" s="110"/>
      <c r="G176" s="15"/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765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3"/>
        <v>166</v>
      </c>
      <c r="B177" s="47"/>
      <c r="C177" s="5" t="s">
        <v>318</v>
      </c>
      <c r="D177" s="5" t="s">
        <v>148</v>
      </c>
      <c r="E177" s="6" t="s">
        <v>319</v>
      </c>
      <c r="F177" s="110" t="s">
        <v>563</v>
      </c>
      <c r="G177" s="12" t="s">
        <v>564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765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5" t="s">
        <v>734</v>
      </c>
      <c r="D178" s="5" t="s">
        <v>211</v>
      </c>
      <c r="E178" s="6" t="s">
        <v>735</v>
      </c>
      <c r="F178" s="110">
        <v>4086670073</v>
      </c>
      <c r="G178" s="109" t="s">
        <v>736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765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3"/>
        <v>168</v>
      </c>
      <c r="B179" s="47"/>
      <c r="C179" s="7" t="s">
        <v>320</v>
      </c>
      <c r="D179" s="7" t="s">
        <v>321</v>
      </c>
      <c r="E179" s="8" t="s">
        <v>322</v>
      </c>
      <c r="F179" s="55">
        <v>9167697400</v>
      </c>
      <c r="G179" s="12" t="s">
        <v>565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765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3"/>
        <v>169</v>
      </c>
      <c r="B180" s="47"/>
      <c r="C180" s="7" t="s">
        <v>323</v>
      </c>
      <c r="D180" s="7" t="s">
        <v>235</v>
      </c>
      <c r="E180" s="8" t="s">
        <v>324</v>
      </c>
      <c r="F180" s="58"/>
      <c r="G180" s="12" t="s">
        <v>566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765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3"/>
        <v>170</v>
      </c>
      <c r="B181" s="47"/>
      <c r="C181" s="7" t="s">
        <v>325</v>
      </c>
      <c r="D181" s="7" t="s">
        <v>326</v>
      </c>
      <c r="E181" s="8" t="s">
        <v>327</v>
      </c>
      <c r="F181" s="55"/>
      <c r="G181" s="12" t="s">
        <v>567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765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331</v>
      </c>
      <c r="D182" s="5" t="s">
        <v>332</v>
      </c>
      <c r="E182" s="6" t="s">
        <v>333</v>
      </c>
      <c r="F182" s="48"/>
      <c r="G182" s="12" t="s">
        <v>569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765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</row>
    <row r="183" spans="1:21" ht="15.75" x14ac:dyDescent="0.25">
      <c r="A183" s="46">
        <f t="shared" si="3"/>
        <v>172</v>
      </c>
      <c r="B183" s="47"/>
      <c r="C183" s="15" t="s">
        <v>682</v>
      </c>
      <c r="D183" s="15" t="s">
        <v>81</v>
      </c>
      <c r="E183" s="10" t="s">
        <v>683</v>
      </c>
      <c r="F183" s="110"/>
      <c r="G183" s="107" t="s">
        <v>684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765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</row>
    <row r="184" spans="1:21" ht="15.75" x14ac:dyDescent="0.25">
      <c r="A184" s="46">
        <f t="shared" si="3"/>
        <v>173</v>
      </c>
      <c r="B184" s="47"/>
      <c r="C184" s="14" t="s">
        <v>340</v>
      </c>
      <c r="D184" s="14" t="s">
        <v>255</v>
      </c>
      <c r="E184" s="6"/>
      <c r="F184" s="48"/>
      <c r="G184" s="12" t="s">
        <v>572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765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3"/>
        <v>174</v>
      </c>
      <c r="B185" s="47"/>
      <c r="C185" s="14" t="s">
        <v>740</v>
      </c>
      <c r="D185" s="14" t="s">
        <v>741</v>
      </c>
      <c r="E185" s="6" t="s">
        <v>742</v>
      </c>
      <c r="F185" s="48">
        <v>7752876408</v>
      </c>
      <c r="G185" s="107" t="s">
        <v>743</v>
      </c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765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5" t="s">
        <v>341</v>
      </c>
      <c r="D186" s="5" t="s">
        <v>342</v>
      </c>
      <c r="E186" s="6" t="s">
        <v>343</v>
      </c>
      <c r="F186" s="48">
        <v>7073490481</v>
      </c>
      <c r="G186" s="107" t="s">
        <v>573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765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</row>
    <row r="187" spans="1:21" ht="15.75" x14ac:dyDescent="0.25">
      <c r="A187" s="46">
        <f t="shared" si="3"/>
        <v>176</v>
      </c>
      <c r="B187" s="47"/>
      <c r="C187" s="15" t="s">
        <v>685</v>
      </c>
      <c r="D187" s="15" t="s">
        <v>45</v>
      </c>
      <c r="E187" s="10" t="s">
        <v>686</v>
      </c>
      <c r="F187" s="110">
        <v>7752876408</v>
      </c>
      <c r="G187" s="15"/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765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</row>
    <row r="188" spans="1:21" ht="15.75" x14ac:dyDescent="0.25">
      <c r="A188" s="46">
        <f t="shared" si="3"/>
        <v>177</v>
      </c>
      <c r="B188" s="47"/>
      <c r="C188" s="14" t="s">
        <v>344</v>
      </c>
      <c r="D188" s="14" t="s">
        <v>33</v>
      </c>
      <c r="E188" s="6" t="s">
        <v>345</v>
      </c>
      <c r="F188" s="48"/>
      <c r="G188" s="12" t="s">
        <v>574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765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14" t="s">
        <v>797</v>
      </c>
      <c r="D189" s="14" t="s">
        <v>45</v>
      </c>
      <c r="E189" s="6" t="s">
        <v>798</v>
      </c>
      <c r="F189" s="48" t="s">
        <v>799</v>
      </c>
      <c r="G189" s="12" t="s">
        <v>800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765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346</v>
      </c>
      <c r="D190" s="5" t="s">
        <v>347</v>
      </c>
      <c r="E190" s="6" t="s">
        <v>348</v>
      </c>
      <c r="F190" s="48">
        <v>2093653232</v>
      </c>
      <c r="G190" s="107" t="s">
        <v>575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765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/>
      <c r="C191" s="7" t="s">
        <v>354</v>
      </c>
      <c r="D191" s="7" t="s">
        <v>355</v>
      </c>
      <c r="E191" s="8" t="s">
        <v>356</v>
      </c>
      <c r="F191" s="55"/>
      <c r="G191" s="12" t="s">
        <v>579</v>
      </c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765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3"/>
        <v>181</v>
      </c>
      <c r="B192" s="47"/>
      <c r="C192" s="5" t="s">
        <v>357</v>
      </c>
      <c r="D192" s="5" t="s">
        <v>358</v>
      </c>
      <c r="E192" s="6" t="s">
        <v>359</v>
      </c>
      <c r="F192" s="48"/>
      <c r="G192" s="12" t="s">
        <v>580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765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/>
      <c r="C193" s="5" t="s">
        <v>360</v>
      </c>
      <c r="D193" s="5" t="s">
        <v>255</v>
      </c>
      <c r="E193" s="6"/>
      <c r="F193" s="48"/>
      <c r="G193" s="12" t="s">
        <v>581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765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3"/>
        <v>183</v>
      </c>
      <c r="B194" s="47"/>
      <c r="C194" s="15" t="s">
        <v>687</v>
      </c>
      <c r="D194" s="15" t="s">
        <v>199</v>
      </c>
      <c r="E194" s="10" t="s">
        <v>662</v>
      </c>
      <c r="F194" s="110"/>
      <c r="G194" s="107" t="s">
        <v>688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765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7" t="s">
        <v>365</v>
      </c>
      <c r="D195" s="7" t="s">
        <v>72</v>
      </c>
      <c r="E195" s="8" t="s">
        <v>366</v>
      </c>
      <c r="F195" s="58"/>
      <c r="G195" s="12" t="s">
        <v>584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765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/>
      <c r="C196" s="7" t="s">
        <v>371</v>
      </c>
      <c r="D196" s="7" t="s">
        <v>372</v>
      </c>
      <c r="E196" s="8" t="s">
        <v>373</v>
      </c>
      <c r="F196" s="55"/>
      <c r="G196" s="12" t="s">
        <v>588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765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3"/>
        <v>186</v>
      </c>
      <c r="B197" s="47"/>
      <c r="C197" s="5" t="s">
        <v>374</v>
      </c>
      <c r="D197" s="5" t="s">
        <v>375</v>
      </c>
      <c r="E197" s="6" t="s">
        <v>376</v>
      </c>
      <c r="F197" s="48"/>
      <c r="G197" s="12" t="s">
        <v>589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765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379</v>
      </c>
      <c r="D198" s="5" t="s">
        <v>145</v>
      </c>
      <c r="E198" s="6" t="s">
        <v>380</v>
      </c>
      <c r="F198" s="48"/>
      <c r="G198" s="12" t="s">
        <v>591</v>
      </c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765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383</v>
      </c>
      <c r="D199" s="5" t="s">
        <v>185</v>
      </c>
      <c r="E199" s="6" t="s">
        <v>384</v>
      </c>
      <c r="F199" s="110" t="s">
        <v>593</v>
      </c>
      <c r="G199" s="15" t="s">
        <v>594</v>
      </c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765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5" t="s">
        <v>385</v>
      </c>
      <c r="D200" s="5" t="s">
        <v>84</v>
      </c>
      <c r="E200" s="6" t="s">
        <v>386</v>
      </c>
      <c r="F200" s="48"/>
      <c r="G200" s="12"/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765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/>
      <c r="C201" s="5" t="s">
        <v>387</v>
      </c>
      <c r="D201" s="5" t="s">
        <v>388</v>
      </c>
      <c r="E201" s="6" t="s">
        <v>389</v>
      </c>
      <c r="F201" s="48"/>
      <c r="G201" s="12"/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765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3"/>
        <v>191</v>
      </c>
      <c r="B202" s="47"/>
      <c r="C202" s="5" t="s">
        <v>390</v>
      </c>
      <c r="D202" s="5" t="s">
        <v>208</v>
      </c>
      <c r="E202" s="6" t="s">
        <v>391</v>
      </c>
      <c r="F202" s="48"/>
      <c r="G202" s="12" t="s">
        <v>595</v>
      </c>
      <c r="H202" s="49"/>
      <c r="I202" s="47"/>
      <c r="J202" s="47"/>
      <c r="K202" s="47"/>
      <c r="L202" s="47"/>
      <c r="M202" s="47"/>
      <c r="N202" s="47"/>
      <c r="O202" s="94">
        <f>T202*N202</f>
        <v>0</v>
      </c>
      <c r="P202" s="47" t="s">
        <v>765</v>
      </c>
      <c r="Q202" s="47"/>
      <c r="R202" s="95">
        <f>IF(OR(P202="c",P202="C"),+T202,"")</f>
        <v>0</v>
      </c>
      <c r="S202" s="95" t="str">
        <f>IF(OR(P202="$",N202=1),+T202,"")</f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3"/>
        <v>192</v>
      </c>
      <c r="B203" s="47"/>
      <c r="C203" s="5" t="s">
        <v>394</v>
      </c>
      <c r="D203" s="5" t="s">
        <v>50</v>
      </c>
      <c r="E203" s="6" t="s">
        <v>395</v>
      </c>
      <c r="F203" s="48"/>
      <c r="G203" s="12" t="s">
        <v>596</v>
      </c>
      <c r="H203" s="49"/>
      <c r="I203" s="47"/>
      <c r="J203" s="47"/>
      <c r="K203" s="47"/>
      <c r="L203" s="47"/>
      <c r="M203" s="47"/>
      <c r="N203" s="47"/>
      <c r="O203" s="94">
        <f>T203*N203</f>
        <v>0</v>
      </c>
      <c r="P203" s="47" t="s">
        <v>765</v>
      </c>
      <c r="Q203" s="47"/>
      <c r="R203" s="95">
        <f>IF(OR(P203="c",P203="C"),+T203,"")</f>
        <v>0</v>
      </c>
      <c r="S203" s="95" t="str">
        <f>IF(OR(P203="$",N203=1),+T203,"")</f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4">ROW() - ROW(FRegEntriesEnteredHdr)</f>
        <v>193</v>
      </c>
      <c r="B204" s="47"/>
      <c r="C204" s="5" t="s">
        <v>396</v>
      </c>
      <c r="D204" s="5" t="s">
        <v>72</v>
      </c>
      <c r="E204" s="6" t="s">
        <v>397</v>
      </c>
      <c r="F204" s="48">
        <v>7075290228</v>
      </c>
      <c r="G204" s="107" t="s">
        <v>597</v>
      </c>
      <c r="H204" s="49"/>
      <c r="I204" s="47"/>
      <c r="J204" s="47"/>
      <c r="K204" s="47"/>
      <c r="L204" s="47"/>
      <c r="M204" s="47"/>
      <c r="N204" s="47"/>
      <c r="O204" s="94">
        <f>T204*N204</f>
        <v>0</v>
      </c>
      <c r="P204" s="47" t="s">
        <v>765</v>
      </c>
      <c r="Q204" s="47"/>
      <c r="R204" s="95">
        <f>IF(OR(P204="c",P204="C"),+T204,"")</f>
        <v>0</v>
      </c>
      <c r="S204" s="95" t="str">
        <f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4"/>
        <v>194</v>
      </c>
      <c r="B205" s="47"/>
      <c r="C205" s="7" t="s">
        <v>398</v>
      </c>
      <c r="D205" s="7" t="s">
        <v>185</v>
      </c>
      <c r="E205" s="8" t="s">
        <v>399</v>
      </c>
      <c r="F205" s="58"/>
      <c r="G205" s="12" t="s">
        <v>532</v>
      </c>
      <c r="H205" s="49"/>
      <c r="I205" s="47"/>
      <c r="J205" s="47"/>
      <c r="K205" s="47"/>
      <c r="L205" s="47"/>
      <c r="M205" s="47"/>
      <c r="N205" s="47"/>
      <c r="O205" s="94">
        <f>T205*N205</f>
        <v>0</v>
      </c>
      <c r="P205" s="47" t="s">
        <v>765</v>
      </c>
      <c r="Q205" s="47"/>
      <c r="R205" s="95">
        <f>IF(OR(P205="c",P205="C"),+T205,"")</f>
        <v>0</v>
      </c>
      <c r="S205" s="95" t="str">
        <f>IF(OR(P205="$",N205=1),+T205,"")</f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4"/>
        <v>195</v>
      </c>
      <c r="B206" s="47"/>
      <c r="C206" s="7" t="s">
        <v>746</v>
      </c>
      <c r="D206" s="7" t="s">
        <v>409</v>
      </c>
      <c r="E206" s="8" t="s">
        <v>747</v>
      </c>
      <c r="F206" s="58"/>
      <c r="G206" s="12" t="s">
        <v>532</v>
      </c>
      <c r="H206" s="49"/>
      <c r="I206" s="47"/>
      <c r="J206" s="47"/>
      <c r="K206" s="47"/>
      <c r="L206" s="47"/>
      <c r="M206" s="47"/>
      <c r="N206" s="47"/>
      <c r="O206" s="94">
        <f>T206*N206</f>
        <v>0</v>
      </c>
      <c r="P206" s="47" t="s">
        <v>765</v>
      </c>
      <c r="Q206" s="47"/>
      <c r="R206" s="95">
        <f>IF(OR(P206="c",P206="C"),+T206,"")</f>
        <v>0</v>
      </c>
      <c r="S206" s="95" t="str">
        <f>IF(OR(P206="$",N206=1),+T206,"")</f>
        <v/>
      </c>
      <c r="T206" s="96">
        <f>H206*[1]!FMainPool1Fee+I206*[1]!FMainPool2Fee+J206*[1]!FMainPool3Fee+K206*[1]!FMainPool4Fee+B206*[1]!FMainEntryFee</f>
        <v>0</v>
      </c>
      <c r="U206" s="51"/>
    </row>
    <row r="207" spans="1:21" x14ac:dyDescent="0.25">
      <c r="A207" s="46">
        <f t="shared" si="4"/>
        <v>196</v>
      </c>
      <c r="B207" s="47"/>
      <c r="C207" s="5" t="s">
        <v>400</v>
      </c>
      <c r="D207" s="5" t="s">
        <v>194</v>
      </c>
      <c r="E207" s="6" t="s">
        <v>401</v>
      </c>
      <c r="F207" s="48"/>
      <c r="G207" s="12" t="s">
        <v>598</v>
      </c>
      <c r="H207" s="49"/>
      <c r="I207" s="47"/>
      <c r="J207" s="47"/>
      <c r="K207" s="47"/>
      <c r="L207" s="47"/>
      <c r="M207" s="47"/>
      <c r="N207" s="47"/>
      <c r="O207" s="94">
        <f>T207*N207</f>
        <v>0</v>
      </c>
      <c r="P207" s="47" t="s">
        <v>765</v>
      </c>
      <c r="Q207" s="47"/>
      <c r="R207" s="95">
        <f>IF(OR(P207="c",P207="C"),+T207,"")</f>
        <v>0</v>
      </c>
      <c r="S207" s="95" t="str">
        <f>IF(OR(P207="$",N207=1),+T207,"")</f>
        <v/>
      </c>
      <c r="T207" s="96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4"/>
        <v>197</v>
      </c>
      <c r="B208" s="47"/>
      <c r="C208" s="5" t="s">
        <v>402</v>
      </c>
      <c r="D208" s="5" t="s">
        <v>329</v>
      </c>
      <c r="E208" s="6" t="s">
        <v>403</v>
      </c>
      <c r="F208" s="48"/>
      <c r="G208" s="12" t="s">
        <v>599</v>
      </c>
      <c r="H208" s="49"/>
      <c r="I208" s="47"/>
      <c r="J208" s="47"/>
      <c r="K208" s="47"/>
      <c r="L208" s="47"/>
      <c r="M208" s="47"/>
      <c r="N208" s="47"/>
      <c r="O208" s="94">
        <f>T208*N208</f>
        <v>0</v>
      </c>
      <c r="P208" s="47" t="s">
        <v>765</v>
      </c>
      <c r="Q208" s="47"/>
      <c r="R208" s="95">
        <f>IF(OR(P208="c",P208="C"),+T208,"")</f>
        <v>0</v>
      </c>
      <c r="S208" s="95" t="str">
        <f>IF(OR(P208="$",N208=1),+T208,"")</f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4"/>
        <v>198</v>
      </c>
      <c r="B209" s="47"/>
      <c r="C209" s="5" t="s">
        <v>408</v>
      </c>
      <c r="D209" s="5" t="s">
        <v>409</v>
      </c>
      <c r="E209" s="6" t="s">
        <v>410</v>
      </c>
      <c r="F209" s="48">
        <v>5106764872</v>
      </c>
      <c r="G209" s="107" t="s">
        <v>601</v>
      </c>
      <c r="H209" s="49"/>
      <c r="I209" s="47"/>
      <c r="J209" s="47"/>
      <c r="K209" s="47"/>
      <c r="L209" s="47"/>
      <c r="M209" s="47"/>
      <c r="N209" s="47"/>
      <c r="O209" s="94">
        <f>T209*N209</f>
        <v>0</v>
      </c>
      <c r="P209" s="47" t="s">
        <v>765</v>
      </c>
      <c r="Q209" s="47"/>
      <c r="R209" s="95">
        <f>IF(OR(P209="c",P209="C"),+T209,"")</f>
        <v>0</v>
      </c>
      <c r="S209" s="95" t="str">
        <f>IF(OR(P209="$",N209=1),+T209,"")</f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4"/>
        <v>199</v>
      </c>
      <c r="B210" s="47"/>
      <c r="C210" s="5" t="s">
        <v>411</v>
      </c>
      <c r="D210" s="5" t="s">
        <v>412</v>
      </c>
      <c r="E210" s="6" t="s">
        <v>413</v>
      </c>
      <c r="F210" s="48"/>
      <c r="G210" s="12"/>
      <c r="H210" s="49"/>
      <c r="I210" s="47"/>
      <c r="J210" s="47"/>
      <c r="K210" s="47"/>
      <c r="L210" s="47"/>
      <c r="M210" s="47"/>
      <c r="N210" s="47"/>
      <c r="O210" s="94">
        <f>T210*N210</f>
        <v>0</v>
      </c>
      <c r="P210" s="47" t="s">
        <v>765</v>
      </c>
      <c r="Q210" s="47"/>
      <c r="R210" s="95">
        <f>IF(OR(P210="c",P210="C"),+T210,"")</f>
        <v>0</v>
      </c>
      <c r="S210" s="95" t="str">
        <f>IF(OR(P210="$",N210=1),+T210,"")</f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4"/>
        <v>200</v>
      </c>
      <c r="B211" s="47"/>
      <c r="C211" s="5" t="s">
        <v>414</v>
      </c>
      <c r="D211" s="5" t="s">
        <v>412</v>
      </c>
      <c r="E211" s="6" t="s">
        <v>415</v>
      </c>
      <c r="F211" s="110" t="s">
        <v>602</v>
      </c>
      <c r="G211" s="12" t="s">
        <v>603</v>
      </c>
      <c r="H211" s="49"/>
      <c r="I211" s="47"/>
      <c r="J211" s="47"/>
      <c r="K211" s="47"/>
      <c r="L211" s="47"/>
      <c r="M211" s="47"/>
      <c r="N211" s="47"/>
      <c r="O211" s="94">
        <f>T211*N211</f>
        <v>0</v>
      </c>
      <c r="P211" s="47" t="s">
        <v>765</v>
      </c>
      <c r="Q211" s="47"/>
      <c r="R211" s="95">
        <f>IF(OR(P211="c",P211="C"),+T211,"")</f>
        <v>0</v>
      </c>
      <c r="S211" s="95" t="str">
        <f>IF(OR(P211="$",N211=1),+T211,"")</f>
        <v/>
      </c>
      <c r="T211" s="96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4"/>
        <v>201</v>
      </c>
      <c r="B212" s="47"/>
      <c r="C212" s="15" t="s">
        <v>689</v>
      </c>
      <c r="D212" s="15" t="s">
        <v>690</v>
      </c>
      <c r="E212" s="10" t="s">
        <v>691</v>
      </c>
      <c r="F212" s="110"/>
      <c r="G212" s="15"/>
      <c r="H212" s="49"/>
      <c r="I212" s="47"/>
      <c r="J212" s="47"/>
      <c r="K212" s="47"/>
      <c r="L212" s="47"/>
      <c r="M212" s="47"/>
      <c r="N212" s="47"/>
      <c r="O212" s="94">
        <f>T212*N212</f>
        <v>0</v>
      </c>
      <c r="P212" s="47" t="s">
        <v>765</v>
      </c>
      <c r="Q212" s="47"/>
      <c r="R212" s="95">
        <f>IF(OR(P212="c",P212="C"),+T212,"")</f>
        <v>0</v>
      </c>
      <c r="S212" s="95" t="str">
        <f>IF(OR(P212="$",N212=1),+T212,"")</f>
        <v/>
      </c>
      <c r="T212" s="96">
        <f>H212*[1]!FMainPool1Fee+I212*[1]!FMainPool2Fee+J212*[1]!FMainPool3Fee+K212*[1]!FMainPool4Fee+B212*[1]!FMainEntryFee</f>
        <v>0</v>
      </c>
      <c r="U212" s="51"/>
    </row>
    <row r="213" spans="1:21" x14ac:dyDescent="0.25">
      <c r="A213" s="46">
        <f t="shared" si="4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ref="O212:O267" si="5">T213*N213</f>
        <v>0</v>
      </c>
      <c r="P213" s="50"/>
      <c r="Q213" s="50"/>
      <c r="R213" s="95" t="str">
        <f t="shared" ref="R212:R267" si="6">IF(OR(P213="c",P213="C"),+T213,"")</f>
        <v/>
      </c>
      <c r="S213" s="95" t="str">
        <f t="shared" ref="S212:S267" si="7">IF(OR(P213="$",N213=1),+T213,"")</f>
        <v/>
      </c>
      <c r="T213" s="96">
        <f t="shared" ref="T212:T267" si="8">B213*FRegMainSetUpEntryFee + H213*FRegMainSetUpPool1Fee + I213*FRegMainSetUpPool2Fee + J213*FRegMainSetUpPool3Fee + K213*FRegMainSetUpPool4Fee</f>
        <v>0</v>
      </c>
      <c r="U213" s="51"/>
    </row>
    <row r="214" spans="1:21" x14ac:dyDescent="0.25">
      <c r="A214" s="46">
        <f t="shared" si="4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5"/>
        <v>0</v>
      </c>
      <c r="P214" s="50"/>
      <c r="Q214" s="50"/>
      <c r="R214" s="95" t="str">
        <f t="shared" si="6"/>
        <v/>
      </c>
      <c r="S214" s="95" t="str">
        <f t="shared" si="7"/>
        <v/>
      </c>
      <c r="T214" s="96">
        <f t="shared" si="8"/>
        <v>0</v>
      </c>
      <c r="U214" s="51"/>
    </row>
    <row r="215" spans="1:21" x14ac:dyDescent="0.25">
      <c r="A215" s="46">
        <f t="shared" si="4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5"/>
        <v>0</v>
      </c>
      <c r="P215" s="50"/>
      <c r="Q215" s="50"/>
      <c r="R215" s="95" t="str">
        <f t="shared" si="6"/>
        <v/>
      </c>
      <c r="S215" s="95" t="str">
        <f t="shared" si="7"/>
        <v/>
      </c>
      <c r="T215" s="96">
        <f t="shared" si="8"/>
        <v>0</v>
      </c>
      <c r="U215" s="51"/>
    </row>
    <row r="216" spans="1:21" x14ac:dyDescent="0.25">
      <c r="A216" s="46">
        <f t="shared" si="4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5"/>
        <v>0</v>
      </c>
      <c r="P216" s="50"/>
      <c r="Q216" s="50"/>
      <c r="R216" s="95" t="str">
        <f t="shared" si="6"/>
        <v/>
      </c>
      <c r="S216" s="95" t="str">
        <f t="shared" si="7"/>
        <v/>
      </c>
      <c r="T216" s="96">
        <f t="shared" si="8"/>
        <v>0</v>
      </c>
      <c r="U216" s="51"/>
    </row>
    <row r="217" spans="1:21" x14ac:dyDescent="0.25">
      <c r="A217" s="46">
        <f t="shared" si="4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5"/>
        <v>0</v>
      </c>
      <c r="P217" s="50"/>
      <c r="Q217" s="50"/>
      <c r="R217" s="95" t="str">
        <f t="shared" si="6"/>
        <v/>
      </c>
      <c r="S217" s="95" t="str">
        <f t="shared" si="7"/>
        <v/>
      </c>
      <c r="T217" s="96">
        <f t="shared" si="8"/>
        <v>0</v>
      </c>
      <c r="U217" s="51"/>
    </row>
    <row r="218" spans="1:21" x14ac:dyDescent="0.25">
      <c r="A218" s="46">
        <f t="shared" si="4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5"/>
        <v>0</v>
      </c>
      <c r="P218" s="50"/>
      <c r="Q218" s="50"/>
      <c r="R218" s="95" t="str">
        <f t="shared" si="6"/>
        <v/>
      </c>
      <c r="S218" s="95" t="str">
        <f t="shared" si="7"/>
        <v/>
      </c>
      <c r="T218" s="96">
        <f t="shared" si="8"/>
        <v>0</v>
      </c>
      <c r="U218" s="51"/>
    </row>
    <row r="219" spans="1:21" x14ac:dyDescent="0.25">
      <c r="A219" s="46">
        <f t="shared" si="4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5"/>
        <v>0</v>
      </c>
      <c r="P219" s="50"/>
      <c r="Q219" s="50"/>
      <c r="R219" s="95" t="str">
        <f t="shared" si="6"/>
        <v/>
      </c>
      <c r="S219" s="95" t="str">
        <f t="shared" si="7"/>
        <v/>
      </c>
      <c r="T219" s="96">
        <f t="shared" si="8"/>
        <v>0</v>
      </c>
      <c r="U219" s="51"/>
    </row>
    <row r="220" spans="1:21" x14ac:dyDescent="0.25">
      <c r="A220" s="46">
        <f t="shared" si="4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5"/>
        <v>0</v>
      </c>
      <c r="P220" s="50"/>
      <c r="Q220" s="50"/>
      <c r="R220" s="95" t="str">
        <f t="shared" si="6"/>
        <v/>
      </c>
      <c r="S220" s="95" t="str">
        <f t="shared" si="7"/>
        <v/>
      </c>
      <c r="T220" s="96">
        <f t="shared" si="8"/>
        <v>0</v>
      </c>
      <c r="U220" s="51"/>
    </row>
    <row r="221" spans="1:21" x14ac:dyDescent="0.25">
      <c r="A221" s="46">
        <f t="shared" si="4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5"/>
        <v>0</v>
      </c>
      <c r="P221" s="50"/>
      <c r="Q221" s="50"/>
      <c r="R221" s="95" t="str">
        <f t="shared" si="6"/>
        <v/>
      </c>
      <c r="S221" s="95" t="str">
        <f t="shared" si="7"/>
        <v/>
      </c>
      <c r="T221" s="96">
        <f t="shared" si="8"/>
        <v>0</v>
      </c>
      <c r="U221" s="51"/>
    </row>
    <row r="222" spans="1:21" x14ac:dyDescent="0.25">
      <c r="A222" s="46">
        <f t="shared" si="4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5"/>
        <v>0</v>
      </c>
      <c r="P222" s="50"/>
      <c r="Q222" s="50"/>
      <c r="R222" s="95" t="str">
        <f t="shared" si="6"/>
        <v/>
      </c>
      <c r="S222" s="95" t="str">
        <f t="shared" si="7"/>
        <v/>
      </c>
      <c r="T222" s="96">
        <f t="shared" si="8"/>
        <v>0</v>
      </c>
      <c r="U222" s="51"/>
    </row>
    <row r="223" spans="1:21" x14ac:dyDescent="0.25">
      <c r="A223" s="46">
        <f t="shared" si="4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5"/>
        <v>0</v>
      </c>
      <c r="P223" s="50"/>
      <c r="Q223" s="50"/>
      <c r="R223" s="95" t="str">
        <f t="shared" si="6"/>
        <v/>
      </c>
      <c r="S223" s="95" t="str">
        <f t="shared" si="7"/>
        <v/>
      </c>
      <c r="T223" s="96">
        <f t="shared" si="8"/>
        <v>0</v>
      </c>
      <c r="U223" s="51"/>
    </row>
    <row r="224" spans="1:21" x14ac:dyDescent="0.25">
      <c r="A224" s="46">
        <f t="shared" si="4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5"/>
        <v>0</v>
      </c>
      <c r="P224" s="50"/>
      <c r="Q224" s="50"/>
      <c r="R224" s="95" t="str">
        <f t="shared" si="6"/>
        <v/>
      </c>
      <c r="S224" s="95" t="str">
        <f t="shared" si="7"/>
        <v/>
      </c>
      <c r="T224" s="96">
        <f t="shared" si="8"/>
        <v>0</v>
      </c>
      <c r="U224" s="51"/>
    </row>
    <row r="225" spans="1:21" x14ac:dyDescent="0.25">
      <c r="A225" s="46">
        <f t="shared" si="4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5"/>
        <v>0</v>
      </c>
      <c r="P225" s="50"/>
      <c r="Q225" s="50"/>
      <c r="R225" s="95" t="str">
        <f t="shared" si="6"/>
        <v/>
      </c>
      <c r="S225" s="95" t="str">
        <f t="shared" si="7"/>
        <v/>
      </c>
      <c r="T225" s="96">
        <f t="shared" si="8"/>
        <v>0</v>
      </c>
      <c r="U225" s="51"/>
    </row>
    <row r="226" spans="1:21" x14ac:dyDescent="0.25">
      <c r="A226" s="46">
        <f t="shared" si="4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5"/>
        <v>0</v>
      </c>
      <c r="P226" s="50"/>
      <c r="Q226" s="50"/>
      <c r="R226" s="95" t="str">
        <f t="shared" si="6"/>
        <v/>
      </c>
      <c r="S226" s="95" t="str">
        <f t="shared" si="7"/>
        <v/>
      </c>
      <c r="T226" s="96">
        <f t="shared" si="8"/>
        <v>0</v>
      </c>
      <c r="U226" s="51"/>
    </row>
    <row r="227" spans="1:21" x14ac:dyDescent="0.25">
      <c r="A227" s="46">
        <f t="shared" si="4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5"/>
        <v>0</v>
      </c>
      <c r="P227" s="50"/>
      <c r="Q227" s="50"/>
      <c r="R227" s="95" t="str">
        <f t="shared" si="6"/>
        <v/>
      </c>
      <c r="S227" s="95" t="str">
        <f t="shared" si="7"/>
        <v/>
      </c>
      <c r="T227" s="96">
        <f t="shared" si="8"/>
        <v>0</v>
      </c>
      <c r="U227" s="51"/>
    </row>
    <row r="228" spans="1:21" x14ac:dyDescent="0.25">
      <c r="A228" s="46">
        <f t="shared" si="4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5"/>
        <v>0</v>
      </c>
      <c r="P228" s="50"/>
      <c r="Q228" s="50"/>
      <c r="R228" s="95" t="str">
        <f t="shared" si="6"/>
        <v/>
      </c>
      <c r="S228" s="95" t="str">
        <f t="shared" si="7"/>
        <v/>
      </c>
      <c r="T228" s="96">
        <f t="shared" si="8"/>
        <v>0</v>
      </c>
      <c r="U228" s="51"/>
    </row>
    <row r="229" spans="1:21" x14ac:dyDescent="0.25">
      <c r="A229" s="46">
        <f t="shared" si="4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5"/>
        <v>0</v>
      </c>
      <c r="P229" s="50"/>
      <c r="Q229" s="50"/>
      <c r="R229" s="95" t="str">
        <f t="shared" si="6"/>
        <v/>
      </c>
      <c r="S229" s="95" t="str">
        <f t="shared" si="7"/>
        <v/>
      </c>
      <c r="T229" s="96">
        <f t="shared" si="8"/>
        <v>0</v>
      </c>
      <c r="U229" s="51"/>
    </row>
    <row r="230" spans="1:21" x14ac:dyDescent="0.25">
      <c r="A230" s="46">
        <f t="shared" si="4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5"/>
        <v>0</v>
      </c>
      <c r="P230" s="50"/>
      <c r="Q230" s="50"/>
      <c r="R230" s="95" t="str">
        <f t="shared" si="6"/>
        <v/>
      </c>
      <c r="S230" s="95" t="str">
        <f t="shared" si="7"/>
        <v/>
      </c>
      <c r="T230" s="96">
        <f t="shared" si="8"/>
        <v>0</v>
      </c>
      <c r="U230" s="51"/>
    </row>
    <row r="231" spans="1:21" x14ac:dyDescent="0.25">
      <c r="A231" s="46">
        <f t="shared" si="4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5"/>
        <v>0</v>
      </c>
      <c r="P231" s="50"/>
      <c r="Q231" s="50"/>
      <c r="R231" s="95" t="str">
        <f t="shared" si="6"/>
        <v/>
      </c>
      <c r="S231" s="95" t="str">
        <f t="shared" si="7"/>
        <v/>
      </c>
      <c r="T231" s="96">
        <f t="shared" si="8"/>
        <v>0</v>
      </c>
      <c r="U231" s="51"/>
    </row>
    <row r="232" spans="1:21" x14ac:dyDescent="0.25">
      <c r="A232" s="46">
        <f t="shared" si="4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5"/>
        <v>0</v>
      </c>
      <c r="P232" s="50"/>
      <c r="Q232" s="50"/>
      <c r="R232" s="95" t="str">
        <f t="shared" si="6"/>
        <v/>
      </c>
      <c r="S232" s="95" t="str">
        <f t="shared" si="7"/>
        <v/>
      </c>
      <c r="T232" s="96">
        <f t="shared" si="8"/>
        <v>0</v>
      </c>
      <c r="U232" s="51"/>
    </row>
    <row r="233" spans="1:21" x14ac:dyDescent="0.25">
      <c r="A233" s="46">
        <f t="shared" si="4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5"/>
        <v>0</v>
      </c>
      <c r="P233" s="50"/>
      <c r="Q233" s="50"/>
      <c r="R233" s="95" t="str">
        <f t="shared" si="6"/>
        <v/>
      </c>
      <c r="S233" s="95" t="str">
        <f t="shared" si="7"/>
        <v/>
      </c>
      <c r="T233" s="96">
        <f t="shared" si="8"/>
        <v>0</v>
      </c>
      <c r="U233" s="51"/>
    </row>
    <row r="234" spans="1:21" x14ac:dyDescent="0.25">
      <c r="A234" s="46">
        <f t="shared" si="4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5"/>
        <v>0</v>
      </c>
      <c r="P234" s="50"/>
      <c r="Q234" s="50"/>
      <c r="R234" s="95" t="str">
        <f t="shared" si="6"/>
        <v/>
      </c>
      <c r="S234" s="95" t="str">
        <f t="shared" si="7"/>
        <v/>
      </c>
      <c r="T234" s="96">
        <f t="shared" si="8"/>
        <v>0</v>
      </c>
      <c r="U234" s="51"/>
    </row>
    <row r="235" spans="1:21" x14ac:dyDescent="0.25">
      <c r="A235" s="46">
        <f t="shared" si="4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5"/>
        <v>0</v>
      </c>
      <c r="P235" s="50"/>
      <c r="Q235" s="50"/>
      <c r="R235" s="95" t="str">
        <f t="shared" si="6"/>
        <v/>
      </c>
      <c r="S235" s="95" t="str">
        <f t="shared" si="7"/>
        <v/>
      </c>
      <c r="T235" s="96">
        <f t="shared" si="8"/>
        <v>0</v>
      </c>
      <c r="U235" s="51"/>
    </row>
    <row r="236" spans="1:21" x14ac:dyDescent="0.25">
      <c r="A236" s="46">
        <f t="shared" si="4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5"/>
        <v>0</v>
      </c>
      <c r="P236" s="50"/>
      <c r="Q236" s="50"/>
      <c r="R236" s="95" t="str">
        <f t="shared" si="6"/>
        <v/>
      </c>
      <c r="S236" s="95" t="str">
        <f t="shared" si="7"/>
        <v/>
      </c>
      <c r="T236" s="96">
        <f t="shared" si="8"/>
        <v>0</v>
      </c>
      <c r="U236" s="51"/>
    </row>
    <row r="237" spans="1:21" x14ac:dyDescent="0.25">
      <c r="A237" s="46">
        <f t="shared" si="4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5"/>
        <v>0</v>
      </c>
      <c r="P237" s="50"/>
      <c r="Q237" s="50"/>
      <c r="R237" s="95" t="str">
        <f t="shared" si="6"/>
        <v/>
      </c>
      <c r="S237" s="95" t="str">
        <f t="shared" si="7"/>
        <v/>
      </c>
      <c r="T237" s="96">
        <f t="shared" si="8"/>
        <v>0</v>
      </c>
      <c r="U237" s="51"/>
    </row>
    <row r="238" spans="1:21" x14ac:dyDescent="0.25">
      <c r="A238" s="46">
        <f t="shared" si="4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5"/>
        <v>0</v>
      </c>
      <c r="P238" s="50"/>
      <c r="Q238" s="50"/>
      <c r="R238" s="95" t="str">
        <f t="shared" si="6"/>
        <v/>
      </c>
      <c r="S238" s="95" t="str">
        <f t="shared" si="7"/>
        <v/>
      </c>
      <c r="T238" s="96">
        <f t="shared" si="8"/>
        <v>0</v>
      </c>
      <c r="U238" s="51"/>
    </row>
    <row r="239" spans="1:21" x14ac:dyDescent="0.25">
      <c r="A239" s="46">
        <f t="shared" si="4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5"/>
        <v>0</v>
      </c>
      <c r="P239" s="50"/>
      <c r="Q239" s="50"/>
      <c r="R239" s="95" t="str">
        <f t="shared" si="6"/>
        <v/>
      </c>
      <c r="S239" s="95" t="str">
        <f t="shared" si="7"/>
        <v/>
      </c>
      <c r="T239" s="96">
        <f t="shared" si="8"/>
        <v>0</v>
      </c>
      <c r="U239" s="51"/>
    </row>
    <row r="240" spans="1:21" x14ac:dyDescent="0.25">
      <c r="A240" s="46">
        <f t="shared" si="4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5"/>
        <v>0</v>
      </c>
      <c r="P240" s="50"/>
      <c r="Q240" s="50"/>
      <c r="R240" s="95" t="str">
        <f t="shared" si="6"/>
        <v/>
      </c>
      <c r="S240" s="95" t="str">
        <f t="shared" si="7"/>
        <v/>
      </c>
      <c r="T240" s="96">
        <f t="shared" si="8"/>
        <v>0</v>
      </c>
      <c r="U240" s="51"/>
    </row>
    <row r="241" spans="1:21" x14ac:dyDescent="0.25">
      <c r="A241" s="46">
        <f t="shared" si="4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5"/>
        <v>0</v>
      </c>
      <c r="P241" s="50"/>
      <c r="Q241" s="50"/>
      <c r="R241" s="95" t="str">
        <f t="shared" si="6"/>
        <v/>
      </c>
      <c r="S241" s="95" t="str">
        <f t="shared" si="7"/>
        <v/>
      </c>
      <c r="T241" s="96">
        <f t="shared" si="8"/>
        <v>0</v>
      </c>
      <c r="U241" s="51"/>
    </row>
    <row r="242" spans="1:21" x14ac:dyDescent="0.25">
      <c r="A242" s="46">
        <f t="shared" si="4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5"/>
        <v>0</v>
      </c>
      <c r="P242" s="50"/>
      <c r="Q242" s="50"/>
      <c r="R242" s="95" t="str">
        <f t="shared" si="6"/>
        <v/>
      </c>
      <c r="S242" s="95" t="str">
        <f t="shared" si="7"/>
        <v/>
      </c>
      <c r="T242" s="96">
        <f t="shared" si="8"/>
        <v>0</v>
      </c>
      <c r="U242" s="51"/>
    </row>
    <row r="243" spans="1:21" x14ac:dyDescent="0.25">
      <c r="A243" s="46">
        <f t="shared" si="4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5"/>
        <v>0</v>
      </c>
      <c r="P243" s="50"/>
      <c r="Q243" s="50"/>
      <c r="R243" s="95" t="str">
        <f t="shared" si="6"/>
        <v/>
      </c>
      <c r="S243" s="95" t="str">
        <f t="shared" si="7"/>
        <v/>
      </c>
      <c r="T243" s="96">
        <f t="shared" si="8"/>
        <v>0</v>
      </c>
      <c r="U243" s="51"/>
    </row>
    <row r="244" spans="1:21" x14ac:dyDescent="0.25">
      <c r="A244" s="46">
        <f t="shared" si="4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5"/>
        <v>0</v>
      </c>
      <c r="P244" s="50"/>
      <c r="Q244" s="50"/>
      <c r="R244" s="95" t="str">
        <f t="shared" si="6"/>
        <v/>
      </c>
      <c r="S244" s="95" t="str">
        <f t="shared" si="7"/>
        <v/>
      </c>
      <c r="T244" s="96">
        <f t="shared" si="8"/>
        <v>0</v>
      </c>
      <c r="U244" s="51"/>
    </row>
    <row r="245" spans="1:21" x14ac:dyDescent="0.25">
      <c r="A245" s="46">
        <f t="shared" si="4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5"/>
        <v>0</v>
      </c>
      <c r="P245" s="50"/>
      <c r="Q245" s="50"/>
      <c r="R245" s="95" t="str">
        <f t="shared" si="6"/>
        <v/>
      </c>
      <c r="S245" s="95" t="str">
        <f t="shared" si="7"/>
        <v/>
      </c>
      <c r="T245" s="96">
        <f t="shared" si="8"/>
        <v>0</v>
      </c>
      <c r="U245" s="51"/>
    </row>
    <row r="246" spans="1:21" x14ac:dyDescent="0.25">
      <c r="A246" s="46">
        <f t="shared" si="4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5"/>
        <v>0</v>
      </c>
      <c r="P246" s="50"/>
      <c r="Q246" s="50"/>
      <c r="R246" s="95" t="str">
        <f t="shared" si="6"/>
        <v/>
      </c>
      <c r="S246" s="95" t="str">
        <f t="shared" si="7"/>
        <v/>
      </c>
      <c r="T246" s="96">
        <f t="shared" si="8"/>
        <v>0</v>
      </c>
      <c r="U246" s="51"/>
    </row>
    <row r="247" spans="1:21" x14ac:dyDescent="0.25">
      <c r="A247" s="46">
        <f t="shared" si="4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5"/>
        <v>0</v>
      </c>
      <c r="P247" s="50"/>
      <c r="Q247" s="50"/>
      <c r="R247" s="95" t="str">
        <f t="shared" si="6"/>
        <v/>
      </c>
      <c r="S247" s="95" t="str">
        <f t="shared" si="7"/>
        <v/>
      </c>
      <c r="T247" s="96">
        <f t="shared" si="8"/>
        <v>0</v>
      </c>
      <c r="U247" s="51"/>
    </row>
    <row r="248" spans="1:21" x14ac:dyDescent="0.25">
      <c r="A248" s="46">
        <f t="shared" si="4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5"/>
        <v>0</v>
      </c>
      <c r="P248" s="50"/>
      <c r="Q248" s="50"/>
      <c r="R248" s="95" t="str">
        <f t="shared" si="6"/>
        <v/>
      </c>
      <c r="S248" s="95" t="str">
        <f t="shared" si="7"/>
        <v/>
      </c>
      <c r="T248" s="96">
        <f t="shared" si="8"/>
        <v>0</v>
      </c>
      <c r="U248" s="51"/>
    </row>
    <row r="249" spans="1:21" x14ac:dyDescent="0.25">
      <c r="A249" s="46">
        <f t="shared" si="4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5"/>
        <v>0</v>
      </c>
      <c r="P249" s="50"/>
      <c r="Q249" s="50"/>
      <c r="R249" s="95" t="str">
        <f t="shared" si="6"/>
        <v/>
      </c>
      <c r="S249" s="95" t="str">
        <f t="shared" si="7"/>
        <v/>
      </c>
      <c r="T249" s="96">
        <f t="shared" si="8"/>
        <v>0</v>
      </c>
      <c r="U249" s="51"/>
    </row>
    <row r="250" spans="1:21" x14ac:dyDescent="0.25">
      <c r="A250" s="46">
        <f t="shared" si="4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5"/>
        <v>0</v>
      </c>
      <c r="P250" s="50"/>
      <c r="Q250" s="50"/>
      <c r="R250" s="95" t="str">
        <f t="shared" si="6"/>
        <v/>
      </c>
      <c r="S250" s="95" t="str">
        <f t="shared" si="7"/>
        <v/>
      </c>
      <c r="T250" s="96">
        <f t="shared" si="8"/>
        <v>0</v>
      </c>
      <c r="U250" s="51"/>
    </row>
    <row r="251" spans="1:21" x14ac:dyDescent="0.25">
      <c r="A251" s="46">
        <f t="shared" si="4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5"/>
        <v>0</v>
      </c>
      <c r="P251" s="50"/>
      <c r="Q251" s="50"/>
      <c r="R251" s="95" t="str">
        <f t="shared" si="6"/>
        <v/>
      </c>
      <c r="S251" s="95" t="str">
        <f t="shared" si="7"/>
        <v/>
      </c>
      <c r="T251" s="96">
        <f t="shared" si="8"/>
        <v>0</v>
      </c>
      <c r="U251" s="51"/>
    </row>
    <row r="252" spans="1:21" x14ac:dyDescent="0.25">
      <c r="A252" s="46">
        <f t="shared" si="4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5"/>
        <v>0</v>
      </c>
      <c r="P252" s="50"/>
      <c r="Q252" s="50"/>
      <c r="R252" s="95" t="str">
        <f t="shared" si="6"/>
        <v/>
      </c>
      <c r="S252" s="95" t="str">
        <f t="shared" si="7"/>
        <v/>
      </c>
      <c r="T252" s="96">
        <f t="shared" si="8"/>
        <v>0</v>
      </c>
      <c r="U252" s="51"/>
    </row>
    <row r="253" spans="1:21" x14ac:dyDescent="0.25">
      <c r="A253" s="46">
        <f t="shared" si="4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5"/>
        <v>0</v>
      </c>
      <c r="P253" s="50"/>
      <c r="Q253" s="50"/>
      <c r="R253" s="95" t="str">
        <f t="shared" si="6"/>
        <v/>
      </c>
      <c r="S253" s="95" t="str">
        <f t="shared" si="7"/>
        <v/>
      </c>
      <c r="T253" s="96">
        <f t="shared" si="8"/>
        <v>0</v>
      </c>
      <c r="U253" s="51"/>
    </row>
    <row r="254" spans="1:21" x14ac:dyDescent="0.25">
      <c r="A254" s="46">
        <f t="shared" si="4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5"/>
        <v>0</v>
      </c>
      <c r="P254" s="50"/>
      <c r="Q254" s="50"/>
      <c r="R254" s="95" t="str">
        <f t="shared" si="6"/>
        <v/>
      </c>
      <c r="S254" s="95" t="str">
        <f t="shared" si="7"/>
        <v/>
      </c>
      <c r="T254" s="96">
        <f t="shared" si="8"/>
        <v>0</v>
      </c>
      <c r="U254" s="51"/>
    </row>
    <row r="255" spans="1:21" x14ac:dyDescent="0.25">
      <c r="A255" s="46">
        <f t="shared" si="4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5"/>
        <v>0</v>
      </c>
      <c r="P255" s="50"/>
      <c r="Q255" s="50"/>
      <c r="R255" s="95" t="str">
        <f t="shared" si="6"/>
        <v/>
      </c>
      <c r="S255" s="95" t="str">
        <f t="shared" si="7"/>
        <v/>
      </c>
      <c r="T255" s="96">
        <f t="shared" si="8"/>
        <v>0</v>
      </c>
      <c r="U255" s="51"/>
    </row>
    <row r="256" spans="1:21" x14ac:dyDescent="0.25">
      <c r="A256" s="46">
        <f t="shared" si="4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5"/>
        <v>0</v>
      </c>
      <c r="P256" s="50"/>
      <c r="Q256" s="50"/>
      <c r="R256" s="95" t="str">
        <f t="shared" si="6"/>
        <v/>
      </c>
      <c r="S256" s="95" t="str">
        <f t="shared" si="7"/>
        <v/>
      </c>
      <c r="T256" s="96">
        <f t="shared" si="8"/>
        <v>0</v>
      </c>
      <c r="U256" s="51"/>
    </row>
    <row r="257" spans="1:21" x14ac:dyDescent="0.25">
      <c r="A257" s="46">
        <f t="shared" si="4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5"/>
        <v>0</v>
      </c>
      <c r="P257" s="50"/>
      <c r="Q257" s="50"/>
      <c r="R257" s="95" t="str">
        <f t="shared" si="6"/>
        <v/>
      </c>
      <c r="S257" s="95" t="str">
        <f t="shared" si="7"/>
        <v/>
      </c>
      <c r="T257" s="96">
        <f t="shared" si="8"/>
        <v>0</v>
      </c>
      <c r="U257" s="51"/>
    </row>
    <row r="258" spans="1:21" x14ac:dyDescent="0.25">
      <c r="A258" s="46">
        <f t="shared" si="4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5"/>
        <v>0</v>
      </c>
      <c r="P258" s="50"/>
      <c r="Q258" s="50"/>
      <c r="R258" s="95" t="str">
        <f t="shared" si="6"/>
        <v/>
      </c>
      <c r="S258" s="95" t="str">
        <f t="shared" si="7"/>
        <v/>
      </c>
      <c r="T258" s="96">
        <f t="shared" si="8"/>
        <v>0</v>
      </c>
      <c r="U258" s="51"/>
    </row>
    <row r="259" spans="1:21" x14ac:dyDescent="0.25">
      <c r="A259" s="46">
        <f t="shared" si="4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5"/>
        <v>0</v>
      </c>
      <c r="P259" s="50"/>
      <c r="Q259" s="50"/>
      <c r="R259" s="95" t="str">
        <f t="shared" si="6"/>
        <v/>
      </c>
      <c r="S259" s="95" t="str">
        <f t="shared" si="7"/>
        <v/>
      </c>
      <c r="T259" s="96">
        <f t="shared" si="8"/>
        <v>0</v>
      </c>
      <c r="U259" s="51"/>
    </row>
    <row r="260" spans="1:21" x14ac:dyDescent="0.25">
      <c r="A260" s="46">
        <f t="shared" si="4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5"/>
        <v>0</v>
      </c>
      <c r="P260" s="50"/>
      <c r="Q260" s="50"/>
      <c r="R260" s="95" t="str">
        <f t="shared" si="6"/>
        <v/>
      </c>
      <c r="S260" s="95" t="str">
        <f t="shared" si="7"/>
        <v/>
      </c>
      <c r="T260" s="96">
        <f t="shared" si="8"/>
        <v>0</v>
      </c>
      <c r="U260" s="51"/>
    </row>
    <row r="261" spans="1:21" x14ac:dyDescent="0.25">
      <c r="A261" s="46">
        <f t="shared" si="4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5"/>
        <v>0</v>
      </c>
      <c r="P261" s="50"/>
      <c r="Q261" s="50"/>
      <c r="R261" s="95" t="str">
        <f t="shared" si="6"/>
        <v/>
      </c>
      <c r="S261" s="95" t="str">
        <f t="shared" si="7"/>
        <v/>
      </c>
      <c r="T261" s="96">
        <f t="shared" si="8"/>
        <v>0</v>
      </c>
      <c r="U261" s="51"/>
    </row>
    <row r="262" spans="1:21" x14ac:dyDescent="0.25">
      <c r="A262" s="46">
        <f t="shared" si="4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5"/>
        <v>0</v>
      </c>
      <c r="P262" s="50"/>
      <c r="Q262" s="50"/>
      <c r="R262" s="95" t="str">
        <f t="shared" si="6"/>
        <v/>
      </c>
      <c r="S262" s="95" t="str">
        <f t="shared" si="7"/>
        <v/>
      </c>
      <c r="T262" s="96">
        <f t="shared" si="8"/>
        <v>0</v>
      </c>
      <c r="U262" s="51"/>
    </row>
    <row r="263" spans="1:21" x14ac:dyDescent="0.25">
      <c r="A263" s="46">
        <f t="shared" si="4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5"/>
        <v>0</v>
      </c>
      <c r="P263" s="50"/>
      <c r="Q263" s="50"/>
      <c r="R263" s="95" t="str">
        <f t="shared" si="6"/>
        <v/>
      </c>
      <c r="S263" s="95" t="str">
        <f t="shared" si="7"/>
        <v/>
      </c>
      <c r="T263" s="96">
        <f t="shared" si="8"/>
        <v>0</v>
      </c>
      <c r="U263" s="51"/>
    </row>
    <row r="264" spans="1:21" x14ac:dyDescent="0.25">
      <c r="A264" s="46">
        <f t="shared" si="4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5"/>
        <v>0</v>
      </c>
      <c r="P264" s="50"/>
      <c r="Q264" s="50"/>
      <c r="R264" s="95" t="str">
        <f t="shared" si="6"/>
        <v/>
      </c>
      <c r="S264" s="95" t="str">
        <f t="shared" si="7"/>
        <v/>
      </c>
      <c r="T264" s="96">
        <f t="shared" si="8"/>
        <v>0</v>
      </c>
      <c r="U264" s="51"/>
    </row>
    <row r="265" spans="1:21" x14ac:dyDescent="0.25">
      <c r="A265" s="46">
        <f t="shared" si="4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5"/>
        <v>0</v>
      </c>
      <c r="P265" s="50"/>
      <c r="Q265" s="50"/>
      <c r="R265" s="95" t="str">
        <f t="shared" si="6"/>
        <v/>
      </c>
      <c r="S265" s="95" t="str">
        <f t="shared" si="7"/>
        <v/>
      </c>
      <c r="T265" s="96">
        <f t="shared" si="8"/>
        <v>0</v>
      </c>
      <c r="U265" s="51"/>
    </row>
    <row r="266" spans="1:21" x14ac:dyDescent="0.25">
      <c r="A266" s="46">
        <f t="shared" si="4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5"/>
        <v>0</v>
      </c>
      <c r="P266" s="50"/>
      <c r="Q266" s="50"/>
      <c r="R266" s="95" t="str">
        <f t="shared" si="6"/>
        <v/>
      </c>
      <c r="S266" s="95" t="str">
        <f t="shared" si="7"/>
        <v/>
      </c>
      <c r="T266" s="96">
        <f t="shared" si="8"/>
        <v>0</v>
      </c>
      <c r="U266" s="51"/>
    </row>
    <row r="267" spans="1:21" x14ac:dyDescent="0.25">
      <c r="A267" s="46">
        <f t="shared" si="4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5"/>
        <v>0</v>
      </c>
      <c r="P267" s="50"/>
      <c r="Q267" s="50"/>
      <c r="R267" s="95" t="str">
        <f t="shared" si="6"/>
        <v/>
      </c>
      <c r="S267" s="95" t="str">
        <f t="shared" si="7"/>
        <v/>
      </c>
      <c r="T267" s="96">
        <f t="shared" si="8"/>
        <v>0</v>
      </c>
      <c r="U267" s="51"/>
    </row>
    <row r="268" spans="1:21" x14ac:dyDescent="0.25">
      <c r="A268" s="46">
        <f t="shared" ref="A268:A331" si="9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0">T268*N268</f>
        <v>0</v>
      </c>
      <c r="P268" s="50"/>
      <c r="Q268" s="50"/>
      <c r="R268" s="95" t="str">
        <f t="shared" ref="R268:R331" si="11">IF(OR(P268="c",P268="C"),+T268,"")</f>
        <v/>
      </c>
      <c r="S268" s="95" t="str">
        <f t="shared" ref="S268:S331" si="12">IF(OR(P268="$",N268=1),+T268,"")</f>
        <v/>
      </c>
      <c r="T268" s="96">
        <f t="shared" ref="T268:T331" si="13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9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0"/>
        <v>0</v>
      </c>
      <c r="P269" s="50"/>
      <c r="Q269" s="50"/>
      <c r="R269" s="95" t="str">
        <f t="shared" si="11"/>
        <v/>
      </c>
      <c r="S269" s="95" t="str">
        <f t="shared" si="12"/>
        <v/>
      </c>
      <c r="T269" s="96">
        <f t="shared" si="13"/>
        <v>0</v>
      </c>
      <c r="U269" s="51"/>
    </row>
    <row r="270" spans="1:21" x14ac:dyDescent="0.25">
      <c r="A270" s="46">
        <f t="shared" si="9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0"/>
        <v>0</v>
      </c>
      <c r="P270" s="50"/>
      <c r="Q270" s="50"/>
      <c r="R270" s="95" t="str">
        <f t="shared" si="11"/>
        <v/>
      </c>
      <c r="S270" s="95" t="str">
        <f t="shared" si="12"/>
        <v/>
      </c>
      <c r="T270" s="96">
        <f t="shared" si="13"/>
        <v>0</v>
      </c>
      <c r="U270" s="51"/>
    </row>
    <row r="271" spans="1:21" x14ac:dyDescent="0.25">
      <c r="A271" s="46">
        <f t="shared" si="9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0"/>
        <v>0</v>
      </c>
      <c r="P271" s="50"/>
      <c r="Q271" s="50"/>
      <c r="R271" s="95" t="str">
        <f t="shared" si="11"/>
        <v/>
      </c>
      <c r="S271" s="95" t="str">
        <f t="shared" si="12"/>
        <v/>
      </c>
      <c r="T271" s="96">
        <f t="shared" si="13"/>
        <v>0</v>
      </c>
      <c r="U271" s="51"/>
    </row>
    <row r="272" spans="1:21" x14ac:dyDescent="0.25">
      <c r="A272" s="46">
        <f t="shared" si="9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0"/>
        <v>0</v>
      </c>
      <c r="P272" s="50"/>
      <c r="Q272" s="50"/>
      <c r="R272" s="95" t="str">
        <f t="shared" si="11"/>
        <v/>
      </c>
      <c r="S272" s="95" t="str">
        <f t="shared" si="12"/>
        <v/>
      </c>
      <c r="T272" s="96">
        <f t="shared" si="13"/>
        <v>0</v>
      </c>
      <c r="U272" s="51"/>
    </row>
    <row r="273" spans="1:21" x14ac:dyDescent="0.25">
      <c r="A273" s="46">
        <f t="shared" si="9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0"/>
        <v>0</v>
      </c>
      <c r="P273" s="50"/>
      <c r="Q273" s="50"/>
      <c r="R273" s="95" t="str">
        <f t="shared" si="11"/>
        <v/>
      </c>
      <c r="S273" s="95" t="str">
        <f t="shared" si="12"/>
        <v/>
      </c>
      <c r="T273" s="96">
        <f t="shared" si="13"/>
        <v>0</v>
      </c>
      <c r="U273" s="51"/>
    </row>
    <row r="274" spans="1:21" x14ac:dyDescent="0.25">
      <c r="A274" s="46">
        <f t="shared" si="9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0"/>
        <v>0</v>
      </c>
      <c r="P274" s="50"/>
      <c r="Q274" s="50"/>
      <c r="R274" s="95" t="str">
        <f t="shared" si="11"/>
        <v/>
      </c>
      <c r="S274" s="95" t="str">
        <f t="shared" si="12"/>
        <v/>
      </c>
      <c r="T274" s="96">
        <f t="shared" si="13"/>
        <v>0</v>
      </c>
      <c r="U274" s="51"/>
    </row>
    <row r="275" spans="1:21" x14ac:dyDescent="0.25">
      <c r="A275" s="46">
        <f t="shared" si="9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0"/>
        <v>0</v>
      </c>
      <c r="P275" s="50"/>
      <c r="Q275" s="50"/>
      <c r="R275" s="95" t="str">
        <f t="shared" si="11"/>
        <v/>
      </c>
      <c r="S275" s="95" t="str">
        <f t="shared" si="12"/>
        <v/>
      </c>
      <c r="T275" s="96">
        <f t="shared" si="13"/>
        <v>0</v>
      </c>
      <c r="U275" s="51"/>
    </row>
    <row r="276" spans="1:21" x14ac:dyDescent="0.25">
      <c r="A276" s="46">
        <f t="shared" si="9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0"/>
        <v>0</v>
      </c>
      <c r="P276" s="50"/>
      <c r="Q276" s="50"/>
      <c r="R276" s="95" t="str">
        <f t="shared" si="11"/>
        <v/>
      </c>
      <c r="S276" s="95" t="str">
        <f t="shared" si="12"/>
        <v/>
      </c>
      <c r="T276" s="96">
        <f t="shared" si="13"/>
        <v>0</v>
      </c>
      <c r="U276" s="51"/>
    </row>
    <row r="277" spans="1:21" x14ac:dyDescent="0.25">
      <c r="A277" s="46">
        <f t="shared" si="9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0"/>
        <v>0</v>
      </c>
      <c r="P277" s="50"/>
      <c r="Q277" s="50"/>
      <c r="R277" s="95" t="str">
        <f t="shared" si="11"/>
        <v/>
      </c>
      <c r="S277" s="95" t="str">
        <f t="shared" si="12"/>
        <v/>
      </c>
      <c r="T277" s="96">
        <f t="shared" si="13"/>
        <v>0</v>
      </c>
      <c r="U277" s="51"/>
    </row>
    <row r="278" spans="1:21" x14ac:dyDescent="0.25">
      <c r="A278" s="46">
        <f t="shared" si="9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0"/>
        <v>0</v>
      </c>
      <c r="P278" s="50"/>
      <c r="Q278" s="50"/>
      <c r="R278" s="95" t="str">
        <f t="shared" si="11"/>
        <v/>
      </c>
      <c r="S278" s="95" t="str">
        <f t="shared" si="12"/>
        <v/>
      </c>
      <c r="T278" s="96">
        <f t="shared" si="13"/>
        <v>0</v>
      </c>
      <c r="U278" s="51"/>
    </row>
    <row r="279" spans="1:21" x14ac:dyDescent="0.25">
      <c r="A279" s="46">
        <f t="shared" si="9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0"/>
        <v>0</v>
      </c>
      <c r="P279" s="50"/>
      <c r="Q279" s="50"/>
      <c r="R279" s="95" t="str">
        <f t="shared" si="11"/>
        <v/>
      </c>
      <c r="S279" s="95" t="str">
        <f t="shared" si="12"/>
        <v/>
      </c>
      <c r="T279" s="96">
        <f t="shared" si="13"/>
        <v>0</v>
      </c>
      <c r="U279" s="51"/>
    </row>
    <row r="280" spans="1:21" x14ac:dyDescent="0.25">
      <c r="A280" s="46">
        <f t="shared" si="9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0"/>
        <v>0</v>
      </c>
      <c r="P280" s="50"/>
      <c r="Q280" s="50"/>
      <c r="R280" s="95" t="str">
        <f t="shared" si="11"/>
        <v/>
      </c>
      <c r="S280" s="95" t="str">
        <f t="shared" si="12"/>
        <v/>
      </c>
      <c r="T280" s="96">
        <f t="shared" si="13"/>
        <v>0</v>
      </c>
      <c r="U280" s="51"/>
    </row>
    <row r="281" spans="1:21" x14ac:dyDescent="0.25">
      <c r="A281" s="46">
        <f t="shared" si="9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0"/>
        <v>0</v>
      </c>
      <c r="P281" s="50"/>
      <c r="Q281" s="50"/>
      <c r="R281" s="95" t="str">
        <f t="shared" si="11"/>
        <v/>
      </c>
      <c r="S281" s="95" t="str">
        <f t="shared" si="12"/>
        <v/>
      </c>
      <c r="T281" s="96">
        <f t="shared" si="13"/>
        <v>0</v>
      </c>
      <c r="U281" s="51"/>
    </row>
    <row r="282" spans="1:21" x14ac:dyDescent="0.25">
      <c r="A282" s="46">
        <f t="shared" si="9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0"/>
        <v>0</v>
      </c>
      <c r="P282" s="50"/>
      <c r="Q282" s="50"/>
      <c r="R282" s="95" t="str">
        <f t="shared" si="11"/>
        <v/>
      </c>
      <c r="S282" s="95" t="str">
        <f t="shared" si="12"/>
        <v/>
      </c>
      <c r="T282" s="96">
        <f t="shared" si="13"/>
        <v>0</v>
      </c>
      <c r="U282" s="51"/>
    </row>
    <row r="283" spans="1:21" x14ac:dyDescent="0.25">
      <c r="A283" s="46">
        <f t="shared" si="9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0"/>
        <v>0</v>
      </c>
      <c r="P283" s="50"/>
      <c r="Q283" s="50"/>
      <c r="R283" s="95" t="str">
        <f t="shared" si="11"/>
        <v/>
      </c>
      <c r="S283" s="95" t="str">
        <f t="shared" si="12"/>
        <v/>
      </c>
      <c r="T283" s="96">
        <f t="shared" si="13"/>
        <v>0</v>
      </c>
      <c r="U283" s="51"/>
    </row>
    <row r="284" spans="1:21" x14ac:dyDescent="0.25">
      <c r="A284" s="46">
        <f t="shared" si="9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0"/>
        <v>0</v>
      </c>
      <c r="P284" s="50"/>
      <c r="Q284" s="50"/>
      <c r="R284" s="95" t="str">
        <f t="shared" si="11"/>
        <v/>
      </c>
      <c r="S284" s="95" t="str">
        <f t="shared" si="12"/>
        <v/>
      </c>
      <c r="T284" s="96">
        <f t="shared" si="13"/>
        <v>0</v>
      </c>
      <c r="U284" s="51"/>
    </row>
    <row r="285" spans="1:21" x14ac:dyDescent="0.25">
      <c r="A285" s="46">
        <f t="shared" si="9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0"/>
        <v>0</v>
      </c>
      <c r="P285" s="50"/>
      <c r="Q285" s="50"/>
      <c r="R285" s="95" t="str">
        <f t="shared" si="11"/>
        <v/>
      </c>
      <c r="S285" s="95" t="str">
        <f t="shared" si="12"/>
        <v/>
      </c>
      <c r="T285" s="96">
        <f t="shared" si="13"/>
        <v>0</v>
      </c>
      <c r="U285" s="51"/>
    </row>
    <row r="286" spans="1:21" x14ac:dyDescent="0.25">
      <c r="A286" s="46">
        <f t="shared" si="9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0"/>
        <v>0</v>
      </c>
      <c r="P286" s="50"/>
      <c r="Q286" s="50"/>
      <c r="R286" s="95" t="str">
        <f t="shared" si="11"/>
        <v/>
      </c>
      <c r="S286" s="95" t="str">
        <f t="shared" si="12"/>
        <v/>
      </c>
      <c r="T286" s="96">
        <f t="shared" si="13"/>
        <v>0</v>
      </c>
      <c r="U286" s="51"/>
    </row>
    <row r="287" spans="1:21" x14ac:dyDescent="0.25">
      <c r="A287" s="46">
        <f t="shared" si="9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0"/>
        <v>0</v>
      </c>
      <c r="P287" s="50"/>
      <c r="Q287" s="50"/>
      <c r="R287" s="95" t="str">
        <f t="shared" si="11"/>
        <v/>
      </c>
      <c r="S287" s="95" t="str">
        <f t="shared" si="12"/>
        <v/>
      </c>
      <c r="T287" s="96">
        <f t="shared" si="13"/>
        <v>0</v>
      </c>
      <c r="U287" s="51"/>
    </row>
    <row r="288" spans="1:21" x14ac:dyDescent="0.25">
      <c r="A288" s="46">
        <f t="shared" si="9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0"/>
        <v>0</v>
      </c>
      <c r="P288" s="50"/>
      <c r="Q288" s="50"/>
      <c r="R288" s="95" t="str">
        <f t="shared" si="11"/>
        <v/>
      </c>
      <c r="S288" s="95" t="str">
        <f t="shared" si="12"/>
        <v/>
      </c>
      <c r="T288" s="96">
        <f t="shared" si="13"/>
        <v>0</v>
      </c>
      <c r="U288" s="51"/>
    </row>
    <row r="289" spans="1:21" x14ac:dyDescent="0.25">
      <c r="A289" s="46">
        <f t="shared" si="9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0"/>
        <v>0</v>
      </c>
      <c r="P289" s="50"/>
      <c r="Q289" s="50"/>
      <c r="R289" s="95" t="str">
        <f t="shared" si="11"/>
        <v/>
      </c>
      <c r="S289" s="95" t="str">
        <f t="shared" si="12"/>
        <v/>
      </c>
      <c r="T289" s="96">
        <f t="shared" si="13"/>
        <v>0</v>
      </c>
      <c r="U289" s="51"/>
    </row>
    <row r="290" spans="1:21" x14ac:dyDescent="0.25">
      <c r="A290" s="46">
        <f t="shared" si="9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0"/>
        <v>0</v>
      </c>
      <c r="P290" s="50"/>
      <c r="Q290" s="50"/>
      <c r="R290" s="95" t="str">
        <f t="shared" si="11"/>
        <v/>
      </c>
      <c r="S290" s="95" t="str">
        <f t="shared" si="12"/>
        <v/>
      </c>
      <c r="T290" s="96">
        <f t="shared" si="13"/>
        <v>0</v>
      </c>
      <c r="U290" s="51"/>
    </row>
    <row r="291" spans="1:21" x14ac:dyDescent="0.25">
      <c r="A291" s="46">
        <f t="shared" si="9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0"/>
        <v>0</v>
      </c>
      <c r="P291" s="50"/>
      <c r="Q291" s="50"/>
      <c r="R291" s="95" t="str">
        <f t="shared" si="11"/>
        <v/>
      </c>
      <c r="S291" s="95" t="str">
        <f t="shared" si="12"/>
        <v/>
      </c>
      <c r="T291" s="96">
        <f t="shared" si="13"/>
        <v>0</v>
      </c>
      <c r="U291" s="51"/>
    </row>
    <row r="292" spans="1:21" x14ac:dyDescent="0.25">
      <c r="A292" s="46">
        <f t="shared" si="9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0"/>
        <v>0</v>
      </c>
      <c r="P292" s="50"/>
      <c r="Q292" s="50"/>
      <c r="R292" s="95" t="str">
        <f t="shared" si="11"/>
        <v/>
      </c>
      <c r="S292" s="95" t="str">
        <f t="shared" si="12"/>
        <v/>
      </c>
      <c r="T292" s="96">
        <f t="shared" si="13"/>
        <v>0</v>
      </c>
      <c r="U292" s="51"/>
    </row>
    <row r="293" spans="1:21" x14ac:dyDescent="0.25">
      <c r="A293" s="46">
        <f t="shared" si="9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0"/>
        <v>0</v>
      </c>
      <c r="P293" s="50"/>
      <c r="Q293" s="50"/>
      <c r="R293" s="95" t="str">
        <f t="shared" si="11"/>
        <v/>
      </c>
      <c r="S293" s="95" t="str">
        <f t="shared" si="12"/>
        <v/>
      </c>
      <c r="T293" s="96">
        <f t="shared" si="13"/>
        <v>0</v>
      </c>
      <c r="U293" s="51"/>
    </row>
    <row r="294" spans="1:21" x14ac:dyDescent="0.25">
      <c r="A294" s="46">
        <f t="shared" si="9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0"/>
        <v>0</v>
      </c>
      <c r="P294" s="50"/>
      <c r="Q294" s="50"/>
      <c r="R294" s="95" t="str">
        <f t="shared" si="11"/>
        <v/>
      </c>
      <c r="S294" s="95" t="str">
        <f t="shared" si="12"/>
        <v/>
      </c>
      <c r="T294" s="96">
        <f t="shared" si="13"/>
        <v>0</v>
      </c>
      <c r="U294" s="51"/>
    </row>
    <row r="295" spans="1:21" x14ac:dyDescent="0.25">
      <c r="A295" s="46">
        <f t="shared" si="9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0"/>
        <v>0</v>
      </c>
      <c r="P295" s="50"/>
      <c r="Q295" s="50"/>
      <c r="R295" s="95" t="str">
        <f t="shared" si="11"/>
        <v/>
      </c>
      <c r="S295" s="95" t="str">
        <f t="shared" si="12"/>
        <v/>
      </c>
      <c r="T295" s="96">
        <f t="shared" si="13"/>
        <v>0</v>
      </c>
      <c r="U295" s="51"/>
    </row>
    <row r="296" spans="1:21" x14ac:dyDescent="0.25">
      <c r="A296" s="46">
        <f t="shared" si="9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0"/>
        <v>0</v>
      </c>
      <c r="P296" s="50"/>
      <c r="Q296" s="50"/>
      <c r="R296" s="95" t="str">
        <f t="shared" si="11"/>
        <v/>
      </c>
      <c r="S296" s="95" t="str">
        <f t="shared" si="12"/>
        <v/>
      </c>
      <c r="T296" s="96">
        <f t="shared" si="13"/>
        <v>0</v>
      </c>
      <c r="U296" s="51"/>
    </row>
    <row r="297" spans="1:21" x14ac:dyDescent="0.25">
      <c r="A297" s="46">
        <f t="shared" si="9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0"/>
        <v>0</v>
      </c>
      <c r="P297" s="50"/>
      <c r="Q297" s="50"/>
      <c r="R297" s="95" t="str">
        <f t="shared" si="11"/>
        <v/>
      </c>
      <c r="S297" s="95" t="str">
        <f t="shared" si="12"/>
        <v/>
      </c>
      <c r="T297" s="96">
        <f t="shared" si="13"/>
        <v>0</v>
      </c>
      <c r="U297" s="51"/>
    </row>
    <row r="298" spans="1:21" x14ac:dyDescent="0.25">
      <c r="A298" s="46">
        <f t="shared" si="9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0"/>
        <v>0</v>
      </c>
      <c r="P298" s="50"/>
      <c r="Q298" s="50"/>
      <c r="R298" s="95" t="str">
        <f t="shared" si="11"/>
        <v/>
      </c>
      <c r="S298" s="95" t="str">
        <f t="shared" si="12"/>
        <v/>
      </c>
      <c r="T298" s="96">
        <f t="shared" si="13"/>
        <v>0</v>
      </c>
      <c r="U298" s="51"/>
    </row>
    <row r="299" spans="1:21" x14ac:dyDescent="0.25">
      <c r="A299" s="46">
        <f t="shared" si="9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0"/>
        <v>0</v>
      </c>
      <c r="P299" s="50"/>
      <c r="Q299" s="50"/>
      <c r="R299" s="95" t="str">
        <f t="shared" si="11"/>
        <v/>
      </c>
      <c r="S299" s="95" t="str">
        <f t="shared" si="12"/>
        <v/>
      </c>
      <c r="T299" s="96">
        <f t="shared" si="13"/>
        <v>0</v>
      </c>
      <c r="U299" s="51"/>
    </row>
    <row r="300" spans="1:21" x14ac:dyDescent="0.25">
      <c r="A300" s="46">
        <f t="shared" si="9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0"/>
        <v>0</v>
      </c>
      <c r="P300" s="50"/>
      <c r="Q300" s="50"/>
      <c r="R300" s="95" t="str">
        <f t="shared" si="11"/>
        <v/>
      </c>
      <c r="S300" s="95" t="str">
        <f t="shared" si="12"/>
        <v/>
      </c>
      <c r="T300" s="96">
        <f t="shared" si="13"/>
        <v>0</v>
      </c>
      <c r="U300" s="51"/>
    </row>
    <row r="301" spans="1:21" x14ac:dyDescent="0.25">
      <c r="A301" s="46">
        <f t="shared" si="9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0"/>
        <v>0</v>
      </c>
      <c r="P301" s="50"/>
      <c r="Q301" s="50"/>
      <c r="R301" s="95" t="str">
        <f t="shared" si="11"/>
        <v/>
      </c>
      <c r="S301" s="95" t="str">
        <f t="shared" si="12"/>
        <v/>
      </c>
      <c r="T301" s="96">
        <f t="shared" si="13"/>
        <v>0</v>
      </c>
      <c r="U301" s="51"/>
    </row>
    <row r="302" spans="1:21" x14ac:dyDescent="0.25">
      <c r="A302" s="46">
        <f t="shared" si="9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0"/>
        <v>0</v>
      </c>
      <c r="P302" s="50"/>
      <c r="Q302" s="50"/>
      <c r="R302" s="95" t="str">
        <f t="shared" si="11"/>
        <v/>
      </c>
      <c r="S302" s="95" t="str">
        <f t="shared" si="12"/>
        <v/>
      </c>
      <c r="T302" s="96">
        <f t="shared" si="13"/>
        <v>0</v>
      </c>
      <c r="U302" s="51"/>
    </row>
    <row r="303" spans="1:21" x14ac:dyDescent="0.25">
      <c r="A303" s="46">
        <f t="shared" si="9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0"/>
        <v>0</v>
      </c>
      <c r="P303" s="50"/>
      <c r="Q303" s="50"/>
      <c r="R303" s="95" t="str">
        <f t="shared" si="11"/>
        <v/>
      </c>
      <c r="S303" s="95" t="str">
        <f t="shared" si="12"/>
        <v/>
      </c>
      <c r="T303" s="96">
        <f t="shared" si="13"/>
        <v>0</v>
      </c>
      <c r="U303" s="51"/>
    </row>
    <row r="304" spans="1:21" x14ac:dyDescent="0.25">
      <c r="A304" s="46">
        <f t="shared" si="9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0"/>
        <v>0</v>
      </c>
      <c r="P304" s="50"/>
      <c r="Q304" s="50"/>
      <c r="R304" s="95" t="str">
        <f t="shared" si="11"/>
        <v/>
      </c>
      <c r="S304" s="95" t="str">
        <f t="shared" si="12"/>
        <v/>
      </c>
      <c r="T304" s="96">
        <f t="shared" si="13"/>
        <v>0</v>
      </c>
      <c r="U304" s="51"/>
    </row>
    <row r="305" spans="1:21" x14ac:dyDescent="0.25">
      <c r="A305" s="46">
        <f t="shared" si="9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0"/>
        <v>0</v>
      </c>
      <c r="P305" s="50"/>
      <c r="Q305" s="50"/>
      <c r="R305" s="95" t="str">
        <f t="shared" si="11"/>
        <v/>
      </c>
      <c r="S305" s="95" t="str">
        <f t="shared" si="12"/>
        <v/>
      </c>
      <c r="T305" s="96">
        <f t="shared" si="13"/>
        <v>0</v>
      </c>
      <c r="U305" s="51"/>
    </row>
    <row r="306" spans="1:21" x14ac:dyDescent="0.25">
      <c r="A306" s="46">
        <f t="shared" si="9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0"/>
        <v>0</v>
      </c>
      <c r="P306" s="50"/>
      <c r="Q306" s="50"/>
      <c r="R306" s="95" t="str">
        <f t="shared" si="11"/>
        <v/>
      </c>
      <c r="S306" s="95" t="str">
        <f t="shared" si="12"/>
        <v/>
      </c>
      <c r="T306" s="96">
        <f t="shared" si="13"/>
        <v>0</v>
      </c>
      <c r="U306" s="51"/>
    </row>
    <row r="307" spans="1:21" x14ac:dyDescent="0.25">
      <c r="A307" s="46">
        <f t="shared" si="9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0"/>
        <v>0</v>
      </c>
      <c r="P307" s="50"/>
      <c r="Q307" s="50"/>
      <c r="R307" s="95" t="str">
        <f t="shared" si="11"/>
        <v/>
      </c>
      <c r="S307" s="95" t="str">
        <f t="shared" si="12"/>
        <v/>
      </c>
      <c r="T307" s="96">
        <f t="shared" si="13"/>
        <v>0</v>
      </c>
      <c r="U307" s="51"/>
    </row>
    <row r="308" spans="1:21" x14ac:dyDescent="0.25">
      <c r="A308" s="46">
        <f t="shared" si="9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0"/>
        <v>0</v>
      </c>
      <c r="P308" s="50"/>
      <c r="Q308" s="50"/>
      <c r="R308" s="95" t="str">
        <f t="shared" si="11"/>
        <v/>
      </c>
      <c r="S308" s="95" t="str">
        <f t="shared" si="12"/>
        <v/>
      </c>
      <c r="T308" s="96">
        <f t="shared" si="13"/>
        <v>0</v>
      </c>
      <c r="U308" s="51"/>
    </row>
    <row r="309" spans="1:21" x14ac:dyDescent="0.25">
      <c r="A309" s="46">
        <f t="shared" si="9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0"/>
        <v>0</v>
      </c>
      <c r="P309" s="50"/>
      <c r="Q309" s="50"/>
      <c r="R309" s="95" t="str">
        <f t="shared" si="11"/>
        <v/>
      </c>
      <c r="S309" s="95" t="str">
        <f t="shared" si="12"/>
        <v/>
      </c>
      <c r="T309" s="96">
        <f t="shared" si="13"/>
        <v>0</v>
      </c>
      <c r="U309" s="51"/>
    </row>
    <row r="310" spans="1:21" x14ac:dyDescent="0.25">
      <c r="A310" s="46">
        <f t="shared" si="9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0"/>
        <v>0</v>
      </c>
      <c r="P310" s="50"/>
      <c r="Q310" s="50"/>
      <c r="R310" s="95" t="str">
        <f t="shared" si="11"/>
        <v/>
      </c>
      <c r="S310" s="95" t="str">
        <f t="shared" si="12"/>
        <v/>
      </c>
      <c r="T310" s="96">
        <f t="shared" si="13"/>
        <v>0</v>
      </c>
      <c r="U310" s="51"/>
    </row>
    <row r="311" spans="1:21" x14ac:dyDescent="0.25">
      <c r="A311" s="46">
        <f t="shared" si="9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0"/>
        <v>0</v>
      </c>
      <c r="P311" s="50"/>
      <c r="Q311" s="50"/>
      <c r="R311" s="95" t="str">
        <f t="shared" si="11"/>
        <v/>
      </c>
      <c r="S311" s="95" t="str">
        <f t="shared" si="12"/>
        <v/>
      </c>
      <c r="T311" s="96">
        <f t="shared" si="13"/>
        <v>0</v>
      </c>
      <c r="U311" s="51"/>
    </row>
    <row r="312" spans="1:21" x14ac:dyDescent="0.25">
      <c r="A312" s="46">
        <f t="shared" si="9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0"/>
        <v>0</v>
      </c>
      <c r="P312" s="50"/>
      <c r="Q312" s="50"/>
      <c r="R312" s="95" t="str">
        <f t="shared" si="11"/>
        <v/>
      </c>
      <c r="S312" s="95" t="str">
        <f t="shared" si="12"/>
        <v/>
      </c>
      <c r="T312" s="96">
        <f t="shared" si="13"/>
        <v>0</v>
      </c>
      <c r="U312" s="51"/>
    </row>
    <row r="313" spans="1:21" x14ac:dyDescent="0.25">
      <c r="A313" s="46">
        <f t="shared" si="9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0"/>
        <v>0</v>
      </c>
      <c r="P313" s="50"/>
      <c r="Q313" s="50"/>
      <c r="R313" s="95" t="str">
        <f t="shared" si="11"/>
        <v/>
      </c>
      <c r="S313" s="95" t="str">
        <f t="shared" si="12"/>
        <v/>
      </c>
      <c r="T313" s="96">
        <f t="shared" si="13"/>
        <v>0</v>
      </c>
      <c r="U313" s="51"/>
    </row>
    <row r="314" spans="1:21" x14ac:dyDescent="0.25">
      <c r="A314" s="46">
        <f t="shared" si="9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0"/>
        <v>0</v>
      </c>
      <c r="P314" s="50"/>
      <c r="Q314" s="50"/>
      <c r="R314" s="95" t="str">
        <f t="shared" si="11"/>
        <v/>
      </c>
      <c r="S314" s="95" t="str">
        <f t="shared" si="12"/>
        <v/>
      </c>
      <c r="T314" s="96">
        <f t="shared" si="13"/>
        <v>0</v>
      </c>
      <c r="U314" s="51"/>
    </row>
    <row r="315" spans="1:21" x14ac:dyDescent="0.25">
      <c r="A315" s="46">
        <f t="shared" si="9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0"/>
        <v>0</v>
      </c>
      <c r="P315" s="50"/>
      <c r="Q315" s="50"/>
      <c r="R315" s="95" t="str">
        <f t="shared" si="11"/>
        <v/>
      </c>
      <c r="S315" s="95" t="str">
        <f t="shared" si="12"/>
        <v/>
      </c>
      <c r="T315" s="96">
        <f t="shared" si="13"/>
        <v>0</v>
      </c>
      <c r="U315" s="51"/>
    </row>
    <row r="316" spans="1:21" x14ac:dyDescent="0.25">
      <c r="A316" s="46">
        <f t="shared" si="9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0"/>
        <v>0</v>
      </c>
      <c r="P316" s="50"/>
      <c r="Q316" s="50"/>
      <c r="R316" s="95" t="str">
        <f t="shared" si="11"/>
        <v/>
      </c>
      <c r="S316" s="95" t="str">
        <f t="shared" si="12"/>
        <v/>
      </c>
      <c r="T316" s="96">
        <f t="shared" si="13"/>
        <v>0</v>
      </c>
      <c r="U316" s="51"/>
    </row>
    <row r="317" spans="1:21" x14ac:dyDescent="0.25">
      <c r="A317" s="46">
        <f t="shared" si="9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0"/>
        <v>0</v>
      </c>
      <c r="P317" s="50"/>
      <c r="Q317" s="50"/>
      <c r="R317" s="95" t="str">
        <f t="shared" si="11"/>
        <v/>
      </c>
      <c r="S317" s="95" t="str">
        <f t="shared" si="12"/>
        <v/>
      </c>
      <c r="T317" s="96">
        <f t="shared" si="13"/>
        <v>0</v>
      </c>
      <c r="U317" s="51"/>
    </row>
    <row r="318" spans="1:21" x14ac:dyDescent="0.25">
      <c r="A318" s="46">
        <f t="shared" si="9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0"/>
        <v>0</v>
      </c>
      <c r="P318" s="50"/>
      <c r="Q318" s="50"/>
      <c r="R318" s="95" t="str">
        <f t="shared" si="11"/>
        <v/>
      </c>
      <c r="S318" s="95" t="str">
        <f t="shared" si="12"/>
        <v/>
      </c>
      <c r="T318" s="96">
        <f t="shared" si="13"/>
        <v>0</v>
      </c>
      <c r="U318" s="51"/>
    </row>
    <row r="319" spans="1:21" x14ac:dyDescent="0.25">
      <c r="A319" s="46">
        <f t="shared" si="9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0"/>
        <v>0</v>
      </c>
      <c r="P319" s="50"/>
      <c r="Q319" s="50"/>
      <c r="R319" s="95" t="str">
        <f t="shared" si="11"/>
        <v/>
      </c>
      <c r="S319" s="95" t="str">
        <f t="shared" si="12"/>
        <v/>
      </c>
      <c r="T319" s="96">
        <f t="shared" si="13"/>
        <v>0</v>
      </c>
      <c r="U319" s="51"/>
    </row>
    <row r="320" spans="1:21" x14ac:dyDescent="0.25">
      <c r="A320" s="46">
        <f t="shared" si="9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0"/>
        <v>0</v>
      </c>
      <c r="P320" s="50"/>
      <c r="Q320" s="50"/>
      <c r="R320" s="95" t="str">
        <f t="shared" si="11"/>
        <v/>
      </c>
      <c r="S320" s="95" t="str">
        <f t="shared" si="12"/>
        <v/>
      </c>
      <c r="T320" s="96">
        <f t="shared" si="13"/>
        <v>0</v>
      </c>
      <c r="U320" s="51"/>
    </row>
    <row r="321" spans="1:21" x14ac:dyDescent="0.25">
      <c r="A321" s="46">
        <f t="shared" si="9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0"/>
        <v>0</v>
      </c>
      <c r="P321" s="50"/>
      <c r="Q321" s="50"/>
      <c r="R321" s="95" t="str">
        <f t="shared" si="11"/>
        <v/>
      </c>
      <c r="S321" s="95" t="str">
        <f t="shared" si="12"/>
        <v/>
      </c>
      <c r="T321" s="96">
        <f t="shared" si="13"/>
        <v>0</v>
      </c>
      <c r="U321" s="51"/>
    </row>
    <row r="322" spans="1:21" x14ac:dyDescent="0.25">
      <c r="A322" s="46">
        <f t="shared" si="9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0"/>
        <v>0</v>
      </c>
      <c r="P322" s="50"/>
      <c r="Q322" s="50"/>
      <c r="R322" s="95" t="str">
        <f t="shared" si="11"/>
        <v/>
      </c>
      <c r="S322" s="95" t="str">
        <f t="shared" si="12"/>
        <v/>
      </c>
      <c r="T322" s="96">
        <f t="shared" si="13"/>
        <v>0</v>
      </c>
      <c r="U322" s="51"/>
    </row>
    <row r="323" spans="1:21" x14ac:dyDescent="0.25">
      <c r="A323" s="46">
        <f t="shared" si="9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0"/>
        <v>0</v>
      </c>
      <c r="P323" s="50"/>
      <c r="Q323" s="50"/>
      <c r="R323" s="95" t="str">
        <f t="shared" si="11"/>
        <v/>
      </c>
      <c r="S323" s="95" t="str">
        <f t="shared" si="12"/>
        <v/>
      </c>
      <c r="T323" s="96">
        <f t="shared" si="13"/>
        <v>0</v>
      </c>
      <c r="U323" s="51"/>
    </row>
    <row r="324" spans="1:21" x14ac:dyDescent="0.25">
      <c r="A324" s="46">
        <f t="shared" si="9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0"/>
        <v>0</v>
      </c>
      <c r="P324" s="50"/>
      <c r="Q324" s="50"/>
      <c r="R324" s="95" t="str">
        <f t="shared" si="11"/>
        <v/>
      </c>
      <c r="S324" s="95" t="str">
        <f t="shared" si="12"/>
        <v/>
      </c>
      <c r="T324" s="96">
        <f t="shared" si="13"/>
        <v>0</v>
      </c>
      <c r="U324" s="51"/>
    </row>
    <row r="325" spans="1:21" x14ac:dyDescent="0.25">
      <c r="A325" s="46">
        <f t="shared" si="9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0"/>
        <v>0</v>
      </c>
      <c r="P325" s="50"/>
      <c r="Q325" s="50"/>
      <c r="R325" s="95" t="str">
        <f t="shared" si="11"/>
        <v/>
      </c>
      <c r="S325" s="95" t="str">
        <f t="shared" si="12"/>
        <v/>
      </c>
      <c r="T325" s="96">
        <f t="shared" si="13"/>
        <v>0</v>
      </c>
      <c r="U325" s="51"/>
    </row>
    <row r="326" spans="1:21" x14ac:dyDescent="0.25">
      <c r="A326" s="46">
        <f t="shared" si="9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0"/>
        <v>0</v>
      </c>
      <c r="P326" s="50"/>
      <c r="Q326" s="50"/>
      <c r="R326" s="95" t="str">
        <f t="shared" si="11"/>
        <v/>
      </c>
      <c r="S326" s="95" t="str">
        <f t="shared" si="12"/>
        <v/>
      </c>
      <c r="T326" s="96">
        <f t="shared" si="13"/>
        <v>0</v>
      </c>
      <c r="U326" s="51"/>
    </row>
    <row r="327" spans="1:21" x14ac:dyDescent="0.25">
      <c r="A327" s="46">
        <f t="shared" si="9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0"/>
        <v>0</v>
      </c>
      <c r="P327" s="50"/>
      <c r="Q327" s="50"/>
      <c r="R327" s="95" t="str">
        <f t="shared" si="11"/>
        <v/>
      </c>
      <c r="S327" s="95" t="str">
        <f t="shared" si="12"/>
        <v/>
      </c>
      <c r="T327" s="96">
        <f t="shared" si="13"/>
        <v>0</v>
      </c>
      <c r="U327" s="51"/>
    </row>
    <row r="328" spans="1:21" x14ac:dyDescent="0.25">
      <c r="A328" s="46">
        <f t="shared" si="9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0"/>
        <v>0</v>
      </c>
      <c r="P328" s="50"/>
      <c r="Q328" s="50"/>
      <c r="R328" s="95" t="str">
        <f t="shared" si="11"/>
        <v/>
      </c>
      <c r="S328" s="95" t="str">
        <f t="shared" si="12"/>
        <v/>
      </c>
      <c r="T328" s="96">
        <f t="shared" si="13"/>
        <v>0</v>
      </c>
      <c r="U328" s="51"/>
    </row>
    <row r="329" spans="1:21" x14ac:dyDescent="0.25">
      <c r="A329" s="46">
        <f t="shared" si="9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0"/>
        <v>0</v>
      </c>
      <c r="P329" s="50"/>
      <c r="Q329" s="50"/>
      <c r="R329" s="95" t="str">
        <f t="shared" si="11"/>
        <v/>
      </c>
      <c r="S329" s="95" t="str">
        <f t="shared" si="12"/>
        <v/>
      </c>
      <c r="T329" s="96">
        <f t="shared" si="13"/>
        <v>0</v>
      </c>
      <c r="U329" s="51"/>
    </row>
    <row r="330" spans="1:21" x14ac:dyDescent="0.25">
      <c r="A330" s="46">
        <f t="shared" si="9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0"/>
        <v>0</v>
      </c>
      <c r="P330" s="50"/>
      <c r="Q330" s="50"/>
      <c r="R330" s="95" t="str">
        <f t="shared" si="11"/>
        <v/>
      </c>
      <c r="S330" s="95" t="str">
        <f t="shared" si="12"/>
        <v/>
      </c>
      <c r="T330" s="96">
        <f t="shared" si="13"/>
        <v>0</v>
      </c>
      <c r="U330" s="51"/>
    </row>
    <row r="331" spans="1:21" x14ac:dyDescent="0.25">
      <c r="A331" s="46">
        <f t="shared" si="9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0"/>
        <v>0</v>
      </c>
      <c r="P331" s="50"/>
      <c r="Q331" s="50"/>
      <c r="R331" s="95" t="str">
        <f t="shared" si="11"/>
        <v/>
      </c>
      <c r="S331" s="95" t="str">
        <f t="shared" si="12"/>
        <v/>
      </c>
      <c r="T331" s="96">
        <f t="shared" si="13"/>
        <v>0</v>
      </c>
      <c r="U331" s="51"/>
    </row>
    <row r="332" spans="1:21" x14ac:dyDescent="0.25">
      <c r="A332" s="46">
        <f t="shared" ref="A332:A395" si="14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5">T332*N332</f>
        <v>0</v>
      </c>
      <c r="P332" s="50"/>
      <c r="Q332" s="50"/>
      <c r="R332" s="95" t="str">
        <f t="shared" ref="R332:R395" si="16">IF(OR(P332="c",P332="C"),+T332,"")</f>
        <v/>
      </c>
      <c r="S332" s="95" t="str">
        <f t="shared" ref="S332:S395" si="17">IF(OR(P332="$",N332=1),+T332,"")</f>
        <v/>
      </c>
      <c r="T332" s="96">
        <f t="shared" ref="T332:T395" si="18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4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5"/>
        <v>0</v>
      </c>
      <c r="P333" s="50"/>
      <c r="Q333" s="50"/>
      <c r="R333" s="95" t="str">
        <f t="shared" si="16"/>
        <v/>
      </c>
      <c r="S333" s="95" t="str">
        <f t="shared" si="17"/>
        <v/>
      </c>
      <c r="T333" s="96">
        <f t="shared" si="18"/>
        <v>0</v>
      </c>
      <c r="U333" s="51"/>
    </row>
    <row r="334" spans="1:21" x14ac:dyDescent="0.25">
      <c r="A334" s="46">
        <f t="shared" si="14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5"/>
        <v>0</v>
      </c>
      <c r="P334" s="50"/>
      <c r="Q334" s="50"/>
      <c r="R334" s="95" t="str">
        <f t="shared" si="16"/>
        <v/>
      </c>
      <c r="S334" s="95" t="str">
        <f t="shared" si="17"/>
        <v/>
      </c>
      <c r="T334" s="96">
        <f t="shared" si="18"/>
        <v>0</v>
      </c>
      <c r="U334" s="51"/>
    </row>
    <row r="335" spans="1:21" x14ac:dyDescent="0.25">
      <c r="A335" s="46">
        <f t="shared" si="14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5"/>
        <v>0</v>
      </c>
      <c r="P335" s="50"/>
      <c r="Q335" s="50"/>
      <c r="R335" s="95" t="str">
        <f t="shared" si="16"/>
        <v/>
      </c>
      <c r="S335" s="95" t="str">
        <f t="shared" si="17"/>
        <v/>
      </c>
      <c r="T335" s="96">
        <f t="shared" si="18"/>
        <v>0</v>
      </c>
      <c r="U335" s="51"/>
    </row>
    <row r="336" spans="1:21" x14ac:dyDescent="0.25">
      <c r="A336" s="46">
        <f t="shared" si="14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5"/>
        <v>0</v>
      </c>
      <c r="P336" s="50"/>
      <c r="Q336" s="50"/>
      <c r="R336" s="95" t="str">
        <f t="shared" si="16"/>
        <v/>
      </c>
      <c r="S336" s="95" t="str">
        <f t="shared" si="17"/>
        <v/>
      </c>
      <c r="T336" s="96">
        <f t="shared" si="18"/>
        <v>0</v>
      </c>
      <c r="U336" s="51"/>
    </row>
    <row r="337" spans="1:21" x14ac:dyDescent="0.25">
      <c r="A337" s="46">
        <f t="shared" si="14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5"/>
        <v>0</v>
      </c>
      <c r="P337" s="50"/>
      <c r="Q337" s="50"/>
      <c r="R337" s="95" t="str">
        <f t="shared" si="16"/>
        <v/>
      </c>
      <c r="S337" s="95" t="str">
        <f t="shared" si="17"/>
        <v/>
      </c>
      <c r="T337" s="96">
        <f t="shared" si="18"/>
        <v>0</v>
      </c>
      <c r="U337" s="51"/>
    </row>
    <row r="338" spans="1:21" x14ac:dyDescent="0.25">
      <c r="A338" s="46">
        <f t="shared" si="14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5"/>
        <v>0</v>
      </c>
      <c r="P338" s="50"/>
      <c r="Q338" s="50"/>
      <c r="R338" s="95" t="str">
        <f t="shared" si="16"/>
        <v/>
      </c>
      <c r="S338" s="95" t="str">
        <f t="shared" si="17"/>
        <v/>
      </c>
      <c r="T338" s="96">
        <f t="shared" si="18"/>
        <v>0</v>
      </c>
      <c r="U338" s="51"/>
    </row>
    <row r="339" spans="1:21" x14ac:dyDescent="0.25">
      <c r="A339" s="46">
        <f t="shared" si="14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5"/>
        <v>0</v>
      </c>
      <c r="P339" s="50"/>
      <c r="Q339" s="50"/>
      <c r="R339" s="95" t="str">
        <f t="shared" si="16"/>
        <v/>
      </c>
      <c r="S339" s="95" t="str">
        <f t="shared" si="17"/>
        <v/>
      </c>
      <c r="T339" s="96">
        <f t="shared" si="18"/>
        <v>0</v>
      </c>
      <c r="U339" s="51"/>
    </row>
    <row r="340" spans="1:21" x14ac:dyDescent="0.25">
      <c r="A340" s="46">
        <f t="shared" si="14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5"/>
        <v>0</v>
      </c>
      <c r="P340" s="50"/>
      <c r="Q340" s="50"/>
      <c r="R340" s="95" t="str">
        <f t="shared" si="16"/>
        <v/>
      </c>
      <c r="S340" s="95" t="str">
        <f t="shared" si="17"/>
        <v/>
      </c>
      <c r="T340" s="96">
        <f t="shared" si="18"/>
        <v>0</v>
      </c>
      <c r="U340" s="51"/>
    </row>
    <row r="341" spans="1:21" x14ac:dyDescent="0.25">
      <c r="A341" s="46">
        <f t="shared" si="14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5"/>
        <v>0</v>
      </c>
      <c r="P341" s="50"/>
      <c r="Q341" s="50"/>
      <c r="R341" s="95" t="str">
        <f t="shared" si="16"/>
        <v/>
      </c>
      <c r="S341" s="95" t="str">
        <f t="shared" si="17"/>
        <v/>
      </c>
      <c r="T341" s="96">
        <f t="shared" si="18"/>
        <v>0</v>
      </c>
      <c r="U341" s="51"/>
    </row>
    <row r="342" spans="1:21" x14ac:dyDescent="0.25">
      <c r="A342" s="46">
        <f t="shared" si="14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5"/>
        <v>0</v>
      </c>
      <c r="P342" s="50"/>
      <c r="Q342" s="50"/>
      <c r="R342" s="95" t="str">
        <f t="shared" si="16"/>
        <v/>
      </c>
      <c r="S342" s="95" t="str">
        <f t="shared" si="17"/>
        <v/>
      </c>
      <c r="T342" s="96">
        <f t="shared" si="18"/>
        <v>0</v>
      </c>
      <c r="U342" s="51"/>
    </row>
    <row r="343" spans="1:21" x14ac:dyDescent="0.25">
      <c r="A343" s="46">
        <f t="shared" si="14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5"/>
        <v>0</v>
      </c>
      <c r="P343" s="50"/>
      <c r="Q343" s="50"/>
      <c r="R343" s="95" t="str">
        <f t="shared" si="16"/>
        <v/>
      </c>
      <c r="S343" s="95" t="str">
        <f t="shared" si="17"/>
        <v/>
      </c>
      <c r="T343" s="96">
        <f t="shared" si="18"/>
        <v>0</v>
      </c>
      <c r="U343" s="51"/>
    </row>
    <row r="344" spans="1:21" x14ac:dyDescent="0.25">
      <c r="A344" s="46">
        <f t="shared" si="14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5"/>
        <v>0</v>
      </c>
      <c r="P344" s="50"/>
      <c r="Q344" s="50"/>
      <c r="R344" s="95" t="str">
        <f t="shared" si="16"/>
        <v/>
      </c>
      <c r="S344" s="95" t="str">
        <f t="shared" si="17"/>
        <v/>
      </c>
      <c r="T344" s="96">
        <f t="shared" si="18"/>
        <v>0</v>
      </c>
      <c r="U344" s="51"/>
    </row>
    <row r="345" spans="1:21" x14ac:dyDescent="0.25">
      <c r="A345" s="46">
        <f t="shared" si="14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5"/>
        <v>0</v>
      </c>
      <c r="P345" s="50"/>
      <c r="Q345" s="50"/>
      <c r="R345" s="95" t="str">
        <f t="shared" si="16"/>
        <v/>
      </c>
      <c r="S345" s="95" t="str">
        <f t="shared" si="17"/>
        <v/>
      </c>
      <c r="T345" s="96">
        <f t="shared" si="18"/>
        <v>0</v>
      </c>
      <c r="U345" s="51"/>
    </row>
    <row r="346" spans="1:21" x14ac:dyDescent="0.25">
      <c r="A346" s="46">
        <f t="shared" si="14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5"/>
        <v>0</v>
      </c>
      <c r="P346" s="50"/>
      <c r="Q346" s="50"/>
      <c r="R346" s="95" t="str">
        <f t="shared" si="16"/>
        <v/>
      </c>
      <c r="S346" s="95" t="str">
        <f t="shared" si="17"/>
        <v/>
      </c>
      <c r="T346" s="96">
        <f t="shared" si="18"/>
        <v>0</v>
      </c>
      <c r="U346" s="51"/>
    </row>
    <row r="347" spans="1:21" x14ac:dyDescent="0.25">
      <c r="A347" s="46">
        <f t="shared" si="14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5"/>
        <v>0</v>
      </c>
      <c r="P347" s="50"/>
      <c r="Q347" s="50"/>
      <c r="R347" s="95" t="str">
        <f t="shared" si="16"/>
        <v/>
      </c>
      <c r="S347" s="95" t="str">
        <f t="shared" si="17"/>
        <v/>
      </c>
      <c r="T347" s="96">
        <f t="shared" si="18"/>
        <v>0</v>
      </c>
      <c r="U347" s="51"/>
    </row>
    <row r="348" spans="1:21" x14ac:dyDescent="0.25">
      <c r="A348" s="46">
        <f t="shared" si="14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5"/>
        <v>0</v>
      </c>
      <c r="P348" s="50"/>
      <c r="Q348" s="50"/>
      <c r="R348" s="95" t="str">
        <f t="shared" si="16"/>
        <v/>
      </c>
      <c r="S348" s="95" t="str">
        <f t="shared" si="17"/>
        <v/>
      </c>
      <c r="T348" s="96">
        <f t="shared" si="18"/>
        <v>0</v>
      </c>
      <c r="U348" s="51"/>
    </row>
    <row r="349" spans="1:21" x14ac:dyDescent="0.25">
      <c r="A349" s="46">
        <f t="shared" si="14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5"/>
        <v>0</v>
      </c>
      <c r="P349" s="50"/>
      <c r="Q349" s="50"/>
      <c r="R349" s="95" t="str">
        <f t="shared" si="16"/>
        <v/>
      </c>
      <c r="S349" s="95" t="str">
        <f t="shared" si="17"/>
        <v/>
      </c>
      <c r="T349" s="96">
        <f t="shared" si="18"/>
        <v>0</v>
      </c>
      <c r="U349" s="51"/>
    </row>
    <row r="350" spans="1:21" x14ac:dyDescent="0.25">
      <c r="A350" s="46">
        <f t="shared" si="14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5"/>
        <v>0</v>
      </c>
      <c r="P350" s="50"/>
      <c r="Q350" s="50"/>
      <c r="R350" s="95" t="str">
        <f t="shared" si="16"/>
        <v/>
      </c>
      <c r="S350" s="95" t="str">
        <f t="shared" si="17"/>
        <v/>
      </c>
      <c r="T350" s="96">
        <f t="shared" si="18"/>
        <v>0</v>
      </c>
      <c r="U350" s="51"/>
    </row>
    <row r="351" spans="1:21" x14ac:dyDescent="0.25">
      <c r="A351" s="46">
        <f t="shared" si="14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5"/>
        <v>0</v>
      </c>
      <c r="P351" s="50"/>
      <c r="Q351" s="50"/>
      <c r="R351" s="95" t="str">
        <f t="shared" si="16"/>
        <v/>
      </c>
      <c r="S351" s="95" t="str">
        <f t="shared" si="17"/>
        <v/>
      </c>
      <c r="T351" s="96">
        <f t="shared" si="18"/>
        <v>0</v>
      </c>
      <c r="U351" s="51"/>
    </row>
    <row r="352" spans="1:21" x14ac:dyDescent="0.25">
      <c r="A352" s="46">
        <f t="shared" si="14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5"/>
        <v>0</v>
      </c>
      <c r="P352" s="50"/>
      <c r="Q352" s="50"/>
      <c r="R352" s="95" t="str">
        <f t="shared" si="16"/>
        <v/>
      </c>
      <c r="S352" s="95" t="str">
        <f t="shared" si="17"/>
        <v/>
      </c>
      <c r="T352" s="96">
        <f t="shared" si="18"/>
        <v>0</v>
      </c>
      <c r="U352" s="51"/>
    </row>
    <row r="353" spans="1:21" x14ac:dyDescent="0.25">
      <c r="A353" s="46">
        <f t="shared" si="14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5"/>
        <v>0</v>
      </c>
      <c r="P353" s="50"/>
      <c r="Q353" s="50"/>
      <c r="R353" s="95" t="str">
        <f t="shared" si="16"/>
        <v/>
      </c>
      <c r="S353" s="95" t="str">
        <f t="shared" si="17"/>
        <v/>
      </c>
      <c r="T353" s="96">
        <f t="shared" si="18"/>
        <v>0</v>
      </c>
      <c r="U353" s="51"/>
    </row>
    <row r="354" spans="1:21" x14ac:dyDescent="0.25">
      <c r="A354" s="46">
        <f t="shared" si="14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5"/>
        <v>0</v>
      </c>
      <c r="P354" s="50"/>
      <c r="Q354" s="50"/>
      <c r="R354" s="95" t="str">
        <f t="shared" si="16"/>
        <v/>
      </c>
      <c r="S354" s="95" t="str">
        <f t="shared" si="17"/>
        <v/>
      </c>
      <c r="T354" s="96">
        <f t="shared" si="18"/>
        <v>0</v>
      </c>
      <c r="U354" s="51"/>
    </row>
    <row r="355" spans="1:21" x14ac:dyDescent="0.25">
      <c r="A355" s="46">
        <f t="shared" si="14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5"/>
        <v>0</v>
      </c>
      <c r="P355" s="50"/>
      <c r="Q355" s="50"/>
      <c r="R355" s="95" t="str">
        <f t="shared" si="16"/>
        <v/>
      </c>
      <c r="S355" s="95" t="str">
        <f t="shared" si="17"/>
        <v/>
      </c>
      <c r="T355" s="96">
        <f t="shared" si="18"/>
        <v>0</v>
      </c>
      <c r="U355" s="51"/>
    </row>
    <row r="356" spans="1:21" x14ac:dyDescent="0.25">
      <c r="A356" s="46">
        <f t="shared" si="14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5"/>
        <v>0</v>
      </c>
      <c r="P356" s="50"/>
      <c r="Q356" s="50"/>
      <c r="R356" s="95" t="str">
        <f t="shared" si="16"/>
        <v/>
      </c>
      <c r="S356" s="95" t="str">
        <f t="shared" si="17"/>
        <v/>
      </c>
      <c r="T356" s="96">
        <f t="shared" si="18"/>
        <v>0</v>
      </c>
      <c r="U356" s="51"/>
    </row>
    <row r="357" spans="1:21" x14ac:dyDescent="0.25">
      <c r="A357" s="46">
        <f t="shared" si="14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5"/>
        <v>0</v>
      </c>
      <c r="P357" s="50"/>
      <c r="Q357" s="50"/>
      <c r="R357" s="95" t="str">
        <f t="shared" si="16"/>
        <v/>
      </c>
      <c r="S357" s="95" t="str">
        <f t="shared" si="17"/>
        <v/>
      </c>
      <c r="T357" s="96">
        <f t="shared" si="18"/>
        <v>0</v>
      </c>
      <c r="U357" s="51"/>
    </row>
    <row r="358" spans="1:21" x14ac:dyDescent="0.25">
      <c r="A358" s="46">
        <f t="shared" si="14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5"/>
        <v>0</v>
      </c>
      <c r="P358" s="50"/>
      <c r="Q358" s="50"/>
      <c r="R358" s="95" t="str">
        <f t="shared" si="16"/>
        <v/>
      </c>
      <c r="S358" s="95" t="str">
        <f t="shared" si="17"/>
        <v/>
      </c>
      <c r="T358" s="96">
        <f t="shared" si="18"/>
        <v>0</v>
      </c>
      <c r="U358" s="51"/>
    </row>
    <row r="359" spans="1:21" x14ac:dyDescent="0.25">
      <c r="A359" s="46">
        <f t="shared" si="14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5"/>
        <v>0</v>
      </c>
      <c r="P359" s="50"/>
      <c r="Q359" s="50"/>
      <c r="R359" s="95" t="str">
        <f t="shared" si="16"/>
        <v/>
      </c>
      <c r="S359" s="95" t="str">
        <f t="shared" si="17"/>
        <v/>
      </c>
      <c r="T359" s="96">
        <f t="shared" si="18"/>
        <v>0</v>
      </c>
      <c r="U359" s="51"/>
    </row>
    <row r="360" spans="1:21" x14ac:dyDescent="0.25">
      <c r="A360" s="46">
        <f t="shared" si="14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5"/>
        <v>0</v>
      </c>
      <c r="P360" s="50"/>
      <c r="Q360" s="50"/>
      <c r="R360" s="95" t="str">
        <f t="shared" si="16"/>
        <v/>
      </c>
      <c r="S360" s="95" t="str">
        <f t="shared" si="17"/>
        <v/>
      </c>
      <c r="T360" s="96">
        <f t="shared" si="18"/>
        <v>0</v>
      </c>
      <c r="U360" s="51"/>
    </row>
    <row r="361" spans="1:21" x14ac:dyDescent="0.25">
      <c r="A361" s="46">
        <f t="shared" si="14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5"/>
        <v>0</v>
      </c>
      <c r="P361" s="50"/>
      <c r="Q361" s="50"/>
      <c r="R361" s="95" t="str">
        <f t="shared" si="16"/>
        <v/>
      </c>
      <c r="S361" s="95" t="str">
        <f t="shared" si="17"/>
        <v/>
      </c>
      <c r="T361" s="96">
        <f t="shared" si="18"/>
        <v>0</v>
      </c>
      <c r="U361" s="51"/>
    </row>
    <row r="362" spans="1:21" x14ac:dyDescent="0.25">
      <c r="A362" s="46">
        <f t="shared" si="14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5"/>
        <v>0</v>
      </c>
      <c r="P362" s="50"/>
      <c r="Q362" s="50"/>
      <c r="R362" s="95" t="str">
        <f t="shared" si="16"/>
        <v/>
      </c>
      <c r="S362" s="95" t="str">
        <f t="shared" si="17"/>
        <v/>
      </c>
      <c r="T362" s="96">
        <f t="shared" si="18"/>
        <v>0</v>
      </c>
      <c r="U362" s="51"/>
    </row>
    <row r="363" spans="1:21" x14ac:dyDescent="0.25">
      <c r="A363" s="46">
        <f t="shared" si="14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5"/>
        <v>0</v>
      </c>
      <c r="P363" s="50"/>
      <c r="Q363" s="50"/>
      <c r="R363" s="95" t="str">
        <f t="shared" si="16"/>
        <v/>
      </c>
      <c r="S363" s="95" t="str">
        <f t="shared" si="17"/>
        <v/>
      </c>
      <c r="T363" s="96">
        <f t="shared" si="18"/>
        <v>0</v>
      </c>
      <c r="U363" s="51"/>
    </row>
    <row r="364" spans="1:21" x14ac:dyDescent="0.25">
      <c r="A364" s="46">
        <f t="shared" si="14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5"/>
        <v>0</v>
      </c>
      <c r="P364" s="50"/>
      <c r="Q364" s="50"/>
      <c r="R364" s="95" t="str">
        <f t="shared" si="16"/>
        <v/>
      </c>
      <c r="S364" s="95" t="str">
        <f t="shared" si="17"/>
        <v/>
      </c>
      <c r="T364" s="96">
        <f t="shared" si="18"/>
        <v>0</v>
      </c>
      <c r="U364" s="51"/>
    </row>
    <row r="365" spans="1:21" x14ac:dyDescent="0.25">
      <c r="A365" s="46">
        <f t="shared" si="14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5"/>
        <v>0</v>
      </c>
      <c r="P365" s="50"/>
      <c r="Q365" s="50"/>
      <c r="R365" s="95" t="str">
        <f t="shared" si="16"/>
        <v/>
      </c>
      <c r="S365" s="95" t="str">
        <f t="shared" si="17"/>
        <v/>
      </c>
      <c r="T365" s="96">
        <f t="shared" si="18"/>
        <v>0</v>
      </c>
      <c r="U365" s="51"/>
    </row>
    <row r="366" spans="1:21" x14ac:dyDescent="0.25">
      <c r="A366" s="46">
        <f t="shared" si="14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5"/>
        <v>0</v>
      </c>
      <c r="P366" s="50"/>
      <c r="Q366" s="50"/>
      <c r="R366" s="95" t="str">
        <f t="shared" si="16"/>
        <v/>
      </c>
      <c r="S366" s="95" t="str">
        <f t="shared" si="17"/>
        <v/>
      </c>
      <c r="T366" s="96">
        <f t="shared" si="18"/>
        <v>0</v>
      </c>
      <c r="U366" s="51"/>
    </row>
    <row r="367" spans="1:21" x14ac:dyDescent="0.25">
      <c r="A367" s="46">
        <f t="shared" si="14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5"/>
        <v>0</v>
      </c>
      <c r="P367" s="50"/>
      <c r="Q367" s="50"/>
      <c r="R367" s="95" t="str">
        <f t="shared" si="16"/>
        <v/>
      </c>
      <c r="S367" s="95" t="str">
        <f t="shared" si="17"/>
        <v/>
      </c>
      <c r="T367" s="96">
        <f t="shared" si="18"/>
        <v>0</v>
      </c>
      <c r="U367" s="51"/>
    </row>
    <row r="368" spans="1:21" x14ac:dyDescent="0.25">
      <c r="A368" s="46">
        <f t="shared" si="14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5"/>
        <v>0</v>
      </c>
      <c r="P368" s="50"/>
      <c r="Q368" s="50"/>
      <c r="R368" s="95" t="str">
        <f t="shared" si="16"/>
        <v/>
      </c>
      <c r="S368" s="95" t="str">
        <f t="shared" si="17"/>
        <v/>
      </c>
      <c r="T368" s="96">
        <f t="shared" si="18"/>
        <v>0</v>
      </c>
      <c r="U368" s="51"/>
    </row>
    <row r="369" spans="1:21" x14ac:dyDescent="0.25">
      <c r="A369" s="46">
        <f t="shared" si="14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5"/>
        <v>0</v>
      </c>
      <c r="P369" s="50"/>
      <c r="Q369" s="50"/>
      <c r="R369" s="95" t="str">
        <f t="shared" si="16"/>
        <v/>
      </c>
      <c r="S369" s="95" t="str">
        <f t="shared" si="17"/>
        <v/>
      </c>
      <c r="T369" s="96">
        <f t="shared" si="18"/>
        <v>0</v>
      </c>
      <c r="U369" s="51"/>
    </row>
    <row r="370" spans="1:21" x14ac:dyDescent="0.25">
      <c r="A370" s="46">
        <f t="shared" si="14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5"/>
        <v>0</v>
      </c>
      <c r="P370" s="50"/>
      <c r="Q370" s="50"/>
      <c r="R370" s="95" t="str">
        <f t="shared" si="16"/>
        <v/>
      </c>
      <c r="S370" s="95" t="str">
        <f t="shared" si="17"/>
        <v/>
      </c>
      <c r="T370" s="96">
        <f t="shared" si="18"/>
        <v>0</v>
      </c>
      <c r="U370" s="51"/>
    </row>
    <row r="371" spans="1:21" x14ac:dyDescent="0.25">
      <c r="A371" s="46">
        <f t="shared" si="14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5"/>
        <v>0</v>
      </c>
      <c r="P371" s="50"/>
      <c r="Q371" s="50"/>
      <c r="R371" s="95" t="str">
        <f t="shared" si="16"/>
        <v/>
      </c>
      <c r="S371" s="95" t="str">
        <f t="shared" si="17"/>
        <v/>
      </c>
      <c r="T371" s="96">
        <f t="shared" si="18"/>
        <v>0</v>
      </c>
      <c r="U371" s="51"/>
    </row>
    <row r="372" spans="1:21" x14ac:dyDescent="0.25">
      <c r="A372" s="46">
        <f t="shared" si="14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5"/>
        <v>0</v>
      </c>
      <c r="P372" s="50"/>
      <c r="Q372" s="50"/>
      <c r="R372" s="95" t="str">
        <f t="shared" si="16"/>
        <v/>
      </c>
      <c r="S372" s="95" t="str">
        <f t="shared" si="17"/>
        <v/>
      </c>
      <c r="T372" s="96">
        <f t="shared" si="18"/>
        <v>0</v>
      </c>
      <c r="U372" s="51"/>
    </row>
    <row r="373" spans="1:21" x14ac:dyDescent="0.25">
      <c r="A373" s="46">
        <f t="shared" si="14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5"/>
        <v>0</v>
      </c>
      <c r="P373" s="50"/>
      <c r="Q373" s="50"/>
      <c r="R373" s="95" t="str">
        <f t="shared" si="16"/>
        <v/>
      </c>
      <c r="S373" s="95" t="str">
        <f t="shared" si="17"/>
        <v/>
      </c>
      <c r="T373" s="96">
        <f t="shared" si="18"/>
        <v>0</v>
      </c>
      <c r="U373" s="51"/>
    </row>
    <row r="374" spans="1:21" x14ac:dyDescent="0.25">
      <c r="A374" s="46">
        <f t="shared" si="14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5"/>
        <v>0</v>
      </c>
      <c r="P374" s="50"/>
      <c r="Q374" s="50"/>
      <c r="R374" s="95" t="str">
        <f t="shared" si="16"/>
        <v/>
      </c>
      <c r="S374" s="95" t="str">
        <f t="shared" si="17"/>
        <v/>
      </c>
      <c r="T374" s="96">
        <f t="shared" si="18"/>
        <v>0</v>
      </c>
      <c r="U374" s="51"/>
    </row>
    <row r="375" spans="1:21" x14ac:dyDescent="0.25">
      <c r="A375" s="46">
        <f t="shared" si="14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5"/>
        <v>0</v>
      </c>
      <c r="P375" s="50"/>
      <c r="Q375" s="50"/>
      <c r="R375" s="95" t="str">
        <f t="shared" si="16"/>
        <v/>
      </c>
      <c r="S375" s="95" t="str">
        <f t="shared" si="17"/>
        <v/>
      </c>
      <c r="T375" s="96">
        <f t="shared" si="18"/>
        <v>0</v>
      </c>
      <c r="U375" s="51"/>
    </row>
    <row r="376" spans="1:21" x14ac:dyDescent="0.25">
      <c r="A376" s="46">
        <f t="shared" si="14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5"/>
        <v>0</v>
      </c>
      <c r="P376" s="50"/>
      <c r="Q376" s="50"/>
      <c r="R376" s="95" t="str">
        <f t="shared" si="16"/>
        <v/>
      </c>
      <c r="S376" s="95" t="str">
        <f t="shared" si="17"/>
        <v/>
      </c>
      <c r="T376" s="96">
        <f t="shared" si="18"/>
        <v>0</v>
      </c>
      <c r="U376" s="51"/>
    </row>
    <row r="377" spans="1:21" x14ac:dyDescent="0.25">
      <c r="A377" s="46">
        <f t="shared" si="14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5"/>
        <v>0</v>
      </c>
      <c r="P377" s="50"/>
      <c r="Q377" s="50"/>
      <c r="R377" s="95" t="str">
        <f t="shared" si="16"/>
        <v/>
      </c>
      <c r="S377" s="95" t="str">
        <f t="shared" si="17"/>
        <v/>
      </c>
      <c r="T377" s="96">
        <f t="shared" si="18"/>
        <v>0</v>
      </c>
      <c r="U377" s="51"/>
    </row>
    <row r="378" spans="1:21" x14ac:dyDescent="0.25">
      <c r="A378" s="46">
        <f t="shared" si="14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5"/>
        <v>0</v>
      </c>
      <c r="P378" s="50"/>
      <c r="Q378" s="50"/>
      <c r="R378" s="95" t="str">
        <f t="shared" si="16"/>
        <v/>
      </c>
      <c r="S378" s="95" t="str">
        <f t="shared" si="17"/>
        <v/>
      </c>
      <c r="T378" s="96">
        <f t="shared" si="18"/>
        <v>0</v>
      </c>
      <c r="U378" s="51"/>
    </row>
    <row r="379" spans="1:21" x14ac:dyDescent="0.25">
      <c r="A379" s="46">
        <f t="shared" si="14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5"/>
        <v>0</v>
      </c>
      <c r="P379" s="50"/>
      <c r="Q379" s="50"/>
      <c r="R379" s="95" t="str">
        <f t="shared" si="16"/>
        <v/>
      </c>
      <c r="S379" s="95" t="str">
        <f t="shared" si="17"/>
        <v/>
      </c>
      <c r="T379" s="96">
        <f t="shared" si="18"/>
        <v>0</v>
      </c>
      <c r="U379" s="51"/>
    </row>
    <row r="380" spans="1:21" x14ac:dyDescent="0.25">
      <c r="A380" s="46">
        <f t="shared" si="14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5"/>
        <v>0</v>
      </c>
      <c r="P380" s="50"/>
      <c r="Q380" s="50"/>
      <c r="R380" s="95" t="str">
        <f t="shared" si="16"/>
        <v/>
      </c>
      <c r="S380" s="95" t="str">
        <f t="shared" si="17"/>
        <v/>
      </c>
      <c r="T380" s="96">
        <f t="shared" si="18"/>
        <v>0</v>
      </c>
      <c r="U380" s="51"/>
    </row>
    <row r="381" spans="1:21" x14ac:dyDescent="0.25">
      <c r="A381" s="46">
        <f t="shared" si="14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5"/>
        <v>0</v>
      </c>
      <c r="P381" s="50"/>
      <c r="Q381" s="50"/>
      <c r="R381" s="95" t="str">
        <f t="shared" si="16"/>
        <v/>
      </c>
      <c r="S381" s="95" t="str">
        <f t="shared" si="17"/>
        <v/>
      </c>
      <c r="T381" s="96">
        <f t="shared" si="18"/>
        <v>0</v>
      </c>
      <c r="U381" s="51"/>
    </row>
    <row r="382" spans="1:21" x14ac:dyDescent="0.25">
      <c r="A382" s="46">
        <f t="shared" si="14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5"/>
        <v>0</v>
      </c>
      <c r="P382" s="50"/>
      <c r="Q382" s="50"/>
      <c r="R382" s="95" t="str">
        <f t="shared" si="16"/>
        <v/>
      </c>
      <c r="S382" s="95" t="str">
        <f t="shared" si="17"/>
        <v/>
      </c>
      <c r="T382" s="96">
        <f t="shared" si="18"/>
        <v>0</v>
      </c>
      <c r="U382" s="51"/>
    </row>
    <row r="383" spans="1:21" x14ac:dyDescent="0.25">
      <c r="A383" s="46">
        <f t="shared" si="14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5"/>
        <v>0</v>
      </c>
      <c r="P383" s="50"/>
      <c r="Q383" s="50"/>
      <c r="R383" s="95" t="str">
        <f t="shared" si="16"/>
        <v/>
      </c>
      <c r="S383" s="95" t="str">
        <f t="shared" si="17"/>
        <v/>
      </c>
      <c r="T383" s="96">
        <f t="shared" si="18"/>
        <v>0</v>
      </c>
      <c r="U383" s="51"/>
    </row>
    <row r="384" spans="1:21" x14ac:dyDescent="0.25">
      <c r="A384" s="46">
        <f t="shared" si="14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5"/>
        <v>0</v>
      </c>
      <c r="P384" s="50"/>
      <c r="Q384" s="50"/>
      <c r="R384" s="95" t="str">
        <f t="shared" si="16"/>
        <v/>
      </c>
      <c r="S384" s="95" t="str">
        <f t="shared" si="17"/>
        <v/>
      </c>
      <c r="T384" s="96">
        <f t="shared" si="18"/>
        <v>0</v>
      </c>
      <c r="U384" s="51"/>
    </row>
    <row r="385" spans="1:21" x14ac:dyDescent="0.25">
      <c r="A385" s="46">
        <f t="shared" si="14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5"/>
        <v>0</v>
      </c>
      <c r="P385" s="50"/>
      <c r="Q385" s="50"/>
      <c r="R385" s="95" t="str">
        <f t="shared" si="16"/>
        <v/>
      </c>
      <c r="S385" s="95" t="str">
        <f t="shared" si="17"/>
        <v/>
      </c>
      <c r="T385" s="96">
        <f t="shared" si="18"/>
        <v>0</v>
      </c>
      <c r="U385" s="51"/>
    </row>
    <row r="386" spans="1:21" x14ac:dyDescent="0.25">
      <c r="A386" s="46">
        <f t="shared" si="14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5"/>
        <v>0</v>
      </c>
      <c r="P386" s="50"/>
      <c r="Q386" s="50"/>
      <c r="R386" s="95" t="str">
        <f t="shared" si="16"/>
        <v/>
      </c>
      <c r="S386" s="95" t="str">
        <f t="shared" si="17"/>
        <v/>
      </c>
      <c r="T386" s="96">
        <f t="shared" si="18"/>
        <v>0</v>
      </c>
      <c r="U386" s="51"/>
    </row>
    <row r="387" spans="1:21" x14ac:dyDescent="0.25">
      <c r="A387" s="46">
        <f t="shared" si="14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5"/>
        <v>0</v>
      </c>
      <c r="P387" s="50"/>
      <c r="Q387" s="50"/>
      <c r="R387" s="95" t="str">
        <f t="shared" si="16"/>
        <v/>
      </c>
      <c r="S387" s="95" t="str">
        <f t="shared" si="17"/>
        <v/>
      </c>
      <c r="T387" s="96">
        <f t="shared" si="18"/>
        <v>0</v>
      </c>
      <c r="U387" s="51"/>
    </row>
    <row r="388" spans="1:21" x14ac:dyDescent="0.25">
      <c r="A388" s="46">
        <f t="shared" si="14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5"/>
        <v>0</v>
      </c>
      <c r="P388" s="50"/>
      <c r="Q388" s="50"/>
      <c r="R388" s="95" t="str">
        <f t="shared" si="16"/>
        <v/>
      </c>
      <c r="S388" s="95" t="str">
        <f t="shared" si="17"/>
        <v/>
      </c>
      <c r="T388" s="96">
        <f t="shared" si="18"/>
        <v>0</v>
      </c>
      <c r="U388" s="51"/>
    </row>
    <row r="389" spans="1:21" x14ac:dyDescent="0.25">
      <c r="A389" s="46">
        <f t="shared" si="14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5"/>
        <v>0</v>
      </c>
      <c r="P389" s="50"/>
      <c r="Q389" s="50"/>
      <c r="R389" s="95" t="str">
        <f t="shared" si="16"/>
        <v/>
      </c>
      <c r="S389" s="95" t="str">
        <f t="shared" si="17"/>
        <v/>
      </c>
      <c r="T389" s="96">
        <f t="shared" si="18"/>
        <v>0</v>
      </c>
      <c r="U389" s="51"/>
    </row>
    <row r="390" spans="1:21" x14ac:dyDescent="0.25">
      <c r="A390" s="46">
        <f t="shared" si="14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5"/>
        <v>0</v>
      </c>
      <c r="P390" s="50"/>
      <c r="Q390" s="50"/>
      <c r="R390" s="95" t="str">
        <f t="shared" si="16"/>
        <v/>
      </c>
      <c r="S390" s="95" t="str">
        <f t="shared" si="17"/>
        <v/>
      </c>
      <c r="T390" s="96">
        <f t="shared" si="18"/>
        <v>0</v>
      </c>
      <c r="U390" s="51"/>
    </row>
    <row r="391" spans="1:21" x14ac:dyDescent="0.25">
      <c r="A391" s="46">
        <f t="shared" si="14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5"/>
        <v>0</v>
      </c>
      <c r="P391" s="50"/>
      <c r="Q391" s="50"/>
      <c r="R391" s="95" t="str">
        <f t="shared" si="16"/>
        <v/>
      </c>
      <c r="S391" s="95" t="str">
        <f t="shared" si="17"/>
        <v/>
      </c>
      <c r="T391" s="96">
        <f t="shared" si="18"/>
        <v>0</v>
      </c>
      <c r="U391" s="51"/>
    </row>
    <row r="392" spans="1:21" x14ac:dyDescent="0.25">
      <c r="A392" s="46">
        <f t="shared" si="14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5"/>
        <v>0</v>
      </c>
      <c r="P392" s="50"/>
      <c r="Q392" s="50"/>
      <c r="R392" s="95" t="str">
        <f t="shared" si="16"/>
        <v/>
      </c>
      <c r="S392" s="95" t="str">
        <f t="shared" si="17"/>
        <v/>
      </c>
      <c r="T392" s="96">
        <f t="shared" si="18"/>
        <v>0</v>
      </c>
      <c r="U392" s="51"/>
    </row>
    <row r="393" spans="1:21" x14ac:dyDescent="0.25">
      <c r="A393" s="46">
        <f t="shared" si="14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5"/>
        <v>0</v>
      </c>
      <c r="P393" s="50"/>
      <c r="Q393" s="50"/>
      <c r="R393" s="95" t="str">
        <f t="shared" si="16"/>
        <v/>
      </c>
      <c r="S393" s="95" t="str">
        <f t="shared" si="17"/>
        <v/>
      </c>
      <c r="T393" s="96">
        <f t="shared" si="18"/>
        <v>0</v>
      </c>
      <c r="U393" s="51"/>
    </row>
    <row r="394" spans="1:21" x14ac:dyDescent="0.25">
      <c r="A394" s="46">
        <f t="shared" si="14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5"/>
        <v>0</v>
      </c>
      <c r="P394" s="50"/>
      <c r="Q394" s="50"/>
      <c r="R394" s="95" t="str">
        <f t="shared" si="16"/>
        <v/>
      </c>
      <c r="S394" s="95" t="str">
        <f t="shared" si="17"/>
        <v/>
      </c>
      <c r="T394" s="96">
        <f t="shared" si="18"/>
        <v>0</v>
      </c>
      <c r="U394" s="51"/>
    </row>
    <row r="395" spans="1:21" x14ac:dyDescent="0.25">
      <c r="A395" s="46">
        <f t="shared" si="14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5"/>
        <v>0</v>
      </c>
      <c r="P395" s="50"/>
      <c r="Q395" s="50"/>
      <c r="R395" s="95" t="str">
        <f t="shared" si="16"/>
        <v/>
      </c>
      <c r="S395" s="95" t="str">
        <f t="shared" si="17"/>
        <v/>
      </c>
      <c r="T395" s="96">
        <f t="shared" si="18"/>
        <v>0</v>
      </c>
      <c r="U395" s="51"/>
    </row>
    <row r="396" spans="1:21" x14ac:dyDescent="0.25">
      <c r="A396" s="46">
        <f t="shared" ref="A396:A411" si="19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0">T396*N396</f>
        <v>0</v>
      </c>
      <c r="P396" s="50"/>
      <c r="Q396" s="50"/>
      <c r="R396" s="95" t="str">
        <f t="shared" ref="R396:R411" si="21">IF(OR(P396="c",P396="C"),+T396,"")</f>
        <v/>
      </c>
      <c r="S396" s="95" t="str">
        <f t="shared" ref="S396:S411" si="22">IF(OR(P396="$",N396=1),+T396,"")</f>
        <v/>
      </c>
      <c r="T396" s="96">
        <f t="shared" ref="T396:T411" si="23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19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0"/>
        <v>0</v>
      </c>
      <c r="P397" s="50"/>
      <c r="Q397" s="50"/>
      <c r="R397" s="95" t="str">
        <f t="shared" si="21"/>
        <v/>
      </c>
      <c r="S397" s="95" t="str">
        <f t="shared" si="22"/>
        <v/>
      </c>
      <c r="T397" s="96">
        <f t="shared" si="23"/>
        <v>0</v>
      </c>
      <c r="U397" s="51"/>
    </row>
    <row r="398" spans="1:21" x14ac:dyDescent="0.25">
      <c r="A398" s="46">
        <f t="shared" si="19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0"/>
        <v>0</v>
      </c>
      <c r="P398" s="50"/>
      <c r="Q398" s="50"/>
      <c r="R398" s="95" t="str">
        <f t="shared" si="21"/>
        <v/>
      </c>
      <c r="S398" s="95" t="str">
        <f t="shared" si="22"/>
        <v/>
      </c>
      <c r="T398" s="96">
        <f t="shared" si="23"/>
        <v>0</v>
      </c>
      <c r="U398" s="51"/>
    </row>
    <row r="399" spans="1:21" x14ac:dyDescent="0.25">
      <c r="A399" s="46">
        <f t="shared" si="19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0"/>
        <v>0</v>
      </c>
      <c r="P399" s="50"/>
      <c r="Q399" s="50"/>
      <c r="R399" s="95" t="str">
        <f t="shared" si="21"/>
        <v/>
      </c>
      <c r="S399" s="95" t="str">
        <f t="shared" si="22"/>
        <v/>
      </c>
      <c r="T399" s="96">
        <f t="shared" si="23"/>
        <v>0</v>
      </c>
      <c r="U399" s="51"/>
    </row>
    <row r="400" spans="1:21" x14ac:dyDescent="0.25">
      <c r="A400" s="46">
        <f t="shared" si="19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0"/>
        <v>0</v>
      </c>
      <c r="P400" s="50"/>
      <c r="Q400" s="50"/>
      <c r="R400" s="95" t="str">
        <f t="shared" si="21"/>
        <v/>
      </c>
      <c r="S400" s="95" t="str">
        <f t="shared" si="22"/>
        <v/>
      </c>
      <c r="T400" s="96">
        <f t="shared" si="23"/>
        <v>0</v>
      </c>
      <c r="U400" s="51"/>
    </row>
    <row r="401" spans="1:21" x14ac:dyDescent="0.25">
      <c r="A401" s="46">
        <f t="shared" si="19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0"/>
        <v>0</v>
      </c>
      <c r="P401" s="50"/>
      <c r="Q401" s="50"/>
      <c r="R401" s="95" t="str">
        <f t="shared" si="21"/>
        <v/>
      </c>
      <c r="S401" s="95" t="str">
        <f t="shared" si="22"/>
        <v/>
      </c>
      <c r="T401" s="96">
        <f t="shared" si="23"/>
        <v>0</v>
      </c>
      <c r="U401" s="51"/>
    </row>
    <row r="402" spans="1:21" x14ac:dyDescent="0.25">
      <c r="A402" s="46">
        <f t="shared" si="19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0"/>
        <v>0</v>
      </c>
      <c r="P402" s="50"/>
      <c r="Q402" s="50"/>
      <c r="R402" s="95" t="str">
        <f t="shared" si="21"/>
        <v/>
      </c>
      <c r="S402" s="95" t="str">
        <f t="shared" si="22"/>
        <v/>
      </c>
      <c r="T402" s="96">
        <f t="shared" si="23"/>
        <v>0</v>
      </c>
      <c r="U402" s="51"/>
    </row>
    <row r="403" spans="1:21" x14ac:dyDescent="0.25">
      <c r="A403" s="46">
        <f t="shared" si="19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0"/>
        <v>0</v>
      </c>
      <c r="P403" s="50"/>
      <c r="Q403" s="50"/>
      <c r="R403" s="95" t="str">
        <f t="shared" si="21"/>
        <v/>
      </c>
      <c r="S403" s="95" t="str">
        <f t="shared" si="22"/>
        <v/>
      </c>
      <c r="T403" s="96">
        <f t="shared" si="23"/>
        <v>0</v>
      </c>
      <c r="U403" s="51"/>
    </row>
    <row r="404" spans="1:21" x14ac:dyDescent="0.25">
      <c r="A404" s="46">
        <f t="shared" si="19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0"/>
        <v>0</v>
      </c>
      <c r="P404" s="50"/>
      <c r="Q404" s="50"/>
      <c r="R404" s="95" t="str">
        <f t="shared" si="21"/>
        <v/>
      </c>
      <c r="S404" s="95" t="str">
        <f t="shared" si="22"/>
        <v/>
      </c>
      <c r="T404" s="96">
        <f t="shared" si="23"/>
        <v>0</v>
      </c>
      <c r="U404" s="51"/>
    </row>
    <row r="405" spans="1:21" x14ac:dyDescent="0.25">
      <c r="A405" s="46">
        <f t="shared" si="19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0"/>
        <v>0</v>
      </c>
      <c r="P405" s="50"/>
      <c r="Q405" s="50"/>
      <c r="R405" s="95" t="str">
        <f t="shared" si="21"/>
        <v/>
      </c>
      <c r="S405" s="95" t="str">
        <f t="shared" si="22"/>
        <v/>
      </c>
      <c r="T405" s="96">
        <f t="shared" si="23"/>
        <v>0</v>
      </c>
      <c r="U405" s="51"/>
    </row>
    <row r="406" spans="1:21" x14ac:dyDescent="0.25">
      <c r="A406" s="46">
        <f t="shared" si="19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0"/>
        <v>0</v>
      </c>
      <c r="P406" s="50"/>
      <c r="Q406" s="50"/>
      <c r="R406" s="95" t="str">
        <f t="shared" si="21"/>
        <v/>
      </c>
      <c r="S406" s="95" t="str">
        <f t="shared" si="22"/>
        <v/>
      </c>
      <c r="T406" s="96">
        <f t="shared" si="23"/>
        <v>0</v>
      </c>
      <c r="U406" s="51"/>
    </row>
    <row r="407" spans="1:21" x14ac:dyDescent="0.25">
      <c r="A407" s="46">
        <f t="shared" si="19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0"/>
        <v>0</v>
      </c>
      <c r="P407" s="50"/>
      <c r="Q407" s="50"/>
      <c r="R407" s="95" t="str">
        <f t="shared" si="21"/>
        <v/>
      </c>
      <c r="S407" s="95" t="str">
        <f t="shared" si="22"/>
        <v/>
      </c>
      <c r="T407" s="96">
        <f t="shared" si="23"/>
        <v>0</v>
      </c>
      <c r="U407" s="51"/>
    </row>
    <row r="408" spans="1:21" x14ac:dyDescent="0.25">
      <c r="A408" s="46">
        <f t="shared" si="19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0"/>
        <v>0</v>
      </c>
      <c r="P408" s="50"/>
      <c r="Q408" s="50"/>
      <c r="R408" s="95" t="str">
        <f t="shared" si="21"/>
        <v/>
      </c>
      <c r="S408" s="95" t="str">
        <f t="shared" si="22"/>
        <v/>
      </c>
      <c r="T408" s="96">
        <f t="shared" si="23"/>
        <v>0</v>
      </c>
      <c r="U408" s="51"/>
    </row>
    <row r="409" spans="1:21" x14ac:dyDescent="0.25">
      <c r="A409" s="46">
        <f t="shared" si="19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0"/>
        <v>0</v>
      </c>
      <c r="P409" s="50"/>
      <c r="Q409" s="50"/>
      <c r="R409" s="95" t="str">
        <f t="shared" si="21"/>
        <v/>
      </c>
      <c r="S409" s="95" t="str">
        <f t="shared" si="22"/>
        <v/>
      </c>
      <c r="T409" s="96">
        <f t="shared" si="23"/>
        <v>0</v>
      </c>
      <c r="U409" s="51"/>
    </row>
    <row r="410" spans="1:21" x14ac:dyDescent="0.25">
      <c r="A410" s="46">
        <f t="shared" si="19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0"/>
        <v>0</v>
      </c>
      <c r="P410" s="50"/>
      <c r="Q410" s="50"/>
      <c r="R410" s="95" t="str">
        <f t="shared" si="21"/>
        <v/>
      </c>
      <c r="S410" s="95" t="str">
        <f t="shared" si="22"/>
        <v/>
      </c>
      <c r="T410" s="96">
        <f t="shared" si="23"/>
        <v>0</v>
      </c>
      <c r="U410" s="51"/>
    </row>
    <row r="411" spans="1:21" x14ac:dyDescent="0.25">
      <c r="A411" s="46">
        <f t="shared" si="19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0"/>
        <v>0</v>
      </c>
      <c r="P411" s="50"/>
      <c r="Q411" s="50"/>
      <c r="R411" s="95" t="str">
        <f t="shared" si="21"/>
        <v/>
      </c>
      <c r="S411" s="95" t="str">
        <f t="shared" si="22"/>
        <v/>
      </c>
      <c r="T411" s="96">
        <f t="shared" si="23"/>
        <v>0</v>
      </c>
      <c r="U411" s="51"/>
    </row>
  </sheetData>
  <sheetProtection selectLockedCells="1"/>
  <sortState xmlns:xlrd2="http://schemas.microsoft.com/office/spreadsheetml/2017/richdata2" ref="B12:U212">
    <sortCondition ref="B12"/>
    <sortCondition ref="C12"/>
  </sortState>
  <mergeCells count="4">
    <mergeCell ref="K2:N2"/>
    <mergeCell ref="K3:N3"/>
    <mergeCell ref="K4:N4"/>
    <mergeCell ref="K5:L5"/>
  </mergeCells>
  <hyperlinks>
    <hyperlink ref="G113" r:id="rId1" xr:uid="{6008D3DC-6FC1-421C-A1A1-8D857CBE1B5E}"/>
    <hyperlink ref="G54" r:id="rId2" xr:uid="{6D32733D-F2FA-4DB8-8421-F19786256A88}"/>
    <hyperlink ref="G67" r:id="rId3" xr:uid="{2D6BCAD9-35A2-4329-97A3-958CCF312FBA}"/>
    <hyperlink ref="G16" r:id="rId4" xr:uid="{D582AE93-8B51-45BB-8525-B3576C01DB66}"/>
    <hyperlink ref="G73" r:id="rId5" xr:uid="{57A5CC46-A5E9-4AE7-AB30-D615565E6186}"/>
    <hyperlink ref="G23" r:id="rId6" xr:uid="{58EC3CCA-B86F-468C-B9F1-4DE1EE3FA54B}"/>
    <hyperlink ref="G108" r:id="rId7" xr:uid="{86B8630E-631C-4ABB-A5C6-3C132A2FEAE0}"/>
    <hyperlink ref="G114" r:id="rId8" xr:uid="{934F638C-5575-4EBD-9EBD-3F380CE124FF}"/>
    <hyperlink ref="G29" r:id="rId9" xr:uid="{B062150A-DEBA-439A-8409-27B97A1C88A2}"/>
    <hyperlink ref="G30" r:id="rId10" xr:uid="{F63AB346-DE5A-43EE-B546-733A58C7DA36}"/>
    <hyperlink ref="G134" r:id="rId11" xr:uid="{4D1CE430-E5EF-49F4-B680-1FDC2B134CAE}"/>
    <hyperlink ref="G135" r:id="rId12" xr:uid="{96132AA6-F850-4858-BAD2-0ABEE4202696}"/>
    <hyperlink ref="G33" r:id="rId13" xr:uid="{FBDDB847-E962-4174-8603-27C661F82680}"/>
    <hyperlink ref="G34" r:id="rId14" xr:uid="{23C5C1B0-D33E-42DD-98D5-49D02E9AE753}"/>
    <hyperlink ref="G46" r:id="rId15" xr:uid="{535F50CD-ACBC-4DC5-A687-59E7A1C5851D}"/>
    <hyperlink ref="G50" r:id="rId16" xr:uid="{B1ACBB33-3730-450B-85DC-CC618DCF3C34}"/>
    <hyperlink ref="G186" r:id="rId17" xr:uid="{DFEBCBAE-B018-4DB4-8713-544DC3EFE469}"/>
    <hyperlink ref="G190" r:id="rId18" xr:uid="{BD492050-69E4-4E14-8060-18A2E0AF2451}"/>
    <hyperlink ref="G57" r:id="rId19" xr:uid="{FD48B2A3-311E-43AD-977A-4CE1DB941FA1}"/>
    <hyperlink ref="G204" r:id="rId20" xr:uid="{F288E5A8-2DEA-4BBA-8413-46857F932417}"/>
    <hyperlink ref="G63" r:id="rId21" xr:uid="{BC1D3777-0106-4513-9EF2-AD1E2F23B159}"/>
    <hyperlink ref="G209" r:id="rId22" xr:uid="{3014B81E-D4FF-4F41-9606-65407F29B15D}"/>
    <hyperlink ref="G153" r:id="rId23" xr:uid="{E6BE1735-71B0-4C74-A915-91A5E8CE47C3}"/>
    <hyperlink ref="G154" r:id="rId24" xr:uid="{41CD173B-8AB6-4537-8078-A33ABADD79C4}"/>
    <hyperlink ref="G22" r:id="rId25" xr:uid="{553D266F-B5CC-468F-B30D-C3B1FD2A1FC9}"/>
    <hyperlink ref="G37" r:id="rId26" xr:uid="{07856DD6-BEC9-42D2-9C69-6194F2FF4FD4}"/>
    <hyperlink ref="G120" r:id="rId27" xr:uid="{66C9C4D0-F8A0-4525-A5DD-A37C7DBFD7EF}"/>
    <hyperlink ref="G165" r:id="rId28" xr:uid="{A337812D-E676-4078-8AF3-1DD3E8258278}"/>
    <hyperlink ref="G160" r:id="rId29" xr:uid="{803F8FD1-1FC5-4408-B886-1FD660C38AA8}"/>
    <hyperlink ref="G148" r:id="rId30" xr:uid="{A0C42BB3-747B-4781-97DA-A5BAD5DB3E45}"/>
    <hyperlink ref="G121" r:id="rId31" xr:uid="{5741BEED-27B1-4EB3-96B4-9009B5BF1E07}"/>
    <hyperlink ref="G183" r:id="rId32" xr:uid="{23E6103C-4FC1-4C27-98E4-0E14789A01F3}"/>
    <hyperlink ref="G194" r:id="rId33" xr:uid="{FBDCF1FF-4B38-49C5-B3E5-867518F46A8A}"/>
    <hyperlink ref="G64" r:id="rId34" xr:uid="{14CE6FA0-0E18-4D23-A19A-54181AC3C963}"/>
    <hyperlink ref="G185" r:id="rId35" xr:uid="{EB4D89A7-09B1-4B64-A095-BFF7D45E01C3}"/>
    <hyperlink ref="G42" r:id="rId36" xr:uid="{801CEA8D-3CE5-4376-BB38-80ED6BB133EB}"/>
    <hyperlink ref="G56" r:id="rId37" xr:uid="{A373D8DF-2ECF-4D50-A323-21D00EB24FB2}"/>
    <hyperlink ref="G81" r:id="rId38" xr:uid="{AE9FDD42-40D8-47F9-AB49-CC14ECF93FA9}"/>
    <hyperlink ref="G48" r:id="rId39" xr:uid="{7E769DF4-49E0-4A72-8008-B3313EF65FCC}"/>
    <hyperlink ref="G178" r:id="rId40" xr:uid="{F5940B5E-2BC7-4355-A995-7B6AEE9C9DEB}"/>
    <hyperlink ref="G127" r:id="rId41" xr:uid="{408C10FD-C506-4359-98B6-E91D1E008EC7}"/>
    <hyperlink ref="G117" r:id="rId42" xr:uid="{7A755FBB-6927-455B-A41A-72C54E988BC1}"/>
    <hyperlink ref="G118" r:id="rId43" xr:uid="{87227DC3-F89D-4589-873A-F67FD7889D12}"/>
    <hyperlink ref="G92" r:id="rId44" xr:uid="{B65734E3-509E-4893-9436-0E9458F21B1F}"/>
    <hyperlink ref="G65" r:id="rId45" xr:uid="{E581576E-E8D6-4F7B-87D9-E84E5B29C4FA}"/>
    <hyperlink ref="G39" r:id="rId46" xr:uid="{BF8F4D95-C0C5-481D-9502-8B706960BC09}"/>
    <hyperlink ref="G75" r:id="rId47" xr:uid="{D818D510-B97A-4030-8593-DA85A6D5ED9D}"/>
    <hyperlink ref="G28" r:id="rId48" xr:uid="{1525354F-0F83-41B8-BBA2-4C9233A72CEF}"/>
    <hyperlink ref="G109" r:id="rId49" xr:uid="{625D1E78-AA3B-4261-B981-1C8250A75D21}"/>
    <hyperlink ref="G161" r:id="rId50" xr:uid="{AB35400A-D2E8-4814-A1F6-B66A1E9F292C}"/>
    <hyperlink ref="G62" r:id="rId51" xr:uid="{B3E67E0A-9B87-40D8-9E34-F61760606031}"/>
    <hyperlink ref="G17" r:id="rId52" xr:uid="{22B36302-EA84-4738-95A7-DA6C7FE563D9}"/>
    <hyperlink ref="G18" r:id="rId53" xr:uid="{0FE743A6-A677-42E3-A648-DAD4C91B4351}"/>
    <hyperlink ref="G61" r:id="rId54" xr:uid="{243513AF-4744-4D1C-8E61-1500F82832D2}"/>
    <hyperlink ref="G47" r:id="rId55" xr:uid="{08D3B4A4-00E4-45A3-83B0-1CAD4F1C3196}"/>
    <hyperlink ref="G12" r:id="rId56" xr:uid="{95801114-A655-449C-8811-A474589E9BB4}"/>
    <hyperlink ref="G45" r:id="rId57" xr:uid="{C4256EC4-1204-45A8-A006-7FC976B1622F}"/>
    <hyperlink ref="G19" r:id="rId58" xr:uid="{10DFF476-7DB4-4DEC-A1E0-67991370C4F3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758</v>
      </c>
      <c r="B5" s="5"/>
      <c r="C5" s="6" t="s">
        <v>759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780</v>
      </c>
      <c r="B9" s="7" t="s">
        <v>781</v>
      </c>
      <c r="C9" s="10" t="s">
        <v>782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2025-03-18T22:02:26Z</dcterms:modified>
</cp:coreProperties>
</file>