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ourney2025\Tourney_2025_Version\YB PrelimReg\"/>
    </mc:Choice>
  </mc:AlternateContent>
  <xr:revisionPtr revIDLastSave="0" documentId="13_ncr:1_{C2B7C291-E54F-4451-8D8D-C96BC3C84269}" xr6:coauthVersionLast="47" xr6:coauthVersionMax="47" xr10:uidLastSave="{00000000-0000-0000-0000-000000000000}"/>
  <bookViews>
    <workbookView xWindow="150" yWindow="180" windowWidth="27495" windowHeight="1485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07" i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S18" i="1"/>
  <c r="T18" i="1"/>
  <c r="O18" i="1" s="1"/>
  <c r="R75" i="1"/>
  <c r="S75" i="1"/>
  <c r="T75" i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R80" i="1"/>
  <c r="S80" i="1"/>
  <c r="T80" i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R86" i="1"/>
  <c r="S86" i="1"/>
  <c r="T86" i="1"/>
  <c r="O86" i="1" s="1"/>
  <c r="R87" i="1"/>
  <c r="S87" i="1"/>
  <c r="T87" i="1"/>
  <c r="O87" i="1" s="1"/>
  <c r="R88" i="1"/>
  <c r="S88" i="1"/>
  <c r="T88" i="1"/>
  <c r="R69" i="1"/>
  <c r="S69" i="1"/>
  <c r="S22" i="1"/>
  <c r="T22" i="1"/>
  <c r="O22" i="1" s="1"/>
  <c r="R89" i="1"/>
  <c r="S89" i="1"/>
  <c r="T89" i="1"/>
  <c r="R90" i="1"/>
  <c r="S90" i="1"/>
  <c r="T90" i="1"/>
  <c r="R91" i="1"/>
  <c r="S91" i="1"/>
  <c r="T91" i="1"/>
  <c r="S23" i="1"/>
  <c r="T23" i="1"/>
  <c r="R23" i="1" s="1"/>
  <c r="R92" i="1"/>
  <c r="S92" i="1"/>
  <c r="T92" i="1"/>
  <c r="R93" i="1"/>
  <c r="S93" i="1"/>
  <c r="T93" i="1"/>
  <c r="S24" i="1"/>
  <c r="T24" i="1"/>
  <c r="O24" i="1" s="1"/>
  <c r="R94" i="1"/>
  <c r="S94" i="1"/>
  <c r="T94" i="1"/>
  <c r="O94" i="1" s="1"/>
  <c r="R95" i="1"/>
  <c r="S95" i="1"/>
  <c r="T95" i="1"/>
  <c r="R96" i="1"/>
  <c r="S96" i="1"/>
  <c r="T96" i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R112" i="1"/>
  <c r="S112" i="1"/>
  <c r="T112" i="1"/>
  <c r="O112" i="1" s="1"/>
  <c r="R113" i="1"/>
  <c r="S113" i="1"/>
  <c r="T113" i="1"/>
  <c r="R114" i="1"/>
  <c r="S114" i="1"/>
  <c r="T114" i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R136" i="1"/>
  <c r="S136" i="1"/>
  <c r="T136" i="1"/>
  <c r="O136" i="1" s="1"/>
  <c r="R137" i="1"/>
  <c r="S137" i="1"/>
  <c r="T137" i="1"/>
  <c r="O137" i="1" s="1"/>
  <c r="R138" i="1"/>
  <c r="S138" i="1"/>
  <c r="T138" i="1"/>
  <c r="S35" i="1"/>
  <c r="T35" i="1"/>
  <c r="O35" i="1" s="1"/>
  <c r="R139" i="1"/>
  <c r="S139" i="1"/>
  <c r="T139" i="1"/>
  <c r="O139" i="1" s="1"/>
  <c r="R140" i="1"/>
  <c r="S140" i="1"/>
  <c r="T140" i="1"/>
  <c r="R141" i="1"/>
  <c r="S141" i="1"/>
  <c r="T141" i="1"/>
  <c r="R142" i="1"/>
  <c r="S142" i="1"/>
  <c r="T142" i="1"/>
  <c r="O142" i="1" s="1"/>
  <c r="R143" i="1"/>
  <c r="S143" i="1"/>
  <c r="T143" i="1"/>
  <c r="O143" i="1" s="1"/>
  <c r="R144" i="1"/>
  <c r="S144" i="1"/>
  <c r="T144" i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72" i="1"/>
  <c r="O74" i="1"/>
  <c r="O75" i="1"/>
  <c r="O79" i="1"/>
  <c r="O80" i="1"/>
  <c r="O81" i="1"/>
  <c r="O82" i="1"/>
  <c r="O85" i="1"/>
  <c r="O88" i="1"/>
  <c r="O89" i="1"/>
  <c r="O90" i="1"/>
  <c r="O91" i="1"/>
  <c r="O92" i="1"/>
  <c r="O93" i="1"/>
  <c r="O95" i="1"/>
  <c r="O96" i="1"/>
  <c r="O103" i="1"/>
  <c r="O111" i="1"/>
  <c r="O113" i="1"/>
  <c r="O114" i="1"/>
  <c r="O119" i="1"/>
  <c r="O135" i="1"/>
  <c r="O138" i="1"/>
  <c r="O140" i="1"/>
  <c r="O141" i="1"/>
  <c r="O144" i="1"/>
  <c r="O37" i="1"/>
  <c r="O38" i="1"/>
  <c r="O147" i="1"/>
  <c r="O151" i="1"/>
  <c r="O157" i="1"/>
  <c r="O29" i="1" l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B7" i="14"/>
  <c r="B6" i="14"/>
  <c r="B5" i="14"/>
  <c r="B4" i="14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<sst xmlns="http://schemas.openxmlformats.org/spreadsheetml/2006/main" count="1025" uniqueCount="773">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</sst>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1" xfId="1" applyBorder="1" applyAlignment="1" applyProtection="1"/>
    <xf numFmtId="0" fontId="11" fillId="0" borderId="0" xfId="1" applyFill="1" applyBorder="1" applyAlignment="1" applyProtection="1"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>
      <alignment horizontal="center"/>
    </xf>
    <xf numFmtId="166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1" fillId="0" borderId="0" xfId="0" applyFon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19" t="s">
        <v>574</v>
      </c>
      <c r="D1" s="120"/>
      <c r="E1" s="121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4" t="s">
        <v>648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45" t="s">
        <v>557</v>
      </c>
      <c r="C5" s="124" t="s">
        <v>649</v>
      </c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45" t="s">
        <v>558</v>
      </c>
      <c r="C7" s="124" t="s">
        <v>650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45" t="s">
        <v>559</v>
      </c>
      <c r="C9" s="77">
        <v>45402</v>
      </c>
    </row>
    <row r="10" spans="1:8" ht="15.75" thickBot="1" x14ac:dyDescent="0.3"/>
    <row r="11" spans="1:8" ht="16.5" thickBot="1" x14ac:dyDescent="0.3">
      <c r="A11" s="45" t="s">
        <v>560</v>
      </c>
      <c r="C11" s="122" t="s">
        <v>651</v>
      </c>
      <c r="D11" s="123"/>
      <c r="E11" s="122" t="s">
        <v>652</v>
      </c>
      <c r="F11" s="123"/>
      <c r="G11" s="122" t="s">
        <v>653</v>
      </c>
      <c r="H11" s="123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2" t="s">
        <v>654</v>
      </c>
      <c r="D13" s="123"/>
      <c r="E13" s="122" t="s">
        <v>655</v>
      </c>
      <c r="F13" s="123"/>
      <c r="G13" s="122" t="s">
        <v>656</v>
      </c>
      <c r="H13" s="123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2" t="s">
        <v>365</v>
      </c>
      <c r="D15" s="123"/>
      <c r="E15" s="122" t="s">
        <v>657</v>
      </c>
      <c r="F15" s="123"/>
      <c r="G15" s="122" t="s">
        <v>517</v>
      </c>
      <c r="H15" s="123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28" t="s">
        <v>574</v>
      </c>
      <c r="D2" s="129"/>
      <c r="E2" s="129"/>
      <c r="F2" s="129"/>
      <c r="G2" s="130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7" t="str">
        <f>Tourney!$C$3</f>
        <v>Napa Wine Country Open</v>
      </c>
      <c r="C4" s="127"/>
      <c r="D4" s="127"/>
      <c r="E4" s="127"/>
      <c r="F4" s="127"/>
    </row>
    <row r="5" spans="1:7" x14ac:dyDescent="0.25">
      <c r="A5" s="28" t="s">
        <v>576</v>
      </c>
      <c r="B5" s="132" t="str">
        <f>Tourney!$C$5</f>
        <v>The Moose Lodge</v>
      </c>
      <c r="C5" s="132"/>
      <c r="D5" s="132"/>
      <c r="E5" s="132"/>
      <c r="F5" s="132"/>
    </row>
    <row r="6" spans="1:7" x14ac:dyDescent="0.25">
      <c r="A6" s="28" t="s">
        <v>578</v>
      </c>
      <c r="B6" s="132" t="str">
        <f>Tourney!$C$7</f>
        <v>Napa, Ca, 94558</v>
      </c>
      <c r="C6" s="132"/>
      <c r="D6" s="132"/>
      <c r="E6" s="132"/>
      <c r="F6" s="132"/>
    </row>
    <row r="7" spans="1:7" x14ac:dyDescent="0.25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1" t="s">
        <v>575</v>
      </c>
      <c r="D15" s="131"/>
      <c r="E15" s="131"/>
      <c r="F15" s="131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Normal="100" workbookViewId="0">
      <pane xSplit="1" ySplit="11" topLeftCell="B30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3" t="str">
        <f>Tourney!$C$3</f>
        <v>Napa Wine Country Open</v>
      </c>
      <c r="L2" s="133"/>
      <c r="M2" s="133"/>
      <c r="N2" s="133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3" t="str">
        <f>Tourney!$C$5</f>
        <v>The Moose Lodge</v>
      </c>
      <c r="L3" s="133"/>
      <c r="M3" s="133"/>
      <c r="N3" s="133"/>
    </row>
    <row r="4" spans="1:25" ht="16.5" customHeight="1" x14ac:dyDescent="0.25">
      <c r="A4" s="10"/>
      <c r="H4" s="12" t="s">
        <v>567</v>
      </c>
      <c r="I4" s="12"/>
      <c r="K4" s="133" t="str">
        <f>Tourney!$C$7</f>
        <v>Napa, Ca, 94558</v>
      </c>
      <c r="L4" s="133"/>
      <c r="M4" s="133"/>
      <c r="N4" s="133"/>
    </row>
    <row r="5" spans="1:25" ht="16.5" customHeight="1" x14ac:dyDescent="0.25">
      <c r="A5" s="10"/>
      <c r="H5" s="12" t="s">
        <v>559</v>
      </c>
      <c r="I5" s="12"/>
      <c r="K5" s="134">
        <f>Tourney!$C$9</f>
        <v>45402</v>
      </c>
      <c r="L5" s="134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58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>T12*N12</f>
        <v>70</v>
      </c>
      <c r="P12" s="9" t="s">
        <v>724</v>
      </c>
      <c r="Q12" s="9"/>
      <c r="R12" s="89" t="str">
        <f>IF(OR(P12="c",P12="C"),+T12,"")</f>
        <v/>
      </c>
      <c r="S12" s="89">
        <f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>T13*N13</f>
        <v>0</v>
      </c>
      <c r="P13" s="9" t="s">
        <v>721</v>
      </c>
      <c r="Q13" s="9">
        <v>930</v>
      </c>
      <c r="R13" s="89">
        <f>IF(OR(P13="c",P13="C"),+T13,"")</f>
        <v>90</v>
      </c>
      <c r="S13" s="89" t="str">
        <f>IF(OR(P13="$",N13=1),+T13,"")</f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37">
        <v>9169894301</v>
      </c>
      <c r="G14" s="118" t="s">
        <v>695</v>
      </c>
      <c r="H14" s="8"/>
      <c r="I14" s="9"/>
      <c r="J14" s="9">
        <v>1</v>
      </c>
      <c r="K14" s="9"/>
      <c r="L14" s="9"/>
      <c r="M14" s="9"/>
      <c r="N14" s="9"/>
      <c r="O14" s="88">
        <f>T14*N14</f>
        <v>0</v>
      </c>
      <c r="P14" s="9" t="s">
        <v>721</v>
      </c>
      <c r="Q14" s="9">
        <v>930</v>
      </c>
      <c r="R14" s="89">
        <f>IF(OR(P14="c",P14="C"),+T14,"")</f>
        <v>90</v>
      </c>
      <c r="S14" s="89" t="str">
        <f>IF(OR(P14="$",N14=1),+T14,"")</f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3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>T15*N15</f>
        <v>0</v>
      </c>
      <c r="P15" s="9" t="s">
        <v>721</v>
      </c>
      <c r="Q15" s="9">
        <v>398</v>
      </c>
      <c r="R15" s="89">
        <f>IF(OR(P15="c",P15="C"),+T15,"")</f>
        <v>80</v>
      </c>
      <c r="S15" s="89" t="str">
        <f>IF(OR(P15="$",N15=1),+T15,"")</f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88">
        <f>T16*N16</f>
        <v>0</v>
      </c>
      <c r="P16" s="9" t="s">
        <v>721</v>
      </c>
      <c r="Q16" s="9">
        <v>1723</v>
      </c>
      <c r="R16" s="89">
        <f>IF(OR(P16="c",P16="C"),+T16,"")</f>
        <v>160</v>
      </c>
      <c r="S16" s="89" t="str">
        <f>IF(OR(P16="$",N16=1),+T16,"")</f>
        <v/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>
        <v>1</v>
      </c>
      <c r="I17" s="9">
        <v>1</v>
      </c>
      <c r="J17" s="9">
        <v>1</v>
      </c>
      <c r="K17" s="9">
        <v>1</v>
      </c>
      <c r="L17" s="9">
        <v>1</v>
      </c>
      <c r="M17" s="9"/>
      <c r="N17" s="9"/>
      <c r="O17" s="88">
        <f>T17*N17</f>
        <v>0</v>
      </c>
      <c r="P17" s="9" t="s">
        <v>721</v>
      </c>
      <c r="Q17" s="9">
        <v>1587</v>
      </c>
      <c r="R17" s="89">
        <f>IF(OR(P17="c",P17="C"),+T17,"")</f>
        <v>160</v>
      </c>
      <c r="S17" s="89" t="str">
        <f>IF(OR(P17="$",N17=1),+T17,"")</f>
        <v/>
      </c>
      <c r="T17" s="90">
        <f>H17*[0]!FMainPool1Fee+I17*[0]!FMainPool2Fee+J17*[0]!FMainPool3Fee+K17*[0]!FMainPool4Fee+B17*[0]!FMainEntryFee</f>
        <v>160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>
        <v>1</v>
      </c>
      <c r="I18" s="9">
        <v>1</v>
      </c>
      <c r="J18" s="9">
        <v>1</v>
      </c>
      <c r="K18" s="9">
        <v>1</v>
      </c>
      <c r="L18" s="9"/>
      <c r="M18" s="9"/>
      <c r="N18" s="9"/>
      <c r="O18" s="88">
        <f>T18*N18</f>
        <v>0</v>
      </c>
      <c r="P18" s="9" t="s">
        <v>721</v>
      </c>
      <c r="Q18" s="9">
        <v>1826</v>
      </c>
      <c r="R18" s="89">
        <f>IF(OR(P18="c",P18="C"),+T18,"")</f>
        <v>160</v>
      </c>
      <c r="S18" s="89" t="str">
        <f>IF(OR(P18="$",N18=1),+T18,"")</f>
        <v/>
      </c>
      <c r="T18" s="90">
        <f>H18*[0]!FMainPool1Fee+I18*[0]!FMainPool2Fee+J18*[0]!FMainPool3Fee+K18*[0]!FMainPool4Fee+B18*[0]!FMainEntryFee</f>
        <v>160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>T19*N19</f>
        <v>0</v>
      </c>
      <c r="P19" s="9" t="s">
        <v>724</v>
      </c>
      <c r="Q19" s="9" t="s">
        <v>684</v>
      </c>
      <c r="R19" s="89" t="str">
        <f>IF(OR(P19="c",P19="C"),+T19,"")</f>
        <v/>
      </c>
      <c r="S19" s="89">
        <f>IF(OR(P19="$",N19=1),+T19,"")</f>
        <v>70</v>
      </c>
      <c r="T19" s="90">
        <f>H19*[0]!FMainPool1Fee+I19*[0]!FMainPool2Fee+J19*[0]!FMainPool3Fee+K19*[0]!FMainPool4Fee+B19*[0]!FMainEntryFee</f>
        <v>70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743</v>
      </c>
      <c r="D20" s="6" t="s">
        <v>744</v>
      </c>
      <c r="E20" s="7" t="s">
        <v>745</v>
      </c>
      <c r="F20" s="86">
        <v>9257272271</v>
      </c>
      <c r="G20" s="117" t="s">
        <v>746</v>
      </c>
      <c r="H20" s="8">
        <v>1</v>
      </c>
      <c r="I20" s="9"/>
      <c r="J20" s="9"/>
      <c r="K20" s="9"/>
      <c r="L20" s="9"/>
      <c r="M20" s="9"/>
      <c r="N20" s="9"/>
      <c r="O20" s="88">
        <f>T20*N20</f>
        <v>0</v>
      </c>
      <c r="P20" s="9" t="s">
        <v>724</v>
      </c>
      <c r="Q20" s="9" t="s">
        <v>704</v>
      </c>
      <c r="R20" s="89" t="str">
        <f>IF(OR(P20="c",P20="C"),+T20,"")</f>
        <v/>
      </c>
      <c r="S20" s="89">
        <f>IF(OR(P20="$",N20=1),+T20,"")</f>
        <v>80</v>
      </c>
      <c r="T20" s="90">
        <f>H20*[0]!FMainPool1Fee+I20*[0]!FMainPool2Fee+J20*[0]!FMainPool3Fee+K20*[0]!FMainPool4Fee+B20*[0]!FMainEntryFee</f>
        <v>80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6" t="s">
        <v>764</v>
      </c>
      <c r="D21" s="6" t="s">
        <v>15</v>
      </c>
      <c r="E21" s="7" t="s">
        <v>765</v>
      </c>
      <c r="F21" s="104">
        <v>7078430341</v>
      </c>
      <c r="G21" s="117" t="s">
        <v>766</v>
      </c>
      <c r="H21" s="8">
        <v>1</v>
      </c>
      <c r="I21" s="9"/>
      <c r="J21" s="9"/>
      <c r="K21" s="9"/>
      <c r="L21" s="9"/>
      <c r="M21" s="9"/>
      <c r="N21" s="9"/>
      <c r="O21" s="88">
        <f>T21*N21</f>
        <v>0</v>
      </c>
      <c r="P21" s="9" t="s">
        <v>724</v>
      </c>
      <c r="Q21" s="9" t="s">
        <v>684</v>
      </c>
      <c r="R21" s="89" t="str">
        <f>IF(OR(P21="c",P21="C"),+T21,"")</f>
        <v/>
      </c>
      <c r="S21" s="89">
        <f>IF(OR(P21="$",N21=1),+T21,"")</f>
        <v>80</v>
      </c>
      <c r="T21" s="90">
        <f>H21*[0]!FMainPool1Fee+I21*[0]!FMainPool2Fee+J21*[0]!FMainPool3Fee+K21*[0]!FMainPool4Fee+B21*[0]!FMainEntryFee</f>
        <v>80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88">
        <f>T22*N22</f>
        <v>0</v>
      </c>
      <c r="P22" s="9" t="s">
        <v>721</v>
      </c>
      <c r="Q22" s="9">
        <v>3536</v>
      </c>
      <c r="R22" s="89">
        <f>IF(OR(P22="c",P22="C"),+T22,"")</f>
        <v>160</v>
      </c>
      <c r="S22" s="89" t="str">
        <f>IF(OR(P22="$",N22=1),+T22,"")</f>
        <v/>
      </c>
      <c r="T22" s="90">
        <f>H22*[0]!FMainPool1Fee+I22*[0]!FMainPool2Fee+J22*[0]!FMainPool3Fee+K22*[0]!FMainPool4Fee+B22*[0]!FMainEntryFee</f>
        <v>160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>
        <v>1</v>
      </c>
      <c r="I23" s="9"/>
      <c r="J23" s="9"/>
      <c r="K23" s="9"/>
      <c r="L23" s="9"/>
      <c r="M23" s="9"/>
      <c r="N23" s="9"/>
      <c r="O23" s="88">
        <f>T23*N23</f>
        <v>0</v>
      </c>
      <c r="P23" s="9" t="s">
        <v>721</v>
      </c>
      <c r="Q23" s="9">
        <v>206</v>
      </c>
      <c r="R23" s="89">
        <f>IF(OR(P23="c",P23="C"),+T23,"")</f>
        <v>80</v>
      </c>
      <c r="S23" s="89" t="str">
        <f>IF(OR(P23="$",N23=1),+T23,"")</f>
        <v/>
      </c>
      <c r="T23" s="90">
        <f>H23*[0]!FMainPool1Fee+I23*[0]!FMainPool2Fee+J23*[0]!FMainPool3Fee+K23*[0]!FMainPool4Fee+B23*[0]!FMainEntryFee</f>
        <v>80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>T24*N24</f>
        <v>0</v>
      </c>
      <c r="P24" s="9" t="s">
        <v>721</v>
      </c>
      <c r="Q24" s="9">
        <v>1094</v>
      </c>
      <c r="R24" s="89">
        <f>IF(OR(P24="c",P24="C"),+T24,"")</f>
        <v>70</v>
      </c>
      <c r="S24" s="89" t="str">
        <f>IF(OR(P24="$",N24=1),+T24,"")</f>
        <v/>
      </c>
      <c r="T24" s="90">
        <f>H24*[0]!FMainPool1Fee+I24*[0]!FMainPool2Fee+J24*[0]!FMainPool3Fee+K24*[0]!FMainPool4Fee+B24*[0]!FMainEntryFee</f>
        <v>70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>
        <v>1</v>
      </c>
      <c r="I25" s="9">
        <v>1</v>
      </c>
      <c r="J25" s="9"/>
      <c r="K25" s="9"/>
      <c r="L25" s="9"/>
      <c r="M25" s="9"/>
      <c r="N25" s="9"/>
      <c r="O25" s="88">
        <f>T25*N25</f>
        <v>0</v>
      </c>
      <c r="P25" s="9" t="s">
        <v>724</v>
      </c>
      <c r="Q25" s="9" t="s">
        <v>553</v>
      </c>
      <c r="R25" s="89" t="str">
        <f>IF(OR(P25="c",P25="C"),+T25,"")</f>
        <v/>
      </c>
      <c r="S25" s="89">
        <f>IF(OR(P25="$",N25=1),+T25,"")</f>
        <v>90</v>
      </c>
      <c r="T25" s="90">
        <f>H25*[0]!FMainPool1Fee+I25*[0]!FMainPool2Fee+J25*[0]!FMainPool3Fee+K25*[0]!FMainPool4Fee+B25*[0]!FMainEntryFee</f>
        <v>90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>
        <v>1</v>
      </c>
      <c r="C26" s="101" t="s">
        <v>599</v>
      </c>
      <c r="D26" s="101" t="s">
        <v>304</v>
      </c>
      <c r="E26" s="95" t="s">
        <v>600</v>
      </c>
      <c r="F26" s="116">
        <v>2793335535</v>
      </c>
      <c r="G26" s="101"/>
      <c r="H26" s="8">
        <v>1</v>
      </c>
      <c r="I26" s="9">
        <v>1</v>
      </c>
      <c r="J26" s="9">
        <v>1</v>
      </c>
      <c r="K26" s="9"/>
      <c r="L26" s="9"/>
      <c r="M26" s="9"/>
      <c r="N26" s="9"/>
      <c r="O26" s="88">
        <f>T26*N26</f>
        <v>0</v>
      </c>
      <c r="P26" s="9" t="s">
        <v>721</v>
      </c>
      <c r="Q26" s="9">
        <v>1360</v>
      </c>
      <c r="R26" s="89">
        <f>IF(OR(P26="c",P26="C"),+T26,"")</f>
        <v>110</v>
      </c>
      <c r="S26" s="89" t="str">
        <f>IF(OR(P26="$",N26=1),+T26,"")</f>
        <v/>
      </c>
      <c r="T26" s="90">
        <f>H26*[0]!FMainPool1Fee+I26*[0]!FMainPool2Fee+J26*[0]!FMainPool3Fee+K26*[0]!FMainPool4Fee+B26*[0]!FMainEntryFee</f>
        <v>110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>
        <v>1</v>
      </c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>
        <v>1</v>
      </c>
      <c r="I27" s="9"/>
      <c r="J27" s="9">
        <v>1</v>
      </c>
      <c r="K27" s="9"/>
      <c r="L27" s="9"/>
      <c r="M27" s="9"/>
      <c r="N27" s="9">
        <v>1</v>
      </c>
      <c r="O27" s="88">
        <f>T27*N27</f>
        <v>100</v>
      </c>
      <c r="P27" s="9" t="s">
        <v>724</v>
      </c>
      <c r="Q27" s="9"/>
      <c r="R27" s="89" t="str">
        <f>IF(OR(P27="c",P27="C"),+T27,"")</f>
        <v/>
      </c>
      <c r="S27" s="89">
        <f>IF(OR(P27="$",N27=1),+T27,"")</f>
        <v>100</v>
      </c>
      <c r="T27" s="90">
        <f>H27*[0]!FMainPool1Fee+I27*[0]!FMainPool2Fee+J27*[0]!FMainPool3Fee+K27*[0]!FMainPool4Fee+B27*[0]!FMainEntryFee</f>
        <v>100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>
        <v>1</v>
      </c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>
        <v>1</v>
      </c>
      <c r="I28" s="9">
        <v>1</v>
      </c>
      <c r="J28" s="9">
        <v>1</v>
      </c>
      <c r="K28" s="9">
        <v>1</v>
      </c>
      <c r="L28" s="9">
        <v>1</v>
      </c>
      <c r="M28" s="9"/>
      <c r="N28" s="9">
        <v>1</v>
      </c>
      <c r="O28" s="88">
        <f>T28*N28</f>
        <v>160</v>
      </c>
      <c r="P28" s="9"/>
      <c r="Q28" s="9"/>
      <c r="R28" s="89" t="str">
        <f>IF(OR(P28="c",P28="C"),+T28,"")</f>
        <v/>
      </c>
      <c r="S28" s="89">
        <f>IF(OR(P28="$",N28=1),+T28,"")</f>
        <v>160</v>
      </c>
      <c r="T28" s="90">
        <f>H28*[0]!FMainPool1Fee+I28*[0]!FMainPool2Fee+J28*[0]!FMainPool3Fee+K28*[0]!FMainPool4Fee+B28*[0]!FMainEntryFee</f>
        <v>160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>
        <v>1</v>
      </c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>
        <v>1</v>
      </c>
      <c r="I29" s="9">
        <v>1</v>
      </c>
      <c r="J29" s="9">
        <v>1</v>
      </c>
      <c r="K29" s="9">
        <v>1</v>
      </c>
      <c r="L29" s="9">
        <v>1</v>
      </c>
      <c r="M29" s="9"/>
      <c r="N29" s="9"/>
      <c r="O29" s="88">
        <f>T29*N29</f>
        <v>0</v>
      </c>
      <c r="P29" s="9" t="s">
        <v>724</v>
      </c>
      <c r="Q29" s="9"/>
      <c r="R29" s="89" t="str">
        <f>IF(OR(P29="c",P29="C"),+T29,"")</f>
        <v/>
      </c>
      <c r="S29" s="89">
        <f>IF(OR(P29="$",N29=1),+T29,"")</f>
        <v>160</v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>
        <v>1</v>
      </c>
      <c r="I30" s="9"/>
      <c r="J30" s="9"/>
      <c r="K30" s="9"/>
      <c r="L30" s="9"/>
      <c r="M30" s="9"/>
      <c r="N30" s="9"/>
      <c r="O30" s="88">
        <f>T30*N30</f>
        <v>0</v>
      </c>
      <c r="P30" s="9" t="s">
        <v>724</v>
      </c>
      <c r="Q30" s="9" t="s">
        <v>684</v>
      </c>
      <c r="R30" s="89" t="str">
        <f>IF(OR(P30="c",P30="C"),+T30,"")</f>
        <v/>
      </c>
      <c r="S30" s="89">
        <f>IF(OR(P30="$",N30=1),+T30,"")</f>
        <v>80</v>
      </c>
      <c r="T30" s="90">
        <f>H30*[0]!FMainPool1Fee+I30*[0]!FMainPool2Fee+J30*[0]!FMainPool3Fee+K30*[0]!FMainPool4Fee+B30*[0]!FMainEntryFee</f>
        <v>80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>
        <v>1</v>
      </c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>
        <v>1</v>
      </c>
      <c r="O31" s="88">
        <f>T31*N31</f>
        <v>160</v>
      </c>
      <c r="P31" s="9"/>
      <c r="Q31" s="9"/>
      <c r="R31" s="89" t="str">
        <f>IF(OR(P31="c",P31="C"),+T31,"")</f>
        <v/>
      </c>
      <c r="S31" s="89">
        <f>IF(OR(P31="$",N31=1),+T31,"")</f>
        <v>160</v>
      </c>
      <c r="T31" s="90">
        <f>H31*[0]!FMainPool1Fee+I31*[0]!FMainPool2Fee+J31*[0]!FMainPool3Fee+K31*[0]!FMainPool4Fee+B31*[0]!FMainEntryFee</f>
        <v>160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>
        <v>1</v>
      </c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88">
        <f>T32*N32</f>
        <v>0</v>
      </c>
      <c r="P32" s="9" t="s">
        <v>724</v>
      </c>
      <c r="Q32" s="9" t="s">
        <v>704</v>
      </c>
      <c r="R32" s="89" t="str">
        <f>IF(OR(P32="c",P32="C"),+T32,"")</f>
        <v/>
      </c>
      <c r="S32" s="89">
        <f>IF(OR(P32="$",N32=1),+T32,"")</f>
        <v>110</v>
      </c>
      <c r="T32" s="90">
        <f>H32*[0]!FMainPool1Fee+I32*[0]!FMainPool2Fee+J32*[0]!FMainPool3Fee+K32*[0]!FMainPool4Fee+B32*[0]!FMainEntryFee</f>
        <v>110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107</v>
      </c>
      <c r="D33" s="6" t="s">
        <v>332</v>
      </c>
      <c r="E33" s="7" t="s">
        <v>492</v>
      </c>
      <c r="F33" s="104">
        <v>7074223729</v>
      </c>
      <c r="G33" s="141" t="s">
        <v>148</v>
      </c>
      <c r="H33" s="8">
        <v>1</v>
      </c>
      <c r="I33" s="9"/>
      <c r="J33" s="9"/>
      <c r="K33" s="9"/>
      <c r="L33" s="9"/>
      <c r="M33" s="9"/>
      <c r="N33" s="9"/>
      <c r="O33" s="88">
        <f>T33*N33</f>
        <v>0</v>
      </c>
      <c r="P33" s="9" t="s">
        <v>721</v>
      </c>
      <c r="Q33" s="9">
        <v>2575</v>
      </c>
      <c r="R33" s="89">
        <f>IF(OR(P33="c",P33="C"),+T33,"")</f>
        <v>80</v>
      </c>
      <c r="S33" s="89" t="str">
        <f>IF(OR(P33="$",N33=1),+T33,"")</f>
        <v/>
      </c>
      <c r="T33" s="90">
        <f>H33*[0]!FMainPool1Fee+I33*[0]!FMainPool2Fee+J33*[0]!FMainPool3Fee+K33*[0]!FMainPool4Fee+B33*[0]!FMainEntryFee</f>
        <v>80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>
        <v>1</v>
      </c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>
        <v>1</v>
      </c>
      <c r="I34" s="9">
        <v>1</v>
      </c>
      <c r="J34" s="9">
        <v>1</v>
      </c>
      <c r="K34" s="9"/>
      <c r="L34" s="9"/>
      <c r="M34" s="9"/>
      <c r="N34" s="9"/>
      <c r="O34" s="88">
        <f>T34*N34</f>
        <v>0</v>
      </c>
      <c r="P34" s="9" t="s">
        <v>721</v>
      </c>
      <c r="Q34" s="9">
        <v>7333</v>
      </c>
      <c r="R34" s="89">
        <f>IF(OR(P34="c",P34="C"),+T34,"")</f>
        <v>110</v>
      </c>
      <c r="S34" s="89" t="str">
        <f>IF(OR(P34="$",N34=1),+T34,"")</f>
        <v/>
      </c>
      <c r="T34" s="90">
        <f>H34*[0]!FMainPool1Fee+I34*[0]!FMainPool2Fee+J34*[0]!FMainPool3Fee+K34*[0]!FMainPool4Fee+B34*[0]!FMainEntryFee</f>
        <v>110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>
        <v>1</v>
      </c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>
        <v>1</v>
      </c>
      <c r="I35" s="9"/>
      <c r="J35" s="9"/>
      <c r="K35" s="9"/>
      <c r="L35" s="9"/>
      <c r="M35" s="9"/>
      <c r="N35" s="9"/>
      <c r="O35" s="88">
        <f>T35*N35</f>
        <v>0</v>
      </c>
      <c r="P35" s="9" t="s">
        <v>721</v>
      </c>
      <c r="Q35" s="9">
        <v>648</v>
      </c>
      <c r="R35" s="89">
        <f>IF(OR(P35="c",P35="C"),+T35,"")</f>
        <v>80</v>
      </c>
      <c r="S35" s="89" t="str">
        <f>IF(OR(P35="$",N35=1),+T35,"")</f>
        <v/>
      </c>
      <c r="T35" s="90">
        <f>H35*[0]!FMainPool1Fee+I35*[0]!FMainPool2Fee+J35*[0]!FMainPool3Fee+K35*[0]!FMainPool4Fee+B35*[0]!FMainEntryFee</f>
        <v>80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>
        <v>1</v>
      </c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>
        <v>1</v>
      </c>
      <c r="I36" s="9">
        <v>1</v>
      </c>
      <c r="J36" s="9">
        <v>1</v>
      </c>
      <c r="K36" s="9">
        <v>1</v>
      </c>
      <c r="L36" s="9"/>
      <c r="M36" s="9"/>
      <c r="N36" s="9">
        <v>1</v>
      </c>
      <c r="O36" s="88">
        <f>T36*N36</f>
        <v>160</v>
      </c>
      <c r="P36" s="9"/>
      <c r="Q36" s="9"/>
      <c r="R36" s="89" t="str">
        <f>IF(OR(P36="c",P36="C"),+T36,"")</f>
        <v/>
      </c>
      <c r="S36" s="89">
        <f>IF(OR(P36="$",N36=1),+T36,"")</f>
        <v>160</v>
      </c>
      <c r="T36" s="90">
        <f>H36*[0]!FMainPool1Fee+I36*[0]!FMainPool2Fee+J36*[0]!FMainPool3Fee+K36*[0]!FMainPool4Fee+B36*[0]!FMainEntryFee</f>
        <v>160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>
        <v>1</v>
      </c>
      <c r="M37" s="9"/>
      <c r="N37" s="9"/>
      <c r="O37" s="88">
        <f>T37*N37</f>
        <v>0</v>
      </c>
      <c r="P37" s="9" t="s">
        <v>724</v>
      </c>
      <c r="Q37" s="9"/>
      <c r="R37" s="89" t="str">
        <f>IF(OR(P37="c",P37="C"),+T37,"")</f>
        <v/>
      </c>
      <c r="S37" s="89">
        <f>IF(OR(P37="$",N37=1),+T37,"")</f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>
        <v>1</v>
      </c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>
        <v>1</v>
      </c>
      <c r="N38" s="9">
        <v>1</v>
      </c>
      <c r="O38" s="88">
        <f>T38*N38</f>
        <v>70</v>
      </c>
      <c r="P38" s="9"/>
      <c r="Q38" s="9"/>
      <c r="R38" s="89" t="str">
        <f>IF(OR(P38="c",P38="C"),+T38,"")</f>
        <v/>
      </c>
      <c r="S38" s="89">
        <f>IF(OR(P38="$",N38=1),+T38,"")</f>
        <v>70</v>
      </c>
      <c r="T38" s="90">
        <f>H38*[0]!FMainPool1Fee+I38*[0]!FMainPool2Fee+J38*[0]!FMainPool3Fee+K38*[0]!FMainPool4Fee+B38*[0]!FMainEntryFee</f>
        <v>70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1" t="s">
        <v>266</v>
      </c>
      <c r="D39" s="94" t="s">
        <v>268</v>
      </c>
      <c r="E39" s="2" t="s">
        <v>267</v>
      </c>
      <c r="F39" s="86"/>
      <c r="G39" s="141" t="s">
        <v>326</v>
      </c>
      <c r="H39" s="8">
        <v>1</v>
      </c>
      <c r="I39" s="9"/>
      <c r="J39" s="9"/>
      <c r="K39" s="9"/>
      <c r="L39" s="9">
        <v>1</v>
      </c>
      <c r="M39" s="9"/>
      <c r="N39" s="9">
        <v>1</v>
      </c>
      <c r="O39" s="88">
        <f>T39*N39</f>
        <v>80</v>
      </c>
      <c r="P39" s="9"/>
      <c r="Q39" s="9"/>
      <c r="R39" s="89" t="str">
        <f>IF(OR(P39="c",P39="C"),+T39,"")</f>
        <v/>
      </c>
      <c r="S39" s="89">
        <f>IF(OR(P39="$",N39=1),+T39,"")</f>
        <v>80</v>
      </c>
      <c r="T39" s="90">
        <f>H39*[0]!FMainPool1Fee+I39*[0]!FMainPool2Fee+J39*[0]!FMainPool3Fee+K39*[0]!FMainPool4Fee+B39*[0]!FMainEntryFee</f>
        <v>80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>
        <v>1</v>
      </c>
      <c r="I40" s="9"/>
      <c r="J40" s="9">
        <v>1</v>
      </c>
      <c r="K40" s="9"/>
      <c r="L40" s="9"/>
      <c r="M40" s="9"/>
      <c r="N40" s="9">
        <v>1</v>
      </c>
      <c r="O40" s="88">
        <f>T40*N40</f>
        <v>100</v>
      </c>
      <c r="P40" s="9"/>
      <c r="Q40" s="9"/>
      <c r="R40" s="89" t="str">
        <f>IF(OR(P40="c",P40="C"),+T40,"")</f>
        <v/>
      </c>
      <c r="S40" s="89">
        <f>IF(OR(P40="$",N40=1),+T40,"")</f>
        <v>100</v>
      </c>
      <c r="T40" s="90">
        <f>H40*[0]!FMainPool1Fee+I40*[0]!FMainPool2Fee+J40*[0]!FMainPool3Fee+K40*[0]!FMainPool4Fee+B40*[0]!FMainEntryFee</f>
        <v>100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>
        <v>1</v>
      </c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>T41*N41</f>
        <v>0</v>
      </c>
      <c r="P41" s="9" t="s">
        <v>721</v>
      </c>
      <c r="Q41" s="9">
        <v>1800</v>
      </c>
      <c r="R41" s="89">
        <f>IF(OR(P41="c",P41="C"),+T41,"")</f>
        <v>70</v>
      </c>
      <c r="S41" s="89" t="str">
        <f>IF(OR(P41="$",N41=1),+T41,"")</f>
        <v/>
      </c>
      <c r="T41" s="90">
        <f>H41*[0]!FMainPool1Fee+I41*[0]!FMainPool2Fee+J41*[0]!FMainPool3Fee+K41*[0]!FMainPool4Fee+B41*[0]!FMainEntryFee</f>
        <v>70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>
        <v>1</v>
      </c>
      <c r="I42" s="9">
        <v>1</v>
      </c>
      <c r="J42" s="9">
        <v>1</v>
      </c>
      <c r="K42" s="9">
        <v>1</v>
      </c>
      <c r="L42" s="9"/>
      <c r="M42" s="9"/>
      <c r="N42" s="9"/>
      <c r="O42" s="88">
        <f>T42*N42</f>
        <v>0</v>
      </c>
      <c r="P42" s="9" t="s">
        <v>724</v>
      </c>
      <c r="Q42" s="9" t="s">
        <v>741</v>
      </c>
      <c r="R42" s="89" t="str">
        <f>IF(OR(P42="c",P42="C"),+T42,"")</f>
        <v/>
      </c>
      <c r="S42" s="89">
        <f>IF(OR(P42="$",N42=1),+T42,"")</f>
        <v>160</v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>
        <v>1</v>
      </c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>
        <v>1</v>
      </c>
      <c r="I43" s="9">
        <v>1</v>
      </c>
      <c r="J43" s="9">
        <v>1</v>
      </c>
      <c r="K43" s="9">
        <v>1</v>
      </c>
      <c r="L43" s="9"/>
      <c r="M43" s="9"/>
      <c r="N43" s="9"/>
      <c r="O43" s="88">
        <f>T43*N43</f>
        <v>0</v>
      </c>
      <c r="P43" s="9" t="s">
        <v>721</v>
      </c>
      <c r="Q43" s="9">
        <v>1587</v>
      </c>
      <c r="R43" s="89">
        <f>IF(OR(P43="c",P43="C"),+T43,"")</f>
        <v>160</v>
      </c>
      <c r="S43" s="89" t="str">
        <f>IF(OR(P43="$",N43=1),+T43,"")</f>
        <v/>
      </c>
      <c r="T43" s="90">
        <f>H43*[0]!FMainPool1Fee+I43*[0]!FMainPool2Fee+J43*[0]!FMainPool3Fee+K43*[0]!FMainPool4Fee+B43*[0]!FMainEntryFee</f>
        <v>160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>
        <v>1</v>
      </c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>
        <v>1</v>
      </c>
      <c r="I44" s="9"/>
      <c r="J44" s="9"/>
      <c r="K44" s="9"/>
      <c r="L44" s="9"/>
      <c r="M44" s="9"/>
      <c r="N44" s="9"/>
      <c r="O44" s="88">
        <f>T44*N44</f>
        <v>0</v>
      </c>
      <c r="P44" s="9" t="s">
        <v>724</v>
      </c>
      <c r="Q44" s="9" t="s">
        <v>684</v>
      </c>
      <c r="R44" s="89" t="str">
        <f>IF(OR(P44="c",P44="C"),+T44,"")</f>
        <v/>
      </c>
      <c r="S44" s="89">
        <f>IF(OR(P44="$",N44=1),+T44,"")</f>
        <v>80</v>
      </c>
      <c r="T44" s="90">
        <f>H44*[0]!FMainPool1Fee+I44*[0]!FMainPool2Fee+J44*[0]!FMainPool3Fee+K44*[0]!FMainPool4Fee+B44*[0]!FMainEntryFee</f>
        <v>80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>
        <v>1</v>
      </c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>
        <v>1</v>
      </c>
      <c r="I45" s="9">
        <v>1</v>
      </c>
      <c r="J45" s="9">
        <v>1</v>
      </c>
      <c r="K45" s="9">
        <v>1</v>
      </c>
      <c r="L45" s="9"/>
      <c r="M45" s="9"/>
      <c r="N45" s="9"/>
      <c r="O45" s="88">
        <f>T45*N45</f>
        <v>0</v>
      </c>
      <c r="P45" s="9" t="s">
        <v>721</v>
      </c>
      <c r="Q45" s="9">
        <v>2553</v>
      </c>
      <c r="R45" s="89">
        <f>IF(OR(P45="c",P45="C"),+T45,"")</f>
        <v>160</v>
      </c>
      <c r="S45" s="89" t="str">
        <f>IF(OR(P45="$",N45=1),+T45,"")</f>
        <v/>
      </c>
      <c r="T45" s="90">
        <f>H45*[0]!FMainPool1Fee+I45*[0]!FMainPool2Fee+J45*[0]!FMainPool3Fee+K45*[0]!FMainPool4Fee+B45*[0]!FMainEntryFee</f>
        <v>160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>
        <v>1</v>
      </c>
      <c r="I46" s="9"/>
      <c r="J46" s="9"/>
      <c r="K46" s="9"/>
      <c r="L46" s="9"/>
      <c r="M46" s="9"/>
      <c r="N46" s="9"/>
      <c r="O46" s="88">
        <f>T46*N46</f>
        <v>0</v>
      </c>
      <c r="P46" s="9" t="s">
        <v>721</v>
      </c>
      <c r="Q46" s="9">
        <v>133</v>
      </c>
      <c r="R46" s="89">
        <f>IF(OR(P46="c",P46="C"),+T46,"")</f>
        <v>80</v>
      </c>
      <c r="S46" s="89" t="str">
        <f>IF(OR(P46="$",N46=1),+T46,"")</f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>
        <v>1</v>
      </c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>
        <v>1</v>
      </c>
      <c r="I47" s="9">
        <v>1</v>
      </c>
      <c r="J47" s="9">
        <v>1</v>
      </c>
      <c r="K47" s="9"/>
      <c r="L47" s="9">
        <v>1</v>
      </c>
      <c r="M47" s="9"/>
      <c r="N47" s="9">
        <v>1</v>
      </c>
      <c r="O47" s="88">
        <f>T47*N47</f>
        <v>110</v>
      </c>
      <c r="P47" s="9"/>
      <c r="Q47" s="9"/>
      <c r="R47" s="89" t="str">
        <f>IF(OR(P47="c",P47="C"),+T47,"")</f>
        <v/>
      </c>
      <c r="S47" s="89">
        <f>IF(OR(P47="$",N47=1),+T47,"")</f>
        <v>110</v>
      </c>
      <c r="T47" s="90">
        <f>H47*[0]!FMainPool1Fee+I47*[0]!FMainPool2Fee+J47*[0]!FMainPool3Fee+K47*[0]!FMainPool4Fee+B47*[0]!FMainEntryFee</f>
        <v>110</v>
      </c>
      <c r="U47" s="91"/>
      <c r="V47" s="105"/>
      <c r="W47" s="98"/>
      <c r="X47" s="96"/>
      <c r="Y47" s="96"/>
    </row>
    <row r="48" spans="1:26" x14ac:dyDescent="0.25">
      <c r="A48" s="85">
        <f t="shared" si="1"/>
        <v>37</v>
      </c>
      <c r="B48" s="9">
        <v>1</v>
      </c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>
        <v>1</v>
      </c>
      <c r="I48" s="9"/>
      <c r="J48" s="9">
        <v>1</v>
      </c>
      <c r="K48" s="9"/>
      <c r="L48" s="9"/>
      <c r="M48" s="9">
        <v>1</v>
      </c>
      <c r="N48" s="9">
        <v>1</v>
      </c>
      <c r="O48" s="88">
        <f>T48*N48</f>
        <v>100</v>
      </c>
      <c r="P48" s="9"/>
      <c r="Q48" s="9"/>
      <c r="R48" s="89" t="str">
        <f>IF(OR(P48="c",P48="C"),+T48,"")</f>
        <v/>
      </c>
      <c r="S48" s="89">
        <f>IF(OR(P48="$",N48=1),+T48,"")</f>
        <v>100</v>
      </c>
      <c r="T48" s="90">
        <f>H48*[0]!FMainPool1Fee+I48*[0]!FMainPool2Fee+J48*[0]!FMainPool3Fee+K48*[0]!FMainPool4Fee+B48*[0]!FMainEntryFee</f>
        <v>100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>
        <v>1</v>
      </c>
      <c r="I49" s="9">
        <v>1</v>
      </c>
      <c r="J49" s="9">
        <v>1</v>
      </c>
      <c r="K49" s="9"/>
      <c r="L49" s="9"/>
      <c r="M49" s="9"/>
      <c r="N49" s="9"/>
      <c r="O49" s="88">
        <f>T49*N49</f>
        <v>0</v>
      </c>
      <c r="P49" s="9" t="s">
        <v>721</v>
      </c>
      <c r="Q49" s="9">
        <v>5361</v>
      </c>
      <c r="R49" s="89">
        <f>IF(OR(P49="c",P49="C"),+T49,"")</f>
        <v>110</v>
      </c>
      <c r="S49" s="89" t="str">
        <f>IF(OR(P49="$",N49=1),+T49,"")</f>
        <v/>
      </c>
      <c r="T49" s="90">
        <f>H49*[0]!FMainPool1Fee+I49*[0]!FMainPool2Fee+J49*[0]!FMainPool3Fee+K49*[0]!FMainPool4Fee+B49*[0]!FMainEntryFee</f>
        <v>110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>
        <v>1</v>
      </c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>
        <v>1</v>
      </c>
      <c r="N50" s="9"/>
      <c r="O50" s="88">
        <f>T50*N50</f>
        <v>0</v>
      </c>
      <c r="P50" s="9" t="s">
        <v>721</v>
      </c>
      <c r="Q50" s="9">
        <v>5007</v>
      </c>
      <c r="R50" s="89">
        <f>IF(OR(P50="c",P50="C"),+T50,"")</f>
        <v>70</v>
      </c>
      <c r="S50" s="89" t="str">
        <f>IF(OR(P50="$",N50=1),+T50,"")</f>
        <v/>
      </c>
      <c r="T50" s="90">
        <f>H50*[0]!FMainPool1Fee+I50*[0]!FMainPool2Fee+J50*[0]!FMainPool3Fee+K50*[0]!FMainPool4Fee+B50*[0]!FMainEntryFee</f>
        <v>70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>
        <v>1</v>
      </c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>
        <v>1</v>
      </c>
      <c r="I51" s="9">
        <v>1</v>
      </c>
      <c r="J51" s="9">
        <v>1</v>
      </c>
      <c r="K51" s="9">
        <v>1</v>
      </c>
      <c r="L51" s="9">
        <v>1</v>
      </c>
      <c r="M51" s="9"/>
      <c r="N51" s="9"/>
      <c r="O51" s="88">
        <f>T51*N51</f>
        <v>0</v>
      </c>
      <c r="P51" s="9" t="s">
        <v>721</v>
      </c>
      <c r="Q51" s="9">
        <v>5008</v>
      </c>
      <c r="R51" s="89">
        <f>IF(OR(P51="c",P51="C"),+T51,"")</f>
        <v>160</v>
      </c>
      <c r="S51" s="89" t="str">
        <f>IF(OR(P51="$",N51=1),+T51,"")</f>
        <v/>
      </c>
      <c r="T51" s="90">
        <f>H51*[0]!FMainPool1Fee+I51*[0]!FMainPool2Fee+J51*[0]!FMainPool3Fee+K51*[0]!FMainPool4Fee+B51*[0]!FMainEntryFee</f>
        <v>160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>
        <v>1</v>
      </c>
      <c r="I52" s="9"/>
      <c r="J52" s="9"/>
      <c r="K52" s="9"/>
      <c r="L52" s="9"/>
      <c r="M52" s="9"/>
      <c r="N52" s="9"/>
      <c r="O52" s="88">
        <f>T52*N52</f>
        <v>0</v>
      </c>
      <c r="P52" s="9" t="s">
        <v>721</v>
      </c>
      <c r="Q52" s="9">
        <v>375</v>
      </c>
      <c r="R52" s="89">
        <f>IF(OR(P52="c",P52="C"),+T52,"")</f>
        <v>80</v>
      </c>
      <c r="S52" s="89" t="str">
        <f>IF(OR(P52="$",N52=1),+T52,"")</f>
        <v/>
      </c>
      <c r="T52" s="90">
        <f>H52*[0]!FMainPool1Fee+I52*[0]!FMainPool2Fee+J52*[0]!FMainPool3Fee+K52*[0]!FMainPool4Fee+B52*[0]!FMainEntryFee</f>
        <v>80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>
        <v>1</v>
      </c>
      <c r="I53" s="9"/>
      <c r="J53" s="9">
        <v>1</v>
      </c>
      <c r="K53" s="9"/>
      <c r="L53" s="9"/>
      <c r="M53" s="9"/>
      <c r="N53" s="9"/>
      <c r="O53" s="88">
        <f>T53*N53</f>
        <v>0</v>
      </c>
      <c r="P53" s="9" t="s">
        <v>721</v>
      </c>
      <c r="Q53" s="9">
        <v>1399</v>
      </c>
      <c r="R53" s="89">
        <f>IF(OR(P53="c",P53="C"),+T53,"")</f>
        <v>100</v>
      </c>
      <c r="S53" s="89" t="str">
        <f>IF(OR(P53="$",N53=1),+T53,"")</f>
        <v/>
      </c>
      <c r="T53" s="90">
        <f>H53*[0]!FMainPool1Fee+I53*[0]!FMainPool2Fee+J53*[0]!FMainPool3Fee+K53*[0]!FMainPool4Fee+B53*[0]!FMainEntryFee</f>
        <v>100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>
        <v>1</v>
      </c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>
        <v>1</v>
      </c>
      <c r="I54" s="9">
        <v>1</v>
      </c>
      <c r="J54" s="9">
        <v>1</v>
      </c>
      <c r="K54" s="9">
        <v>1</v>
      </c>
      <c r="L54" s="9"/>
      <c r="M54" s="9"/>
      <c r="N54" s="9"/>
      <c r="O54" s="88">
        <f>T54*N54</f>
        <v>0</v>
      </c>
      <c r="P54" s="9" t="s">
        <v>721</v>
      </c>
      <c r="Q54" s="9">
        <v>1399</v>
      </c>
      <c r="R54" s="89">
        <f>IF(OR(P54="c",P54="C"),+T54,"")</f>
        <v>160</v>
      </c>
      <c r="S54" s="89" t="str">
        <f>IF(OR(P54="$",N54=1),+T54,"")</f>
        <v/>
      </c>
      <c r="T54" s="90">
        <f>H54*[0]!FMainPool1Fee+I54*[0]!FMainPool2Fee+J54*[0]!FMainPool3Fee+K54*[0]!FMainPool4Fee+B54*[0]!FMainEntryFee</f>
        <v>160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6" t="s">
        <v>247</v>
      </c>
      <c r="D55" s="6" t="s">
        <v>248</v>
      </c>
      <c r="E55" s="7" t="s">
        <v>249</v>
      </c>
      <c r="F55" s="137">
        <v>5302194729</v>
      </c>
      <c r="G55" s="87" t="s">
        <v>519</v>
      </c>
      <c r="H55" s="8">
        <v>1</v>
      </c>
      <c r="I55" s="9">
        <v>1</v>
      </c>
      <c r="J55" s="9">
        <v>1</v>
      </c>
      <c r="K55" s="9">
        <v>1</v>
      </c>
      <c r="L55" s="9">
        <v>1</v>
      </c>
      <c r="M55" s="9"/>
      <c r="N55" s="9"/>
      <c r="O55" s="88">
        <f>T55*N55</f>
        <v>0</v>
      </c>
      <c r="P55" s="9" t="s">
        <v>721</v>
      </c>
      <c r="Q55" s="9">
        <v>616</v>
      </c>
      <c r="R55" s="89">
        <f>IF(OR(P55="c",P55="C"),+T55,"")</f>
        <v>160</v>
      </c>
      <c r="S55" s="89" t="str">
        <f>IF(OR(P55="$",N55=1),+T55,"")</f>
        <v/>
      </c>
      <c r="T55" s="90">
        <f>H55*[0]!FMainPool1Fee+I55*[0]!FMainPool2Fee+J55*[0]!FMainPool3Fee+K55*[0]!FMainPool4Fee+B55*[0]!FMainEntryFee</f>
        <v>160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88">
        <f>T56*N56</f>
        <v>0</v>
      </c>
      <c r="P56" s="9" t="s">
        <v>721</v>
      </c>
      <c r="Q56" s="9">
        <v>1886</v>
      </c>
      <c r="R56" s="89">
        <f>IF(OR(P56="c",P56="C"),+T56,"")</f>
        <v>160</v>
      </c>
      <c r="S56" s="89" t="str">
        <f>IF(OR(P56="$",N56=1),+T56,"")</f>
        <v/>
      </c>
      <c r="T56" s="90">
        <f>H56*[0]!FMainPool1Fee+I56*[0]!FMainPool2Fee+J56*[0]!FMainPool3Fee+K56*[0]!FMainPool4Fee+B56*[0]!FMainEntryFee</f>
        <v>160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>
        <v>1</v>
      </c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>
        <v>1</v>
      </c>
      <c r="I57" s="9">
        <v>1</v>
      </c>
      <c r="J57" s="9">
        <v>1</v>
      </c>
      <c r="K57" s="9">
        <v>1</v>
      </c>
      <c r="L57" s="9">
        <v>1</v>
      </c>
      <c r="M57" s="9"/>
      <c r="N57" s="9"/>
      <c r="O57" s="88">
        <f>T57*N57</f>
        <v>0</v>
      </c>
      <c r="P57" s="9" t="s">
        <v>721</v>
      </c>
      <c r="Q57" s="9">
        <v>1886</v>
      </c>
      <c r="R57" s="89">
        <f>IF(OR(P57="c",P57="C"),+T57,"")</f>
        <v>160</v>
      </c>
      <c r="S57" s="89" t="str">
        <f>IF(OR(P57="$",N57=1),+T57,"")</f>
        <v/>
      </c>
      <c r="T57" s="90">
        <f>H57*[0]!FMainPool1Fee+I57*[0]!FMainPool2Fee+J57*[0]!FMainPool3Fee+K57*[0]!FMainPool4Fee+B57*[0]!FMainEntryFee</f>
        <v>160</v>
      </c>
      <c r="U57" s="91"/>
      <c r="V57" s="105"/>
      <c r="X57" s="96"/>
      <c r="Y57" s="96"/>
    </row>
    <row r="58" spans="1:25" ht="15.75" x14ac:dyDescent="0.25">
      <c r="A58" s="85">
        <f t="shared" si="1"/>
        <v>47</v>
      </c>
      <c r="B58" s="9">
        <v>1</v>
      </c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>
        <v>1</v>
      </c>
      <c r="I58" s="9">
        <v>1</v>
      </c>
      <c r="J58" s="9">
        <v>1</v>
      </c>
      <c r="K58" s="9"/>
      <c r="L58" s="9"/>
      <c r="M58" s="9"/>
      <c r="N58" s="9">
        <v>1</v>
      </c>
      <c r="O58" s="88">
        <f>T58*N58</f>
        <v>110</v>
      </c>
      <c r="P58" s="9" t="s">
        <v>724</v>
      </c>
      <c r="Q58" s="9"/>
      <c r="R58" s="89" t="str">
        <f>IF(OR(P58="c",P58="C"),+T58,"")</f>
        <v/>
      </c>
      <c r="S58" s="89">
        <f>IF(OR(P58="$",N58=1),+T58,"")</f>
        <v>110</v>
      </c>
      <c r="T58" s="90">
        <f>H58*[0]!FMainPool1Fee+I58*[0]!FMainPool2Fee+J58*[0]!FMainPool3Fee+K58*[0]!FMainPool4Fee+B58*[0]!FMainEntryFee</f>
        <v>110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>
        <v>1</v>
      </c>
      <c r="I59" s="9">
        <v>1</v>
      </c>
      <c r="J59" s="9">
        <v>1</v>
      </c>
      <c r="K59" s="9"/>
      <c r="L59" s="9"/>
      <c r="M59" s="9"/>
      <c r="N59" s="9"/>
      <c r="O59" s="88">
        <f>T59*N59</f>
        <v>0</v>
      </c>
      <c r="P59" s="9" t="s">
        <v>724</v>
      </c>
      <c r="Q59" s="9"/>
      <c r="R59" s="89" t="str">
        <f>IF(OR(P59="c",P59="C"),+T59,"")</f>
        <v/>
      </c>
      <c r="S59" s="89">
        <f>IF(OR(P59="$",N59=1),+T59,"")</f>
        <v>110</v>
      </c>
      <c r="T59" s="90">
        <f>H59*[0]!FMainPool1Fee+I59*[0]!FMainPool2Fee+J59*[0]!FMainPool3Fee+K59*[0]!FMainPool4Fee+B59*[0]!FMainEntryFee</f>
        <v>110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>
        <v>1</v>
      </c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>T60*N60</f>
        <v>0</v>
      </c>
      <c r="P60" s="9" t="s">
        <v>724</v>
      </c>
      <c r="Q60" s="9"/>
      <c r="R60" s="89" t="str">
        <f>IF(OR(P60="c",P60="C"),+T60,"")</f>
        <v/>
      </c>
      <c r="S60" s="89">
        <f>IF(OR(P60="$",N60=1),+T60,"")</f>
        <v>70</v>
      </c>
      <c r="T60" s="90">
        <f>H60*[0]!FMainPool1Fee+I60*[0]!FMainPool2Fee+J60*[0]!FMainPool3Fee+K60*[0]!FMainPool4Fee+B60*[0]!FMainEntryFee</f>
        <v>70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>
        <v>1</v>
      </c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>
        <v>1</v>
      </c>
      <c r="I61" s="9">
        <v>1</v>
      </c>
      <c r="J61" s="9"/>
      <c r="K61" s="9"/>
      <c r="L61" s="9"/>
      <c r="M61" s="9"/>
      <c r="N61" s="9"/>
      <c r="O61" s="88">
        <f>T61*N61</f>
        <v>0</v>
      </c>
      <c r="P61" s="9" t="s">
        <v>724</v>
      </c>
      <c r="Q61" s="9"/>
      <c r="R61" s="89" t="str">
        <f>IF(OR(P61="c",P61="C"),+T61,"")</f>
        <v/>
      </c>
      <c r="S61" s="89">
        <f>IF(OR(P61="$",N61=1),+T61,"")</f>
        <v>90</v>
      </c>
      <c r="T61" s="90">
        <f>H61*[0]!FMainPool1Fee+I61*[0]!FMainPool2Fee+J61*[0]!FMainPool3Fee+K61*[0]!FMainPool4Fee+B61*[0]!FMainEntryFee</f>
        <v>90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>
        <v>1</v>
      </c>
      <c r="C62" s="1" t="s">
        <v>38</v>
      </c>
      <c r="D62" s="1" t="s">
        <v>5</v>
      </c>
      <c r="E62" s="2" t="s">
        <v>198</v>
      </c>
      <c r="F62" s="140">
        <v>7072524331</v>
      </c>
      <c r="G62" s="94" t="s">
        <v>375</v>
      </c>
      <c r="H62" s="8">
        <v>1</v>
      </c>
      <c r="I62" s="9">
        <v>1</v>
      </c>
      <c r="J62" s="9">
        <v>1</v>
      </c>
      <c r="K62" s="9"/>
      <c r="L62" s="9"/>
      <c r="M62" s="9"/>
      <c r="N62" s="9"/>
      <c r="O62" s="88">
        <f>T62*N62</f>
        <v>0</v>
      </c>
      <c r="P62" s="9" t="s">
        <v>721</v>
      </c>
      <c r="Q62" s="9">
        <v>1149</v>
      </c>
      <c r="R62" s="89">
        <f>IF(OR(P62="c",P62="C"),+T62,"")</f>
        <v>110</v>
      </c>
      <c r="S62" s="89" t="str">
        <f>IF(OR(P62="$",N62=1),+T62,"")</f>
        <v/>
      </c>
      <c r="T62" s="90">
        <f>H62*[0]!FMainPool1Fee+I62*[0]!FMainPool2Fee+J62*[0]!FMainPool3Fee+K62*[0]!FMainPool4Fee+B62*[0]!FMainEntryFee</f>
        <v>110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>
        <v>1</v>
      </c>
      <c r="I63" s="9"/>
      <c r="J63" s="9"/>
      <c r="K63" s="9"/>
      <c r="L63" s="9"/>
      <c r="M63" s="9">
        <v>1</v>
      </c>
      <c r="N63" s="9"/>
      <c r="O63" s="88">
        <f>T63*N63</f>
        <v>0</v>
      </c>
      <c r="P63" s="9" t="s">
        <v>721</v>
      </c>
      <c r="Q63" s="9">
        <v>1149</v>
      </c>
      <c r="R63" s="89">
        <f>IF(OR(P63="c",P63="C"),+T63,"")</f>
        <v>80</v>
      </c>
      <c r="S63" s="89" t="str">
        <f>IF(OR(P63="$",N63=1),+T63,"")</f>
        <v/>
      </c>
      <c r="T63" s="90">
        <f>H63*[0]!FMainPool1Fee+I63*[0]!FMainPool2Fee+J63*[0]!FMainPool3Fee+K63*[0]!FMainPool4Fee+B63*[0]!FMainEntryFee</f>
        <v>80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>
        <v>1</v>
      </c>
      <c r="I64" s="9"/>
      <c r="J64" s="9"/>
      <c r="K64" s="9"/>
      <c r="L64" s="9"/>
      <c r="M64" s="9"/>
      <c r="N64" s="9"/>
      <c r="O64" s="88">
        <f>T64*N64</f>
        <v>0</v>
      </c>
      <c r="P64" s="9" t="s">
        <v>721</v>
      </c>
      <c r="Q64" s="9">
        <v>2487</v>
      </c>
      <c r="R64" s="89">
        <f>IF(OR(P64="c",P64="C"),+T64,"")</f>
        <v>80</v>
      </c>
      <c r="S64" s="89" t="str">
        <f>IF(OR(P64="$",N64=1),+T64,"")</f>
        <v/>
      </c>
      <c r="T64" s="90">
        <f>H64*[0]!FMainPool1Fee+I64*[0]!FMainPool2Fee+J64*[0]!FMainPool3Fee+K64*[0]!FMainPool4Fee+B64*[0]!FMainEntryFee</f>
        <v>80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6" t="s">
        <v>451</v>
      </c>
      <c r="D65" s="6" t="s">
        <v>466</v>
      </c>
      <c r="E65" s="7" t="s">
        <v>452</v>
      </c>
      <c r="F65" s="137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>T65*N65</f>
        <v>0</v>
      </c>
      <c r="P65" s="9" t="s">
        <v>721</v>
      </c>
      <c r="Q65" s="9">
        <v>8803</v>
      </c>
      <c r="R65" s="89">
        <f>IF(OR(P65="c",P65="C"),+T65,"")</f>
        <v>70</v>
      </c>
      <c r="S65" s="89" t="str">
        <f>IF(OR(P65="$",N65=1),+T65,"")</f>
        <v/>
      </c>
      <c r="T65" s="90">
        <f>H65*[0]!FMainPool1Fee+I65*[0]!FMainPool2Fee+J65*[0]!FMainPool3Fee+K65*[0]!FMainPool4Fee+B65*[0]!FMainEntryFee</f>
        <v>70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>
        <v>1</v>
      </c>
      <c r="C66" s="6" t="s">
        <v>733</v>
      </c>
      <c r="D66" s="6" t="s">
        <v>734</v>
      </c>
      <c r="E66" s="7" t="s">
        <v>735</v>
      </c>
      <c r="F66" s="137">
        <v>4178488838</v>
      </c>
      <c r="G66" s="115" t="s">
        <v>736</v>
      </c>
      <c r="H66" s="8">
        <v>1</v>
      </c>
      <c r="I66" s="9">
        <v>1</v>
      </c>
      <c r="J66" s="9">
        <v>1</v>
      </c>
      <c r="K66" s="9">
        <v>1</v>
      </c>
      <c r="L66" s="9"/>
      <c r="M66" s="9"/>
      <c r="N66" s="9"/>
      <c r="O66" s="88">
        <f>T66*N66</f>
        <v>0</v>
      </c>
      <c r="P66" s="9" t="s">
        <v>721</v>
      </c>
      <c r="Q66" s="9">
        <v>7357</v>
      </c>
      <c r="R66" s="89">
        <f>IF(OR(P66="c",P66="C"),+T66,"")</f>
        <v>160</v>
      </c>
      <c r="S66" s="89" t="str">
        <f>IF(OR(P66="$",N66=1),+T66,"")</f>
        <v/>
      </c>
      <c r="T66" s="90">
        <f>H66*[0]!FMainPool1Fee+I66*[0]!FMainPool2Fee+J66*[0]!FMainPool3Fee+K66*[0]!FMainPool4Fee+B66*[0]!FMainEntryFee</f>
        <v>160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>
        <v>1</v>
      </c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>
        <v>1</v>
      </c>
      <c r="I67" s="9"/>
      <c r="J67" s="9">
        <v>1</v>
      </c>
      <c r="K67" s="9"/>
      <c r="L67" s="9"/>
      <c r="M67" s="9"/>
      <c r="N67" s="9"/>
      <c r="O67" s="88">
        <f>T67*N67</f>
        <v>0</v>
      </c>
      <c r="P67" s="9" t="s">
        <v>721</v>
      </c>
      <c r="Q67" s="9">
        <v>4040</v>
      </c>
      <c r="R67" s="89">
        <f>IF(OR(P67="c",P67="C"),+T67,"")</f>
        <v>100</v>
      </c>
      <c r="S67" s="89" t="str">
        <f>IF(OR(P67="$",N67=1),+T67,"")</f>
        <v/>
      </c>
      <c r="T67" s="90">
        <f>H67*[0]!FMainPool1Fee+I67*[0]!FMainPool2Fee+J67*[0]!FMainPool3Fee+K67*[0]!FMainPool4Fee+B67*[0]!FMainEntryFee</f>
        <v>100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>
        <v>1</v>
      </c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>
        <v>1</v>
      </c>
      <c r="I68" s="9">
        <v>1</v>
      </c>
      <c r="J68" s="9">
        <v>1</v>
      </c>
      <c r="K68" s="9"/>
      <c r="L68" s="9"/>
      <c r="M68" s="9"/>
      <c r="N68" s="9"/>
      <c r="O68" s="88">
        <f>T68*N68</f>
        <v>0</v>
      </c>
      <c r="P68" s="9" t="s">
        <v>721</v>
      </c>
      <c r="Q68" s="9">
        <v>9990</v>
      </c>
      <c r="R68" s="89">
        <f>IF(OR(P68="c",P68="C"),+T68,"")</f>
        <v>110</v>
      </c>
      <c r="S68" s="89" t="str">
        <f>IF(OR(P68="$",N68=1),+T68,"")</f>
        <v/>
      </c>
      <c r="T68" s="90">
        <f>H68*[0]!FMainPool1Fee+I68*[0]!FMainPool2Fee+J68*[0]!FMainPool3Fee+K68*[0]!FMainPool4Fee+B68*[0]!FMainEntryFee</f>
        <v>110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 t="s">
        <v>550</v>
      </c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>IF(OR(P69="c",P69="C"),+T69,"")</f>
        <v/>
      </c>
      <c r="S69" s="89" t="str">
        <f>IF(OR(P69="$",N69=1),+T69,"")</f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139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>T70*N70</f>
        <v>0</v>
      </c>
      <c r="P70" s="9"/>
      <c r="Q70" s="9"/>
      <c r="R70" s="89" t="str">
        <f>IF(OR(P70="c",P70="C"),+T70,"")</f>
        <v/>
      </c>
      <c r="S70" s="89" t="str">
        <f>IF(OR(P70="$",N70=1),+T70,"")</f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>T71*N71</f>
        <v>0</v>
      </c>
      <c r="P71" s="9"/>
      <c r="Q71" s="9"/>
      <c r="R71" s="89" t="str">
        <f>IF(OR(P71="c",P71="C"),+T71,"")</f>
        <v/>
      </c>
      <c r="S71" s="89" t="str">
        <f>IF(OR(P71="$",N71=1),+T71,"")</f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>T72*N72</f>
        <v>0</v>
      </c>
      <c r="P72" s="9"/>
      <c r="Q72" s="9"/>
      <c r="R72" s="89" t="str">
        <f>IF(OR(P72="c",P72="C"),+T72,"")</f>
        <v/>
      </c>
      <c r="S72" s="89" t="str">
        <f>IF(OR(P72="$",N72=1),+T72,"")</f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>T73*N73</f>
        <v>0</v>
      </c>
      <c r="P73" s="9"/>
      <c r="Q73" s="9"/>
      <c r="R73" s="89" t="str">
        <f>IF(OR(P73="c",P73="C"),+T73,"")</f>
        <v/>
      </c>
      <c r="S73" s="89" t="str">
        <f>IF(OR(P73="$",N73=1),+T73,"")</f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>T74*N74</f>
        <v>0</v>
      </c>
      <c r="P74" s="9"/>
      <c r="Q74" s="9"/>
      <c r="R74" s="89" t="str">
        <f>IF(OR(P74="c",P74="C"),+T74,"")</f>
        <v/>
      </c>
      <c r="S74" s="89" t="str">
        <f>IF(OR(P74="$",N74=1),+T74,"")</f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>T75*N75</f>
        <v>0</v>
      </c>
      <c r="P75" s="9"/>
      <c r="Q75" s="9"/>
      <c r="R75" s="89" t="str">
        <f>IF(OR(P75="c",P75="C"),+T75,"")</f>
        <v/>
      </c>
      <c r="S75" s="89" t="str">
        <f>IF(OR(P75="$",N75=1),+T75,"")</f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>T76*N76</f>
        <v>0</v>
      </c>
      <c r="P76" s="9"/>
      <c r="Q76" s="9"/>
      <c r="R76" s="89" t="str">
        <f>IF(OR(P76="c",P76="C"),+T76,"")</f>
        <v/>
      </c>
      <c r="S76" s="89" t="str">
        <f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37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>T77*N77</f>
        <v>0</v>
      </c>
      <c r="P77" s="9"/>
      <c r="Q77" s="9"/>
      <c r="R77" s="89" t="str">
        <f>IF(OR(P77="c",P77="C"),+T77,"")</f>
        <v/>
      </c>
      <c r="S77" s="89" t="str">
        <f>IF(OR(P77="$",N77=1),+T77,"")</f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>T78*N78</f>
        <v>0</v>
      </c>
      <c r="P78" s="9"/>
      <c r="Q78" s="9"/>
      <c r="R78" s="89" t="str">
        <f>IF(OR(P78="c",P78="C"),+T78,"")</f>
        <v/>
      </c>
      <c r="S78" s="89" t="str">
        <f>IF(OR(P78="$",N78=1),+T78,"")</f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>T79*N79</f>
        <v>0</v>
      </c>
      <c r="P79" s="9"/>
      <c r="Q79" s="9"/>
      <c r="R79" s="89" t="str">
        <f>IF(OR(P79="c",P79="C"),+T79,"")</f>
        <v/>
      </c>
      <c r="S79" s="89" t="str">
        <f>IF(OR(P79="$",N79=1),+T79,"")</f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>T80*N80</f>
        <v>0</v>
      </c>
      <c r="P80" s="9"/>
      <c r="Q80" s="9"/>
      <c r="R80" s="89" t="str">
        <f>IF(OR(P80="c",P80="C"),+T80,"")</f>
        <v/>
      </c>
      <c r="S80" s="89" t="str">
        <f>IF(OR(P80="$",N80=1),+T80,"")</f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>T81*N81</f>
        <v>0</v>
      </c>
      <c r="P81" s="9"/>
      <c r="Q81" s="9"/>
      <c r="R81" s="89" t="str">
        <f>IF(OR(P81="c",P81="C"),+T81,"")</f>
        <v/>
      </c>
      <c r="S81" s="89" t="str">
        <f>IF(OR(P81="$",N81=1),+T81,"")</f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>T82*N82</f>
        <v>0</v>
      </c>
      <c r="P82" s="9"/>
      <c r="Q82" s="9"/>
      <c r="R82" s="89" t="str">
        <f>IF(OR(P82="c",P82="C"),+T82,"")</f>
        <v/>
      </c>
      <c r="S82" s="89" t="str">
        <f>IF(OR(P82="$",N82=1),+T82,"")</f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>T83*N83</f>
        <v>0</v>
      </c>
      <c r="P83" s="9"/>
      <c r="Q83" s="9"/>
      <c r="R83" s="89" t="str">
        <f>IF(OR(P83="c",P83="C"),+T83,"")</f>
        <v/>
      </c>
      <c r="S83" s="89" t="str">
        <f>IF(OR(P83="$",N83=1),+T83,"")</f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>T84*N84</f>
        <v>0</v>
      </c>
      <c r="P84" s="9"/>
      <c r="Q84" s="9"/>
      <c r="R84" s="89" t="str">
        <f>IF(OR(P84="c",P84="C"),+T84,"")</f>
        <v/>
      </c>
      <c r="S84" s="89" t="str">
        <f>IF(OR(P84="$",N84=1),+T84,"")</f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2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>T85*N85</f>
        <v>0</v>
      </c>
      <c r="P85" s="9"/>
      <c r="Q85" s="9"/>
      <c r="R85" s="89" t="str">
        <f>IF(OR(P85="c",P85="C"),+T85,"")</f>
        <v/>
      </c>
      <c r="S85" s="89" t="str">
        <f>IF(OR(P85="$",N85=1),+T85,"")</f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2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>T86*N86</f>
        <v>0</v>
      </c>
      <c r="P86" s="9"/>
      <c r="Q86" s="9"/>
      <c r="R86" s="89" t="str">
        <f>IF(OR(P86="c",P86="C"),+T86,"")</f>
        <v/>
      </c>
      <c r="S86" s="89" t="str">
        <f>IF(OR(P86="$",N86=1),+T86,"")</f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2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>T87*N87</f>
        <v>0</v>
      </c>
      <c r="P87" s="9"/>
      <c r="Q87" s="9"/>
      <c r="R87" s="89" t="str">
        <f>IF(OR(P87="c",P87="C"),+T87,"")</f>
        <v/>
      </c>
      <c r="S87" s="89" t="str">
        <f>IF(OR(P87="$",N87=1),+T87,"")</f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2"/>
        <v>77</v>
      </c>
      <c r="B88" s="9"/>
      <c r="C88" s="6" t="s">
        <v>700</v>
      </c>
      <c r="D88" s="6" t="s">
        <v>46</v>
      </c>
      <c r="E88" s="7" t="s">
        <v>701</v>
      </c>
      <c r="F88" s="137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>T88*N88</f>
        <v>0</v>
      </c>
      <c r="P88" s="9"/>
      <c r="Q88" s="9"/>
      <c r="R88" s="89" t="str">
        <f>IF(OR(P88="c",P88="C"),+T88,"")</f>
        <v/>
      </c>
      <c r="S88" s="89" t="str">
        <f>IF(OR(P88="$",N88=1),+T88,"")</f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2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>T89*N89</f>
        <v>0</v>
      </c>
      <c r="P89" s="9"/>
      <c r="Q89" s="9"/>
      <c r="R89" s="89" t="str">
        <f>IF(OR(P89="c",P89="C"),+T89,"")</f>
        <v/>
      </c>
      <c r="S89" s="89" t="str">
        <f>IF(OR(P89="$",N89=1),+T89,"")</f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2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>T90*N90</f>
        <v>0</v>
      </c>
      <c r="P90" s="9"/>
      <c r="Q90" s="9"/>
      <c r="R90" s="89" t="str">
        <f>IF(OR(P90="c",P90="C"),+T90,"")</f>
        <v/>
      </c>
      <c r="S90" s="89" t="str">
        <f>IF(OR(P90="$",N90=1),+T90,"")</f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2"/>
        <v>80</v>
      </c>
      <c r="B91" s="9"/>
      <c r="C91" s="6" t="s">
        <v>256</v>
      </c>
      <c r="D91" s="6" t="s">
        <v>41</v>
      </c>
      <c r="E91" s="7" t="s">
        <v>257</v>
      </c>
      <c r="F91" s="137"/>
      <c r="G91" s="87" t="s">
        <v>260</v>
      </c>
      <c r="H91" s="8"/>
      <c r="I91" s="9"/>
      <c r="J91" s="9"/>
      <c r="K91" s="9"/>
      <c r="L91" s="9"/>
      <c r="M91" s="9"/>
      <c r="N91" s="9"/>
      <c r="O91" s="88">
        <f>T91*N91</f>
        <v>0</v>
      </c>
      <c r="P91" s="9"/>
      <c r="Q91" s="9"/>
      <c r="R91" s="89" t="str">
        <f>IF(OR(P91="c",P91="C"),+T91,"")</f>
        <v/>
      </c>
      <c r="S91" s="89" t="str">
        <f>IF(OR(P91="$",N91=1),+T91,"")</f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2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>T92*N92</f>
        <v>0</v>
      </c>
      <c r="P92" s="9"/>
      <c r="Q92" s="9"/>
      <c r="R92" s="89" t="str">
        <f>IF(OR(P92="c",P92="C"),+T92,"")</f>
        <v/>
      </c>
      <c r="S92" s="89" t="str">
        <f>IF(OR(P92="$",N92=1),+T92,"")</f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x14ac:dyDescent="0.25">
      <c r="A93" s="85">
        <f t="shared" si="2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>T93*N93</f>
        <v>0</v>
      </c>
      <c r="P93" s="9"/>
      <c r="Q93" s="9"/>
      <c r="R93" s="89" t="str">
        <f>IF(OR(P93="c",P93="C"),+T93,"")</f>
        <v/>
      </c>
      <c r="S93" s="89" t="str">
        <f>IF(OR(P93="$",N93=1),+T93,"")</f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2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>T94*N94</f>
        <v>0</v>
      </c>
      <c r="P94" s="9"/>
      <c r="Q94" s="9"/>
      <c r="R94" s="89" t="str">
        <f>IF(OR(P94="c",P94="C"),+T94,"")</f>
        <v/>
      </c>
      <c r="S94" s="89" t="str">
        <f>IF(OR(P94="$",N94=1),+T94,"")</f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2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>T95*N95</f>
        <v>0</v>
      </c>
      <c r="P95" s="9"/>
      <c r="Q95" s="9"/>
      <c r="R95" s="89" t="str">
        <f>IF(OR(P95="c",P95="C"),+T95,"")</f>
        <v/>
      </c>
      <c r="S95" s="89" t="str">
        <f>IF(OR(P95="$",N95=1),+T95,"")</f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2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>T96*N96</f>
        <v>0</v>
      </c>
      <c r="P96" s="9"/>
      <c r="Q96" s="9"/>
      <c r="R96" s="89" t="str">
        <f>IF(OR(P96="c",P96="C"),+T96,"")</f>
        <v/>
      </c>
      <c r="S96" s="89" t="str">
        <f>IF(OR(P96="$",N96=1),+T96,"")</f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2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>T97*N97</f>
        <v>0</v>
      </c>
      <c r="P97" s="9"/>
      <c r="Q97" s="9"/>
      <c r="R97" s="89" t="str">
        <f>IF(OR(P97="c",P97="C"),+T97,"")</f>
        <v/>
      </c>
      <c r="S97" s="89" t="str">
        <f>IF(OR(P97="$",N97=1),+T97,"")</f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2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>T98*N98</f>
        <v>0</v>
      </c>
      <c r="P98" s="9"/>
      <c r="Q98" s="9"/>
      <c r="R98" s="89" t="str">
        <f>IF(OR(P98="c",P98="C"),+T98,"")</f>
        <v/>
      </c>
      <c r="S98" s="89" t="str">
        <f>IF(OR(P98="$",N98=1),+T98,"")</f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2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>T99*N99</f>
        <v>0</v>
      </c>
      <c r="P99" s="9"/>
      <c r="Q99" s="9"/>
      <c r="R99" s="89" t="str">
        <f>IF(OR(P99="c",P99="C"),+T99,"")</f>
        <v/>
      </c>
      <c r="S99" s="89" t="str">
        <f>IF(OR(P99="$",N99=1),+T99,"")</f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2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>T100*N100</f>
        <v>0</v>
      </c>
      <c r="P100" s="9"/>
      <c r="Q100" s="9"/>
      <c r="R100" s="89" t="str">
        <f>IF(OR(P100="c",P100="C"),+T100,"")</f>
        <v/>
      </c>
      <c r="S100" s="89" t="str">
        <f>IF(OR(P100="$",N100=1),+T100,"")</f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2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>T101*N101</f>
        <v>0</v>
      </c>
      <c r="P101" s="9"/>
      <c r="Q101" s="9"/>
      <c r="R101" s="89" t="str">
        <f>IF(OR(P101="c",P101="C"),+T101,"")</f>
        <v/>
      </c>
      <c r="S101" s="89" t="str">
        <f>IF(OR(P101="$",N101=1),+T101,"")</f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2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>T102*N102</f>
        <v>0</v>
      </c>
      <c r="P102" s="9"/>
      <c r="Q102" s="9"/>
      <c r="R102" s="89" t="str">
        <f>IF(OR(P102="c",P102="C"),+T102,"")</f>
        <v/>
      </c>
      <c r="S102" s="89" t="str">
        <f>IF(OR(P102="$",N102=1),+T102,"")</f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2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>T103*N103</f>
        <v>0</v>
      </c>
      <c r="P103" s="9"/>
      <c r="Q103" s="9"/>
      <c r="R103" s="89" t="str">
        <f>IF(OR(P103="c",P103="C"),+T103,"")</f>
        <v/>
      </c>
      <c r="S103" s="89" t="str">
        <f>IF(OR(P103="$",N103=1),+T103,"")</f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2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>T104*N104</f>
        <v>0</v>
      </c>
      <c r="P104" s="9"/>
      <c r="Q104" s="9"/>
      <c r="R104" s="89" t="str">
        <f>IF(OR(P104="c",P104="C"),+T104,"")</f>
        <v/>
      </c>
      <c r="S104" s="89" t="str">
        <f>IF(OR(P104="$",N104=1),+T104,"")</f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2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>T105*N105</f>
        <v>0</v>
      </c>
      <c r="P105" s="9"/>
      <c r="Q105" s="9"/>
      <c r="R105" s="89" t="str">
        <f>IF(OR(P105="c",P105="C"),+T105,"")</f>
        <v/>
      </c>
      <c r="S105" s="89" t="str">
        <f>IF(OR(P105="$",N105=1),+T105,"")</f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2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>T106*N106</f>
        <v>0</v>
      </c>
      <c r="P106" s="9"/>
      <c r="Q106" s="9"/>
      <c r="R106" s="89" t="str">
        <f>IF(OR(P106="c",P106="C"),+T106,"")</f>
        <v/>
      </c>
      <c r="S106" s="89" t="str">
        <f>IF(OR(P106="$",N106=1),+T106,"")</f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2"/>
        <v>96</v>
      </c>
      <c r="B107" s="9"/>
      <c r="C107" s="6" t="s">
        <v>143</v>
      </c>
      <c r="D107" s="6" t="s">
        <v>15</v>
      </c>
      <c r="E107" s="139" t="s">
        <v>165</v>
      </c>
      <c r="F107" s="137">
        <v>7078499317</v>
      </c>
      <c r="G107" s="141" t="s">
        <v>150</v>
      </c>
      <c r="H107" s="8"/>
      <c r="I107" s="9"/>
      <c r="J107" s="9"/>
      <c r="K107" s="9"/>
      <c r="L107" s="9"/>
      <c r="M107" s="9"/>
      <c r="N107" s="9"/>
      <c r="O107" s="88">
        <f>T107*N107</f>
        <v>0</v>
      </c>
      <c r="P107" s="9"/>
      <c r="Q107" s="9"/>
      <c r="R107" s="89" t="str">
        <f>IF(OR(P107="c",P107="C"),+T107,"")</f>
        <v/>
      </c>
      <c r="S107" s="89" t="str">
        <f>IF(OR(P107="$",N107=1),+T107,"")</f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2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>T108*N108</f>
        <v>0</v>
      </c>
      <c r="P108" s="9"/>
      <c r="Q108" s="9"/>
      <c r="R108" s="89" t="str">
        <f>IF(OR(P108="c",P108="C"),+T108,"")</f>
        <v/>
      </c>
      <c r="S108" s="89" t="str">
        <f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2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>T109*N109</f>
        <v>0</v>
      </c>
      <c r="P109" s="9"/>
      <c r="Q109" s="9"/>
      <c r="R109" s="89" t="str">
        <f>IF(OR(P109="c",P109="C"),+T109,"")</f>
        <v/>
      </c>
      <c r="S109" s="89" t="str">
        <f>IF(OR(P109="$",N109=1),+T109,"")</f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2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>T110*N110</f>
        <v>0</v>
      </c>
      <c r="P110" s="9"/>
      <c r="Q110" s="9"/>
      <c r="R110" s="89" t="str">
        <f>IF(OR(P110="c",P110="C"),+T110,"")</f>
        <v/>
      </c>
      <c r="S110" s="89" t="str">
        <f>IF(OR(P110="$",N110=1),+T110,"")</f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2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>T111*N111</f>
        <v>0</v>
      </c>
      <c r="P111" s="9"/>
      <c r="Q111" s="9"/>
      <c r="R111" s="89" t="str">
        <f>IF(OR(P111="c",P111="C"),+T111,"")</f>
        <v/>
      </c>
      <c r="S111" s="89" t="str">
        <f>IF(OR(P111="$",N111=1),+T111,"")</f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2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>T112*N112</f>
        <v>0</v>
      </c>
      <c r="P112" s="9"/>
      <c r="Q112" s="9"/>
      <c r="R112" s="89" t="str">
        <f>IF(OR(P112="c",P112="C"),+T112,"")</f>
        <v/>
      </c>
      <c r="S112" s="89" t="str">
        <f>IF(OR(P112="$",N112=1),+T112,"")</f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2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>T113*N113</f>
        <v>0</v>
      </c>
      <c r="P113" s="9"/>
      <c r="Q113" s="9"/>
      <c r="R113" s="89" t="str">
        <f>IF(OR(P113="c",P113="C"),+T113,"")</f>
        <v/>
      </c>
      <c r="S113" s="89" t="str">
        <f>IF(OR(P113="$",N113=1),+T113,"")</f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2"/>
        <v>103</v>
      </c>
      <c r="B114" s="9"/>
      <c r="C114" s="6" t="s">
        <v>435</v>
      </c>
      <c r="D114" s="6" t="s">
        <v>489</v>
      </c>
      <c r="E114" s="7" t="s">
        <v>490</v>
      </c>
      <c r="F114" s="137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>T114*N114</f>
        <v>0</v>
      </c>
      <c r="P114" s="9"/>
      <c r="Q114" s="9"/>
      <c r="R114" s="89" t="str">
        <f>IF(OR(P114="c",P114="C"),+T114,"")</f>
        <v/>
      </c>
      <c r="S114" s="89" t="str">
        <f>IF(OR(P114="$",N114=1),+T114,"")</f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2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>T115*N115</f>
        <v>0</v>
      </c>
      <c r="P115" s="9"/>
      <c r="Q115" s="9"/>
      <c r="R115" s="89" t="str">
        <f>IF(OR(P115="c",P115="C"),+T115,"")</f>
        <v/>
      </c>
      <c r="S115" s="89" t="str">
        <f>IF(OR(P115="$",N115=1),+T115,"")</f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2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>T116*N116</f>
        <v>0</v>
      </c>
      <c r="P116" s="9"/>
      <c r="Q116" s="9"/>
      <c r="R116" s="89" t="str">
        <f>IF(OR(P116="c",P116="C"),+T116,"")</f>
        <v/>
      </c>
      <c r="S116" s="89" t="str">
        <f>IF(OR(P116="$",N116=1),+T116,"")</f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2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>T117*N117</f>
        <v>0</v>
      </c>
      <c r="P117" s="9"/>
      <c r="Q117" s="9"/>
      <c r="R117" s="89" t="str">
        <f>IF(OR(P117="c",P117="C"),+T117,"")</f>
        <v/>
      </c>
      <c r="S117" s="89" t="str">
        <f>IF(OR(P117="$",N117=1),+T117,"")</f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2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>T118*N118</f>
        <v>0</v>
      </c>
      <c r="P118" s="9"/>
      <c r="Q118" s="9"/>
      <c r="R118" s="89" t="str">
        <f>IF(OR(P118="c",P118="C"),+T118,"")</f>
        <v/>
      </c>
      <c r="S118" s="89" t="str">
        <f>IF(OR(P118="$",N118=1),+T118,"")</f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2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>T119*N119</f>
        <v>0</v>
      </c>
      <c r="P119" s="9"/>
      <c r="Q119" s="9"/>
      <c r="R119" s="89" t="str">
        <f>IF(OR(P119="c",P119="C"),+T119,"")</f>
        <v/>
      </c>
      <c r="S119" s="89" t="str">
        <f>IF(OR(P119="$",N119=1),+T119,"")</f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2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>T120*N120</f>
        <v>0</v>
      </c>
      <c r="P120" s="9"/>
      <c r="Q120" s="9"/>
      <c r="R120" s="89" t="str">
        <f>IF(OR(P120="c",P120="C"),+T120,"")</f>
        <v/>
      </c>
      <c r="S120" s="89" t="str">
        <f>IF(OR(P120="$",N120=1),+T120,"")</f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2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>T121*N121</f>
        <v>0</v>
      </c>
      <c r="P121" s="9"/>
      <c r="Q121" s="9"/>
      <c r="R121" s="89" t="str">
        <f>IF(OR(P121="c",P121="C"),+T121,"")</f>
        <v/>
      </c>
      <c r="S121" s="89" t="str">
        <f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2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>T122*N122</f>
        <v>0</v>
      </c>
      <c r="P122" s="9"/>
      <c r="Q122" s="9"/>
      <c r="R122" s="89" t="str">
        <f>IF(OR(P122="c",P122="C"),+T122,"")</f>
        <v/>
      </c>
      <c r="S122" s="89" t="str">
        <f>IF(OR(P122="$",N122=1),+T122,"")</f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2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>T123*N123</f>
        <v>0</v>
      </c>
      <c r="P123" s="9"/>
      <c r="Q123" s="9"/>
      <c r="R123" s="89" t="str">
        <f>IF(OR(P123="c",P123="C"),+T123,"")</f>
        <v/>
      </c>
      <c r="S123" s="89" t="str">
        <f>IF(OR(P123="$",N123=1),+T123,"")</f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2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>T124*N124</f>
        <v>0</v>
      </c>
      <c r="P124" s="9"/>
      <c r="Q124" s="9"/>
      <c r="R124" s="89" t="str">
        <f>IF(OR(P124="c",P124="C"),+T124,"")</f>
        <v/>
      </c>
      <c r="S124" s="89" t="str">
        <f>IF(OR(P124="$",N124=1),+T124,"")</f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2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>T125*N125</f>
        <v>0</v>
      </c>
      <c r="P125" s="9"/>
      <c r="Q125" s="9"/>
      <c r="R125" s="89" t="str">
        <f>IF(OR(P125="c",P125="C"),+T125,"")</f>
        <v/>
      </c>
      <c r="S125" s="89" t="str">
        <f>IF(OR(P125="$",N125=1),+T125,"")</f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2"/>
        <v>115</v>
      </c>
      <c r="B126" s="9"/>
      <c r="C126" s="6" t="s">
        <v>311</v>
      </c>
      <c r="D126" s="6" t="s">
        <v>312</v>
      </c>
      <c r="E126" s="7" t="s">
        <v>313</v>
      </c>
      <c r="F126" s="137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>T126*N126</f>
        <v>0</v>
      </c>
      <c r="P126" s="9"/>
      <c r="Q126" s="9"/>
      <c r="R126" s="89" t="str">
        <f>IF(OR(P126="c",P126="C"),+T126,"")</f>
        <v/>
      </c>
      <c r="S126" s="89" t="str">
        <f>IF(OR(P126="$",N126=1),+T126,"")</f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2"/>
        <v>116</v>
      </c>
      <c r="B127" s="9"/>
      <c r="C127" s="1" t="s">
        <v>79</v>
      </c>
      <c r="D127" s="138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>T127*N127</f>
        <v>0</v>
      </c>
      <c r="P127" s="9"/>
      <c r="Q127" s="9"/>
      <c r="R127" s="89" t="str">
        <f>IF(OR(P127="c",P127="C"),+T127,"")</f>
        <v/>
      </c>
      <c r="S127" s="89" t="str">
        <f>IF(OR(P127="$",N127=1),+T127,"")</f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2"/>
        <v>117</v>
      </c>
      <c r="B128" s="9"/>
      <c r="C128" s="6" t="s">
        <v>427</v>
      </c>
      <c r="D128" s="135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>T128*N128</f>
        <v>0</v>
      </c>
      <c r="P128" s="9"/>
      <c r="Q128" s="9"/>
      <c r="R128" s="89" t="str">
        <f>IF(OR(P128="c",P128="C"),+T128,"")</f>
        <v/>
      </c>
      <c r="S128" s="89" t="str">
        <f>IF(OR(P128="$",N128=1),+T128,"")</f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2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>T129*N129</f>
        <v>0</v>
      </c>
      <c r="P129" s="9"/>
      <c r="Q129" s="9"/>
      <c r="R129" s="89" t="str">
        <f>IF(OR(P129="c",P129="C"),+T129,"")</f>
        <v/>
      </c>
      <c r="S129" s="89" t="str">
        <f>IF(OR(P129="$",N129=1),+T129,"")</f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2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>T130*N130</f>
        <v>0</v>
      </c>
      <c r="P130" s="9"/>
      <c r="Q130" s="9"/>
      <c r="R130" s="89" t="str">
        <f>IF(OR(P130="c",P130="C"),+T130,"")</f>
        <v/>
      </c>
      <c r="S130" s="89" t="str">
        <f>IF(OR(P130="$",N130=1),+T130,"")</f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2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>T131*N131</f>
        <v>0</v>
      </c>
      <c r="P131" s="9"/>
      <c r="Q131" s="9"/>
      <c r="R131" s="89" t="str">
        <f>IF(OR(P131="c",P131="C"),+T131,"")</f>
        <v/>
      </c>
      <c r="S131" s="89" t="str">
        <f>IF(OR(P131="$",N131=1),+T131,"")</f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2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>T132*N132</f>
        <v>0</v>
      </c>
      <c r="P132" s="9"/>
      <c r="Q132" s="9"/>
      <c r="R132" s="89" t="str">
        <f>IF(OR(P132="c",P132="C"),+T132,"")</f>
        <v/>
      </c>
      <c r="S132" s="89" t="str">
        <f>IF(OR(P132="$",N132=1),+T132,"")</f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2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>T133*N133</f>
        <v>0</v>
      </c>
      <c r="P133" s="9"/>
      <c r="Q133" s="9"/>
      <c r="R133" s="89" t="str">
        <f>IF(OR(P133="c",P133="C"),+T133,"")</f>
        <v/>
      </c>
      <c r="S133" s="89" t="str">
        <f>IF(OR(P133="$",N133=1),+T133,"")</f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2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>T134*N134</f>
        <v>0</v>
      </c>
      <c r="P134" s="9"/>
      <c r="Q134" s="9"/>
      <c r="R134" s="89" t="str">
        <f>IF(OR(P134="c",P134="C"),+T134,"")</f>
        <v/>
      </c>
      <c r="S134" s="89" t="str">
        <f>IF(OR(P134="$",N134=1),+T134,"")</f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2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>T135*N135</f>
        <v>0</v>
      </c>
      <c r="P135" s="9"/>
      <c r="Q135" s="9"/>
      <c r="R135" s="89" t="str">
        <f>IF(OR(P135="c",P135="C"),+T135,"")</f>
        <v/>
      </c>
      <c r="S135" s="89" t="str">
        <f>IF(OR(P135="$",N135=1),+T135,"")</f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2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>T136*N136</f>
        <v>0</v>
      </c>
      <c r="P136" s="9"/>
      <c r="Q136" s="9"/>
      <c r="R136" s="89" t="str">
        <f>IF(OR(P136="c",P136="C"),+T136,"")</f>
        <v/>
      </c>
      <c r="S136" s="89" t="str">
        <f>IF(OR(P136="$",N136=1),+T136,"")</f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2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>T137*N137</f>
        <v>0</v>
      </c>
      <c r="P137" s="9"/>
      <c r="Q137" s="9"/>
      <c r="R137" s="89" t="str">
        <f>IF(OR(P137="c",P137="C"),+T137,"")</f>
        <v/>
      </c>
      <c r="S137" s="89" t="str">
        <f>IF(OR(P137="$",N137=1),+T137,"")</f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2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>T138*N138</f>
        <v>0</v>
      </c>
      <c r="P138" s="9"/>
      <c r="Q138" s="9"/>
      <c r="R138" s="89" t="str">
        <f>IF(OR(P138="c",P138="C"),+T138,"")</f>
        <v/>
      </c>
      <c r="S138" s="89" t="str">
        <f>IF(OR(P138="$",N138=1),+T138,"")</f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2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>T139*N139</f>
        <v>0</v>
      </c>
      <c r="P139" s="9"/>
      <c r="Q139" s="9"/>
      <c r="R139" s="89" t="str">
        <f>IF(OR(P139="c",P139="C"),+T139,"")</f>
        <v/>
      </c>
      <c r="S139" s="89" t="str">
        <f>IF(OR(P139="$",N139=1),+T139,"")</f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2"/>
        <v>129</v>
      </c>
      <c r="B140" s="9"/>
      <c r="C140" s="6" t="s">
        <v>269</v>
      </c>
      <c r="D140" s="6" t="s">
        <v>270</v>
      </c>
      <c r="E140" s="7" t="s">
        <v>271</v>
      </c>
      <c r="F140" s="137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>T140*N140</f>
        <v>0</v>
      </c>
      <c r="P140" s="9"/>
      <c r="Q140" s="9"/>
      <c r="R140" s="89" t="str">
        <f>IF(OR(P140="c",P140="C"),+T140,"")</f>
        <v/>
      </c>
      <c r="S140" s="89" t="str">
        <f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2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>T141*N141</f>
        <v>0</v>
      </c>
      <c r="P141" s="9"/>
      <c r="Q141" s="9"/>
      <c r="R141" s="89" t="str">
        <f>IF(OR(P141="c",P141="C"),+T141,"")</f>
        <v/>
      </c>
      <c r="S141" s="89" t="str">
        <f>IF(OR(P141="$",N141=1),+T141,"")</f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2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>T142*N142</f>
        <v>0</v>
      </c>
      <c r="P142" s="9"/>
      <c r="Q142" s="9"/>
      <c r="R142" s="89" t="str">
        <f>IF(OR(P142="c",P142="C"),+T142,"")</f>
        <v/>
      </c>
      <c r="S142" s="89" t="str">
        <f>IF(OR(P142="$",N142=1),+T142,"")</f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2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>T143*N143</f>
        <v>0</v>
      </c>
      <c r="P143" s="9"/>
      <c r="Q143" s="9"/>
      <c r="R143" s="89" t="str">
        <f>IF(OR(P143="c",P143="C"),+T143,"")</f>
        <v/>
      </c>
      <c r="S143" s="89" t="str">
        <f>IF(OR(P143="$",N143=1),+T143,"")</f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2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>T144*N144</f>
        <v>0</v>
      </c>
      <c r="P144" s="9"/>
      <c r="Q144" s="9"/>
      <c r="R144" s="89" t="str">
        <f>IF(OR(P144="c",P144="C"),+T144,"")</f>
        <v/>
      </c>
      <c r="S144" s="89" t="str">
        <f>IF(OR(P144="$",N144=1),+T144,"")</f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2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>T145*N145</f>
        <v>0</v>
      </c>
      <c r="P145" s="9"/>
      <c r="Q145" s="9"/>
      <c r="R145" s="89" t="str">
        <f>IF(OR(P145="c",P145="C"),+T145,"")</f>
        <v/>
      </c>
      <c r="S145" s="89" t="str">
        <f>IF(OR(P145="$",N145=1),+T145,"")</f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2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>T146*N146</f>
        <v>0</v>
      </c>
      <c r="P146" s="9"/>
      <c r="Q146" s="9"/>
      <c r="R146" s="89" t="str">
        <f>IF(OR(P146="c",P146="C"),+T146,"")</f>
        <v/>
      </c>
      <c r="S146" s="89" t="str">
        <f>IF(OR(P146="$",N146=1),+T146,"")</f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2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>T147*N147</f>
        <v>0</v>
      </c>
      <c r="P147" s="9"/>
      <c r="Q147" s="9"/>
      <c r="R147" s="89" t="str">
        <f>IF(OR(P147="c",P147="C"),+T147,"")</f>
        <v/>
      </c>
      <c r="S147" s="89" t="str">
        <f>IF(OR(P147="$",N147=1),+T147,"")</f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3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>T148*N148</f>
        <v>0</v>
      </c>
      <c r="P148" s="9"/>
      <c r="Q148" s="9"/>
      <c r="R148" s="89" t="str">
        <f>IF(OR(P148="c",P148="C"),+T148,"")</f>
        <v/>
      </c>
      <c r="S148" s="89" t="str">
        <f>IF(OR(P148="$",N148=1),+T148,"")</f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3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>T149*N149</f>
        <v>0</v>
      </c>
      <c r="P149" s="9"/>
      <c r="Q149" s="9"/>
      <c r="R149" s="89" t="str">
        <f>IF(OR(P149="c",P149="C"),+T149,"")</f>
        <v/>
      </c>
      <c r="S149" s="89" t="str">
        <f>IF(OR(P149="$",N149=1),+T149,"")</f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3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>T150*N150</f>
        <v>0</v>
      </c>
      <c r="P150" s="9"/>
      <c r="Q150" s="9"/>
      <c r="R150" s="89" t="str">
        <f>IF(OR(P150="c",P150="C"),+T150,"")</f>
        <v/>
      </c>
      <c r="S150" s="89" t="str">
        <f>IF(OR(P150="$",N150=1),+T150,"")</f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3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>T151*N151</f>
        <v>0</v>
      </c>
      <c r="P151" s="9"/>
      <c r="Q151" s="9"/>
      <c r="R151" s="89" t="str">
        <f>IF(OR(P151="c",P151="C"),+T151,"")</f>
        <v/>
      </c>
      <c r="S151" s="89" t="str">
        <f>IF(OR(P151="$",N151=1),+T151,"")</f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3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>T152*N152</f>
        <v>0</v>
      </c>
      <c r="P152" s="9"/>
      <c r="Q152" s="9"/>
      <c r="R152" s="89" t="str">
        <f>IF(OR(P152="c",P152="C"),+T152,"")</f>
        <v/>
      </c>
      <c r="S152" s="89" t="str">
        <f>IF(OR(P152="$",N152=1),+T152,"")</f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3"/>
        <v>142</v>
      </c>
      <c r="B153" s="9"/>
      <c r="C153" s="6" t="s">
        <v>472</v>
      </c>
      <c r="D153" s="6" t="s">
        <v>96</v>
      </c>
      <c r="E153" s="7" t="s">
        <v>473</v>
      </c>
      <c r="F153" s="136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>T153*N153</f>
        <v>0</v>
      </c>
      <c r="P153" s="9"/>
      <c r="Q153" s="9"/>
      <c r="R153" s="89" t="str">
        <f>IF(OR(P153="c",P153="C"),+T153,"")</f>
        <v/>
      </c>
      <c r="S153" s="89" t="str">
        <f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3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>T154*N154</f>
        <v>0</v>
      </c>
      <c r="P154" s="9"/>
      <c r="Q154" s="9"/>
      <c r="R154" s="89" t="str">
        <f>IF(OR(P154="c",P154="C"),+T154,"")</f>
        <v/>
      </c>
      <c r="S154" s="89" t="str">
        <f>IF(OR(P154="$",N154=1),+T154,"")</f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3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>T155*N155</f>
        <v>0</v>
      </c>
      <c r="P155" s="9"/>
      <c r="Q155" s="9"/>
      <c r="R155" s="89" t="str">
        <f>IF(OR(P155="c",P155="C"),+T155,"")</f>
        <v/>
      </c>
      <c r="S155" s="89" t="str">
        <f>IF(OR(P155="$",N155=1),+T155,"")</f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3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>T156*N156</f>
        <v>0</v>
      </c>
      <c r="P156" s="9"/>
      <c r="Q156" s="9"/>
      <c r="R156" s="89" t="str">
        <f>IF(OR(P156="c",P156="C"),+T156,"")</f>
        <v/>
      </c>
      <c r="S156" s="89" t="str">
        <f>IF(OR(P156="$",N156=1),+T156,"")</f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3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>T157*N157</f>
        <v>0</v>
      </c>
      <c r="P157" s="9"/>
      <c r="Q157" s="9"/>
      <c r="R157" s="89" t="str">
        <f>IF(OR(P157="c",P157="C"),+T157,"")</f>
        <v/>
      </c>
      <c r="S157" s="89" t="str">
        <f>IF(OR(P157="$",N157=1),+T157,"")</f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3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>T158*N158</f>
        <v>0</v>
      </c>
      <c r="P158" s="9"/>
      <c r="Q158" s="9"/>
      <c r="R158" s="89" t="str">
        <f>IF(OR(P158="c",P158="C"),+T158,"")</f>
        <v/>
      </c>
      <c r="S158" s="89" t="str">
        <f>IF(OR(P158="$",N158=1),+T158,"")</f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3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>T159*N159</f>
        <v>0</v>
      </c>
      <c r="P159" s="9"/>
      <c r="Q159" s="9"/>
      <c r="R159" s="89" t="str">
        <f>IF(OR(P159="c",P159="C"),+T159,"")</f>
        <v/>
      </c>
      <c r="S159" s="89" t="str">
        <f>IF(OR(P159="$",N159=1),+T159,"")</f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3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41" t="s">
        <v>417</v>
      </c>
      <c r="H160" s="8"/>
      <c r="I160" s="9"/>
      <c r="J160" s="9"/>
      <c r="K160" s="9"/>
      <c r="L160" s="9"/>
      <c r="M160" s="9"/>
      <c r="N160" s="9"/>
      <c r="O160" s="88">
        <f>T160*N160</f>
        <v>0</v>
      </c>
      <c r="P160" s="9"/>
      <c r="Q160" s="9"/>
      <c r="R160" s="89" t="str">
        <f>IF(OR(P160="c",P160="C"),+T160,"")</f>
        <v/>
      </c>
      <c r="S160" s="89" t="str">
        <f>IF(OR(P160="$",N160=1),+T160,"")</f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3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>T161*N161</f>
        <v>0</v>
      </c>
      <c r="P161" s="9"/>
      <c r="Q161" s="9"/>
      <c r="R161" s="89" t="str">
        <f>IF(OR(P161="c",P161="C"),+T161,"")</f>
        <v/>
      </c>
      <c r="S161" s="89" t="str">
        <f>IF(OR(P161="$",N161=1),+T161,"")</f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3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>T162*N162</f>
        <v>0</v>
      </c>
      <c r="P162" s="9"/>
      <c r="Q162" s="9"/>
      <c r="R162" s="89" t="str">
        <f>IF(OR(P162="c",P162="C"),+T162,"")</f>
        <v/>
      </c>
      <c r="S162" s="89" t="str">
        <f>IF(OR(P162="$",N162=1),+T162,"")</f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3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>T163*N163</f>
        <v>0</v>
      </c>
      <c r="P163" s="9"/>
      <c r="Q163" s="9"/>
      <c r="R163" s="89" t="str">
        <f>IF(OR(P163="c",P163="C"),+T163,"")</f>
        <v/>
      </c>
      <c r="S163" s="89" t="str">
        <f>IF(OR(P163="$",N163=1),+T163,"")</f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3"/>
        <v>153</v>
      </c>
      <c r="B164" s="9"/>
      <c r="C164" s="6" t="s">
        <v>380</v>
      </c>
      <c r="D164" s="6" t="s">
        <v>96</v>
      </c>
      <c r="E164" s="7"/>
      <c r="F164" s="86"/>
      <c r="G164" s="141" t="s">
        <v>381</v>
      </c>
      <c r="H164" s="8"/>
      <c r="I164" s="9"/>
      <c r="J164" s="9"/>
      <c r="K164" s="9"/>
      <c r="L164" s="9"/>
      <c r="M164" s="9"/>
      <c r="N164" s="9"/>
      <c r="O164" s="88">
        <f>T164*N164</f>
        <v>0</v>
      </c>
      <c r="P164" s="9"/>
      <c r="Q164" s="9"/>
      <c r="R164" s="89" t="str">
        <f>IF(OR(P164="c",P164="C"),+T164,"")</f>
        <v/>
      </c>
      <c r="S164" s="89" t="str">
        <f>IF(OR(P164="$",N164=1),+T164,"")</f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3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>T165*N165</f>
        <v>0</v>
      </c>
      <c r="P165" s="9"/>
      <c r="Q165" s="9"/>
      <c r="R165" s="89" t="str">
        <f>IF(OR(P165="c",P165="C"),+T165,"")</f>
        <v/>
      </c>
      <c r="S165" s="89" t="str">
        <f>IF(OR(P165="$",N165=1),+T165,"")</f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3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>T166*N166</f>
        <v>0</v>
      </c>
      <c r="P166" s="9"/>
      <c r="Q166" s="9"/>
      <c r="R166" s="89" t="str">
        <f>IF(OR(P166="c",P166="C"),+T166,"")</f>
        <v/>
      </c>
      <c r="S166" s="89" t="str">
        <f>IF(OR(P166="$",N166=1),+T166,"")</f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3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>T167*N167</f>
        <v>0</v>
      </c>
      <c r="P167" s="9"/>
      <c r="Q167" s="9"/>
      <c r="R167" s="89" t="str">
        <f>IF(OR(P167="c",P167="C"),+T167,"")</f>
        <v/>
      </c>
      <c r="S167" s="89" t="str">
        <f>IF(OR(P167="$",N167=1),+T167,"")</f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3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>T168*N168</f>
        <v>0</v>
      </c>
      <c r="P168" s="9"/>
      <c r="Q168" s="9"/>
      <c r="R168" s="89" t="str">
        <f>IF(OR(P168="c",P168="C"),+T168,"")</f>
        <v/>
      </c>
      <c r="S168" s="89" t="str">
        <f>IF(OR(P168="$",N168=1),+T168,"")</f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3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>T169*N169</f>
        <v>0</v>
      </c>
      <c r="P169" s="9"/>
      <c r="Q169" s="9"/>
      <c r="R169" s="89" t="str">
        <f>IF(OR(P169="c",P169="C"),+T169,"")</f>
        <v/>
      </c>
      <c r="S169" s="89" t="str">
        <f>IF(OR(P169="$",N169=1),+T169,"")</f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3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>T170*N170</f>
        <v>0</v>
      </c>
      <c r="P170" s="9"/>
      <c r="Q170" s="9"/>
      <c r="R170" s="89" t="str">
        <f>IF(OR(P170="c",P170="C"),+T170,"")</f>
        <v/>
      </c>
      <c r="S170" s="89" t="str">
        <f>IF(OR(P170="$",N170=1),+T170,"")</f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3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>T171*N171</f>
        <v>0</v>
      </c>
      <c r="P171" s="9"/>
      <c r="Q171" s="9"/>
      <c r="R171" s="89" t="str">
        <f>IF(OR(P171="c",P171="C"),+T171,"")</f>
        <v/>
      </c>
      <c r="S171" s="89" t="str">
        <f>IF(OR(P171="$",N171=1),+T171,"")</f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ht="15.75" x14ac:dyDescent="0.25">
      <c r="A172" s="85">
        <f t="shared" si="3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>T172*N172</f>
        <v>0</v>
      </c>
      <c r="P172" s="9"/>
      <c r="Q172" s="9"/>
      <c r="R172" s="89" t="str">
        <f>IF(OR(P172="c",P172="C"),+T172,"")</f>
        <v/>
      </c>
      <c r="S172" s="89" t="str">
        <f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ht="15.75" x14ac:dyDescent="0.25">
      <c r="A173" s="85">
        <f t="shared" si="3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>T173*N173</f>
        <v>0</v>
      </c>
      <c r="P173" s="9"/>
      <c r="Q173" s="9"/>
      <c r="R173" s="89" t="str">
        <f>IF(OR(P173="c",P173="C"),+T173,"")</f>
        <v/>
      </c>
      <c r="S173" s="89" t="str">
        <f>IF(OR(P173="$",N173=1),+T173,"")</f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3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>T174*N174</f>
        <v>0</v>
      </c>
      <c r="P174" s="9"/>
      <c r="Q174" s="9"/>
      <c r="R174" s="89" t="str">
        <f>IF(OR(P174="c",P174="C"),+T174,"")</f>
        <v/>
      </c>
      <c r="S174" s="89" t="str">
        <f>IF(OR(P174="$",N174=1),+T174,"")</f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3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>T175*N175</f>
        <v>0</v>
      </c>
      <c r="P175" s="9"/>
      <c r="Q175" s="9"/>
      <c r="R175" s="89" t="str">
        <f>IF(OR(P175="c",P175="C"),+T175,"")</f>
        <v/>
      </c>
      <c r="S175" s="89" t="str">
        <f>IF(OR(P175="$",N175=1),+T175,"")</f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5.75" x14ac:dyDescent="0.25">
      <c r="A176" s="85">
        <f t="shared" si="3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>T176*N176</f>
        <v>0</v>
      </c>
      <c r="P176" s="9"/>
      <c r="Q176" s="9"/>
      <c r="R176" s="89" t="str">
        <f>IF(OR(P176="c",P176="C"),+T176,"")</f>
        <v/>
      </c>
      <c r="S176" s="89" t="str">
        <f>IF(OR(P176="$",N176=1),+T176,"")</f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ht="15.75" x14ac:dyDescent="0.25">
      <c r="A177" s="85">
        <f t="shared" si="3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>T177*N177</f>
        <v>0</v>
      </c>
      <c r="P177" s="9"/>
      <c r="Q177" s="9"/>
      <c r="R177" s="89" t="str">
        <f>IF(OR(P177="c",P177="C"),+T177,"")</f>
        <v/>
      </c>
      <c r="S177" s="89" t="str">
        <f>IF(OR(P177="$",N177=1),+T177,"")</f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3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>T178*N178</f>
        <v>0</v>
      </c>
      <c r="P178" s="9"/>
      <c r="Q178" s="9"/>
      <c r="R178" s="89" t="str">
        <f>IF(OR(P178="c",P178="C"),+T178,"")</f>
        <v/>
      </c>
      <c r="S178" s="89" t="str">
        <f>IF(OR(P178="$",N178=1),+T178,"")</f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3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>T179*N179</f>
        <v>0</v>
      </c>
      <c r="P179" s="9"/>
      <c r="Q179" s="9"/>
      <c r="R179" s="89" t="str">
        <f>IF(OR(P179="c",P179="C"),+T179,"")</f>
        <v/>
      </c>
      <c r="S179" s="89" t="str">
        <f>IF(OR(P179="$",N179=1),+T179,"")</f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3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>T180*N180</f>
        <v>0</v>
      </c>
      <c r="P180" s="9"/>
      <c r="Q180" s="9"/>
      <c r="R180" s="89" t="str">
        <f>IF(OR(P180="c",P180="C"),+T180,"")</f>
        <v/>
      </c>
      <c r="S180" s="89" t="str">
        <f>IF(OR(P180="$",N180=1),+T180,"")</f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3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>T181*N181</f>
        <v>0</v>
      </c>
      <c r="P181" s="9"/>
      <c r="Q181" s="9"/>
      <c r="R181" s="89" t="str">
        <f>IF(OR(P181="c",P181="C"),+T181,"")</f>
        <v/>
      </c>
      <c r="S181" s="89" t="str">
        <f>IF(OR(P181="$",N181=1),+T181,"")</f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x14ac:dyDescent="0.25">
      <c r="A182" s="85">
        <f t="shared" si="3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>T182*N182</f>
        <v>0</v>
      </c>
      <c r="P182" s="9"/>
      <c r="Q182" s="9"/>
      <c r="R182" s="89" t="str">
        <f>IF(OR(P182="c",P182="C"),+T182,"")</f>
        <v/>
      </c>
      <c r="S182" s="89" t="str">
        <f>IF(OR(P182="$",N182=1),+T182,"")</f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x14ac:dyDescent="0.25">
      <c r="A183" s="85">
        <f t="shared" si="3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>T183*N183</f>
        <v>0</v>
      </c>
      <c r="P183" s="9"/>
      <c r="Q183" s="9"/>
      <c r="R183" s="89" t="str">
        <f>IF(OR(P183="c",P183="C"),+T183,"")</f>
        <v/>
      </c>
      <c r="S183" s="89" t="str">
        <f>IF(OR(P183="$",N183=1),+T183,"")</f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3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>T184*N184</f>
        <v>0</v>
      </c>
      <c r="P184" s="9"/>
      <c r="Q184" s="9"/>
      <c r="R184" s="89" t="str">
        <f>IF(OR(P184="c",P184="C"),+T184,"")</f>
        <v/>
      </c>
      <c r="S184" s="89" t="str">
        <f>IF(OR(P184="$",N184=1),+T184,"")</f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3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>T185*N185</f>
        <v>0</v>
      </c>
      <c r="P185" s="9"/>
      <c r="Q185" s="9"/>
      <c r="R185" s="89" t="str">
        <f>IF(OR(P185="c",P185="C"),+T185,"")</f>
        <v/>
      </c>
      <c r="S185" s="89" t="str">
        <f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x14ac:dyDescent="0.25">
      <c r="A186" s="85">
        <f t="shared" si="3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>T186*N186</f>
        <v>0</v>
      </c>
      <c r="P186" s="9"/>
      <c r="Q186" s="9"/>
      <c r="R186" s="89" t="str">
        <f>IF(OR(P186="c",P186="C"),+T186,"")</f>
        <v/>
      </c>
      <c r="S186" s="89" t="str">
        <f>IF(OR(P186="$",N186=1),+T186,"")</f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x14ac:dyDescent="0.25">
      <c r="A187" s="85">
        <f t="shared" si="3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>T187*N187</f>
        <v>0</v>
      </c>
      <c r="P187" s="9"/>
      <c r="Q187" s="9"/>
      <c r="R187" s="89" t="str">
        <f>IF(OR(P187="c",P187="C"),+T187,"")</f>
        <v/>
      </c>
      <c r="S187" s="89" t="str">
        <f>IF(OR(P187="$",N187=1),+T187,"")</f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3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>T188*N188</f>
        <v>0</v>
      </c>
      <c r="P188" s="9"/>
      <c r="Q188" s="9"/>
      <c r="R188" s="89" t="str">
        <f>IF(OR(P188="c",P188="C"),+T188,"")</f>
        <v/>
      </c>
      <c r="S188" s="89" t="str">
        <f>IF(OR(P188="$",N188=1),+T188,"")</f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3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>T189*N189</f>
        <v>0</v>
      </c>
      <c r="P189" s="9"/>
      <c r="Q189" s="9"/>
      <c r="R189" s="89" t="str">
        <f>IF(OR(P189="c",P189="C"),+T189,"")</f>
        <v/>
      </c>
      <c r="S189" s="89" t="str">
        <f>IF(OR(P189="$",N189=1),+T189,"")</f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3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>T190*N190</f>
        <v>0</v>
      </c>
      <c r="P190" s="9"/>
      <c r="Q190" s="9"/>
      <c r="R190" s="89" t="str">
        <f>IF(OR(P190="c",P190="C"),+T190,"")</f>
        <v/>
      </c>
      <c r="S190" s="89" t="str">
        <f>IF(OR(P190="$",N190=1),+T190,"")</f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3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>T191*N191</f>
        <v>0</v>
      </c>
      <c r="P191" s="9"/>
      <c r="Q191" s="9"/>
      <c r="R191" s="89" t="str">
        <f>IF(OR(P191="c",P191="C"),+T191,"")</f>
        <v/>
      </c>
      <c r="S191" s="89" t="str">
        <f>IF(OR(P191="$",N191=1),+T191,"")</f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3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>T192*N192</f>
        <v>0</v>
      </c>
      <c r="P192" s="9"/>
      <c r="Q192" s="9"/>
      <c r="R192" s="89" t="str">
        <f>IF(OR(P192="c",P192="C"),+T192,"")</f>
        <v/>
      </c>
      <c r="S192" s="89" t="str">
        <f>IF(OR(P192="$",N192=1),+T192,"")</f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3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>T193*N193</f>
        <v>0</v>
      </c>
      <c r="P193" s="9"/>
      <c r="Q193" s="9"/>
      <c r="R193" s="89" t="str">
        <f>IF(OR(P193="c",P193="C"),+T193,"")</f>
        <v/>
      </c>
      <c r="S193" s="89" t="str">
        <f>IF(OR(P193="$",N193=1),+T193,"")</f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3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>T194*N194</f>
        <v>0</v>
      </c>
      <c r="P194" s="9"/>
      <c r="Q194" s="9"/>
      <c r="R194" s="89" t="str">
        <f>IF(OR(P194="c",P194="C"),+T194,"")</f>
        <v/>
      </c>
      <c r="S194" s="89" t="str">
        <f>IF(OR(P194="$",N194=1),+T194,"")</f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3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>T195*N195</f>
        <v>0</v>
      </c>
      <c r="P195" s="9"/>
      <c r="Q195" s="9"/>
      <c r="R195" s="89" t="str">
        <f>IF(OR(P195="c",P195="C"),+T195,"")</f>
        <v/>
      </c>
      <c r="S195" s="89" t="str">
        <f>IF(OR(P195="$",N195=1),+T195,"")</f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3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>T196*N196</f>
        <v>0</v>
      </c>
      <c r="P196" s="9"/>
      <c r="Q196" s="9"/>
      <c r="R196" s="89" t="str">
        <f>IF(OR(P196="c",P196="C"),+T196,"")</f>
        <v/>
      </c>
      <c r="S196" s="89" t="str">
        <f>IF(OR(P196="$",N196=1),+T196,"")</f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3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>T197*N197</f>
        <v>0</v>
      </c>
      <c r="P197" s="9"/>
      <c r="Q197" s="9"/>
      <c r="R197" s="89" t="str">
        <f>IF(OR(P197="c",P197="C"),+T197,"")</f>
        <v/>
      </c>
      <c r="S197" s="89" t="str">
        <f>IF(OR(P197="$",N197=1),+T197,"")</f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3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>T198*N198</f>
        <v>0</v>
      </c>
      <c r="P198" s="9"/>
      <c r="Q198" s="9"/>
      <c r="R198" s="89" t="str">
        <f>IF(OR(P198="c",P198="C"),+T198,"")</f>
        <v/>
      </c>
      <c r="S198" s="89" t="str">
        <f>IF(OR(P198="$",N198=1),+T198,"")</f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3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>T199*N199</f>
        <v>0</v>
      </c>
      <c r="P199" s="9"/>
      <c r="Q199" s="9"/>
      <c r="R199" s="89" t="str">
        <f>IF(OR(P199="c",P199="C"),+T199,"")</f>
        <v/>
      </c>
      <c r="S199" s="89" t="str">
        <f>IF(OR(P199="$",N199=1),+T199,"")</f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3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>T200*N200</f>
        <v>0</v>
      </c>
      <c r="P200" s="9"/>
      <c r="Q200" s="9"/>
      <c r="R200" s="89" t="str">
        <f>IF(OR(P200="c",P200="C"),+T200,"")</f>
        <v/>
      </c>
      <c r="S200" s="89" t="str">
        <f>IF(OR(P200="$",N200=1),+T200,"")</f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3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>T201*N201</f>
        <v>0</v>
      </c>
      <c r="P201" s="9"/>
      <c r="Q201" s="9"/>
      <c r="R201" s="89" t="str">
        <f>IF(OR(P201="c",P201="C"),+T201,"")</f>
        <v/>
      </c>
      <c r="S201" s="89" t="str">
        <f>IF(OR(P201="$",N201=1),+T201,"")</f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3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>T202*N202</f>
        <v>0</v>
      </c>
      <c r="P202" s="9"/>
      <c r="Q202" s="9"/>
      <c r="R202" s="89" t="str">
        <f>IF(OR(P202="c",P202="C"),+T202,"")</f>
        <v/>
      </c>
      <c r="S202" s="89" t="str">
        <f>IF(OR(P202="$",N202=1),+T202,"")</f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3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>T203*N203</f>
        <v>0</v>
      </c>
      <c r="P203" s="9"/>
      <c r="Q203" s="9"/>
      <c r="R203" s="89" t="str">
        <f>IF(OR(P203="c",P203="C"),+T203,"")</f>
        <v/>
      </c>
      <c r="S203" s="89" t="str">
        <f>IF(OR(P203="$",N203=1),+T203,"")</f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3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>T204*N204</f>
        <v>0</v>
      </c>
      <c r="P204" s="9"/>
      <c r="Q204" s="9"/>
      <c r="R204" s="89" t="str">
        <f>IF(OR(P204="c",P204="C"),+T204,"")</f>
        <v/>
      </c>
      <c r="S204" s="89" t="str">
        <f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3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>T205*N205</f>
        <v>0</v>
      </c>
      <c r="P205" s="9"/>
      <c r="Q205" s="9"/>
      <c r="R205" s="89" t="str">
        <f>IF(OR(P205="c",P205="C"),+T205,"")</f>
        <v/>
      </c>
      <c r="S205" s="89" t="str">
        <f>IF(OR(P205="$",N205=1),+T205,"")</f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3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>T206*N206</f>
        <v>0</v>
      </c>
      <c r="P206" s="9"/>
      <c r="Q206" s="9"/>
      <c r="R206" s="89" t="str">
        <f>IF(OR(P206="c",P206="C"),+T206,"")</f>
        <v/>
      </c>
      <c r="S206" s="89" t="str">
        <f>IF(OR(P206="$",N206=1),+T206,"")</f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3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>T207*N207</f>
        <v>0</v>
      </c>
      <c r="P207" s="9"/>
      <c r="Q207" s="9"/>
      <c r="R207" s="89" t="str">
        <f>IF(OR(P207="c",P207="C"),+T207,"")</f>
        <v/>
      </c>
      <c r="S207" s="89" t="str">
        <f>IF(OR(P207="$",N207=1),+T207,"")</f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3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>T208*N208</f>
        <v>0</v>
      </c>
      <c r="P208" s="9"/>
      <c r="Q208" s="9"/>
      <c r="R208" s="89" t="str">
        <f>IF(OR(P208="c",P208="C"),+T208,"")</f>
        <v/>
      </c>
      <c r="S208" s="89" t="str">
        <f>IF(OR(P208="$",N208=1),+T208,"")</f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3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>T209*N209</f>
        <v>0</v>
      </c>
      <c r="P209" s="9"/>
      <c r="Q209" s="9"/>
      <c r="R209" s="89" t="str">
        <f>IF(OR(P209="c",P209="C"),+T209,"")</f>
        <v/>
      </c>
      <c r="S209" s="89" t="str">
        <f>IF(OR(P209="$",N209=1),+T209,"")</f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3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>T210*N210</f>
        <v>0</v>
      </c>
      <c r="P210" s="9"/>
      <c r="Q210" s="9"/>
      <c r="R210" s="89" t="str">
        <f>IF(OR(P210="c",P210="C"),+T210,"")</f>
        <v/>
      </c>
      <c r="S210" s="89" t="str">
        <f>IF(OR(P210="$",N210=1),+T210,"")</f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3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4">T211*N211</f>
        <v>0</v>
      </c>
      <c r="P211" s="9"/>
      <c r="Q211" s="9"/>
      <c r="R211" s="89" t="str">
        <f t="shared" ref="R211:R213" si="5">IF(OR(P211="c",P211="C"),+T211,"")</f>
        <v/>
      </c>
      <c r="S211" s="89" t="str">
        <f t="shared" ref="S211:S213" si="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3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4"/>
        <v>0</v>
      </c>
      <c r="P212" s="9"/>
      <c r="Q212" s="9"/>
      <c r="R212" s="89" t="str">
        <f t="shared" si="5"/>
        <v/>
      </c>
      <c r="S212" s="89" t="str">
        <f t="shared" si="6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3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4"/>
        <v>0</v>
      </c>
      <c r="P213" s="9"/>
      <c r="Q213" s="9"/>
      <c r="R213" s="89" t="str">
        <f t="shared" si="5"/>
        <v/>
      </c>
      <c r="S213" s="89" t="str">
        <f t="shared" si="6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3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7">T214*N214</f>
        <v>0</v>
      </c>
      <c r="P214" s="9"/>
      <c r="Q214" s="9"/>
      <c r="R214" s="89" t="str">
        <f t="shared" ref="R214:R220" si="8">IF(OR(P214="c",P214="C"),+T214,"")</f>
        <v/>
      </c>
      <c r="S214" s="89" t="str">
        <f t="shared" ref="S214:S220" si="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3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7"/>
        <v>0</v>
      </c>
      <c r="P215" s="9"/>
      <c r="Q215" s="9"/>
      <c r="R215" s="89" t="str">
        <f t="shared" si="8"/>
        <v/>
      </c>
      <c r="S215" s="89" t="str">
        <f t="shared" si="9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3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7"/>
        <v>0</v>
      </c>
      <c r="P216" s="9"/>
      <c r="Q216" s="9"/>
      <c r="R216" s="89" t="str">
        <f t="shared" si="8"/>
        <v/>
      </c>
      <c r="S216" s="89" t="str">
        <f t="shared" si="9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1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7"/>
        <v>0</v>
      </c>
      <c r="P217" s="9"/>
      <c r="Q217" s="9"/>
      <c r="R217" s="89" t="str">
        <f t="shared" si="8"/>
        <v/>
      </c>
      <c r="S217" s="89" t="str">
        <f t="shared" si="9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1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7"/>
        <v>0</v>
      </c>
      <c r="P218" s="9"/>
      <c r="Q218" s="9"/>
      <c r="R218" s="89" t="str">
        <f t="shared" si="8"/>
        <v/>
      </c>
      <c r="S218" s="89" t="str">
        <f t="shared" si="9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1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7"/>
        <v>0</v>
      </c>
      <c r="P219" s="9"/>
      <c r="Q219" s="9"/>
      <c r="R219" s="89" t="str">
        <f t="shared" si="8"/>
        <v/>
      </c>
      <c r="S219" s="89" t="str">
        <f t="shared" si="9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1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7"/>
        <v>0</v>
      </c>
      <c r="P220" s="9"/>
      <c r="Q220" s="9"/>
      <c r="R220" s="89" t="str">
        <f t="shared" si="8"/>
        <v/>
      </c>
      <c r="S220" s="89" t="str">
        <f t="shared" si="9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C9FC4D91-6CDD-1D4B-A4F6-3CC4DD985103}"/>
    <hyperlink ref="G46" r:id="rId36" xr:uid="{8CC2D16E-A360-EA40-9446-7C67566D1B72}"/>
    <hyperlink ref="G60" r:id="rId37" xr:uid="{BDDCC081-09A8-A24D-935F-78D4BC5084FF}"/>
    <hyperlink ref="G84" r:id="rId38" xr:uid="{F05D68B8-E23C-BA47-8F12-51FB1817BF4D}"/>
    <hyperlink ref="G53" r:id="rId39" xr:uid="{2998ED75-3559-EF4F-AEF6-140E8C4C066B}"/>
    <hyperlink ref="G176" r:id="rId40" xr:uid="{4A142947-CF52-A847-875E-734EBD617487}"/>
    <hyperlink ref="G128" r:id="rId41" xr:uid="{A641355E-E6A1-C44E-86C5-7F2697961AA7}"/>
    <hyperlink ref="G118" r:id="rId42" xr:uid="{93374F1D-18A2-C948-B565-37C19D65A8AA}"/>
    <hyperlink ref="G119" r:id="rId43" xr:uid="{4A7F4F62-FF30-AB40-88A0-EF8D4F320D99}"/>
    <hyperlink ref="G94" r:id="rId44" xr:uid="{DFCC0718-A5F8-F248-86EE-E83FA2DD44D6}"/>
    <hyperlink ref="G14" r:id="rId45" xr:uid="{2A3E5490-CF3A-C94D-B79F-25C116027C1C}"/>
    <hyperlink ref="G42" r:id="rId46" xr:uid="{35679D76-BBCD-6C40-8909-63073594D66A}"/>
    <hyperlink ref="G78" r:id="rId47" xr:uid="{72038E91-6EB8-A84A-9FAB-B13D5E98C5E6}"/>
    <hyperlink ref="G30" r:id="rId48" xr:uid="{A5588F40-4FB0-4448-93DE-B45113CBFB1E}"/>
    <hyperlink ref="G110" r:id="rId49" xr:uid="{076A2AF1-844A-E343-AFC2-C7187E9E9BDA}"/>
    <hyperlink ref="G159" r:id="rId50" xr:uid="{0C9E4AC4-9AEE-284B-AE41-091B341C0FE7}"/>
    <hyperlink ref="G66" r:id="rId51" xr:uid="{022E2A21-8AE2-1F4D-8A5A-4C41CC3DC300}"/>
    <hyperlink ref="G19" r:id="rId52" xr:uid="{145AEF6E-D947-4E4F-9E1F-822ADFC1FAEC}"/>
    <hyperlink ref="G20" r:id="rId53" xr:uid="{4835DDB8-6614-6E45-9D14-7F478946C02D}"/>
    <hyperlink ref="G65" r:id="rId54" xr:uid="{D98E004C-8574-6E4C-8B72-CA00FC430086}"/>
    <hyperlink ref="G52" r:id="rId55" xr:uid="{1E0403D3-4302-1946-8D2E-33A364F64D41}"/>
    <hyperlink ref="G12" r:id="rId56" xr:uid="{B6D17556-9C47-4C49-B8C9-D1698067C446}"/>
    <hyperlink ref="G50" r:id="rId57" xr:uid="{EC234088-98CD-A64D-A3BD-FE883BF3879F}"/>
    <hyperlink ref="G21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2025-03-14T16:14:55Z</dcterms:modified>
</cp:coreProperties>
</file>