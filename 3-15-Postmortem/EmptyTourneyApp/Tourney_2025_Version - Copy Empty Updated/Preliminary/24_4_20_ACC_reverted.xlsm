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EmptyTourneyApp\Tourney_2025_Version - Copy Empty Updated\Preliminary\"/>
    </mc:Choice>
  </mc:AlternateContent>
  <xr:revisionPtr revIDLastSave="0" documentId="13_ncr:1_{62E7AFD1-0891-4C32-9FBE-35C8D4D06C96}" xr6:coauthVersionLast="47" xr6:coauthVersionMax="47" xr10:uidLastSave="{00000000-0000-0000-0000-000000000000}"/>
  <bookViews>
    <workbookView xWindow="-26070" yWindow="2055" windowWidth="22080" windowHeight="12045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UnPaid!$A$10:$K$50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Entries!$B$12:$B$212</definedName>
    <definedName name="FRegEntriesAllInput">Entries!$H$12:$N$212</definedName>
    <definedName name="FRegEntriesAllVeggies">Entries!$U$12:$U$212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UnPaid!$A$10:$K$100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Entries!$A$6:$O$74</definedName>
    <definedName name="_xlnm.Print_Area" localSheetId="3">UnPaid!$A$7:$L$30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 l="1"/>
  <c r="B6" i="14"/>
  <c r="B5" i="14"/>
  <c r="B4" i="14"/>
  <c r="A133" i="1"/>
  <c r="S133" i="1"/>
  <c r="T133" i="1"/>
  <c r="O133" i="1" s="1"/>
  <c r="A65" i="1"/>
  <c r="S65" i="1"/>
  <c r="T65" i="1"/>
  <c r="O65" i="1" s="1"/>
  <c r="A193" i="1"/>
  <c r="R193" i="1"/>
  <c r="T193" i="1"/>
  <c r="O193" i="1" s="1"/>
  <c r="A213" i="1"/>
  <c r="R213" i="1"/>
  <c r="S213" i="1"/>
  <c r="T213" i="1"/>
  <c r="O213" i="1" s="1"/>
  <c r="A214" i="1"/>
  <c r="O214" i="1"/>
  <c r="R214" i="1"/>
  <c r="S214" i="1"/>
  <c r="T214" i="1"/>
  <c r="A36" i="1"/>
  <c r="S36" i="1"/>
  <c r="T36" i="1"/>
  <c r="O36" i="1" s="1"/>
  <c r="A123" i="1"/>
  <c r="R123" i="1"/>
  <c r="T123" i="1"/>
  <c r="O123" i="1" s="1"/>
  <c r="A13" i="1"/>
  <c r="S12" i="1"/>
  <c r="T12" i="1"/>
  <c r="O12" i="1" s="1"/>
  <c r="T77" i="1"/>
  <c r="T75" i="1"/>
  <c r="O75" i="1" s="1"/>
  <c r="T76" i="1"/>
  <c r="A46" i="1"/>
  <c r="T46" i="1"/>
  <c r="S46" i="1" s="1"/>
  <c r="A154" i="1"/>
  <c r="S154" i="1"/>
  <c r="T154" i="1"/>
  <c r="O154" i="1" s="1"/>
  <c r="A157" i="1"/>
  <c r="S157" i="1"/>
  <c r="T157" i="1"/>
  <c r="O157" i="1" s="1"/>
  <c r="A32" i="1"/>
  <c r="R32" i="1"/>
  <c r="T32" i="1"/>
  <c r="A172" i="1"/>
  <c r="R172" i="1"/>
  <c r="T172" i="1"/>
  <c r="O172" i="1" s="1"/>
  <c r="A131" i="1"/>
  <c r="R131" i="1"/>
  <c r="T131" i="1"/>
  <c r="S131" i="1" s="1"/>
  <c r="A165" i="1"/>
  <c r="R165" i="1"/>
  <c r="T165" i="1"/>
  <c r="O165" i="1" s="1"/>
  <c r="R14" i="1"/>
  <c r="T14" i="1"/>
  <c r="O14" i="1" s="1"/>
  <c r="R15" i="1"/>
  <c r="S15" i="1"/>
  <c r="T15" i="1"/>
  <c r="O15" i="1" s="1"/>
  <c r="R16" i="1"/>
  <c r="S16" i="1"/>
  <c r="T16" i="1"/>
  <c r="O16" i="1" s="1"/>
  <c r="R17" i="1"/>
  <c r="S17" i="1"/>
  <c r="T17" i="1"/>
  <c r="O17" i="1" s="1"/>
  <c r="R18" i="1"/>
  <c r="S18" i="1"/>
  <c r="T18" i="1"/>
  <c r="O18" i="1" s="1"/>
  <c r="R19" i="1"/>
  <c r="S19" i="1"/>
  <c r="T19" i="1"/>
  <c r="O19" i="1" s="1"/>
  <c r="R20" i="1"/>
  <c r="S20" i="1"/>
  <c r="T20" i="1"/>
  <c r="O20" i="1" s="1"/>
  <c r="R21" i="1"/>
  <c r="S21" i="1"/>
  <c r="T21" i="1"/>
  <c r="O21" i="1" s="1"/>
  <c r="S22" i="1"/>
  <c r="T22" i="1"/>
  <c r="O22" i="1" s="1"/>
  <c r="S23" i="1"/>
  <c r="T23" i="1"/>
  <c r="O23" i="1" s="1"/>
  <c r="R24" i="1"/>
  <c r="S24" i="1"/>
  <c r="T24" i="1"/>
  <c r="O24" i="1" s="1"/>
  <c r="R25" i="1"/>
  <c r="S25" i="1"/>
  <c r="T25" i="1"/>
  <c r="O25" i="1" s="1"/>
  <c r="S26" i="1"/>
  <c r="T26" i="1"/>
  <c r="O26" i="1" s="1"/>
  <c r="R27" i="1"/>
  <c r="S27" i="1"/>
  <c r="T27" i="1"/>
  <c r="O27" i="1" s="1"/>
  <c r="R28" i="1"/>
  <c r="S28" i="1"/>
  <c r="T28" i="1"/>
  <c r="O28" i="1" s="1"/>
  <c r="R29" i="1"/>
  <c r="S29" i="1"/>
  <c r="T29" i="1"/>
  <c r="O29" i="1" s="1"/>
  <c r="R30" i="1"/>
  <c r="S30" i="1"/>
  <c r="T30" i="1"/>
  <c r="O30" i="1" s="1"/>
  <c r="R31" i="1"/>
  <c r="S31" i="1"/>
  <c r="T31" i="1"/>
  <c r="O31" i="1" s="1"/>
  <c r="R33" i="1"/>
  <c r="S33" i="1"/>
  <c r="T33" i="1"/>
  <c r="O33" i="1" s="1"/>
  <c r="R34" i="1"/>
  <c r="S34" i="1"/>
  <c r="T34" i="1"/>
  <c r="O34" i="1" s="1"/>
  <c r="R35" i="1"/>
  <c r="S35" i="1"/>
  <c r="T35" i="1"/>
  <c r="O35" i="1" s="1"/>
  <c r="S37" i="1"/>
  <c r="T37" i="1"/>
  <c r="O37" i="1" s="1"/>
  <c r="R38" i="1"/>
  <c r="S38" i="1"/>
  <c r="T38" i="1"/>
  <c r="O38" i="1" s="1"/>
  <c r="R39" i="1"/>
  <c r="S39" i="1"/>
  <c r="T39" i="1"/>
  <c r="O39" i="1" s="1"/>
  <c r="R40" i="1"/>
  <c r="S40" i="1"/>
  <c r="T40" i="1"/>
  <c r="O40" i="1" s="1"/>
  <c r="R41" i="1"/>
  <c r="S41" i="1"/>
  <c r="T41" i="1"/>
  <c r="O41" i="1" s="1"/>
  <c r="S42" i="1"/>
  <c r="T42" i="1"/>
  <c r="O42" i="1" s="1"/>
  <c r="R43" i="1"/>
  <c r="S43" i="1"/>
  <c r="T43" i="1"/>
  <c r="O43" i="1" s="1"/>
  <c r="R44" i="1"/>
  <c r="S44" i="1"/>
  <c r="T44" i="1"/>
  <c r="O44" i="1" s="1"/>
  <c r="S45" i="1"/>
  <c r="T45" i="1"/>
  <c r="O45" i="1" s="1"/>
  <c r="R47" i="1"/>
  <c r="S47" i="1"/>
  <c r="T47" i="1"/>
  <c r="O47" i="1" s="1"/>
  <c r="R48" i="1"/>
  <c r="S48" i="1"/>
  <c r="T48" i="1"/>
  <c r="O48" i="1" s="1"/>
  <c r="R49" i="1"/>
  <c r="S49" i="1"/>
  <c r="T49" i="1"/>
  <c r="O49" i="1" s="1"/>
  <c r="R50" i="1"/>
  <c r="S50" i="1"/>
  <c r="T50" i="1"/>
  <c r="O50" i="1" s="1"/>
  <c r="S51" i="1"/>
  <c r="T51" i="1"/>
  <c r="O51" i="1" s="1"/>
  <c r="R52" i="1"/>
  <c r="S52" i="1"/>
  <c r="T52" i="1"/>
  <c r="O52" i="1" s="1"/>
  <c r="R53" i="1"/>
  <c r="S53" i="1"/>
  <c r="T53" i="1"/>
  <c r="O53" i="1" s="1"/>
  <c r="R54" i="1"/>
  <c r="S54" i="1"/>
  <c r="T54" i="1"/>
  <c r="O54" i="1" s="1"/>
  <c r="R55" i="1"/>
  <c r="S55" i="1"/>
  <c r="T55" i="1"/>
  <c r="O55" i="1" s="1"/>
  <c r="R56" i="1"/>
  <c r="S56" i="1"/>
  <c r="T56" i="1"/>
  <c r="O56" i="1" s="1"/>
  <c r="S57" i="1"/>
  <c r="T57" i="1"/>
  <c r="O57" i="1" s="1"/>
  <c r="R58" i="1"/>
  <c r="S58" i="1"/>
  <c r="T58" i="1"/>
  <c r="O58" i="1" s="1"/>
  <c r="R59" i="1"/>
  <c r="S59" i="1"/>
  <c r="T59" i="1"/>
  <c r="O59" i="1" s="1"/>
  <c r="S60" i="1"/>
  <c r="T60" i="1"/>
  <c r="O60" i="1" s="1"/>
  <c r="R61" i="1"/>
  <c r="S61" i="1"/>
  <c r="T61" i="1"/>
  <c r="O61" i="1" s="1"/>
  <c r="S62" i="1"/>
  <c r="T62" i="1"/>
  <c r="O62" i="1" s="1"/>
  <c r="R63" i="1"/>
  <c r="S63" i="1"/>
  <c r="T63" i="1"/>
  <c r="O63" i="1" s="1"/>
  <c r="S64" i="1"/>
  <c r="T64" i="1"/>
  <c r="O64" i="1" s="1"/>
  <c r="R66" i="1"/>
  <c r="T66" i="1"/>
  <c r="O66" i="1" s="1"/>
  <c r="R67" i="1"/>
  <c r="S67" i="1"/>
  <c r="T67" i="1"/>
  <c r="O67" i="1" s="1"/>
  <c r="R68" i="1"/>
  <c r="S68" i="1"/>
  <c r="T68" i="1"/>
  <c r="O68" i="1" s="1"/>
  <c r="R69" i="1"/>
  <c r="S69" i="1"/>
  <c r="T69" i="1"/>
  <c r="O69" i="1" s="1"/>
  <c r="R70" i="1"/>
  <c r="S70" i="1"/>
  <c r="T70" i="1"/>
  <c r="O70" i="1" s="1"/>
  <c r="R71" i="1"/>
  <c r="S71" i="1"/>
  <c r="T71" i="1"/>
  <c r="O71" i="1" s="1"/>
  <c r="R72" i="1"/>
  <c r="S72" i="1"/>
  <c r="T72" i="1"/>
  <c r="O72" i="1" s="1"/>
  <c r="R73" i="1"/>
  <c r="S73" i="1"/>
  <c r="T73" i="1"/>
  <c r="O73" i="1" s="1"/>
  <c r="R74" i="1"/>
  <c r="T74" i="1"/>
  <c r="O74" i="1" s="1"/>
  <c r="R75" i="1"/>
  <c r="S75" i="1"/>
  <c r="R78" i="1"/>
  <c r="S78" i="1"/>
  <c r="T78" i="1"/>
  <c r="O78" i="1" s="1"/>
  <c r="R79" i="1"/>
  <c r="S79" i="1"/>
  <c r="T79" i="1"/>
  <c r="O79" i="1" s="1"/>
  <c r="R80" i="1"/>
  <c r="S80" i="1"/>
  <c r="T80" i="1"/>
  <c r="O80" i="1" s="1"/>
  <c r="R81" i="1"/>
  <c r="S81" i="1"/>
  <c r="T81" i="1"/>
  <c r="O81" i="1" s="1"/>
  <c r="R82" i="1"/>
  <c r="S82" i="1"/>
  <c r="T82" i="1"/>
  <c r="O82" i="1" s="1"/>
  <c r="R83" i="1"/>
  <c r="S83" i="1"/>
  <c r="T83" i="1"/>
  <c r="O83" i="1" s="1"/>
  <c r="S84" i="1"/>
  <c r="T84" i="1"/>
  <c r="O84" i="1" s="1"/>
  <c r="S85" i="1"/>
  <c r="T85" i="1"/>
  <c r="O85" i="1" s="1"/>
  <c r="R86" i="1"/>
  <c r="S86" i="1"/>
  <c r="T86" i="1"/>
  <c r="O86" i="1" s="1"/>
  <c r="R87" i="1"/>
  <c r="S87" i="1"/>
  <c r="T87" i="1"/>
  <c r="O87" i="1" s="1"/>
  <c r="R88" i="1"/>
  <c r="S88" i="1"/>
  <c r="T88" i="1"/>
  <c r="O88" i="1" s="1"/>
  <c r="S89" i="1"/>
  <c r="T89" i="1"/>
  <c r="O89" i="1" s="1"/>
  <c r="S90" i="1"/>
  <c r="T90" i="1"/>
  <c r="O90" i="1" s="1"/>
  <c r="R91" i="1"/>
  <c r="S91" i="1"/>
  <c r="T91" i="1"/>
  <c r="O91" i="1" s="1"/>
  <c r="R92" i="1"/>
  <c r="S92" i="1"/>
  <c r="T92" i="1"/>
  <c r="O92" i="1" s="1"/>
  <c r="R93" i="1"/>
  <c r="S93" i="1"/>
  <c r="T93" i="1"/>
  <c r="O93" i="1" s="1"/>
  <c r="R94" i="1"/>
  <c r="T94" i="1"/>
  <c r="S94" i="1" s="1"/>
  <c r="R95" i="1"/>
  <c r="S95" i="1"/>
  <c r="T95" i="1"/>
  <c r="O95" i="1" s="1"/>
  <c r="R96" i="1"/>
  <c r="S96" i="1"/>
  <c r="T96" i="1"/>
  <c r="O96" i="1" s="1"/>
  <c r="R97" i="1"/>
  <c r="S97" i="1"/>
  <c r="T97" i="1"/>
  <c r="O97" i="1" s="1"/>
  <c r="S98" i="1"/>
  <c r="T98" i="1"/>
  <c r="O98" i="1" s="1"/>
  <c r="R99" i="1"/>
  <c r="S99" i="1"/>
  <c r="T99" i="1"/>
  <c r="O99" i="1" s="1"/>
  <c r="R100" i="1"/>
  <c r="S100" i="1"/>
  <c r="T100" i="1"/>
  <c r="O100" i="1" s="1"/>
  <c r="R101" i="1"/>
  <c r="S101" i="1"/>
  <c r="T101" i="1"/>
  <c r="O101" i="1" s="1"/>
  <c r="R102" i="1"/>
  <c r="S102" i="1"/>
  <c r="T102" i="1"/>
  <c r="O102" i="1" s="1"/>
  <c r="R103" i="1"/>
  <c r="S103" i="1"/>
  <c r="T103" i="1"/>
  <c r="O103" i="1" s="1"/>
  <c r="R104" i="1"/>
  <c r="S104" i="1"/>
  <c r="T104" i="1"/>
  <c r="O104" i="1" s="1"/>
  <c r="R105" i="1"/>
  <c r="S105" i="1"/>
  <c r="T105" i="1"/>
  <c r="O105" i="1" s="1"/>
  <c r="R106" i="1"/>
  <c r="S106" i="1"/>
  <c r="T106" i="1"/>
  <c r="O106" i="1" s="1"/>
  <c r="R107" i="1"/>
  <c r="S107" i="1"/>
  <c r="T107" i="1"/>
  <c r="O107" i="1" s="1"/>
  <c r="S108" i="1"/>
  <c r="T108" i="1"/>
  <c r="O108" i="1" s="1"/>
  <c r="S109" i="1"/>
  <c r="T109" i="1"/>
  <c r="O109" i="1" s="1"/>
  <c r="R110" i="1"/>
  <c r="T110" i="1"/>
  <c r="O110" i="1" s="1"/>
  <c r="R111" i="1"/>
  <c r="S111" i="1"/>
  <c r="T111" i="1"/>
  <c r="O111" i="1" s="1"/>
  <c r="S112" i="1"/>
  <c r="T112" i="1"/>
  <c r="O112" i="1" s="1"/>
  <c r="R113" i="1"/>
  <c r="S113" i="1"/>
  <c r="T113" i="1"/>
  <c r="O113" i="1" s="1"/>
  <c r="R114" i="1"/>
  <c r="S114" i="1"/>
  <c r="T114" i="1"/>
  <c r="O114" i="1" s="1"/>
  <c r="R115" i="1"/>
  <c r="S115" i="1"/>
  <c r="T115" i="1"/>
  <c r="O115" i="1" s="1"/>
  <c r="R116" i="1"/>
  <c r="T116" i="1"/>
  <c r="O116" i="1" s="1"/>
  <c r="R117" i="1"/>
  <c r="S117" i="1"/>
  <c r="T117" i="1"/>
  <c r="O117" i="1" s="1"/>
  <c r="R118" i="1"/>
  <c r="S118" i="1"/>
  <c r="T118" i="1"/>
  <c r="O118" i="1" s="1"/>
  <c r="S119" i="1"/>
  <c r="T119" i="1"/>
  <c r="O119" i="1" s="1"/>
  <c r="R120" i="1"/>
  <c r="S120" i="1"/>
  <c r="T120" i="1"/>
  <c r="O120" i="1" s="1"/>
  <c r="R121" i="1"/>
  <c r="S121" i="1"/>
  <c r="T121" i="1"/>
  <c r="O121" i="1" s="1"/>
  <c r="R122" i="1"/>
  <c r="S122" i="1"/>
  <c r="T122" i="1"/>
  <c r="O122" i="1" s="1"/>
  <c r="R124" i="1"/>
  <c r="S124" i="1"/>
  <c r="T124" i="1"/>
  <c r="O124" i="1" s="1"/>
  <c r="R125" i="1"/>
  <c r="S125" i="1"/>
  <c r="T125" i="1"/>
  <c r="O125" i="1" s="1"/>
  <c r="R126" i="1"/>
  <c r="S126" i="1"/>
  <c r="T126" i="1"/>
  <c r="O126" i="1" s="1"/>
  <c r="R127" i="1"/>
  <c r="T127" i="1"/>
  <c r="S127" i="1" s="1"/>
  <c r="S128" i="1"/>
  <c r="T128" i="1"/>
  <c r="O128" i="1" s="1"/>
  <c r="R129" i="1"/>
  <c r="S129" i="1"/>
  <c r="T129" i="1"/>
  <c r="O129" i="1" s="1"/>
  <c r="R130" i="1"/>
  <c r="S130" i="1"/>
  <c r="T130" i="1"/>
  <c r="O130" i="1" s="1"/>
  <c r="R132" i="1"/>
  <c r="S132" i="1"/>
  <c r="T132" i="1"/>
  <c r="O132" i="1" s="1"/>
  <c r="R134" i="1"/>
  <c r="S134" i="1"/>
  <c r="T134" i="1"/>
  <c r="O134" i="1" s="1"/>
  <c r="R135" i="1"/>
  <c r="S135" i="1"/>
  <c r="T135" i="1"/>
  <c r="O135" i="1" s="1"/>
  <c r="S136" i="1"/>
  <c r="T136" i="1"/>
  <c r="O136" i="1" s="1"/>
  <c r="R137" i="1"/>
  <c r="S137" i="1"/>
  <c r="T137" i="1"/>
  <c r="O137" i="1" s="1"/>
  <c r="R138" i="1"/>
  <c r="S138" i="1"/>
  <c r="T138" i="1"/>
  <c r="O138" i="1" s="1"/>
  <c r="R139" i="1"/>
  <c r="S139" i="1"/>
  <c r="T139" i="1"/>
  <c r="O139" i="1" s="1"/>
  <c r="R140" i="1"/>
  <c r="S140" i="1"/>
  <c r="T140" i="1"/>
  <c r="O140" i="1" s="1"/>
  <c r="S141" i="1"/>
  <c r="T141" i="1"/>
  <c r="O141" i="1" s="1"/>
  <c r="R142" i="1"/>
  <c r="S142" i="1"/>
  <c r="T142" i="1"/>
  <c r="O142" i="1" s="1"/>
  <c r="R143" i="1"/>
  <c r="S143" i="1"/>
  <c r="T143" i="1"/>
  <c r="O143" i="1" s="1"/>
  <c r="R144" i="1"/>
  <c r="S144" i="1"/>
  <c r="T144" i="1"/>
  <c r="O144" i="1" s="1"/>
  <c r="R145" i="1"/>
  <c r="S145" i="1"/>
  <c r="T145" i="1"/>
  <c r="O145" i="1" s="1"/>
  <c r="R146" i="1"/>
  <c r="S146" i="1"/>
  <c r="T146" i="1"/>
  <c r="O146" i="1" s="1"/>
  <c r="R147" i="1"/>
  <c r="S147" i="1"/>
  <c r="T147" i="1"/>
  <c r="O147" i="1" s="1"/>
  <c r="S148" i="1"/>
  <c r="T148" i="1"/>
  <c r="O148" i="1" s="1"/>
  <c r="R149" i="1"/>
  <c r="S149" i="1"/>
  <c r="T149" i="1"/>
  <c r="O149" i="1" s="1"/>
  <c r="R150" i="1"/>
  <c r="S150" i="1"/>
  <c r="T150" i="1"/>
  <c r="O150" i="1" s="1"/>
  <c r="R151" i="1"/>
  <c r="T151" i="1"/>
  <c r="O151" i="1" s="1"/>
  <c r="S152" i="1"/>
  <c r="T152" i="1"/>
  <c r="O152" i="1" s="1"/>
  <c r="S153" i="1"/>
  <c r="T153" i="1"/>
  <c r="O153" i="1" s="1"/>
  <c r="R155" i="1"/>
  <c r="S155" i="1"/>
  <c r="T155" i="1"/>
  <c r="O155" i="1" s="1"/>
  <c r="R156" i="1"/>
  <c r="S156" i="1"/>
  <c r="T156" i="1"/>
  <c r="O156" i="1" s="1"/>
  <c r="R158" i="1"/>
  <c r="S158" i="1"/>
  <c r="T158" i="1"/>
  <c r="O158" i="1" s="1"/>
  <c r="R159" i="1"/>
  <c r="S159" i="1"/>
  <c r="T159" i="1"/>
  <c r="O159" i="1" s="1"/>
  <c r="R160" i="1"/>
  <c r="S160" i="1"/>
  <c r="T160" i="1"/>
  <c r="O160" i="1" s="1"/>
  <c r="R161" i="1"/>
  <c r="S161" i="1"/>
  <c r="T161" i="1"/>
  <c r="O161" i="1" s="1"/>
  <c r="S162" i="1"/>
  <c r="T162" i="1"/>
  <c r="O162" i="1" s="1"/>
  <c r="S163" i="1"/>
  <c r="T163" i="1"/>
  <c r="O163" i="1" s="1"/>
  <c r="R164" i="1"/>
  <c r="S164" i="1"/>
  <c r="T164" i="1"/>
  <c r="O164" i="1" s="1"/>
  <c r="R166" i="1"/>
  <c r="S166" i="1"/>
  <c r="T166" i="1"/>
  <c r="O166" i="1" s="1"/>
  <c r="R167" i="1"/>
  <c r="S167" i="1"/>
  <c r="T167" i="1"/>
  <c r="O167" i="1" s="1"/>
  <c r="R168" i="1"/>
  <c r="S168" i="1"/>
  <c r="T168" i="1"/>
  <c r="O168" i="1" s="1"/>
  <c r="R169" i="1"/>
  <c r="S169" i="1"/>
  <c r="T169" i="1"/>
  <c r="O169" i="1" s="1"/>
  <c r="S170" i="1"/>
  <c r="T170" i="1"/>
  <c r="O170" i="1" s="1"/>
  <c r="R171" i="1"/>
  <c r="T171" i="1"/>
  <c r="O171" i="1" s="1"/>
  <c r="R173" i="1"/>
  <c r="S173" i="1"/>
  <c r="T173" i="1"/>
  <c r="O173" i="1" s="1"/>
  <c r="R174" i="1"/>
  <c r="S174" i="1"/>
  <c r="T174" i="1"/>
  <c r="O174" i="1" s="1"/>
  <c r="R175" i="1"/>
  <c r="S175" i="1"/>
  <c r="T175" i="1"/>
  <c r="O175" i="1" s="1"/>
  <c r="S176" i="1"/>
  <c r="T176" i="1"/>
  <c r="O176" i="1" s="1"/>
  <c r="R177" i="1"/>
  <c r="S177" i="1"/>
  <c r="T177" i="1"/>
  <c r="O177" i="1" s="1"/>
  <c r="R178" i="1"/>
  <c r="S178" i="1"/>
  <c r="T178" i="1"/>
  <c r="O178" i="1" s="1"/>
  <c r="S179" i="1"/>
  <c r="T179" i="1"/>
  <c r="O179" i="1" s="1"/>
  <c r="S180" i="1"/>
  <c r="T180" i="1"/>
  <c r="O180" i="1" s="1"/>
  <c r="R181" i="1"/>
  <c r="S181" i="1"/>
  <c r="T181" i="1"/>
  <c r="O181" i="1" s="1"/>
  <c r="R182" i="1"/>
  <c r="S182" i="1"/>
  <c r="T182" i="1"/>
  <c r="O182" i="1" s="1"/>
  <c r="R183" i="1"/>
  <c r="S183" i="1"/>
  <c r="T183" i="1"/>
  <c r="O183" i="1" s="1"/>
  <c r="S184" i="1"/>
  <c r="T184" i="1"/>
  <c r="O184" i="1" s="1"/>
  <c r="S185" i="1"/>
  <c r="T185" i="1"/>
  <c r="O185" i="1" s="1"/>
  <c r="R186" i="1"/>
  <c r="S186" i="1"/>
  <c r="T186" i="1"/>
  <c r="O186" i="1" s="1"/>
  <c r="R187" i="1"/>
  <c r="S187" i="1"/>
  <c r="T187" i="1"/>
  <c r="O187" i="1" s="1"/>
  <c r="R188" i="1"/>
  <c r="S188" i="1"/>
  <c r="T188" i="1"/>
  <c r="O188" i="1" s="1"/>
  <c r="R189" i="1"/>
  <c r="S189" i="1"/>
  <c r="T189" i="1"/>
  <c r="O189" i="1" s="1"/>
  <c r="R190" i="1"/>
  <c r="S190" i="1"/>
  <c r="T190" i="1"/>
  <c r="O190" i="1" s="1"/>
  <c r="R191" i="1"/>
  <c r="T191" i="1"/>
  <c r="O191" i="1" s="1"/>
  <c r="R192" i="1"/>
  <c r="S192" i="1"/>
  <c r="T192" i="1"/>
  <c r="O192" i="1" s="1"/>
  <c r="R194" i="1"/>
  <c r="S194" i="1"/>
  <c r="T194" i="1"/>
  <c r="O194" i="1" s="1"/>
  <c r="R195" i="1"/>
  <c r="S195" i="1"/>
  <c r="T195" i="1"/>
  <c r="O195" i="1" s="1"/>
  <c r="S196" i="1"/>
  <c r="T196" i="1"/>
  <c r="O196" i="1" s="1"/>
  <c r="R197" i="1"/>
  <c r="S197" i="1"/>
  <c r="T197" i="1"/>
  <c r="O197" i="1" s="1"/>
  <c r="R198" i="1"/>
  <c r="S198" i="1"/>
  <c r="T198" i="1"/>
  <c r="O198" i="1" s="1"/>
  <c r="R199" i="1"/>
  <c r="S199" i="1"/>
  <c r="T199" i="1"/>
  <c r="O199" i="1" s="1"/>
  <c r="R200" i="1"/>
  <c r="S200" i="1"/>
  <c r="T200" i="1"/>
  <c r="O200" i="1" s="1"/>
  <c r="S201" i="1"/>
  <c r="T201" i="1"/>
  <c r="O201" i="1" s="1"/>
  <c r="R202" i="1"/>
  <c r="S202" i="1"/>
  <c r="T202" i="1"/>
  <c r="O202" i="1" s="1"/>
  <c r="R65" i="1" l="1"/>
  <c r="R133" i="1"/>
  <c r="R196" i="1"/>
  <c r="R170" i="1"/>
  <c r="S116" i="1"/>
  <c r="S193" i="1"/>
  <c r="S191" i="1"/>
  <c r="S110" i="1"/>
  <c r="S123" i="1"/>
  <c r="R36" i="1"/>
  <c r="R184" i="1"/>
  <c r="S151" i="1"/>
  <c r="R112" i="1"/>
  <c r="S14" i="1"/>
  <c r="S66" i="1"/>
  <c r="R136" i="1"/>
  <c r="R98" i="1"/>
  <c r="R26" i="1"/>
  <c r="R37" i="1"/>
  <c r="R141" i="1"/>
  <c r="R148" i="1"/>
  <c r="R12" i="1"/>
  <c r="R84" i="1"/>
  <c r="R60" i="1"/>
  <c r="R109" i="1"/>
  <c r="R62" i="1"/>
  <c r="R42" i="1"/>
  <c r="R179" i="1"/>
  <c r="S74" i="1"/>
  <c r="R90" i="1"/>
  <c r="R85" i="1"/>
  <c r="R45" i="1"/>
  <c r="R51" i="1"/>
  <c r="R46" i="1"/>
  <c r="R162" i="1"/>
  <c r="R153" i="1"/>
  <c r="R154" i="1"/>
  <c r="S171" i="1"/>
  <c r="R180" i="1"/>
  <c r="R176" i="1"/>
  <c r="R64" i="1"/>
  <c r="R22" i="1"/>
  <c r="S172" i="1"/>
  <c r="R57" i="1"/>
  <c r="R23" i="1"/>
  <c r="R157" i="1"/>
  <c r="R201" i="1"/>
  <c r="R185" i="1"/>
  <c r="R119" i="1"/>
  <c r="R152" i="1"/>
  <c r="R89" i="1"/>
  <c r="R128" i="1"/>
  <c r="S165" i="1"/>
  <c r="R108" i="1"/>
  <c r="U10" i="1"/>
  <c r="N10" i="1" l="1"/>
  <c r="M10" i="1"/>
  <c r="L10" i="1"/>
  <c r="K10" i="1"/>
  <c r="J10" i="1"/>
  <c r="I10" i="1"/>
  <c r="H10" i="1"/>
  <c r="K11" i="1"/>
  <c r="J11" i="1"/>
  <c r="I11" i="1"/>
  <c r="H11" i="1"/>
  <c r="T212" i="1"/>
  <c r="O212" i="1" s="1"/>
  <c r="S212" i="1"/>
  <c r="R212" i="1"/>
  <c r="T211" i="1"/>
  <c r="O211" i="1" s="1"/>
  <c r="S211" i="1"/>
  <c r="R211" i="1"/>
  <c r="T210" i="1"/>
  <c r="O210" i="1" s="1"/>
  <c r="S210" i="1"/>
  <c r="R210" i="1"/>
  <c r="T209" i="1"/>
  <c r="O209" i="1" s="1"/>
  <c r="S209" i="1"/>
  <c r="R209" i="1"/>
  <c r="T208" i="1"/>
  <c r="O208" i="1" s="1"/>
  <c r="S208" i="1"/>
  <c r="R208" i="1"/>
  <c r="T207" i="1"/>
  <c r="O207" i="1" s="1"/>
  <c r="S207" i="1"/>
  <c r="R207" i="1"/>
  <c r="T206" i="1"/>
  <c r="O206" i="1" s="1"/>
  <c r="S206" i="1"/>
  <c r="R206" i="1"/>
  <c r="T205" i="1"/>
  <c r="O205" i="1" s="1"/>
  <c r="S205" i="1"/>
  <c r="R205" i="1"/>
  <c r="T204" i="1"/>
  <c r="O204" i="1" s="1"/>
  <c r="S204" i="1"/>
  <c r="R204" i="1"/>
  <c r="T203" i="1"/>
  <c r="O203" i="1" s="1"/>
  <c r="S203" i="1"/>
  <c r="R203" i="1"/>
  <c r="T13" i="1"/>
  <c r="R13" i="1" s="1"/>
  <c r="S13" i="1"/>
  <c r="O13" i="1" l="1"/>
  <c r="O10" i="1" s="1"/>
  <c r="T10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1" i="1"/>
  <c r="A170" i="1"/>
  <c r="A169" i="1"/>
  <c r="A168" i="1"/>
  <c r="A167" i="1"/>
  <c r="A166" i="1"/>
  <c r="A164" i="1"/>
  <c r="A163" i="1"/>
  <c r="A162" i="1"/>
  <c r="A161" i="1"/>
  <c r="A160" i="1"/>
  <c r="A159" i="1"/>
  <c r="A158" i="1"/>
  <c r="A156" i="1"/>
  <c r="A155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2" i="1"/>
  <c r="A130" i="1"/>
  <c r="A129" i="1"/>
  <c r="A128" i="1"/>
  <c r="A127" i="1"/>
  <c r="A126" i="1"/>
  <c r="A125" i="1"/>
  <c r="A124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5" i="1"/>
  <c r="A74" i="1"/>
  <c r="A73" i="1"/>
  <c r="A72" i="1"/>
  <c r="A71" i="1"/>
  <c r="A70" i="1"/>
  <c r="A69" i="1"/>
  <c r="A68" i="1"/>
  <c r="A67" i="1"/>
  <c r="A66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5" i="1"/>
  <c r="A44" i="1"/>
  <c r="A43" i="1"/>
  <c r="A42" i="1"/>
  <c r="A41" i="1"/>
  <c r="A40" i="1"/>
  <c r="A39" i="1"/>
  <c r="A38" i="1"/>
  <c r="A37" i="1"/>
  <c r="A35" i="1"/>
  <c r="A34" i="1"/>
  <c r="A33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2" i="1"/>
  <c r="S10" i="1" l="1"/>
  <c r="R10" i="1"/>
  <c r="B10" i="1"/>
</calcChain>
</file>

<file path=xl/sharedStrings.xml><?xml version="1.0" encoding="utf-8"?>
<sst xmlns="http://schemas.openxmlformats.org/spreadsheetml/2006/main" count="948" uniqueCount="729">
  <si>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</si>
  <si>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</si>
  <si>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</si>
  <si>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</si>
  <si>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</si>
  <si>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</si>
  <si>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</si>
  <si>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</si>
  <si>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</si>
  <si>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</si>
  <si>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</si>
  <si>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</si>
  <si>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</si>
  <si>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</si>
  <si>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</si>
  <si>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</si>
  <si>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</si>
  <si>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</si>
  <si>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</si>
  <si>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</si>
  <si>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</si>
  <si>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</si>
  <si>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</si>
  <si>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</si>
  <si>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</si>
  <si>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</si>
  <si>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</si>
  <si>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</si>
  <si>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</si>
  <si>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</si>
  <si>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</si>
  <si>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</si>
  <si>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</si>
  <si>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</si>
  <si>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</si>
  <si>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</si>
  <si>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</si>
  <si>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</si>
  <si>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</si>
  <si>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</si>
  <si>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</si>
  <si>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</si>
  <si>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</si>
  <si>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</si>
  <si>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</si>
  <si>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</si>
  <si>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</si>
  <si>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</si>
  <si>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</si>
  <si>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</si>
  <si>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</si>
  <si>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</si>
  <si>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</si>
  <si>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</si>
  <si>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</si>
  <si>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</si>
  <si>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</si>
  <si>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</si>
  <si>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</si>
  <si>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</si>
  <si>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</si>
  <si>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</si>
  <si>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</si>
  <si>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</si>
  <si>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</si>
  <si>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</si>
  <si>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</si>
  <si>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</si>
  <si>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</si>
  <si>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</si>
  <si>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</si>
  <si>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</si>
  <si>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</si>
  <si>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</si>
  <si>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</si>
  <si>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</si>
  <si>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</si>
  <si>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</si>
  <si>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</si>
  <si>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</si>
  <si>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</si>
  <si>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</si>
  <si>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</si>
  <si>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</si>
  <si>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</si>
  <si>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</si>
  <si>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</si>
  <si>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</si>
  <si>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</si>
  <si>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</si>
  <si>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</si>
  <si>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</si>
  <si>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</si>
  <si>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</si>
  <si>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</si>
  <si>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</si>
  <si>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</si>
  <si>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</si>
  <si>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</si>
  <si>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</si>
  <si>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</si>
  <si>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</si>
  <si>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</si>
  <si>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</si>
  <si>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</si>
  <si>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</si>
  <si>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</si>
  <si>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</si>
  <si>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</si>
  <si>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</si>
  <si>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</si>
  <si>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</si>
  <si>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</si>
  <si>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</si>
  <si>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</si>
  <si>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</si>
  <si>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</si>
  <si>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</si>
  <si>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</si>
  <si>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</si>
  <si>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</si>
  <si>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</si>
  <si>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</si>
  <si>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</si>
  <si>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</si>
  <si>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</si>
  <si>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</si>
  <si>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</si>
  <si>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</si>
  <si>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</si>
  <si>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</si>
  <si>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</si>
  <si>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</si>
  <si>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</si>
  <si>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</si>
  <si>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</si>
  <si>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</si>
  <si>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</si>
  <si>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</si>
  <si>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</si>
  <si>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</si>
  <si>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</si>
  <si>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</si>
  <si>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</si>
  <si>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</si>
  <si>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</si>
  <si>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</si>
  <si>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</si>
  <si>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</si>
  <si>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</si>
  <si>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</si>
  <si>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</si>
  <si>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</si>
  <si>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</si>
  <si>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</si>
  <si>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</si>
  <si>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</si>
  <si>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</si>
  <si>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</si>
  <si>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</si>
  <si>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</si>
  <si>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</si>
  <si>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</si>
  <si>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</si>
  <si>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</si>
  <si>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</si>
  <si>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</si>
  <si>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</si>
  <si>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</si>
  <si>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</si>
  <si>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</si>
  <si>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</si>
  <si>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</si>
  <si>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</si>
  <si>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</si>
  <si>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</si>
  <si>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</si>
  <si>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</si>
  <si>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</si>
  <si>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</si>
  <si>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</si>
  <si>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</si>
  <si>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</si>
  <si>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</si>
  <si>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</si>
  <si>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</si>
  <si>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</si>
  <si>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</si>
  <si>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</si>
  <si>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</si>
  <si>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</si>
  <si>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</si>
  <si>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</si>
  <si>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</si>
  <si>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</si>
  <si>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</si>
  <si>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</si>
  <si>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</si>
  <si>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</si>
  <si>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</si>
  <si>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</si>
  <si>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</si>
  <si>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</si>
  <si>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</si>
  <si>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</si>
  <si>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</si>
  <si>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</si>
  <si>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</si>
  <si>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</si>
  <si>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</si>
  <si>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</si>
  <si>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</si>
  <si>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</si>
  <si>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</si>
  <si>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</si>
  <si>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CA-6995</t>
  </si>
  <si>
    <t>CA-1737</t>
  </si>
  <si>
    <t>CA-6983</t>
  </si>
  <si>
    <t>CA-2691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</si>
  <si>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</si>
  <si>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</si>
  <si>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</si>
  <si>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</si>
  <si>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</si>
  <si>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</si>
  <si>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</si>
  <si>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</si>
  <si>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</si>
  <si>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</si>
  <si>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</si>
  <si>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</si>
  <si>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</si>
  <si>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</si>
  <si>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</si>
  <si>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</si>
  <si>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</si>
  <si>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</si>
  <si>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</si>
  <si>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</si>
  <si>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</si>
  <si>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</si>
  <si>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</si>
  <si>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</si>
  <si>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</si>
  <si>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</si>
  <si>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</si>
  <si>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</si>
  <si>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</si>
  <si>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</si>
  <si>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</si>
  <si>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</si>
  <si>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</si>
  <si>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</si>
  <si>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</si>
  <si>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</si>
  <si>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</si>
  <si>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</si>
  <si>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</si>
  <si>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</si>
  <si>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</si>
  <si>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</si>
  <si>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</si>
  <si>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</si>
  <si>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</si>
  <si>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</si>
  <si>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</si>
  <si>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</si>
  <si>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</si>
  <si>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</si>
  <si>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</si>
  <si>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</si>
  <si>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</si>
  <si>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</si>
  <si>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</si>
  <si>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</si>
  <si>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</si>
  <si>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</si>
  <si>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</si>
  <si>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</si>
  <si>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</si>
  <si>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</si>
  <si>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</si>
  <si>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</si>
  <si>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</si>
  <si>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</si>
  <si>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</si>
  <si>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</si>
  <si>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</si>
  <si>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</si>
  <si>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</si>
  <si>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</si>
  <si>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</si>
  <si>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</si>
  <si>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</si>
  <si>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</si>
  <si>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</si>
  <si>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</si>
  <si>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</si>
  <si>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</si>
  <si>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</si>
  <si>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</si>
  <si>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</si>
  <si>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</si>
  <si>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</si>
  <si>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</si>
  <si>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</si>
  <si>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</si>
  <si>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</si>
  <si>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</si>
  <si>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</si>
  <si>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</si>
  <si>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</si>
  <si>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</si>
  <si>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</si>
  <si>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</si>
  <si>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</si>
  <si>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</si>
  <si>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</si>
  <si>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</si>
  <si>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</si>
  <si>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</si>
  <si>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</si>
  <si>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</si>
  <si>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</si>
  <si>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</si>
  <si>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</si>
  <si>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</si>
  <si>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</si>
  <si>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</si>
  <si>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</si>
  <si>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</si>
  <si>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</si>
  <si>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</si>
  <si>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</si>
  <si>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</si>
  <si>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</si>
  <si>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</si>
  <si>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</si>
  <si>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</si>
  <si>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</si>
  <si>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</si>
  <si>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</si>
  <si>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</si>
  <si>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</si>
  <si>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</si>
  <si>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</si>
  <si>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</si>
  <si>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</si>
  <si>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</si>
  <si>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</si>
  <si>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</si>
  <si>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</si>
  <si>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</si>
  <si>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</si>
  <si>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</si>
  <si>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</si>
  <si>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</si>
  <si>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</si>
  <si>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</si>
  <si>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</si>
  <si>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</si>
  <si>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</si>
  <si>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</si>
  <si>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</si>
  <si>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</si>
  <si>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</si>
  <si>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</si>
  <si>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</si>
  <si>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</si>
  <si>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</si>
  <si>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</si>
  <si>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</si>
  <si>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</si>
  <si>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</si>
  <si>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</si>
  <si>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</si>
  <si>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</si>
  <si>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</si>
  <si>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</si>
  <si>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</si>
  <si>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</si>
  <si>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</si>
  <si>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</si>
  <si>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</si>
  <si>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</si>
  <si>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</si>
  <si>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</si>
  <si>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</si>
  <si>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</si>
  <si>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</si>
  <si>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</si>
  <si>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</si>
  <si>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</si>
  <si>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</si>
  <si>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</si>
  <si>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</si>
  <si>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</si>
  <si>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</si>
  <si>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</si>
  <si>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</si>
  <si>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</si>
  <si>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</si>
  <si>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</si>
  <si>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</si>
  <si>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</si>
  <si>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</si>
  <si>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</si>
  <si>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</si>
  <si>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</si>
  <si>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</si>
  <si>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</si>
  <si>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</si>
  <si>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</si>
  <si>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</si>
  <si>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</si>
  <si>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</si>
  <si>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</si>
  <si>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</si>
  <si>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</si>
  <si>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</si>
  <si>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</si>
  <si>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</si>
  <si>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</si>
  <si>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</si>
  <si>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</si>
  <si>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</si>
  <si>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</si>
  <si>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</si>
  <si>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</si>
  <si>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</si>
  <si>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</si>
  <si>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</si>
  <si>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</si>
  <si>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</si>
  <si>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</si>
  <si>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</si>
  <si>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</si>
  <si>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</si>
  <si>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</si>
  <si>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</si>
  <si>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</si>
  <si>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</si>
  <si>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</si>
  <si>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</si>
  <si>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</si>
  <si>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</si>
  <si>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</si>
  <si>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</si>
  <si>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</si>
  <si>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</si>
  <si>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</si>
  <si>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</si>
  <si>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</si>
  <si>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</si>
  <si>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</si>
  <si>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</si>
  <si>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</si>
  <si>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</si>
  <si>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</si>
  <si>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</si>
  <si>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</si>
  <si>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</si>
  <si>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</si>
  <si>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</si>
  <si>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</si>
  <si>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</si>
  <si>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</si>
  <si>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</si>
  <si>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</si>
  <si>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</si>
  <si>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</si>
  <si>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</si>
  <si>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</si>
  <si>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</si>
  <si>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</si>
  <si>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</si>
  <si>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</si>
  <si>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</si>
  <si>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</si>
  <si>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</si>
  <si>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</si>
  <si>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</si>
  <si>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</si>
  <si>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</si>
  <si>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</si>
  <si>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</si>
  <si>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</si>
  <si>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</si>
  <si>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</si>
  <si>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</si>
  <si>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</si>
  <si>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</si>
  <si>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</si>
  <si>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</si>
  <si>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</si>
  <si>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</si>
  <si>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</si>
  <si>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</si>
  <si>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</si>
  <si>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</si>
  <si>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</si>
  <si>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</si>
  <si>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</si>
  <si>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</si>
  <si>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</si>
  <si>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</si>
  <si>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</si>
  <si>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</si>
  <si>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</si>
  <si>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</si>
  <si>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</si>
  <si>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</si>
  <si>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</si>
  <si>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</si>
  <si>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</si>
  <si>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</si>
  <si>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</si>
  <si>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</si>
  <si>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</si>
  <si>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</si>
  <si>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</si>
  <si>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</si>
  <si>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</si>
  <si>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</si>
  <si>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</si>
  <si>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</si>
  <si>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</si>
  <si>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</si>
  <si>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</si>
  <si>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</si>
  <si>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</si>
  <si>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</si>
  <si>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</si>
  <si>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</si>
  <si>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</si>
  <si>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</si>
  <si>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</si>
  <si>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</si>
  <si>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</si>
  <si>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</si>
  <si>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</si>
  <si>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</si>
  <si>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</si>
  <si>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</si>
  <si>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</si>
  <si>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</si>
  <si>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</si>
  <si>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</si>
  <si>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</si>
  <si>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</si>
  <si>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</si>
  <si>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</si>
  <si>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</si>
  <si>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</si>
  <si>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</si>
  <si>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</si>
  <si>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</si>
  <si>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</si>
  <si>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</si>
  <si>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</si>
  <si>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</si>
  <si>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</si>
  <si>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</si>
  <si>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</si>
  <si>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</si>
  <si>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</si>
  <si>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</si>
  <si>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</si>
  <si>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</si>
  <si>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</si>
  <si>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</si>
  <si>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</si>
  <si>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</si>
  <si>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</si>
  <si>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</si>
  <si>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</si>
  <si>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</si>
  <si>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</si>
  <si>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</si>
  <si>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</si>
  <si>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</si>
  <si>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</si>
  <si>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</si>
  <si>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</si>
  <si>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</si>
  <si>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</si>
  <si>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</si>
  <si>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</si>
  <si>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</si>
  <si>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</si>
  <si>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</si>
  <si>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</si>
  <si>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</si>
  <si>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</si>
  <si>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</si>
  <si>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</si>
  <si>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</si>
  <si>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</si>
  <si>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</si>
  <si>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</si>
  <si>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</si>
  <si>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</si>
  <si>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</si>
  <si>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</si>
  <si>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</si>
  <si>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</si>
  <si>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</si>
  <si>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</si>
  <si>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</si>
  <si>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</si>
  <si>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</si>
  <si>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</si>
  <si>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</si>
  <si>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</si>
  <si>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</si>
  <si>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</si>
  <si>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</si>
  <si>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</si>
  <si>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</si>
  <si>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</si>
  <si>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</si>
  <si>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</si>
  <si>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</si>
  <si>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</si>
  <si>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</si>
  <si>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</si>
  <si>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</si>
  <si>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</si>
  <si>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</si>
  <si>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</si>
  <si>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</si>
  <si>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</si>
  <si>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</si>
  <si>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</si>
  <si>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</si>
  <si>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</si>
  <si>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</si>
  <si>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</si>
  <si>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</si>
  <si>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</si>
  <si>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</si>
  <si>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</si>
  <si>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</si>
  <si>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</si>
  <si>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</si>
  <si>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</si>
  <si>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</si>
  <si>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</si>
  <si>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</si>
  <si>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</si>
  <si>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</si>
  <si>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</si>
  <si>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</si>
  <si>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</si>
  <si>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</si>
  <si>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</si>
  <si>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</si>
  <si>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</si>
  <si>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</si>
  <si>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</si>
  <si>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</si>
  <si>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</si>
  <si>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</si>
  <si>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</si>
  <si>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</si>
  <si>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</si>
  <si>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C</t>
  </si>
  <si>
    <t>Shumate, Jason</t>
  </si>
  <si>
    <t>Paradise, CA.</t>
  </si>
  <si>
    <t>CA-3361</t>
  </si>
  <si>
    <t>mrcribking@yahoo.com</t>
  </si>
  <si>
    <t>$</t>
  </si>
  <si>
    <t>Morin, Dennis</t>
  </si>
  <si>
    <t>CA-5923</t>
  </si>
  <si>
    <t>ddmwingrider@yahoo.com</t>
  </si>
  <si>
    <t>Steen, David</t>
  </si>
  <si>
    <t>CA-8173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</si>
  <si>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</si>
  <si>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</si>
  <si>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</si>
  <si>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</si>
  <si>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</si>
  <si>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</si>
  <si>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</si>
  <si>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</si>
  <si>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</si>
  <si>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</si>
  <si>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</si>
  <si>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</si>
  <si>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</si>
  <si>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</si>
  <si>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Venmo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</si>
  <si>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</si>
  <si>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</si>
  <si>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</si>
  <si>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</si>
  <si>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</si>
  <si>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</si>
  <si>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</si>
  <si>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</si>
  <si>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</si>
  <si>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End Seat - Walker</t>
  </si>
  <si>
    <t>With Ross Njaa</t>
  </si>
  <si>
    <t>jim.carmen71@outlook.com</t>
  </si>
  <si>
    <t>Alechus Sr., James</t>
  </si>
  <si>
    <t>Alechus Jr., James</t>
  </si>
  <si>
    <t>CA3773L</t>
  </si>
  <si>
    <t>Martignoni, Tony</t>
  </si>
  <si>
    <t>CA-7639</t>
  </si>
  <si>
    <t>tdmartignoni@gmail.com</t>
  </si>
  <si>
    <t>Apple Pay</t>
  </si>
  <si>
    <t>Cheney, Virginia</t>
  </si>
  <si>
    <t>CA-4147</t>
  </si>
  <si>
    <t>rjlind@redshift.com</t>
  </si>
  <si>
    <t>elmolover0904@yahoo.com</t>
  </si>
  <si>
    <t>0708</t>
  </si>
  <si>
    <t>Zelle</t>
  </si>
  <si>
    <t>Cancelled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</si>
  <si>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</si>
  <si>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</si>
  <si>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</si>
  <si>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</si>
  <si>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</si>
  <si>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</si>
  <si>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</si>
  <si>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</si>
  <si>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</si>
  <si>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CA-6746</t>
  </si>
  <si>
    <t>(702) 573-8725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</si>
</sst>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20"/>
      <color theme="1"/>
      <name val="Calibri (Body)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38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49" fontId="4" fillId="0" borderId="1" xfId="0" applyNumberFormat="1" applyFont="1" applyBorder="1" applyAlignment="1">
      <alignment horizontal="center"/>
    </xf>
    <xf numFmtId="49" fontId="23" fillId="0" borderId="1" xfId="0" applyNumberFormat="1" applyFont="1" applyBorder="1" applyProtection="1">
      <protection locked="0"/>
    </xf>
    <xf numFmtId="0" fontId="23" fillId="0" borderId="1" xfId="0" applyFont="1" applyBorder="1"/>
    <xf numFmtId="0" fontId="5" fillId="0" borderId="1" xfId="0" applyFont="1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11" fillId="0" borderId="1" xfId="1" applyFill="1" applyBorder="1" applyAlignment="1" applyProtection="1"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1" fontId="4" fillId="0" borderId="0" xfId="0" applyNumberFormat="1" applyFont="1" applyAlignment="1">
      <alignment horizontal="center"/>
    </xf>
    <xf numFmtId="49" fontId="5" fillId="0" borderId="0" xfId="0" applyNumberFormat="1" applyFont="1"/>
    <xf numFmtId="0" fontId="11" fillId="0" borderId="0" xfId="1" applyFill="1" applyBorder="1" applyAlignment="1" applyProtection="1"/>
    <xf numFmtId="166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166" fontId="1" fillId="0" borderId="3" xfId="0" applyNumberFormat="1" applyFon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 applyProtection="1">
      <alignment horizontal="center"/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1" fillId="0" borderId="1" xfId="1" applyFill="1" applyBorder="1" applyAlignment="1" applyProtection="1"/>
    <xf numFmtId="0" fontId="5" fillId="0" borderId="1" xfId="0" quotePrefix="1" applyFont="1" applyBorder="1" applyAlignment="1" applyProtection="1">
      <alignment horizontal="center"/>
      <protection locked="0"/>
    </xf>
    <xf numFmtId="0" fontId="11" fillId="0" borderId="0" xfId="1" applyFill="1" applyAlignment="1" applyProtection="1"/>
    <xf numFmtId="166" fontId="0" fillId="0" borderId="1" xfId="0" applyNumberFormat="1" applyBorder="1" applyAlignment="1" applyProtection="1">
      <alignment horizontal="center"/>
      <protection locked="0"/>
    </xf>
    <xf numFmtId="0" fontId="13" fillId="0" borderId="1" xfId="0" applyFont="1" applyBorder="1" applyAlignment="1">
      <alignment horizontal="center"/>
    </xf>
    <xf numFmtId="49" fontId="10" fillId="0" borderId="1" xfId="0" applyNumberFormat="1" applyFont="1" applyBorder="1" applyProtection="1">
      <protection locked="0"/>
    </xf>
    <xf numFmtId="1" fontId="2" fillId="0" borderId="1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8.xml"/><Relationship Id="rId68" Type="http://schemas.openxmlformats.org/officeDocument/2006/relationships/ctrlProp" Target="../ctrlProps/ctrlProp23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vmlDrawing" Target="../drawings/vmlDrawing3.vml"/><Relationship Id="rId58" Type="http://schemas.openxmlformats.org/officeDocument/2006/relationships/ctrlProp" Target="../ctrlProps/ctrlProp13.xml"/><Relationship Id="rId66" Type="http://schemas.openxmlformats.org/officeDocument/2006/relationships/ctrlProp" Target="../ctrlProps/ctrlProp2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16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ctrlProp" Target="../ctrlProps/ctrlProp11.xml"/><Relationship Id="rId64" Type="http://schemas.openxmlformats.org/officeDocument/2006/relationships/ctrlProp" Target="../ctrlProps/ctrlProp19.xml"/><Relationship Id="rId69" Type="http://schemas.openxmlformats.org/officeDocument/2006/relationships/ctrlProp" Target="../ctrlProps/ctrlProp2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printerSettings" Target="../printerSettings/printerSettings3.bin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ctrlProp" Target="../ctrlProps/ctrlProp14.xml"/><Relationship Id="rId67" Type="http://schemas.openxmlformats.org/officeDocument/2006/relationships/ctrlProp" Target="../ctrlProps/ctrlProp22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ctrlProp" Target="../ctrlProps/ctrlProp9.xml"/><Relationship Id="rId62" Type="http://schemas.openxmlformats.org/officeDocument/2006/relationships/ctrlProp" Target="../ctrlProps/ctrlProp17.xml"/><Relationship Id="rId70" Type="http://schemas.openxmlformats.org/officeDocument/2006/relationships/ctrlProp" Target="../ctrlProps/ctrlProp25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ctrlProp" Target="../ctrlProps/ctrlProp12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drawing" Target="../drawings/drawing3.xml"/><Relationship Id="rId60" Type="http://schemas.openxmlformats.org/officeDocument/2006/relationships/ctrlProp" Target="../ctrlProps/ctrlProp15.xml"/><Relationship Id="rId65" Type="http://schemas.openxmlformats.org/officeDocument/2006/relationships/ctrlProp" Target="../ctrlProps/ctrlProp20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9" sqref="D9"/>
    </sheetView>
  </sheetViews>
  <sheetFormatPr defaultColWidth="8.85546875" defaultRowHeight="1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>
      <c r="A1" s="46" t="s">
        <v>559</v>
      </c>
      <c r="C1" s="122" t="s">
        <v>578</v>
      </c>
      <c r="D1" s="123"/>
      <c r="E1" s="124"/>
      <c r="F1" s="53"/>
      <c r="G1" s="53"/>
      <c r="H1" s="53"/>
    </row>
    <row r="2" spans="1:8" ht="15.75" thickBot="1"/>
    <row r="3" spans="1:8" ht="16.5" thickBot="1">
      <c r="A3" s="45" t="s">
        <v>560</v>
      </c>
      <c r="C3" s="127" t="s">
        <v>652</v>
      </c>
      <c r="D3" s="128"/>
      <c r="E3" s="128"/>
      <c r="F3" s="128"/>
      <c r="G3" s="129"/>
    </row>
    <row r="4" spans="1:8" ht="15.75" thickBot="1"/>
    <row r="5" spans="1:8" ht="16.5" thickBot="1">
      <c r="A5" s="45" t="s">
        <v>561</v>
      </c>
      <c r="C5" s="127" t="s">
        <v>653</v>
      </c>
      <c r="D5" s="128"/>
      <c r="E5" s="128"/>
      <c r="F5" s="128"/>
      <c r="G5" s="129"/>
    </row>
    <row r="6" spans="1:8" ht="15.75" thickBot="1"/>
    <row r="7" spans="1:8" ht="16.5" thickBot="1">
      <c r="A7" s="45" t="s">
        <v>562</v>
      </c>
      <c r="C7" s="127" t="s">
        <v>654</v>
      </c>
      <c r="D7" s="128"/>
      <c r="E7" s="128"/>
      <c r="F7" s="128"/>
      <c r="G7" s="129"/>
    </row>
    <row r="8" spans="1:8" ht="15.75" thickBot="1"/>
    <row r="9" spans="1:8" ht="16.5" thickBot="1">
      <c r="A9" s="45" t="s">
        <v>563</v>
      </c>
      <c r="C9" s="77">
        <v>45402</v>
      </c>
    </row>
    <row r="10" spans="1:8" ht="15.75" thickBot="1"/>
    <row r="11" spans="1:8" ht="16.5" thickBot="1">
      <c r="A11" s="45" t="s">
        <v>564</v>
      </c>
      <c r="C11" s="125" t="s">
        <v>655</v>
      </c>
      <c r="D11" s="126"/>
      <c r="E11" s="125" t="s">
        <v>656</v>
      </c>
      <c r="F11" s="126"/>
      <c r="G11" s="125" t="s">
        <v>657</v>
      </c>
      <c r="H11" s="126"/>
    </row>
    <row r="12" spans="1:8" ht="16.5" thickBot="1">
      <c r="A12" s="45"/>
      <c r="C12" s="5"/>
      <c r="D12" s="5"/>
      <c r="E12" s="5"/>
      <c r="F12" s="5"/>
      <c r="G12" s="5"/>
      <c r="H12" s="5"/>
    </row>
    <row r="13" spans="1:8" ht="16.5" thickBot="1">
      <c r="A13" s="45" t="s">
        <v>486</v>
      </c>
      <c r="C13" s="125" t="s">
        <v>658</v>
      </c>
      <c r="D13" s="126"/>
      <c r="E13" s="125" t="s">
        <v>659</v>
      </c>
      <c r="F13" s="126"/>
      <c r="G13" s="125" t="s">
        <v>660</v>
      </c>
      <c r="H13" s="126"/>
    </row>
    <row r="14" spans="1:8" ht="16.5" thickBot="1">
      <c r="A14" s="45"/>
      <c r="C14" s="5"/>
      <c r="D14" s="5"/>
      <c r="E14" s="5"/>
      <c r="F14" s="5"/>
      <c r="G14" s="5"/>
      <c r="H14" s="5"/>
    </row>
    <row r="15" spans="1:8" ht="16.5" customHeight="1" thickBot="1">
      <c r="A15" s="45" t="s">
        <v>565</v>
      </c>
      <c r="C15" s="125" t="s">
        <v>365</v>
      </c>
      <c r="D15" s="126"/>
      <c r="E15" s="125" t="s">
        <v>661</v>
      </c>
      <c r="F15" s="126"/>
      <c r="G15" s="125" t="s">
        <v>521</v>
      </c>
      <c r="H15" s="126"/>
    </row>
    <row r="20" spans="11:11">
      <c r="K20" s="48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C18" sqref="C18"/>
    </sheetView>
  </sheetViews>
  <sheetFormatPr defaultColWidth="8.85546875" defaultRowHeight="1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>
      <c r="A1" s="46" t="s">
        <v>566</v>
      </c>
    </row>
    <row r="2" spans="1:7" ht="19.5" thickBot="1">
      <c r="C2" s="131" t="s">
        <v>578</v>
      </c>
      <c r="D2" s="132"/>
      <c r="E2" s="132"/>
      <c r="F2" s="132"/>
      <c r="G2" s="133"/>
    </row>
    <row r="3" spans="1:7" ht="18.75">
      <c r="C3" s="52"/>
      <c r="D3" s="52"/>
      <c r="E3" s="52"/>
      <c r="F3" s="52"/>
      <c r="G3" s="52"/>
    </row>
    <row r="4" spans="1:7">
      <c r="A4" s="28" t="s">
        <v>568</v>
      </c>
      <c r="B4" s="130" t="str">
        <f>Tourney!$C$3</f>
        <v>Napa Wine Country Open</v>
      </c>
      <c r="C4" s="130"/>
      <c r="D4" s="130"/>
      <c r="E4" s="130"/>
      <c r="F4" s="130"/>
    </row>
    <row r="5" spans="1:7">
      <c r="A5" s="28" t="s">
        <v>580</v>
      </c>
      <c r="B5" s="135" t="str">
        <f>Tourney!$C$5</f>
        <v>The Moose Lodge</v>
      </c>
      <c r="C5" s="135"/>
      <c r="D5" s="135"/>
      <c r="E5" s="135"/>
      <c r="F5" s="135"/>
    </row>
    <row r="6" spans="1:7">
      <c r="A6" s="28" t="s">
        <v>582</v>
      </c>
      <c r="B6" s="135" t="str">
        <f>Tourney!$C$7</f>
        <v>Napa, Ca, 94558</v>
      </c>
      <c r="C6" s="135"/>
      <c r="D6" s="135"/>
      <c r="E6" s="135"/>
      <c r="F6" s="135"/>
    </row>
    <row r="7" spans="1:7">
      <c r="A7" s="28" t="s">
        <v>567</v>
      </c>
      <c r="B7" s="65">
        <f>Tourney!$C$9</f>
        <v>45402</v>
      </c>
      <c r="C7" s="5"/>
      <c r="D7" s="5"/>
      <c r="E7" s="5"/>
      <c r="F7" s="5"/>
    </row>
    <row r="9" spans="1:7" ht="15.75" thickBot="1">
      <c r="A9" s="28"/>
      <c r="B9" s="54"/>
    </row>
    <row r="10" spans="1:7" ht="15.75" thickBot="1">
      <c r="A10" s="28" t="s">
        <v>581</v>
      </c>
      <c r="B10" s="79">
        <v>3</v>
      </c>
      <c r="C10" s="28" t="s">
        <v>575</v>
      </c>
      <c r="D10" s="79">
        <v>70</v>
      </c>
    </row>
    <row r="11" spans="1:7" ht="15.75" thickBot="1"/>
    <row r="12" spans="1:7" ht="15.75" thickBot="1">
      <c r="A12" s="28" t="s">
        <v>573</v>
      </c>
      <c r="B12" s="56">
        <v>14</v>
      </c>
    </row>
    <row r="13" spans="1:7" ht="15.75" thickBot="1"/>
    <row r="14" spans="1:7" ht="15.75" thickBot="1">
      <c r="A14" s="28" t="s">
        <v>569</v>
      </c>
      <c r="B14" s="56">
        <v>1</v>
      </c>
    </row>
    <row r="15" spans="1:7">
      <c r="C15" s="134" t="s">
        <v>579</v>
      </c>
      <c r="D15" s="134"/>
      <c r="E15" s="134"/>
      <c r="F15" s="134"/>
    </row>
    <row r="16" spans="1:7" ht="19.5" thickBot="1">
      <c r="A16" s="28" t="s">
        <v>570</v>
      </c>
      <c r="B16" s="28"/>
      <c r="C16" s="69">
        <v>1</v>
      </c>
      <c r="D16" s="69">
        <v>2</v>
      </c>
      <c r="E16" s="69">
        <v>3</v>
      </c>
      <c r="F16" s="69">
        <v>4</v>
      </c>
    </row>
    <row r="17" spans="1:8" ht="15.75" thickBot="1">
      <c r="B17" s="50" t="s">
        <v>574</v>
      </c>
      <c r="C17" s="57">
        <v>1</v>
      </c>
      <c r="D17" s="57">
        <v>2</v>
      </c>
      <c r="E17" s="57">
        <v>2</v>
      </c>
      <c r="F17" s="57">
        <v>2</v>
      </c>
      <c r="H17" s="51" t="s">
        <v>576</v>
      </c>
    </row>
    <row r="18" spans="1:8" ht="15.75" thickBot="1">
      <c r="B18" s="50" t="s">
        <v>575</v>
      </c>
      <c r="C18" s="78">
        <v>10</v>
      </c>
      <c r="D18" s="78">
        <v>10</v>
      </c>
      <c r="E18" s="78">
        <v>20</v>
      </c>
      <c r="F18" s="78">
        <v>50</v>
      </c>
      <c r="H18" s="51" t="s">
        <v>577</v>
      </c>
    </row>
    <row r="21" spans="1:8">
      <c r="A21" s="55" t="s">
        <v>585</v>
      </c>
    </row>
    <row r="22" spans="1:8" ht="15.75" thickBot="1"/>
    <row r="23" spans="1:8" ht="15.75" thickBot="1">
      <c r="A23" s="28" t="s">
        <v>583</v>
      </c>
      <c r="B23" s="80"/>
      <c r="D23" t="s">
        <v>588</v>
      </c>
    </row>
    <row r="24" spans="1:8" ht="15.75" thickBot="1">
      <c r="D24" t="s">
        <v>586</v>
      </c>
    </row>
    <row r="25" spans="1:8" ht="15.75" thickBot="1">
      <c r="A25" s="28" t="s">
        <v>584</v>
      </c>
      <c r="B25" s="56"/>
      <c r="D25" t="s">
        <v>587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16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B12" sqref="B12"/>
    </sheetView>
  </sheetViews>
  <sheetFormatPr defaultColWidth="9.140625" defaultRowHeight="15"/>
  <cols>
    <col min="1" max="1" width="5.28515625" style="11" customWidth="1"/>
    <col min="2" max="2" width="8.42578125" style="11" customWidth="1"/>
    <col min="3" max="3" width="24.28515625" style="11" customWidth="1"/>
    <col min="4" max="4" width="22.140625" style="11" customWidth="1"/>
    <col min="5" max="5" width="9.85546875" style="31" customWidth="1"/>
    <col min="6" max="6" width="15.42578125" style="31" customWidth="1"/>
    <col min="7" max="7" width="33.140625" style="31" customWidth="1"/>
    <col min="8" max="8" width="6.42578125" style="11" customWidth="1"/>
    <col min="9" max="9" width="7.7109375" style="11" customWidth="1"/>
    <col min="10" max="10" width="8.7109375" style="11" customWidth="1"/>
    <col min="11" max="11" width="7" style="11" customWidth="1"/>
    <col min="12" max="12" width="6.42578125" style="11" customWidth="1"/>
    <col min="13" max="13" width="8.140625" style="11" customWidth="1"/>
    <col min="14" max="14" width="11.140625" style="11" customWidth="1"/>
    <col min="15" max="15" width="11.42578125" style="11" customWidth="1"/>
    <col min="16" max="16" width="8.140625" style="12" customWidth="1"/>
    <col min="17" max="17" width="7.140625" style="13" customWidth="1"/>
    <col min="18" max="18" width="12.28515625" style="11" customWidth="1"/>
    <col min="19" max="19" width="12.28515625" style="13" customWidth="1"/>
    <col min="20" max="20" width="12.28515625" style="24" customWidth="1"/>
    <col min="21" max="21" width="9.28515625" style="24" customWidth="1"/>
    <col min="22" max="22" width="17.42578125" style="24" customWidth="1"/>
    <col min="23" max="23" width="30.42578125" style="11" customWidth="1"/>
    <col min="24" max="25" width="9.140625" style="11" customWidth="1"/>
    <col min="26" max="16384" width="9.140625" style="11"/>
  </cols>
  <sheetData>
    <row r="1" spans="1:25" ht="17.25" customHeight="1">
      <c r="A1" s="47" t="s">
        <v>555</v>
      </c>
      <c r="D1" s="12"/>
      <c r="L1" s="32"/>
    </row>
    <row r="2" spans="1:25" ht="16.5" customHeight="1">
      <c r="A2" s="10"/>
      <c r="D2" s="12"/>
      <c r="H2" s="12" t="s">
        <v>560</v>
      </c>
      <c r="I2" s="12"/>
      <c r="K2" s="136" t="str">
        <f>Tourney!$C$3</f>
        <v>Napa Wine Country Open</v>
      </c>
      <c r="L2" s="136"/>
      <c r="M2" s="136"/>
      <c r="N2" s="136"/>
    </row>
    <row r="3" spans="1:25" ht="16.5" customHeight="1">
      <c r="A3" s="70" t="s">
        <v>554</v>
      </c>
      <c r="B3"/>
      <c r="C3"/>
      <c r="H3" s="12" t="s">
        <v>572</v>
      </c>
      <c r="I3" s="12"/>
      <c r="K3" s="136" t="str">
        <f>Tourney!$C$5</f>
        <v>The Moose Lodge</v>
      </c>
      <c r="L3" s="136"/>
      <c r="M3" s="136"/>
      <c r="N3" s="136"/>
    </row>
    <row r="4" spans="1:25" ht="16.5" customHeight="1">
      <c r="A4" s="10"/>
      <c r="H4" s="12" t="s">
        <v>571</v>
      </c>
      <c r="I4" s="12"/>
      <c r="K4" s="136" t="str">
        <f>Tourney!$C$7</f>
        <v>Napa, Ca, 94558</v>
      </c>
      <c r="L4" s="136"/>
      <c r="M4" s="136"/>
      <c r="N4" s="136"/>
    </row>
    <row r="5" spans="1:25" ht="16.5" customHeight="1">
      <c r="A5" s="10"/>
      <c r="H5" s="12" t="s">
        <v>563</v>
      </c>
      <c r="I5" s="12"/>
      <c r="K5" s="137">
        <f>Tourney!$C$9</f>
        <v>45402</v>
      </c>
      <c r="L5" s="137"/>
    </row>
    <row r="6" spans="1:25">
      <c r="Q6" s="14"/>
      <c r="U6" s="34"/>
      <c r="V6" s="34"/>
    </row>
    <row r="7" spans="1:25" ht="15.75" customHeight="1">
      <c r="C7" s="12"/>
      <c r="D7" s="12"/>
      <c r="H7" s="68"/>
      <c r="J7" s="67" t="s">
        <v>591</v>
      </c>
      <c r="Q7" s="14"/>
      <c r="U7" s="34"/>
      <c r="V7" s="34"/>
    </row>
    <row r="8" spans="1:25" ht="15.75" customHeight="1">
      <c r="C8" s="12"/>
      <c r="D8" s="12"/>
      <c r="J8" s="66" t="s">
        <v>592</v>
      </c>
      <c r="Q8" s="14"/>
      <c r="U8" s="34"/>
      <c r="V8" s="34"/>
    </row>
    <row r="9" spans="1:25" ht="15.75" customHeight="1">
      <c r="C9" s="12"/>
      <c r="D9" s="12"/>
      <c r="N9" s="60"/>
      <c r="Q9" s="14"/>
      <c r="U9" s="34"/>
      <c r="V9" s="34"/>
    </row>
    <row r="10" spans="1:25" ht="15.75" customHeight="1">
      <c r="A10" s="58"/>
      <c r="B10" s="59">
        <f>COUNTIF(B12:B212,"&lt;&gt;" &amp; "")</f>
        <v>62</v>
      </c>
      <c r="C10" s="44"/>
      <c r="D10" s="44"/>
      <c r="H10" s="59">
        <f t="shared" ref="H10:N10" si="0">COUNTIF(H12:H212,"&lt;&gt;" &amp; "")</f>
        <v>51</v>
      </c>
      <c r="I10" s="59">
        <f t="shared" si="0"/>
        <v>33</v>
      </c>
      <c r="J10" s="59">
        <f t="shared" si="0"/>
        <v>37</v>
      </c>
      <c r="K10" s="59">
        <f t="shared" si="0"/>
        <v>17</v>
      </c>
      <c r="L10" s="59">
        <f t="shared" si="0"/>
        <v>14</v>
      </c>
      <c r="M10" s="59">
        <f t="shared" si="0"/>
        <v>3</v>
      </c>
      <c r="N10" s="59">
        <f t="shared" si="0"/>
        <v>10</v>
      </c>
      <c r="O10" s="81">
        <f>SUM(O12:O212)</f>
        <v>920</v>
      </c>
      <c r="P10" s="30"/>
      <c r="Q10" s="14"/>
      <c r="R10" s="15">
        <f>SUM(R12:R212)</f>
        <v>4870</v>
      </c>
      <c r="S10" s="15">
        <f>SUM(S12:S212)</f>
        <v>1900</v>
      </c>
      <c r="T10" s="15">
        <f>SUM(T12:T212)</f>
        <v>6770</v>
      </c>
      <c r="U10" s="59">
        <f>COUNTIF(U12:U212,"&lt;&gt;" &amp; "")</f>
        <v>4</v>
      </c>
      <c r="V10" s="30"/>
      <c r="X10" s="39"/>
      <c r="Y10" s="40"/>
    </row>
    <row r="11" spans="1:25" ht="30">
      <c r="A11" s="42"/>
      <c r="B11" s="16" t="s">
        <v>556</v>
      </c>
      <c r="C11" s="18" t="s">
        <v>0</v>
      </c>
      <c r="D11" s="19" t="s">
        <v>1</v>
      </c>
      <c r="E11" s="20" t="s">
        <v>2</v>
      </c>
      <c r="F11" s="82" t="s">
        <v>486</v>
      </c>
      <c r="G11" s="38" t="s">
        <v>487</v>
      </c>
      <c r="H11" s="17" t="str">
        <f>IF([0]!FMainPool1Type=1,"Equal Pool",IF([0]!FMainPool1Type=2,"!:6 Grad",""))</f>
        <v>Equal Pool</v>
      </c>
      <c r="I11" s="17" t="str">
        <f>IF([0]!FMainPool2type=1,"Equal Pool", IF([0]!FMainPool2type=2,"1:6 Grad",""))</f>
        <v>1:6 Grad</v>
      </c>
      <c r="J11" s="17" t="str">
        <f>IF([0]!FMainPool3Type=1,"Equal Pool",IF([0]!FMainPool3Type=2,"!:6 Grad",""))</f>
        <v>!:6 Grad</v>
      </c>
      <c r="K11" s="17" t="str">
        <f>IF([0]!FMainPool4Type=1,"Equal Pool",IF([0]!FMainPool4Type=2,"!:6 Grad",""))</f>
        <v>!:6 Grad</v>
      </c>
      <c r="L11" s="17" t="s">
        <v>3</v>
      </c>
      <c r="M11" s="17" t="s">
        <v>558</v>
      </c>
      <c r="N11" s="17" t="s">
        <v>4</v>
      </c>
      <c r="O11" s="21" t="s">
        <v>589</v>
      </c>
      <c r="P11" s="22" t="s">
        <v>17</v>
      </c>
      <c r="Q11" s="22" t="s">
        <v>557</v>
      </c>
      <c r="R11" s="23" t="s">
        <v>68</v>
      </c>
      <c r="S11" s="23" t="s">
        <v>69</v>
      </c>
      <c r="T11" s="26" t="s">
        <v>590</v>
      </c>
      <c r="U11" s="49" t="s">
        <v>336</v>
      </c>
      <c r="V11" s="83" t="s">
        <v>690</v>
      </c>
      <c r="W11" s="12"/>
      <c r="X11" s="25"/>
      <c r="Y11" s="41"/>
    </row>
    <row r="12" spans="1:25" ht="15" customHeight="1">
      <c r="A12" s="87">
        <f t="shared" ref="A12:A80" si="1">ROW() - ROW(FRegentiresEneteredHdr)</f>
        <v>1</v>
      </c>
      <c r="B12" s="9">
        <v>1</v>
      </c>
      <c r="C12" s="6" t="s">
        <v>705</v>
      </c>
      <c r="D12" s="6"/>
      <c r="E12" s="7" t="s">
        <v>305</v>
      </c>
      <c r="F12" s="88"/>
      <c r="G12" s="89"/>
      <c r="H12" s="8">
        <v>1</v>
      </c>
      <c r="I12" s="9"/>
      <c r="J12" s="9">
        <v>1</v>
      </c>
      <c r="K12" s="9"/>
      <c r="L12" s="9"/>
      <c r="M12" s="9"/>
      <c r="N12" s="9"/>
      <c r="O12" s="90">
        <f t="shared" ref="O12:O31" si="2">T12*N12</f>
        <v>0</v>
      </c>
      <c r="P12" s="9" t="s">
        <v>666</v>
      </c>
      <c r="Q12" s="9">
        <v>909</v>
      </c>
      <c r="R12" s="91">
        <f t="shared" ref="R12:R43" si="3">IF(OR(P12="c",P12="C"),+T12,"")</f>
        <v>100</v>
      </c>
      <c r="S12" s="91" t="str">
        <f t="shared" ref="S12:S31" si="4">IF(OR(P12="$",N12=1),+T12,"")</f>
        <v/>
      </c>
      <c r="T12" s="92">
        <f>H12*[0]!FMainPool1Fee+I12*[0]!FMainPool2Fee+J12*[0]!FMainPool3Fee+K12*[0]!FMainPool4Fee+B12*[0]!FMainEntryFee</f>
        <v>100</v>
      </c>
      <c r="U12" s="93"/>
      <c r="V12" s="94"/>
      <c r="X12" s="95"/>
      <c r="Y12" s="95"/>
    </row>
    <row r="13" spans="1:25" ht="15" customHeight="1">
      <c r="A13" s="87">
        <f t="shared" si="1"/>
        <v>2</v>
      </c>
      <c r="B13" s="9">
        <v>1</v>
      </c>
      <c r="C13" s="6" t="s">
        <v>704</v>
      </c>
      <c r="D13" s="6" t="s">
        <v>72</v>
      </c>
      <c r="E13" s="7" t="s">
        <v>706</v>
      </c>
      <c r="F13" s="88">
        <v>9169894301</v>
      </c>
      <c r="G13" s="89" t="s">
        <v>703</v>
      </c>
      <c r="H13" s="8">
        <v>1</v>
      </c>
      <c r="I13" s="9"/>
      <c r="J13" s="9">
        <v>1</v>
      </c>
      <c r="K13" s="9"/>
      <c r="L13" s="9"/>
      <c r="M13" s="9"/>
      <c r="N13" s="9"/>
      <c r="O13" s="90">
        <f t="shared" si="2"/>
        <v>0</v>
      </c>
      <c r="P13" s="9" t="s">
        <v>666</v>
      </c>
      <c r="Q13" s="9">
        <v>909</v>
      </c>
      <c r="R13" s="91">
        <f t="shared" si="3"/>
        <v>100</v>
      </c>
      <c r="S13" s="91" t="str">
        <f t="shared" si="4"/>
        <v/>
      </c>
      <c r="T13" s="92">
        <f>H13*[0]!FMainPool1Fee+I13*[0]!FMainPool2Fee+J13*[0]!FMainPool3Fee+K13*[0]!FMainPool4Fee+B13*[0]!FMainEntryFee</f>
        <v>100</v>
      </c>
      <c r="U13" s="93"/>
      <c r="V13" s="94"/>
      <c r="X13" s="95"/>
      <c r="Y13" s="95"/>
    </row>
    <row r="14" spans="1:25" ht="15" customHeight="1">
      <c r="A14" s="87">
        <f t="shared" si="1"/>
        <v>3</v>
      </c>
      <c r="B14" s="9">
        <v>1</v>
      </c>
      <c r="C14" s="1" t="s">
        <v>29</v>
      </c>
      <c r="D14" s="1" t="s">
        <v>30</v>
      </c>
      <c r="E14" s="2" t="s">
        <v>203</v>
      </c>
      <c r="F14" s="96" t="s">
        <v>538</v>
      </c>
      <c r="G14" s="97" t="s">
        <v>539</v>
      </c>
      <c r="H14" s="8">
        <v>1</v>
      </c>
      <c r="I14" s="9"/>
      <c r="J14" s="9"/>
      <c r="K14" s="9"/>
      <c r="L14" s="9"/>
      <c r="M14" s="9"/>
      <c r="N14" s="9">
        <v>1</v>
      </c>
      <c r="O14" s="90">
        <f t="shared" si="2"/>
        <v>80</v>
      </c>
      <c r="P14" s="9" t="s">
        <v>671</v>
      </c>
      <c r="Q14" s="9"/>
      <c r="R14" s="91" t="str">
        <f t="shared" si="3"/>
        <v/>
      </c>
      <c r="S14" s="91">
        <f t="shared" si="4"/>
        <v>80</v>
      </c>
      <c r="T14" s="92">
        <f>H14*[0]!FMainPool1Fee+I14*[0]!FMainPool2Fee+J14*[0]!FMainPool3Fee+K14*[0]!FMainPool4Fee+B14*[0]!FMainEntryFee</f>
        <v>80</v>
      </c>
      <c r="U14" s="93"/>
      <c r="V14" s="98"/>
      <c r="X14" s="99"/>
      <c r="Y14" s="99"/>
    </row>
    <row r="15" spans="1:25" ht="15" customHeight="1">
      <c r="A15" s="87">
        <f t="shared" si="1"/>
        <v>4</v>
      </c>
      <c r="B15" s="3"/>
      <c r="C15" s="6" t="s">
        <v>272</v>
      </c>
      <c r="D15" s="6" t="s">
        <v>273</v>
      </c>
      <c r="E15" s="7" t="s">
        <v>274</v>
      </c>
      <c r="F15" s="88"/>
      <c r="G15" s="6" t="s">
        <v>354</v>
      </c>
      <c r="H15" s="8"/>
      <c r="I15" s="9"/>
      <c r="J15" s="9"/>
      <c r="K15" s="9"/>
      <c r="L15" s="9"/>
      <c r="M15" s="9"/>
      <c r="N15" s="9"/>
      <c r="O15" s="90">
        <f t="shared" si="2"/>
        <v>0</v>
      </c>
      <c r="P15" s="9"/>
      <c r="Q15" s="9"/>
      <c r="R15" s="91" t="str">
        <f t="shared" si="3"/>
        <v/>
      </c>
      <c r="S15" s="91" t="str">
        <f t="shared" si="4"/>
        <v/>
      </c>
      <c r="T15" s="92">
        <f>H15*[0]!FMainPool1Fee+I15*[0]!FMainPool2Fee+J15*[0]!FMainPool3Fee+K15*[0]!FMainPool4Fee+B15*[0]!FMainEntryFee</f>
        <v>0</v>
      </c>
      <c r="U15" s="93"/>
      <c r="V15" s="94"/>
      <c r="W15" s="100"/>
      <c r="X15" s="99"/>
      <c r="Y15" s="99"/>
    </row>
    <row r="16" spans="1:25" ht="15" customHeight="1">
      <c r="A16" s="87">
        <f t="shared" si="1"/>
        <v>5</v>
      </c>
      <c r="B16" s="9"/>
      <c r="C16" s="6" t="s">
        <v>434</v>
      </c>
      <c r="D16" s="6" t="s">
        <v>488</v>
      </c>
      <c r="E16" s="7" t="s">
        <v>461</v>
      </c>
      <c r="F16" s="88">
        <v>9098875893</v>
      </c>
      <c r="G16" s="89" t="s">
        <v>540</v>
      </c>
      <c r="H16" s="8"/>
      <c r="I16" s="9"/>
      <c r="J16" s="9"/>
      <c r="K16" s="9"/>
      <c r="L16" s="9"/>
      <c r="M16" s="9"/>
      <c r="N16" s="9"/>
      <c r="O16" s="90">
        <f t="shared" si="2"/>
        <v>0</v>
      </c>
      <c r="P16" s="9"/>
      <c r="Q16" s="9"/>
      <c r="R16" s="91" t="str">
        <f t="shared" si="3"/>
        <v/>
      </c>
      <c r="S16" s="91" t="str">
        <f t="shared" si="4"/>
        <v/>
      </c>
      <c r="T16" s="92">
        <f>H16*[0]!FMainPool1Fee+I16*[0]!FMainPool2Fee+J16*[0]!FMainPool3Fee+K16*[0]!FMainPool4Fee+B16*[0]!FMainEntryFee</f>
        <v>0</v>
      </c>
      <c r="U16" s="93"/>
      <c r="V16" s="94"/>
      <c r="W16" s="101"/>
      <c r="X16" s="99"/>
      <c r="Y16" s="99"/>
    </row>
    <row r="17" spans="1:26" ht="15" customHeight="1">
      <c r="A17" s="87">
        <f t="shared" si="1"/>
        <v>6</v>
      </c>
      <c r="B17" s="9"/>
      <c r="C17" s="6" t="s">
        <v>295</v>
      </c>
      <c r="D17" s="6" t="s">
        <v>14</v>
      </c>
      <c r="E17" s="7" t="s">
        <v>296</v>
      </c>
      <c r="F17" s="88"/>
      <c r="G17" s="97" t="s">
        <v>362</v>
      </c>
      <c r="H17" s="8"/>
      <c r="I17" s="9"/>
      <c r="J17" s="9"/>
      <c r="K17" s="9"/>
      <c r="L17" s="9"/>
      <c r="M17" s="9"/>
      <c r="N17" s="9"/>
      <c r="O17" s="90">
        <f t="shared" si="2"/>
        <v>0</v>
      </c>
      <c r="P17" s="9"/>
      <c r="Q17" s="9"/>
      <c r="R17" s="91" t="str">
        <f t="shared" si="3"/>
        <v/>
      </c>
      <c r="S17" s="91" t="str">
        <f t="shared" si="4"/>
        <v/>
      </c>
      <c r="T17" s="92">
        <f>H17*[0]!FMainPool1Fee+I17*[0]!FMainPool2Fee+J17*[0]!FMainPool3Fee+K17*[0]!FMainPool4Fee+B17*[0]!FMainEntryFee</f>
        <v>0</v>
      </c>
      <c r="U17" s="93"/>
      <c r="V17" s="94"/>
      <c r="X17" s="99"/>
      <c r="Y17" s="99"/>
    </row>
    <row r="18" spans="1:26" ht="15" customHeight="1">
      <c r="A18" s="87">
        <f t="shared" si="1"/>
        <v>7</v>
      </c>
      <c r="B18" s="9"/>
      <c r="C18" s="1" t="s">
        <v>13</v>
      </c>
      <c r="D18" s="1" t="s">
        <v>14</v>
      </c>
      <c r="E18" s="2" t="s">
        <v>173</v>
      </c>
      <c r="F18" s="102">
        <v>9168138609</v>
      </c>
      <c r="G18" s="97" t="s">
        <v>363</v>
      </c>
      <c r="H18" s="8"/>
      <c r="I18" s="9"/>
      <c r="J18" s="9"/>
      <c r="K18" s="9"/>
      <c r="L18" s="9"/>
      <c r="M18" s="9"/>
      <c r="N18" s="9"/>
      <c r="O18" s="90">
        <f t="shared" si="2"/>
        <v>0</v>
      </c>
      <c r="P18" s="9"/>
      <c r="Q18" s="9"/>
      <c r="R18" s="91" t="str">
        <f t="shared" si="3"/>
        <v/>
      </c>
      <c r="S18" s="91" t="str">
        <f t="shared" si="4"/>
        <v/>
      </c>
      <c r="T18" s="92">
        <f>H18*[0]!FMainPool1Fee+I18*[0]!FMainPool2Fee+J18*[0]!FMainPool3Fee+K18*[0]!FMainPool4Fee+B18*[0]!FMainEntryFee</f>
        <v>0</v>
      </c>
      <c r="U18" s="93"/>
      <c r="V18" s="103"/>
      <c r="X18" s="99"/>
      <c r="Y18" s="99"/>
    </row>
    <row r="19" spans="1:26" ht="15" customHeight="1">
      <c r="A19" s="87">
        <f t="shared" si="1"/>
        <v>8</v>
      </c>
      <c r="B19" s="9"/>
      <c r="C19" s="6" t="s">
        <v>435</v>
      </c>
      <c r="D19" s="6" t="s">
        <v>90</v>
      </c>
      <c r="E19" s="7" t="s">
        <v>462</v>
      </c>
      <c r="F19" s="88">
        <v>5302775321</v>
      </c>
      <c r="G19" s="89" t="s">
        <v>541</v>
      </c>
      <c r="H19" s="8"/>
      <c r="I19" s="9"/>
      <c r="J19" s="9"/>
      <c r="K19" s="9"/>
      <c r="L19" s="9"/>
      <c r="M19" s="9"/>
      <c r="N19" s="9"/>
      <c r="O19" s="90">
        <f t="shared" si="2"/>
        <v>0</v>
      </c>
      <c r="P19" s="9"/>
      <c r="Q19" s="9"/>
      <c r="R19" s="91" t="str">
        <f t="shared" si="3"/>
        <v/>
      </c>
      <c r="S19" s="91" t="str">
        <f t="shared" si="4"/>
        <v/>
      </c>
      <c r="T19" s="92">
        <f>H19*[0]!FMainPool1Fee+I19*[0]!FMainPool2Fee+J19*[0]!FMainPool3Fee+K19*[0]!FMainPool4Fee+B19*[0]!FMainEntryFee</f>
        <v>0</v>
      </c>
      <c r="U19" s="93"/>
      <c r="V19" s="94"/>
      <c r="W19" s="101"/>
      <c r="X19" s="99"/>
      <c r="Y19" s="99"/>
    </row>
    <row r="20" spans="1:26" ht="15" customHeight="1">
      <c r="A20" s="87">
        <f t="shared" si="1"/>
        <v>9</v>
      </c>
      <c r="B20" s="9"/>
      <c r="C20" s="104" t="s">
        <v>651</v>
      </c>
      <c r="D20" s="105"/>
      <c r="E20" s="59" t="s">
        <v>594</v>
      </c>
      <c r="F20" s="106"/>
      <c r="G20" s="105"/>
      <c r="H20" s="8"/>
      <c r="I20" s="9"/>
      <c r="J20" s="9"/>
      <c r="K20" s="9"/>
      <c r="L20" s="9"/>
      <c r="M20" s="9"/>
      <c r="N20" s="9"/>
      <c r="O20" s="90">
        <f t="shared" si="2"/>
        <v>0</v>
      </c>
      <c r="P20" s="9"/>
      <c r="Q20" s="9"/>
      <c r="R20" s="91" t="str">
        <f t="shared" si="3"/>
        <v/>
      </c>
      <c r="S20" s="91" t="str">
        <f t="shared" si="4"/>
        <v/>
      </c>
      <c r="T20" s="92">
        <f>H20*[0]!FMainPool1Fee+I20*[0]!FMainPool2Fee+J20*[0]!FMainPool3Fee+K20*[0]!FMainPool4Fee+B20*[0]!FMainEntryFee</f>
        <v>0</v>
      </c>
      <c r="U20" s="93"/>
      <c r="V20" s="94"/>
      <c r="X20" s="99"/>
      <c r="Y20" s="99"/>
    </row>
    <row r="21" spans="1:26" ht="15" customHeight="1">
      <c r="A21" s="87">
        <f t="shared" si="1"/>
        <v>10</v>
      </c>
      <c r="B21" s="9"/>
      <c r="C21" s="104" t="s">
        <v>595</v>
      </c>
      <c r="D21" s="104" t="s">
        <v>596</v>
      </c>
      <c r="E21" s="98" t="s">
        <v>597</v>
      </c>
      <c r="F21" s="107"/>
      <c r="G21" s="104"/>
      <c r="H21" s="8"/>
      <c r="I21" s="9"/>
      <c r="J21" s="9"/>
      <c r="K21" s="9"/>
      <c r="L21" s="9"/>
      <c r="M21" s="9"/>
      <c r="N21" s="9"/>
      <c r="O21" s="90">
        <f t="shared" si="2"/>
        <v>0</v>
      </c>
      <c r="P21" s="9"/>
      <c r="Q21" s="9"/>
      <c r="R21" s="91" t="str">
        <f t="shared" si="3"/>
        <v/>
      </c>
      <c r="S21" s="91" t="str">
        <f t="shared" si="4"/>
        <v/>
      </c>
      <c r="T21" s="92">
        <f>H21*[0]!FMainPool1Fee+I21*[0]!FMainPool2Fee+J21*[0]!FMainPool3Fee+K21*[0]!FMainPool4Fee+B21*[0]!FMainEntryFee</f>
        <v>0</v>
      </c>
      <c r="U21" s="93"/>
      <c r="V21" s="94"/>
      <c r="X21" s="99"/>
      <c r="Y21" s="99"/>
    </row>
    <row r="22" spans="1:26" ht="15" customHeight="1">
      <c r="A22" s="87">
        <f t="shared" si="1"/>
        <v>11</v>
      </c>
      <c r="B22" s="9">
        <v>1</v>
      </c>
      <c r="C22" s="6" t="s">
        <v>342</v>
      </c>
      <c r="D22" s="6" t="s">
        <v>343</v>
      </c>
      <c r="E22" s="7" t="s">
        <v>684</v>
      </c>
      <c r="F22" s="108">
        <v>4087325550</v>
      </c>
      <c r="G22" s="97" t="s">
        <v>344</v>
      </c>
      <c r="H22" s="8">
        <v>1</v>
      </c>
      <c r="I22" s="9">
        <v>1</v>
      </c>
      <c r="J22" s="9">
        <v>1</v>
      </c>
      <c r="K22" s="9">
        <v>1</v>
      </c>
      <c r="L22" s="9">
        <v>1</v>
      </c>
      <c r="M22" s="9"/>
      <c r="N22" s="9"/>
      <c r="O22" s="90">
        <f t="shared" si="2"/>
        <v>0</v>
      </c>
      <c r="P22" s="9" t="s">
        <v>666</v>
      </c>
      <c r="Q22" s="9">
        <v>1015</v>
      </c>
      <c r="R22" s="91">
        <f t="shared" si="3"/>
        <v>160</v>
      </c>
      <c r="S22" s="91" t="str">
        <f t="shared" si="4"/>
        <v/>
      </c>
      <c r="T22" s="92">
        <f>H22*[0]!FMainPool1Fee+I22*[0]!FMainPool2Fee+J22*[0]!FMainPool3Fee+K22*[0]!FMainPool4Fee+B22*[0]!FMainEntryFee</f>
        <v>160</v>
      </c>
      <c r="U22" s="93"/>
      <c r="V22" s="109"/>
      <c r="W22" s="101"/>
      <c r="X22" s="99"/>
      <c r="Y22" s="99"/>
    </row>
    <row r="23" spans="1:26" ht="15" customHeight="1">
      <c r="A23" s="87">
        <f t="shared" si="1"/>
        <v>12</v>
      </c>
      <c r="B23" s="9">
        <v>1</v>
      </c>
      <c r="C23" s="6" t="s">
        <v>300</v>
      </c>
      <c r="D23" s="6" t="s">
        <v>14</v>
      </c>
      <c r="E23" s="7" t="s">
        <v>301</v>
      </c>
      <c r="F23" s="108">
        <v>9162036636</v>
      </c>
      <c r="G23" s="97" t="s">
        <v>302</v>
      </c>
      <c r="H23" s="8">
        <v>1</v>
      </c>
      <c r="I23" s="9">
        <v>1</v>
      </c>
      <c r="J23" s="9">
        <v>1</v>
      </c>
      <c r="K23" s="9">
        <v>1</v>
      </c>
      <c r="L23" s="9"/>
      <c r="M23" s="9"/>
      <c r="N23" s="9"/>
      <c r="O23" s="90">
        <f t="shared" si="2"/>
        <v>0</v>
      </c>
      <c r="P23" s="9" t="s">
        <v>666</v>
      </c>
      <c r="Q23" s="9">
        <v>3403</v>
      </c>
      <c r="R23" s="91">
        <f t="shared" si="3"/>
        <v>160</v>
      </c>
      <c r="S23" s="91" t="str">
        <f t="shared" si="4"/>
        <v/>
      </c>
      <c r="T23" s="92">
        <f>H23*[0]!FMainPool1Fee+I23*[0]!FMainPool2Fee+J23*[0]!FMainPool3Fee+K23*[0]!FMainPool4Fee+B23*[0]!FMainEntryFee</f>
        <v>160</v>
      </c>
      <c r="U23" s="93"/>
      <c r="V23" s="94"/>
      <c r="W23"/>
      <c r="X23" s="99"/>
      <c r="Y23" s="99"/>
    </row>
    <row r="24" spans="1:26" ht="15" customHeight="1">
      <c r="A24" s="87">
        <f t="shared" si="1"/>
        <v>13</v>
      </c>
      <c r="B24" s="9"/>
      <c r="C24" s="1" t="s">
        <v>6</v>
      </c>
      <c r="D24" s="1" t="s">
        <v>7</v>
      </c>
      <c r="E24" s="2" t="s">
        <v>175</v>
      </c>
      <c r="F24" s="110">
        <v>7078430109</v>
      </c>
      <c r="G24" s="89" t="s">
        <v>542</v>
      </c>
      <c r="H24" s="8"/>
      <c r="I24" s="9"/>
      <c r="J24" s="9"/>
      <c r="K24" s="9"/>
      <c r="L24" s="9"/>
      <c r="M24" s="9"/>
      <c r="N24" s="9"/>
      <c r="O24" s="90">
        <f t="shared" si="2"/>
        <v>0</v>
      </c>
      <c r="P24" s="9"/>
      <c r="Q24" s="9"/>
      <c r="R24" s="91" t="str">
        <f t="shared" si="3"/>
        <v/>
      </c>
      <c r="S24" s="91" t="str">
        <f t="shared" si="4"/>
        <v/>
      </c>
      <c r="T24" s="92">
        <f>H24*[0]!FMainPool1Fee+I24*[0]!FMainPool2Fee+J24*[0]!FMainPool3Fee+K24*[0]!FMainPool4Fee+B24*[0]!FMainEntryFee</f>
        <v>0</v>
      </c>
      <c r="U24" s="93"/>
      <c r="V24" s="94"/>
      <c r="X24" s="99"/>
      <c r="Y24" s="99"/>
    </row>
    <row r="25" spans="1:26" ht="15" customHeight="1">
      <c r="A25" s="87">
        <f t="shared" si="1"/>
        <v>14</v>
      </c>
      <c r="B25" s="9"/>
      <c r="C25" s="6" t="s">
        <v>436</v>
      </c>
      <c r="D25" s="6" t="s">
        <v>489</v>
      </c>
      <c r="E25" s="7" t="s">
        <v>463</v>
      </c>
      <c r="F25" s="111">
        <v>8054892161</v>
      </c>
      <c r="G25" s="104" t="s">
        <v>543</v>
      </c>
      <c r="H25" s="8"/>
      <c r="I25" s="9"/>
      <c r="J25" s="9"/>
      <c r="K25" s="9"/>
      <c r="L25" s="9"/>
      <c r="M25" s="9"/>
      <c r="N25" s="9"/>
      <c r="O25" s="90">
        <f t="shared" si="2"/>
        <v>0</v>
      </c>
      <c r="P25" s="9"/>
      <c r="Q25" s="9"/>
      <c r="R25" s="91" t="str">
        <f t="shared" si="3"/>
        <v/>
      </c>
      <c r="S25" s="91" t="str">
        <f t="shared" si="4"/>
        <v/>
      </c>
      <c r="T25" s="92">
        <f>H25*[0]!FMainPool1Fee+I25*[0]!FMainPool2Fee+J25*[0]!FMainPool3Fee+K25*[0]!FMainPool4Fee+B25*[0]!FMainEntryFee</f>
        <v>0</v>
      </c>
      <c r="U25" s="93"/>
      <c r="V25" s="98"/>
      <c r="W25"/>
      <c r="X25" s="99"/>
      <c r="Y25" s="99"/>
      <c r="Z25" s="112"/>
    </row>
    <row r="26" spans="1:26" ht="15" customHeight="1">
      <c r="A26" s="87">
        <f t="shared" si="1"/>
        <v>15</v>
      </c>
      <c r="B26" s="9">
        <v>1</v>
      </c>
      <c r="C26" s="61" t="s">
        <v>598</v>
      </c>
      <c r="D26" s="61" t="s">
        <v>100</v>
      </c>
      <c r="E26" s="76" t="s">
        <v>599</v>
      </c>
      <c r="F26" s="107">
        <v>5305666454</v>
      </c>
      <c r="G26" s="113" t="s">
        <v>714</v>
      </c>
      <c r="H26" s="8">
        <v>1</v>
      </c>
      <c r="I26" s="9"/>
      <c r="J26" s="9"/>
      <c r="K26" s="9"/>
      <c r="L26" s="9">
        <v>1</v>
      </c>
      <c r="M26" s="9"/>
      <c r="N26" s="9"/>
      <c r="O26" s="90">
        <f t="shared" si="2"/>
        <v>0</v>
      </c>
      <c r="P26" s="9" t="s">
        <v>666</v>
      </c>
      <c r="Q26" s="114" t="s">
        <v>715</v>
      </c>
      <c r="R26" s="91">
        <f t="shared" si="3"/>
        <v>80</v>
      </c>
      <c r="S26" s="91" t="str">
        <f t="shared" si="4"/>
        <v/>
      </c>
      <c r="T26" s="92">
        <f>H26*[0]!FMainPool1Fee+I26*[0]!FMainPool2Fee+J26*[0]!FMainPool3Fee+K26*[0]!FMainPool4Fee+B26*[0]!FMainEntryFee</f>
        <v>80</v>
      </c>
      <c r="U26" s="93"/>
      <c r="V26" s="109"/>
      <c r="X26" s="99"/>
      <c r="Y26" s="99"/>
      <c r="Z26" s="112"/>
    </row>
    <row r="27" spans="1:26" ht="15" customHeight="1">
      <c r="A27" s="87">
        <f t="shared" si="1"/>
        <v>16</v>
      </c>
      <c r="B27" s="9"/>
      <c r="C27" s="6" t="s">
        <v>288</v>
      </c>
      <c r="D27" s="6" t="s">
        <v>289</v>
      </c>
      <c r="E27" s="7" t="s">
        <v>290</v>
      </c>
      <c r="F27" s="108">
        <v>9167055602</v>
      </c>
      <c r="G27" s="97" t="s">
        <v>293</v>
      </c>
      <c r="H27" s="8"/>
      <c r="I27" s="9"/>
      <c r="J27" s="9"/>
      <c r="K27" s="9"/>
      <c r="L27" s="9"/>
      <c r="M27" s="9"/>
      <c r="N27" s="9"/>
      <c r="O27" s="90">
        <f t="shared" si="2"/>
        <v>0</v>
      </c>
      <c r="P27" s="9"/>
      <c r="Q27" s="9"/>
      <c r="R27" s="91" t="str">
        <f t="shared" si="3"/>
        <v/>
      </c>
      <c r="S27" s="91" t="str">
        <f t="shared" si="4"/>
        <v/>
      </c>
      <c r="T27" s="92">
        <f>H27*[0]!FMainPool1Fee+I27*[0]!FMainPool2Fee+J27*[0]!FMainPool3Fee+K27*[0]!FMainPool4Fee+B27*[0]!FMainEntryFee</f>
        <v>0</v>
      </c>
      <c r="U27" s="93"/>
      <c r="V27" s="109"/>
      <c r="X27" s="99"/>
      <c r="Y27" s="99"/>
    </row>
    <row r="28" spans="1:26">
      <c r="A28" s="87">
        <f t="shared" si="1"/>
        <v>17</v>
      </c>
      <c r="B28" s="9"/>
      <c r="C28" s="104" t="s">
        <v>662</v>
      </c>
      <c r="D28" s="104" t="s">
        <v>289</v>
      </c>
      <c r="E28" s="98" t="s">
        <v>663</v>
      </c>
      <c r="F28" s="107"/>
      <c r="G28" s="104"/>
      <c r="H28" s="8"/>
      <c r="I28" s="9"/>
      <c r="J28" s="9"/>
      <c r="K28" s="9"/>
      <c r="L28" s="9"/>
      <c r="M28" s="9"/>
      <c r="N28" s="9"/>
      <c r="O28" s="90">
        <f t="shared" si="2"/>
        <v>0</v>
      </c>
      <c r="P28" s="9"/>
      <c r="Q28" s="9"/>
      <c r="R28" s="91" t="str">
        <f t="shared" si="3"/>
        <v/>
      </c>
      <c r="S28" s="91" t="str">
        <f t="shared" si="4"/>
        <v/>
      </c>
      <c r="T28" s="92">
        <f>H28*[0]!FMainPool1Fee+I28*[0]!FMainPool2Fee+J28*[0]!FMainPool3Fee+K28*[0]!FMainPool4Fee+B28*[0]!FMainEntryFee</f>
        <v>0</v>
      </c>
      <c r="U28" s="93"/>
      <c r="V28" s="94"/>
      <c r="X28" s="99"/>
      <c r="Y28" s="99"/>
    </row>
    <row r="29" spans="1:26">
      <c r="A29" s="87">
        <f t="shared" si="1"/>
        <v>18</v>
      </c>
      <c r="B29" s="9"/>
      <c r="C29" s="6" t="s">
        <v>490</v>
      </c>
      <c r="D29" s="6" t="s">
        <v>114</v>
      </c>
      <c r="E29" s="7" t="s">
        <v>464</v>
      </c>
      <c r="F29" s="107" t="s">
        <v>544</v>
      </c>
      <c r="G29" s="104" t="s">
        <v>545</v>
      </c>
      <c r="H29" s="8"/>
      <c r="I29" s="9"/>
      <c r="J29" s="9"/>
      <c r="K29" s="9"/>
      <c r="L29" s="9"/>
      <c r="M29" s="9"/>
      <c r="N29" s="9"/>
      <c r="O29" s="90">
        <f t="shared" si="2"/>
        <v>0</v>
      </c>
      <c r="P29" s="9"/>
      <c r="Q29" s="9"/>
      <c r="R29" s="91" t="str">
        <f t="shared" si="3"/>
        <v/>
      </c>
      <c r="S29" s="91" t="str">
        <f t="shared" si="4"/>
        <v/>
      </c>
      <c r="T29" s="92">
        <f>H29*[0]!FMainPool1Fee+I29*[0]!FMainPool2Fee+J29*[0]!FMainPool3Fee+K29*[0]!FMainPool4Fee+B29*[0]!FMainEntryFee</f>
        <v>0</v>
      </c>
      <c r="U29" s="93"/>
      <c r="V29" s="94"/>
      <c r="X29" s="99"/>
      <c r="Y29" s="99"/>
    </row>
    <row r="30" spans="1:26">
      <c r="A30" s="87">
        <f t="shared" si="1"/>
        <v>19</v>
      </c>
      <c r="B30" s="9"/>
      <c r="C30" s="1" t="s">
        <v>44</v>
      </c>
      <c r="D30" s="1" t="s">
        <v>5</v>
      </c>
      <c r="E30" s="2" t="s">
        <v>176</v>
      </c>
      <c r="F30" s="110" t="s">
        <v>546</v>
      </c>
      <c r="G30" s="97" t="s">
        <v>386</v>
      </c>
      <c r="H30" s="8"/>
      <c r="I30" s="9"/>
      <c r="J30" s="9"/>
      <c r="K30" s="9"/>
      <c r="L30" s="9"/>
      <c r="M30" s="9"/>
      <c r="N30" s="9"/>
      <c r="O30" s="90">
        <f t="shared" si="2"/>
        <v>0</v>
      </c>
      <c r="P30" s="9"/>
      <c r="Q30" s="9"/>
      <c r="R30" s="91" t="str">
        <f t="shared" si="3"/>
        <v/>
      </c>
      <c r="S30" s="91" t="str">
        <f t="shared" si="4"/>
        <v/>
      </c>
      <c r="T30" s="92">
        <f>H30*[0]!FMainPool1Fee+I30*[0]!FMainPool2Fee+J30*[0]!FMainPool3Fee+K30*[0]!FMainPool4Fee+B30*[0]!FMainEntryFee</f>
        <v>0</v>
      </c>
      <c r="U30" s="93"/>
      <c r="V30" s="94"/>
      <c r="X30" s="99"/>
      <c r="Y30" s="99"/>
    </row>
    <row r="31" spans="1:26">
      <c r="A31" s="87">
        <f t="shared" si="1"/>
        <v>20</v>
      </c>
      <c r="B31" s="9"/>
      <c r="C31" s="1" t="s">
        <v>45</v>
      </c>
      <c r="D31" s="1" t="s">
        <v>5</v>
      </c>
      <c r="E31" s="2" t="s">
        <v>177</v>
      </c>
      <c r="F31" s="110" t="s">
        <v>546</v>
      </c>
      <c r="G31" s="97" t="s">
        <v>386</v>
      </c>
      <c r="H31" s="8"/>
      <c r="I31" s="9"/>
      <c r="J31" s="9"/>
      <c r="K31" s="9"/>
      <c r="L31" s="9"/>
      <c r="M31" s="9"/>
      <c r="N31" s="9"/>
      <c r="O31" s="90">
        <f t="shared" si="2"/>
        <v>0</v>
      </c>
      <c r="P31" s="9"/>
      <c r="Q31" s="9"/>
      <c r="R31" s="91" t="str">
        <f t="shared" si="3"/>
        <v/>
      </c>
      <c r="S31" s="91" t="str">
        <f t="shared" si="4"/>
        <v/>
      </c>
      <c r="T31" s="92">
        <f>H31*[0]!FMainPool1Fee+I31*[0]!FMainPool2Fee+J31*[0]!FMainPool3Fee+K31*[0]!FMainPool4Fee+B31*[0]!FMainEntryFee</f>
        <v>0</v>
      </c>
      <c r="U31" s="93"/>
      <c r="V31" s="94"/>
      <c r="X31" s="99"/>
      <c r="Y31" s="99"/>
    </row>
    <row r="32" spans="1:26">
      <c r="A32" s="87">
        <f t="shared" si="1"/>
        <v>21</v>
      </c>
      <c r="B32" s="9">
        <v>1</v>
      </c>
      <c r="C32" s="1" t="s">
        <v>678</v>
      </c>
      <c r="D32" s="1" t="s">
        <v>41</v>
      </c>
      <c r="E32" s="2" t="s">
        <v>679</v>
      </c>
      <c r="F32" s="110">
        <v>7075994896</v>
      </c>
      <c r="G32" s="115" t="s">
        <v>680</v>
      </c>
      <c r="H32" s="8">
        <v>1</v>
      </c>
      <c r="I32" s="9">
        <v>1</v>
      </c>
      <c r="J32" s="9">
        <v>1</v>
      </c>
      <c r="K32" s="9"/>
      <c r="L32" s="9">
        <v>1</v>
      </c>
      <c r="M32" s="9"/>
      <c r="N32" s="9"/>
      <c r="O32" s="90"/>
      <c r="P32" s="9" t="s">
        <v>671</v>
      </c>
      <c r="Q32" s="9"/>
      <c r="R32" s="91" t="str">
        <f t="shared" si="3"/>
        <v/>
      </c>
      <c r="S32" s="91">
        <v>110</v>
      </c>
      <c r="T32" s="92">
        <f>H32*[0]!FMainPool1Fee+I32*[0]!FMainPool2Fee+J32*[0]!FMainPool3Fee+K32*[0]!FMainPool4Fee+B32*[0]!FMainEntryFee</f>
        <v>110</v>
      </c>
      <c r="U32" s="93"/>
      <c r="V32" s="94" t="s">
        <v>691</v>
      </c>
      <c r="X32" s="99"/>
      <c r="Y32" s="99"/>
    </row>
    <row r="33" spans="1:26">
      <c r="A33" s="87">
        <f t="shared" si="1"/>
        <v>22</v>
      </c>
      <c r="B33" s="9"/>
      <c r="C33" s="6" t="s">
        <v>152</v>
      </c>
      <c r="D33" s="6" t="s">
        <v>102</v>
      </c>
      <c r="E33" s="7" t="s">
        <v>195</v>
      </c>
      <c r="F33" s="108"/>
      <c r="G33" s="97" t="s">
        <v>153</v>
      </c>
      <c r="H33" s="8"/>
      <c r="I33" s="9"/>
      <c r="J33" s="9"/>
      <c r="K33" s="9"/>
      <c r="L33" s="9"/>
      <c r="M33" s="9"/>
      <c r="N33" s="9"/>
      <c r="O33" s="90">
        <f t="shared" ref="O33:O45" si="5">T33*N33</f>
        <v>0</v>
      </c>
      <c r="P33" s="9"/>
      <c r="Q33" s="9"/>
      <c r="R33" s="91" t="str">
        <f t="shared" si="3"/>
        <v/>
      </c>
      <c r="S33" s="91" t="str">
        <f t="shared" ref="S33:S75" si="6">IF(OR(P33="$",N33=1),+T33,"")</f>
        <v/>
      </c>
      <c r="T33" s="92">
        <f>H33*[0]!FMainPool1Fee+I33*[0]!FMainPool2Fee+J33*[0]!FMainPool3Fee+K33*[0]!FMainPool4Fee+B33*[0]!FMainEntryFee</f>
        <v>0</v>
      </c>
      <c r="U33" s="93"/>
      <c r="V33" s="109"/>
      <c r="X33" s="99"/>
      <c r="Y33" s="99"/>
    </row>
    <row r="34" spans="1:26">
      <c r="A34" s="87">
        <f t="shared" si="1"/>
        <v>23</v>
      </c>
      <c r="B34" s="9"/>
      <c r="C34" s="6" t="s">
        <v>126</v>
      </c>
      <c r="D34" s="1" t="s">
        <v>5</v>
      </c>
      <c r="E34" s="7" t="s">
        <v>204</v>
      </c>
      <c r="F34" s="108" t="s">
        <v>547</v>
      </c>
      <c r="G34" s="97" t="s">
        <v>548</v>
      </c>
      <c r="H34" s="8"/>
      <c r="I34" s="9"/>
      <c r="J34" s="9"/>
      <c r="K34" s="9"/>
      <c r="L34" s="9"/>
      <c r="M34" s="9"/>
      <c r="N34" s="9"/>
      <c r="O34" s="90">
        <f t="shared" si="5"/>
        <v>0</v>
      </c>
      <c r="P34" s="9"/>
      <c r="Q34" s="9"/>
      <c r="R34" s="91" t="str">
        <f t="shared" si="3"/>
        <v/>
      </c>
      <c r="S34" s="91" t="str">
        <f t="shared" si="6"/>
        <v/>
      </c>
      <c r="T34" s="92">
        <f>H34*[0]!FMainPool1Fee+I34*[0]!FMainPool2Fee+J34*[0]!FMainPool3Fee+K34*[0]!FMainPool4Fee+B34*[0]!FMainEntryFee</f>
        <v>0</v>
      </c>
      <c r="U34" s="93"/>
      <c r="V34" s="94"/>
      <c r="X34" s="99"/>
      <c r="Y34" s="99"/>
    </row>
    <row r="35" spans="1:26">
      <c r="A35" s="87">
        <f t="shared" si="1"/>
        <v>24</v>
      </c>
      <c r="B35" s="9"/>
      <c r="C35" s="6" t="s">
        <v>283</v>
      </c>
      <c r="D35" s="6" t="s">
        <v>281</v>
      </c>
      <c r="E35" s="7" t="s">
        <v>284</v>
      </c>
      <c r="F35" s="88"/>
      <c r="G35" s="97" t="s">
        <v>387</v>
      </c>
      <c r="H35" s="8"/>
      <c r="I35" s="9"/>
      <c r="J35" s="9"/>
      <c r="K35" s="9"/>
      <c r="L35" s="9"/>
      <c r="M35" s="9"/>
      <c r="N35" s="9"/>
      <c r="O35" s="90">
        <f t="shared" si="5"/>
        <v>0</v>
      </c>
      <c r="P35" s="9"/>
      <c r="Q35" s="9"/>
      <c r="R35" s="91" t="str">
        <f t="shared" si="3"/>
        <v/>
      </c>
      <c r="S35" s="91" t="str">
        <f t="shared" si="6"/>
        <v/>
      </c>
      <c r="T35" s="92">
        <f>H35*[0]!FMainPool1Fee+I35*[0]!FMainPool2Fee+J35*[0]!FMainPool3Fee+K35*[0]!FMainPool4Fee+B35*[0]!FMainEntryFee</f>
        <v>0</v>
      </c>
      <c r="U35" s="93"/>
      <c r="V35" s="94"/>
      <c r="X35" s="99"/>
      <c r="Y35" s="99"/>
      <c r="Z35" s="112"/>
    </row>
    <row r="36" spans="1:26">
      <c r="A36" s="87">
        <f t="shared" si="1"/>
        <v>25</v>
      </c>
      <c r="B36" s="9">
        <v>1</v>
      </c>
      <c r="C36" s="6" t="s">
        <v>711</v>
      </c>
      <c r="D36" s="6" t="s">
        <v>46</v>
      </c>
      <c r="E36" s="7" t="s">
        <v>712</v>
      </c>
      <c r="F36" s="88">
        <v>9254322030</v>
      </c>
      <c r="G36" s="97" t="s">
        <v>500</v>
      </c>
      <c r="H36" s="8">
        <v>1</v>
      </c>
      <c r="I36" s="9">
        <v>1</v>
      </c>
      <c r="J36" s="9">
        <v>1</v>
      </c>
      <c r="K36" s="9">
        <v>1</v>
      </c>
      <c r="L36" s="9"/>
      <c r="M36" s="9">
        <v>1</v>
      </c>
      <c r="N36" s="9"/>
      <c r="O36" s="90">
        <f t="shared" si="5"/>
        <v>0</v>
      </c>
      <c r="P36" s="9" t="s">
        <v>666</v>
      </c>
      <c r="Q36" s="9">
        <v>4818</v>
      </c>
      <c r="R36" s="91">
        <f t="shared" si="3"/>
        <v>160</v>
      </c>
      <c r="S36" s="91" t="str">
        <f t="shared" si="6"/>
        <v/>
      </c>
      <c r="T36" s="92">
        <f>H36*[0]!FMainPool1Fee+I36*[0]!FMainPool2Fee+J36*[0]!FMainPool3Fee+K36*[0]!FMainPool4Fee+B36*[0]!FMainEntryFee</f>
        <v>160</v>
      </c>
      <c r="U36" s="93"/>
      <c r="V36" s="94"/>
      <c r="X36" s="99"/>
      <c r="Y36" s="99"/>
      <c r="Z36" s="112"/>
    </row>
    <row r="37" spans="1:26">
      <c r="A37" s="87">
        <f t="shared" si="1"/>
        <v>26</v>
      </c>
      <c r="B37" s="9"/>
      <c r="C37" s="6" t="s">
        <v>339</v>
      </c>
      <c r="D37" s="6" t="s">
        <v>340</v>
      </c>
      <c r="E37" s="7" t="s">
        <v>206</v>
      </c>
      <c r="F37" s="88"/>
      <c r="G37" s="97" t="s">
        <v>341</v>
      </c>
      <c r="H37" s="8"/>
      <c r="I37" s="9"/>
      <c r="J37" s="9"/>
      <c r="K37" s="9"/>
      <c r="L37" s="9"/>
      <c r="M37" s="9"/>
      <c r="N37" s="9"/>
      <c r="O37" s="90">
        <f t="shared" si="5"/>
        <v>0</v>
      </c>
      <c r="P37" s="9"/>
      <c r="Q37" s="9"/>
      <c r="R37" s="91" t="str">
        <f t="shared" si="3"/>
        <v/>
      </c>
      <c r="S37" s="91" t="str">
        <f t="shared" si="6"/>
        <v/>
      </c>
      <c r="T37" s="92">
        <f>H37*[0]!FMainPool1Fee+I37*[0]!FMainPool2Fee+J37*[0]!FMainPool3Fee+K37*[0]!FMainPool4Fee+B37*[0]!FMainEntryFee</f>
        <v>0</v>
      </c>
      <c r="U37" s="93"/>
      <c r="V37" s="94"/>
      <c r="W37" s="101"/>
      <c r="X37" s="99"/>
      <c r="Y37" s="99"/>
    </row>
    <row r="38" spans="1:26">
      <c r="A38" s="87">
        <f t="shared" si="1"/>
        <v>27</v>
      </c>
      <c r="B38" s="9"/>
      <c r="C38" s="1" t="s">
        <v>11</v>
      </c>
      <c r="D38" s="1" t="s">
        <v>12</v>
      </c>
      <c r="E38" s="2" t="s">
        <v>172</v>
      </c>
      <c r="F38" s="116">
        <v>9253213485</v>
      </c>
      <c r="G38" s="97" t="s">
        <v>98</v>
      </c>
      <c r="H38" s="8"/>
      <c r="I38" s="9"/>
      <c r="J38" s="9"/>
      <c r="K38" s="9"/>
      <c r="L38" s="9"/>
      <c r="M38" s="9"/>
      <c r="N38" s="9"/>
      <c r="O38" s="90">
        <f t="shared" si="5"/>
        <v>0</v>
      </c>
      <c r="P38" s="9"/>
      <c r="Q38" s="9"/>
      <c r="R38" s="91" t="str">
        <f t="shared" si="3"/>
        <v/>
      </c>
      <c r="S38" s="91" t="str">
        <f t="shared" si="6"/>
        <v/>
      </c>
      <c r="T38" s="92">
        <f>H38*[0]!FMainPool1Fee+I38*[0]!FMainPool2Fee+J38*[0]!FMainPool3Fee+K38*[0]!FMainPool4Fee+B38*[0]!FMainEntryFee</f>
        <v>0</v>
      </c>
      <c r="U38" s="93"/>
      <c r="V38" s="109"/>
      <c r="X38" s="99"/>
      <c r="Y38" s="99"/>
    </row>
    <row r="39" spans="1:26">
      <c r="A39" s="87">
        <f t="shared" si="1"/>
        <v>28</v>
      </c>
      <c r="B39" s="9"/>
      <c r="C39" s="6" t="s">
        <v>275</v>
      </c>
      <c r="D39" s="6" t="s">
        <v>33</v>
      </c>
      <c r="E39" s="7" t="s">
        <v>276</v>
      </c>
      <c r="F39" s="88"/>
      <c r="G39" s="97"/>
      <c r="H39" s="8"/>
      <c r="I39" s="9"/>
      <c r="J39" s="9"/>
      <c r="K39" s="9"/>
      <c r="L39" s="9"/>
      <c r="M39" s="9"/>
      <c r="N39" s="9"/>
      <c r="O39" s="90">
        <f t="shared" si="5"/>
        <v>0</v>
      </c>
      <c r="P39" s="9"/>
      <c r="Q39" s="9"/>
      <c r="R39" s="91" t="str">
        <f t="shared" si="3"/>
        <v/>
      </c>
      <c r="S39" s="91" t="str">
        <f t="shared" si="6"/>
        <v/>
      </c>
      <c r="T39" s="92">
        <f>H39*[0]!FMainPool1Fee+I39*[0]!FMainPool2Fee+J39*[0]!FMainPool3Fee+K39*[0]!FMainPool4Fee+B39*[0]!FMainEntryFee</f>
        <v>0</v>
      </c>
      <c r="U39" s="93"/>
      <c r="V39" s="109"/>
      <c r="X39" s="99"/>
      <c r="Y39" s="99"/>
    </row>
    <row r="40" spans="1:26">
      <c r="A40" s="87">
        <f t="shared" si="1"/>
        <v>29</v>
      </c>
      <c r="B40" s="9"/>
      <c r="C40" s="6" t="s">
        <v>258</v>
      </c>
      <c r="D40" s="6" t="s">
        <v>41</v>
      </c>
      <c r="E40" s="7" t="s">
        <v>259</v>
      </c>
      <c r="F40" s="88"/>
      <c r="G40" s="97"/>
      <c r="H40" s="8"/>
      <c r="I40" s="9"/>
      <c r="J40" s="9"/>
      <c r="K40" s="9"/>
      <c r="L40" s="9"/>
      <c r="M40" s="9"/>
      <c r="N40" s="9"/>
      <c r="O40" s="90">
        <f t="shared" si="5"/>
        <v>0</v>
      </c>
      <c r="P40" s="9"/>
      <c r="Q40" s="9"/>
      <c r="R40" s="91" t="str">
        <f t="shared" si="3"/>
        <v/>
      </c>
      <c r="S40" s="91" t="str">
        <f t="shared" si="6"/>
        <v/>
      </c>
      <c r="T40" s="92">
        <f>H40*[0]!FMainPool1Fee+I40*[0]!FMainPool2Fee+J40*[0]!FMainPool3Fee+K40*[0]!FMainPool4Fee+B40*[0]!FMainEntryFee</f>
        <v>0</v>
      </c>
      <c r="U40" s="93"/>
      <c r="V40" s="98"/>
      <c r="W40"/>
      <c r="X40" s="99"/>
      <c r="Y40" s="99"/>
    </row>
    <row r="41" spans="1:26">
      <c r="A41" s="87">
        <f t="shared" si="1"/>
        <v>30</v>
      </c>
      <c r="B41" s="9"/>
      <c r="C41" s="6" t="s">
        <v>256</v>
      </c>
      <c r="D41" s="6" t="s">
        <v>41</v>
      </c>
      <c r="E41" s="7" t="s">
        <v>257</v>
      </c>
      <c r="F41" s="88"/>
      <c r="G41" s="89" t="s">
        <v>260</v>
      </c>
      <c r="H41" s="8"/>
      <c r="I41" s="9"/>
      <c r="J41" s="9"/>
      <c r="K41" s="9"/>
      <c r="L41" s="9"/>
      <c r="M41" s="9"/>
      <c r="N41" s="9"/>
      <c r="O41" s="90">
        <f t="shared" si="5"/>
        <v>0</v>
      </c>
      <c r="P41" s="9"/>
      <c r="Q41" s="9"/>
      <c r="R41" s="91" t="str">
        <f t="shared" si="3"/>
        <v/>
      </c>
      <c r="S41" s="91" t="str">
        <f t="shared" si="6"/>
        <v/>
      </c>
      <c r="T41" s="92">
        <f>H41*[0]!FMainPool1Fee+I41*[0]!FMainPool2Fee+J41*[0]!FMainPool3Fee+K41*[0]!FMainPool4Fee+B41*[0]!FMainEntryFee</f>
        <v>0</v>
      </c>
      <c r="U41" s="93"/>
      <c r="V41" s="94"/>
      <c r="X41" s="99"/>
      <c r="Y41" s="99"/>
    </row>
    <row r="42" spans="1:26">
      <c r="A42" s="87">
        <f t="shared" si="1"/>
        <v>31</v>
      </c>
      <c r="B42" s="9">
        <v>1</v>
      </c>
      <c r="C42" s="1" t="s">
        <v>54</v>
      </c>
      <c r="D42" s="1" t="s">
        <v>15</v>
      </c>
      <c r="E42" s="2" t="s">
        <v>205</v>
      </c>
      <c r="F42" s="116">
        <v>9705539123</v>
      </c>
      <c r="G42" s="97" t="s">
        <v>500</v>
      </c>
      <c r="H42" s="8">
        <v>1</v>
      </c>
      <c r="I42" s="9"/>
      <c r="J42" s="9"/>
      <c r="K42" s="9"/>
      <c r="L42" s="9">
        <v>1</v>
      </c>
      <c r="M42" s="9"/>
      <c r="N42" s="9"/>
      <c r="O42" s="90">
        <f t="shared" si="5"/>
        <v>0</v>
      </c>
      <c r="P42" s="9" t="s">
        <v>666</v>
      </c>
      <c r="Q42" s="9">
        <v>171</v>
      </c>
      <c r="R42" s="91">
        <f t="shared" si="3"/>
        <v>80</v>
      </c>
      <c r="S42" s="91" t="str">
        <f t="shared" si="6"/>
        <v/>
      </c>
      <c r="T42" s="92">
        <f>H42*[0]!FMainPool1Fee+I42*[0]!FMainPool2Fee+J42*[0]!FMainPool3Fee+K42*[0]!FMainPool4Fee+B42*[0]!FMainEntryFee</f>
        <v>80</v>
      </c>
      <c r="U42" s="93"/>
      <c r="V42" s="109"/>
      <c r="X42" s="99"/>
      <c r="Y42" s="99"/>
    </row>
    <row r="43" spans="1:26">
      <c r="A43" s="87">
        <f t="shared" si="1"/>
        <v>32</v>
      </c>
      <c r="B43" s="9"/>
      <c r="C43" s="1" t="s">
        <v>34</v>
      </c>
      <c r="D43" s="1" t="s">
        <v>35</v>
      </c>
      <c r="E43" s="2" t="s">
        <v>185</v>
      </c>
      <c r="F43" s="116"/>
      <c r="G43" s="97" t="s">
        <v>144</v>
      </c>
      <c r="H43" s="8"/>
      <c r="I43" s="9"/>
      <c r="J43" s="9"/>
      <c r="K43" s="9"/>
      <c r="L43" s="9"/>
      <c r="M43" s="9"/>
      <c r="N43" s="9"/>
      <c r="O43" s="90">
        <f t="shared" si="5"/>
        <v>0</v>
      </c>
      <c r="P43" s="9"/>
      <c r="Q43" s="9"/>
      <c r="R43" s="91" t="str">
        <f t="shared" si="3"/>
        <v/>
      </c>
      <c r="S43" s="91" t="str">
        <f t="shared" si="6"/>
        <v/>
      </c>
      <c r="T43" s="92">
        <f>H43*[0]!FMainPool1Fee+I43*[0]!FMainPool2Fee+J43*[0]!FMainPool3Fee+K43*[0]!FMainPool4Fee+B43*[0]!FMainEntryFee</f>
        <v>0</v>
      </c>
      <c r="U43" s="93"/>
      <c r="V43" s="109"/>
      <c r="W43" s="101"/>
      <c r="X43" s="99"/>
      <c r="Y43" s="99"/>
    </row>
    <row r="44" spans="1:26" ht="15.75">
      <c r="A44" s="87">
        <f t="shared" si="1"/>
        <v>33</v>
      </c>
      <c r="B44" s="9"/>
      <c r="C44" s="1" t="s">
        <v>483</v>
      </c>
      <c r="D44" s="1" t="s">
        <v>473</v>
      </c>
      <c r="E44" s="117" t="s">
        <v>474</v>
      </c>
      <c r="F44" s="109" t="s">
        <v>549</v>
      </c>
      <c r="G44" s="104" t="s">
        <v>550</v>
      </c>
      <c r="H44" s="8"/>
      <c r="I44" s="9"/>
      <c r="J44" s="9"/>
      <c r="K44" s="9"/>
      <c r="L44" s="9"/>
      <c r="M44" s="9"/>
      <c r="N44" s="9"/>
      <c r="O44" s="90">
        <f t="shared" si="5"/>
        <v>0</v>
      </c>
      <c r="P44" s="9"/>
      <c r="Q44" s="9"/>
      <c r="R44" s="91" t="str">
        <f t="shared" ref="R44:R75" si="7">IF(OR(P44="c",P44="C"),+T44,"")</f>
        <v/>
      </c>
      <c r="S44" s="91" t="str">
        <f t="shared" si="6"/>
        <v/>
      </c>
      <c r="T44" s="92">
        <f>H44*[0]!FMainPool1Fee+I44*[0]!FMainPool2Fee+J44*[0]!FMainPool3Fee+K44*[0]!FMainPool4Fee+B44*[0]!FMainEntryFee</f>
        <v>0</v>
      </c>
      <c r="U44" s="93"/>
      <c r="V44" s="94"/>
      <c r="X44" s="99"/>
      <c r="Y44" s="99"/>
    </row>
    <row r="45" spans="1:26">
      <c r="A45" s="87">
        <f t="shared" si="1"/>
        <v>34</v>
      </c>
      <c r="B45" s="9">
        <v>1</v>
      </c>
      <c r="C45" s="104" t="s">
        <v>600</v>
      </c>
      <c r="D45" s="104" t="s">
        <v>5</v>
      </c>
      <c r="E45" s="98" t="s">
        <v>601</v>
      </c>
      <c r="F45" s="109">
        <v>7079744711</v>
      </c>
      <c r="G45" s="113" t="s">
        <v>602</v>
      </c>
      <c r="H45" s="8"/>
      <c r="I45" s="9"/>
      <c r="J45" s="9"/>
      <c r="K45" s="9"/>
      <c r="L45" s="9"/>
      <c r="M45" s="9"/>
      <c r="N45" s="9"/>
      <c r="O45" s="90">
        <f t="shared" si="5"/>
        <v>0</v>
      </c>
      <c r="P45" s="9" t="s">
        <v>666</v>
      </c>
      <c r="Q45" s="9">
        <v>1075</v>
      </c>
      <c r="R45" s="91">
        <f t="shared" si="7"/>
        <v>70</v>
      </c>
      <c r="S45" s="91" t="str">
        <f t="shared" si="6"/>
        <v/>
      </c>
      <c r="T45" s="92">
        <f>H45*[0]!FMainPool1Fee+I45*[0]!FMainPool2Fee+J45*[0]!FMainPool3Fee+K45*[0]!FMainPool4Fee+B45*[0]!FMainEntryFee</f>
        <v>70</v>
      </c>
      <c r="U45" s="93"/>
      <c r="V45" s="109"/>
      <c r="X45" s="99"/>
      <c r="Y45" s="99"/>
    </row>
    <row r="46" spans="1:26">
      <c r="A46" s="87">
        <f t="shared" si="1"/>
        <v>35</v>
      </c>
      <c r="B46" s="9">
        <v>1</v>
      </c>
      <c r="C46" s="104" t="s">
        <v>688</v>
      </c>
      <c r="D46" s="104" t="s">
        <v>41</v>
      </c>
      <c r="E46" s="98" t="s">
        <v>689</v>
      </c>
      <c r="F46" s="109">
        <v>7075027980</v>
      </c>
      <c r="G46" s="113" t="s">
        <v>700</v>
      </c>
      <c r="H46" s="8">
        <v>1</v>
      </c>
      <c r="I46" s="9">
        <v>1</v>
      </c>
      <c r="J46" s="9">
        <v>1</v>
      </c>
      <c r="K46" s="9"/>
      <c r="L46" s="9"/>
      <c r="M46" s="9"/>
      <c r="N46" s="9"/>
      <c r="O46" s="90"/>
      <c r="P46" s="9" t="s">
        <v>671</v>
      </c>
      <c r="Q46" s="9"/>
      <c r="R46" s="91" t="str">
        <f t="shared" si="7"/>
        <v/>
      </c>
      <c r="S46" s="91">
        <f t="shared" si="6"/>
        <v>110</v>
      </c>
      <c r="T46" s="92">
        <f>H46*[0]!FMainPool1Fee+I46*[0]!FMainPool2Fee+J46*[0]!FMainPool3Fee+K46*[0]!FMainPool4Fee+B46*[0]!FMainEntryFee</f>
        <v>110</v>
      </c>
      <c r="U46" s="93"/>
      <c r="V46" s="109" t="s">
        <v>691</v>
      </c>
      <c r="X46" s="99"/>
      <c r="Y46" s="99"/>
    </row>
    <row r="47" spans="1:26">
      <c r="A47" s="87">
        <f t="shared" si="1"/>
        <v>36</v>
      </c>
      <c r="B47" s="9"/>
      <c r="C47" s="6" t="s">
        <v>309</v>
      </c>
      <c r="D47" s="6" t="s">
        <v>76</v>
      </c>
      <c r="E47" s="7" t="s">
        <v>310</v>
      </c>
      <c r="F47" s="88"/>
      <c r="G47" s="97" t="s">
        <v>330</v>
      </c>
      <c r="H47" s="8"/>
      <c r="I47" s="9"/>
      <c r="J47" s="9"/>
      <c r="K47" s="9"/>
      <c r="L47" s="9"/>
      <c r="M47" s="9"/>
      <c r="N47" s="9"/>
      <c r="O47" s="90">
        <f t="shared" ref="O47:O75" si="8">T47*N47</f>
        <v>0</v>
      </c>
      <c r="P47" s="9"/>
      <c r="Q47" s="9"/>
      <c r="R47" s="91" t="str">
        <f t="shared" si="7"/>
        <v/>
      </c>
      <c r="S47" s="91" t="str">
        <f t="shared" si="6"/>
        <v/>
      </c>
      <c r="T47" s="92">
        <f>H47*[0]!FMainPool1Fee+I47*[0]!FMainPool2Fee+J47*[0]!FMainPool3Fee+K47*[0]!FMainPool4Fee+B47*[0]!FMainEntryFee</f>
        <v>0</v>
      </c>
      <c r="U47" s="93"/>
      <c r="V47" s="94"/>
      <c r="X47" s="99"/>
      <c r="Y47" s="99"/>
    </row>
    <row r="48" spans="1:26">
      <c r="A48" s="87">
        <f t="shared" si="1"/>
        <v>37</v>
      </c>
      <c r="B48" s="9"/>
      <c r="C48" s="1" t="s">
        <v>66</v>
      </c>
      <c r="D48" s="1" t="s">
        <v>58</v>
      </c>
      <c r="E48" s="2" t="s">
        <v>183</v>
      </c>
      <c r="F48" s="116"/>
      <c r="G48" s="97" t="s">
        <v>145</v>
      </c>
      <c r="H48" s="8"/>
      <c r="I48" s="9"/>
      <c r="J48" s="9"/>
      <c r="K48" s="9"/>
      <c r="L48" s="9"/>
      <c r="M48" s="9"/>
      <c r="N48" s="9"/>
      <c r="O48" s="90">
        <f t="shared" si="8"/>
        <v>0</v>
      </c>
      <c r="P48" s="9"/>
      <c r="Q48" s="9"/>
      <c r="R48" s="91" t="str">
        <f t="shared" si="7"/>
        <v/>
      </c>
      <c r="S48" s="91" t="str">
        <f t="shared" si="6"/>
        <v/>
      </c>
      <c r="T48" s="92">
        <f>H48*[0]!FMainPool1Fee+I48*[0]!FMainPool2Fee+J48*[0]!FMainPool3Fee+K48*[0]!FMainPool4Fee+B48*[0]!FMainEntryFee</f>
        <v>0</v>
      </c>
      <c r="U48" s="93"/>
      <c r="V48" s="109"/>
      <c r="X48" s="99"/>
      <c r="Y48" s="99"/>
    </row>
    <row r="49" spans="1:25">
      <c r="A49" s="87">
        <f t="shared" si="1"/>
        <v>38</v>
      </c>
      <c r="B49" s="9">
        <v>1</v>
      </c>
      <c r="C49" s="1" t="s">
        <v>8</v>
      </c>
      <c r="D49" s="1" t="s">
        <v>33</v>
      </c>
      <c r="E49" s="2" t="s">
        <v>182</v>
      </c>
      <c r="F49" s="116">
        <v>7073175740</v>
      </c>
      <c r="G49" s="89" t="s">
        <v>551</v>
      </c>
      <c r="H49" s="8">
        <v>1</v>
      </c>
      <c r="I49" s="9"/>
      <c r="J49" s="9">
        <v>1</v>
      </c>
      <c r="K49" s="9"/>
      <c r="L49" s="9"/>
      <c r="M49" s="9"/>
      <c r="N49" s="9"/>
      <c r="O49" s="90">
        <f t="shared" si="8"/>
        <v>0</v>
      </c>
      <c r="P49" s="9" t="s">
        <v>671</v>
      </c>
      <c r="Q49" s="9"/>
      <c r="R49" s="91" t="str">
        <f t="shared" si="7"/>
        <v/>
      </c>
      <c r="S49" s="91">
        <f t="shared" si="6"/>
        <v>100</v>
      </c>
      <c r="T49" s="92">
        <f>H49*[0]!FMainPool1Fee+I49*[0]!FMainPool2Fee+J49*[0]!FMainPool3Fee+K49*[0]!FMainPool4Fee+B49*[0]!FMainEntryFee</f>
        <v>100</v>
      </c>
      <c r="U49" s="93"/>
      <c r="V49" s="94"/>
      <c r="X49" s="99"/>
      <c r="Y49" s="99"/>
    </row>
    <row r="50" spans="1:25">
      <c r="A50" s="87">
        <f t="shared" si="1"/>
        <v>39</v>
      </c>
      <c r="B50" s="9"/>
      <c r="C50" s="6" t="s">
        <v>277</v>
      </c>
      <c r="D50" s="6" t="s">
        <v>58</v>
      </c>
      <c r="E50" s="7" t="s">
        <v>278</v>
      </c>
      <c r="F50" s="88"/>
      <c r="G50" s="97" t="s">
        <v>388</v>
      </c>
      <c r="H50" s="8"/>
      <c r="I50" s="9"/>
      <c r="J50" s="9"/>
      <c r="K50" s="9"/>
      <c r="L50" s="9"/>
      <c r="M50" s="9"/>
      <c r="N50" s="9"/>
      <c r="O50" s="90">
        <f t="shared" si="8"/>
        <v>0</v>
      </c>
      <c r="P50" s="9"/>
      <c r="Q50" s="9"/>
      <c r="R50" s="91" t="str">
        <f t="shared" si="7"/>
        <v/>
      </c>
      <c r="S50" s="91" t="str">
        <f t="shared" si="6"/>
        <v/>
      </c>
      <c r="T50" s="92">
        <f>H50*[0]!FMainPool1Fee+I50*[0]!FMainPool2Fee+J50*[0]!FMainPool3Fee+K50*[0]!FMainPool4Fee+B50*[0]!FMainEntryFee</f>
        <v>0</v>
      </c>
      <c r="U50" s="93"/>
      <c r="V50" s="94"/>
      <c r="X50" s="99"/>
      <c r="Y50" s="99"/>
    </row>
    <row r="51" spans="1:25">
      <c r="A51" s="87">
        <f t="shared" si="1"/>
        <v>40</v>
      </c>
      <c r="B51" s="9">
        <v>1</v>
      </c>
      <c r="C51" s="104" t="s">
        <v>603</v>
      </c>
      <c r="D51" s="104" t="s">
        <v>304</v>
      </c>
      <c r="E51" s="98" t="s">
        <v>604</v>
      </c>
      <c r="F51" s="96">
        <v>2793335535</v>
      </c>
      <c r="G51" s="104"/>
      <c r="H51" s="8">
        <v>1</v>
      </c>
      <c r="I51" s="9">
        <v>1</v>
      </c>
      <c r="J51" s="9">
        <v>1</v>
      </c>
      <c r="K51" s="9"/>
      <c r="L51" s="9">
        <v>1</v>
      </c>
      <c r="M51" s="9"/>
      <c r="N51" s="9"/>
      <c r="O51" s="90">
        <f t="shared" si="8"/>
        <v>0</v>
      </c>
      <c r="P51" s="9" t="s">
        <v>666</v>
      </c>
      <c r="Q51" s="9">
        <v>1299</v>
      </c>
      <c r="R51" s="91">
        <f t="shared" si="7"/>
        <v>110</v>
      </c>
      <c r="S51" s="91" t="str">
        <f t="shared" si="6"/>
        <v/>
      </c>
      <c r="T51" s="92">
        <f>H51*[0]!FMainPool1Fee+I51*[0]!FMainPool2Fee+J51*[0]!FMainPool3Fee+K51*[0]!FMainPool4Fee+B51*[0]!FMainEntryFee</f>
        <v>110</v>
      </c>
      <c r="U51" s="93"/>
      <c r="V51" s="98"/>
      <c r="X51" s="99"/>
      <c r="Y51" s="99"/>
    </row>
    <row r="52" spans="1:25">
      <c r="A52" s="87">
        <f t="shared" si="1"/>
        <v>41</v>
      </c>
      <c r="B52" s="9"/>
      <c r="C52" s="1" t="s">
        <v>73</v>
      </c>
      <c r="D52" s="1" t="s">
        <v>74</v>
      </c>
      <c r="E52" s="2" t="s">
        <v>197</v>
      </c>
      <c r="F52" s="116"/>
      <c r="G52" s="97" t="s">
        <v>156</v>
      </c>
      <c r="H52" s="8"/>
      <c r="I52" s="9"/>
      <c r="J52" s="9"/>
      <c r="K52" s="9"/>
      <c r="L52" s="9"/>
      <c r="M52" s="9"/>
      <c r="N52" s="9"/>
      <c r="O52" s="90">
        <f t="shared" si="8"/>
        <v>0</v>
      </c>
      <c r="P52" s="9"/>
      <c r="Q52" s="9"/>
      <c r="R52" s="91" t="str">
        <f t="shared" si="7"/>
        <v/>
      </c>
      <c r="S52" s="91" t="str">
        <f t="shared" si="6"/>
        <v/>
      </c>
      <c r="T52" s="92">
        <f>H52*[0]!FMainPool1Fee+I52*[0]!FMainPool2Fee+J52*[0]!FMainPool3Fee+K52*[0]!FMainPool4Fee+B52*[0]!FMainEntryFee</f>
        <v>0</v>
      </c>
      <c r="U52" s="93"/>
      <c r="V52" s="94"/>
      <c r="X52" s="99"/>
      <c r="Y52" s="99"/>
    </row>
    <row r="53" spans="1:25">
      <c r="A53" s="87">
        <f t="shared" si="1"/>
        <v>42</v>
      </c>
      <c r="B53" s="9"/>
      <c r="C53" s="6" t="s">
        <v>306</v>
      </c>
      <c r="D53" s="6" t="s">
        <v>307</v>
      </c>
      <c r="E53" s="7" t="s">
        <v>308</v>
      </c>
      <c r="F53" s="88"/>
      <c r="G53" s="97" t="s">
        <v>421</v>
      </c>
      <c r="H53" s="8"/>
      <c r="I53" s="9"/>
      <c r="J53" s="9"/>
      <c r="K53" s="9"/>
      <c r="L53" s="9"/>
      <c r="M53" s="9"/>
      <c r="N53" s="9"/>
      <c r="O53" s="90">
        <f t="shared" si="8"/>
        <v>0</v>
      </c>
      <c r="P53" s="9"/>
      <c r="Q53" s="9"/>
      <c r="R53" s="91" t="str">
        <f t="shared" si="7"/>
        <v/>
      </c>
      <c r="S53" s="91" t="str">
        <f t="shared" si="6"/>
        <v/>
      </c>
      <c r="T53" s="92">
        <f>H53*[0]!FMainPool1Fee+I53*[0]!FMainPool2Fee+J53*[0]!FMainPool3Fee+K53*[0]!FMainPool4Fee+B53*[0]!FMainEntryFee</f>
        <v>0</v>
      </c>
      <c r="U53" s="93"/>
      <c r="V53" s="109"/>
      <c r="X53" s="99"/>
      <c r="Y53" s="99"/>
    </row>
    <row r="54" spans="1:25">
      <c r="A54" s="87">
        <f t="shared" si="1"/>
        <v>43</v>
      </c>
      <c r="B54" s="9"/>
      <c r="C54" s="1" t="s">
        <v>55</v>
      </c>
      <c r="D54" s="1" t="s">
        <v>56</v>
      </c>
      <c r="E54" s="2" t="s">
        <v>229</v>
      </c>
      <c r="F54" s="116"/>
      <c r="G54" s="97" t="s">
        <v>389</v>
      </c>
      <c r="H54" s="8"/>
      <c r="I54" s="9"/>
      <c r="J54" s="9"/>
      <c r="K54" s="9"/>
      <c r="L54" s="9"/>
      <c r="M54" s="9"/>
      <c r="N54" s="9"/>
      <c r="O54" s="90">
        <f t="shared" si="8"/>
        <v>0</v>
      </c>
      <c r="P54" s="9"/>
      <c r="Q54" s="9"/>
      <c r="R54" s="91" t="str">
        <f t="shared" si="7"/>
        <v/>
      </c>
      <c r="S54" s="91" t="str">
        <f t="shared" si="6"/>
        <v/>
      </c>
      <c r="T54" s="92">
        <f>H54*[0]!FMainPool1Fee+I54*[0]!FMainPool2Fee+J54*[0]!FMainPool3Fee+K54*[0]!FMainPool4Fee+B54*[0]!FMainEntryFee</f>
        <v>0</v>
      </c>
      <c r="U54" s="93"/>
      <c r="V54" s="94"/>
      <c r="X54" s="99"/>
      <c r="Y54" s="99"/>
    </row>
    <row r="55" spans="1:25">
      <c r="A55" s="87">
        <f t="shared" si="1"/>
        <v>44</v>
      </c>
      <c r="B55" s="9"/>
      <c r="C55" s="6" t="s">
        <v>115</v>
      </c>
      <c r="D55" s="6" t="s">
        <v>72</v>
      </c>
      <c r="E55" s="7" t="s">
        <v>207</v>
      </c>
      <c r="F55" s="88">
        <v>9165213208</v>
      </c>
      <c r="G55" s="97" t="s">
        <v>364</v>
      </c>
      <c r="H55" s="8"/>
      <c r="I55" s="9"/>
      <c r="J55" s="9"/>
      <c r="K55" s="9"/>
      <c r="L55" s="9"/>
      <c r="M55" s="9"/>
      <c r="N55" s="9"/>
      <c r="O55" s="90">
        <f t="shared" si="8"/>
        <v>0</v>
      </c>
      <c r="P55" s="9"/>
      <c r="Q55" s="9"/>
      <c r="R55" s="91" t="str">
        <f t="shared" si="7"/>
        <v/>
      </c>
      <c r="S55" s="91" t="str">
        <f t="shared" si="6"/>
        <v/>
      </c>
      <c r="T55" s="92">
        <f>H55*[0]!FMainPool1Fee+I55*[0]!FMainPool2Fee+J55*[0]!FMainPool3Fee+K55*[0]!FMainPool4Fee+B55*[0]!FMainEntryFee</f>
        <v>0</v>
      </c>
      <c r="U55" s="93"/>
      <c r="V55" s="94"/>
      <c r="X55" s="99"/>
      <c r="Y55" s="99"/>
    </row>
    <row r="56" spans="1:25">
      <c r="A56" s="87">
        <f t="shared" si="1"/>
        <v>45</v>
      </c>
      <c r="B56" s="9"/>
      <c r="C56" s="6" t="s">
        <v>160</v>
      </c>
      <c r="D56" s="6" t="s">
        <v>162</v>
      </c>
      <c r="E56" s="7" t="s">
        <v>161</v>
      </c>
      <c r="F56" s="88"/>
      <c r="G56" s="97" t="s">
        <v>163</v>
      </c>
      <c r="H56" s="8"/>
      <c r="I56" s="9"/>
      <c r="J56" s="9"/>
      <c r="K56" s="9"/>
      <c r="L56" s="9"/>
      <c r="M56" s="9"/>
      <c r="N56" s="9"/>
      <c r="O56" s="90">
        <f t="shared" si="8"/>
        <v>0</v>
      </c>
      <c r="P56" s="9"/>
      <c r="Q56" s="9"/>
      <c r="R56" s="91" t="str">
        <f t="shared" si="7"/>
        <v/>
      </c>
      <c r="S56" s="91" t="str">
        <f t="shared" si="6"/>
        <v/>
      </c>
      <c r="T56" s="92">
        <f>H56*[0]!FMainPool1Fee+I56*[0]!FMainPool2Fee+J56*[0]!FMainPool3Fee+K56*[0]!FMainPool4Fee+B56*[0]!FMainEntryFee</f>
        <v>0</v>
      </c>
      <c r="U56" s="93"/>
      <c r="V56" s="94"/>
      <c r="X56" s="99"/>
      <c r="Y56" s="99"/>
    </row>
    <row r="57" spans="1:25">
      <c r="A57" s="87">
        <f t="shared" si="1"/>
        <v>46</v>
      </c>
      <c r="B57" s="9">
        <v>1</v>
      </c>
      <c r="C57" s="1" t="s">
        <v>60</v>
      </c>
      <c r="D57" s="1" t="s">
        <v>15</v>
      </c>
      <c r="E57" s="2" t="s">
        <v>208</v>
      </c>
      <c r="F57" s="109" t="s">
        <v>552</v>
      </c>
      <c r="G57" s="97" t="s">
        <v>317</v>
      </c>
      <c r="H57" s="8">
        <v>1</v>
      </c>
      <c r="I57" s="9">
        <v>1</v>
      </c>
      <c r="J57" s="9">
        <v>1</v>
      </c>
      <c r="K57" s="9"/>
      <c r="L57" s="9"/>
      <c r="M57" s="9"/>
      <c r="N57" s="9"/>
      <c r="O57" s="90">
        <f t="shared" si="8"/>
        <v>0</v>
      </c>
      <c r="P57" s="9" t="s">
        <v>666</v>
      </c>
      <c r="Q57" s="9">
        <v>1974</v>
      </c>
      <c r="R57" s="91">
        <f t="shared" si="7"/>
        <v>110</v>
      </c>
      <c r="S57" s="91" t="str">
        <f t="shared" si="6"/>
        <v/>
      </c>
      <c r="T57" s="92">
        <f>H57*[0]!FMainPool1Fee+I57*[0]!FMainPool2Fee+J57*[0]!FMainPool3Fee+K57*[0]!FMainPool4Fee+B57*[0]!FMainEntryFee</f>
        <v>110</v>
      </c>
      <c r="U57" s="93"/>
      <c r="V57" s="94"/>
      <c r="W57" s="101"/>
      <c r="X57" s="99"/>
      <c r="Y57" s="99"/>
    </row>
    <row r="58" spans="1:25">
      <c r="A58" s="87">
        <f t="shared" si="1"/>
        <v>47</v>
      </c>
      <c r="B58" s="9"/>
      <c r="C58" s="1" t="s">
        <v>59</v>
      </c>
      <c r="D58" s="1" t="s">
        <v>14</v>
      </c>
      <c r="E58" s="2" t="s">
        <v>170</v>
      </c>
      <c r="F58" s="96" t="s">
        <v>553</v>
      </c>
      <c r="G58" s="97" t="s">
        <v>129</v>
      </c>
      <c r="H58" s="8"/>
      <c r="I58" s="9"/>
      <c r="J58" s="9"/>
      <c r="K58" s="9"/>
      <c r="L58" s="9"/>
      <c r="M58" s="9"/>
      <c r="N58" s="9"/>
      <c r="O58" s="90">
        <f t="shared" si="8"/>
        <v>0</v>
      </c>
      <c r="P58" s="9"/>
      <c r="Q58" s="9"/>
      <c r="R58" s="91" t="str">
        <f t="shared" si="7"/>
        <v/>
      </c>
      <c r="S58" s="91" t="str">
        <f t="shared" si="6"/>
        <v/>
      </c>
      <c r="T58" s="92">
        <f>H58*[0]!FMainPool1Fee+I58*[0]!FMainPool2Fee+J58*[0]!FMainPool3Fee+K58*[0]!FMainPool4Fee+B58*[0]!FMainEntryFee</f>
        <v>0</v>
      </c>
      <c r="U58" s="93"/>
      <c r="V58" s="98"/>
      <c r="X58" s="99"/>
      <c r="Y58" s="99"/>
    </row>
    <row r="59" spans="1:25">
      <c r="A59" s="87">
        <f t="shared" si="1"/>
        <v>48</v>
      </c>
      <c r="B59" s="9"/>
      <c r="C59" s="6" t="s">
        <v>417</v>
      </c>
      <c r="D59" s="6" t="s">
        <v>281</v>
      </c>
      <c r="E59" s="7" t="s">
        <v>282</v>
      </c>
      <c r="F59" s="88"/>
      <c r="G59" s="97" t="s">
        <v>392</v>
      </c>
      <c r="H59" s="8"/>
      <c r="I59" s="9"/>
      <c r="J59" s="9"/>
      <c r="K59" s="9"/>
      <c r="L59" s="9"/>
      <c r="M59" s="9"/>
      <c r="N59" s="9"/>
      <c r="O59" s="90">
        <f t="shared" si="8"/>
        <v>0</v>
      </c>
      <c r="P59" s="9"/>
      <c r="Q59" s="9"/>
      <c r="R59" s="91" t="str">
        <f t="shared" si="7"/>
        <v/>
      </c>
      <c r="S59" s="91" t="str">
        <f t="shared" si="6"/>
        <v/>
      </c>
      <c r="T59" s="92">
        <f>H59*[0]!FMainPool1Fee+I59*[0]!FMainPool2Fee+J59*[0]!FMainPool3Fee+K59*[0]!FMainPool4Fee+B59*[0]!FMainEntryFee</f>
        <v>0</v>
      </c>
      <c r="U59" s="93"/>
      <c r="V59" s="94"/>
      <c r="X59" s="99"/>
      <c r="Y59" s="99"/>
    </row>
    <row r="60" spans="1:25">
      <c r="A60" s="87">
        <f t="shared" si="1"/>
        <v>49</v>
      </c>
      <c r="B60" s="9">
        <v>1</v>
      </c>
      <c r="C60" s="1" t="s">
        <v>491</v>
      </c>
      <c r="D60" s="1" t="s">
        <v>15</v>
      </c>
      <c r="E60" s="2" t="s">
        <v>192</v>
      </c>
      <c r="F60" s="116" t="s">
        <v>499</v>
      </c>
      <c r="G60" s="97" t="s">
        <v>500</v>
      </c>
      <c r="H60" s="8">
        <v>1</v>
      </c>
      <c r="I60" s="9">
        <v>1</v>
      </c>
      <c r="J60" s="9">
        <v>1</v>
      </c>
      <c r="K60" s="9">
        <v>1</v>
      </c>
      <c r="L60" s="9"/>
      <c r="M60" s="9"/>
      <c r="N60" s="9"/>
      <c r="O60" s="90">
        <f t="shared" si="8"/>
        <v>0</v>
      </c>
      <c r="P60" s="9" t="s">
        <v>666</v>
      </c>
      <c r="Q60" s="9">
        <v>2213</v>
      </c>
      <c r="R60" s="91">
        <f t="shared" si="7"/>
        <v>160</v>
      </c>
      <c r="S60" s="91" t="str">
        <f t="shared" si="6"/>
        <v/>
      </c>
      <c r="T60" s="92">
        <f>H60*[0]!FMainPool1Fee+I60*[0]!FMainPool2Fee+J60*[0]!FMainPool3Fee+K60*[0]!FMainPool4Fee+B60*[0]!FMainEntryFee</f>
        <v>160</v>
      </c>
      <c r="U60" s="93"/>
      <c r="V60" s="94"/>
      <c r="X60" s="99"/>
      <c r="Y60" s="99"/>
    </row>
    <row r="61" spans="1:25">
      <c r="A61" s="87">
        <f t="shared" si="1"/>
        <v>50</v>
      </c>
      <c r="B61" s="9"/>
      <c r="C61" s="6" t="s">
        <v>244</v>
      </c>
      <c r="D61" s="6" t="s">
        <v>245</v>
      </c>
      <c r="E61" s="7" t="s">
        <v>246</v>
      </c>
      <c r="F61" s="111"/>
      <c r="G61" s="97"/>
      <c r="H61" s="8"/>
      <c r="I61" s="9"/>
      <c r="J61" s="9"/>
      <c r="K61" s="9"/>
      <c r="L61" s="9"/>
      <c r="M61" s="9"/>
      <c r="N61" s="9"/>
      <c r="O61" s="90">
        <f t="shared" si="8"/>
        <v>0</v>
      </c>
      <c r="P61" s="9"/>
      <c r="Q61" s="9"/>
      <c r="R61" s="91" t="str">
        <f t="shared" si="7"/>
        <v/>
      </c>
      <c r="S61" s="91" t="str">
        <f t="shared" si="6"/>
        <v/>
      </c>
      <c r="T61" s="92">
        <f>H61*[0]!FMainPool1Fee+I61*[0]!FMainPool2Fee+J61*[0]!FMainPool3Fee+K61*[0]!FMainPool4Fee+B61*[0]!FMainEntryFee</f>
        <v>0</v>
      </c>
      <c r="U61" s="93"/>
      <c r="V61" s="94"/>
      <c r="W61" s="101"/>
      <c r="X61" s="99"/>
      <c r="Y61" s="99"/>
    </row>
    <row r="62" spans="1:25">
      <c r="A62" s="87">
        <f t="shared" si="1"/>
        <v>51</v>
      </c>
      <c r="B62" s="9">
        <v>1</v>
      </c>
      <c r="C62" s="6" t="s">
        <v>143</v>
      </c>
      <c r="D62" s="6" t="s">
        <v>15</v>
      </c>
      <c r="E62" s="7" t="s">
        <v>165</v>
      </c>
      <c r="F62" s="111">
        <v>7078499317</v>
      </c>
      <c r="G62" s="97" t="s">
        <v>150</v>
      </c>
      <c r="H62" s="8">
        <v>1</v>
      </c>
      <c r="I62" s="9">
        <v>1</v>
      </c>
      <c r="J62" s="9">
        <v>1</v>
      </c>
      <c r="K62" s="9">
        <v>1</v>
      </c>
      <c r="L62" s="9"/>
      <c r="M62" s="9"/>
      <c r="N62" s="9"/>
      <c r="O62" s="90">
        <f t="shared" si="8"/>
        <v>0</v>
      </c>
      <c r="P62" s="9" t="s">
        <v>666</v>
      </c>
      <c r="Q62" s="9">
        <v>4008</v>
      </c>
      <c r="R62" s="91">
        <f t="shared" si="7"/>
        <v>160</v>
      </c>
      <c r="S62" s="91" t="str">
        <f t="shared" si="6"/>
        <v/>
      </c>
      <c r="T62" s="92">
        <f>H62*[0]!FMainPool1Fee+I62*[0]!FMainPool2Fee+J62*[0]!FMainPool3Fee+K62*[0]!FMainPool4Fee+B62*[0]!FMainEntryFee</f>
        <v>160</v>
      </c>
      <c r="U62" s="93"/>
      <c r="V62" s="94"/>
      <c r="W62" s="101"/>
      <c r="X62" s="99"/>
      <c r="Y62" s="99"/>
    </row>
    <row r="63" spans="1:25">
      <c r="A63" s="87">
        <f t="shared" si="1"/>
        <v>52</v>
      </c>
      <c r="B63" s="9"/>
      <c r="C63" s="6" t="s">
        <v>234</v>
      </c>
      <c r="D63" s="6" t="s">
        <v>235</v>
      </c>
      <c r="E63" s="7" t="s">
        <v>236</v>
      </c>
      <c r="F63" s="88"/>
      <c r="G63" s="97" t="s">
        <v>237</v>
      </c>
      <c r="H63" s="8"/>
      <c r="I63" s="9"/>
      <c r="J63" s="9"/>
      <c r="K63" s="9"/>
      <c r="L63" s="9"/>
      <c r="M63" s="9"/>
      <c r="N63" s="9"/>
      <c r="O63" s="90">
        <f t="shared" si="8"/>
        <v>0</v>
      </c>
      <c r="P63" s="9"/>
      <c r="Q63" s="9"/>
      <c r="R63" s="91" t="str">
        <f t="shared" si="7"/>
        <v/>
      </c>
      <c r="S63" s="91" t="str">
        <f t="shared" si="6"/>
        <v/>
      </c>
      <c r="T63" s="92">
        <f>H63*[0]!FMainPool1Fee+I63*[0]!FMainPool2Fee+J63*[0]!FMainPool3Fee+K63*[0]!FMainPool4Fee+B63*[0]!FMainEntryFee</f>
        <v>0</v>
      </c>
      <c r="U63" s="93"/>
      <c r="V63" s="94"/>
      <c r="X63" s="99"/>
      <c r="Y63" s="99"/>
    </row>
    <row r="64" spans="1:25">
      <c r="A64" s="87">
        <f t="shared" si="1"/>
        <v>53</v>
      </c>
      <c r="B64" s="9">
        <v>1</v>
      </c>
      <c r="C64" s="6" t="s">
        <v>437</v>
      </c>
      <c r="D64" s="6" t="s">
        <v>15</v>
      </c>
      <c r="E64" s="7" t="s">
        <v>465</v>
      </c>
      <c r="F64" s="88">
        <v>7073225806</v>
      </c>
      <c r="G64" s="89" t="s">
        <v>501</v>
      </c>
      <c r="H64" s="8"/>
      <c r="I64" s="9"/>
      <c r="J64" s="9"/>
      <c r="K64" s="9"/>
      <c r="L64" s="9"/>
      <c r="M64" s="9"/>
      <c r="N64" s="9"/>
      <c r="O64" s="90">
        <f t="shared" si="8"/>
        <v>0</v>
      </c>
      <c r="P64" s="9" t="s">
        <v>666</v>
      </c>
      <c r="Q64" s="9">
        <v>1795</v>
      </c>
      <c r="R64" s="91">
        <f t="shared" si="7"/>
        <v>70</v>
      </c>
      <c r="S64" s="91" t="str">
        <f t="shared" si="6"/>
        <v/>
      </c>
      <c r="T64" s="92">
        <f>H64*[0]!FMainPool1Fee+I64*[0]!FMainPool2Fee+J64*[0]!FMainPool3Fee+K64*[0]!FMainPool4Fee+B64*[0]!FMainEntryFee</f>
        <v>70</v>
      </c>
      <c r="U64" s="93"/>
      <c r="V64" s="94"/>
      <c r="X64" s="99"/>
      <c r="Y64" s="99"/>
    </row>
    <row r="65" spans="1:25">
      <c r="A65" s="87">
        <f t="shared" si="1"/>
        <v>54</v>
      </c>
      <c r="B65" s="9">
        <v>1</v>
      </c>
      <c r="C65" s="6" t="s">
        <v>721</v>
      </c>
      <c r="D65" s="6" t="s">
        <v>19</v>
      </c>
      <c r="E65" s="7" t="s">
        <v>722</v>
      </c>
      <c r="F65" s="88">
        <v>9258406622</v>
      </c>
      <c r="G65" s="89" t="s">
        <v>723</v>
      </c>
      <c r="H65" s="8">
        <v>1</v>
      </c>
      <c r="I65" s="9"/>
      <c r="J65" s="9"/>
      <c r="K65" s="9"/>
      <c r="L65" s="9"/>
      <c r="M65" s="9"/>
      <c r="N65" s="9"/>
      <c r="O65" s="90">
        <f t="shared" si="8"/>
        <v>0</v>
      </c>
      <c r="P65" s="9" t="s">
        <v>666</v>
      </c>
      <c r="Q65" s="9">
        <v>1208</v>
      </c>
      <c r="R65" s="91">
        <f t="shared" si="7"/>
        <v>80</v>
      </c>
      <c r="S65" s="91" t="str">
        <f t="shared" si="6"/>
        <v/>
      </c>
      <c r="T65" s="92">
        <f>H65*[0]!FMainPool1Fee+I65*[0]!FMainPool2Fee+J65*[0]!FMainPool3Fee+K65*[0]!FMainPool4Fee+B65*[0]!FMainEntryFee</f>
        <v>80</v>
      </c>
      <c r="U65" s="93"/>
      <c r="V65" s="94"/>
      <c r="X65" s="99"/>
      <c r="Y65" s="99"/>
    </row>
    <row r="66" spans="1:25">
      <c r="A66" s="87">
        <f t="shared" si="1"/>
        <v>55</v>
      </c>
      <c r="B66" s="9">
        <v>1</v>
      </c>
      <c r="C66" s="1" t="s">
        <v>49</v>
      </c>
      <c r="D66" s="1" t="s">
        <v>50</v>
      </c>
      <c r="E66" s="73" t="s">
        <v>193</v>
      </c>
      <c r="F66" s="109" t="s">
        <v>502</v>
      </c>
      <c r="G66" s="97" t="s">
        <v>390</v>
      </c>
      <c r="H66" s="8">
        <v>1</v>
      </c>
      <c r="I66" s="9">
        <v>1</v>
      </c>
      <c r="J66" s="9">
        <v>1</v>
      </c>
      <c r="K66" s="9">
        <v>1</v>
      </c>
      <c r="L66" s="9">
        <v>1</v>
      </c>
      <c r="M66" s="9"/>
      <c r="N66" s="9">
        <v>1</v>
      </c>
      <c r="O66" s="90">
        <f t="shared" si="8"/>
        <v>160</v>
      </c>
      <c r="P66" s="9" t="s">
        <v>671</v>
      </c>
      <c r="Q66" s="9"/>
      <c r="R66" s="91" t="str">
        <f t="shared" si="7"/>
        <v/>
      </c>
      <c r="S66" s="91">
        <f t="shared" si="6"/>
        <v>160</v>
      </c>
      <c r="T66" s="92">
        <f>H66*[0]!FMainPool1Fee+I66*[0]!FMainPool2Fee+J66*[0]!FMainPool3Fee+K66*[0]!FMainPool4Fee+B66*[0]!FMainEntryFee</f>
        <v>160</v>
      </c>
      <c r="U66" s="93"/>
      <c r="V66" s="94"/>
      <c r="X66" s="99"/>
      <c r="Y66" s="99"/>
    </row>
    <row r="67" spans="1:25">
      <c r="A67" s="87">
        <f t="shared" si="1"/>
        <v>56</v>
      </c>
      <c r="B67" s="9"/>
      <c r="C67" s="6" t="s">
        <v>422</v>
      </c>
      <c r="D67" s="6" t="s">
        <v>140</v>
      </c>
      <c r="E67" s="7" t="s">
        <v>423</v>
      </c>
      <c r="F67" s="88"/>
      <c r="G67" s="97" t="s">
        <v>424</v>
      </c>
      <c r="H67" s="8"/>
      <c r="I67" s="9"/>
      <c r="J67" s="9"/>
      <c r="K67" s="9"/>
      <c r="L67" s="9"/>
      <c r="M67" s="9"/>
      <c r="N67" s="9"/>
      <c r="O67" s="90">
        <f t="shared" si="8"/>
        <v>0</v>
      </c>
      <c r="P67" s="9"/>
      <c r="Q67" s="9"/>
      <c r="R67" s="91" t="str">
        <f t="shared" si="7"/>
        <v/>
      </c>
      <c r="S67" s="91" t="str">
        <f t="shared" si="6"/>
        <v/>
      </c>
      <c r="T67" s="92">
        <f>H67*[0]!FMainPool1Fee+I67*[0]!FMainPool2Fee+J67*[0]!FMainPool3Fee+K67*[0]!FMainPool4Fee+B67*[0]!FMainEntryFee</f>
        <v>0</v>
      </c>
      <c r="U67" s="93"/>
      <c r="V67" s="109"/>
      <c r="W67" s="101"/>
      <c r="X67" s="99"/>
      <c r="Y67" s="99"/>
    </row>
    <row r="68" spans="1:25">
      <c r="A68" s="87">
        <f t="shared" si="1"/>
        <v>57</v>
      </c>
      <c r="B68" s="9"/>
      <c r="C68" s="104" t="s">
        <v>664</v>
      </c>
      <c r="D68" s="104" t="s">
        <v>5</v>
      </c>
      <c r="E68" s="98" t="s">
        <v>665</v>
      </c>
      <c r="F68" s="109"/>
      <c r="G68" s="104"/>
      <c r="H68" s="8"/>
      <c r="I68" s="9"/>
      <c r="J68" s="9"/>
      <c r="K68" s="9"/>
      <c r="L68" s="9"/>
      <c r="M68" s="9"/>
      <c r="N68" s="9"/>
      <c r="O68" s="90">
        <f t="shared" si="8"/>
        <v>0</v>
      </c>
      <c r="P68" s="9"/>
      <c r="Q68" s="9"/>
      <c r="R68" s="91" t="str">
        <f t="shared" si="7"/>
        <v/>
      </c>
      <c r="S68" s="91" t="str">
        <f t="shared" si="6"/>
        <v/>
      </c>
      <c r="T68" s="92">
        <f>H68*[0]!FMainPool1Fee+I68*[0]!FMainPool2Fee+J68*[0]!FMainPool3Fee+K68*[0]!FMainPool4Fee+B68*[0]!FMainEntryFee</f>
        <v>0</v>
      </c>
      <c r="U68" s="93"/>
      <c r="V68" s="109"/>
      <c r="W68" s="101"/>
      <c r="X68" s="99"/>
      <c r="Y68" s="99"/>
    </row>
    <row r="69" spans="1:25">
      <c r="A69" s="87">
        <f t="shared" si="1"/>
        <v>58</v>
      </c>
      <c r="B69" s="9"/>
      <c r="C69" s="6" t="s">
        <v>432</v>
      </c>
      <c r="D69" s="6" t="s">
        <v>58</v>
      </c>
      <c r="E69" s="7" t="s">
        <v>433</v>
      </c>
      <c r="F69" s="88"/>
      <c r="G69" s="97"/>
      <c r="H69" s="8"/>
      <c r="I69" s="9"/>
      <c r="J69" s="9"/>
      <c r="K69" s="9"/>
      <c r="L69" s="9"/>
      <c r="M69" s="9"/>
      <c r="N69" s="9"/>
      <c r="O69" s="90">
        <f t="shared" si="8"/>
        <v>0</v>
      </c>
      <c r="P69" s="9"/>
      <c r="Q69" s="9"/>
      <c r="R69" s="91" t="str">
        <f t="shared" si="7"/>
        <v/>
      </c>
      <c r="S69" s="91" t="str">
        <f t="shared" si="6"/>
        <v/>
      </c>
      <c r="T69" s="92">
        <f>H69*[0]!FMainPool1Fee+I69*[0]!FMainPool2Fee+J69*[0]!FMainPool3Fee+K69*[0]!FMainPool4Fee+B69*[0]!FMainEntryFee</f>
        <v>0</v>
      </c>
      <c r="U69" s="93"/>
      <c r="V69" s="109"/>
      <c r="X69" s="99"/>
      <c r="Y69" s="99"/>
    </row>
    <row r="70" spans="1:25">
      <c r="A70" s="87">
        <f t="shared" si="1"/>
        <v>59</v>
      </c>
      <c r="B70" s="9"/>
      <c r="C70" s="6" t="s">
        <v>438</v>
      </c>
      <c r="D70" s="6" t="s">
        <v>492</v>
      </c>
      <c r="E70" s="7" t="s">
        <v>493</v>
      </c>
      <c r="F70" s="88">
        <v>4152058885</v>
      </c>
      <c r="G70" s="89" t="s">
        <v>503</v>
      </c>
      <c r="H70" s="8"/>
      <c r="I70" s="9"/>
      <c r="J70" s="9"/>
      <c r="K70" s="9"/>
      <c r="L70" s="9"/>
      <c r="M70" s="9"/>
      <c r="N70" s="9"/>
      <c r="O70" s="90">
        <f t="shared" si="8"/>
        <v>0</v>
      </c>
      <c r="P70" s="9"/>
      <c r="Q70" s="9"/>
      <c r="R70" s="91" t="str">
        <f t="shared" si="7"/>
        <v/>
      </c>
      <c r="S70" s="91" t="str">
        <f t="shared" si="6"/>
        <v/>
      </c>
      <c r="T70" s="92">
        <f>H70*[0]!FMainPool1Fee+I70*[0]!FMainPool2Fee+J70*[0]!FMainPool3Fee+K70*[0]!FMainPool4Fee+B70*[0]!FMainEntryFee</f>
        <v>0</v>
      </c>
      <c r="U70" s="93"/>
      <c r="V70" s="94"/>
      <c r="X70" s="99"/>
      <c r="Y70" s="99"/>
    </row>
    <row r="71" spans="1:25">
      <c r="A71" s="87">
        <f t="shared" si="1"/>
        <v>60</v>
      </c>
      <c r="B71" s="9"/>
      <c r="C71" s="6" t="s">
        <v>439</v>
      </c>
      <c r="D71" s="6" t="s">
        <v>482</v>
      </c>
      <c r="E71" s="7" t="s">
        <v>466</v>
      </c>
      <c r="F71" s="88">
        <v>4152052574</v>
      </c>
      <c r="G71" s="89" t="s">
        <v>504</v>
      </c>
      <c r="H71" s="8"/>
      <c r="I71" s="9"/>
      <c r="J71" s="9"/>
      <c r="K71" s="9"/>
      <c r="L71" s="9"/>
      <c r="M71" s="9"/>
      <c r="N71" s="9"/>
      <c r="O71" s="90">
        <f t="shared" si="8"/>
        <v>0</v>
      </c>
      <c r="P71" s="9"/>
      <c r="Q71" s="9"/>
      <c r="R71" s="91" t="str">
        <f t="shared" si="7"/>
        <v/>
      </c>
      <c r="S71" s="91" t="str">
        <f t="shared" si="6"/>
        <v/>
      </c>
      <c r="T71" s="92">
        <f>H71*[0]!FMainPool1Fee+I71*[0]!FMainPool2Fee+J71*[0]!FMainPool3Fee+K71*[0]!FMainPool4Fee+B71*[0]!FMainEntryFee</f>
        <v>0</v>
      </c>
      <c r="U71" s="93"/>
      <c r="V71" s="98"/>
      <c r="X71" s="99"/>
      <c r="Y71" s="99"/>
    </row>
    <row r="72" spans="1:25">
      <c r="A72" s="87">
        <f t="shared" si="1"/>
        <v>61</v>
      </c>
      <c r="B72" s="9"/>
      <c r="C72" s="104" t="s">
        <v>605</v>
      </c>
      <c r="D72" s="104" t="s">
        <v>5</v>
      </c>
      <c r="E72" s="98" t="s">
        <v>606</v>
      </c>
      <c r="F72" s="109"/>
      <c r="G72" s="104"/>
      <c r="H72" s="8"/>
      <c r="I72" s="9"/>
      <c r="J72" s="9"/>
      <c r="K72" s="9"/>
      <c r="L72" s="9"/>
      <c r="M72" s="9"/>
      <c r="N72" s="9"/>
      <c r="O72" s="90">
        <f t="shared" si="8"/>
        <v>0</v>
      </c>
      <c r="P72" s="9"/>
      <c r="Q72" s="9"/>
      <c r="R72" s="91" t="str">
        <f t="shared" si="7"/>
        <v/>
      </c>
      <c r="S72" s="91" t="str">
        <f t="shared" si="6"/>
        <v/>
      </c>
      <c r="T72" s="92">
        <f>H72*[0]!FMainPool1Fee+I72*[0]!FMainPool2Fee+J72*[0]!FMainPool3Fee+K72*[0]!FMainPool4Fee+B72*[0]!FMainEntryFee</f>
        <v>0</v>
      </c>
      <c r="U72" s="93"/>
      <c r="V72" s="94"/>
      <c r="X72" s="99"/>
      <c r="Y72" s="99"/>
    </row>
    <row r="73" spans="1:25">
      <c r="A73" s="87">
        <f t="shared" si="1"/>
        <v>62</v>
      </c>
      <c r="B73" s="9"/>
      <c r="C73" s="6" t="s">
        <v>440</v>
      </c>
      <c r="D73" s="6" t="s">
        <v>482</v>
      </c>
      <c r="E73" s="98" t="s">
        <v>494</v>
      </c>
      <c r="F73" s="111"/>
      <c r="G73" s="97"/>
      <c r="H73" s="8"/>
      <c r="I73" s="9"/>
      <c r="J73" s="9"/>
      <c r="K73" s="9"/>
      <c r="L73" s="9"/>
      <c r="M73" s="9"/>
      <c r="N73" s="9"/>
      <c r="O73" s="90">
        <f t="shared" si="8"/>
        <v>0</v>
      </c>
      <c r="P73" s="9"/>
      <c r="Q73" s="9"/>
      <c r="R73" s="91" t="str">
        <f t="shared" si="7"/>
        <v/>
      </c>
      <c r="S73" s="91" t="str">
        <f t="shared" si="6"/>
        <v/>
      </c>
      <c r="T73" s="92">
        <f>H73*[0]!FMainPool1Fee+I73*[0]!FMainPool2Fee+J73*[0]!FMainPool3Fee+K73*[0]!FMainPool4Fee+B73*[0]!FMainEntryFee</f>
        <v>0</v>
      </c>
      <c r="U73" s="93"/>
      <c r="V73" s="94"/>
      <c r="X73" s="99"/>
      <c r="Y73" s="99"/>
    </row>
    <row r="74" spans="1:25">
      <c r="A74" s="87">
        <f t="shared" si="1"/>
        <v>63</v>
      </c>
      <c r="B74" s="9">
        <v>1</v>
      </c>
      <c r="C74" s="6" t="s">
        <v>104</v>
      </c>
      <c r="D74" s="1" t="s">
        <v>5</v>
      </c>
      <c r="E74" s="7" t="s">
        <v>209</v>
      </c>
      <c r="F74" s="88" t="s">
        <v>505</v>
      </c>
      <c r="G74" s="97" t="s">
        <v>365</v>
      </c>
      <c r="H74" s="8">
        <v>1</v>
      </c>
      <c r="I74" s="9">
        <v>1</v>
      </c>
      <c r="J74" s="9">
        <v>1</v>
      </c>
      <c r="K74" s="9">
        <v>1</v>
      </c>
      <c r="L74" s="9">
        <v>1</v>
      </c>
      <c r="M74" s="9"/>
      <c r="N74" s="9"/>
      <c r="O74" s="90">
        <f t="shared" si="8"/>
        <v>0</v>
      </c>
      <c r="P74" s="9" t="s">
        <v>671</v>
      </c>
      <c r="Q74" s="9"/>
      <c r="R74" s="91" t="str">
        <f t="shared" si="7"/>
        <v/>
      </c>
      <c r="S74" s="91">
        <f t="shared" si="6"/>
        <v>160</v>
      </c>
      <c r="T74" s="92">
        <f>H74*[0]!FMainPool1Fee+I74*[0]!FMainPool2Fee+J74*[0]!FMainPool3Fee+K74*[0]!FMainPool4Fee+B74*[0]!FMainEntryFee</f>
        <v>160</v>
      </c>
      <c r="U74" s="93"/>
      <c r="V74" s="94"/>
      <c r="X74" s="99"/>
      <c r="Y74" s="99"/>
    </row>
    <row r="75" spans="1:25">
      <c r="A75" s="87">
        <f t="shared" si="1"/>
        <v>64</v>
      </c>
      <c r="B75" s="9">
        <v>1</v>
      </c>
      <c r="C75" s="104" t="s">
        <v>607</v>
      </c>
      <c r="D75" s="104" t="s">
        <v>472</v>
      </c>
      <c r="E75" s="98" t="s">
        <v>608</v>
      </c>
      <c r="F75" s="109">
        <v>5103043540</v>
      </c>
      <c r="G75" s="113" t="s">
        <v>718</v>
      </c>
      <c r="H75" s="8">
        <v>1</v>
      </c>
      <c r="I75" s="9"/>
      <c r="J75" s="9"/>
      <c r="K75" s="9"/>
      <c r="L75" s="9"/>
      <c r="M75" s="9"/>
      <c r="N75" s="9">
        <v>1</v>
      </c>
      <c r="O75" s="90">
        <f t="shared" si="8"/>
        <v>80</v>
      </c>
      <c r="P75" s="9" t="s">
        <v>671</v>
      </c>
      <c r="Q75" s="9"/>
      <c r="R75" s="91" t="str">
        <f t="shared" si="7"/>
        <v/>
      </c>
      <c r="S75" s="91">
        <f t="shared" si="6"/>
        <v>80</v>
      </c>
      <c r="T75" s="92">
        <f>H75*[0]!FMainPool1Fee+I75*[0]!FMainPool2Fee+J75*[0]!FMainPool3Fee+K75*[0]!FMainPool4Fee+B75*[0]!FMainEntryFee</f>
        <v>80</v>
      </c>
      <c r="U75" s="93"/>
      <c r="V75" s="94"/>
      <c r="X75" s="99"/>
      <c r="Y75" s="99"/>
    </row>
    <row r="76" spans="1:25">
      <c r="A76" s="87">
        <v>63</v>
      </c>
      <c r="B76" s="9">
        <v>1</v>
      </c>
      <c r="C76" s="104" t="s">
        <v>693</v>
      </c>
      <c r="D76" s="104" t="s">
        <v>694</v>
      </c>
      <c r="E76" s="98" t="s">
        <v>695</v>
      </c>
      <c r="F76" s="109">
        <v>5309277047</v>
      </c>
      <c r="G76" s="113" t="s">
        <v>699</v>
      </c>
      <c r="H76" s="8">
        <v>1</v>
      </c>
      <c r="I76" s="9">
        <v>1</v>
      </c>
      <c r="J76" s="9">
        <v>1</v>
      </c>
      <c r="K76" s="9">
        <v>1</v>
      </c>
      <c r="L76" s="9"/>
      <c r="M76" s="9"/>
      <c r="N76" s="9"/>
      <c r="O76" s="90"/>
      <c r="P76" s="9" t="s">
        <v>666</v>
      </c>
      <c r="Q76" s="9">
        <v>6681</v>
      </c>
      <c r="R76" s="91">
        <v>160</v>
      </c>
      <c r="S76" s="91"/>
      <c r="T76" s="92">
        <f>H76*[0]!FMainPool1Fee+I76*[0]!FMainPool2Fee+J76*[0]!FMainPool3Fee+K76*[0]!FMainPool4Fee+B76*[0]!FMainEntryFee</f>
        <v>160</v>
      </c>
      <c r="U76" s="93"/>
      <c r="V76" s="94"/>
      <c r="X76" s="99"/>
      <c r="Y76" s="99"/>
    </row>
    <row r="77" spans="1:25">
      <c r="A77" s="87">
        <v>64</v>
      </c>
      <c r="B77" s="9">
        <v>1</v>
      </c>
      <c r="C77" s="104" t="s">
        <v>696</v>
      </c>
      <c r="D77" s="104" t="s">
        <v>694</v>
      </c>
      <c r="E77" s="98" t="s">
        <v>697</v>
      </c>
      <c r="F77" s="109">
        <v>5309277048</v>
      </c>
      <c r="G77" s="113" t="s">
        <v>698</v>
      </c>
      <c r="H77" s="8">
        <v>1</v>
      </c>
      <c r="I77" s="9">
        <v>1</v>
      </c>
      <c r="J77" s="9">
        <v>1</v>
      </c>
      <c r="K77" s="9">
        <v>1</v>
      </c>
      <c r="L77" s="9"/>
      <c r="M77" s="9"/>
      <c r="N77" s="9"/>
      <c r="O77" s="90"/>
      <c r="P77" s="9" t="s">
        <v>666</v>
      </c>
      <c r="Q77" s="9">
        <v>6681</v>
      </c>
      <c r="R77" s="91">
        <v>160</v>
      </c>
      <c r="S77" s="91"/>
      <c r="T77" s="92">
        <f>H77*[0]!FMainPool1Fee+I77*[0]!FMainPool2Fee+J77*[0]!FMainPool3Fee+K77*[0]!FMainPool4Fee+B77*[0]!FMainEntryFee</f>
        <v>160</v>
      </c>
      <c r="U77" s="93"/>
      <c r="V77" s="94"/>
      <c r="X77" s="99"/>
      <c r="Y77" s="99"/>
    </row>
    <row r="78" spans="1:25">
      <c r="A78" s="87">
        <f t="shared" si="1"/>
        <v>67</v>
      </c>
      <c r="B78" s="9"/>
      <c r="C78" s="6" t="s">
        <v>137</v>
      </c>
      <c r="D78" s="6" t="s">
        <v>138</v>
      </c>
      <c r="E78" s="7" t="s">
        <v>231</v>
      </c>
      <c r="F78" s="88"/>
      <c r="G78" s="97" t="s">
        <v>366</v>
      </c>
      <c r="H78" s="8"/>
      <c r="I78" s="9"/>
      <c r="J78" s="9"/>
      <c r="K78" s="9"/>
      <c r="L78" s="9"/>
      <c r="M78" s="9"/>
      <c r="N78" s="9"/>
      <c r="O78" s="90">
        <f t="shared" ref="O78:O93" si="9">T78*N78</f>
        <v>0</v>
      </c>
      <c r="P78" s="9"/>
      <c r="Q78" s="9"/>
      <c r="R78" s="91" t="str">
        <f t="shared" ref="R78:R109" si="10">IF(OR(P78="c",P78="C"),+T78,"")</f>
        <v/>
      </c>
      <c r="S78" s="91" t="str">
        <f t="shared" ref="S78:S109" si="11">IF(OR(P78="$",N78=1),+T78,"")</f>
        <v/>
      </c>
      <c r="T78" s="92">
        <f>H78*[0]!FMainPool1Fee+I78*[0]!FMainPool2Fee+J78*[0]!FMainPool3Fee+K78*[0]!FMainPool4Fee+B78*[0]!FMainEntryFee</f>
        <v>0</v>
      </c>
      <c r="U78" s="93"/>
      <c r="V78" s="94"/>
      <c r="X78" s="99"/>
      <c r="Y78" s="99"/>
    </row>
    <row r="79" spans="1:25">
      <c r="A79" s="87">
        <f t="shared" si="1"/>
        <v>68</v>
      </c>
      <c r="B79" s="9"/>
      <c r="C79" s="1" t="s">
        <v>57</v>
      </c>
      <c r="D79" s="1" t="s">
        <v>263</v>
      </c>
      <c r="E79" s="2" t="s">
        <v>210</v>
      </c>
      <c r="F79" s="116">
        <v>9166997163</v>
      </c>
      <c r="G79" s="89" t="s">
        <v>506</v>
      </c>
      <c r="H79" s="8"/>
      <c r="I79" s="9"/>
      <c r="J79" s="9"/>
      <c r="K79" s="9"/>
      <c r="L79" s="9"/>
      <c r="M79" s="9"/>
      <c r="N79" s="9"/>
      <c r="O79" s="90">
        <f t="shared" si="9"/>
        <v>0</v>
      </c>
      <c r="P79" s="9"/>
      <c r="Q79" s="9"/>
      <c r="R79" s="91" t="str">
        <f t="shared" si="10"/>
        <v/>
      </c>
      <c r="S79" s="91" t="str">
        <f t="shared" si="11"/>
        <v/>
      </c>
      <c r="T79" s="92">
        <f>H79*[0]!FMainPool1Fee+I79*[0]!FMainPool2Fee+J79*[0]!FMainPool3Fee+K79*[0]!FMainPool4Fee+B79*[0]!FMainEntryFee</f>
        <v>0</v>
      </c>
      <c r="U79" s="93"/>
      <c r="V79" s="94"/>
      <c r="X79" s="99"/>
      <c r="Y79" s="99"/>
    </row>
    <row r="80" spans="1:25">
      <c r="A80" s="87">
        <f t="shared" si="1"/>
        <v>69</v>
      </c>
      <c r="B80" s="9"/>
      <c r="C80" s="104" t="s">
        <v>609</v>
      </c>
      <c r="D80" s="104" t="s">
        <v>9</v>
      </c>
      <c r="E80" s="98" t="s">
        <v>610</v>
      </c>
      <c r="F80" s="109"/>
      <c r="G80" s="89" t="s">
        <v>618</v>
      </c>
      <c r="H80" s="8"/>
      <c r="I80" s="9"/>
      <c r="J80" s="9"/>
      <c r="K80" s="9"/>
      <c r="L80" s="9"/>
      <c r="M80" s="9"/>
      <c r="N80" s="9"/>
      <c r="O80" s="90">
        <f t="shared" si="9"/>
        <v>0</v>
      </c>
      <c r="P80" s="9"/>
      <c r="Q80" s="9"/>
      <c r="R80" s="91" t="str">
        <f t="shared" si="10"/>
        <v/>
      </c>
      <c r="S80" s="91" t="str">
        <f t="shared" si="11"/>
        <v/>
      </c>
      <c r="T80" s="92">
        <f>H80*[0]!FMainPool1Fee+I80*[0]!FMainPool2Fee+J80*[0]!FMainPool3Fee+K80*[0]!FMainPool4Fee+B80*[0]!FMainEntryFee</f>
        <v>0</v>
      </c>
      <c r="U80" s="93"/>
      <c r="V80" s="94"/>
      <c r="X80" s="99"/>
      <c r="Y80" s="99"/>
    </row>
    <row r="81" spans="1:25">
      <c r="A81" s="87">
        <f t="shared" ref="A81:A142" si="12">ROW() - ROW(FRegentiresEneteredHdr)</f>
        <v>70</v>
      </c>
      <c r="B81" s="9"/>
      <c r="C81" s="104" t="s">
        <v>611</v>
      </c>
      <c r="D81" s="104" t="s">
        <v>7</v>
      </c>
      <c r="E81" s="98" t="s">
        <v>612</v>
      </c>
      <c r="F81" s="109"/>
      <c r="G81" s="89" t="s">
        <v>630</v>
      </c>
      <c r="H81" s="8"/>
      <c r="I81" s="9"/>
      <c r="J81" s="9"/>
      <c r="K81" s="9"/>
      <c r="L81" s="9"/>
      <c r="M81" s="9"/>
      <c r="N81" s="9"/>
      <c r="O81" s="90">
        <f t="shared" si="9"/>
        <v>0</v>
      </c>
      <c r="P81" s="9"/>
      <c r="Q81" s="9"/>
      <c r="R81" s="91" t="str">
        <f t="shared" si="10"/>
        <v/>
      </c>
      <c r="S81" s="91" t="str">
        <f t="shared" si="11"/>
        <v/>
      </c>
      <c r="T81" s="92">
        <f>H81*[0]!FMainPool1Fee+I81*[0]!FMainPool2Fee+J81*[0]!FMainPool3Fee+K81*[0]!FMainPool4Fee+B81*[0]!FMainEntryFee</f>
        <v>0</v>
      </c>
      <c r="U81" s="93"/>
      <c r="V81" s="109"/>
      <c r="X81" s="99"/>
      <c r="Y81" s="99"/>
    </row>
    <row r="82" spans="1:25">
      <c r="A82" s="87">
        <f t="shared" si="12"/>
        <v>71</v>
      </c>
      <c r="B82" s="9"/>
      <c r="C82" s="97" t="s">
        <v>64</v>
      </c>
      <c r="D82" s="1" t="s">
        <v>65</v>
      </c>
      <c r="E82" s="2" t="s">
        <v>190</v>
      </c>
      <c r="F82" s="116">
        <v>5104613953</v>
      </c>
      <c r="G82" s="89" t="s">
        <v>507</v>
      </c>
      <c r="H82" s="8"/>
      <c r="I82" s="9"/>
      <c r="J82" s="9"/>
      <c r="K82" s="9"/>
      <c r="L82" s="9"/>
      <c r="M82" s="9"/>
      <c r="N82" s="9"/>
      <c r="O82" s="90">
        <f t="shared" si="9"/>
        <v>0</v>
      </c>
      <c r="P82" s="9"/>
      <c r="Q82" s="9"/>
      <c r="R82" s="91" t="str">
        <f t="shared" si="10"/>
        <v/>
      </c>
      <c r="S82" s="91" t="str">
        <f t="shared" si="11"/>
        <v/>
      </c>
      <c r="T82" s="92">
        <f>H82*[0]!FMainPool1Fee+I82*[0]!FMainPool2Fee+J82*[0]!FMainPool3Fee+K82*[0]!FMainPool4Fee+B82*[0]!FMainEntryFee</f>
        <v>0</v>
      </c>
      <c r="U82" s="93"/>
      <c r="V82" s="94"/>
      <c r="X82" s="99"/>
      <c r="Y82" s="99"/>
    </row>
    <row r="83" spans="1:25">
      <c r="A83" s="87">
        <f t="shared" si="12"/>
        <v>72</v>
      </c>
      <c r="B83" s="9"/>
      <c r="C83" s="6" t="s">
        <v>123</v>
      </c>
      <c r="D83" s="6" t="s">
        <v>111</v>
      </c>
      <c r="E83" s="7" t="s">
        <v>194</v>
      </c>
      <c r="F83" s="88"/>
      <c r="G83" s="97" t="s">
        <v>151</v>
      </c>
      <c r="H83" s="8"/>
      <c r="I83" s="9"/>
      <c r="J83" s="9"/>
      <c r="K83" s="9"/>
      <c r="L83" s="9"/>
      <c r="M83" s="9"/>
      <c r="N83" s="9"/>
      <c r="O83" s="90">
        <f t="shared" si="9"/>
        <v>0</v>
      </c>
      <c r="P83" s="9"/>
      <c r="Q83" s="9"/>
      <c r="R83" s="91" t="str">
        <f t="shared" si="10"/>
        <v/>
      </c>
      <c r="S83" s="91" t="str">
        <f t="shared" si="11"/>
        <v/>
      </c>
      <c r="T83" s="92">
        <f>H83*[0]!FMainPool1Fee+I83*[0]!FMainPool2Fee+J83*[0]!FMainPool3Fee+K83*[0]!FMainPool4Fee+B83*[0]!FMainEntryFee</f>
        <v>0</v>
      </c>
      <c r="U83" s="93"/>
      <c r="V83" s="94"/>
      <c r="X83" s="99"/>
      <c r="Y83" s="99"/>
    </row>
    <row r="84" spans="1:25">
      <c r="A84" s="87">
        <f t="shared" si="12"/>
        <v>73</v>
      </c>
      <c r="B84" s="9">
        <v>1</v>
      </c>
      <c r="C84" s="1" t="s">
        <v>47</v>
      </c>
      <c r="D84" s="1" t="s">
        <v>48</v>
      </c>
      <c r="E84" s="2" t="s">
        <v>187</v>
      </c>
      <c r="F84" s="96" t="s">
        <v>508</v>
      </c>
      <c r="G84" s="97" t="s">
        <v>500</v>
      </c>
      <c r="H84" s="8">
        <v>1</v>
      </c>
      <c r="I84" s="9">
        <v>1</v>
      </c>
      <c r="J84" s="9">
        <v>1</v>
      </c>
      <c r="K84" s="9"/>
      <c r="L84" s="9"/>
      <c r="M84" s="9"/>
      <c r="N84" s="9"/>
      <c r="O84" s="90">
        <f t="shared" si="9"/>
        <v>0</v>
      </c>
      <c r="P84" s="9" t="s">
        <v>666</v>
      </c>
      <c r="Q84" s="9">
        <v>8899</v>
      </c>
      <c r="R84" s="91">
        <f t="shared" si="10"/>
        <v>110</v>
      </c>
      <c r="S84" s="91" t="str">
        <f t="shared" si="11"/>
        <v/>
      </c>
      <c r="T84" s="92">
        <f>H84*[0]!FMainPool1Fee+I84*[0]!FMainPool2Fee+J84*[0]!FMainPool3Fee+K84*[0]!FMainPool4Fee+B84*[0]!FMainEntryFee</f>
        <v>110</v>
      </c>
      <c r="U84" s="93"/>
      <c r="V84" s="94"/>
      <c r="X84" s="99"/>
      <c r="Y84" s="99"/>
    </row>
    <row r="85" spans="1:25">
      <c r="A85" s="87">
        <f t="shared" si="12"/>
        <v>74</v>
      </c>
      <c r="B85" s="9">
        <v>1</v>
      </c>
      <c r="C85" s="6" t="s">
        <v>107</v>
      </c>
      <c r="D85" s="6" t="s">
        <v>39</v>
      </c>
      <c r="E85" s="7" t="s">
        <v>495</v>
      </c>
      <c r="F85" s="88">
        <v>7074223729</v>
      </c>
      <c r="G85" s="97" t="s">
        <v>148</v>
      </c>
      <c r="H85" s="8">
        <v>1</v>
      </c>
      <c r="I85" s="9"/>
      <c r="J85" s="9"/>
      <c r="K85" s="9"/>
      <c r="L85" s="9"/>
      <c r="M85" s="9"/>
      <c r="N85" s="9"/>
      <c r="O85" s="90">
        <f t="shared" si="9"/>
        <v>0</v>
      </c>
      <c r="P85" s="9" t="s">
        <v>666</v>
      </c>
      <c r="Q85" s="9">
        <v>2548</v>
      </c>
      <c r="R85" s="91">
        <f t="shared" si="10"/>
        <v>80</v>
      </c>
      <c r="S85" s="91" t="str">
        <f t="shared" si="11"/>
        <v/>
      </c>
      <c r="T85" s="92">
        <f>H85*[0]!FMainPool1Fee+I85*[0]!FMainPool2Fee+J85*[0]!FMainPool3Fee+K85*[0]!FMainPool4Fee+B85*[0]!FMainEntryFee</f>
        <v>80</v>
      </c>
      <c r="U85" s="93"/>
      <c r="V85" s="98"/>
      <c r="W85" s="101"/>
      <c r="X85" s="99"/>
      <c r="Y85" s="99"/>
    </row>
    <row r="86" spans="1:25">
      <c r="A86" s="87">
        <f t="shared" si="12"/>
        <v>75</v>
      </c>
      <c r="B86" s="9"/>
      <c r="C86" s="6" t="s">
        <v>108</v>
      </c>
      <c r="D86" s="6" t="s">
        <v>109</v>
      </c>
      <c r="E86" s="7" t="s">
        <v>211</v>
      </c>
      <c r="F86" s="88"/>
      <c r="G86" s="97" t="s">
        <v>358</v>
      </c>
      <c r="H86" s="8"/>
      <c r="I86" s="9"/>
      <c r="J86" s="9"/>
      <c r="K86" s="9"/>
      <c r="L86" s="9"/>
      <c r="M86" s="9"/>
      <c r="N86" s="9"/>
      <c r="O86" s="90">
        <f t="shared" si="9"/>
        <v>0</v>
      </c>
      <c r="P86" s="9"/>
      <c r="Q86" s="9"/>
      <c r="R86" s="91" t="str">
        <f t="shared" si="10"/>
        <v/>
      </c>
      <c r="S86" s="91" t="str">
        <f t="shared" si="11"/>
        <v/>
      </c>
      <c r="T86" s="92">
        <f>H86*[0]!FMainPool1Fee+I86*[0]!FMainPool2Fee+J86*[0]!FMainPool3Fee+K86*[0]!FMainPool4Fee+B86*[0]!FMainEntryFee</f>
        <v>0</v>
      </c>
      <c r="U86" s="93"/>
      <c r="V86" s="109"/>
      <c r="W86" s="101"/>
      <c r="X86" s="99"/>
      <c r="Y86" s="99"/>
    </row>
    <row r="87" spans="1:25">
      <c r="A87" s="87">
        <f t="shared" si="12"/>
        <v>76</v>
      </c>
      <c r="B87" s="9"/>
      <c r="C87" s="6" t="s">
        <v>311</v>
      </c>
      <c r="D87" s="6" t="s">
        <v>312</v>
      </c>
      <c r="E87" s="7" t="s">
        <v>313</v>
      </c>
      <c r="F87" s="111">
        <v>9253604907</v>
      </c>
      <c r="G87" s="97" t="s">
        <v>367</v>
      </c>
      <c r="H87" s="8"/>
      <c r="I87" s="9"/>
      <c r="J87" s="9"/>
      <c r="K87" s="9"/>
      <c r="L87" s="9"/>
      <c r="M87" s="9"/>
      <c r="N87" s="9"/>
      <c r="O87" s="90">
        <f t="shared" si="9"/>
        <v>0</v>
      </c>
      <c r="P87" s="9"/>
      <c r="Q87" s="9"/>
      <c r="R87" s="91" t="str">
        <f t="shared" si="10"/>
        <v/>
      </c>
      <c r="S87" s="91" t="str">
        <f t="shared" si="11"/>
        <v/>
      </c>
      <c r="T87" s="92">
        <f>H87*[0]!FMainPool1Fee+I87*[0]!FMainPool2Fee+J87*[0]!FMainPool3Fee+K87*[0]!FMainPool4Fee+B87*[0]!FMainEntryFee</f>
        <v>0</v>
      </c>
      <c r="U87" s="93"/>
      <c r="V87" s="109"/>
      <c r="X87" s="99"/>
      <c r="Y87" s="99"/>
    </row>
    <row r="88" spans="1:25">
      <c r="A88" s="87">
        <f t="shared" si="12"/>
        <v>77</v>
      </c>
      <c r="B88" s="9"/>
      <c r="C88" s="1" t="s">
        <v>79</v>
      </c>
      <c r="D88" s="1" t="s">
        <v>80</v>
      </c>
      <c r="E88" s="2" t="s">
        <v>212</v>
      </c>
      <c r="F88" s="88"/>
      <c r="G88" s="97" t="s">
        <v>391</v>
      </c>
      <c r="H88" s="8"/>
      <c r="I88" s="9"/>
      <c r="J88" s="9"/>
      <c r="K88" s="9"/>
      <c r="L88" s="9"/>
      <c r="M88" s="9"/>
      <c r="N88" s="9"/>
      <c r="O88" s="90">
        <f t="shared" si="9"/>
        <v>0</v>
      </c>
      <c r="P88" s="9"/>
      <c r="Q88" s="9"/>
      <c r="R88" s="91" t="str">
        <f t="shared" si="10"/>
        <v/>
      </c>
      <c r="S88" s="91" t="str">
        <f t="shared" si="11"/>
        <v/>
      </c>
      <c r="T88" s="92">
        <f>H88*[0]!FMainPool1Fee+I88*[0]!FMainPool2Fee+J88*[0]!FMainPool3Fee+K88*[0]!FMainPool4Fee+B88*[0]!FMainEntryFee</f>
        <v>0</v>
      </c>
      <c r="U88" s="93"/>
      <c r="V88" s="94"/>
      <c r="X88" s="99"/>
      <c r="Y88" s="99"/>
    </row>
    <row r="89" spans="1:25">
      <c r="A89" s="87">
        <f t="shared" si="12"/>
        <v>78</v>
      </c>
      <c r="B89" s="9">
        <v>1</v>
      </c>
      <c r="C89" s="6" t="s">
        <v>99</v>
      </c>
      <c r="D89" s="6" t="s">
        <v>100</v>
      </c>
      <c r="E89" s="7" t="s">
        <v>169</v>
      </c>
      <c r="F89" s="88">
        <v>5305180274</v>
      </c>
      <c r="G89" s="97" t="s">
        <v>130</v>
      </c>
      <c r="H89" s="8">
        <v>1</v>
      </c>
      <c r="I89" s="9">
        <v>1</v>
      </c>
      <c r="J89" s="9">
        <v>1</v>
      </c>
      <c r="K89" s="9"/>
      <c r="L89" s="9"/>
      <c r="M89" s="9"/>
      <c r="N89" s="9"/>
      <c r="O89" s="90">
        <f t="shared" si="9"/>
        <v>0</v>
      </c>
      <c r="P89" s="9" t="s">
        <v>666</v>
      </c>
      <c r="Q89" s="9">
        <v>7240</v>
      </c>
      <c r="R89" s="91">
        <f t="shared" si="10"/>
        <v>110</v>
      </c>
      <c r="S89" s="91" t="str">
        <f t="shared" si="11"/>
        <v/>
      </c>
      <c r="T89" s="92">
        <f>H89*[0]!FMainPool1Fee+I89*[0]!FMainPool2Fee+J89*[0]!FMainPool3Fee+K89*[0]!FMainPool4Fee+B89*[0]!FMainEntryFee</f>
        <v>110</v>
      </c>
      <c r="U89" s="93"/>
      <c r="V89" s="109"/>
      <c r="X89" s="99"/>
      <c r="Y89" s="99"/>
    </row>
    <row r="90" spans="1:25">
      <c r="A90" s="87">
        <f t="shared" si="12"/>
        <v>79</v>
      </c>
      <c r="B90" s="9">
        <v>1</v>
      </c>
      <c r="C90" s="6" t="s">
        <v>430</v>
      </c>
      <c r="D90" s="6" t="s">
        <v>15</v>
      </c>
      <c r="E90" s="7" t="s">
        <v>429</v>
      </c>
      <c r="F90" s="88">
        <v>7079536818</v>
      </c>
      <c r="G90" s="89" t="s">
        <v>692</v>
      </c>
      <c r="H90" s="8">
        <v>1</v>
      </c>
      <c r="I90" s="9"/>
      <c r="J90" s="9"/>
      <c r="K90" s="9"/>
      <c r="L90" s="9"/>
      <c r="M90" s="9"/>
      <c r="N90" s="9"/>
      <c r="O90" s="90">
        <f t="shared" si="9"/>
        <v>0</v>
      </c>
      <c r="P90" s="9" t="s">
        <v>666</v>
      </c>
      <c r="Q90" s="9">
        <v>170</v>
      </c>
      <c r="R90" s="91">
        <f t="shared" si="10"/>
        <v>80</v>
      </c>
      <c r="S90" s="91" t="str">
        <f t="shared" si="11"/>
        <v/>
      </c>
      <c r="T90" s="92">
        <f>H90*[0]!FMainPool1Fee+I90*[0]!FMainPool2Fee+J90*[0]!FMainPool3Fee+K90*[0]!FMainPool4Fee+B90*[0]!FMainEntryFee</f>
        <v>80</v>
      </c>
      <c r="U90" s="93"/>
      <c r="V90" s="94"/>
      <c r="W90" s="101"/>
      <c r="X90" s="99"/>
      <c r="Y90" s="99"/>
    </row>
    <row r="91" spans="1:25">
      <c r="A91" s="87">
        <f t="shared" si="12"/>
        <v>80</v>
      </c>
      <c r="B91" s="9"/>
      <c r="C91" s="6" t="s">
        <v>110</v>
      </c>
      <c r="D91" s="6" t="s">
        <v>111</v>
      </c>
      <c r="E91" s="7" t="s">
        <v>188</v>
      </c>
      <c r="F91" s="88"/>
      <c r="G91" s="97" t="s">
        <v>147</v>
      </c>
      <c r="H91" s="8"/>
      <c r="I91" s="9"/>
      <c r="J91" s="9"/>
      <c r="K91" s="9"/>
      <c r="L91" s="9"/>
      <c r="M91" s="9"/>
      <c r="N91" s="9"/>
      <c r="O91" s="90">
        <f t="shared" si="9"/>
        <v>0</v>
      </c>
      <c r="P91" s="9"/>
      <c r="Q91" s="9"/>
      <c r="R91" s="91" t="str">
        <f t="shared" si="10"/>
        <v/>
      </c>
      <c r="S91" s="91" t="str">
        <f t="shared" si="11"/>
        <v/>
      </c>
      <c r="T91" s="92">
        <f>H91*[0]!FMainPool1Fee+I91*[0]!FMainPool2Fee+J91*[0]!FMainPool3Fee+K91*[0]!FMainPool4Fee+B91*[0]!FMainEntryFee</f>
        <v>0</v>
      </c>
      <c r="U91" s="93"/>
      <c r="V91" s="109"/>
      <c r="X91" s="99"/>
      <c r="Y91" s="99"/>
    </row>
    <row r="92" spans="1:25">
      <c r="A92" s="87">
        <f t="shared" si="12"/>
        <v>81</v>
      </c>
      <c r="B92" s="9"/>
      <c r="C92" s="1" t="s">
        <v>62</v>
      </c>
      <c r="D92" s="1" t="s">
        <v>63</v>
      </c>
      <c r="E92" s="2" t="s">
        <v>213</v>
      </c>
      <c r="F92" s="116"/>
      <c r="G92" s="97" t="s">
        <v>352</v>
      </c>
      <c r="H92" s="8"/>
      <c r="I92" s="9"/>
      <c r="J92" s="9"/>
      <c r="K92" s="9"/>
      <c r="L92" s="9"/>
      <c r="M92" s="9"/>
      <c r="N92" s="9"/>
      <c r="O92" s="90">
        <f t="shared" si="9"/>
        <v>0</v>
      </c>
      <c r="P92" s="9"/>
      <c r="Q92" s="9"/>
      <c r="R92" s="91" t="str">
        <f t="shared" si="10"/>
        <v/>
      </c>
      <c r="S92" s="91" t="str">
        <f t="shared" si="11"/>
        <v/>
      </c>
      <c r="T92" s="92">
        <f>H92*[0]!FMainPool1Fee+I92*[0]!FMainPool2Fee+J92*[0]!FMainPool3Fee+K92*[0]!FMainPool4Fee+B92*[0]!FMainEntryFee</f>
        <v>0</v>
      </c>
      <c r="U92" s="93"/>
      <c r="V92" s="94"/>
      <c r="X92" s="99"/>
      <c r="Y92" s="99"/>
    </row>
    <row r="93" spans="1:25">
      <c r="A93" s="87">
        <f t="shared" si="12"/>
        <v>82</v>
      </c>
      <c r="B93" s="9"/>
      <c r="C93" s="6" t="s">
        <v>146</v>
      </c>
      <c r="D93" s="6" t="s">
        <v>14</v>
      </c>
      <c r="E93" s="7" t="s">
        <v>189</v>
      </c>
      <c r="F93" s="88"/>
      <c r="G93" s="97" t="s">
        <v>239</v>
      </c>
      <c r="H93" s="8"/>
      <c r="I93" s="9"/>
      <c r="J93" s="9"/>
      <c r="K93" s="9"/>
      <c r="L93" s="9"/>
      <c r="M93" s="9"/>
      <c r="N93" s="9"/>
      <c r="O93" s="90">
        <f t="shared" si="9"/>
        <v>0</v>
      </c>
      <c r="P93" s="9"/>
      <c r="Q93" s="9"/>
      <c r="R93" s="91" t="str">
        <f t="shared" si="10"/>
        <v/>
      </c>
      <c r="S93" s="91" t="str">
        <f t="shared" si="11"/>
        <v/>
      </c>
      <c r="T93" s="92">
        <f>H93*[0]!FMainPool1Fee+I93*[0]!FMainPool2Fee+J93*[0]!FMainPool3Fee+K93*[0]!FMainPool4Fee+B93*[0]!FMainEntryFee</f>
        <v>0</v>
      </c>
      <c r="U93" s="93"/>
      <c r="V93" s="94"/>
      <c r="X93" s="99"/>
      <c r="Y93" s="99"/>
    </row>
    <row r="94" spans="1:25">
      <c r="A94" s="87">
        <f t="shared" si="12"/>
        <v>83</v>
      </c>
      <c r="B94" s="9">
        <v>1</v>
      </c>
      <c r="C94" s="6" t="s">
        <v>253</v>
      </c>
      <c r="D94" s="6" t="s">
        <v>19</v>
      </c>
      <c r="E94" s="7" t="s">
        <v>254</v>
      </c>
      <c r="F94" s="109" t="s">
        <v>509</v>
      </c>
      <c r="G94" s="97" t="s">
        <v>500</v>
      </c>
      <c r="H94" s="8">
        <v>1</v>
      </c>
      <c r="I94" s="9"/>
      <c r="J94" s="9"/>
      <c r="K94" s="9"/>
      <c r="L94" s="9"/>
      <c r="M94" s="9"/>
      <c r="N94" s="9">
        <v>1</v>
      </c>
      <c r="O94" s="90">
        <v>80</v>
      </c>
      <c r="P94" s="9" t="s">
        <v>671</v>
      </c>
      <c r="Q94" s="9"/>
      <c r="R94" s="91" t="str">
        <f t="shared" si="10"/>
        <v/>
      </c>
      <c r="S94" s="91">
        <f t="shared" si="11"/>
        <v>80</v>
      </c>
      <c r="T94" s="92">
        <f>H94*[0]!FMainPool1Fee+I94*[0]!FMainPool2Fee+J94*[0]!FMainPool3Fee+K94*[0]!FMainPool4Fee+B94*[0]!FMainEntryFee</f>
        <v>80</v>
      </c>
      <c r="U94" s="93"/>
      <c r="V94" s="109"/>
      <c r="X94" s="99"/>
      <c r="Y94" s="99"/>
    </row>
    <row r="95" spans="1:25">
      <c r="A95" s="87">
        <f t="shared" si="12"/>
        <v>84</v>
      </c>
      <c r="B95" s="9"/>
      <c r="C95" s="6" t="s">
        <v>105</v>
      </c>
      <c r="D95" s="6" t="s">
        <v>106</v>
      </c>
      <c r="E95" s="7" t="s">
        <v>214</v>
      </c>
      <c r="F95" s="88"/>
      <c r="G95" s="97" t="s">
        <v>393</v>
      </c>
      <c r="H95" s="8"/>
      <c r="I95" s="9"/>
      <c r="J95" s="9"/>
      <c r="K95" s="9"/>
      <c r="L95" s="9"/>
      <c r="M95" s="9"/>
      <c r="N95" s="9"/>
      <c r="O95" s="90">
        <f t="shared" ref="O95:O126" si="13">T95*N95</f>
        <v>0</v>
      </c>
      <c r="P95" s="9"/>
      <c r="Q95" s="9"/>
      <c r="R95" s="91" t="str">
        <f t="shared" si="10"/>
        <v/>
      </c>
      <c r="S95" s="91" t="str">
        <f t="shared" si="11"/>
        <v/>
      </c>
      <c r="T95" s="92">
        <f>H95*[0]!FMainPool1Fee+I95*[0]!FMainPool2Fee+J95*[0]!FMainPool3Fee+K95*[0]!FMainPool4Fee+B95*[0]!FMainEntryFee</f>
        <v>0</v>
      </c>
      <c r="U95" s="93"/>
      <c r="V95" s="94"/>
      <c r="X95" s="99"/>
      <c r="Y95" s="99"/>
    </row>
    <row r="96" spans="1:25">
      <c r="A96" s="87">
        <f t="shared" si="12"/>
        <v>85</v>
      </c>
      <c r="B96" s="9"/>
      <c r="C96" s="6" t="s">
        <v>337</v>
      </c>
      <c r="D96" s="6" t="s">
        <v>9</v>
      </c>
      <c r="E96" s="7" t="s">
        <v>338</v>
      </c>
      <c r="F96" s="88"/>
      <c r="G96" s="97" t="s">
        <v>368</v>
      </c>
      <c r="H96" s="8"/>
      <c r="I96" s="9"/>
      <c r="J96" s="9"/>
      <c r="K96" s="9"/>
      <c r="L96" s="9"/>
      <c r="M96" s="9"/>
      <c r="N96" s="9"/>
      <c r="O96" s="90">
        <f t="shared" si="13"/>
        <v>0</v>
      </c>
      <c r="P96" s="9"/>
      <c r="Q96" s="9"/>
      <c r="R96" s="91" t="str">
        <f t="shared" si="10"/>
        <v/>
      </c>
      <c r="S96" s="91" t="str">
        <f t="shared" si="11"/>
        <v/>
      </c>
      <c r="T96" s="92">
        <f>H96*[0]!FMainPool1Fee+I96*[0]!FMainPool2Fee+J96*[0]!FMainPool3Fee+K96*[0]!FMainPool4Fee+B96*[0]!FMainEntryFee</f>
        <v>0</v>
      </c>
      <c r="U96" s="93"/>
      <c r="V96" s="94"/>
      <c r="W96" s="101"/>
      <c r="X96" s="99"/>
      <c r="Y96" s="99"/>
    </row>
    <row r="97" spans="1:25">
      <c r="A97" s="87">
        <f t="shared" si="12"/>
        <v>86</v>
      </c>
      <c r="B97" s="9"/>
      <c r="C97" s="6" t="s">
        <v>441</v>
      </c>
      <c r="D97" s="6" t="s">
        <v>22</v>
      </c>
      <c r="E97" s="7" t="s">
        <v>467</v>
      </c>
      <c r="F97" s="109" t="s">
        <v>728</v>
      </c>
      <c r="G97" s="89" t="s">
        <v>510</v>
      </c>
      <c r="H97" s="8"/>
      <c r="I97" s="9"/>
      <c r="J97" s="9"/>
      <c r="K97" s="9"/>
      <c r="L97" s="9"/>
      <c r="M97" s="9"/>
      <c r="N97" s="9"/>
      <c r="O97" s="90">
        <f t="shared" si="13"/>
        <v>0</v>
      </c>
      <c r="P97" s="9"/>
      <c r="Q97" s="9"/>
      <c r="R97" s="91" t="str">
        <f t="shared" si="10"/>
        <v/>
      </c>
      <c r="S97" s="91" t="str">
        <f t="shared" si="11"/>
        <v/>
      </c>
      <c r="T97" s="92">
        <f>H97*[0]!FMainPool1Fee+I97*[0]!FMainPool2Fee+J97*[0]!FMainPool3Fee+K97*[0]!FMainPool4Fee+B97*[0]!FMainEntryFee</f>
        <v>0</v>
      </c>
      <c r="U97" s="93"/>
      <c r="V97" s="94"/>
      <c r="X97" s="99"/>
      <c r="Y97" s="99"/>
    </row>
    <row r="98" spans="1:25">
      <c r="A98" s="87">
        <f t="shared" si="12"/>
        <v>87</v>
      </c>
      <c r="B98" s="9">
        <v>1</v>
      </c>
      <c r="C98" s="1" t="s">
        <v>32</v>
      </c>
      <c r="D98" s="1" t="s">
        <v>33</v>
      </c>
      <c r="E98" s="2" t="s">
        <v>184</v>
      </c>
      <c r="F98" s="116">
        <v>4084722020</v>
      </c>
      <c r="G98" s="89" t="s">
        <v>511</v>
      </c>
      <c r="H98" s="8">
        <v>1</v>
      </c>
      <c r="I98" s="9">
        <v>1</v>
      </c>
      <c r="J98" s="9">
        <v>1</v>
      </c>
      <c r="K98" s="9">
        <v>1</v>
      </c>
      <c r="L98" s="9"/>
      <c r="M98" s="9"/>
      <c r="N98" s="9"/>
      <c r="O98" s="90">
        <f t="shared" si="13"/>
        <v>0</v>
      </c>
      <c r="P98" s="9" t="s">
        <v>666</v>
      </c>
      <c r="Q98" s="9">
        <v>5206</v>
      </c>
      <c r="R98" s="91">
        <f t="shared" si="10"/>
        <v>160</v>
      </c>
      <c r="S98" s="91" t="str">
        <f t="shared" si="11"/>
        <v/>
      </c>
      <c r="T98" s="92">
        <f>H98*[0]!FMainPool1Fee+I98*[0]!FMainPool2Fee+J98*[0]!FMainPool3Fee+K98*[0]!FMainPool4Fee+B98*[0]!FMainEntryFee</f>
        <v>160</v>
      </c>
      <c r="U98" s="93"/>
      <c r="V98" s="94"/>
      <c r="X98" s="99"/>
      <c r="Y98" s="99"/>
    </row>
    <row r="99" spans="1:25">
      <c r="A99" s="87">
        <f t="shared" si="12"/>
        <v>88</v>
      </c>
      <c r="B99" s="9"/>
      <c r="C99" s="6" t="s">
        <v>134</v>
      </c>
      <c r="D99" s="6" t="s">
        <v>135</v>
      </c>
      <c r="E99" s="7" t="s">
        <v>230</v>
      </c>
      <c r="F99" s="88"/>
      <c r="G99" s="97" t="s">
        <v>149</v>
      </c>
      <c r="H99" s="8"/>
      <c r="I99" s="9"/>
      <c r="J99" s="9"/>
      <c r="K99" s="9"/>
      <c r="L99" s="9"/>
      <c r="M99" s="9"/>
      <c r="N99" s="9"/>
      <c r="O99" s="90">
        <f t="shared" si="13"/>
        <v>0</v>
      </c>
      <c r="P99" s="9"/>
      <c r="Q99" s="9"/>
      <c r="R99" s="91" t="str">
        <f t="shared" si="10"/>
        <v/>
      </c>
      <c r="S99" s="91" t="str">
        <f t="shared" si="11"/>
        <v/>
      </c>
      <c r="T99" s="92">
        <f>H99*[0]!FMainPool1Fee+I99*[0]!FMainPool2Fee+J99*[0]!FMainPool3Fee+K99*[0]!FMainPool4Fee+B99*[0]!FMainEntryFee</f>
        <v>0</v>
      </c>
      <c r="U99" s="93"/>
      <c r="V99" s="109"/>
      <c r="X99" s="99"/>
      <c r="Y99" s="99"/>
    </row>
    <row r="100" spans="1:25">
      <c r="A100" s="87">
        <f t="shared" si="12"/>
        <v>89</v>
      </c>
      <c r="B100" s="9"/>
      <c r="C100" s="1" t="s">
        <v>27</v>
      </c>
      <c r="D100" s="1" t="s">
        <v>28</v>
      </c>
      <c r="E100" s="2" t="s">
        <v>178</v>
      </c>
      <c r="F100" s="116"/>
      <c r="G100" s="97" t="s">
        <v>287</v>
      </c>
      <c r="H100" s="8"/>
      <c r="I100" s="9"/>
      <c r="J100" s="9"/>
      <c r="K100" s="9"/>
      <c r="L100" s="9"/>
      <c r="M100" s="9"/>
      <c r="N100" s="9"/>
      <c r="O100" s="90">
        <f t="shared" si="13"/>
        <v>0</v>
      </c>
      <c r="P100" s="9"/>
      <c r="Q100" s="9"/>
      <c r="R100" s="91" t="str">
        <f t="shared" si="10"/>
        <v/>
      </c>
      <c r="S100" s="91" t="str">
        <f t="shared" si="11"/>
        <v/>
      </c>
      <c r="T100" s="92">
        <f>H100*[0]!FMainPool1Fee+I100*[0]!FMainPool2Fee+J100*[0]!FMainPool3Fee+K100*[0]!FMainPool4Fee+B100*[0]!FMainEntryFee</f>
        <v>0</v>
      </c>
      <c r="U100" s="93"/>
      <c r="V100" s="94"/>
      <c r="X100" s="99"/>
      <c r="Y100" s="99"/>
    </row>
    <row r="101" spans="1:25">
      <c r="A101" s="87">
        <f t="shared" si="12"/>
        <v>90</v>
      </c>
      <c r="B101" s="9"/>
      <c r="C101" s="6" t="s">
        <v>442</v>
      </c>
      <c r="D101" s="6" t="s">
        <v>332</v>
      </c>
      <c r="E101" s="7" t="s">
        <v>468</v>
      </c>
      <c r="F101" s="88">
        <v>9254579513</v>
      </c>
      <c r="G101" s="89" t="s">
        <v>512</v>
      </c>
      <c r="H101" s="8"/>
      <c r="I101" s="9"/>
      <c r="J101" s="9"/>
      <c r="K101" s="9"/>
      <c r="L101" s="9"/>
      <c r="M101" s="9"/>
      <c r="N101" s="9"/>
      <c r="O101" s="90">
        <f t="shared" si="13"/>
        <v>0</v>
      </c>
      <c r="P101" s="9"/>
      <c r="Q101" s="9"/>
      <c r="R101" s="91" t="str">
        <f t="shared" si="10"/>
        <v/>
      </c>
      <c r="S101" s="91" t="str">
        <f t="shared" si="11"/>
        <v/>
      </c>
      <c r="T101" s="92">
        <f>H101*[0]!FMainPool1Fee+I101*[0]!FMainPool2Fee+J101*[0]!FMainPool3Fee+K101*[0]!FMainPool4Fee+B101*[0]!FMainEntryFee</f>
        <v>0</v>
      </c>
      <c r="U101" s="93"/>
      <c r="V101" s="94"/>
      <c r="X101" s="99"/>
      <c r="Y101" s="99"/>
    </row>
    <row r="102" spans="1:25">
      <c r="A102" s="87">
        <f t="shared" si="12"/>
        <v>91</v>
      </c>
      <c r="B102" s="9"/>
      <c r="C102" s="1" t="s">
        <v>42</v>
      </c>
      <c r="D102" s="1" t="s">
        <v>43</v>
      </c>
      <c r="E102" s="2" t="s">
        <v>186</v>
      </c>
      <c r="F102" s="116"/>
      <c r="G102" s="97"/>
      <c r="H102" s="8"/>
      <c r="I102" s="9"/>
      <c r="J102" s="9"/>
      <c r="K102" s="9"/>
      <c r="L102" s="9"/>
      <c r="M102" s="9"/>
      <c r="N102" s="9"/>
      <c r="O102" s="90">
        <f t="shared" si="13"/>
        <v>0</v>
      </c>
      <c r="P102" s="9"/>
      <c r="Q102" s="9"/>
      <c r="R102" s="91" t="str">
        <f t="shared" si="10"/>
        <v/>
      </c>
      <c r="S102" s="91" t="str">
        <f t="shared" si="11"/>
        <v/>
      </c>
      <c r="T102" s="92">
        <f>H102*[0]!FMainPool1Fee+I102*[0]!FMainPool2Fee+J102*[0]!FMainPool3Fee+K102*[0]!FMainPool4Fee+B102*[0]!FMainEntryFee</f>
        <v>0</v>
      </c>
      <c r="U102" s="93"/>
      <c r="V102" s="94"/>
      <c r="X102" s="99"/>
      <c r="Y102" s="99"/>
    </row>
    <row r="103" spans="1:25">
      <c r="A103" s="87">
        <f t="shared" si="12"/>
        <v>92</v>
      </c>
      <c r="B103" s="9"/>
      <c r="C103" s="6" t="s">
        <v>269</v>
      </c>
      <c r="D103" s="6" t="s">
        <v>270</v>
      </c>
      <c r="E103" s="7" t="s">
        <v>271</v>
      </c>
      <c r="F103" s="88"/>
      <c r="G103" s="97" t="s">
        <v>285</v>
      </c>
      <c r="H103" s="8"/>
      <c r="I103" s="9"/>
      <c r="J103" s="9"/>
      <c r="K103" s="9"/>
      <c r="L103" s="9"/>
      <c r="M103" s="9"/>
      <c r="N103" s="9"/>
      <c r="O103" s="90">
        <f t="shared" si="13"/>
        <v>0</v>
      </c>
      <c r="P103" s="9"/>
      <c r="Q103" s="9"/>
      <c r="R103" s="91" t="str">
        <f t="shared" si="10"/>
        <v/>
      </c>
      <c r="S103" s="91" t="str">
        <f t="shared" si="11"/>
        <v/>
      </c>
      <c r="T103" s="92">
        <f>H103*[0]!FMainPool1Fee+I103*[0]!FMainPool2Fee+J103*[0]!FMainPool3Fee+K103*[0]!FMainPool4Fee+B103*[0]!FMainEntryFee</f>
        <v>0</v>
      </c>
      <c r="U103" s="93"/>
      <c r="V103" s="109"/>
      <c r="X103" s="99"/>
      <c r="Y103" s="99"/>
    </row>
    <row r="104" spans="1:25">
      <c r="A104" s="87">
        <f t="shared" si="12"/>
        <v>93</v>
      </c>
      <c r="B104" s="9"/>
      <c r="C104" s="104" t="s">
        <v>613</v>
      </c>
      <c r="D104" s="104" t="s">
        <v>289</v>
      </c>
      <c r="E104" s="98" t="s">
        <v>614</v>
      </c>
      <c r="F104" s="109"/>
      <c r="G104" s="97" t="s">
        <v>133</v>
      </c>
      <c r="H104" s="8"/>
      <c r="I104" s="9"/>
      <c r="J104" s="9"/>
      <c r="K104" s="9"/>
      <c r="L104" s="9"/>
      <c r="M104" s="9"/>
      <c r="N104" s="9"/>
      <c r="O104" s="90">
        <f t="shared" si="13"/>
        <v>0</v>
      </c>
      <c r="P104" s="9"/>
      <c r="Q104" s="9"/>
      <c r="R104" s="91" t="str">
        <f t="shared" si="10"/>
        <v/>
      </c>
      <c r="S104" s="91" t="str">
        <f t="shared" si="11"/>
        <v/>
      </c>
      <c r="T104" s="92">
        <f>H104*[0]!FMainPool1Fee+I104*[0]!FMainPool2Fee+J104*[0]!FMainPool3Fee+K104*[0]!FMainPool4Fee+B104*[0]!FMainEntryFee</f>
        <v>0</v>
      </c>
      <c r="U104" s="93"/>
      <c r="V104" s="94"/>
      <c r="X104" s="99"/>
      <c r="Y104" s="99"/>
    </row>
    <row r="105" spans="1:25">
      <c r="A105" s="87">
        <f t="shared" si="12"/>
        <v>94</v>
      </c>
      <c r="B105" s="9"/>
      <c r="C105" s="6" t="s">
        <v>131</v>
      </c>
      <c r="D105" s="6" t="s">
        <v>132</v>
      </c>
      <c r="E105" s="7" t="s">
        <v>215</v>
      </c>
      <c r="F105" s="88"/>
      <c r="G105" s="97" t="s">
        <v>133</v>
      </c>
      <c r="H105" s="8"/>
      <c r="I105" s="9"/>
      <c r="J105" s="9"/>
      <c r="K105" s="9"/>
      <c r="L105" s="9"/>
      <c r="M105" s="9"/>
      <c r="N105" s="9"/>
      <c r="O105" s="90">
        <f t="shared" si="13"/>
        <v>0</v>
      </c>
      <c r="P105" s="9"/>
      <c r="Q105" s="9"/>
      <c r="R105" s="91" t="str">
        <f t="shared" si="10"/>
        <v/>
      </c>
      <c r="S105" s="91" t="str">
        <f t="shared" si="11"/>
        <v/>
      </c>
      <c r="T105" s="92">
        <f>H105*[0]!FMainPool1Fee+I105*[0]!FMainPool2Fee+J105*[0]!FMainPool3Fee+K105*[0]!FMainPool4Fee+B105*[0]!FMainEntryFee</f>
        <v>0</v>
      </c>
      <c r="U105" s="93"/>
      <c r="V105" s="94"/>
      <c r="X105" s="99"/>
      <c r="Y105" s="99"/>
    </row>
    <row r="106" spans="1:25">
      <c r="A106" s="87">
        <f t="shared" si="12"/>
        <v>95</v>
      </c>
      <c r="B106" s="9"/>
      <c r="C106" s="1" t="s">
        <v>36</v>
      </c>
      <c r="D106" s="1" t="s">
        <v>37</v>
      </c>
      <c r="E106" s="2" t="s">
        <v>202</v>
      </c>
      <c r="F106" s="116"/>
      <c r="G106" s="97" t="s">
        <v>240</v>
      </c>
      <c r="H106" s="8"/>
      <c r="I106" s="9"/>
      <c r="J106" s="9"/>
      <c r="K106" s="9"/>
      <c r="L106" s="9"/>
      <c r="M106" s="9"/>
      <c r="N106" s="9"/>
      <c r="O106" s="90">
        <f t="shared" si="13"/>
        <v>0</v>
      </c>
      <c r="P106" s="9"/>
      <c r="Q106" s="9"/>
      <c r="R106" s="91" t="str">
        <f t="shared" si="10"/>
        <v/>
      </c>
      <c r="S106" s="91" t="str">
        <f t="shared" si="11"/>
        <v/>
      </c>
      <c r="T106" s="92">
        <f>H106*[0]!FMainPool1Fee+I106*[0]!FMainPool2Fee+J106*[0]!FMainPool3Fee+K106*[0]!FMainPool4Fee+B106*[0]!FMainEntryFee</f>
        <v>0</v>
      </c>
      <c r="U106" s="93"/>
      <c r="V106" s="98"/>
      <c r="W106" s="101"/>
      <c r="X106" s="99"/>
      <c r="Y106" s="99"/>
    </row>
    <row r="107" spans="1:25">
      <c r="A107" s="87">
        <f t="shared" si="12"/>
        <v>96</v>
      </c>
      <c r="B107" s="9"/>
      <c r="C107" s="6" t="s">
        <v>124</v>
      </c>
      <c r="D107" s="6" t="s">
        <v>125</v>
      </c>
      <c r="E107" s="7" t="s">
        <v>166</v>
      </c>
      <c r="F107" s="88"/>
      <c r="G107" s="97"/>
      <c r="H107" s="8"/>
      <c r="I107" s="9"/>
      <c r="J107" s="9"/>
      <c r="K107" s="9"/>
      <c r="L107" s="9"/>
      <c r="M107" s="9"/>
      <c r="N107" s="9"/>
      <c r="O107" s="90">
        <f t="shared" si="13"/>
        <v>0</v>
      </c>
      <c r="P107" s="9"/>
      <c r="Q107" s="9"/>
      <c r="R107" s="91" t="str">
        <f t="shared" si="10"/>
        <v/>
      </c>
      <c r="S107" s="91" t="str">
        <f t="shared" si="11"/>
        <v/>
      </c>
      <c r="T107" s="92">
        <f>H107*[0]!FMainPool1Fee+I107*[0]!FMainPool2Fee+J107*[0]!FMainPool3Fee+K107*[0]!FMainPool4Fee+B107*[0]!FMainEntryFee</f>
        <v>0</v>
      </c>
      <c r="U107" s="93"/>
      <c r="V107" s="98"/>
      <c r="W107" s="101"/>
      <c r="X107" s="99"/>
      <c r="Y107" s="99"/>
    </row>
    <row r="108" spans="1:25">
      <c r="A108" s="87">
        <f t="shared" si="12"/>
        <v>97</v>
      </c>
      <c r="B108" s="9">
        <v>1</v>
      </c>
      <c r="C108" s="6" t="s">
        <v>327</v>
      </c>
      <c r="D108" s="6" t="s">
        <v>328</v>
      </c>
      <c r="E108" s="7" t="s">
        <v>329</v>
      </c>
      <c r="F108" s="88">
        <v>5106819675</v>
      </c>
      <c r="G108" s="89" t="s">
        <v>513</v>
      </c>
      <c r="H108" s="8"/>
      <c r="I108" s="9"/>
      <c r="J108" s="9"/>
      <c r="K108" s="9"/>
      <c r="L108" s="9"/>
      <c r="M108" s="9"/>
      <c r="N108" s="9"/>
      <c r="O108" s="90">
        <f t="shared" si="13"/>
        <v>0</v>
      </c>
      <c r="P108" s="9" t="s">
        <v>666</v>
      </c>
      <c r="Q108" s="9">
        <v>1059</v>
      </c>
      <c r="R108" s="91">
        <f t="shared" si="10"/>
        <v>70</v>
      </c>
      <c r="S108" s="91" t="str">
        <f t="shared" si="11"/>
        <v/>
      </c>
      <c r="T108" s="92">
        <f>H108*[0]!FMainPool1Fee+I108*[0]!FMainPool2Fee+J108*[0]!FMainPool3Fee+K108*[0]!FMainPool4Fee+B108*[0]!FMainEntryFee</f>
        <v>70</v>
      </c>
      <c r="U108" s="93"/>
      <c r="V108" s="94"/>
      <c r="X108" s="99"/>
      <c r="Y108" s="99"/>
    </row>
    <row r="109" spans="1:25">
      <c r="A109" s="87">
        <f t="shared" si="12"/>
        <v>98</v>
      </c>
      <c r="B109" s="9">
        <v>1</v>
      </c>
      <c r="C109" s="6" t="s">
        <v>119</v>
      </c>
      <c r="D109" s="6" t="s">
        <v>120</v>
      </c>
      <c r="E109" s="7" t="s">
        <v>216</v>
      </c>
      <c r="F109" s="111"/>
      <c r="G109" s="97" t="s">
        <v>369</v>
      </c>
      <c r="H109" s="8">
        <v>1</v>
      </c>
      <c r="I109" s="9"/>
      <c r="J109" s="9"/>
      <c r="K109" s="9"/>
      <c r="L109" s="9">
        <v>1</v>
      </c>
      <c r="M109" s="9"/>
      <c r="N109" s="9"/>
      <c r="O109" s="90">
        <f t="shared" si="13"/>
        <v>0</v>
      </c>
      <c r="P109" s="9" t="s">
        <v>666</v>
      </c>
      <c r="Q109" s="9">
        <v>4900</v>
      </c>
      <c r="R109" s="91">
        <f t="shared" si="10"/>
        <v>80</v>
      </c>
      <c r="S109" s="91" t="str">
        <f t="shared" si="11"/>
        <v/>
      </c>
      <c r="T109" s="92">
        <f>H109*[0]!FMainPool1Fee+I109*[0]!FMainPool2Fee+J109*[0]!FMainPool3Fee+K109*[0]!FMainPool4Fee+B109*[0]!FMainEntryFee</f>
        <v>80</v>
      </c>
      <c r="U109" s="93"/>
      <c r="V109" s="98"/>
      <c r="W109"/>
      <c r="X109" s="99"/>
      <c r="Y109" s="99"/>
    </row>
    <row r="110" spans="1:25">
      <c r="A110" s="87">
        <f t="shared" si="12"/>
        <v>99</v>
      </c>
      <c r="B110" s="9">
        <v>1</v>
      </c>
      <c r="C110" s="1" t="s">
        <v>266</v>
      </c>
      <c r="D110" s="97" t="s">
        <v>268</v>
      </c>
      <c r="E110" s="2" t="s">
        <v>267</v>
      </c>
      <c r="F110" s="108"/>
      <c r="G110" s="97" t="s">
        <v>326</v>
      </c>
      <c r="H110" s="8">
        <v>1</v>
      </c>
      <c r="I110" s="9"/>
      <c r="J110" s="9"/>
      <c r="K110" s="9"/>
      <c r="L110" s="9">
        <v>1</v>
      </c>
      <c r="M110" s="9"/>
      <c r="N110" s="9"/>
      <c r="O110" s="90">
        <f t="shared" si="13"/>
        <v>0</v>
      </c>
      <c r="P110" s="9" t="s">
        <v>671</v>
      </c>
      <c r="Q110" s="9"/>
      <c r="R110" s="91" t="str">
        <f t="shared" ref="R110:R141" si="14">IF(OR(P110="c",P110="C"),+T110,"")</f>
        <v/>
      </c>
      <c r="S110" s="91">
        <f t="shared" ref="S110:S141" si="15">IF(OR(P110="$",N110=1),+T110,"")</f>
        <v>80</v>
      </c>
      <c r="T110" s="92">
        <f>H110*[0]!FMainPool1Fee+I110*[0]!FMainPool2Fee+J110*[0]!FMainPool3Fee+K110*[0]!FMainPool4Fee+B110*[0]!FMainEntryFee</f>
        <v>80</v>
      </c>
      <c r="U110" s="93">
        <v>1</v>
      </c>
      <c r="V110" s="94" t="s">
        <v>716</v>
      </c>
      <c r="W110"/>
      <c r="X110" s="99"/>
      <c r="Y110" s="99"/>
    </row>
    <row r="111" spans="1:25">
      <c r="A111" s="87">
        <f t="shared" si="12"/>
        <v>100</v>
      </c>
      <c r="B111" s="9"/>
      <c r="C111" s="1" t="s">
        <v>118</v>
      </c>
      <c r="D111" s="1" t="s">
        <v>46</v>
      </c>
      <c r="E111" s="2" t="s">
        <v>217</v>
      </c>
      <c r="F111" s="116"/>
      <c r="G111" s="97" t="s">
        <v>394</v>
      </c>
      <c r="H111" s="8"/>
      <c r="I111" s="9"/>
      <c r="J111" s="9"/>
      <c r="K111" s="9"/>
      <c r="L111" s="9"/>
      <c r="M111" s="9"/>
      <c r="N111" s="9"/>
      <c r="O111" s="90">
        <f t="shared" si="13"/>
        <v>0</v>
      </c>
      <c r="P111" s="9"/>
      <c r="Q111" s="9"/>
      <c r="R111" s="91" t="str">
        <f t="shared" si="14"/>
        <v/>
      </c>
      <c r="S111" s="91" t="str">
        <f t="shared" si="15"/>
        <v/>
      </c>
      <c r="T111" s="92">
        <f>H111*[0]!FMainPool1Fee+I111*[0]!FMainPool2Fee+J111*[0]!FMainPool3Fee+K111*[0]!FMainPool4Fee+B111*[0]!FMainEntryFee</f>
        <v>0</v>
      </c>
      <c r="U111" s="93"/>
      <c r="V111" s="103"/>
      <c r="X111" s="99"/>
      <c r="Y111" s="99"/>
    </row>
    <row r="112" spans="1:25">
      <c r="A112" s="87">
        <f t="shared" si="12"/>
        <v>101</v>
      </c>
      <c r="B112" s="9">
        <v>1</v>
      </c>
      <c r="C112" s="104" t="s">
        <v>615</v>
      </c>
      <c r="D112" s="104" t="s">
        <v>616</v>
      </c>
      <c r="E112" s="98" t="s">
        <v>617</v>
      </c>
      <c r="F112" s="109">
        <v>8315959920</v>
      </c>
      <c r="G112" s="113" t="s">
        <v>713</v>
      </c>
      <c r="H112" s="8">
        <v>1</v>
      </c>
      <c r="I112" s="9"/>
      <c r="J112" s="9"/>
      <c r="K112" s="9"/>
      <c r="L112" s="9"/>
      <c r="M112" s="9"/>
      <c r="N112" s="9"/>
      <c r="O112" s="90">
        <f t="shared" si="13"/>
        <v>0</v>
      </c>
      <c r="P112" s="9" t="s">
        <v>666</v>
      </c>
      <c r="Q112" s="9">
        <v>16285</v>
      </c>
      <c r="R112" s="91">
        <f t="shared" si="14"/>
        <v>80</v>
      </c>
      <c r="S112" s="91" t="str">
        <f t="shared" si="15"/>
        <v/>
      </c>
      <c r="T112" s="92">
        <f>H112*[0]!FMainPool1Fee+I112*[0]!FMainPool2Fee+J112*[0]!FMainPool3Fee+K112*[0]!FMainPool4Fee+B112*[0]!FMainEntryFee</f>
        <v>80</v>
      </c>
      <c r="U112" s="93"/>
      <c r="V112" s="94" t="s">
        <v>702</v>
      </c>
      <c r="X112" s="99"/>
      <c r="Y112" s="99"/>
    </row>
    <row r="113" spans="1:25">
      <c r="A113" s="87">
        <f t="shared" si="12"/>
        <v>102</v>
      </c>
      <c r="B113" s="9"/>
      <c r="C113" s="1" t="s">
        <v>21</v>
      </c>
      <c r="D113" s="1" t="s">
        <v>22</v>
      </c>
      <c r="E113" s="2" t="s">
        <v>232</v>
      </c>
      <c r="F113" s="116"/>
      <c r="G113" s="97" t="s">
        <v>93</v>
      </c>
      <c r="H113" s="8"/>
      <c r="I113" s="9"/>
      <c r="J113" s="9"/>
      <c r="K113" s="9"/>
      <c r="L113" s="9"/>
      <c r="M113" s="9"/>
      <c r="N113" s="9"/>
      <c r="O113" s="90">
        <f t="shared" si="13"/>
        <v>0</v>
      </c>
      <c r="P113" s="9"/>
      <c r="Q113" s="9"/>
      <c r="R113" s="91" t="str">
        <f t="shared" si="14"/>
        <v/>
      </c>
      <c r="S113" s="91" t="str">
        <f t="shared" si="15"/>
        <v/>
      </c>
      <c r="T113" s="92">
        <f>H113*[0]!FMainPool1Fee+I113*[0]!FMainPool2Fee+J113*[0]!FMainPool3Fee+K113*[0]!FMainPool4Fee+B113*[0]!FMainEntryFee</f>
        <v>0</v>
      </c>
      <c r="U113" s="93"/>
      <c r="V113" s="109"/>
      <c r="X113" s="99"/>
      <c r="Y113" s="99"/>
    </row>
    <row r="114" spans="1:25">
      <c r="A114" s="87">
        <f t="shared" si="12"/>
        <v>103</v>
      </c>
      <c r="B114" s="9"/>
      <c r="C114" s="6" t="s">
        <v>91</v>
      </c>
      <c r="D114" s="6" t="s">
        <v>92</v>
      </c>
      <c r="E114" s="7" t="s">
        <v>171</v>
      </c>
      <c r="F114" s="88"/>
      <c r="G114" s="97" t="s">
        <v>94</v>
      </c>
      <c r="H114" s="8"/>
      <c r="I114" s="9"/>
      <c r="J114" s="9"/>
      <c r="K114" s="9"/>
      <c r="L114" s="9"/>
      <c r="M114" s="9"/>
      <c r="N114" s="9"/>
      <c r="O114" s="90">
        <f t="shared" si="13"/>
        <v>0</v>
      </c>
      <c r="P114" s="9"/>
      <c r="Q114" s="9"/>
      <c r="R114" s="91" t="str">
        <f t="shared" si="14"/>
        <v/>
      </c>
      <c r="S114" s="91" t="str">
        <f t="shared" si="15"/>
        <v/>
      </c>
      <c r="T114" s="92">
        <f>H114*[0]!FMainPool1Fee+I114*[0]!FMainPool2Fee+J114*[0]!FMainPool3Fee+K114*[0]!FMainPool4Fee+B114*[0]!FMainEntryFee</f>
        <v>0</v>
      </c>
      <c r="U114" s="93"/>
      <c r="V114" s="94"/>
      <c r="X114" s="99"/>
      <c r="Y114" s="99"/>
    </row>
    <row r="115" spans="1:25">
      <c r="A115" s="87">
        <f t="shared" si="12"/>
        <v>104</v>
      </c>
      <c r="B115" s="9"/>
      <c r="C115" s="6" t="s">
        <v>139</v>
      </c>
      <c r="D115" s="6" t="s">
        <v>140</v>
      </c>
      <c r="E115" s="7" t="s">
        <v>180</v>
      </c>
      <c r="F115" s="88"/>
      <c r="G115" s="97"/>
      <c r="H115" s="8"/>
      <c r="I115" s="9"/>
      <c r="J115" s="9"/>
      <c r="K115" s="9"/>
      <c r="L115" s="9"/>
      <c r="M115" s="9"/>
      <c r="N115" s="9"/>
      <c r="O115" s="90">
        <f t="shared" si="13"/>
        <v>0</v>
      </c>
      <c r="P115" s="9"/>
      <c r="Q115" s="9"/>
      <c r="R115" s="91" t="str">
        <f t="shared" si="14"/>
        <v/>
      </c>
      <c r="S115" s="91" t="str">
        <f t="shared" si="15"/>
        <v/>
      </c>
      <c r="T115" s="92">
        <f>H115*[0]!FMainPool1Fee+I115*[0]!FMainPool2Fee+J115*[0]!FMainPool3Fee+K115*[0]!FMainPool4Fee+B115*[0]!FMainEntryFee</f>
        <v>0</v>
      </c>
      <c r="U115" s="93"/>
      <c r="V115" s="109"/>
      <c r="X115" s="99"/>
      <c r="Y115" s="99"/>
    </row>
    <row r="116" spans="1:25">
      <c r="A116" s="87">
        <f t="shared" si="12"/>
        <v>105</v>
      </c>
      <c r="B116" s="9">
        <v>1</v>
      </c>
      <c r="C116" s="104" t="s">
        <v>619</v>
      </c>
      <c r="D116" s="104" t="s">
        <v>48</v>
      </c>
      <c r="E116" s="98" t="s">
        <v>620</v>
      </c>
      <c r="F116" s="109">
        <v>5104930824</v>
      </c>
      <c r="G116" s="113" t="s">
        <v>629</v>
      </c>
      <c r="H116" s="8">
        <v>1</v>
      </c>
      <c r="I116" s="9"/>
      <c r="J116" s="9"/>
      <c r="K116" s="9"/>
      <c r="L116" s="9">
        <v>1</v>
      </c>
      <c r="M116" s="9"/>
      <c r="N116" s="9">
        <v>1</v>
      </c>
      <c r="O116" s="90">
        <f t="shared" si="13"/>
        <v>80</v>
      </c>
      <c r="P116" s="9" t="s">
        <v>671</v>
      </c>
      <c r="Q116" s="9"/>
      <c r="R116" s="91" t="str">
        <f t="shared" si="14"/>
        <v/>
      </c>
      <c r="S116" s="91">
        <f t="shared" si="15"/>
        <v>80</v>
      </c>
      <c r="T116" s="92">
        <f>H116*[0]!FMainPool1Fee+I116*[0]!FMainPool2Fee+J116*[0]!FMainPool3Fee+K116*[0]!FMainPool4Fee+B116*[0]!FMainEntryFee</f>
        <v>80</v>
      </c>
      <c r="U116" s="93"/>
      <c r="V116" s="94"/>
      <c r="X116" s="99"/>
      <c r="Y116" s="99"/>
    </row>
    <row r="117" spans="1:25">
      <c r="A117" s="87">
        <f t="shared" si="12"/>
        <v>106</v>
      </c>
      <c r="B117" s="9"/>
      <c r="C117" s="6" t="s">
        <v>431</v>
      </c>
      <c r="D117" s="6" t="s">
        <v>414</v>
      </c>
      <c r="E117" s="7" t="s">
        <v>415</v>
      </c>
      <c r="F117" s="88"/>
      <c r="G117" s="97" t="s">
        <v>416</v>
      </c>
      <c r="H117" s="8"/>
      <c r="I117" s="9"/>
      <c r="J117" s="9"/>
      <c r="K117" s="9"/>
      <c r="L117" s="9"/>
      <c r="M117" s="9"/>
      <c r="N117" s="9"/>
      <c r="O117" s="90">
        <f t="shared" si="13"/>
        <v>0</v>
      </c>
      <c r="P117" s="9"/>
      <c r="Q117" s="9"/>
      <c r="R117" s="91" t="str">
        <f t="shared" si="14"/>
        <v/>
      </c>
      <c r="S117" s="91" t="str">
        <f t="shared" si="15"/>
        <v/>
      </c>
      <c r="T117" s="92">
        <f>H117*[0]!FMainPool1Fee+I117*[0]!FMainPool2Fee+J117*[0]!FMainPool3Fee+K117*[0]!FMainPool4Fee+B117*[0]!FMainEntryFee</f>
        <v>0</v>
      </c>
      <c r="U117" s="93"/>
      <c r="V117" s="94"/>
      <c r="X117" s="99"/>
      <c r="Y117" s="99"/>
    </row>
    <row r="118" spans="1:25">
      <c r="A118" s="87">
        <f t="shared" si="12"/>
        <v>107</v>
      </c>
      <c r="B118" s="9"/>
      <c r="C118" s="1" t="s">
        <v>18</v>
      </c>
      <c r="D118" s="1" t="s">
        <v>19</v>
      </c>
      <c r="E118" s="2" t="s">
        <v>218</v>
      </c>
      <c r="F118" s="116"/>
      <c r="G118" s="97" t="s">
        <v>395</v>
      </c>
      <c r="H118" s="8"/>
      <c r="I118" s="9"/>
      <c r="J118" s="9"/>
      <c r="K118" s="9"/>
      <c r="L118" s="9"/>
      <c r="M118" s="9"/>
      <c r="N118" s="9"/>
      <c r="O118" s="90">
        <f t="shared" si="13"/>
        <v>0</v>
      </c>
      <c r="P118" s="9"/>
      <c r="Q118" s="9"/>
      <c r="R118" s="91" t="str">
        <f t="shared" si="14"/>
        <v/>
      </c>
      <c r="S118" s="91" t="str">
        <f t="shared" si="15"/>
        <v/>
      </c>
      <c r="T118" s="92">
        <f>H118*[0]!FMainPool1Fee+I118*[0]!FMainPool2Fee+J118*[0]!FMainPool3Fee+K118*[0]!FMainPool4Fee+B118*[0]!FMainEntryFee</f>
        <v>0</v>
      </c>
      <c r="U118" s="93"/>
      <c r="V118" s="109"/>
      <c r="X118" s="99"/>
      <c r="Y118" s="99"/>
    </row>
    <row r="119" spans="1:25">
      <c r="A119" s="87">
        <f t="shared" si="12"/>
        <v>108</v>
      </c>
      <c r="B119" s="9">
        <v>1</v>
      </c>
      <c r="C119" s="1" t="s">
        <v>112</v>
      </c>
      <c r="D119" s="1" t="s">
        <v>113</v>
      </c>
      <c r="E119" s="2" t="s">
        <v>164</v>
      </c>
      <c r="F119" s="88">
        <v>8054556079</v>
      </c>
      <c r="G119" s="97" t="s">
        <v>155</v>
      </c>
      <c r="H119" s="8">
        <v>1</v>
      </c>
      <c r="I119" s="9">
        <v>1</v>
      </c>
      <c r="J119" s="9">
        <v>1</v>
      </c>
      <c r="K119" s="9">
        <v>1</v>
      </c>
      <c r="L119" s="9">
        <v>1</v>
      </c>
      <c r="M119" s="9"/>
      <c r="N119" s="9"/>
      <c r="O119" s="90">
        <f t="shared" si="13"/>
        <v>0</v>
      </c>
      <c r="P119" s="9" t="s">
        <v>666</v>
      </c>
      <c r="Q119" s="9">
        <v>5878</v>
      </c>
      <c r="R119" s="91">
        <f t="shared" si="14"/>
        <v>160</v>
      </c>
      <c r="S119" s="91" t="str">
        <f t="shared" si="15"/>
        <v/>
      </c>
      <c r="T119" s="92">
        <f>H119*[0]!FMainPool1Fee+I119*[0]!FMainPool2Fee+J119*[0]!FMainPool3Fee+K119*[0]!FMainPool4Fee+B119*[0]!FMainEntryFee</f>
        <v>160</v>
      </c>
      <c r="U119" s="93"/>
      <c r="V119" s="94"/>
      <c r="X119" s="99"/>
      <c r="Y119" s="99"/>
    </row>
    <row r="120" spans="1:25">
      <c r="A120" s="87">
        <f t="shared" si="12"/>
        <v>109</v>
      </c>
      <c r="B120" s="9"/>
      <c r="C120" s="6" t="s">
        <v>264</v>
      </c>
      <c r="D120" s="6" t="s">
        <v>114</v>
      </c>
      <c r="E120" s="7" t="s">
        <v>265</v>
      </c>
      <c r="F120" s="88"/>
      <c r="G120" s="97" t="s">
        <v>385</v>
      </c>
      <c r="H120" s="8"/>
      <c r="I120" s="9"/>
      <c r="J120" s="9"/>
      <c r="K120" s="9"/>
      <c r="L120" s="9"/>
      <c r="M120" s="9"/>
      <c r="N120" s="9"/>
      <c r="O120" s="90">
        <f t="shared" si="13"/>
        <v>0</v>
      </c>
      <c r="P120" s="9"/>
      <c r="Q120" s="9"/>
      <c r="R120" s="91" t="str">
        <f t="shared" si="14"/>
        <v/>
      </c>
      <c r="S120" s="91" t="str">
        <f t="shared" si="15"/>
        <v/>
      </c>
      <c r="T120" s="92">
        <f>H120*[0]!FMainPool1Fee+I120*[0]!FMainPool2Fee+J120*[0]!FMainPool3Fee+K120*[0]!FMainPool4Fee+B120*[0]!FMainEntryFee</f>
        <v>0</v>
      </c>
      <c r="U120" s="93"/>
      <c r="V120" s="94"/>
      <c r="X120" s="99"/>
      <c r="Y120" s="99"/>
    </row>
    <row r="121" spans="1:25">
      <c r="A121" s="87">
        <f t="shared" si="12"/>
        <v>110</v>
      </c>
      <c r="B121" s="9"/>
      <c r="C121" s="6" t="s">
        <v>475</v>
      </c>
      <c r="D121" s="6" t="s">
        <v>96</v>
      </c>
      <c r="E121" s="7" t="s">
        <v>476</v>
      </c>
      <c r="F121" s="96" t="s">
        <v>514</v>
      </c>
      <c r="G121" s="89" t="s">
        <v>515</v>
      </c>
      <c r="H121" s="8"/>
      <c r="I121" s="9"/>
      <c r="J121" s="9"/>
      <c r="K121" s="9"/>
      <c r="L121" s="9"/>
      <c r="M121" s="9"/>
      <c r="N121" s="9"/>
      <c r="O121" s="90">
        <f t="shared" si="13"/>
        <v>0</v>
      </c>
      <c r="P121" s="9"/>
      <c r="Q121" s="9"/>
      <c r="R121" s="91" t="str">
        <f t="shared" si="14"/>
        <v/>
      </c>
      <c r="S121" s="91" t="str">
        <f t="shared" si="15"/>
        <v/>
      </c>
      <c r="T121" s="92">
        <f>H121*[0]!FMainPool1Fee+I121*[0]!FMainPool2Fee+J121*[0]!FMainPool3Fee+K121*[0]!FMainPool4Fee+B121*[0]!FMainEntryFee</f>
        <v>0</v>
      </c>
      <c r="U121" s="93"/>
      <c r="V121" s="98"/>
      <c r="X121" s="99"/>
      <c r="Y121" s="99"/>
    </row>
    <row r="122" spans="1:25">
      <c r="A122" s="87">
        <f t="shared" si="12"/>
        <v>111</v>
      </c>
      <c r="B122" s="9"/>
      <c r="C122" s="6" t="s">
        <v>477</v>
      </c>
      <c r="D122" s="43" t="s">
        <v>96</v>
      </c>
      <c r="E122" s="7" t="s">
        <v>478</v>
      </c>
      <c r="F122" s="109" t="s">
        <v>514</v>
      </c>
      <c r="G122" s="89" t="s">
        <v>516</v>
      </c>
      <c r="H122" s="8"/>
      <c r="I122" s="9"/>
      <c r="J122" s="9"/>
      <c r="K122" s="9"/>
      <c r="L122" s="9"/>
      <c r="M122" s="9"/>
      <c r="N122" s="9"/>
      <c r="O122" s="90">
        <f t="shared" si="13"/>
        <v>0</v>
      </c>
      <c r="P122" s="9"/>
      <c r="Q122" s="9"/>
      <c r="R122" s="91" t="str">
        <f t="shared" si="14"/>
        <v/>
      </c>
      <c r="S122" s="91" t="str">
        <f t="shared" si="15"/>
        <v/>
      </c>
      <c r="T122" s="92">
        <f>H122*[0]!FMainPool1Fee+I122*[0]!FMainPool2Fee+J122*[0]!FMainPool3Fee+K122*[0]!FMainPool4Fee+B122*[0]!FMainEntryFee</f>
        <v>0</v>
      </c>
      <c r="U122" s="93"/>
      <c r="V122" s="94"/>
      <c r="X122" s="99"/>
      <c r="Y122" s="99"/>
    </row>
    <row r="123" spans="1:25">
      <c r="A123" s="87">
        <f t="shared" si="12"/>
        <v>112</v>
      </c>
      <c r="B123" s="9">
        <v>1</v>
      </c>
      <c r="C123" s="6" t="s">
        <v>707</v>
      </c>
      <c r="D123" s="43" t="s">
        <v>5</v>
      </c>
      <c r="E123" s="7" t="s">
        <v>708</v>
      </c>
      <c r="F123" s="109">
        <v>7072279891</v>
      </c>
      <c r="G123" s="89" t="s">
        <v>709</v>
      </c>
      <c r="H123" s="8">
        <v>1</v>
      </c>
      <c r="I123" s="9">
        <v>1</v>
      </c>
      <c r="J123" s="9">
        <v>1</v>
      </c>
      <c r="K123" s="9">
        <v>1</v>
      </c>
      <c r="L123" s="9"/>
      <c r="M123" s="9"/>
      <c r="N123" s="9"/>
      <c r="O123" s="90">
        <f t="shared" si="13"/>
        <v>0</v>
      </c>
      <c r="P123" s="9" t="s">
        <v>671</v>
      </c>
      <c r="Q123" s="9"/>
      <c r="R123" s="91" t="str">
        <f t="shared" si="14"/>
        <v/>
      </c>
      <c r="S123" s="91">
        <f t="shared" si="15"/>
        <v>160</v>
      </c>
      <c r="T123" s="92">
        <f>H123*[0]!FMainPool1Fee+I123*[0]!FMainPool2Fee+J123*[0]!FMainPool3Fee+K123*[0]!FMainPool4Fee+B123*[0]!FMainEntryFee</f>
        <v>160</v>
      </c>
      <c r="U123" s="93"/>
      <c r="V123" s="94" t="s">
        <v>710</v>
      </c>
      <c r="X123" s="99"/>
      <c r="Y123" s="99"/>
    </row>
    <row r="124" spans="1:25">
      <c r="A124" s="87">
        <f t="shared" si="12"/>
        <v>113</v>
      </c>
      <c r="B124" s="9"/>
      <c r="C124" s="6" t="s">
        <v>479</v>
      </c>
      <c r="D124" s="6" t="s">
        <v>480</v>
      </c>
      <c r="E124" s="7" t="s">
        <v>481</v>
      </c>
      <c r="F124" s="109" t="s">
        <v>517</v>
      </c>
      <c r="G124" s="104" t="s">
        <v>518</v>
      </c>
      <c r="H124" s="8"/>
      <c r="I124" s="9"/>
      <c r="J124" s="9"/>
      <c r="K124" s="9"/>
      <c r="L124" s="9"/>
      <c r="M124" s="9"/>
      <c r="N124" s="9"/>
      <c r="O124" s="90">
        <f t="shared" si="13"/>
        <v>0</v>
      </c>
      <c r="P124" s="9"/>
      <c r="Q124" s="9"/>
      <c r="R124" s="91" t="str">
        <f t="shared" si="14"/>
        <v/>
      </c>
      <c r="S124" s="91" t="str">
        <f t="shared" si="15"/>
        <v/>
      </c>
      <c r="T124" s="92">
        <f>H124*[0]!FMainPool1Fee+I124*[0]!FMainPool2Fee+J124*[0]!FMainPool3Fee+K124*[0]!FMainPool4Fee+B124*[0]!FMainEntryFee</f>
        <v>0</v>
      </c>
      <c r="U124" s="93"/>
      <c r="V124" s="94"/>
      <c r="X124" s="99"/>
      <c r="Y124" s="99"/>
    </row>
    <row r="125" spans="1:25">
      <c r="A125" s="87">
        <f t="shared" si="12"/>
        <v>114</v>
      </c>
      <c r="B125" s="9"/>
      <c r="C125" s="6" t="s">
        <v>279</v>
      </c>
      <c r="D125" s="6" t="s">
        <v>5</v>
      </c>
      <c r="E125" s="7" t="s">
        <v>280</v>
      </c>
      <c r="F125" s="88" t="s">
        <v>519</v>
      </c>
      <c r="G125" s="104" t="s">
        <v>520</v>
      </c>
      <c r="H125" s="8"/>
      <c r="I125" s="9"/>
      <c r="J125" s="9"/>
      <c r="K125" s="9"/>
      <c r="L125" s="9"/>
      <c r="M125" s="9"/>
      <c r="N125" s="9"/>
      <c r="O125" s="90">
        <f t="shared" si="13"/>
        <v>0</v>
      </c>
      <c r="P125" s="9"/>
      <c r="Q125" s="9"/>
      <c r="R125" s="91" t="str">
        <f t="shared" si="14"/>
        <v/>
      </c>
      <c r="S125" s="91" t="str">
        <f t="shared" si="15"/>
        <v/>
      </c>
      <c r="T125" s="92">
        <f>H125*[0]!FMainPool1Fee+I125*[0]!FMainPool2Fee+J125*[0]!FMainPool3Fee+K125*[0]!FMainPool4Fee+B125*[0]!FMainEntryFee</f>
        <v>0</v>
      </c>
      <c r="U125" s="93"/>
      <c r="V125" s="109"/>
      <c r="X125" s="99"/>
      <c r="Y125" s="99"/>
    </row>
    <row r="126" spans="1:25">
      <c r="A126" s="87">
        <f t="shared" si="12"/>
        <v>115</v>
      </c>
      <c r="B126" s="9"/>
      <c r="C126" s="6" t="s">
        <v>359</v>
      </c>
      <c r="D126" s="6" t="s">
        <v>360</v>
      </c>
      <c r="E126" s="7" t="s">
        <v>361</v>
      </c>
      <c r="F126" s="88"/>
      <c r="G126" s="97" t="s">
        <v>370</v>
      </c>
      <c r="H126" s="8"/>
      <c r="I126" s="9"/>
      <c r="J126" s="9"/>
      <c r="K126" s="9"/>
      <c r="L126" s="9"/>
      <c r="M126" s="9"/>
      <c r="N126" s="9"/>
      <c r="O126" s="90">
        <f t="shared" si="13"/>
        <v>0</v>
      </c>
      <c r="P126" s="9"/>
      <c r="Q126" s="9"/>
      <c r="R126" s="91" t="str">
        <f t="shared" si="14"/>
        <v/>
      </c>
      <c r="S126" s="91" t="str">
        <f t="shared" si="15"/>
        <v/>
      </c>
      <c r="T126" s="92">
        <f>H126*[0]!FMainPool1Fee+I126*[0]!FMainPool2Fee+J126*[0]!FMainPool3Fee+K126*[0]!FMainPool4Fee+B126*[0]!FMainEntryFee</f>
        <v>0</v>
      </c>
      <c r="U126" s="93"/>
      <c r="V126" s="109"/>
      <c r="X126" s="99"/>
      <c r="Y126" s="99"/>
    </row>
    <row r="127" spans="1:25">
      <c r="A127" s="87">
        <f t="shared" si="12"/>
        <v>116</v>
      </c>
      <c r="B127" s="9">
        <v>1</v>
      </c>
      <c r="C127" s="104" t="s">
        <v>621</v>
      </c>
      <c r="D127" s="104" t="s">
        <v>498</v>
      </c>
      <c r="E127" s="98" t="s">
        <v>624</v>
      </c>
      <c r="F127" s="109">
        <v>7078892101</v>
      </c>
      <c r="G127" s="104"/>
      <c r="H127" s="8">
        <v>1</v>
      </c>
      <c r="I127" s="9">
        <v>1</v>
      </c>
      <c r="J127" s="9">
        <v>1</v>
      </c>
      <c r="K127" s="9"/>
      <c r="L127" s="9"/>
      <c r="M127" s="9"/>
      <c r="N127" s="9">
        <v>1</v>
      </c>
      <c r="O127" s="90">
        <v>110</v>
      </c>
      <c r="P127" s="9" t="s">
        <v>671</v>
      </c>
      <c r="Q127" s="9"/>
      <c r="R127" s="91" t="str">
        <f t="shared" si="14"/>
        <v/>
      </c>
      <c r="S127" s="91">
        <f t="shared" si="15"/>
        <v>110</v>
      </c>
      <c r="T127" s="92">
        <f>H127*[0]!FMainPool1Fee+I127*[0]!FMainPool2Fee+J127*[0]!FMainPool3Fee+K127*[0]!FMainPool4Fee+B127*[0]!FMainEntryFee</f>
        <v>110</v>
      </c>
      <c r="U127" s="93">
        <v>1</v>
      </c>
      <c r="V127" s="94"/>
      <c r="X127" s="99"/>
      <c r="Y127" s="99"/>
    </row>
    <row r="128" spans="1:25">
      <c r="A128" s="87">
        <f t="shared" si="12"/>
        <v>117</v>
      </c>
      <c r="B128" s="9">
        <v>1</v>
      </c>
      <c r="C128" s="1" t="s">
        <v>67</v>
      </c>
      <c r="D128" s="1" t="s">
        <v>5</v>
      </c>
      <c r="E128" s="2" t="s">
        <v>496</v>
      </c>
      <c r="F128" s="116">
        <v>7072242345</v>
      </c>
      <c r="G128" s="97" t="s">
        <v>371</v>
      </c>
      <c r="H128" s="8">
        <v>1</v>
      </c>
      <c r="I128" s="9">
        <v>1</v>
      </c>
      <c r="J128" s="9">
        <v>1</v>
      </c>
      <c r="K128" s="9">
        <v>1</v>
      </c>
      <c r="L128" s="9"/>
      <c r="M128" s="9"/>
      <c r="N128" s="9"/>
      <c r="O128" s="90">
        <f>T128*N128</f>
        <v>0</v>
      </c>
      <c r="P128" s="9" t="s">
        <v>666</v>
      </c>
      <c r="Q128" s="9">
        <v>2491</v>
      </c>
      <c r="R128" s="91">
        <f t="shared" si="14"/>
        <v>160</v>
      </c>
      <c r="S128" s="91" t="str">
        <f t="shared" si="15"/>
        <v/>
      </c>
      <c r="T128" s="92">
        <f>H128*[0]!FMainPool1Fee+I128*[0]!FMainPool2Fee+J128*[0]!FMainPool3Fee+K128*[0]!FMainPool4Fee+B128*[0]!FMainEntryFee</f>
        <v>160</v>
      </c>
      <c r="U128" s="93"/>
      <c r="V128" s="94"/>
      <c r="X128" s="99"/>
      <c r="Y128" s="99"/>
    </row>
    <row r="129" spans="1:25">
      <c r="A129" s="87">
        <f t="shared" si="12"/>
        <v>118</v>
      </c>
      <c r="B129" s="9"/>
      <c r="C129" s="6" t="s">
        <v>314</v>
      </c>
      <c r="D129" s="6" t="s">
        <v>315</v>
      </c>
      <c r="E129" s="7" t="s">
        <v>316</v>
      </c>
      <c r="F129" s="88"/>
      <c r="G129" s="97" t="s">
        <v>396</v>
      </c>
      <c r="H129" s="8"/>
      <c r="I129" s="9"/>
      <c r="J129" s="9"/>
      <c r="K129" s="9"/>
      <c r="L129" s="9"/>
      <c r="M129" s="9"/>
      <c r="N129" s="9"/>
      <c r="O129" s="90">
        <f>T129*N129</f>
        <v>0</v>
      </c>
      <c r="P129" s="9"/>
      <c r="Q129" s="9"/>
      <c r="R129" s="91" t="str">
        <f t="shared" si="14"/>
        <v/>
      </c>
      <c r="S129" s="91" t="str">
        <f t="shared" si="15"/>
        <v/>
      </c>
      <c r="T129" s="92">
        <f>H129*[0]!FMainPool1Fee+I129*[0]!FMainPool2Fee+J129*[0]!FMainPool3Fee+K129*[0]!FMainPool4Fee+B129*[0]!FMainEntryFee</f>
        <v>0</v>
      </c>
      <c r="U129" s="93"/>
      <c r="V129" s="94"/>
      <c r="X129" s="99"/>
      <c r="Y129" s="99"/>
    </row>
    <row r="130" spans="1:25">
      <c r="A130" s="87">
        <f t="shared" si="12"/>
        <v>119</v>
      </c>
      <c r="B130" s="9"/>
      <c r="C130" s="1" t="s">
        <v>31</v>
      </c>
      <c r="D130" s="1" t="s">
        <v>22</v>
      </c>
      <c r="E130" s="2" t="s">
        <v>191</v>
      </c>
      <c r="F130" s="116"/>
      <c r="G130" s="97" t="s">
        <v>397</v>
      </c>
      <c r="H130" s="8"/>
      <c r="I130" s="9"/>
      <c r="J130" s="9"/>
      <c r="K130" s="9"/>
      <c r="L130" s="9"/>
      <c r="M130" s="9"/>
      <c r="N130" s="9"/>
      <c r="O130" s="90">
        <f>T130*N130</f>
        <v>0</v>
      </c>
      <c r="P130" s="9"/>
      <c r="Q130" s="9"/>
      <c r="R130" s="91" t="str">
        <f t="shared" si="14"/>
        <v/>
      </c>
      <c r="S130" s="91" t="str">
        <f t="shared" si="15"/>
        <v/>
      </c>
      <c r="T130" s="92">
        <f>H130*[0]!FMainPool1Fee+I130*[0]!FMainPool2Fee+J130*[0]!FMainPool3Fee+K130*[0]!FMainPool4Fee+B130*[0]!FMainEntryFee</f>
        <v>0</v>
      </c>
      <c r="U130" s="93"/>
      <c r="V130" s="94"/>
      <c r="X130" s="99"/>
      <c r="Y130" s="99"/>
    </row>
    <row r="131" spans="1:25">
      <c r="A131" s="87">
        <f t="shared" si="12"/>
        <v>120</v>
      </c>
      <c r="B131" s="9">
        <v>1</v>
      </c>
      <c r="C131" s="1" t="s">
        <v>672</v>
      </c>
      <c r="D131" s="1"/>
      <c r="E131" s="2" t="s">
        <v>673</v>
      </c>
      <c r="F131" s="116"/>
      <c r="G131" s="89" t="s">
        <v>674</v>
      </c>
      <c r="H131" s="8"/>
      <c r="I131" s="9"/>
      <c r="J131" s="9">
        <v>1</v>
      </c>
      <c r="K131" s="9"/>
      <c r="L131" s="9"/>
      <c r="M131" s="9"/>
      <c r="N131" s="9">
        <v>1</v>
      </c>
      <c r="O131" s="90">
        <v>90</v>
      </c>
      <c r="P131" s="9" t="s">
        <v>671</v>
      </c>
      <c r="Q131" s="9"/>
      <c r="R131" s="91" t="str">
        <f t="shared" si="14"/>
        <v/>
      </c>
      <c r="S131" s="91">
        <f t="shared" si="15"/>
        <v>90</v>
      </c>
      <c r="T131" s="92">
        <f>H131*[0]!FMainPool1Fee+I131*[0]!FMainPool2Fee+J131*[0]!FMainPool3Fee+K131*[0]!FMainPool4Fee+B131*[0]!FMainEntryFee</f>
        <v>90</v>
      </c>
      <c r="U131" s="93"/>
      <c r="V131" s="94"/>
      <c r="X131" s="99"/>
      <c r="Y131" s="99"/>
    </row>
    <row r="132" spans="1:25">
      <c r="A132" s="87">
        <f t="shared" si="12"/>
        <v>121</v>
      </c>
      <c r="B132" s="9"/>
      <c r="C132" s="104" t="s">
        <v>622</v>
      </c>
      <c r="D132" s="104" t="s">
        <v>48</v>
      </c>
      <c r="E132" s="98" t="s">
        <v>623</v>
      </c>
      <c r="F132" s="109"/>
      <c r="G132" s="113" t="s">
        <v>628</v>
      </c>
      <c r="H132" s="8"/>
      <c r="I132" s="9"/>
      <c r="J132" s="9"/>
      <c r="K132" s="9"/>
      <c r="L132" s="9"/>
      <c r="M132" s="9"/>
      <c r="N132" s="9"/>
      <c r="O132" s="90">
        <f t="shared" ref="O132:O163" si="16">T132*N132</f>
        <v>0</v>
      </c>
      <c r="P132" s="9"/>
      <c r="Q132" s="9"/>
      <c r="R132" s="91" t="str">
        <f t="shared" si="14"/>
        <v/>
      </c>
      <c r="S132" s="91" t="str">
        <f t="shared" si="15"/>
        <v/>
      </c>
      <c r="T132" s="92">
        <f>H132*[0]!FMainPool1Fee+I132*[0]!FMainPool2Fee+J132*[0]!FMainPool3Fee+K132*[0]!FMainPool4Fee+B132*[0]!FMainEntryFee</f>
        <v>0</v>
      </c>
      <c r="U132" s="93"/>
      <c r="V132" s="94"/>
      <c r="X132" s="99"/>
      <c r="Y132" s="99"/>
    </row>
    <row r="133" spans="1:25">
      <c r="A133" s="87">
        <f t="shared" si="12"/>
        <v>122</v>
      </c>
      <c r="B133" s="9">
        <v>1</v>
      </c>
      <c r="C133" s="104" t="s">
        <v>724</v>
      </c>
      <c r="D133" s="104" t="s">
        <v>268</v>
      </c>
      <c r="E133" s="98" t="s">
        <v>725</v>
      </c>
      <c r="F133" s="109">
        <v>9254081849</v>
      </c>
      <c r="G133" s="113" t="s">
        <v>726</v>
      </c>
      <c r="H133" s="8">
        <v>1</v>
      </c>
      <c r="I133" s="9"/>
      <c r="J133" s="9"/>
      <c r="K133" s="9"/>
      <c r="L133" s="9"/>
      <c r="M133" s="9"/>
      <c r="N133" s="9"/>
      <c r="O133" s="90">
        <f t="shared" si="16"/>
        <v>0</v>
      </c>
      <c r="P133" s="9" t="s">
        <v>666</v>
      </c>
      <c r="Q133" s="9">
        <v>776</v>
      </c>
      <c r="R133" s="91">
        <f t="shared" si="14"/>
        <v>80</v>
      </c>
      <c r="S133" s="91" t="str">
        <f t="shared" si="15"/>
        <v/>
      </c>
      <c r="T133" s="92">
        <f>H133*[0]!FMainPool1Fee+I133*[0]!FMainPool2Fee+J133*[0]!FMainPool3Fee+K133*[0]!FMainPool4Fee+B133*[0]!FMainEntryFee</f>
        <v>80</v>
      </c>
      <c r="U133" s="93"/>
      <c r="V133" s="94"/>
      <c r="X133" s="99"/>
      <c r="Y133" s="99"/>
    </row>
    <row r="134" spans="1:25">
      <c r="A134" s="87">
        <f t="shared" si="12"/>
        <v>123</v>
      </c>
      <c r="B134" s="9"/>
      <c r="C134" s="6" t="s">
        <v>418</v>
      </c>
      <c r="D134" s="6" t="s">
        <v>30</v>
      </c>
      <c r="E134" s="7" t="s">
        <v>419</v>
      </c>
      <c r="F134" s="88"/>
      <c r="G134" s="97" t="s">
        <v>420</v>
      </c>
      <c r="H134" s="8"/>
      <c r="I134" s="9"/>
      <c r="J134" s="9"/>
      <c r="K134" s="9"/>
      <c r="L134" s="9"/>
      <c r="M134" s="9"/>
      <c r="N134" s="9"/>
      <c r="O134" s="90">
        <f t="shared" si="16"/>
        <v>0</v>
      </c>
      <c r="P134" s="9"/>
      <c r="Q134" s="9"/>
      <c r="R134" s="91" t="str">
        <f t="shared" si="14"/>
        <v/>
      </c>
      <c r="S134" s="91" t="str">
        <f t="shared" si="15"/>
        <v/>
      </c>
      <c r="T134" s="92">
        <f>H134*[0]!FMainPool1Fee+I134*[0]!FMainPool2Fee+J134*[0]!FMainPool3Fee+K134*[0]!FMainPool4Fee+B134*[0]!FMainEntryFee</f>
        <v>0</v>
      </c>
      <c r="U134" s="93"/>
      <c r="V134" s="109"/>
      <c r="W134" s="101"/>
      <c r="X134" s="99"/>
      <c r="Y134" s="99"/>
    </row>
    <row r="135" spans="1:25">
      <c r="A135" s="87">
        <f t="shared" si="12"/>
        <v>124</v>
      </c>
      <c r="B135" s="9"/>
      <c r="C135" s="6" t="s">
        <v>382</v>
      </c>
      <c r="D135" s="6" t="s">
        <v>383</v>
      </c>
      <c r="E135" s="7"/>
      <c r="F135" s="111"/>
      <c r="G135" s="97" t="s">
        <v>384</v>
      </c>
      <c r="H135" s="8"/>
      <c r="I135" s="9"/>
      <c r="J135" s="9"/>
      <c r="K135" s="9"/>
      <c r="L135" s="9"/>
      <c r="M135" s="9"/>
      <c r="N135" s="9"/>
      <c r="O135" s="90">
        <f t="shared" si="16"/>
        <v>0</v>
      </c>
      <c r="P135" s="9"/>
      <c r="Q135" s="9"/>
      <c r="R135" s="91" t="str">
        <f t="shared" si="14"/>
        <v/>
      </c>
      <c r="S135" s="91" t="str">
        <f t="shared" si="15"/>
        <v/>
      </c>
      <c r="T135" s="92">
        <f>H135*[0]!FMainPool1Fee+I135*[0]!FMainPool2Fee+J135*[0]!FMainPool3Fee+K135*[0]!FMainPool4Fee+B135*[0]!FMainEntryFee</f>
        <v>0</v>
      </c>
      <c r="U135" s="93"/>
      <c r="V135" s="98"/>
      <c r="X135" s="99"/>
      <c r="Y135" s="99"/>
    </row>
    <row r="136" spans="1:25">
      <c r="A136" s="87">
        <f t="shared" si="12"/>
        <v>125</v>
      </c>
      <c r="B136" s="9">
        <v>1</v>
      </c>
      <c r="C136" s="1" t="s">
        <v>75</v>
      </c>
      <c r="D136" s="1" t="s">
        <v>76</v>
      </c>
      <c r="E136" s="2" t="s">
        <v>174</v>
      </c>
      <c r="F136" s="116">
        <v>8315952169</v>
      </c>
      <c r="G136" s="97" t="s">
        <v>500</v>
      </c>
      <c r="H136" s="8">
        <v>1</v>
      </c>
      <c r="I136" s="9">
        <v>1</v>
      </c>
      <c r="J136" s="9">
        <v>1</v>
      </c>
      <c r="K136" s="9"/>
      <c r="L136" s="9"/>
      <c r="M136" s="9">
        <v>1</v>
      </c>
      <c r="N136" s="9"/>
      <c r="O136" s="90">
        <f t="shared" si="16"/>
        <v>0</v>
      </c>
      <c r="P136" s="9" t="s">
        <v>666</v>
      </c>
      <c r="Q136" s="9">
        <v>16285</v>
      </c>
      <c r="R136" s="91">
        <f t="shared" si="14"/>
        <v>110</v>
      </c>
      <c r="S136" s="91" t="str">
        <f t="shared" si="15"/>
        <v/>
      </c>
      <c r="T136" s="92">
        <f>H136*[0]!FMainPool1Fee+I136*[0]!FMainPool2Fee+J136*[0]!FMainPool3Fee+K136*[0]!FMainPool4Fee+B136*[0]!FMainEntryFee</f>
        <v>110</v>
      </c>
      <c r="U136" s="93"/>
      <c r="V136" s="109" t="s">
        <v>701</v>
      </c>
      <c r="X136" s="99"/>
      <c r="Y136" s="99"/>
    </row>
    <row r="137" spans="1:25">
      <c r="A137" s="87">
        <f t="shared" si="12"/>
        <v>126</v>
      </c>
      <c r="B137" s="9"/>
      <c r="C137" s="6" t="s">
        <v>408</v>
      </c>
      <c r="D137" s="6" t="s">
        <v>9</v>
      </c>
      <c r="E137" s="7" t="s">
        <v>409</v>
      </c>
      <c r="F137" s="88"/>
      <c r="G137" s="97" t="s">
        <v>410</v>
      </c>
      <c r="H137" s="8"/>
      <c r="I137" s="9"/>
      <c r="J137" s="9"/>
      <c r="K137" s="9"/>
      <c r="L137" s="9"/>
      <c r="M137" s="9"/>
      <c r="N137" s="9"/>
      <c r="O137" s="90">
        <f t="shared" si="16"/>
        <v>0</v>
      </c>
      <c r="P137" s="9"/>
      <c r="Q137" s="9"/>
      <c r="R137" s="91" t="str">
        <f t="shared" si="14"/>
        <v/>
      </c>
      <c r="S137" s="91" t="str">
        <f t="shared" si="15"/>
        <v/>
      </c>
      <c r="T137" s="92">
        <f>H137*[0]!FMainPool1Fee+I137*[0]!FMainPool2Fee+J137*[0]!FMainPool3Fee+K137*[0]!FMainPool4Fee+B137*[0]!FMainEntryFee</f>
        <v>0</v>
      </c>
      <c r="U137" s="93"/>
      <c r="V137" s="103"/>
      <c r="X137" s="99"/>
      <c r="Y137" s="99"/>
    </row>
    <row r="138" spans="1:25">
      <c r="A138" s="87">
        <f t="shared" si="12"/>
        <v>127</v>
      </c>
      <c r="B138" s="9"/>
      <c r="C138" s="6" t="s">
        <v>159</v>
      </c>
      <c r="D138" s="6" t="s">
        <v>111</v>
      </c>
      <c r="E138" s="7" t="s">
        <v>201</v>
      </c>
      <c r="F138" s="88"/>
      <c r="G138" s="97" t="s">
        <v>398</v>
      </c>
      <c r="H138" s="8"/>
      <c r="I138" s="9"/>
      <c r="J138" s="9"/>
      <c r="K138" s="9"/>
      <c r="L138" s="9"/>
      <c r="M138" s="9"/>
      <c r="N138" s="9"/>
      <c r="O138" s="90">
        <f t="shared" si="16"/>
        <v>0</v>
      </c>
      <c r="P138" s="9"/>
      <c r="Q138" s="9"/>
      <c r="R138" s="91" t="str">
        <f t="shared" si="14"/>
        <v/>
      </c>
      <c r="S138" s="91" t="str">
        <f t="shared" si="15"/>
        <v/>
      </c>
      <c r="T138" s="92">
        <f>H138*[0]!FMainPool1Fee+I138*[0]!FMainPool2Fee+J138*[0]!FMainPool3Fee+K138*[0]!FMainPool4Fee+B138*[0]!FMainEntryFee</f>
        <v>0</v>
      </c>
      <c r="U138" s="93"/>
      <c r="V138" s="109"/>
      <c r="X138" s="99"/>
      <c r="Y138" s="99"/>
    </row>
    <row r="139" spans="1:25">
      <c r="A139" s="87">
        <f t="shared" si="12"/>
        <v>128</v>
      </c>
      <c r="B139" s="9"/>
      <c r="C139" s="104" t="s">
        <v>625</v>
      </c>
      <c r="D139" s="104" t="s">
        <v>626</v>
      </c>
      <c r="E139" s="98" t="s">
        <v>612</v>
      </c>
      <c r="F139" s="109"/>
      <c r="G139" s="89" t="s">
        <v>627</v>
      </c>
      <c r="H139" s="8"/>
      <c r="I139" s="9"/>
      <c r="J139" s="9"/>
      <c r="K139" s="9"/>
      <c r="L139" s="9"/>
      <c r="M139" s="9"/>
      <c r="N139" s="9"/>
      <c r="O139" s="90">
        <f t="shared" si="16"/>
        <v>0</v>
      </c>
      <c r="P139" s="9"/>
      <c r="Q139" s="9"/>
      <c r="R139" s="91" t="str">
        <f t="shared" si="14"/>
        <v/>
      </c>
      <c r="S139" s="91" t="str">
        <f t="shared" si="15"/>
        <v/>
      </c>
      <c r="T139" s="92">
        <f>H139*[0]!FMainPool1Fee+I139*[0]!FMainPool2Fee+J139*[0]!FMainPool3Fee+K139*[0]!FMainPool4Fee+B139*[0]!FMainEntryFee</f>
        <v>0</v>
      </c>
      <c r="U139" s="93"/>
      <c r="V139" s="94"/>
      <c r="X139" s="99"/>
      <c r="Y139" s="99"/>
    </row>
    <row r="140" spans="1:25">
      <c r="A140" s="87">
        <f t="shared" si="12"/>
        <v>129</v>
      </c>
      <c r="B140" s="9"/>
      <c r="C140" s="6" t="s">
        <v>380</v>
      </c>
      <c r="D140" s="6" t="s">
        <v>96</v>
      </c>
      <c r="E140" s="7"/>
      <c r="F140" s="88"/>
      <c r="G140" s="97" t="s">
        <v>381</v>
      </c>
      <c r="H140" s="8"/>
      <c r="I140" s="9"/>
      <c r="J140" s="9"/>
      <c r="K140" s="9"/>
      <c r="L140" s="9"/>
      <c r="M140" s="9"/>
      <c r="N140" s="9"/>
      <c r="O140" s="90">
        <f t="shared" si="16"/>
        <v>0</v>
      </c>
      <c r="P140" s="9"/>
      <c r="Q140" s="9"/>
      <c r="R140" s="91" t="str">
        <f t="shared" si="14"/>
        <v/>
      </c>
      <c r="S140" s="91" t="str">
        <f t="shared" si="15"/>
        <v/>
      </c>
      <c r="T140" s="92">
        <f>H140*[0]!FMainPool1Fee+I140*[0]!FMainPool2Fee+J140*[0]!FMainPool3Fee+K140*[0]!FMainPool4Fee+B140*[0]!FMainEntryFee</f>
        <v>0</v>
      </c>
      <c r="U140" s="93"/>
      <c r="V140" s="94"/>
      <c r="X140" s="99"/>
      <c r="Y140" s="99"/>
    </row>
    <row r="141" spans="1:25">
      <c r="A141" s="87">
        <f t="shared" si="12"/>
        <v>130</v>
      </c>
      <c r="B141" s="9">
        <v>1</v>
      </c>
      <c r="C141" s="1" t="s">
        <v>24</v>
      </c>
      <c r="D141" s="1" t="s">
        <v>25</v>
      </c>
      <c r="E141" s="2" t="s">
        <v>179</v>
      </c>
      <c r="F141" s="116">
        <v>9253780132</v>
      </c>
      <c r="G141" s="97" t="s">
        <v>136</v>
      </c>
      <c r="H141" s="8">
        <v>1</v>
      </c>
      <c r="I141" s="9">
        <v>1</v>
      </c>
      <c r="J141" s="9">
        <v>1</v>
      </c>
      <c r="K141" s="9"/>
      <c r="L141" s="9"/>
      <c r="M141" s="9"/>
      <c r="N141" s="9"/>
      <c r="O141" s="90">
        <f t="shared" si="16"/>
        <v>0</v>
      </c>
      <c r="P141" s="9" t="s">
        <v>666</v>
      </c>
      <c r="Q141" s="9">
        <v>5196</v>
      </c>
      <c r="R141" s="91">
        <f t="shared" si="14"/>
        <v>110</v>
      </c>
      <c r="S141" s="91" t="str">
        <f t="shared" si="15"/>
        <v/>
      </c>
      <c r="T141" s="92">
        <f>H141*[0]!FMainPool1Fee+I141*[0]!FMainPool2Fee+J141*[0]!FMainPool3Fee+K141*[0]!FMainPool4Fee+B141*[0]!FMainEntryFee</f>
        <v>110</v>
      </c>
      <c r="U141" s="93">
        <v>1</v>
      </c>
      <c r="V141" s="94"/>
      <c r="X141" s="99"/>
      <c r="Y141" s="99"/>
    </row>
    <row r="142" spans="1:25">
      <c r="A142" s="87">
        <f t="shared" si="12"/>
        <v>131</v>
      </c>
      <c r="B142" s="9"/>
      <c r="C142" s="6" t="s">
        <v>443</v>
      </c>
      <c r="D142" s="6" t="s">
        <v>50</v>
      </c>
      <c r="E142" s="7" t="s">
        <v>444</v>
      </c>
      <c r="F142" s="88">
        <v>8057047967</v>
      </c>
      <c r="G142" s="97"/>
      <c r="H142" s="8"/>
      <c r="I142" s="9"/>
      <c r="J142" s="9"/>
      <c r="K142" s="9"/>
      <c r="L142" s="9"/>
      <c r="M142" s="9"/>
      <c r="N142" s="9"/>
      <c r="O142" s="90">
        <f t="shared" si="16"/>
        <v>0</v>
      </c>
      <c r="P142" s="9"/>
      <c r="Q142" s="9"/>
      <c r="R142" s="91" t="str">
        <f t="shared" ref="R142:R162" si="17">IF(OR(P142="c",P142="C"),+T142,"")</f>
        <v/>
      </c>
      <c r="S142" s="91" t="str">
        <f t="shared" ref="S142:S173" si="18">IF(OR(P142="$",N142=1),+T142,"")</f>
        <v/>
      </c>
      <c r="T142" s="92">
        <f>H142*[0]!FMainPool1Fee+I142*[0]!FMainPool2Fee+J142*[0]!FMainPool3Fee+K142*[0]!FMainPool4Fee+B142*[0]!FMainEntryFee</f>
        <v>0</v>
      </c>
      <c r="U142" s="93"/>
      <c r="V142" s="109"/>
      <c r="W142"/>
      <c r="X142" s="99"/>
      <c r="Y142" s="99"/>
    </row>
    <row r="143" spans="1:25">
      <c r="A143" s="87">
        <f t="shared" ref="A143:A207" si="19">ROW() - ROW(FRegentiresEneteredHdr)</f>
        <v>132</v>
      </c>
      <c r="B143" s="9"/>
      <c r="C143" s="1" t="s">
        <v>142</v>
      </c>
      <c r="D143" s="1" t="s">
        <v>12</v>
      </c>
      <c r="E143" s="2" t="s">
        <v>181</v>
      </c>
      <c r="F143" s="116"/>
      <c r="G143" s="97" t="s">
        <v>141</v>
      </c>
      <c r="H143" s="8"/>
      <c r="I143" s="9"/>
      <c r="J143" s="9"/>
      <c r="K143" s="9"/>
      <c r="L143" s="9"/>
      <c r="M143" s="9"/>
      <c r="N143" s="9"/>
      <c r="O143" s="90">
        <f t="shared" si="16"/>
        <v>0</v>
      </c>
      <c r="P143" s="9"/>
      <c r="Q143" s="9"/>
      <c r="R143" s="91" t="str">
        <f t="shared" si="17"/>
        <v/>
      </c>
      <c r="S143" s="91" t="str">
        <f t="shared" si="18"/>
        <v/>
      </c>
      <c r="T143" s="92">
        <f>H143*[0]!FMainPool1Fee+I143*[0]!FMainPool2Fee+J143*[0]!FMainPool3Fee+K143*[0]!FMainPool4Fee+B143*[0]!FMainEntryFee</f>
        <v>0</v>
      </c>
      <c r="U143" s="93"/>
      <c r="V143" s="94"/>
      <c r="X143" s="99"/>
      <c r="Y143" s="99"/>
    </row>
    <row r="144" spans="1:25">
      <c r="A144" s="87">
        <f t="shared" si="19"/>
        <v>133</v>
      </c>
      <c r="B144" s="9"/>
      <c r="C144" s="6" t="s">
        <v>345</v>
      </c>
      <c r="D144" s="6" t="s">
        <v>346</v>
      </c>
      <c r="E144" s="7" t="s">
        <v>347</v>
      </c>
      <c r="F144" s="88"/>
      <c r="G144" s="97"/>
      <c r="H144" s="8"/>
      <c r="I144" s="9"/>
      <c r="J144" s="9"/>
      <c r="K144" s="9"/>
      <c r="L144" s="9"/>
      <c r="M144" s="9"/>
      <c r="N144" s="9"/>
      <c r="O144" s="90">
        <f t="shared" si="16"/>
        <v>0</v>
      </c>
      <c r="P144" s="9"/>
      <c r="Q144" s="9"/>
      <c r="R144" s="91" t="str">
        <f t="shared" si="17"/>
        <v/>
      </c>
      <c r="S144" s="91" t="str">
        <f t="shared" si="18"/>
        <v/>
      </c>
      <c r="T144" s="92">
        <f>H144*[0]!FMainPool1Fee+I144*[0]!FMainPool2Fee+J144*[0]!FMainPool3Fee+K144*[0]!FMainPool4Fee+B144*[0]!FMainEntryFee</f>
        <v>0</v>
      </c>
      <c r="U144" s="93"/>
      <c r="V144" s="94"/>
      <c r="W144" s="101"/>
      <c r="X144" s="99"/>
      <c r="Y144" s="99"/>
    </row>
    <row r="145" spans="1:25">
      <c r="A145" s="87">
        <f t="shared" si="19"/>
        <v>134</v>
      </c>
      <c r="B145" s="9"/>
      <c r="C145" s="1" t="s">
        <v>16</v>
      </c>
      <c r="D145" s="1" t="s">
        <v>15</v>
      </c>
      <c r="E145" s="2" t="s">
        <v>219</v>
      </c>
      <c r="F145" s="116"/>
      <c r="G145" s="97" t="s">
        <v>372</v>
      </c>
      <c r="H145" s="8"/>
      <c r="I145" s="9"/>
      <c r="J145" s="9"/>
      <c r="K145" s="9"/>
      <c r="L145" s="9"/>
      <c r="M145" s="9"/>
      <c r="N145" s="9"/>
      <c r="O145" s="90">
        <f t="shared" si="16"/>
        <v>0</v>
      </c>
      <c r="P145" s="9"/>
      <c r="Q145" s="9"/>
      <c r="R145" s="91" t="str">
        <f t="shared" si="17"/>
        <v/>
      </c>
      <c r="S145" s="91" t="str">
        <f t="shared" si="18"/>
        <v/>
      </c>
      <c r="T145" s="92">
        <f>H145*[0]!FMainPool1Fee+I145*[0]!FMainPool2Fee+J145*[0]!FMainPool3Fee+K145*[0]!FMainPool4Fee+B145*[0]!FMainEntryFee</f>
        <v>0</v>
      </c>
      <c r="U145" s="93"/>
      <c r="V145" s="94"/>
      <c r="X145" s="99"/>
      <c r="Y145" s="99"/>
    </row>
    <row r="146" spans="1:25">
      <c r="A146" s="87">
        <f t="shared" si="19"/>
        <v>135</v>
      </c>
      <c r="B146" s="9"/>
      <c r="C146" s="6" t="s">
        <v>318</v>
      </c>
      <c r="D146" s="6" t="s">
        <v>319</v>
      </c>
      <c r="E146" s="7" t="s">
        <v>320</v>
      </c>
      <c r="F146" s="88"/>
      <c r="G146" s="97" t="s">
        <v>355</v>
      </c>
      <c r="H146" s="8"/>
      <c r="I146" s="9"/>
      <c r="J146" s="9"/>
      <c r="K146" s="9"/>
      <c r="L146" s="9"/>
      <c r="M146" s="9"/>
      <c r="N146" s="9"/>
      <c r="O146" s="90">
        <f t="shared" si="16"/>
        <v>0</v>
      </c>
      <c r="P146" s="9"/>
      <c r="Q146" s="9"/>
      <c r="R146" s="91" t="str">
        <f t="shared" si="17"/>
        <v/>
      </c>
      <c r="S146" s="91" t="str">
        <f t="shared" si="18"/>
        <v/>
      </c>
      <c r="T146" s="92">
        <f>H146*[0]!FMainPool1Fee+I146*[0]!FMainPool2Fee+J146*[0]!FMainPool3Fee+K146*[0]!FMainPool4Fee+B146*[0]!FMainEntryFee</f>
        <v>0</v>
      </c>
      <c r="U146" s="93"/>
      <c r="V146" s="94"/>
      <c r="W146" s="101"/>
      <c r="X146" s="99"/>
      <c r="Y146" s="99"/>
    </row>
    <row r="147" spans="1:25">
      <c r="A147" s="87">
        <f t="shared" si="19"/>
        <v>136</v>
      </c>
      <c r="B147" s="9"/>
      <c r="C147" s="6" t="s">
        <v>350</v>
      </c>
      <c r="D147" s="6" t="s">
        <v>289</v>
      </c>
      <c r="E147" s="7" t="s">
        <v>351</v>
      </c>
      <c r="F147" s="88"/>
      <c r="G147" s="97" t="s">
        <v>373</v>
      </c>
      <c r="H147" s="8"/>
      <c r="I147" s="9"/>
      <c r="J147" s="9"/>
      <c r="K147" s="9"/>
      <c r="L147" s="9"/>
      <c r="M147" s="9"/>
      <c r="N147" s="9"/>
      <c r="O147" s="90">
        <f t="shared" si="16"/>
        <v>0</v>
      </c>
      <c r="P147" s="9"/>
      <c r="Q147" s="9"/>
      <c r="R147" s="91" t="str">
        <f t="shared" si="17"/>
        <v/>
      </c>
      <c r="S147" s="91" t="str">
        <f t="shared" si="18"/>
        <v/>
      </c>
      <c r="T147" s="92">
        <f>H147*[0]!FMainPool1Fee+I147*[0]!FMainPool2Fee+J147*[0]!FMainPool3Fee+K147*[0]!FMainPool4Fee+B147*[0]!FMainEntryFee</f>
        <v>0</v>
      </c>
      <c r="U147" s="93"/>
      <c r="V147" s="94"/>
      <c r="W147" s="101"/>
      <c r="X147" s="99"/>
      <c r="Y147" s="99"/>
    </row>
    <row r="148" spans="1:25">
      <c r="A148" s="87">
        <f t="shared" si="19"/>
        <v>137</v>
      </c>
      <c r="B148" s="9">
        <v>1</v>
      </c>
      <c r="C148" s="6" t="s">
        <v>157</v>
      </c>
      <c r="D148" s="6" t="s">
        <v>15</v>
      </c>
      <c r="E148" s="7" t="s">
        <v>200</v>
      </c>
      <c r="F148" s="111">
        <v>7074845031</v>
      </c>
      <c r="G148" s="97" t="s">
        <v>158</v>
      </c>
      <c r="H148" s="8">
        <v>1</v>
      </c>
      <c r="I148" s="9">
        <v>1</v>
      </c>
      <c r="J148" s="9">
        <v>1</v>
      </c>
      <c r="K148" s="9"/>
      <c r="L148" s="9"/>
      <c r="M148" s="9"/>
      <c r="N148" s="9"/>
      <c r="O148" s="90">
        <f t="shared" si="16"/>
        <v>0</v>
      </c>
      <c r="P148" s="9" t="s">
        <v>666</v>
      </c>
      <c r="Q148" s="9">
        <v>7346</v>
      </c>
      <c r="R148" s="91">
        <f t="shared" si="17"/>
        <v>110</v>
      </c>
      <c r="S148" s="91" t="str">
        <f t="shared" si="18"/>
        <v/>
      </c>
      <c r="T148" s="92">
        <f>H148*[0]!FMainPool1Fee+I148*[0]!FMainPool2Fee+J148*[0]!FMainPool3Fee+K148*[0]!FMainPool4Fee+B148*[0]!FMainEntryFee</f>
        <v>110</v>
      </c>
      <c r="U148" s="93"/>
      <c r="V148" s="98"/>
      <c r="X148" s="99"/>
      <c r="Y148" s="99"/>
    </row>
    <row r="149" spans="1:25">
      <c r="A149" s="87">
        <f t="shared" si="19"/>
        <v>138</v>
      </c>
      <c r="B149" s="9"/>
      <c r="C149" s="6" t="s">
        <v>291</v>
      </c>
      <c r="D149" s="6" t="s">
        <v>58</v>
      </c>
      <c r="E149" s="7" t="s">
        <v>292</v>
      </c>
      <c r="F149" s="88"/>
      <c r="G149" s="97" t="s">
        <v>294</v>
      </c>
      <c r="H149" s="8"/>
      <c r="I149" s="9"/>
      <c r="J149" s="9"/>
      <c r="K149" s="9"/>
      <c r="L149" s="9"/>
      <c r="M149" s="9"/>
      <c r="N149" s="9"/>
      <c r="O149" s="90">
        <f t="shared" si="16"/>
        <v>0</v>
      </c>
      <c r="P149" s="9"/>
      <c r="Q149" s="9"/>
      <c r="R149" s="91" t="str">
        <f t="shared" si="17"/>
        <v/>
      </c>
      <c r="S149" s="91" t="str">
        <f t="shared" si="18"/>
        <v/>
      </c>
      <c r="T149" s="92">
        <f>H149*[0]!FMainPool1Fee+I149*[0]!FMainPool2Fee+J149*[0]!FMainPool3Fee+K149*[0]!FMainPool4Fee+B149*[0]!FMainEntryFee</f>
        <v>0</v>
      </c>
      <c r="U149" s="93"/>
      <c r="V149" s="109"/>
      <c r="X149" s="99"/>
      <c r="Y149" s="99"/>
    </row>
    <row r="150" spans="1:25">
      <c r="A150" s="87">
        <f t="shared" si="19"/>
        <v>139</v>
      </c>
      <c r="B150" s="9"/>
      <c r="C150" s="6" t="s">
        <v>127</v>
      </c>
      <c r="D150" s="6" t="s">
        <v>128</v>
      </c>
      <c r="E150" s="7" t="s">
        <v>220</v>
      </c>
      <c r="F150" s="88"/>
      <c r="G150" s="97"/>
      <c r="H150" s="8"/>
      <c r="I150" s="9"/>
      <c r="J150" s="9"/>
      <c r="K150" s="9"/>
      <c r="L150" s="9"/>
      <c r="M150" s="9"/>
      <c r="N150" s="9"/>
      <c r="O150" s="90">
        <f t="shared" si="16"/>
        <v>0</v>
      </c>
      <c r="P150" s="9"/>
      <c r="Q150" s="9"/>
      <c r="R150" s="91" t="str">
        <f t="shared" si="17"/>
        <v/>
      </c>
      <c r="S150" s="91" t="str">
        <f t="shared" si="18"/>
        <v/>
      </c>
      <c r="T150" s="92">
        <f>H150*[0]!FMainPool1Fee+I150*[0]!FMainPool2Fee+J150*[0]!FMainPool3Fee+K150*[0]!FMainPool4Fee+B150*[0]!FMainEntryFee</f>
        <v>0</v>
      </c>
      <c r="U150" s="93"/>
      <c r="V150" s="94"/>
      <c r="X150" s="99"/>
      <c r="Y150" s="99"/>
    </row>
    <row r="151" spans="1:25">
      <c r="A151" s="87">
        <f t="shared" si="19"/>
        <v>140</v>
      </c>
      <c r="B151" s="9">
        <v>1</v>
      </c>
      <c r="C151" s="104" t="s">
        <v>631</v>
      </c>
      <c r="D151" s="104" t="s">
        <v>39</v>
      </c>
      <c r="E151" s="98" t="s">
        <v>632</v>
      </c>
      <c r="F151" s="109"/>
      <c r="G151" s="104"/>
      <c r="H151" s="8">
        <v>1</v>
      </c>
      <c r="I151" s="9"/>
      <c r="J151" s="9">
        <v>1</v>
      </c>
      <c r="K151" s="9"/>
      <c r="L151" s="9"/>
      <c r="M151" s="9"/>
      <c r="N151" s="9">
        <v>1</v>
      </c>
      <c r="O151" s="90">
        <f t="shared" si="16"/>
        <v>100</v>
      </c>
      <c r="P151" s="9" t="s">
        <v>671</v>
      </c>
      <c r="Q151" s="9"/>
      <c r="R151" s="91" t="str">
        <f t="shared" si="17"/>
        <v/>
      </c>
      <c r="S151" s="91">
        <f t="shared" si="18"/>
        <v>100</v>
      </c>
      <c r="T151" s="92">
        <f>H151*[0]!FMainPool1Fee+I151*[0]!FMainPool2Fee+J151*[0]!FMainPool3Fee+K151*[0]!FMainPool4Fee+B151*[0]!FMainEntryFee</f>
        <v>100</v>
      </c>
      <c r="U151" s="93"/>
      <c r="V151" s="94"/>
      <c r="X151" s="99"/>
      <c r="Y151" s="99"/>
    </row>
    <row r="152" spans="1:25">
      <c r="A152" s="87">
        <f t="shared" si="19"/>
        <v>141</v>
      </c>
      <c r="B152" s="9">
        <v>1</v>
      </c>
      <c r="C152" s="1" t="s">
        <v>23</v>
      </c>
      <c r="D152" s="1" t="s">
        <v>5</v>
      </c>
      <c r="E152" s="2" t="s">
        <v>221</v>
      </c>
      <c r="F152" s="116">
        <v>5105046905</v>
      </c>
      <c r="G152" s="89" t="s">
        <v>521</v>
      </c>
      <c r="H152" s="8">
        <v>1</v>
      </c>
      <c r="I152" s="9">
        <v>1</v>
      </c>
      <c r="J152" s="9">
        <v>1</v>
      </c>
      <c r="K152" s="9">
        <v>1</v>
      </c>
      <c r="L152" s="9">
        <v>1</v>
      </c>
      <c r="M152" s="9"/>
      <c r="N152" s="9"/>
      <c r="O152" s="90">
        <f t="shared" si="16"/>
        <v>0</v>
      </c>
      <c r="P152" s="9" t="s">
        <v>666</v>
      </c>
      <c r="Q152" s="9">
        <v>4939</v>
      </c>
      <c r="R152" s="91">
        <f t="shared" si="17"/>
        <v>160</v>
      </c>
      <c r="S152" s="91" t="str">
        <f t="shared" si="18"/>
        <v/>
      </c>
      <c r="T152" s="92">
        <f>H152*[0]!FMainPool1Fee+I152*[0]!FMainPool2Fee+J152*[0]!FMainPool3Fee+K152*[0]!FMainPool4Fee+B152*[0]!FMainEntryFee</f>
        <v>160</v>
      </c>
      <c r="U152" s="93">
        <v>1</v>
      </c>
      <c r="V152" s="94"/>
      <c r="W152" s="101"/>
      <c r="X152" s="99"/>
      <c r="Y152" s="99"/>
    </row>
    <row r="153" spans="1:25">
      <c r="A153" s="87">
        <f t="shared" si="19"/>
        <v>142</v>
      </c>
      <c r="B153" s="9">
        <v>1</v>
      </c>
      <c r="C153" s="6" t="s">
        <v>261</v>
      </c>
      <c r="D153" s="6" t="s">
        <v>263</v>
      </c>
      <c r="E153" s="7" t="s">
        <v>262</v>
      </c>
      <c r="F153" s="109" t="s">
        <v>522</v>
      </c>
      <c r="G153" s="97" t="s">
        <v>286</v>
      </c>
      <c r="H153" s="8">
        <v>1</v>
      </c>
      <c r="I153" s="9">
        <v>1</v>
      </c>
      <c r="J153" s="9">
        <v>1</v>
      </c>
      <c r="K153" s="9">
        <v>1</v>
      </c>
      <c r="L153" s="9"/>
      <c r="M153" s="9"/>
      <c r="N153" s="9"/>
      <c r="O153" s="90">
        <f t="shared" si="16"/>
        <v>0</v>
      </c>
      <c r="P153" s="9" t="s">
        <v>666</v>
      </c>
      <c r="Q153" s="9">
        <v>141</v>
      </c>
      <c r="R153" s="91">
        <f t="shared" si="17"/>
        <v>160</v>
      </c>
      <c r="S153" s="91" t="str">
        <f t="shared" si="18"/>
        <v/>
      </c>
      <c r="T153" s="92">
        <f>H153*[0]!FMainPool1Fee+I153*[0]!FMainPool2Fee+J153*[0]!FMainPool3Fee+K153*[0]!FMainPool4Fee+B153*[0]!FMainEntryFee</f>
        <v>160</v>
      </c>
      <c r="U153" s="93"/>
      <c r="V153" s="94"/>
      <c r="X153" s="99"/>
      <c r="Y153" s="99"/>
    </row>
    <row r="154" spans="1:25">
      <c r="A154" s="87">
        <f t="shared" si="19"/>
        <v>143</v>
      </c>
      <c r="B154" s="9">
        <v>1</v>
      </c>
      <c r="C154" s="6" t="s">
        <v>685</v>
      </c>
      <c r="D154" s="6" t="s">
        <v>43</v>
      </c>
      <c r="E154" s="7" t="s">
        <v>686</v>
      </c>
      <c r="F154" s="109">
        <v>4086670073</v>
      </c>
      <c r="G154" s="115" t="s">
        <v>687</v>
      </c>
      <c r="H154" s="8"/>
      <c r="I154" s="9"/>
      <c r="J154" s="9"/>
      <c r="K154" s="9"/>
      <c r="L154" s="9"/>
      <c r="M154" s="9"/>
      <c r="N154" s="9"/>
      <c r="O154" s="90">
        <f t="shared" si="16"/>
        <v>0</v>
      </c>
      <c r="P154" s="9" t="s">
        <v>666</v>
      </c>
      <c r="Q154" s="9">
        <v>1034</v>
      </c>
      <c r="R154" s="91">
        <f t="shared" si="17"/>
        <v>70</v>
      </c>
      <c r="S154" s="91" t="str">
        <f t="shared" si="18"/>
        <v/>
      </c>
      <c r="T154" s="92">
        <f>H154*[0]!FMainPool1Fee+I154*[0]!FMainPool2Fee+J154*[0]!FMainPool3Fee+K154*[0]!FMainPool4Fee+B154*[0]!FMainEntryFee</f>
        <v>70</v>
      </c>
      <c r="U154" s="93"/>
      <c r="V154" s="94"/>
      <c r="X154" s="99"/>
      <c r="Y154" s="99"/>
    </row>
    <row r="155" spans="1:25">
      <c r="A155" s="87">
        <f t="shared" si="19"/>
        <v>144</v>
      </c>
      <c r="B155" s="9"/>
      <c r="C155" s="1" t="s">
        <v>51</v>
      </c>
      <c r="D155" s="1" t="s">
        <v>52</v>
      </c>
      <c r="E155" s="2" t="s">
        <v>238</v>
      </c>
      <c r="F155" s="116">
        <v>9167697400</v>
      </c>
      <c r="G155" s="97" t="s">
        <v>241</v>
      </c>
      <c r="H155" s="8"/>
      <c r="I155" s="9"/>
      <c r="J155" s="9"/>
      <c r="K155" s="9"/>
      <c r="L155" s="9"/>
      <c r="M155" s="9"/>
      <c r="N155" s="9"/>
      <c r="O155" s="90">
        <f t="shared" si="16"/>
        <v>0</v>
      </c>
      <c r="P155" s="9"/>
      <c r="Q155" s="9"/>
      <c r="R155" s="91" t="str">
        <f t="shared" si="17"/>
        <v/>
      </c>
      <c r="S155" s="91" t="str">
        <f t="shared" si="18"/>
        <v/>
      </c>
      <c r="T155" s="92">
        <f>H155*[0]!FMainPool1Fee+I155*[0]!FMainPool2Fee+J155*[0]!FMainPool3Fee+K155*[0]!FMainPool4Fee+B155*[0]!FMainEntryFee</f>
        <v>0</v>
      </c>
      <c r="U155" s="93"/>
      <c r="V155" s="103"/>
      <c r="X155" s="99"/>
      <c r="Y155" s="99"/>
    </row>
    <row r="156" spans="1:25">
      <c r="A156" s="87">
        <f t="shared" si="19"/>
        <v>145</v>
      </c>
      <c r="B156" s="9"/>
      <c r="C156" s="1" t="s">
        <v>117</v>
      </c>
      <c r="D156" s="1" t="s">
        <v>46</v>
      </c>
      <c r="E156" s="2" t="s">
        <v>222</v>
      </c>
      <c r="F156" s="102"/>
      <c r="G156" s="97" t="s">
        <v>399</v>
      </c>
      <c r="H156" s="8"/>
      <c r="I156" s="9"/>
      <c r="J156" s="9"/>
      <c r="K156" s="9"/>
      <c r="L156" s="9"/>
      <c r="M156" s="9"/>
      <c r="N156" s="9"/>
      <c r="O156" s="90">
        <f t="shared" si="16"/>
        <v>0</v>
      </c>
      <c r="P156" s="9"/>
      <c r="Q156" s="9"/>
      <c r="R156" s="91" t="str">
        <f t="shared" si="17"/>
        <v/>
      </c>
      <c r="S156" s="91" t="str">
        <f t="shared" si="18"/>
        <v/>
      </c>
      <c r="T156" s="92">
        <f>H156*[0]!FMainPool1Fee+I156*[0]!FMainPool2Fee+J156*[0]!FMainPool3Fee+K156*[0]!FMainPool4Fee+B156*[0]!FMainEntryFee</f>
        <v>0</v>
      </c>
      <c r="U156" s="93"/>
      <c r="V156" s="109"/>
      <c r="X156" s="99"/>
      <c r="Y156" s="99"/>
    </row>
    <row r="157" spans="1:25">
      <c r="A157" s="87">
        <f t="shared" si="19"/>
        <v>146</v>
      </c>
      <c r="B157" s="9">
        <v>1</v>
      </c>
      <c r="C157" s="1" t="s">
        <v>681</v>
      </c>
      <c r="D157" s="1" t="s">
        <v>5</v>
      </c>
      <c r="E157" s="2" t="s">
        <v>683</v>
      </c>
      <c r="F157" s="102">
        <v>7072944291</v>
      </c>
      <c r="G157" s="89" t="s">
        <v>682</v>
      </c>
      <c r="H157" s="8">
        <v>1</v>
      </c>
      <c r="I157" s="9"/>
      <c r="J157" s="9"/>
      <c r="K157" s="9"/>
      <c r="L157" s="9"/>
      <c r="M157" s="9"/>
      <c r="N157" s="9"/>
      <c r="O157" s="90">
        <f t="shared" si="16"/>
        <v>0</v>
      </c>
      <c r="P157" s="9" t="s">
        <v>666</v>
      </c>
      <c r="Q157" s="9">
        <v>1376</v>
      </c>
      <c r="R157" s="91">
        <f t="shared" si="17"/>
        <v>80</v>
      </c>
      <c r="S157" s="91" t="str">
        <f t="shared" si="18"/>
        <v/>
      </c>
      <c r="T157" s="92">
        <f>H157*[0]!FMainPool1Fee+I157*[0]!FMainPool2Fee+J157*[0]!FMainPool3Fee+K157*[0]!FMainPool4Fee+B157*[0]!FMainEntryFee</f>
        <v>80</v>
      </c>
      <c r="U157" s="93"/>
      <c r="V157" s="109"/>
      <c r="X157" s="99"/>
      <c r="Y157" s="99"/>
    </row>
    <row r="158" spans="1:25">
      <c r="A158" s="87">
        <f t="shared" si="19"/>
        <v>147</v>
      </c>
      <c r="B158" s="9"/>
      <c r="C158" s="1" t="s">
        <v>81</v>
      </c>
      <c r="D158" s="1" t="s">
        <v>82</v>
      </c>
      <c r="E158" s="2" t="s">
        <v>223</v>
      </c>
      <c r="F158" s="116"/>
      <c r="G158" s="97" t="s">
        <v>400</v>
      </c>
      <c r="H158" s="8"/>
      <c r="I158" s="9"/>
      <c r="J158" s="9"/>
      <c r="K158" s="9"/>
      <c r="L158" s="9"/>
      <c r="M158" s="9"/>
      <c r="N158" s="9"/>
      <c r="O158" s="90">
        <f t="shared" si="16"/>
        <v>0</v>
      </c>
      <c r="P158" s="9"/>
      <c r="Q158" s="9"/>
      <c r="R158" s="91" t="str">
        <f t="shared" si="17"/>
        <v/>
      </c>
      <c r="S158" s="91" t="str">
        <f t="shared" si="18"/>
        <v/>
      </c>
      <c r="T158" s="92">
        <f>H158*[0]!FMainPool1Fee+I158*[0]!FMainPool2Fee+J158*[0]!FMainPool3Fee+K158*[0]!FMainPool4Fee+B158*[0]!FMainEntryFee</f>
        <v>0</v>
      </c>
      <c r="U158" s="93"/>
      <c r="V158" s="109"/>
      <c r="X158" s="99"/>
      <c r="Y158" s="99"/>
    </row>
    <row r="159" spans="1:25">
      <c r="A159" s="87">
        <f t="shared" si="19"/>
        <v>148</v>
      </c>
      <c r="B159" s="9"/>
      <c r="C159" s="6" t="s">
        <v>247</v>
      </c>
      <c r="D159" s="6" t="s">
        <v>248</v>
      </c>
      <c r="E159" s="7" t="s">
        <v>249</v>
      </c>
      <c r="F159" s="88">
        <v>5302194729</v>
      </c>
      <c r="G159" s="89" t="s">
        <v>523</v>
      </c>
      <c r="H159" s="8"/>
      <c r="I159" s="9"/>
      <c r="J159" s="9"/>
      <c r="K159" s="9"/>
      <c r="L159" s="9"/>
      <c r="M159" s="9"/>
      <c r="N159" s="9"/>
      <c r="O159" s="90">
        <f t="shared" si="16"/>
        <v>0</v>
      </c>
      <c r="P159" s="9"/>
      <c r="Q159" s="9"/>
      <c r="R159" s="91" t="str">
        <f t="shared" si="17"/>
        <v/>
      </c>
      <c r="S159" s="91" t="str">
        <f t="shared" si="18"/>
        <v/>
      </c>
      <c r="T159" s="92">
        <f>H159*[0]!FMainPool1Fee+I159*[0]!FMainPool2Fee+J159*[0]!FMainPool3Fee+K159*[0]!FMainPool4Fee+B159*[0]!FMainEntryFee</f>
        <v>0</v>
      </c>
      <c r="U159" s="93"/>
      <c r="V159" s="109"/>
      <c r="X159" s="99"/>
      <c r="Y159" s="99"/>
    </row>
    <row r="160" spans="1:25">
      <c r="A160" s="87">
        <f t="shared" si="19"/>
        <v>149</v>
      </c>
      <c r="B160" s="9"/>
      <c r="C160" s="6" t="s">
        <v>121</v>
      </c>
      <c r="D160" s="6" t="s">
        <v>122</v>
      </c>
      <c r="E160" s="7" t="s">
        <v>167</v>
      </c>
      <c r="F160" s="88"/>
      <c r="G160" s="97" t="s">
        <v>401</v>
      </c>
      <c r="H160" s="8"/>
      <c r="I160" s="9"/>
      <c r="J160" s="9"/>
      <c r="K160" s="9"/>
      <c r="L160" s="9"/>
      <c r="M160" s="9"/>
      <c r="N160" s="9"/>
      <c r="O160" s="90">
        <f t="shared" si="16"/>
        <v>0</v>
      </c>
      <c r="P160" s="9"/>
      <c r="Q160" s="9"/>
      <c r="R160" s="91" t="str">
        <f t="shared" si="17"/>
        <v/>
      </c>
      <c r="S160" s="91" t="str">
        <f t="shared" si="18"/>
        <v/>
      </c>
      <c r="T160" s="92">
        <f>H160*[0]!FMainPool1Fee+I160*[0]!FMainPool2Fee+J160*[0]!FMainPool3Fee+K160*[0]!FMainPool4Fee+B160*[0]!FMainEntryFee</f>
        <v>0</v>
      </c>
      <c r="U160" s="93"/>
      <c r="V160" s="94"/>
      <c r="X160" s="99"/>
      <c r="Y160" s="99"/>
    </row>
    <row r="161" spans="1:25">
      <c r="A161" s="87">
        <f t="shared" si="19"/>
        <v>150</v>
      </c>
      <c r="B161" s="9"/>
      <c r="C161" s="104" t="s">
        <v>633</v>
      </c>
      <c r="D161" s="104" t="s">
        <v>76</v>
      </c>
      <c r="E161" s="98" t="s">
        <v>634</v>
      </c>
      <c r="F161" s="109"/>
      <c r="G161" s="89" t="s">
        <v>635</v>
      </c>
      <c r="H161" s="8"/>
      <c r="I161" s="9"/>
      <c r="J161" s="9"/>
      <c r="K161" s="9"/>
      <c r="L161" s="9"/>
      <c r="M161" s="9"/>
      <c r="N161" s="9"/>
      <c r="O161" s="90">
        <f t="shared" si="16"/>
        <v>0</v>
      </c>
      <c r="P161" s="9"/>
      <c r="Q161" s="9"/>
      <c r="R161" s="91" t="str">
        <f t="shared" si="17"/>
        <v/>
      </c>
      <c r="S161" s="91" t="str">
        <f t="shared" si="18"/>
        <v/>
      </c>
      <c r="T161" s="92">
        <f>H161*[0]!FMainPool1Fee+I161*[0]!FMainPool2Fee+J161*[0]!FMainPool3Fee+K161*[0]!FMainPool4Fee+B161*[0]!FMainEntryFee</f>
        <v>0</v>
      </c>
      <c r="U161" s="93"/>
      <c r="V161" s="94"/>
      <c r="X161" s="99"/>
      <c r="Y161" s="99"/>
    </row>
    <row r="162" spans="1:25">
      <c r="A162" s="87">
        <f t="shared" si="19"/>
        <v>151</v>
      </c>
      <c r="B162" s="9">
        <v>1</v>
      </c>
      <c r="C162" s="6" t="s">
        <v>356</v>
      </c>
      <c r="D162" s="6" t="s">
        <v>41</v>
      </c>
      <c r="E162" s="7" t="s">
        <v>357</v>
      </c>
      <c r="F162" s="88">
        <v>7075991826</v>
      </c>
      <c r="G162" s="97" t="s">
        <v>374</v>
      </c>
      <c r="H162" s="8">
        <v>1</v>
      </c>
      <c r="I162" s="9">
        <v>1</v>
      </c>
      <c r="J162" s="9">
        <v>1</v>
      </c>
      <c r="K162" s="9">
        <v>1</v>
      </c>
      <c r="L162" s="9">
        <v>1</v>
      </c>
      <c r="M162" s="9"/>
      <c r="N162" s="9"/>
      <c r="O162" s="90">
        <f t="shared" si="16"/>
        <v>0</v>
      </c>
      <c r="P162" s="9" t="s">
        <v>666</v>
      </c>
      <c r="Q162" s="9">
        <v>1508</v>
      </c>
      <c r="R162" s="91">
        <f t="shared" si="17"/>
        <v>160</v>
      </c>
      <c r="S162" s="91" t="str">
        <f t="shared" si="18"/>
        <v/>
      </c>
      <c r="T162" s="92">
        <f>H162*[0]!FMainPool1Fee+I162*[0]!FMainPool2Fee+J162*[0]!FMainPool3Fee+K162*[0]!FMainPool4Fee+B162*[0]!FMainEntryFee</f>
        <v>160</v>
      </c>
      <c r="U162" s="93"/>
      <c r="V162" s="94"/>
      <c r="X162" s="99"/>
      <c r="Y162" s="99"/>
    </row>
    <row r="163" spans="1:25">
      <c r="A163" s="87">
        <f t="shared" si="19"/>
        <v>152</v>
      </c>
      <c r="B163" s="9">
        <v>1</v>
      </c>
      <c r="C163" s="1" t="s">
        <v>40</v>
      </c>
      <c r="D163" s="1" t="s">
        <v>41</v>
      </c>
      <c r="E163" s="2" t="s">
        <v>196</v>
      </c>
      <c r="F163" s="116">
        <v>7075994605</v>
      </c>
      <c r="G163" s="104" t="s">
        <v>524</v>
      </c>
      <c r="H163" s="8">
        <v>1</v>
      </c>
      <c r="I163" s="9">
        <v>1</v>
      </c>
      <c r="J163" s="9">
        <v>1</v>
      </c>
      <c r="K163" s="9">
        <v>1</v>
      </c>
      <c r="L163" s="9">
        <v>1</v>
      </c>
      <c r="M163" s="9"/>
      <c r="N163" s="9"/>
      <c r="O163" s="90">
        <f t="shared" si="16"/>
        <v>0</v>
      </c>
      <c r="P163" s="9" t="s">
        <v>666</v>
      </c>
      <c r="Q163" s="9">
        <v>1508</v>
      </c>
      <c r="R163" s="91">
        <v>160</v>
      </c>
      <c r="S163" s="91" t="str">
        <f t="shared" si="18"/>
        <v/>
      </c>
      <c r="T163" s="92">
        <f>H163*[0]!FMainPool1Fee+I163*[0]!FMainPool2Fee+J163*[0]!FMainPool3Fee+K163*[0]!FMainPool4Fee+B163*[0]!FMainEntryFee</f>
        <v>160</v>
      </c>
      <c r="U163" s="93"/>
      <c r="V163" s="98"/>
      <c r="W163"/>
      <c r="X163" s="99"/>
      <c r="Y163" s="99"/>
    </row>
    <row r="164" spans="1:25" ht="15.75">
      <c r="A164" s="87">
        <f t="shared" si="19"/>
        <v>153</v>
      </c>
      <c r="B164" s="9"/>
      <c r="C164" s="118" t="s">
        <v>95</v>
      </c>
      <c r="D164" s="118" t="s">
        <v>96</v>
      </c>
      <c r="E164" s="7"/>
      <c r="F164" s="88"/>
      <c r="G164" s="97" t="s">
        <v>97</v>
      </c>
      <c r="H164" s="8"/>
      <c r="I164" s="9"/>
      <c r="J164" s="9"/>
      <c r="K164" s="9"/>
      <c r="L164" s="9"/>
      <c r="M164" s="9"/>
      <c r="N164" s="9"/>
      <c r="O164" s="90">
        <f t="shared" ref="O164:O195" si="20">T164*N164</f>
        <v>0</v>
      </c>
      <c r="P164" s="9"/>
      <c r="Q164" s="9"/>
      <c r="R164" s="91" t="str">
        <f t="shared" ref="R164:R201" si="21">IF(OR(P164="c",P164="C"),+T164,"")</f>
        <v/>
      </c>
      <c r="S164" s="91" t="str">
        <f t="shared" si="18"/>
        <v/>
      </c>
      <c r="T164" s="92">
        <f>H164*[0]!FMainPool1Fee+I164*[0]!FMainPool2Fee+J164*[0]!FMainPool3Fee+K164*[0]!FMainPool4Fee+B164*[0]!FMainEntryFee</f>
        <v>0</v>
      </c>
      <c r="U164" s="93"/>
      <c r="V164" s="94"/>
      <c r="X164" s="99"/>
      <c r="Y164" s="99"/>
    </row>
    <row r="165" spans="1:25" ht="15.75">
      <c r="A165" s="87">
        <f t="shared" si="19"/>
        <v>154</v>
      </c>
      <c r="B165" s="9">
        <v>1</v>
      </c>
      <c r="C165" s="118" t="s">
        <v>667</v>
      </c>
      <c r="D165" s="118" t="s">
        <v>668</v>
      </c>
      <c r="E165" s="7" t="s">
        <v>669</v>
      </c>
      <c r="F165" s="88">
        <v>7752876408</v>
      </c>
      <c r="G165" s="89" t="s">
        <v>670</v>
      </c>
      <c r="H165" s="8">
        <v>1</v>
      </c>
      <c r="I165" s="9"/>
      <c r="J165" s="9"/>
      <c r="K165" s="9"/>
      <c r="L165" s="9"/>
      <c r="M165" s="9"/>
      <c r="N165" s="9"/>
      <c r="O165" s="90">
        <f t="shared" si="20"/>
        <v>0</v>
      </c>
      <c r="P165" s="9" t="s">
        <v>671</v>
      </c>
      <c r="Q165" s="9"/>
      <c r="R165" s="91" t="str">
        <f t="shared" si="21"/>
        <v/>
      </c>
      <c r="S165" s="91">
        <f t="shared" si="18"/>
        <v>80</v>
      </c>
      <c r="T165" s="92">
        <f>H165*[0]!FMainPool1Fee+I165*[0]!FMainPool2Fee+J165*[0]!FMainPool3Fee+K165*[0]!FMainPool4Fee+B165*[0]!FMainEntryFee</f>
        <v>80</v>
      </c>
      <c r="U165" s="93"/>
      <c r="V165" s="94"/>
      <c r="X165" s="99"/>
      <c r="Y165" s="99"/>
    </row>
    <row r="166" spans="1:25">
      <c r="A166" s="87">
        <f t="shared" si="19"/>
        <v>155</v>
      </c>
      <c r="B166" s="9"/>
      <c r="C166" s="6" t="s">
        <v>446</v>
      </c>
      <c r="D166" s="6" t="s">
        <v>469</v>
      </c>
      <c r="E166" s="7" t="s">
        <v>445</v>
      </c>
      <c r="F166" s="88">
        <v>7073490481</v>
      </c>
      <c r="G166" s="89" t="s">
        <v>525</v>
      </c>
      <c r="H166" s="8"/>
      <c r="I166" s="9"/>
      <c r="J166" s="9"/>
      <c r="K166" s="9"/>
      <c r="L166" s="9"/>
      <c r="M166" s="9"/>
      <c r="N166" s="9"/>
      <c r="O166" s="90">
        <f t="shared" si="20"/>
        <v>0</v>
      </c>
      <c r="P166" s="9"/>
      <c r="Q166" s="9"/>
      <c r="R166" s="91" t="str">
        <f t="shared" si="21"/>
        <v/>
      </c>
      <c r="S166" s="91" t="str">
        <f t="shared" si="18"/>
        <v/>
      </c>
      <c r="T166" s="92">
        <f>H166*[0]!FMainPool1Fee+I166*[0]!FMainPool2Fee+J166*[0]!FMainPool3Fee+K166*[0]!FMainPool4Fee+B166*[0]!FMainEntryFee</f>
        <v>0</v>
      </c>
      <c r="U166" s="93"/>
      <c r="V166" s="94"/>
      <c r="X166" s="99"/>
      <c r="Y166" s="99"/>
    </row>
    <row r="167" spans="1:25">
      <c r="A167" s="87">
        <f t="shared" si="19"/>
        <v>156</v>
      </c>
      <c r="B167" s="9"/>
      <c r="C167" s="104" t="s">
        <v>636</v>
      </c>
      <c r="D167" s="104" t="s">
        <v>5</v>
      </c>
      <c r="E167" s="98" t="s">
        <v>637</v>
      </c>
      <c r="F167" s="109">
        <v>7752876408</v>
      </c>
      <c r="G167" s="104"/>
      <c r="H167" s="8"/>
      <c r="I167" s="9"/>
      <c r="J167" s="9"/>
      <c r="K167" s="9"/>
      <c r="L167" s="9"/>
      <c r="M167" s="9"/>
      <c r="N167" s="9"/>
      <c r="O167" s="90">
        <f t="shared" si="20"/>
        <v>0</v>
      </c>
      <c r="P167" s="9"/>
      <c r="Q167" s="9"/>
      <c r="R167" s="91" t="str">
        <f t="shared" si="21"/>
        <v/>
      </c>
      <c r="S167" s="91" t="str">
        <f t="shared" si="18"/>
        <v/>
      </c>
      <c r="T167" s="92">
        <f>H167*[0]!FMainPool1Fee+I167*[0]!FMainPool2Fee+J167*[0]!FMainPool3Fee+K167*[0]!FMainPool4Fee+B167*[0]!FMainEntryFee</f>
        <v>0</v>
      </c>
      <c r="U167" s="93"/>
      <c r="V167" s="94"/>
      <c r="X167" s="99"/>
      <c r="Y167" s="99"/>
    </row>
    <row r="168" spans="1:25" ht="15.75">
      <c r="A168" s="87">
        <f t="shared" si="19"/>
        <v>157</v>
      </c>
      <c r="B168" s="9"/>
      <c r="C168" s="118" t="s">
        <v>103</v>
      </c>
      <c r="D168" s="118" t="s">
        <v>7</v>
      </c>
      <c r="E168" s="7" t="s">
        <v>224</v>
      </c>
      <c r="F168" s="88"/>
      <c r="G168" s="97" t="s">
        <v>402</v>
      </c>
      <c r="H168" s="8"/>
      <c r="I168" s="9"/>
      <c r="J168" s="9"/>
      <c r="K168" s="9"/>
      <c r="L168" s="9"/>
      <c r="M168" s="9"/>
      <c r="N168" s="9"/>
      <c r="O168" s="90">
        <f t="shared" si="20"/>
        <v>0</v>
      </c>
      <c r="P168" s="9"/>
      <c r="Q168" s="9"/>
      <c r="R168" s="91" t="str">
        <f t="shared" si="21"/>
        <v/>
      </c>
      <c r="S168" s="91" t="str">
        <f t="shared" si="18"/>
        <v/>
      </c>
      <c r="T168" s="92">
        <f>H168*[0]!FMainPool1Fee+I168*[0]!FMainPool2Fee+J168*[0]!FMainPool3Fee+K168*[0]!FMainPool4Fee+B168*[0]!FMainEntryFee</f>
        <v>0</v>
      </c>
      <c r="U168" s="93"/>
      <c r="V168" s="94"/>
      <c r="X168" s="99"/>
      <c r="Y168" s="99"/>
    </row>
    <row r="169" spans="1:25">
      <c r="A169" s="87">
        <f t="shared" si="19"/>
        <v>158</v>
      </c>
      <c r="B169" s="9"/>
      <c r="C169" s="6" t="s">
        <v>447</v>
      </c>
      <c r="D169" s="6" t="s">
        <v>470</v>
      </c>
      <c r="E169" s="7" t="s">
        <v>497</v>
      </c>
      <c r="F169" s="88">
        <v>2093653232</v>
      </c>
      <c r="G169" s="89" t="s">
        <v>526</v>
      </c>
      <c r="H169" s="8"/>
      <c r="I169" s="9"/>
      <c r="J169" s="9"/>
      <c r="K169" s="9"/>
      <c r="L169" s="9"/>
      <c r="M169" s="9"/>
      <c r="N169" s="9"/>
      <c r="O169" s="90">
        <f t="shared" si="20"/>
        <v>0</v>
      </c>
      <c r="P169" s="9"/>
      <c r="Q169" s="9"/>
      <c r="R169" s="91" t="str">
        <f t="shared" si="21"/>
        <v/>
      </c>
      <c r="S169" s="91" t="str">
        <f t="shared" si="18"/>
        <v/>
      </c>
      <c r="T169" s="92">
        <f>H169*[0]!FMainPool1Fee+I169*[0]!FMainPool2Fee+J169*[0]!FMainPool3Fee+K169*[0]!FMainPool4Fee+B169*[0]!FMainEntryFee</f>
        <v>0</v>
      </c>
      <c r="U169" s="93"/>
      <c r="V169" s="94"/>
      <c r="X169" s="99"/>
      <c r="Y169" s="99"/>
    </row>
    <row r="170" spans="1:25">
      <c r="A170" s="87">
        <f t="shared" si="19"/>
        <v>159</v>
      </c>
      <c r="B170" s="9">
        <v>1</v>
      </c>
      <c r="C170" s="6" t="s">
        <v>484</v>
      </c>
      <c r="D170" s="6" t="s">
        <v>498</v>
      </c>
      <c r="E170" s="7" t="s">
        <v>485</v>
      </c>
      <c r="F170" s="88">
        <v>7076641532</v>
      </c>
      <c r="G170" s="89" t="s">
        <v>527</v>
      </c>
      <c r="H170" s="8"/>
      <c r="I170" s="9">
        <v>1</v>
      </c>
      <c r="J170" s="9">
        <v>1</v>
      </c>
      <c r="K170" s="9"/>
      <c r="L170" s="9"/>
      <c r="M170" s="9"/>
      <c r="N170" s="9"/>
      <c r="O170" s="90">
        <f t="shared" si="20"/>
        <v>0</v>
      </c>
      <c r="P170" s="9" t="s">
        <v>666</v>
      </c>
      <c r="Q170" s="9">
        <v>204</v>
      </c>
      <c r="R170" s="91">
        <f t="shared" si="21"/>
        <v>100</v>
      </c>
      <c r="S170" s="91" t="str">
        <f t="shared" si="18"/>
        <v/>
      </c>
      <c r="T170" s="92">
        <f>H170*[0]!FMainPool1Fee+I170*[0]!FMainPool2Fee+J170*[0]!FMainPool3Fee+K170*[0]!FMainPool4Fee+B170*[0]!FMainEntryFee</f>
        <v>100</v>
      </c>
      <c r="U170" s="93"/>
      <c r="V170" s="94"/>
      <c r="W170" s="101"/>
      <c r="X170" s="99"/>
      <c r="Y170" s="99"/>
    </row>
    <row r="171" spans="1:25">
      <c r="A171" s="87">
        <f t="shared" si="19"/>
        <v>160</v>
      </c>
      <c r="B171" s="9">
        <v>1</v>
      </c>
      <c r="C171" s="6" t="s">
        <v>448</v>
      </c>
      <c r="D171" s="6" t="s">
        <v>5</v>
      </c>
      <c r="E171" s="7" t="s">
        <v>449</v>
      </c>
      <c r="F171" s="109" t="s">
        <v>528</v>
      </c>
      <c r="G171" s="97" t="s">
        <v>529</v>
      </c>
      <c r="H171" s="8">
        <v>1</v>
      </c>
      <c r="I171" s="9">
        <v>1</v>
      </c>
      <c r="J171" s="9">
        <v>1</v>
      </c>
      <c r="K171" s="9"/>
      <c r="L171" s="9"/>
      <c r="M171" s="9"/>
      <c r="N171" s="9"/>
      <c r="O171" s="90">
        <f t="shared" si="20"/>
        <v>0</v>
      </c>
      <c r="P171" s="9" t="s">
        <v>671</v>
      </c>
      <c r="Q171" s="9"/>
      <c r="R171" s="91" t="str">
        <f t="shared" si="21"/>
        <v/>
      </c>
      <c r="S171" s="91">
        <f t="shared" si="18"/>
        <v>110</v>
      </c>
      <c r="T171" s="92">
        <f>H171*[0]!FMainPool1Fee+I171*[0]!FMainPool2Fee+J171*[0]!FMainPool3Fee+K171*[0]!FMainPool4Fee+B171*[0]!FMainEntryFee</f>
        <v>110</v>
      </c>
      <c r="U171" s="93"/>
      <c r="V171" s="103"/>
      <c r="X171" s="99"/>
      <c r="Y171" s="99"/>
    </row>
    <row r="172" spans="1:25">
      <c r="A172" s="87">
        <f t="shared" si="19"/>
        <v>161</v>
      </c>
      <c r="B172" s="9">
        <v>1</v>
      </c>
      <c r="C172" s="6" t="s">
        <v>675</v>
      </c>
      <c r="D172" s="6" t="s">
        <v>5</v>
      </c>
      <c r="E172" s="7" t="s">
        <v>676</v>
      </c>
      <c r="F172" s="109">
        <v>7074804517</v>
      </c>
      <c r="G172" s="89" t="s">
        <v>677</v>
      </c>
      <c r="H172" s="8"/>
      <c r="I172" s="9"/>
      <c r="J172" s="9"/>
      <c r="K172" s="9"/>
      <c r="L172" s="9"/>
      <c r="M172" s="9"/>
      <c r="N172" s="9"/>
      <c r="O172" s="90">
        <f t="shared" si="20"/>
        <v>0</v>
      </c>
      <c r="P172" s="9" t="s">
        <v>671</v>
      </c>
      <c r="Q172" s="9"/>
      <c r="R172" s="91" t="str">
        <f t="shared" si="21"/>
        <v/>
      </c>
      <c r="S172" s="91">
        <f t="shared" si="18"/>
        <v>70</v>
      </c>
      <c r="T172" s="92">
        <f>H172*[0]!FMainPool1Fee+I172*[0]!FMainPool2Fee+J172*[0]!FMainPool3Fee+K172*[0]!FMainPool4Fee+B172*[0]!FMainEntryFee</f>
        <v>70</v>
      </c>
      <c r="U172" s="93"/>
      <c r="V172" s="103"/>
      <c r="X172" s="99"/>
      <c r="Y172" s="99"/>
    </row>
    <row r="173" spans="1:25">
      <c r="A173" s="87">
        <f t="shared" si="19"/>
        <v>162</v>
      </c>
      <c r="B173" s="9"/>
      <c r="C173" s="1" t="s">
        <v>71</v>
      </c>
      <c r="D173" s="1" t="s">
        <v>26</v>
      </c>
      <c r="E173" s="2" t="s">
        <v>233</v>
      </c>
      <c r="F173" s="116"/>
      <c r="G173" s="97" t="s">
        <v>154</v>
      </c>
      <c r="H173" s="8"/>
      <c r="I173" s="9"/>
      <c r="J173" s="9"/>
      <c r="K173" s="9"/>
      <c r="L173" s="9"/>
      <c r="M173" s="9"/>
      <c r="N173" s="9"/>
      <c r="O173" s="90">
        <f t="shared" si="20"/>
        <v>0</v>
      </c>
      <c r="P173" s="9"/>
      <c r="Q173" s="9"/>
      <c r="R173" s="91" t="str">
        <f t="shared" si="21"/>
        <v/>
      </c>
      <c r="S173" s="91" t="str">
        <f t="shared" si="18"/>
        <v/>
      </c>
      <c r="T173" s="92">
        <f>H173*[0]!FMainPool1Fee+I173*[0]!FMainPool2Fee+J173*[0]!FMainPool3Fee+K173*[0]!FMainPool4Fee+B173*[0]!FMainEntryFee</f>
        <v>0</v>
      </c>
      <c r="U173" s="93"/>
      <c r="V173" s="94"/>
      <c r="X173" s="99"/>
      <c r="Y173" s="99"/>
    </row>
    <row r="174" spans="1:25">
      <c r="A174" s="87">
        <f t="shared" si="19"/>
        <v>163</v>
      </c>
      <c r="B174" s="9"/>
      <c r="C174" s="6" t="s">
        <v>425</v>
      </c>
      <c r="D174" s="6" t="s">
        <v>427</v>
      </c>
      <c r="E174" s="7" t="s">
        <v>426</v>
      </c>
      <c r="F174" s="88"/>
      <c r="G174" s="97" t="s">
        <v>428</v>
      </c>
      <c r="H174" s="8"/>
      <c r="I174" s="9"/>
      <c r="J174" s="9"/>
      <c r="K174" s="9"/>
      <c r="L174" s="9"/>
      <c r="M174" s="9"/>
      <c r="N174" s="9"/>
      <c r="O174" s="90">
        <f t="shared" si="20"/>
        <v>0</v>
      </c>
      <c r="P174" s="9"/>
      <c r="Q174" s="9"/>
      <c r="R174" s="91" t="str">
        <f t="shared" si="21"/>
        <v/>
      </c>
      <c r="S174" s="91" t="str">
        <f t="shared" ref="S174:S201" si="22">IF(OR(P174="$",N174=1),+T174,"")</f>
        <v/>
      </c>
      <c r="T174" s="92">
        <f>H174*[0]!FMainPool1Fee+I174*[0]!FMainPool2Fee+J174*[0]!FMainPool3Fee+K174*[0]!FMainPool4Fee+B174*[0]!FMainEntryFee</f>
        <v>0</v>
      </c>
      <c r="U174" s="93"/>
      <c r="V174" s="94"/>
      <c r="X174" s="99"/>
      <c r="Y174" s="99"/>
    </row>
    <row r="175" spans="1:25">
      <c r="A175" s="87">
        <f t="shared" si="19"/>
        <v>164</v>
      </c>
      <c r="B175" s="9"/>
      <c r="C175" s="6" t="s">
        <v>349</v>
      </c>
      <c r="D175" s="6" t="s">
        <v>96</v>
      </c>
      <c r="E175" s="7"/>
      <c r="F175" s="88"/>
      <c r="G175" s="97" t="s">
        <v>348</v>
      </c>
      <c r="H175" s="8"/>
      <c r="I175" s="9"/>
      <c r="J175" s="9"/>
      <c r="K175" s="9"/>
      <c r="L175" s="9"/>
      <c r="M175" s="9"/>
      <c r="N175" s="9"/>
      <c r="O175" s="90">
        <f t="shared" si="20"/>
        <v>0</v>
      </c>
      <c r="P175" s="9"/>
      <c r="Q175" s="9"/>
      <c r="R175" s="91" t="str">
        <f t="shared" si="21"/>
        <v/>
      </c>
      <c r="S175" s="91" t="str">
        <f t="shared" si="22"/>
        <v/>
      </c>
      <c r="T175" s="92">
        <f>H175*[0]!FMainPool1Fee+I175*[0]!FMainPool2Fee+J175*[0]!FMainPool3Fee+K175*[0]!FMainPool4Fee+B175*[0]!FMainEntryFee</f>
        <v>0</v>
      </c>
      <c r="U175" s="93"/>
      <c r="V175" s="94"/>
      <c r="X175" s="99"/>
      <c r="Y175" s="99"/>
    </row>
    <row r="176" spans="1:25">
      <c r="A176" s="87">
        <f t="shared" si="19"/>
        <v>165</v>
      </c>
      <c r="B176" s="9">
        <v>1</v>
      </c>
      <c r="C176" s="6" t="s">
        <v>450</v>
      </c>
      <c r="D176" s="6" t="s">
        <v>5</v>
      </c>
      <c r="E176" s="7" t="s">
        <v>451</v>
      </c>
      <c r="F176" s="88">
        <v>5303666465</v>
      </c>
      <c r="G176" s="89" t="s">
        <v>530</v>
      </c>
      <c r="H176" s="8"/>
      <c r="I176" s="9">
        <v>1</v>
      </c>
      <c r="J176" s="9">
        <v>1</v>
      </c>
      <c r="K176" s="9"/>
      <c r="L176" s="9"/>
      <c r="M176" s="9"/>
      <c r="N176" s="9"/>
      <c r="O176" s="90">
        <f t="shared" si="20"/>
        <v>0</v>
      </c>
      <c r="P176" s="9" t="s">
        <v>666</v>
      </c>
      <c r="Q176" s="9">
        <v>8223</v>
      </c>
      <c r="R176" s="91">
        <f t="shared" si="21"/>
        <v>100</v>
      </c>
      <c r="S176" s="91" t="str">
        <f t="shared" si="22"/>
        <v/>
      </c>
      <c r="T176" s="92">
        <f>H176*[0]!FMainPool1Fee+I176*[0]!FMainPool2Fee+J176*[0]!FMainPool3Fee+K176*[0]!FMainPool4Fee+B176*[0]!FMainEntryFee</f>
        <v>100</v>
      </c>
      <c r="U176" s="93"/>
      <c r="V176" s="94"/>
      <c r="W176" s="101"/>
      <c r="X176" s="99"/>
      <c r="Y176" s="99"/>
    </row>
    <row r="177" spans="1:25">
      <c r="A177" s="87">
        <f t="shared" si="19"/>
        <v>166</v>
      </c>
      <c r="B177" s="9"/>
      <c r="C177" s="104" t="s">
        <v>638</v>
      </c>
      <c r="D177" s="104" t="s">
        <v>10</v>
      </c>
      <c r="E177" s="98" t="s">
        <v>612</v>
      </c>
      <c r="F177" s="109"/>
      <c r="G177" s="89" t="s">
        <v>639</v>
      </c>
      <c r="H177" s="8"/>
      <c r="I177" s="9"/>
      <c r="J177" s="9"/>
      <c r="K177" s="9"/>
      <c r="L177" s="9"/>
      <c r="M177" s="9"/>
      <c r="N177" s="9"/>
      <c r="O177" s="90">
        <f t="shared" si="20"/>
        <v>0</v>
      </c>
      <c r="P177" s="9"/>
      <c r="Q177" s="9"/>
      <c r="R177" s="91" t="str">
        <f t="shared" si="21"/>
        <v/>
      </c>
      <c r="S177" s="91" t="str">
        <f t="shared" si="22"/>
        <v/>
      </c>
      <c r="T177" s="92">
        <f>H177*[0]!FMainPool1Fee+I177*[0]!FMainPool2Fee+J177*[0]!FMainPool3Fee+K177*[0]!FMainPool4Fee+B177*[0]!FMainEntryFee</f>
        <v>0</v>
      </c>
      <c r="U177" s="93"/>
      <c r="V177" s="94"/>
      <c r="X177" s="99"/>
      <c r="Y177" s="99"/>
    </row>
    <row r="178" spans="1:25">
      <c r="A178" s="87">
        <f t="shared" si="19"/>
        <v>167</v>
      </c>
      <c r="B178" s="9"/>
      <c r="C178" s="1" t="s">
        <v>53</v>
      </c>
      <c r="D178" s="1" t="s">
        <v>15</v>
      </c>
      <c r="E178" s="2" t="s">
        <v>225</v>
      </c>
      <c r="F178" s="102"/>
      <c r="G178" s="97" t="s">
        <v>403</v>
      </c>
      <c r="H178" s="8"/>
      <c r="I178" s="9"/>
      <c r="J178" s="9"/>
      <c r="K178" s="9"/>
      <c r="L178" s="9"/>
      <c r="M178" s="9"/>
      <c r="N178" s="9"/>
      <c r="O178" s="90">
        <f t="shared" si="20"/>
        <v>0</v>
      </c>
      <c r="P178" s="9"/>
      <c r="Q178" s="9"/>
      <c r="R178" s="91" t="str">
        <f t="shared" si="21"/>
        <v/>
      </c>
      <c r="S178" s="91" t="str">
        <f t="shared" si="22"/>
        <v/>
      </c>
      <c r="T178" s="92">
        <f>H178*[0]!FMainPool1Fee+I178*[0]!FMainPool2Fee+J178*[0]!FMainPool3Fee+K178*[0]!FMainPool4Fee+B178*[0]!FMainEntryFee</f>
        <v>0</v>
      </c>
      <c r="U178" s="93"/>
      <c r="V178" s="98"/>
      <c r="X178" s="99"/>
      <c r="Y178" s="99"/>
    </row>
    <row r="179" spans="1:25">
      <c r="A179" s="87">
        <f t="shared" si="19"/>
        <v>168</v>
      </c>
      <c r="B179" s="9">
        <v>1</v>
      </c>
      <c r="C179" s="1" t="s">
        <v>38</v>
      </c>
      <c r="D179" s="1" t="s">
        <v>5</v>
      </c>
      <c r="E179" s="2" t="s">
        <v>198</v>
      </c>
      <c r="F179" s="116">
        <v>7072524331</v>
      </c>
      <c r="G179" s="97" t="s">
        <v>375</v>
      </c>
      <c r="H179" s="8">
        <v>1</v>
      </c>
      <c r="I179" s="9">
        <v>1</v>
      </c>
      <c r="J179" s="9">
        <v>1</v>
      </c>
      <c r="K179" s="9"/>
      <c r="L179" s="9"/>
      <c r="M179" s="9"/>
      <c r="N179" s="9"/>
      <c r="O179" s="90">
        <f t="shared" si="20"/>
        <v>0</v>
      </c>
      <c r="P179" s="9" t="s">
        <v>666</v>
      </c>
      <c r="Q179" s="9">
        <v>677</v>
      </c>
      <c r="R179" s="91">
        <f t="shared" si="21"/>
        <v>110</v>
      </c>
      <c r="S179" s="91" t="str">
        <f t="shared" si="22"/>
        <v/>
      </c>
      <c r="T179" s="92">
        <f>H179*[0]!FMainPool1Fee+I179*[0]!FMainPool2Fee+J179*[0]!FMainPool3Fee+K179*[0]!FMainPool4Fee+B179*[0]!FMainEntryFee</f>
        <v>110</v>
      </c>
      <c r="U179" s="93"/>
      <c r="V179" s="119"/>
      <c r="W179"/>
      <c r="X179" s="99"/>
      <c r="Y179" s="99"/>
    </row>
    <row r="180" spans="1:25">
      <c r="A180" s="87">
        <f t="shared" si="19"/>
        <v>169</v>
      </c>
      <c r="B180" s="9">
        <v>1</v>
      </c>
      <c r="C180" s="1" t="s">
        <v>61</v>
      </c>
      <c r="D180" s="1" t="s">
        <v>5</v>
      </c>
      <c r="E180" s="2" t="s">
        <v>199</v>
      </c>
      <c r="F180" s="116" t="s">
        <v>531</v>
      </c>
      <c r="G180" s="97" t="s">
        <v>376</v>
      </c>
      <c r="H180" s="8">
        <v>1</v>
      </c>
      <c r="I180" s="9"/>
      <c r="J180" s="9"/>
      <c r="K180" s="9"/>
      <c r="L180" s="9"/>
      <c r="M180" s="9">
        <v>1</v>
      </c>
      <c r="N180" s="9"/>
      <c r="O180" s="90">
        <f t="shared" si="20"/>
        <v>0</v>
      </c>
      <c r="P180" s="9" t="s">
        <v>666</v>
      </c>
      <c r="Q180" s="9">
        <v>677</v>
      </c>
      <c r="R180" s="91">
        <f t="shared" si="21"/>
        <v>80</v>
      </c>
      <c r="S180" s="91" t="str">
        <f t="shared" si="22"/>
        <v/>
      </c>
      <c r="T180" s="92">
        <f>H180*[0]!FMainPool1Fee+I180*[0]!FMainPool2Fee+J180*[0]!FMainPool3Fee+K180*[0]!FMainPool4Fee+B180*[0]!FMainEntryFee</f>
        <v>80</v>
      </c>
      <c r="U180" s="93"/>
      <c r="V180" s="119"/>
      <c r="W180"/>
      <c r="X180" s="99"/>
      <c r="Y180" s="99"/>
    </row>
    <row r="181" spans="1:25">
      <c r="A181" s="87">
        <f t="shared" si="19"/>
        <v>170</v>
      </c>
      <c r="B181" s="9"/>
      <c r="C181" s="1" t="s">
        <v>77</v>
      </c>
      <c r="D181" s="1" t="s">
        <v>78</v>
      </c>
      <c r="E181" s="2" t="s">
        <v>168</v>
      </c>
      <c r="F181" s="116"/>
      <c r="G181" s="97" t="s">
        <v>377</v>
      </c>
      <c r="H181" s="8"/>
      <c r="I181" s="9"/>
      <c r="J181" s="9"/>
      <c r="K181" s="9"/>
      <c r="L181" s="9"/>
      <c r="M181" s="9"/>
      <c r="N181" s="9"/>
      <c r="O181" s="90">
        <f t="shared" si="20"/>
        <v>0</v>
      </c>
      <c r="P181" s="9"/>
      <c r="Q181" s="9"/>
      <c r="R181" s="91" t="str">
        <f t="shared" si="21"/>
        <v/>
      </c>
      <c r="S181" s="91" t="str">
        <f t="shared" si="22"/>
        <v/>
      </c>
      <c r="T181" s="92">
        <f>H181*[0]!FMainPool1Fee+I181*[0]!FMainPool2Fee+J181*[0]!FMainPool3Fee+K181*[0]!FMainPool4Fee+B181*[0]!FMainEntryFee</f>
        <v>0</v>
      </c>
      <c r="U181" s="93"/>
      <c r="V181" s="119"/>
      <c r="W181"/>
      <c r="X181" s="99"/>
      <c r="Y181" s="99"/>
    </row>
    <row r="182" spans="1:25">
      <c r="A182" s="87">
        <f t="shared" si="19"/>
        <v>171</v>
      </c>
      <c r="B182" s="9"/>
      <c r="C182" s="6" t="s">
        <v>250</v>
      </c>
      <c r="D182" s="6" t="s">
        <v>251</v>
      </c>
      <c r="E182" s="7" t="s">
        <v>252</v>
      </c>
      <c r="F182" s="88"/>
      <c r="G182" s="97" t="s">
        <v>404</v>
      </c>
      <c r="H182" s="8"/>
      <c r="I182" s="9"/>
      <c r="J182" s="9"/>
      <c r="K182" s="9"/>
      <c r="L182" s="9"/>
      <c r="M182" s="9"/>
      <c r="N182" s="9"/>
      <c r="O182" s="90">
        <f t="shared" si="20"/>
        <v>0</v>
      </c>
      <c r="P182" s="9"/>
      <c r="Q182" s="9"/>
      <c r="R182" s="91" t="str">
        <f t="shared" si="21"/>
        <v/>
      </c>
      <c r="S182" s="91" t="str">
        <f t="shared" si="22"/>
        <v/>
      </c>
      <c r="T182" s="92">
        <f>H182*[0]!FMainPool1Fee+I182*[0]!FMainPool2Fee+J182*[0]!FMainPool3Fee+K182*[0]!FMainPool4Fee+B182*[0]!FMainEntryFee</f>
        <v>0</v>
      </c>
      <c r="U182" s="93"/>
      <c r="V182" s="119"/>
      <c r="W182"/>
      <c r="X182" s="99"/>
      <c r="Y182" s="99"/>
    </row>
    <row r="183" spans="1:25">
      <c r="A183" s="87">
        <f t="shared" si="19"/>
        <v>172</v>
      </c>
      <c r="B183" s="9"/>
      <c r="C183" s="6" t="s">
        <v>334</v>
      </c>
      <c r="D183" s="6" t="s">
        <v>138</v>
      </c>
      <c r="E183" s="7" t="s">
        <v>335</v>
      </c>
      <c r="F183" s="88"/>
      <c r="G183" s="97" t="s">
        <v>378</v>
      </c>
      <c r="H183" s="8"/>
      <c r="I183" s="9"/>
      <c r="J183" s="9"/>
      <c r="K183" s="9"/>
      <c r="L183" s="9"/>
      <c r="M183" s="9"/>
      <c r="N183" s="9"/>
      <c r="O183" s="90">
        <f t="shared" si="20"/>
        <v>0</v>
      </c>
      <c r="P183" s="9"/>
      <c r="Q183" s="9"/>
      <c r="R183" s="91" t="str">
        <f t="shared" si="21"/>
        <v/>
      </c>
      <c r="S183" s="91" t="str">
        <f t="shared" si="22"/>
        <v/>
      </c>
      <c r="T183" s="92">
        <f>H183*[0]!FMainPool1Fee+I183*[0]!FMainPool2Fee+J183*[0]!FMainPool3Fee+K183*[0]!FMainPool4Fee+B183*[0]!FMainEntryFee</f>
        <v>0</v>
      </c>
      <c r="U183" s="93"/>
      <c r="V183" s="119"/>
      <c r="W183"/>
      <c r="X183" s="99"/>
      <c r="Y183" s="99"/>
    </row>
    <row r="184" spans="1:25">
      <c r="A184" s="87">
        <f t="shared" si="19"/>
        <v>173</v>
      </c>
      <c r="B184" s="9">
        <v>1</v>
      </c>
      <c r="C184" s="1" t="s">
        <v>70</v>
      </c>
      <c r="D184" s="1" t="s">
        <v>72</v>
      </c>
      <c r="E184" s="2" t="s">
        <v>226</v>
      </c>
      <c r="F184" s="88"/>
      <c r="G184" s="97" t="s">
        <v>353</v>
      </c>
      <c r="H184" s="8">
        <v>1</v>
      </c>
      <c r="I184" s="9"/>
      <c r="J184" s="9"/>
      <c r="K184" s="9"/>
      <c r="L184" s="9"/>
      <c r="M184" s="9"/>
      <c r="N184" s="9"/>
      <c r="O184" s="90">
        <f t="shared" si="20"/>
        <v>0</v>
      </c>
      <c r="P184" s="9" t="s">
        <v>666</v>
      </c>
      <c r="Q184" s="9">
        <v>2480</v>
      </c>
      <c r="R184" s="91">
        <f t="shared" si="21"/>
        <v>80</v>
      </c>
      <c r="S184" s="91" t="str">
        <f t="shared" si="22"/>
        <v/>
      </c>
      <c r="T184" s="92">
        <f>H184*[0]!FMainPool1Fee+I184*[0]!FMainPool2Fee+J184*[0]!FMainPool3Fee+K184*[0]!FMainPool4Fee+B184*[0]!FMainEntryFee</f>
        <v>80</v>
      </c>
      <c r="U184" s="93"/>
      <c r="V184" s="119"/>
      <c r="W184"/>
      <c r="X184" s="99"/>
      <c r="Y184" s="99"/>
    </row>
    <row r="185" spans="1:25">
      <c r="A185" s="87">
        <f t="shared" si="19"/>
        <v>174</v>
      </c>
      <c r="B185" s="9"/>
      <c r="C185" s="6" t="s">
        <v>452</v>
      </c>
      <c r="D185" s="6" t="s">
        <v>19</v>
      </c>
      <c r="E185" s="7" t="s">
        <v>453</v>
      </c>
      <c r="F185" s="109" t="s">
        <v>532</v>
      </c>
      <c r="G185" s="104" t="s">
        <v>533</v>
      </c>
      <c r="H185" s="8"/>
      <c r="I185" s="9"/>
      <c r="J185" s="9"/>
      <c r="K185" s="9"/>
      <c r="L185" s="9"/>
      <c r="M185" s="9"/>
      <c r="N185" s="9"/>
      <c r="O185" s="90">
        <f t="shared" si="20"/>
        <v>0</v>
      </c>
      <c r="P185" s="9"/>
      <c r="Q185" s="9"/>
      <c r="R185" s="91" t="str">
        <f t="shared" si="21"/>
        <v/>
      </c>
      <c r="S185" s="91" t="str">
        <f t="shared" si="22"/>
        <v/>
      </c>
      <c r="T185" s="92">
        <f>H185*[0]!FMainPool1Fee+I185*[0]!FMainPool2Fee+J185*[0]!FMainPool3Fee+K185*[0]!FMainPool4Fee+B185*[0]!FMainEntryFee</f>
        <v>0</v>
      </c>
      <c r="U185" s="93"/>
      <c r="V185" s="119" t="s">
        <v>717</v>
      </c>
      <c r="W185"/>
      <c r="X185" s="99"/>
      <c r="Y185" s="99"/>
    </row>
    <row r="186" spans="1:25">
      <c r="A186" s="87">
        <f t="shared" si="19"/>
        <v>175</v>
      </c>
      <c r="B186" s="9"/>
      <c r="C186" s="6" t="s">
        <v>255</v>
      </c>
      <c r="D186" s="6" t="s">
        <v>58</v>
      </c>
      <c r="E186" s="7" t="s">
        <v>303</v>
      </c>
      <c r="F186" s="88"/>
      <c r="G186" s="97"/>
      <c r="H186" s="8"/>
      <c r="I186" s="9"/>
      <c r="J186" s="9"/>
      <c r="K186" s="9"/>
      <c r="L186" s="9"/>
      <c r="M186" s="9"/>
      <c r="N186" s="9"/>
      <c r="O186" s="90">
        <f t="shared" si="20"/>
        <v>0</v>
      </c>
      <c r="P186" s="9"/>
      <c r="Q186" s="9"/>
      <c r="R186" s="91" t="str">
        <f t="shared" si="21"/>
        <v/>
      </c>
      <c r="S186" s="91" t="str">
        <f t="shared" si="22"/>
        <v/>
      </c>
      <c r="T186" s="92">
        <f>H186*[0]!FMainPool1Fee+I186*[0]!FMainPool2Fee+J186*[0]!FMainPool3Fee+K186*[0]!FMainPool4Fee+B186*[0]!FMainEntryFee</f>
        <v>0</v>
      </c>
      <c r="U186" s="93"/>
      <c r="V186" s="119"/>
      <c r="W186"/>
      <c r="X186" s="99"/>
      <c r="Y186" s="99"/>
    </row>
    <row r="187" spans="1:25">
      <c r="A187" s="87">
        <f t="shared" si="19"/>
        <v>176</v>
      </c>
      <c r="B187" s="9"/>
      <c r="C187" s="6" t="s">
        <v>297</v>
      </c>
      <c r="D187" s="6" t="s">
        <v>298</v>
      </c>
      <c r="E187" s="7" t="s">
        <v>299</v>
      </c>
      <c r="F187" s="88"/>
      <c r="G187" s="97"/>
      <c r="H187" s="8"/>
      <c r="I187" s="9"/>
      <c r="J187" s="9"/>
      <c r="K187" s="9"/>
      <c r="L187" s="9"/>
      <c r="M187" s="9"/>
      <c r="N187" s="9"/>
      <c r="O187" s="90">
        <f t="shared" si="20"/>
        <v>0</v>
      </c>
      <c r="P187" s="9"/>
      <c r="Q187" s="9"/>
      <c r="R187" s="91" t="str">
        <f t="shared" si="21"/>
        <v/>
      </c>
      <c r="S187" s="91" t="str">
        <f t="shared" si="22"/>
        <v/>
      </c>
      <c r="T187" s="92">
        <f>H187*[0]!FMainPool1Fee+I187*[0]!FMainPool2Fee+J187*[0]!FMainPool3Fee+K187*[0]!FMainPool4Fee+B187*[0]!FMainEntryFee</f>
        <v>0</v>
      </c>
      <c r="U187" s="93"/>
      <c r="V187" s="120"/>
      <c r="W187"/>
      <c r="X187" s="99"/>
      <c r="Y187" s="99"/>
    </row>
    <row r="188" spans="1:25">
      <c r="A188" s="87">
        <f t="shared" si="19"/>
        <v>177</v>
      </c>
      <c r="B188" s="9"/>
      <c r="C188" s="6" t="s">
        <v>331</v>
      </c>
      <c r="D188" s="6" t="s">
        <v>332</v>
      </c>
      <c r="E188" s="7" t="s">
        <v>333</v>
      </c>
      <c r="F188" s="88"/>
      <c r="G188" s="97" t="s">
        <v>379</v>
      </c>
      <c r="H188" s="8"/>
      <c r="I188" s="9"/>
      <c r="J188" s="9"/>
      <c r="K188" s="9"/>
      <c r="L188" s="9"/>
      <c r="M188" s="9"/>
      <c r="N188" s="9"/>
      <c r="O188" s="90">
        <f t="shared" si="20"/>
        <v>0</v>
      </c>
      <c r="P188" s="9"/>
      <c r="Q188" s="9"/>
      <c r="R188" s="91" t="str">
        <f t="shared" si="21"/>
        <v/>
      </c>
      <c r="S188" s="91" t="str">
        <f t="shared" si="22"/>
        <v/>
      </c>
      <c r="T188" s="92">
        <f>H188*[0]!FMainPool1Fee+I188*[0]!FMainPool2Fee+J188*[0]!FMainPool3Fee+K188*[0]!FMainPool4Fee+B188*[0]!FMainEntryFee</f>
        <v>0</v>
      </c>
      <c r="U188" s="93"/>
      <c r="V188" s="119"/>
      <c r="W188"/>
      <c r="X188" s="99"/>
      <c r="Y188" s="99"/>
    </row>
    <row r="189" spans="1:25">
      <c r="A189" s="87">
        <f t="shared" si="19"/>
        <v>178</v>
      </c>
      <c r="B189" s="9"/>
      <c r="C189" s="6" t="s">
        <v>454</v>
      </c>
      <c r="D189" s="6" t="s">
        <v>469</v>
      </c>
      <c r="E189" s="7" t="s">
        <v>455</v>
      </c>
      <c r="F189" s="88">
        <v>7075087889</v>
      </c>
      <c r="G189" s="97" t="s">
        <v>500</v>
      </c>
      <c r="H189" s="8"/>
      <c r="I189" s="9"/>
      <c r="J189" s="9"/>
      <c r="K189" s="9"/>
      <c r="L189" s="9"/>
      <c r="M189" s="9"/>
      <c r="N189" s="9"/>
      <c r="O189" s="90">
        <f t="shared" si="20"/>
        <v>0</v>
      </c>
      <c r="P189" s="9"/>
      <c r="Q189" s="9"/>
      <c r="R189" s="91" t="str">
        <f t="shared" si="21"/>
        <v/>
      </c>
      <c r="S189" s="91" t="str">
        <f t="shared" si="22"/>
        <v/>
      </c>
      <c r="T189" s="92">
        <f>H189*[0]!FMainPool1Fee+I189*[0]!FMainPool2Fee+J189*[0]!FMainPool3Fee+K189*[0]!FMainPool4Fee+B189*[0]!FMainEntryFee</f>
        <v>0</v>
      </c>
      <c r="U189" s="93"/>
      <c r="V189" s="119"/>
      <c r="W189"/>
      <c r="X189" s="99"/>
      <c r="Y189" s="99"/>
    </row>
    <row r="190" spans="1:25">
      <c r="A190" s="87">
        <f t="shared" si="19"/>
        <v>179</v>
      </c>
      <c r="B190" s="9"/>
      <c r="C190" s="6" t="s">
        <v>101</v>
      </c>
      <c r="D190" s="6" t="s">
        <v>102</v>
      </c>
      <c r="E190" s="7" t="s">
        <v>227</v>
      </c>
      <c r="F190" s="88"/>
      <c r="G190" s="97" t="s">
        <v>405</v>
      </c>
      <c r="H190" s="8"/>
      <c r="I190" s="9"/>
      <c r="J190" s="9"/>
      <c r="K190" s="9"/>
      <c r="L190" s="9"/>
      <c r="M190" s="9"/>
      <c r="N190" s="9"/>
      <c r="O190" s="90">
        <f t="shared" si="20"/>
        <v>0</v>
      </c>
      <c r="P190" s="9"/>
      <c r="Q190" s="9"/>
      <c r="R190" s="91" t="str">
        <f t="shared" si="21"/>
        <v/>
      </c>
      <c r="S190" s="91" t="str">
        <f t="shared" si="22"/>
        <v/>
      </c>
      <c r="T190" s="92">
        <f>H190*[0]!FMainPool1Fee+I190*[0]!FMainPool2Fee+J190*[0]!FMainPool3Fee+K190*[0]!FMainPool4Fee+B190*[0]!FMainEntryFee</f>
        <v>0</v>
      </c>
      <c r="U190" s="93"/>
      <c r="V190" s="119"/>
      <c r="W190"/>
      <c r="X190" s="99"/>
      <c r="Y190" s="99"/>
    </row>
    <row r="191" spans="1:25">
      <c r="A191" s="87">
        <f t="shared" si="19"/>
        <v>180</v>
      </c>
      <c r="B191" s="9">
        <v>1</v>
      </c>
      <c r="C191" s="6" t="s">
        <v>456</v>
      </c>
      <c r="D191" s="6" t="s">
        <v>15</v>
      </c>
      <c r="E191" s="7" t="s">
        <v>471</v>
      </c>
      <c r="F191" s="88">
        <v>7075290228</v>
      </c>
      <c r="G191" s="89" t="s">
        <v>534</v>
      </c>
      <c r="H191" s="8"/>
      <c r="I191" s="9"/>
      <c r="J191" s="9"/>
      <c r="K191" s="9"/>
      <c r="L191" s="9"/>
      <c r="M191" s="9"/>
      <c r="N191" s="9">
        <v>1</v>
      </c>
      <c r="O191" s="90">
        <f t="shared" si="20"/>
        <v>70</v>
      </c>
      <c r="P191" s="9" t="s">
        <v>671</v>
      </c>
      <c r="Q191" s="9"/>
      <c r="R191" s="91" t="str">
        <f t="shared" si="21"/>
        <v/>
      </c>
      <c r="S191" s="91">
        <f t="shared" si="22"/>
        <v>70</v>
      </c>
      <c r="T191" s="92">
        <f>H191*[0]!FMainPool1Fee+I191*[0]!FMainPool2Fee+J191*[0]!FMainPool3Fee+K191*[0]!FMainPool4Fee+B191*[0]!FMainEntryFee</f>
        <v>70</v>
      </c>
      <c r="U191" s="93"/>
      <c r="V191" s="121"/>
      <c r="W191"/>
      <c r="X191" s="99"/>
      <c r="Y191" s="99"/>
    </row>
    <row r="192" spans="1:25">
      <c r="A192" s="87">
        <f t="shared" si="19"/>
        <v>181</v>
      </c>
      <c r="B192" s="9"/>
      <c r="C192" s="1" t="s">
        <v>20</v>
      </c>
      <c r="D192" s="1" t="s">
        <v>19</v>
      </c>
      <c r="E192" s="2" t="s">
        <v>228</v>
      </c>
      <c r="F192" s="102"/>
      <c r="G192" s="97" t="s">
        <v>395</v>
      </c>
      <c r="H192" s="8"/>
      <c r="I192" s="9"/>
      <c r="J192" s="9"/>
      <c r="K192" s="9"/>
      <c r="L192" s="9"/>
      <c r="M192" s="9"/>
      <c r="N192" s="9"/>
      <c r="O192" s="90">
        <f t="shared" si="20"/>
        <v>0</v>
      </c>
      <c r="P192" s="9"/>
      <c r="Q192" s="9"/>
      <c r="R192" s="91" t="str">
        <f t="shared" si="21"/>
        <v/>
      </c>
      <c r="S192" s="91" t="str">
        <f t="shared" si="22"/>
        <v/>
      </c>
      <c r="T192" s="92">
        <f>H192*[0]!FMainPool1Fee+I192*[0]!FMainPool2Fee+J192*[0]!FMainPool3Fee+K192*[0]!FMainPool4Fee+B192*[0]!FMainEntryFee</f>
        <v>0</v>
      </c>
      <c r="U192" s="93"/>
      <c r="V192" s="121"/>
      <c r="W192"/>
      <c r="X192" s="99"/>
      <c r="Y192" s="99"/>
    </row>
    <row r="193" spans="1:25">
      <c r="A193" s="87">
        <f t="shared" si="19"/>
        <v>182</v>
      </c>
      <c r="B193" s="9">
        <v>1</v>
      </c>
      <c r="C193" s="1" t="s">
        <v>719</v>
      </c>
      <c r="D193" s="1" t="s">
        <v>472</v>
      </c>
      <c r="E193" s="2" t="s">
        <v>720</v>
      </c>
      <c r="F193" s="102"/>
      <c r="G193" s="97" t="s">
        <v>395</v>
      </c>
      <c r="H193" s="8"/>
      <c r="I193" s="9"/>
      <c r="J193" s="9"/>
      <c r="K193" s="9"/>
      <c r="L193" s="9"/>
      <c r="M193" s="9"/>
      <c r="N193" s="9">
        <v>1</v>
      </c>
      <c r="O193" s="90">
        <f t="shared" si="20"/>
        <v>70</v>
      </c>
      <c r="P193" s="9" t="s">
        <v>671</v>
      </c>
      <c r="Q193" s="9"/>
      <c r="R193" s="91" t="str">
        <f t="shared" si="21"/>
        <v/>
      </c>
      <c r="S193" s="91">
        <f t="shared" si="22"/>
        <v>70</v>
      </c>
      <c r="T193" s="92">
        <f>H193*[0]!FMainPool1Fee+I193*[0]!FMainPool2Fee+J193*[0]!FMainPool3Fee+K193*[0]!FMainPool4Fee+B193*[0]!FMainEntryFee</f>
        <v>70</v>
      </c>
      <c r="U193" s="93"/>
      <c r="V193" s="121"/>
      <c r="W193"/>
      <c r="X193" s="99"/>
      <c r="Y193" s="99"/>
    </row>
    <row r="194" spans="1:25">
      <c r="A194" s="87">
        <f t="shared" si="19"/>
        <v>183</v>
      </c>
      <c r="B194" s="9"/>
      <c r="C194" s="6" t="s">
        <v>242</v>
      </c>
      <c r="D194" s="6" t="s">
        <v>22</v>
      </c>
      <c r="E194" s="7" t="s">
        <v>243</v>
      </c>
      <c r="F194" s="88"/>
      <c r="G194" s="97" t="s">
        <v>406</v>
      </c>
      <c r="H194" s="8"/>
      <c r="I194" s="9"/>
      <c r="J194" s="9"/>
      <c r="K194" s="9"/>
      <c r="L194" s="9"/>
      <c r="M194" s="9"/>
      <c r="N194" s="9"/>
      <c r="O194" s="90">
        <f t="shared" si="20"/>
        <v>0</v>
      </c>
      <c r="P194" s="9"/>
      <c r="Q194" s="9"/>
      <c r="R194" s="91" t="str">
        <f t="shared" si="21"/>
        <v/>
      </c>
      <c r="S194" s="91" t="str">
        <f t="shared" si="22"/>
        <v/>
      </c>
      <c r="T194" s="92">
        <f>H194*[0]!FMainPool1Fee+I194*[0]!FMainPool2Fee+J194*[0]!FMainPool3Fee+K194*[0]!FMainPool4Fee+B194*[0]!FMainEntryFee</f>
        <v>0</v>
      </c>
      <c r="U194" s="93"/>
      <c r="V194" s="119"/>
      <c r="W194"/>
      <c r="X194" s="99"/>
      <c r="Y194" s="99"/>
    </row>
    <row r="195" spans="1:25">
      <c r="A195" s="87">
        <f t="shared" si="19"/>
        <v>184</v>
      </c>
      <c r="B195" s="9"/>
      <c r="C195" s="6" t="s">
        <v>411</v>
      </c>
      <c r="D195" s="6" t="s">
        <v>248</v>
      </c>
      <c r="E195" s="7" t="s">
        <v>413</v>
      </c>
      <c r="F195" s="88"/>
      <c r="G195" s="97" t="s">
        <v>412</v>
      </c>
      <c r="H195" s="8"/>
      <c r="I195" s="9"/>
      <c r="J195" s="9"/>
      <c r="K195" s="9"/>
      <c r="L195" s="9"/>
      <c r="M195" s="9"/>
      <c r="N195" s="9"/>
      <c r="O195" s="90">
        <f t="shared" si="20"/>
        <v>0</v>
      </c>
      <c r="P195" s="9"/>
      <c r="Q195" s="9"/>
      <c r="R195" s="91" t="str">
        <f t="shared" si="21"/>
        <v/>
      </c>
      <c r="S195" s="91" t="str">
        <f t="shared" si="22"/>
        <v/>
      </c>
      <c r="T195" s="92">
        <f>H195*[0]!FMainPool1Fee+I195*[0]!FMainPool2Fee+J195*[0]!FMainPool3Fee+K195*[0]!FMainPool4Fee+B195*[0]!FMainEntryFee</f>
        <v>0</v>
      </c>
      <c r="U195" s="93"/>
      <c r="V195" s="119"/>
      <c r="W195"/>
      <c r="X195" s="99"/>
      <c r="Y195" s="99"/>
    </row>
    <row r="196" spans="1:25">
      <c r="A196" s="87">
        <f t="shared" si="19"/>
        <v>185</v>
      </c>
      <c r="B196" s="9">
        <v>1</v>
      </c>
      <c r="C196" s="6" t="s">
        <v>457</v>
      </c>
      <c r="D196" s="6" t="s">
        <v>5</v>
      </c>
      <c r="E196" s="7" t="s">
        <v>458</v>
      </c>
      <c r="F196" s="88">
        <v>7078150886</v>
      </c>
      <c r="G196" s="89" t="s">
        <v>535</v>
      </c>
      <c r="H196" s="8"/>
      <c r="I196" s="9">
        <v>1</v>
      </c>
      <c r="J196" s="9">
        <v>1</v>
      </c>
      <c r="K196" s="9"/>
      <c r="L196" s="9"/>
      <c r="M196" s="9"/>
      <c r="N196" s="9"/>
      <c r="O196" s="90">
        <f t="shared" ref="O196:O201" si="23">T196*N196</f>
        <v>0</v>
      </c>
      <c r="P196" s="9" t="s">
        <v>666</v>
      </c>
      <c r="Q196" s="9">
        <v>3948</v>
      </c>
      <c r="R196" s="91">
        <f t="shared" si="21"/>
        <v>100</v>
      </c>
      <c r="S196" s="91" t="str">
        <f t="shared" si="22"/>
        <v/>
      </c>
      <c r="T196" s="92">
        <f>H196*[0]!FMainPool1Fee+I196*[0]!FMainPool2Fee+J196*[0]!FMainPool3Fee+K196*[0]!FMainPool4Fee+B196*[0]!FMainEntryFee</f>
        <v>100</v>
      </c>
      <c r="U196" s="93"/>
      <c r="V196" s="119"/>
      <c r="W196"/>
      <c r="X196" s="99"/>
      <c r="Y196" s="99"/>
    </row>
    <row r="197" spans="1:25">
      <c r="A197" s="87">
        <f t="shared" si="19"/>
        <v>186</v>
      </c>
      <c r="B197" s="9"/>
      <c r="C197" s="6" t="s">
        <v>459</v>
      </c>
      <c r="D197" s="6" t="s">
        <v>472</v>
      </c>
      <c r="E197" s="7" t="s">
        <v>460</v>
      </c>
      <c r="F197" s="88">
        <v>5106764872</v>
      </c>
      <c r="G197" s="89" t="s">
        <v>536</v>
      </c>
      <c r="H197" s="8"/>
      <c r="I197" s="9"/>
      <c r="J197" s="9"/>
      <c r="K197" s="9"/>
      <c r="L197" s="9"/>
      <c r="M197" s="9"/>
      <c r="N197" s="9"/>
      <c r="O197" s="90">
        <f t="shared" si="23"/>
        <v>0</v>
      </c>
      <c r="P197" s="9"/>
      <c r="Q197" s="9"/>
      <c r="R197" s="91" t="str">
        <f t="shared" si="21"/>
        <v/>
      </c>
      <c r="S197" s="91" t="str">
        <f t="shared" si="22"/>
        <v/>
      </c>
      <c r="T197" s="92">
        <f>H197*[0]!FMainPool1Fee+I197*[0]!FMainPool2Fee+J197*[0]!FMainPool3Fee+K197*[0]!FMainPool4Fee+B197*[0]!FMainEntryFee</f>
        <v>0</v>
      </c>
      <c r="U197" s="93"/>
      <c r="V197" s="119"/>
      <c r="W197"/>
      <c r="X197" s="99"/>
      <c r="Y197" s="99"/>
    </row>
    <row r="198" spans="1:25">
      <c r="A198" s="87">
        <f t="shared" si="19"/>
        <v>187</v>
      </c>
      <c r="B198" s="9"/>
      <c r="C198" s="6" t="s">
        <v>324</v>
      </c>
      <c r="D198" s="6" t="s">
        <v>322</v>
      </c>
      <c r="E198" s="7" t="s">
        <v>325</v>
      </c>
      <c r="F198" s="88"/>
      <c r="G198" s="97"/>
      <c r="H198" s="8"/>
      <c r="I198" s="9"/>
      <c r="J198" s="9"/>
      <c r="K198" s="9"/>
      <c r="L198" s="9"/>
      <c r="M198" s="9"/>
      <c r="N198" s="9"/>
      <c r="O198" s="90">
        <f t="shared" si="23"/>
        <v>0</v>
      </c>
      <c r="P198" s="9"/>
      <c r="Q198" s="9"/>
      <c r="R198" s="91" t="str">
        <f t="shared" si="21"/>
        <v/>
      </c>
      <c r="S198" s="91" t="str">
        <f t="shared" si="22"/>
        <v/>
      </c>
      <c r="T198" s="92">
        <f>H198*[0]!FMainPool1Fee+I198*[0]!FMainPool2Fee+J198*[0]!FMainPool3Fee+K198*[0]!FMainPool4Fee+B198*[0]!FMainEntryFee</f>
        <v>0</v>
      </c>
      <c r="U198" s="93"/>
      <c r="V198" s="119"/>
      <c r="W198"/>
      <c r="X198" s="99"/>
      <c r="Y198" s="99"/>
    </row>
    <row r="199" spans="1:25">
      <c r="A199" s="87">
        <f t="shared" si="19"/>
        <v>188</v>
      </c>
      <c r="B199" s="9"/>
      <c r="C199" s="6" t="s">
        <v>321</v>
      </c>
      <c r="D199" s="6" t="s">
        <v>322</v>
      </c>
      <c r="E199" s="7" t="s">
        <v>323</v>
      </c>
      <c r="F199" s="109" t="s">
        <v>537</v>
      </c>
      <c r="G199" s="97" t="s">
        <v>407</v>
      </c>
      <c r="H199" s="8"/>
      <c r="I199" s="9"/>
      <c r="J199" s="9"/>
      <c r="K199" s="9"/>
      <c r="L199" s="9"/>
      <c r="M199" s="9"/>
      <c r="N199" s="9"/>
      <c r="O199" s="90">
        <f t="shared" si="23"/>
        <v>0</v>
      </c>
      <c r="P199" s="9"/>
      <c r="Q199" s="9"/>
      <c r="R199" s="91" t="str">
        <f t="shared" si="21"/>
        <v/>
      </c>
      <c r="S199" s="91" t="str">
        <f t="shared" si="22"/>
        <v/>
      </c>
      <c r="T199" s="92">
        <f>H199*[0]!FMainPool1Fee+I199*[0]!FMainPool2Fee+J199*[0]!FMainPool3Fee+K199*[0]!FMainPool4Fee+B199*[0]!FMainEntryFee</f>
        <v>0</v>
      </c>
      <c r="U199" s="93"/>
      <c r="V199" s="119"/>
      <c r="W199"/>
      <c r="X199" s="99"/>
      <c r="Y199" s="99"/>
    </row>
    <row r="200" spans="1:25">
      <c r="A200" s="87">
        <f t="shared" si="19"/>
        <v>189</v>
      </c>
      <c r="B200" s="9"/>
      <c r="C200" s="104" t="s">
        <v>640</v>
      </c>
      <c r="D200" s="104" t="s">
        <v>641</v>
      </c>
      <c r="E200" s="98" t="s">
        <v>642</v>
      </c>
      <c r="F200" s="109"/>
      <c r="G200" s="104"/>
      <c r="H200" s="8"/>
      <c r="I200" s="9"/>
      <c r="J200" s="9"/>
      <c r="K200" s="9"/>
      <c r="L200" s="9"/>
      <c r="M200" s="9"/>
      <c r="N200" s="9"/>
      <c r="O200" s="90">
        <f t="shared" si="23"/>
        <v>0</v>
      </c>
      <c r="P200" s="9"/>
      <c r="Q200" s="9"/>
      <c r="R200" s="91" t="str">
        <f t="shared" si="21"/>
        <v/>
      </c>
      <c r="S200" s="91" t="str">
        <f t="shared" si="22"/>
        <v/>
      </c>
      <c r="T200" s="92">
        <f>H200*[0]!FMainPool1Fee+I200*[0]!FMainPool2Fee+J200*[0]!FMainPool3Fee+K200*[0]!FMainPool4Fee+B200*[0]!FMainEntryFee</f>
        <v>0</v>
      </c>
      <c r="U200" s="93"/>
      <c r="V200" s="119"/>
      <c r="W200"/>
      <c r="X200" s="99"/>
      <c r="Y200" s="99"/>
    </row>
    <row r="201" spans="1:25">
      <c r="A201" s="87">
        <f t="shared" si="19"/>
        <v>190</v>
      </c>
      <c r="B201" s="9">
        <v>1</v>
      </c>
      <c r="C201" s="104" t="s">
        <v>643</v>
      </c>
      <c r="D201" s="104" t="s">
        <v>48</v>
      </c>
      <c r="E201" s="98" t="s">
        <v>644</v>
      </c>
      <c r="F201" s="109">
        <v>5103661378</v>
      </c>
      <c r="G201" s="89" t="s">
        <v>645</v>
      </c>
      <c r="H201" s="8">
        <v>1</v>
      </c>
      <c r="I201" s="9">
        <v>1</v>
      </c>
      <c r="J201" s="9"/>
      <c r="K201" s="9"/>
      <c r="L201" s="9"/>
      <c r="M201" s="9"/>
      <c r="N201" s="9"/>
      <c r="O201" s="90">
        <f t="shared" si="23"/>
        <v>0</v>
      </c>
      <c r="P201" s="9" t="s">
        <v>666</v>
      </c>
      <c r="Q201" s="9">
        <v>317</v>
      </c>
      <c r="R201" s="91">
        <f t="shared" si="21"/>
        <v>90</v>
      </c>
      <c r="S201" s="91" t="str">
        <f t="shared" si="22"/>
        <v/>
      </c>
      <c r="T201" s="92">
        <f>H201*[0]!FMainPool1Fee+I201*[0]!FMainPool2Fee+J201*[0]!FMainPool3Fee+K201*[0]!FMainPool4Fee+B201*[0]!FMainEntryFee</f>
        <v>90</v>
      </c>
      <c r="U201" s="93"/>
      <c r="V201" s="119"/>
      <c r="W201"/>
      <c r="X201" s="99"/>
      <c r="Y201" s="99"/>
    </row>
    <row r="202" spans="1:25">
      <c r="A202" s="87">
        <f t="shared" si="19"/>
        <v>191</v>
      </c>
      <c r="B202" s="9"/>
      <c r="C202" s="104"/>
      <c r="D202" s="104"/>
      <c r="E202" s="98"/>
      <c r="F202" s="98"/>
      <c r="G202" s="104"/>
      <c r="H202" s="8"/>
      <c r="I202" s="9"/>
      <c r="J202" s="9"/>
      <c r="K202" s="9"/>
      <c r="L202" s="9"/>
      <c r="M202" s="9"/>
      <c r="N202" s="9"/>
      <c r="O202" s="90">
        <f t="shared" ref="O202" si="24">T202*N202</f>
        <v>0</v>
      </c>
      <c r="P202" s="9"/>
      <c r="Q202" s="9"/>
      <c r="R202" s="91" t="str">
        <f t="shared" ref="R202" si="25">IF(OR(P202="c",P202="C"),+T202,"")</f>
        <v/>
      </c>
      <c r="S202" s="91" t="str">
        <f t="shared" ref="S202" si="26">IF(OR(P202="$",N202=1),+T202,"")</f>
        <v/>
      </c>
      <c r="T202" s="92">
        <f>H202*[0]!FMainPool1Fee+I202*[0]!FMainPool2Fee+J202*[0]!FMainPool3Fee+K202*[0]!FMainPool4Fee+B202*[0]!FMainEntryFee</f>
        <v>0</v>
      </c>
      <c r="U202" s="93"/>
      <c r="V202" s="119"/>
      <c r="W202"/>
      <c r="X202" s="99"/>
      <c r="Y202" s="99"/>
    </row>
    <row r="203" spans="1:25">
      <c r="A203" s="87">
        <f t="shared" si="19"/>
        <v>192</v>
      </c>
      <c r="B203" s="9"/>
      <c r="C203" s="104"/>
      <c r="D203" s="104"/>
      <c r="E203" s="98"/>
      <c r="F203" s="98"/>
      <c r="G203" s="104"/>
      <c r="H203" s="8"/>
      <c r="I203" s="9"/>
      <c r="J203" s="9"/>
      <c r="K203" s="9"/>
      <c r="L203" s="9"/>
      <c r="M203" s="9"/>
      <c r="N203" s="9"/>
      <c r="O203" s="90">
        <f t="shared" ref="O203:O207" si="27">T203*N203</f>
        <v>0</v>
      </c>
      <c r="P203" s="9"/>
      <c r="Q203" s="9"/>
      <c r="R203" s="91" t="str">
        <f t="shared" ref="R203:R208" si="28">IF(OR(P203="c",P203="C"),+T203,"")</f>
        <v/>
      </c>
      <c r="S203" s="91" t="str">
        <f t="shared" ref="S203:S207" si="29">IF(OR(P203="$",N203=1),+T203,"")</f>
        <v/>
      </c>
      <c r="T203" s="92">
        <f>H203*[0]!FMainPool1Fee+I203*[0]!FMainPool2Fee+J203*[0]!FMainPool3Fee+K203*[0]!FMainPool4Fee+B203*[0]!FMainEntryFee</f>
        <v>0</v>
      </c>
      <c r="U203" s="93"/>
      <c r="V203" s="119"/>
      <c r="W203"/>
      <c r="X203" s="99"/>
      <c r="Y203" s="99"/>
    </row>
    <row r="204" spans="1:25">
      <c r="A204" s="87">
        <f t="shared" si="19"/>
        <v>193</v>
      </c>
      <c r="B204" s="9"/>
      <c r="C204" s="104"/>
      <c r="D204" s="104"/>
      <c r="E204" s="98"/>
      <c r="F204" s="98"/>
      <c r="G204" s="104"/>
      <c r="H204" s="8"/>
      <c r="I204" s="9"/>
      <c r="J204" s="9"/>
      <c r="K204" s="9"/>
      <c r="L204" s="9"/>
      <c r="M204" s="9"/>
      <c r="N204" s="9"/>
      <c r="O204" s="90">
        <f t="shared" si="27"/>
        <v>0</v>
      </c>
      <c r="P204" s="9"/>
      <c r="Q204" s="9"/>
      <c r="R204" s="91" t="str">
        <f t="shared" si="28"/>
        <v/>
      </c>
      <c r="S204" s="91" t="str">
        <f t="shared" si="29"/>
        <v/>
      </c>
      <c r="T204" s="92">
        <f>H204*[0]!FMainPool1Fee+I204*[0]!FMainPool2Fee+J204*[0]!FMainPool3Fee+K204*[0]!FMainPool4Fee+B204*[0]!FMainEntryFee</f>
        <v>0</v>
      </c>
      <c r="U204" s="93"/>
      <c r="V204" s="119"/>
      <c r="W204"/>
      <c r="X204" s="99"/>
      <c r="Y204" s="99"/>
    </row>
    <row r="205" spans="1:25">
      <c r="A205" s="87">
        <f t="shared" si="19"/>
        <v>194</v>
      </c>
      <c r="B205" s="9"/>
      <c r="C205" s="104"/>
      <c r="D205" s="104"/>
      <c r="E205" s="98"/>
      <c r="F205" s="98"/>
      <c r="G205" s="104"/>
      <c r="H205" s="8"/>
      <c r="I205" s="9"/>
      <c r="J205" s="9"/>
      <c r="K205" s="9"/>
      <c r="L205" s="9"/>
      <c r="M205" s="9"/>
      <c r="N205" s="9"/>
      <c r="O205" s="90">
        <f t="shared" si="27"/>
        <v>0</v>
      </c>
      <c r="P205" s="9"/>
      <c r="Q205" s="9"/>
      <c r="R205" s="91" t="str">
        <f t="shared" si="28"/>
        <v/>
      </c>
      <c r="S205" s="91" t="str">
        <f t="shared" si="29"/>
        <v/>
      </c>
      <c r="T205" s="92">
        <f>H205*[0]!FMainPool1Fee+I205*[0]!FMainPool2Fee+J205*[0]!FMainPool3Fee+K205*[0]!FMainPool4Fee+B205*[0]!FMainEntryFee</f>
        <v>0</v>
      </c>
      <c r="U205" s="93"/>
      <c r="V205" s="119"/>
      <c r="W205"/>
      <c r="X205" s="99"/>
      <c r="Y205" s="99"/>
    </row>
    <row r="206" spans="1:25">
      <c r="A206" s="87">
        <f t="shared" si="19"/>
        <v>195</v>
      </c>
      <c r="B206" s="9"/>
      <c r="C206" s="104"/>
      <c r="D206" s="104"/>
      <c r="E206" s="98"/>
      <c r="F206" s="98"/>
      <c r="G206" s="104"/>
      <c r="H206" s="8"/>
      <c r="I206" s="9"/>
      <c r="J206" s="9"/>
      <c r="K206" s="9"/>
      <c r="L206" s="9"/>
      <c r="M206" s="9"/>
      <c r="N206" s="9"/>
      <c r="O206" s="90">
        <f t="shared" si="27"/>
        <v>0</v>
      </c>
      <c r="P206" s="9"/>
      <c r="Q206" s="9"/>
      <c r="R206" s="91" t="str">
        <f t="shared" si="28"/>
        <v/>
      </c>
      <c r="S206" s="91" t="str">
        <f t="shared" si="29"/>
        <v/>
      </c>
      <c r="T206" s="92">
        <f>H206*[0]!FMainPool1Fee+I206*[0]!FMainPool2Fee+J206*[0]!FMainPool3Fee+K206*[0]!FMainPool4Fee+B206*[0]!FMainEntryFee</f>
        <v>0</v>
      </c>
      <c r="U206" s="93"/>
      <c r="V206" s="119"/>
      <c r="W206"/>
      <c r="X206" s="99"/>
      <c r="Y206" s="99"/>
    </row>
    <row r="207" spans="1:25">
      <c r="A207" s="87">
        <f t="shared" si="19"/>
        <v>196</v>
      </c>
      <c r="B207" s="9"/>
      <c r="C207" s="104"/>
      <c r="D207" s="104"/>
      <c r="E207" s="98"/>
      <c r="F207" s="98"/>
      <c r="G207" s="104"/>
      <c r="H207" s="8"/>
      <c r="I207" s="9"/>
      <c r="J207" s="9"/>
      <c r="K207" s="9"/>
      <c r="L207" s="9"/>
      <c r="M207" s="9"/>
      <c r="N207" s="9"/>
      <c r="O207" s="90">
        <f t="shared" si="27"/>
        <v>0</v>
      </c>
      <c r="P207" s="9"/>
      <c r="Q207" s="9"/>
      <c r="R207" s="91" t="str">
        <f t="shared" si="28"/>
        <v/>
      </c>
      <c r="S207" s="91" t="str">
        <f t="shared" si="29"/>
        <v/>
      </c>
      <c r="T207" s="92">
        <f>H207*[0]!FMainPool1Fee+I207*[0]!FMainPool2Fee+J207*[0]!FMainPool3Fee+K207*[0]!FMainPool4Fee+B207*[0]!FMainEntryFee</f>
        <v>0</v>
      </c>
      <c r="U207" s="93"/>
      <c r="V207" s="119"/>
      <c r="W207"/>
      <c r="X207" s="99"/>
      <c r="Y207" s="99"/>
    </row>
    <row r="208" spans="1:25">
      <c r="A208" s="87">
        <f t="shared" ref="A208:A214" si="30">ROW() - ROW(FRegentiresEneteredHdr)</f>
        <v>197</v>
      </c>
      <c r="B208" s="9"/>
      <c r="C208" s="104"/>
      <c r="D208" s="104"/>
      <c r="E208" s="98"/>
      <c r="F208" s="98"/>
      <c r="G208" s="104"/>
      <c r="H208" s="8"/>
      <c r="I208" s="9"/>
      <c r="J208" s="9"/>
      <c r="K208" s="9"/>
      <c r="L208" s="9"/>
      <c r="M208" s="9"/>
      <c r="N208" s="9"/>
      <c r="O208" s="90">
        <f t="shared" ref="O208" si="31">T208*N208</f>
        <v>0</v>
      </c>
      <c r="P208" s="9"/>
      <c r="Q208" s="9"/>
      <c r="R208" s="91" t="str">
        <f t="shared" si="28"/>
        <v/>
      </c>
      <c r="S208" s="91" t="str">
        <f t="shared" ref="S208" si="32">IF(OR(P208="$",N208=1),+T208,"")</f>
        <v/>
      </c>
      <c r="T208" s="92">
        <f>H208*[0]!FMainPool1Fee+I208*[0]!FMainPool2Fee+J208*[0]!FMainPool3Fee+K208*[0]!FMainPool4Fee+B208*[0]!FMainEntryFee</f>
        <v>0</v>
      </c>
      <c r="U208" s="93"/>
      <c r="V208" s="119"/>
      <c r="W208"/>
      <c r="X208" s="99"/>
      <c r="Y208" s="99"/>
    </row>
    <row r="209" spans="1:25">
      <c r="A209" s="87">
        <f t="shared" si="30"/>
        <v>198</v>
      </c>
      <c r="B209" s="9"/>
      <c r="C209" s="104"/>
      <c r="D209" s="104"/>
      <c r="E209" s="98"/>
      <c r="F209" s="98"/>
      <c r="G209" s="104"/>
      <c r="H209" s="8"/>
      <c r="I209" s="9"/>
      <c r="J209" s="9"/>
      <c r="K209" s="9"/>
      <c r="L209" s="9"/>
      <c r="M209" s="9"/>
      <c r="N209" s="9"/>
      <c r="O209" s="90">
        <f t="shared" ref="O209:O212" si="33">T209*N209</f>
        <v>0</v>
      </c>
      <c r="P209" s="9"/>
      <c r="Q209" s="9"/>
      <c r="R209" s="91" t="str">
        <f t="shared" ref="R209:R212" si="34">IF(OR(P209="c",P209="C"),+T209,"")</f>
        <v/>
      </c>
      <c r="S209" s="91" t="str">
        <f t="shared" ref="S209:S212" si="35">IF(OR(P209="$",N209=1),+T209,"")</f>
        <v/>
      </c>
      <c r="T209" s="92">
        <f>H209*[0]!FMainPool1Fee+I209*[0]!FMainPool2Fee+J209*[0]!FMainPool3Fee+K209*[0]!FMainPool4Fee+B209*[0]!FMainEntryFee</f>
        <v>0</v>
      </c>
      <c r="U209" s="93"/>
      <c r="V209" s="119"/>
      <c r="W209"/>
      <c r="X209" s="99"/>
      <c r="Y209" s="99"/>
    </row>
    <row r="210" spans="1:25">
      <c r="A210" s="87">
        <f t="shared" si="30"/>
        <v>199</v>
      </c>
      <c r="B210" s="9"/>
      <c r="C210" s="104"/>
      <c r="D210" s="104"/>
      <c r="E210" s="98"/>
      <c r="F210" s="98"/>
      <c r="G210" s="104"/>
      <c r="H210" s="8"/>
      <c r="I210" s="9"/>
      <c r="J210" s="9"/>
      <c r="K210" s="9"/>
      <c r="L210" s="9"/>
      <c r="M210" s="9"/>
      <c r="N210" s="9"/>
      <c r="O210" s="90">
        <f t="shared" si="33"/>
        <v>0</v>
      </c>
      <c r="P210" s="9"/>
      <c r="Q210" s="9"/>
      <c r="R210" s="91" t="str">
        <f t="shared" si="34"/>
        <v/>
      </c>
      <c r="S210" s="91" t="str">
        <f t="shared" si="35"/>
        <v/>
      </c>
      <c r="T210" s="92">
        <f>H210*[0]!FMainPool1Fee+I210*[0]!FMainPool2Fee+J210*[0]!FMainPool3Fee+K210*[0]!FMainPool4Fee+B210*[0]!FMainEntryFee</f>
        <v>0</v>
      </c>
      <c r="U210" s="93"/>
      <c r="V210" s="119"/>
      <c r="W210"/>
      <c r="X210" s="99"/>
      <c r="Y210" s="99"/>
    </row>
    <row r="211" spans="1:25">
      <c r="A211" s="87">
        <f t="shared" si="30"/>
        <v>200</v>
      </c>
      <c r="B211" s="9"/>
      <c r="C211" s="104"/>
      <c r="D211" s="104"/>
      <c r="E211" s="98"/>
      <c r="F211" s="98"/>
      <c r="G211" s="104"/>
      <c r="H211" s="8"/>
      <c r="I211" s="9"/>
      <c r="J211" s="9"/>
      <c r="K211" s="9"/>
      <c r="L211" s="9"/>
      <c r="M211" s="9"/>
      <c r="N211" s="9"/>
      <c r="O211" s="90">
        <f t="shared" si="33"/>
        <v>0</v>
      </c>
      <c r="P211" s="9"/>
      <c r="Q211" s="9"/>
      <c r="R211" s="91" t="str">
        <f t="shared" si="34"/>
        <v/>
      </c>
      <c r="S211" s="91" t="str">
        <f t="shared" si="35"/>
        <v/>
      </c>
      <c r="T211" s="92">
        <f>H211*[0]!FMainPool1Fee+I211*[0]!FMainPool2Fee+J211*[0]!FMainPool3Fee+K211*[0]!FMainPool4Fee+B211*[0]!FMainEntryFee</f>
        <v>0</v>
      </c>
      <c r="U211" s="93"/>
      <c r="V211" s="119"/>
      <c r="W211"/>
      <c r="X211" s="99"/>
      <c r="Y211" s="99"/>
    </row>
    <row r="212" spans="1:25">
      <c r="A212" s="87">
        <f t="shared" si="30"/>
        <v>201</v>
      </c>
      <c r="B212" s="9"/>
      <c r="C212" s="104"/>
      <c r="D212" s="104"/>
      <c r="E212" s="98"/>
      <c r="F212" s="98"/>
      <c r="G212" s="104"/>
      <c r="H212" s="8"/>
      <c r="I212" s="9"/>
      <c r="J212" s="9"/>
      <c r="K212" s="9"/>
      <c r="L212" s="9"/>
      <c r="M212" s="9"/>
      <c r="N212" s="9"/>
      <c r="O212" s="90">
        <f t="shared" si="33"/>
        <v>0</v>
      </c>
      <c r="P212" s="9"/>
      <c r="Q212" s="9"/>
      <c r="R212" s="91" t="str">
        <f t="shared" si="34"/>
        <v/>
      </c>
      <c r="S212" s="91" t="str">
        <f t="shared" si="35"/>
        <v/>
      </c>
      <c r="T212" s="92">
        <f>H212*[0]!FMainPool1Fee+I212*[0]!FMainPool2Fee+J212*[0]!FMainPool3Fee+K212*[0]!FMainPool4Fee+B212*[0]!FMainEntryFee</f>
        <v>0</v>
      </c>
      <c r="U212" s="93"/>
      <c r="V212" s="119"/>
      <c r="W212"/>
      <c r="X212" s="99"/>
      <c r="Y212" s="99"/>
    </row>
    <row r="213" spans="1:25">
      <c r="A213" s="87">
        <f t="shared" si="30"/>
        <v>202</v>
      </c>
      <c r="B213" s="9"/>
      <c r="C213" s="104"/>
      <c r="D213" s="104"/>
      <c r="E213" s="98"/>
      <c r="F213" s="98"/>
      <c r="G213" s="104"/>
      <c r="H213" s="8"/>
      <c r="I213" s="9"/>
      <c r="J213" s="9"/>
      <c r="K213" s="9"/>
      <c r="L213" s="9"/>
      <c r="M213" s="9"/>
      <c r="N213" s="9"/>
      <c r="O213" s="90">
        <f t="shared" ref="O213:O214" si="36">T213*N213</f>
        <v>0</v>
      </c>
      <c r="P213" s="9"/>
      <c r="Q213" s="9"/>
      <c r="R213" s="91" t="str">
        <f t="shared" ref="R213:R214" si="37">IF(OR(P213="c",P213="C"),+T213,"")</f>
        <v/>
      </c>
      <c r="S213" s="91" t="str">
        <f t="shared" ref="S213:S214" si="38">IF(OR(P213="$",N213=1),+T213,"")</f>
        <v/>
      </c>
      <c r="T213" s="92">
        <f>H213*[0]!FMainPool1Fee+I213*[0]!FMainPool2Fee+J213*[0]!FMainPool3Fee+K213*[0]!FMainPool4Fee+B213*[0]!FMainEntryFee</f>
        <v>0</v>
      </c>
      <c r="U213" s="93"/>
      <c r="V213" s="119"/>
    </row>
    <row r="214" spans="1:25">
      <c r="A214" s="87">
        <f t="shared" si="30"/>
        <v>203</v>
      </c>
      <c r="B214" s="9"/>
      <c r="C214" s="104"/>
      <c r="D214" s="104"/>
      <c r="E214" s="98"/>
      <c r="F214" s="98"/>
      <c r="G214" s="104"/>
      <c r="H214" s="8"/>
      <c r="I214" s="9"/>
      <c r="J214" s="9"/>
      <c r="K214" s="9"/>
      <c r="L214" s="9"/>
      <c r="M214" s="9"/>
      <c r="N214" s="9"/>
      <c r="O214" s="90">
        <f t="shared" si="36"/>
        <v>0</v>
      </c>
      <c r="P214" s="9"/>
      <c r="Q214" s="9"/>
      <c r="R214" s="91" t="str">
        <f t="shared" si="37"/>
        <v/>
      </c>
      <c r="S214" s="91" t="str">
        <f t="shared" si="38"/>
        <v/>
      </c>
      <c r="T214" s="92">
        <f>H214*[0]!FMainPool1Fee+I214*[0]!FMainPool2Fee+J214*[0]!FMainPool3Fee+K214*[0]!FMainPool4Fee+B214*[0]!FMainEntryFee</f>
        <v>0</v>
      </c>
      <c r="U214" s="93"/>
      <c r="V214" s="119"/>
    </row>
    <row r="215" spans="1:25">
      <c r="A215" s="29"/>
    </row>
    <row r="216" spans="1:25">
      <c r="A216" s="29"/>
    </row>
  </sheetData>
  <sheetProtection selectLockedCells="1"/>
  <sortState xmlns:xlrd2="http://schemas.microsoft.com/office/spreadsheetml/2017/richdata2" ref="B12:U201">
    <sortCondition ref="C12"/>
  </sortState>
  <dataConsolidate/>
  <mergeCells count="4">
    <mergeCell ref="K2:N2"/>
    <mergeCell ref="K3:N3"/>
    <mergeCell ref="K4:N4"/>
    <mergeCell ref="K5:L5"/>
  </mergeCells>
  <hyperlinks>
    <hyperlink ref="G70" r:id="rId1" xr:uid="{00000000-0004-0000-0200-000000000000}"/>
    <hyperlink ref="G170" r:id="rId2" xr:uid="{00000000-0004-0000-0200-000001000000}"/>
    <hyperlink ref="G16" r:id="rId3" xr:uid="{00000000-0004-0000-0200-000002000000}"/>
    <hyperlink ref="G19" r:id="rId4" xr:uid="{00000000-0004-0000-0200-000003000000}"/>
    <hyperlink ref="G24" r:id="rId5" xr:uid="{00000000-0004-0000-0200-000004000000}"/>
    <hyperlink ref="G49" r:id="rId6" xr:uid="{00000000-0004-0000-0200-000005000000}"/>
    <hyperlink ref="G64" r:id="rId7" xr:uid="{00000000-0004-0000-0200-000006000000}"/>
    <hyperlink ref="G71" r:id="rId8" xr:uid="{00000000-0004-0000-0200-000007000000}"/>
    <hyperlink ref="G79" r:id="rId9" xr:uid="{00000000-0004-0000-0200-000008000000}"/>
    <hyperlink ref="G82" r:id="rId10" xr:uid="{00000000-0004-0000-0200-000009000000}"/>
    <hyperlink ref="G97" r:id="rId11" xr:uid="{00000000-0004-0000-0200-00000A000000}"/>
    <hyperlink ref="G98" r:id="rId12" xr:uid="{00000000-0004-0000-0200-00000B000000}"/>
    <hyperlink ref="G101" r:id="rId13" xr:uid="{00000000-0004-0000-0200-00000C000000}"/>
    <hyperlink ref="G108" r:id="rId14" xr:uid="{00000000-0004-0000-0200-00000D000000}"/>
    <hyperlink ref="G152" r:id="rId15" xr:uid="{00000000-0004-0000-0200-00000E000000}"/>
    <hyperlink ref="G159" r:id="rId16" xr:uid="{00000000-0004-0000-0200-00000F000000}"/>
    <hyperlink ref="G166" r:id="rId17" xr:uid="{00000000-0004-0000-0200-000010000000}"/>
    <hyperlink ref="G169" r:id="rId18" xr:uid="{00000000-0004-0000-0200-000011000000}"/>
    <hyperlink ref="G176" r:id="rId19" xr:uid="{00000000-0004-0000-0200-000012000000}"/>
    <hyperlink ref="G191" r:id="rId20" xr:uid="{00000000-0004-0000-0200-000013000000}"/>
    <hyperlink ref="G196" r:id="rId21" xr:uid="{00000000-0004-0000-0200-000014000000}"/>
    <hyperlink ref="G197" r:id="rId22" xr:uid="{00000000-0004-0000-0200-000015000000}"/>
    <hyperlink ref="G121" r:id="rId23" xr:uid="{00000000-0004-0000-0200-000016000000}"/>
    <hyperlink ref="G122" r:id="rId24" xr:uid="{00000000-0004-0000-0200-000017000000}"/>
    <hyperlink ref="G45" r:id="rId25" xr:uid="{00000000-0004-0000-0200-000018000000}"/>
    <hyperlink ref="G112" r:id="rId26" xr:uid="{00000000-0004-0000-0200-000019000000}"/>
    <hyperlink ref="G80" r:id="rId27" xr:uid="{00000000-0004-0000-0200-00001A000000}"/>
    <hyperlink ref="G139" r:id="rId28" xr:uid="{00000000-0004-0000-0200-00001B000000}"/>
    <hyperlink ref="G132" r:id="rId29" xr:uid="{00000000-0004-0000-0200-00001C000000}"/>
    <hyperlink ref="G116" r:id="rId30" xr:uid="{00000000-0004-0000-0200-00001D000000}"/>
    <hyperlink ref="G81" r:id="rId31" xr:uid="{00000000-0004-0000-0200-00001E000000}"/>
    <hyperlink ref="G161" r:id="rId32" xr:uid="{00000000-0004-0000-0200-00001F000000}"/>
    <hyperlink ref="G177" r:id="rId33" xr:uid="{00000000-0004-0000-0200-000020000000}"/>
    <hyperlink ref="G201" r:id="rId34" xr:uid="{00000000-0004-0000-0200-000021000000}"/>
    <hyperlink ref="G165" r:id="rId35" xr:uid="{00000000-0004-0000-0200-000022000000}"/>
    <hyperlink ref="G131" r:id="rId36" xr:uid="{00000000-0004-0000-0200-000023000000}"/>
    <hyperlink ref="G172" r:id="rId37" xr:uid="{00000000-0004-0000-0200-000024000000}"/>
    <hyperlink ref="G32" r:id="rId38" xr:uid="{00000000-0004-0000-0200-000025000000}"/>
    <hyperlink ref="G157" r:id="rId39" xr:uid="{00000000-0004-0000-0200-000026000000}"/>
    <hyperlink ref="G154" r:id="rId40" xr:uid="{00000000-0004-0000-0200-000027000000}"/>
    <hyperlink ref="G90" r:id="rId41" xr:uid="{00000000-0004-0000-0200-000028000000}"/>
    <hyperlink ref="G76" r:id="rId42" xr:uid="{00000000-0004-0000-0200-000029000000}"/>
    <hyperlink ref="G77" r:id="rId43" xr:uid="{00000000-0004-0000-0200-00002A000000}"/>
    <hyperlink ref="G46" r:id="rId44" xr:uid="{00000000-0004-0000-0200-00002B000000}"/>
    <hyperlink ref="G13" r:id="rId45" xr:uid="{00000000-0004-0000-0200-00002C000000}"/>
    <hyperlink ref="G123" r:id="rId46" xr:uid="{00000000-0004-0000-0200-00002D000000}"/>
    <hyperlink ref="G26" r:id="rId47" xr:uid="{00000000-0004-0000-0200-00002E000000}"/>
    <hyperlink ref="G75" r:id="rId48" xr:uid="{00000000-0004-0000-0200-00002F000000}"/>
    <hyperlink ref="G65" r:id="rId49" xr:uid="{00000000-0004-0000-0200-000030000000}"/>
    <hyperlink ref="G133" r:id="rId50" xr:uid="{00000000-0004-0000-0200-000031000000}"/>
  </hyperlinks>
  <pageMargins left="0.25" right="0.25" top="0.75" bottom="0.75" header="0.3" footer="0.3"/>
  <pageSetup scale="51" orientation="landscape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4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5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6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7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8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9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0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1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2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3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64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5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66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67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8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69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0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100"/>
  <sheetViews>
    <sheetView workbookViewId="0">
      <selection activeCell="P24" sqref="P24"/>
    </sheetView>
  </sheetViews>
  <sheetFormatPr defaultColWidth="8.85546875" defaultRowHeight="15"/>
  <cols>
    <col min="1" max="1" width="24.28515625" customWidth="1"/>
    <col min="2" max="2" width="22.140625" style="5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>
      <c r="J3" s="43"/>
      <c r="K3" s="43"/>
      <c r="L3" s="71"/>
    </row>
    <row r="7" spans="1:12" ht="21">
      <c r="A7" s="27" t="s">
        <v>593</v>
      </c>
    </row>
    <row r="8" spans="1:12">
      <c r="K8" s="37"/>
    </row>
    <row r="9" spans="1:12" ht="30">
      <c r="A9" s="18" t="s">
        <v>0</v>
      </c>
      <c r="B9" s="84" t="s">
        <v>1</v>
      </c>
      <c r="C9" s="20" t="s">
        <v>2</v>
      </c>
      <c r="D9" s="17" t="s">
        <v>84</v>
      </c>
      <c r="E9" s="17" t="s">
        <v>85</v>
      </c>
      <c r="F9" s="17" t="s">
        <v>86</v>
      </c>
      <c r="G9" s="17" t="s">
        <v>87</v>
      </c>
      <c r="H9" s="17" t="s">
        <v>3</v>
      </c>
      <c r="I9" s="17" t="s">
        <v>83</v>
      </c>
      <c r="J9" s="17" t="s">
        <v>4</v>
      </c>
      <c r="K9" s="33" t="s">
        <v>88</v>
      </c>
      <c r="L9" s="36" t="s">
        <v>89</v>
      </c>
    </row>
    <row r="10" spans="1:12">
      <c r="A10" s="61" t="s">
        <v>29</v>
      </c>
      <c r="B10" s="4" t="s">
        <v>538</v>
      </c>
      <c r="C10" s="4" t="s">
        <v>203</v>
      </c>
      <c r="D10" s="8">
        <v>1</v>
      </c>
      <c r="E10" s="9"/>
      <c r="F10" s="9"/>
      <c r="G10" s="9"/>
      <c r="H10" s="9"/>
      <c r="I10" s="9">
        <v>80</v>
      </c>
      <c r="J10" s="9"/>
      <c r="K10" s="35"/>
      <c r="L10" s="61"/>
    </row>
    <row r="11" spans="1:12">
      <c r="A11" s="61" t="s">
        <v>49</v>
      </c>
      <c r="B11" s="76" t="s">
        <v>502</v>
      </c>
      <c r="C11" s="76" t="s">
        <v>193</v>
      </c>
      <c r="D11" s="8">
        <v>1</v>
      </c>
      <c r="E11" s="8">
        <v>1</v>
      </c>
      <c r="F11" s="8">
        <v>1</v>
      </c>
      <c r="G11" s="8">
        <v>1</v>
      </c>
      <c r="H11" s="9">
        <v>1</v>
      </c>
      <c r="I11" s="9">
        <v>160</v>
      </c>
      <c r="J11" s="9"/>
      <c r="K11" s="35"/>
      <c r="L11" s="61"/>
    </row>
    <row r="12" spans="1:12">
      <c r="A12" s="61" t="s">
        <v>607</v>
      </c>
      <c r="B12" s="76">
        <v>5103043540</v>
      </c>
      <c r="C12" s="76" t="s">
        <v>608</v>
      </c>
      <c r="D12" s="8">
        <v>1</v>
      </c>
      <c r="E12" s="9"/>
      <c r="F12" s="9"/>
      <c r="G12" s="9"/>
      <c r="H12" s="9"/>
      <c r="I12" s="9">
        <v>80</v>
      </c>
      <c r="J12" s="9"/>
      <c r="K12" s="35"/>
      <c r="L12" s="61"/>
    </row>
    <row r="13" spans="1:12">
      <c r="A13" s="61" t="s">
        <v>253</v>
      </c>
      <c r="B13" s="76" t="s">
        <v>509</v>
      </c>
      <c r="C13" s="76" t="s">
        <v>254</v>
      </c>
      <c r="D13" s="8">
        <v>1</v>
      </c>
      <c r="E13" s="9"/>
      <c r="F13" s="9"/>
      <c r="G13" s="9"/>
      <c r="H13" s="9"/>
      <c r="I13" s="9">
        <v>80</v>
      </c>
      <c r="J13" s="9"/>
      <c r="K13" s="35"/>
      <c r="L13" s="61"/>
    </row>
    <row r="14" spans="1:12">
      <c r="A14" s="1" t="s">
        <v>619</v>
      </c>
      <c r="B14" s="2">
        <v>5104930824</v>
      </c>
      <c r="C14" s="2" t="s">
        <v>727</v>
      </c>
      <c r="D14" s="3">
        <v>1</v>
      </c>
      <c r="E14" s="3"/>
      <c r="F14" s="3"/>
      <c r="G14" s="4"/>
      <c r="H14" s="4"/>
      <c r="I14" s="4">
        <v>80</v>
      </c>
      <c r="J14" s="4"/>
      <c r="K14" s="35"/>
      <c r="L14" s="61"/>
    </row>
    <row r="15" spans="1:12">
      <c r="A15" s="61" t="s">
        <v>621</v>
      </c>
      <c r="B15" s="76">
        <v>7078892101</v>
      </c>
      <c r="C15" s="76" t="s">
        <v>624</v>
      </c>
      <c r="D15" s="8">
        <v>1</v>
      </c>
      <c r="E15" s="9">
        <v>1</v>
      </c>
      <c r="F15" s="9">
        <v>1</v>
      </c>
      <c r="G15" s="9"/>
      <c r="H15" s="9"/>
      <c r="I15" s="9">
        <v>110</v>
      </c>
      <c r="J15" s="9"/>
      <c r="K15" s="35"/>
      <c r="L15" s="61"/>
    </row>
    <row r="16" spans="1:12">
      <c r="A16" s="61" t="s">
        <v>672</v>
      </c>
      <c r="B16" s="76"/>
      <c r="C16" s="76" t="s">
        <v>673</v>
      </c>
      <c r="D16" s="8"/>
      <c r="E16" s="9"/>
      <c r="F16" s="9">
        <v>1</v>
      </c>
      <c r="G16" s="9"/>
      <c r="H16" s="9"/>
      <c r="I16" s="9">
        <v>90</v>
      </c>
      <c r="J16" s="9"/>
      <c r="K16" s="35"/>
      <c r="L16" s="61"/>
    </row>
    <row r="17" spans="1:12">
      <c r="A17" s="6" t="s">
        <v>631</v>
      </c>
      <c r="B17" s="7">
        <v>7074393166</v>
      </c>
      <c r="C17" s="7" t="s">
        <v>632</v>
      </c>
      <c r="D17" s="3">
        <v>1</v>
      </c>
      <c r="E17" s="3"/>
      <c r="F17" s="3">
        <v>1</v>
      </c>
      <c r="G17" s="4"/>
      <c r="H17" s="4"/>
      <c r="I17" s="4">
        <v>100</v>
      </c>
      <c r="J17" s="4"/>
      <c r="K17" s="35"/>
      <c r="L17" s="61"/>
    </row>
    <row r="18" spans="1:12">
      <c r="A18" s="61" t="s">
        <v>456</v>
      </c>
      <c r="B18" s="76">
        <v>7075290228</v>
      </c>
      <c r="C18" s="76" t="s">
        <v>471</v>
      </c>
      <c r="D18" s="3"/>
      <c r="E18" s="3"/>
      <c r="F18" s="3"/>
      <c r="G18" s="4"/>
      <c r="H18" s="4"/>
      <c r="I18" s="4">
        <v>70</v>
      </c>
      <c r="J18" s="4"/>
      <c r="K18" s="35"/>
      <c r="L18" s="61"/>
    </row>
    <row r="19" spans="1:12">
      <c r="A19" s="6" t="s">
        <v>719</v>
      </c>
      <c r="B19" s="7"/>
      <c r="C19" s="7" t="s">
        <v>720</v>
      </c>
      <c r="D19" s="3"/>
      <c r="E19" s="3"/>
      <c r="F19" s="3"/>
      <c r="G19" s="4"/>
      <c r="H19" s="4"/>
      <c r="I19" s="4">
        <v>70</v>
      </c>
      <c r="J19" s="4"/>
      <c r="K19" s="35"/>
      <c r="L19" s="61"/>
    </row>
    <row r="20" spans="1:12">
      <c r="A20" s="1"/>
      <c r="B20" s="4"/>
      <c r="C20" s="2"/>
      <c r="D20" s="8"/>
      <c r="E20" s="9"/>
      <c r="F20" s="9"/>
      <c r="G20" s="9"/>
      <c r="H20" s="9">
        <v>1</v>
      </c>
      <c r="I20" s="9"/>
      <c r="J20" s="9"/>
      <c r="K20" s="35"/>
      <c r="L20" s="61"/>
    </row>
    <row r="21" spans="1:12">
      <c r="A21" s="61"/>
      <c r="B21" s="76"/>
      <c r="C21" s="76"/>
      <c r="D21" s="8"/>
      <c r="E21" s="9"/>
      <c r="F21" s="9"/>
      <c r="G21" s="9"/>
      <c r="H21" s="9">
        <v>1</v>
      </c>
      <c r="I21" s="9"/>
      <c r="J21" s="9"/>
      <c r="K21" s="35"/>
      <c r="L21" s="61"/>
    </row>
    <row r="22" spans="1:12">
      <c r="A22" s="61"/>
      <c r="B22" s="76"/>
      <c r="C22" s="76"/>
      <c r="D22" s="8"/>
      <c r="E22" s="9"/>
      <c r="F22" s="9"/>
      <c r="G22" s="9"/>
      <c r="H22" s="9">
        <v>1</v>
      </c>
      <c r="I22" s="9"/>
      <c r="J22" s="9"/>
      <c r="K22" s="35"/>
      <c r="L22" s="61"/>
    </row>
    <row r="23" spans="1:12">
      <c r="A23" s="61"/>
      <c r="B23" s="76"/>
      <c r="C23" s="76"/>
      <c r="D23" s="8"/>
      <c r="E23" s="9"/>
      <c r="F23" s="9"/>
      <c r="G23" s="9"/>
      <c r="H23" s="9">
        <v>1</v>
      </c>
      <c r="I23" s="9"/>
      <c r="J23" s="9"/>
      <c r="K23" s="35"/>
      <c r="L23" s="61"/>
    </row>
    <row r="24" spans="1:12">
      <c r="A24" s="61"/>
      <c r="B24" s="76"/>
      <c r="C24" s="76"/>
      <c r="D24" s="3"/>
      <c r="E24" s="3"/>
      <c r="F24" s="3"/>
      <c r="G24" s="4"/>
      <c r="H24" s="4">
        <v>1</v>
      </c>
      <c r="I24" s="4"/>
      <c r="J24" s="4"/>
      <c r="K24" s="35"/>
      <c r="L24" s="61"/>
    </row>
    <row r="25" spans="1:12">
      <c r="A25" s="6"/>
      <c r="B25" s="7"/>
      <c r="C25" s="7"/>
      <c r="D25" s="3"/>
      <c r="E25" s="3"/>
      <c r="F25" s="3"/>
      <c r="G25" s="4"/>
      <c r="H25" s="4">
        <v>1</v>
      </c>
      <c r="I25" s="4"/>
      <c r="J25" s="4"/>
      <c r="K25" s="35"/>
      <c r="L25" s="61"/>
    </row>
    <row r="26" spans="1:12">
      <c r="A26" s="61"/>
      <c r="B26" s="76"/>
      <c r="C26" s="76"/>
      <c r="D26" s="8"/>
      <c r="E26" s="9"/>
      <c r="F26" s="9"/>
      <c r="G26" s="9"/>
      <c r="H26" s="9">
        <v>1</v>
      </c>
      <c r="I26" s="9"/>
      <c r="J26" s="9"/>
      <c r="K26" s="35"/>
      <c r="L26" s="61"/>
    </row>
    <row r="27" spans="1:12">
      <c r="A27" s="61"/>
      <c r="B27" s="76"/>
      <c r="C27" s="61"/>
      <c r="D27" s="8"/>
      <c r="E27" s="9"/>
      <c r="F27" s="9"/>
      <c r="G27" s="9"/>
      <c r="H27" s="9">
        <v>1</v>
      </c>
      <c r="I27" s="9"/>
      <c r="J27" s="9"/>
      <c r="K27" s="35"/>
      <c r="L27" s="61"/>
    </row>
    <row r="28" spans="1:12">
      <c r="A28" s="6"/>
      <c r="B28" s="7"/>
      <c r="C28" s="7"/>
      <c r="D28" s="3"/>
      <c r="E28" s="3"/>
      <c r="F28" s="3"/>
      <c r="G28" s="4"/>
      <c r="H28" s="4">
        <v>1</v>
      </c>
      <c r="I28" s="4"/>
      <c r="J28" s="4"/>
      <c r="K28" s="35"/>
      <c r="L28" s="61"/>
    </row>
    <row r="29" spans="1:12">
      <c r="A29" s="6"/>
      <c r="B29" s="7"/>
      <c r="C29" s="7"/>
      <c r="D29" s="8"/>
      <c r="E29" s="9"/>
      <c r="F29" s="9"/>
      <c r="G29" s="9"/>
      <c r="H29" s="9">
        <v>1</v>
      </c>
      <c r="I29" s="9"/>
      <c r="J29" s="9"/>
      <c r="K29" s="35"/>
      <c r="L29" s="61"/>
    </row>
    <row r="30" spans="1:12">
      <c r="A30" s="1"/>
      <c r="B30" s="2"/>
      <c r="C30" s="2"/>
      <c r="D30" s="4"/>
      <c r="E30" s="4"/>
      <c r="F30" s="4"/>
      <c r="G30" s="4"/>
      <c r="H30" s="4">
        <v>1</v>
      </c>
      <c r="I30" s="4"/>
      <c r="J30" s="4"/>
      <c r="K30" s="35"/>
      <c r="L30" s="61"/>
    </row>
    <row r="31" spans="1:12">
      <c r="A31" s="61"/>
      <c r="B31" s="76"/>
      <c r="C31" s="61"/>
      <c r="D31" s="61"/>
      <c r="E31" s="61"/>
      <c r="F31" s="61"/>
      <c r="G31" s="61"/>
      <c r="H31" s="61">
        <v>1</v>
      </c>
      <c r="I31" s="61"/>
      <c r="J31" s="61"/>
      <c r="K31" s="35"/>
      <c r="L31" s="61"/>
    </row>
    <row r="32" spans="1:12">
      <c r="A32" s="61"/>
      <c r="B32" s="76"/>
      <c r="C32" s="61"/>
      <c r="D32" s="61"/>
      <c r="E32" s="61"/>
      <c r="F32" s="61"/>
      <c r="G32" s="61"/>
      <c r="H32" s="61">
        <v>1</v>
      </c>
      <c r="I32" s="61"/>
      <c r="J32" s="61"/>
      <c r="K32" s="35"/>
      <c r="L32" s="61"/>
    </row>
    <row r="33" spans="1:12">
      <c r="A33" s="61"/>
      <c r="B33" s="76"/>
      <c r="C33" s="61"/>
      <c r="D33" s="61"/>
      <c r="E33" s="61"/>
      <c r="F33" s="61"/>
      <c r="G33" s="61"/>
      <c r="H33" s="61">
        <v>1</v>
      </c>
      <c r="I33" s="61"/>
      <c r="J33" s="61"/>
      <c r="K33" s="35"/>
      <c r="L33" s="61"/>
    </row>
    <row r="34" spans="1:12">
      <c r="A34" s="61"/>
      <c r="B34" s="76"/>
      <c r="C34" s="61"/>
      <c r="D34" s="61"/>
      <c r="E34" s="61"/>
      <c r="F34" s="61"/>
      <c r="G34" s="61"/>
      <c r="H34" s="61">
        <v>1</v>
      </c>
      <c r="I34" s="61"/>
      <c r="J34" s="61"/>
      <c r="K34" s="35"/>
      <c r="L34" s="61"/>
    </row>
    <row r="35" spans="1:12">
      <c r="A35" s="61"/>
      <c r="B35" s="76"/>
      <c r="C35" s="61"/>
      <c r="D35" s="61"/>
      <c r="E35" s="61"/>
      <c r="F35" s="61"/>
      <c r="G35" s="61"/>
      <c r="H35" s="61">
        <v>1</v>
      </c>
      <c r="I35" s="61"/>
      <c r="J35" s="61"/>
      <c r="K35" s="35"/>
      <c r="L35" s="61"/>
    </row>
    <row r="36" spans="1:12">
      <c r="A36" s="61"/>
      <c r="B36" s="76"/>
      <c r="C36" s="61"/>
      <c r="D36" s="61"/>
      <c r="E36" s="61"/>
      <c r="F36" s="61"/>
      <c r="G36" s="61"/>
      <c r="H36" s="61">
        <v>1</v>
      </c>
      <c r="I36" s="61"/>
      <c r="J36" s="61"/>
      <c r="K36" s="35"/>
      <c r="L36" s="61"/>
    </row>
    <row r="37" spans="1:12">
      <c r="A37" s="61"/>
      <c r="B37" s="76"/>
      <c r="C37" s="61"/>
      <c r="D37" s="61"/>
      <c r="E37" s="61"/>
      <c r="F37" s="61"/>
      <c r="G37" s="61"/>
      <c r="H37" s="61">
        <v>1</v>
      </c>
      <c r="I37" s="61"/>
      <c r="J37" s="61"/>
      <c r="K37" s="35"/>
      <c r="L37" s="61"/>
    </row>
    <row r="38" spans="1:12">
      <c r="A38" s="61"/>
      <c r="B38" s="76"/>
      <c r="C38" s="61"/>
      <c r="D38" s="61"/>
      <c r="E38" s="61"/>
      <c r="F38" s="61"/>
      <c r="G38" s="61"/>
      <c r="H38" s="61">
        <v>1</v>
      </c>
      <c r="I38" s="61"/>
      <c r="J38" s="61"/>
      <c r="K38" s="35"/>
      <c r="L38" s="61"/>
    </row>
    <row r="39" spans="1:12">
      <c r="A39" s="61"/>
      <c r="B39" s="76"/>
      <c r="C39" s="61"/>
      <c r="D39" s="61"/>
      <c r="E39" s="61"/>
      <c r="F39" s="61"/>
      <c r="G39" s="61"/>
      <c r="H39" s="61">
        <v>1</v>
      </c>
      <c r="I39" s="61"/>
      <c r="J39" s="61"/>
      <c r="K39" s="35"/>
      <c r="L39" s="61"/>
    </row>
    <row r="40" spans="1:12">
      <c r="A40" s="61"/>
      <c r="B40" s="76"/>
      <c r="C40" s="61"/>
      <c r="D40" s="61"/>
      <c r="E40" s="61"/>
      <c r="F40" s="61"/>
      <c r="G40" s="61"/>
      <c r="H40" s="61">
        <v>1</v>
      </c>
      <c r="I40" s="61"/>
      <c r="J40" s="61"/>
      <c r="K40" s="35"/>
      <c r="L40" s="61"/>
    </row>
    <row r="41" spans="1:12">
      <c r="A41" s="61"/>
      <c r="B41" s="76"/>
      <c r="C41" s="61"/>
      <c r="D41" s="61"/>
      <c r="E41" s="61"/>
      <c r="F41" s="61"/>
      <c r="G41" s="61"/>
      <c r="H41" s="61">
        <v>1</v>
      </c>
      <c r="I41" s="61"/>
      <c r="J41" s="61"/>
      <c r="K41" s="35"/>
      <c r="L41" s="61"/>
    </row>
    <row r="42" spans="1:12">
      <c r="A42" s="61"/>
      <c r="B42" s="76"/>
      <c r="C42" s="61"/>
      <c r="D42" s="61"/>
      <c r="E42" s="61"/>
      <c r="F42" s="61"/>
      <c r="G42" s="61"/>
      <c r="H42" s="61">
        <v>1</v>
      </c>
      <c r="I42" s="61"/>
      <c r="J42" s="61"/>
      <c r="K42" s="35"/>
      <c r="L42" s="61"/>
    </row>
    <row r="43" spans="1:12">
      <c r="A43" s="61"/>
      <c r="B43" s="76"/>
      <c r="C43" s="61"/>
      <c r="D43" s="61"/>
      <c r="E43" s="61"/>
      <c r="F43" s="61"/>
      <c r="G43" s="61"/>
      <c r="H43" s="61">
        <v>1</v>
      </c>
      <c r="I43" s="61"/>
      <c r="J43" s="61"/>
      <c r="K43" s="35"/>
      <c r="L43" s="61"/>
    </row>
    <row r="44" spans="1:12">
      <c r="A44" s="61"/>
      <c r="B44" s="76"/>
      <c r="C44" s="61"/>
      <c r="D44" s="61"/>
      <c r="E44" s="61"/>
      <c r="F44" s="61"/>
      <c r="G44" s="61"/>
      <c r="H44" s="61">
        <v>1</v>
      </c>
      <c r="I44" s="61"/>
      <c r="J44" s="61"/>
      <c r="K44" s="35"/>
      <c r="L44" s="61"/>
    </row>
    <row r="45" spans="1:12">
      <c r="A45" s="61"/>
      <c r="B45" s="76"/>
      <c r="C45" s="61"/>
      <c r="D45" s="61"/>
      <c r="E45" s="61"/>
      <c r="F45" s="61"/>
      <c r="G45" s="61"/>
      <c r="H45" s="61">
        <v>1</v>
      </c>
      <c r="I45" s="61"/>
      <c r="J45" s="61"/>
      <c r="K45" s="35"/>
      <c r="L45" s="61"/>
    </row>
    <row r="46" spans="1:12">
      <c r="A46" s="61"/>
      <c r="B46" s="76"/>
      <c r="C46" s="61"/>
      <c r="D46" s="61"/>
      <c r="E46" s="61"/>
      <c r="F46" s="61"/>
      <c r="G46" s="61"/>
      <c r="H46" s="61">
        <v>1</v>
      </c>
      <c r="I46" s="61"/>
      <c r="J46" s="61"/>
      <c r="K46" s="35"/>
      <c r="L46" s="61"/>
    </row>
    <row r="47" spans="1:12">
      <c r="A47" s="61"/>
      <c r="B47" s="76"/>
      <c r="C47" s="61"/>
      <c r="D47" s="61"/>
      <c r="E47" s="61"/>
      <c r="F47" s="61"/>
      <c r="G47" s="61"/>
      <c r="H47" s="61">
        <v>1</v>
      </c>
      <c r="I47" s="61"/>
      <c r="J47" s="61"/>
      <c r="K47" s="35"/>
      <c r="L47" s="61"/>
    </row>
    <row r="48" spans="1:12">
      <c r="A48" s="61"/>
      <c r="B48" s="76"/>
      <c r="C48" s="61"/>
      <c r="D48" s="61"/>
      <c r="E48" s="61"/>
      <c r="F48" s="61"/>
      <c r="G48" s="61"/>
      <c r="H48" s="61">
        <v>1</v>
      </c>
      <c r="I48" s="61"/>
      <c r="J48" s="61"/>
      <c r="K48" s="35"/>
      <c r="L48" s="61"/>
    </row>
    <row r="49" spans="1:12">
      <c r="A49" s="61"/>
      <c r="B49" s="76"/>
      <c r="C49" s="61"/>
      <c r="D49" s="61"/>
      <c r="E49" s="61"/>
      <c r="F49" s="61"/>
      <c r="G49" s="61"/>
      <c r="H49" s="61">
        <v>1</v>
      </c>
      <c r="I49" s="61"/>
      <c r="J49" s="61"/>
      <c r="K49" s="35"/>
      <c r="L49" s="61"/>
    </row>
    <row r="50" spans="1:12">
      <c r="A50" s="61"/>
      <c r="B50" s="76"/>
      <c r="C50" s="61"/>
      <c r="D50" s="61"/>
      <c r="E50" s="61"/>
      <c r="F50" s="61"/>
      <c r="G50" s="61"/>
      <c r="H50" s="61">
        <v>1</v>
      </c>
      <c r="I50" s="61"/>
      <c r="J50" s="61"/>
      <c r="K50" s="35"/>
      <c r="L50" s="61"/>
    </row>
    <row r="51" spans="1:12">
      <c r="L51" s="62"/>
    </row>
    <row r="52" spans="1:12">
      <c r="L52" s="62"/>
    </row>
    <row r="53" spans="1:12">
      <c r="L53" s="62"/>
    </row>
    <row r="54" spans="1:12">
      <c r="L54" s="62"/>
    </row>
    <row r="55" spans="1:12">
      <c r="L55" s="62"/>
    </row>
    <row r="56" spans="1:12">
      <c r="L56" s="62"/>
    </row>
    <row r="57" spans="1:12">
      <c r="L57" s="62"/>
    </row>
    <row r="58" spans="1:12">
      <c r="L58" s="62"/>
    </row>
    <row r="59" spans="1:12">
      <c r="L59" s="62"/>
    </row>
    <row r="60" spans="1:12">
      <c r="L60" s="62"/>
    </row>
    <row r="61" spans="1:12">
      <c r="L61" s="62"/>
    </row>
    <row r="62" spans="1:12">
      <c r="L62" s="62"/>
    </row>
    <row r="63" spans="1:12">
      <c r="L63" s="62"/>
    </row>
    <row r="64" spans="1:12">
      <c r="L64" s="62"/>
    </row>
    <row r="65" spans="12:12">
      <c r="L65" s="62"/>
    </row>
    <row r="66" spans="12:12">
      <c r="L66" s="62"/>
    </row>
    <row r="67" spans="12:12">
      <c r="L67" s="62"/>
    </row>
    <row r="68" spans="12:12">
      <c r="L68" s="62"/>
    </row>
    <row r="69" spans="12:12">
      <c r="L69" s="62"/>
    </row>
    <row r="70" spans="12:12">
      <c r="L70" s="62"/>
    </row>
    <row r="71" spans="12:12">
      <c r="L71" s="62"/>
    </row>
    <row r="72" spans="12:12">
      <c r="L72" s="62"/>
    </row>
    <row r="73" spans="12:12">
      <c r="L73" s="62"/>
    </row>
    <row r="74" spans="12:12">
      <c r="L74" s="62"/>
    </row>
    <row r="75" spans="12:12">
      <c r="L75" s="62"/>
    </row>
    <row r="76" spans="12:12">
      <c r="L76" s="62"/>
    </row>
    <row r="77" spans="12:12">
      <c r="L77" s="62"/>
    </row>
    <row r="78" spans="12:12">
      <c r="L78" s="62"/>
    </row>
    <row r="79" spans="12:12">
      <c r="L79" s="62"/>
    </row>
    <row r="80" spans="12:12">
      <c r="L80" s="62"/>
    </row>
    <row r="81" spans="12:12">
      <c r="L81" s="62"/>
    </row>
    <row r="82" spans="12:12">
      <c r="L82" s="62"/>
    </row>
    <row r="83" spans="12:12">
      <c r="L83" s="62"/>
    </row>
    <row r="84" spans="12:12">
      <c r="L84" s="62"/>
    </row>
    <row r="85" spans="12:12">
      <c r="L85" s="62"/>
    </row>
    <row r="86" spans="12:12">
      <c r="L86" s="62"/>
    </row>
    <row r="87" spans="12:12">
      <c r="L87" s="62"/>
    </row>
    <row r="88" spans="12:12">
      <c r="L88" s="62"/>
    </row>
    <row r="89" spans="12:12">
      <c r="L89" s="62"/>
    </row>
    <row r="90" spans="12:12">
      <c r="L90" s="62"/>
    </row>
    <row r="91" spans="12:12">
      <c r="L91" s="62"/>
    </row>
    <row r="92" spans="12:12">
      <c r="L92" s="62"/>
    </row>
    <row r="93" spans="12:12">
      <c r="L93" s="62"/>
    </row>
    <row r="94" spans="12:12">
      <c r="L94" s="62"/>
    </row>
    <row r="95" spans="12:12">
      <c r="L95" s="62"/>
    </row>
    <row r="96" spans="12:12">
      <c r="L96" s="62"/>
    </row>
    <row r="97" spans="12:12">
      <c r="L97" s="62"/>
    </row>
    <row r="98" spans="12:12">
      <c r="L98" s="62"/>
    </row>
    <row r="99" spans="12:12">
      <c r="L99" s="62"/>
    </row>
    <row r="100" spans="12:12">
      <c r="L100" s="62"/>
    </row>
  </sheetData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F10" sqref="F10"/>
    </sheetView>
  </sheetViews>
  <sheetFormatPr defaultColWidth="8.85546875" defaultRowHeight="15"/>
  <cols>
    <col min="3" max="3" width="24" customWidth="1"/>
    <col min="4" max="4" width="25.140625" customWidth="1"/>
    <col min="5" max="5" width="13.140625" customWidth="1"/>
  </cols>
  <sheetData>
    <row r="5" spans="3:10" ht="21.75" thickBot="1">
      <c r="C5" s="63" t="s">
        <v>116</v>
      </c>
    </row>
    <row r="6" spans="3:10" ht="15.75" thickBot="1">
      <c r="C6" s="74" t="s">
        <v>647</v>
      </c>
      <c r="D6" s="74" t="s">
        <v>1</v>
      </c>
      <c r="E6" s="75" t="s">
        <v>648</v>
      </c>
      <c r="F6" s="43"/>
      <c r="G6" s="71"/>
      <c r="H6" s="43"/>
      <c r="I6" s="43"/>
      <c r="J6" s="71"/>
    </row>
    <row r="7" spans="3:10">
      <c r="C7" s="6" t="s">
        <v>711</v>
      </c>
      <c r="D7" s="1" t="s">
        <v>14</v>
      </c>
      <c r="E7" s="2" t="s">
        <v>170</v>
      </c>
      <c r="G7" s="5"/>
      <c r="J7" s="5"/>
    </row>
    <row r="8" spans="3:10">
      <c r="C8" s="1" t="s">
        <v>75</v>
      </c>
      <c r="D8" s="61" t="s">
        <v>289</v>
      </c>
      <c r="E8" s="76" t="s">
        <v>614</v>
      </c>
      <c r="F8" s="72"/>
      <c r="G8" s="73"/>
      <c r="H8" s="72"/>
      <c r="I8" s="72"/>
      <c r="J8" s="73"/>
    </row>
    <row r="9" spans="3:10">
      <c r="C9" s="1" t="s">
        <v>61</v>
      </c>
      <c r="D9" s="6" t="s">
        <v>120</v>
      </c>
      <c r="E9" s="7" t="s">
        <v>216</v>
      </c>
      <c r="F9" s="72"/>
      <c r="G9" s="73"/>
      <c r="H9" s="72"/>
      <c r="I9" s="72"/>
      <c r="J9" s="73"/>
    </row>
    <row r="10" spans="3:10">
      <c r="C10" s="1"/>
      <c r="D10" s="1"/>
      <c r="E10" s="2"/>
      <c r="G10" s="5"/>
      <c r="J10" s="5"/>
    </row>
    <row r="11" spans="3:10">
      <c r="C11" s="61"/>
      <c r="D11" s="61"/>
      <c r="E11" s="76"/>
      <c r="F11" s="43"/>
      <c r="G11" s="71"/>
      <c r="H11" s="43"/>
      <c r="I11" s="43"/>
      <c r="J11" s="71"/>
    </row>
    <row r="12" spans="3:10">
      <c r="C12" s="6"/>
      <c r="D12" s="6"/>
      <c r="E12" s="7"/>
      <c r="F12" s="72"/>
      <c r="G12" s="73"/>
      <c r="H12" s="72"/>
      <c r="I12" s="72"/>
      <c r="J12" s="73"/>
    </row>
    <row r="13" spans="3:10">
      <c r="C13" s="1"/>
      <c r="D13" s="1"/>
      <c r="E13" s="2"/>
      <c r="F13" s="72"/>
      <c r="G13" s="72"/>
      <c r="H13" s="72"/>
      <c r="I13" s="72"/>
      <c r="J13" s="73"/>
    </row>
    <row r="14" spans="3:10">
      <c r="C14" s="1"/>
      <c r="D14" s="1"/>
      <c r="E14" s="2"/>
      <c r="F14" s="72"/>
      <c r="G14" s="72"/>
      <c r="H14" s="72"/>
      <c r="I14" s="72"/>
      <c r="J14" s="73"/>
    </row>
    <row r="15" spans="3:10">
      <c r="C15" s="6"/>
      <c r="D15" s="6"/>
      <c r="E15" s="7"/>
      <c r="F15" s="43"/>
      <c r="G15" s="43"/>
      <c r="H15" s="43"/>
      <c r="I15" s="43"/>
      <c r="J15" s="71"/>
    </row>
    <row r="16" spans="3:10">
      <c r="C16" s="1"/>
      <c r="D16" s="1"/>
      <c r="E16" s="2"/>
      <c r="F16" s="72"/>
      <c r="G16" s="72"/>
      <c r="H16" s="72"/>
      <c r="I16" s="72"/>
      <c r="J16" s="73"/>
    </row>
    <row r="17" spans="3:10">
      <c r="C17" s="61"/>
      <c r="D17" s="61"/>
      <c r="E17" s="61"/>
    </row>
    <row r="18" spans="3:10">
      <c r="C18" s="61"/>
      <c r="D18" s="61"/>
      <c r="E18" s="61"/>
    </row>
    <row r="19" spans="3:10">
      <c r="C19" s="1"/>
      <c r="D19" s="1"/>
      <c r="E19" s="2"/>
      <c r="F19" s="72"/>
      <c r="G19" s="72"/>
      <c r="H19" s="72"/>
      <c r="I19" s="72"/>
      <c r="J19" s="73"/>
    </row>
    <row r="20" spans="3:10">
      <c r="C20" s="1"/>
      <c r="D20" s="1"/>
      <c r="E20" s="2"/>
      <c r="F20" s="72"/>
      <c r="G20" s="72"/>
      <c r="H20" s="72"/>
      <c r="I20" s="72"/>
      <c r="J20" s="73"/>
    </row>
    <row r="21" spans="3:10">
      <c r="C21" s="6"/>
      <c r="D21" s="6"/>
      <c r="E21" s="7"/>
      <c r="F21" s="43"/>
      <c r="G21" s="43"/>
      <c r="H21" s="43"/>
      <c r="I21" s="43"/>
      <c r="J21" s="71"/>
    </row>
    <row r="22" spans="3:10">
      <c r="C22" s="1"/>
      <c r="D22" s="1"/>
      <c r="E22" s="2"/>
      <c r="F22" s="72"/>
      <c r="G22" s="72"/>
      <c r="H22" s="72"/>
      <c r="I22" s="72"/>
      <c r="J22" s="73"/>
    </row>
    <row r="23" spans="3:10">
      <c r="C23" s="61"/>
      <c r="D23" s="61"/>
      <c r="E23" s="61"/>
    </row>
    <row r="24" spans="3:10">
      <c r="C24" s="61"/>
      <c r="D24" s="61"/>
      <c r="E24" s="61"/>
    </row>
    <row r="25" spans="3:10">
      <c r="C25" s="1"/>
      <c r="D25" s="1"/>
      <c r="E25" s="2"/>
      <c r="F25" s="72"/>
      <c r="G25" s="72"/>
      <c r="H25" s="72"/>
      <c r="I25" s="72"/>
      <c r="J25" s="73"/>
    </row>
    <row r="26" spans="3:10">
      <c r="C26" s="1"/>
      <c r="D26" s="1"/>
      <c r="E26" s="2"/>
      <c r="F26" s="72"/>
      <c r="G26" s="72"/>
      <c r="H26" s="72"/>
      <c r="I26" s="72"/>
      <c r="J26" s="73"/>
    </row>
    <row r="27" spans="3:10">
      <c r="C27" s="6"/>
      <c r="D27" s="6"/>
      <c r="E27" s="7"/>
      <c r="F27" s="43"/>
      <c r="G27" s="43"/>
      <c r="H27" s="43"/>
      <c r="I27" s="43"/>
      <c r="J27" s="71"/>
    </row>
    <row r="28" spans="3:10">
      <c r="C28" s="1"/>
      <c r="D28" s="1"/>
      <c r="E28" s="2"/>
      <c r="F28" s="72"/>
      <c r="G28" s="72"/>
      <c r="H28" s="72"/>
      <c r="I28" s="72"/>
      <c r="J28" s="73"/>
    </row>
    <row r="29" spans="3:10">
      <c r="C29" s="61"/>
      <c r="D29" s="61"/>
      <c r="E29" s="61"/>
    </row>
    <row r="30" spans="3:10">
      <c r="C30" s="61"/>
      <c r="D30" s="61"/>
      <c r="E30" s="6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C11"/>
  <sheetViews>
    <sheetView workbookViewId="0">
      <selection activeCell="H31" sqref="H31"/>
    </sheetView>
  </sheetViews>
  <sheetFormatPr defaultColWidth="8.85546875" defaultRowHeight="15"/>
  <cols>
    <col min="3" max="3" width="29" customWidth="1"/>
  </cols>
  <sheetData>
    <row r="5" spans="3:3" ht="21.75" thickBot="1">
      <c r="C5" s="64" t="s">
        <v>336</v>
      </c>
    </row>
    <row r="6" spans="3:3" ht="15.75" thickBot="1">
      <c r="C6" s="74" t="s">
        <v>647</v>
      </c>
    </row>
    <row r="7" spans="3:3" ht="25.5">
      <c r="C7" s="85" t="s">
        <v>6</v>
      </c>
    </row>
    <row r="8" spans="3:3" ht="25.5">
      <c r="C8" s="85" t="s">
        <v>266</v>
      </c>
    </row>
    <row r="9" spans="3:3" ht="25.5">
      <c r="C9" s="86" t="s">
        <v>621</v>
      </c>
    </row>
    <row r="10" spans="3:3" ht="25.5">
      <c r="C10" s="85" t="s">
        <v>24</v>
      </c>
    </row>
    <row r="11" spans="3:3" ht="25.5">
      <c r="C11" s="85" t="s">
        <v>23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/>
  <sheetData>
    <row r="2" spans="2:3">
      <c r="B2">
        <v>1</v>
      </c>
      <c r="C2" t="s">
        <v>646</v>
      </c>
    </row>
    <row r="3" spans="2:3">
      <c r="B3">
        <v>2</v>
      </c>
      <c r="C3" t="s">
        <v>649</v>
      </c>
    </row>
    <row r="4" spans="2:3">
      <c r="B4">
        <v>3</v>
      </c>
      <c r="C4" t="s">
        <v>650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2024-04-12T21:56:30Z</cp:lastPrinted>
  <dcterms:created xsi:type="dcterms:W3CDTF">2014-07-30T14:06:58Z</dcterms:created>
  <dcterms:modified xsi:type="dcterms:W3CDTF">2026-01-24T01:54:14Z</dcterms:modified>
</cp:coreProperties>
</file>