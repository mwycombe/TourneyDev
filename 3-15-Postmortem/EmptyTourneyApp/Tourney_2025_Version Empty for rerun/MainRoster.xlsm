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3-15-Postmortem\EmptyTourneyApp\Tourney_2025_Version Empty for rerun\"/>
    </mc:Choice>
  </mc:AlternateContent>
  <xr:revisionPtr revIDLastSave="0" documentId="13_ncr:1_{61096998-6834-42D5-8E40-8379AC2CE00A}" xr6:coauthVersionLast="47" xr6:coauthVersionMax="47" xr10:uidLastSave="{00000000-0000-0000-0000-000000000000}"/>
  <bookViews>
    <workbookView xWindow="-28620" yWindow="330" windowWidth="28320" windowHeight="15225" tabRatio="706" xr2:uid="{00000000-000D-0000-FFFF-FFFF00000000}"/>
  </bookViews>
  <sheets>
    <sheet name="Entries" sheetId="1" r:id="rId1"/>
    <sheet name="Results" sheetId="3" r:id="rId2"/>
    <sheet name="Pool1" sheetId="5" r:id="rId3"/>
    <sheet name="Pool2" sheetId="6" r:id="rId4"/>
    <sheet name="Pool3" sheetId="7" r:id="rId5"/>
    <sheet name="Pool4" sheetId="8" r:id="rId6"/>
    <sheet name="ConsyList" sheetId="12" r:id="rId7"/>
    <sheet name="FinalQMpts" sheetId="10" r:id="rId8"/>
    <sheet name="FinalRptFinish" sheetId="9" r:id="rId9"/>
    <sheet name="LocalCombined" sheetId="11" r:id="rId10"/>
    <sheet name="Notes" sheetId="13" r:id="rId11"/>
  </sheets>
  <functionGroups builtInGroupCount="19"/>
  <definedNames>
    <definedName name="FMREntriesAccNoHdr">Entries!$F$11</definedName>
    <definedName name="FMREntriesAllInput">Entries!$B$12:$M$211</definedName>
    <definedName name="FMREntriesAllVeggies">Entries!$T$12:$T$211</definedName>
    <definedName name="FMREntriesAnchorCount">Entries!$L$10</definedName>
    <definedName name="FMREntriesAnchorHdr">Entries!$L$11</definedName>
    <definedName name="FMREntriesCash">Entries!$R$10</definedName>
    <definedName name="FMREntriesCashAndChecks">Entries!$O$12:$P$211</definedName>
    <definedName name="FMREntriesChecks">Entries!$Q$10</definedName>
    <definedName name="FMREntriesCityHdr">Entries!$E$11</definedName>
    <definedName name="FMREntriesDueAtDoorCount">Entries!$N$10</definedName>
    <definedName name="FMREntriesDueAtDoorHdr">Entries!$N$11</definedName>
    <definedName name="FMREntriesEnteredHdr">Entries!$B$11</definedName>
    <definedName name="FMREntriesEntryAllFields">Entries!$B$12:$T$211</definedName>
    <definedName name="FMREntriesFirstName">Entries!$D$12</definedName>
    <definedName name="FMREntriesHdrGroup1">Entries!$G$11:$M$11</definedName>
    <definedName name="FMREntriesHdrGroup2">Entries!$O$11:$P$11</definedName>
    <definedName name="FMREntriesJudgeCount">Entries!$K$10</definedName>
    <definedName name="FMREntriesJudgeHdr">Entries!$K$11</definedName>
    <definedName name="FMREntriesLastEntered">Entries!$B$211</definedName>
    <definedName name="FMREntriesNameHdr">Entries!$D$11</definedName>
    <definedName name="FMREntriesNotPaidCount">Entries!$M$10</definedName>
    <definedName name="FMREntriesNotPaidHdr">Entries!$M$11</definedName>
    <definedName name="FMREntriesPlayerCount">Entries!$B$10</definedName>
    <definedName name="FMREntriesPool1Count">Entries!$G$10</definedName>
    <definedName name="FMREntriesPool1Hdr">Entries!$G$11</definedName>
    <definedName name="FMREntriesPool2Count">Entries!$H$10</definedName>
    <definedName name="FMREntriesPool2Hdr">Entries!$H$11</definedName>
    <definedName name="FMREntriesPool3Count">Entries!$I$10</definedName>
    <definedName name="FMREntriesPool3Hdr">Entries!$I$11</definedName>
    <definedName name="FMREntriesPool4Count">Entries!$J$10</definedName>
    <definedName name="FMREntriesPool4Hdr">Entries!$J$11</definedName>
    <definedName name="FMREntriesQualifiedCount">Entries!$C$10</definedName>
    <definedName name="FMREntriesQualifiedHdr">Entries!$C$11</definedName>
    <definedName name="FMREntriesTotalRevenue">Entries!$S$10</definedName>
    <definedName name="FMREntriesTourneyCity">Entries!$D$5</definedName>
    <definedName name="FMREntriesTourneyDate">Entries!$D$6</definedName>
    <definedName name="FMREntriesTourneyInfo">Entries!$D$3,Entries!$D$4,Entries!$D$5,Entries!$D$6</definedName>
    <definedName name="FMREntriesTourneyLocation">Entries!$D$4</definedName>
    <definedName name="FMREntriesTourneyName">Entries!$D$3</definedName>
    <definedName name="FMREntriesVeggiesCount">Entries!$T$10</definedName>
    <definedName name="FMREntriesVeggiesHdr">Entries!$T$11</definedName>
    <definedName name="FMRPool1AccNoHdr">Pool1!$D$5</definedName>
    <definedName name="FMRPool1AllEntryFields">Pool1!$B$6:$E$30</definedName>
    <definedName name="FMRPool1AmtHdr">Pool1!$E$5</definedName>
    <definedName name="FMRPool1CityHdr">Pool1!$C$5</definedName>
    <definedName name="FMRPool1Count">Pool1!$D$2</definedName>
    <definedName name="FMRPool1EntryFee">Pool1!$A$2</definedName>
    <definedName name="FMRPool1FirstName">Pool1!$B$6</definedName>
    <definedName name="FMRPool1Msg">Pool1!$B$4</definedName>
    <definedName name="FMRPool1NameHdr">Pool1!$B$5</definedName>
    <definedName name="FMRPool1Number">Pool1!$A$1</definedName>
    <definedName name="FMRPool1Rank1">Pool1!$A$6</definedName>
    <definedName name="FMRPool1Type">Pool1!$B$1</definedName>
    <definedName name="FMRPool1Winners">Pool1!$D$3</definedName>
    <definedName name="FMRPool2AccNoHdr">Pool2!$D$5</definedName>
    <definedName name="FMRPool2AllEntryFields">Pool2!$B$6:$E$30</definedName>
    <definedName name="FMRPool2AmtHdr">Pool2!$E$5</definedName>
    <definedName name="FMRPool2CityHdr">Pool2!$C$5</definedName>
    <definedName name="FMRPool2Count">Pool2!$D$2</definedName>
    <definedName name="FMRPool2EntryFee">Pool2!$A$2</definedName>
    <definedName name="FMRPool2FirstName">Pool2!$B$6</definedName>
    <definedName name="FMRPool2Msg">Pool2!$B$4</definedName>
    <definedName name="FMRPool2Name">Pool2!$B$1</definedName>
    <definedName name="FMRPool2NameHdr">Pool2!$B$5</definedName>
    <definedName name="FMRPool2Number">Pool2!$A$1</definedName>
    <definedName name="FMRPool2Rank1">Pool2!$A$6</definedName>
    <definedName name="FMRPool2Type">Pool2!$B$1</definedName>
    <definedName name="FMRPool2Winners">Pool2!$D$3</definedName>
    <definedName name="FMRPool3AccNoHdr">Pool3!$D$5</definedName>
    <definedName name="FMRPool3AllEntryFields">Pool3!$B$6:$E$30</definedName>
    <definedName name="FMRPool3AmtHdr">Pool3!$E$5</definedName>
    <definedName name="FMRPool3CityHdr">Pool3!$C$5</definedName>
    <definedName name="FMRPool3Count">Pool3!$D$2</definedName>
    <definedName name="FMRPool3EntryFee">Pool3!$A$2</definedName>
    <definedName name="FMRPool3FirstName">Pool3!$B$6</definedName>
    <definedName name="FMRPool3Msg">Pool3!$B$4</definedName>
    <definedName name="FMRPool3Name">Pool3!$B$1</definedName>
    <definedName name="FMRPool3NameHdr">Pool3!$B$5</definedName>
    <definedName name="FMRPool3Number">Pool3!$F$2</definedName>
    <definedName name="FMRPool3Rank1">Pool3!$A$6</definedName>
    <definedName name="FMRPool3Type">Pool3!$B$1</definedName>
    <definedName name="FMRPool3Winners">Pool3!$D$3</definedName>
    <definedName name="FMRPool4AccNoHdr">Pool4!$D$5</definedName>
    <definedName name="FMRPool4AllEntryFields">Pool4!$B$6:$E$30</definedName>
    <definedName name="FMRPool4AmtHdr">Pool4!$E$5</definedName>
    <definedName name="FMRPool4CityHdr">Pool4!$C$5</definedName>
    <definedName name="FMRPool4Count">Pool4!$D$2</definedName>
    <definedName name="FMRPool4EntryFee">Pool4!$A$2</definedName>
    <definedName name="FMRPool4FirstName">Pool4!$B$6</definedName>
    <definedName name="FMRPool4Msg">Pool4!$B$4</definedName>
    <definedName name="FMRPool4Name">Pool4!$B$1</definedName>
    <definedName name="FMRPool4NameHdr">Pool4!$B$5</definedName>
    <definedName name="FMRPool4Number">Pool4!$A$1</definedName>
    <definedName name="FMRPool4Rank1">Pool4!$A$6</definedName>
    <definedName name="FMRPool4Type">Pool4!$B$1</definedName>
    <definedName name="FMRPool4Winners">Pool4!$D$3</definedName>
    <definedName name="FMRResultsAccNoHdr">Results!$D$9</definedName>
    <definedName name="FMRResultsAllEntryFields">Results!$B$10:$P$209</definedName>
    <definedName name="FMRResultsCityHdr">Results!$C$9</definedName>
    <definedName name="FMRResultsFirstName">Results!$B$10</definedName>
    <definedName name="FMRResultsGamePointsHdr">Results!$E$9</definedName>
    <definedName name="FMRResultsGamesWonHdr">Results!$F$9</definedName>
    <definedName name="FMRResultsNameHdr">Results!$B$9</definedName>
    <definedName name="FMRResultsPlayOffPayOffHdr">Results!$L$9</definedName>
    <definedName name="FMRResultsPlayoffPlaceHdr">Results!$J$9</definedName>
    <definedName name="FMRResultsPlusPointHdr">Results!$H$9</definedName>
    <definedName name="FMRResultsPool1Count">Results!$M$8</definedName>
    <definedName name="FMRResultsPool1Hdr">Results!$M$9</definedName>
    <definedName name="FMRResultsPool2Count">Results!$N$8</definedName>
    <definedName name="FMRResultsPool2Hdr">Results!$N$9</definedName>
    <definedName name="FMRResultsPool3Count">Results!$O$8</definedName>
    <definedName name="FMRResultsPool3Hdr">Results!$O$9</definedName>
    <definedName name="FMRResultsPool4Count">Results!$P$8</definedName>
    <definedName name="FMRResultsPool4Hdr">Results!$P$9</definedName>
    <definedName name="FMRResultsQualMPtsHdr">Results!$I$9</definedName>
    <definedName name="FMRResultsSpreadPointsHdr">Results!$G$9</definedName>
    <definedName name="FMRResultsTourneyCity">Results!$C$5</definedName>
    <definedName name="FMRResultsTourneyDate">Results!$C$6</definedName>
    <definedName name="FMRResultsTourneyInfo">Results!$C$3,Results!$C$4,Results!$C$5,Results!$C$6</definedName>
    <definedName name="FMRResultsTourneyLocation">Results!$C$4</definedName>
    <definedName name="FMRResultsTourneyName">Results!$C$3</definedName>
    <definedName name="_xlnm.Print_Area" localSheetId="0">Entries!$A$9:$N$181</definedName>
    <definedName name="_xlnm.Print_Area" localSheetId="7">FinalQMpts!$A$1:$F$24</definedName>
    <definedName name="_xlnm.Print_Area" localSheetId="8">FinalRptFinish!$A$1:$F$27</definedName>
    <definedName name="_xlnm.Print_Area" localSheetId="9">LocalCombined!$A$1:$M$27</definedName>
    <definedName name="_xlnm.Print_Area" localSheetId="2">Pool1!$A$1:$E$33</definedName>
    <definedName name="_xlnm.Print_Area" localSheetId="3">Pool2!$A$1:$E$30</definedName>
    <definedName name="_xlnm.Print_Area" localSheetId="4">Pool3!$A$1:$E$30</definedName>
    <definedName name="_xlnm.Print_Area" localSheetId="5">Pool4!$A$1:$E$30</definedName>
    <definedName name="_xlnm.Print_Area" localSheetId="1">Results!$A$7:$L$24</definedName>
    <definedName name="_xlnm.Print_Titles" localSheetId="0">Entries!$11:$11</definedName>
    <definedName name="_xlnm.Print_Titles" localSheetId="1">Results!$9:$9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6" i="8"/>
  <c r="A7" i="8" s="1"/>
  <c r="A8" i="8" s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6" i="7"/>
  <c r="A7" i="7" s="1"/>
  <c r="A8" i="7" s="1"/>
  <c r="A9" i="7" s="1"/>
  <c r="A10" i="7" s="1"/>
  <c r="A11" i="7" s="1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6" i="6"/>
  <c r="A7" i="6" s="1"/>
  <c r="A8" i="6" s="1"/>
  <c r="A9" i="6" s="1"/>
  <c r="A10" i="6" s="1"/>
  <c r="A11" i="6" s="1"/>
  <c r="A30" i="5"/>
  <c r="A29" i="5"/>
  <c r="A28" i="5"/>
  <c r="A27" i="5"/>
  <c r="A26" i="5"/>
  <c r="A25" i="5"/>
  <c r="A24" i="5"/>
  <c r="A23" i="5"/>
  <c r="A22" i="5"/>
  <c r="A21" i="5"/>
  <c r="A20" i="5"/>
  <c r="A19" i="5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R49" i="1" l="1"/>
  <c r="R58" i="1"/>
  <c r="R20" i="1"/>
  <c r="R57" i="1"/>
  <c r="R65" i="1"/>
  <c r="R56" i="1"/>
  <c r="R38" i="1"/>
  <c r="R62" i="1"/>
  <c r="Q19" i="1"/>
  <c r="Q49" i="1"/>
  <c r="Q71" i="1"/>
  <c r="Q70" i="1"/>
  <c r="Q58" i="1"/>
  <c r="Q22" i="1"/>
  <c r="Q20" i="1"/>
  <c r="Q12" i="1"/>
  <c r="Q21" i="1"/>
  <c r="Q57" i="1"/>
  <c r="Q31" i="1"/>
  <c r="Q48" i="1"/>
  <c r="Q36" i="1"/>
  <c r="Q39" i="1"/>
  <c r="Q44" i="1"/>
  <c r="Q33" i="1"/>
  <c r="Q34" i="1"/>
  <c r="Q69" i="1"/>
  <c r="Q13" i="1"/>
  <c r="Q47" i="1"/>
  <c r="Q53" i="1"/>
  <c r="Q18" i="1"/>
  <c r="Q30" i="1"/>
  <c r="Q37" i="1"/>
  <c r="Q68" i="1"/>
  <c r="Q14" i="1"/>
  <c r="Q67" i="1"/>
  <c r="Q66" i="1"/>
  <c r="Q52" i="1"/>
  <c r="Q32" i="1"/>
  <c r="Q46" i="1"/>
  <c r="Q43" i="1"/>
  <c r="Q26" i="1"/>
  <c r="Q15" i="1"/>
  <c r="Q42" i="1"/>
  <c r="Q17" i="1"/>
  <c r="Q65" i="1"/>
  <c r="Q56" i="1"/>
  <c r="Q38" i="1"/>
  <c r="Q41" i="1"/>
  <c r="Q16" i="1"/>
  <c r="Q64" i="1"/>
  <c r="Q35" i="1"/>
  <c r="Q63" i="1"/>
  <c r="Q51" i="1"/>
  <c r="Q25" i="1"/>
  <c r="Q24" i="1"/>
  <c r="Q50" i="1"/>
  <c r="Q55" i="1"/>
  <c r="Q62" i="1"/>
  <c r="Q23" i="1"/>
  <c r="Q61" i="1"/>
  <c r="Q29" i="1"/>
  <c r="Q28" i="1"/>
  <c r="Q60" i="1"/>
  <c r="Q54" i="1"/>
  <c r="Q59" i="1"/>
  <c r="Q40" i="1"/>
  <c r="Q45" i="1"/>
  <c r="R27" i="1"/>
  <c r="Q27" i="1"/>
  <c r="M10" i="1"/>
  <c r="L10" i="1"/>
  <c r="K10" i="1"/>
  <c r="J10" i="1"/>
  <c r="I10" i="1"/>
  <c r="H10" i="1"/>
  <c r="G10" i="1"/>
  <c r="C10" i="1"/>
  <c r="B10" i="1"/>
  <c r="T10" i="1"/>
  <c r="Q10" i="1" l="1"/>
  <c r="S9" i="13"/>
  <c r="S32" i="13"/>
  <c r="T32" i="13" s="1"/>
  <c r="U32" i="13" s="1"/>
  <c r="S31" i="13"/>
  <c r="T31" i="13" s="1"/>
  <c r="U31" i="13" s="1"/>
  <c r="S30" i="13"/>
  <c r="T30" i="13" s="1"/>
  <c r="U30" i="13" s="1"/>
  <c r="S29" i="13"/>
  <c r="T29" i="13" s="1"/>
  <c r="U29" i="13" s="1"/>
  <c r="S28" i="13"/>
  <c r="T28" i="13" s="1"/>
  <c r="U28" i="13" s="1"/>
  <c r="S27" i="13"/>
  <c r="T27" i="13" s="1"/>
  <c r="U27" i="13" s="1"/>
  <c r="S26" i="13"/>
  <c r="T26" i="13" s="1"/>
  <c r="U26" i="13" s="1"/>
  <c r="S25" i="13"/>
  <c r="T25" i="13" s="1"/>
  <c r="U25" i="13" s="1"/>
  <c r="S24" i="13"/>
  <c r="T24" i="13" s="1"/>
  <c r="U24" i="13" s="1"/>
  <c r="S23" i="13"/>
  <c r="T23" i="13" s="1"/>
  <c r="U23" i="13" s="1"/>
  <c r="S22" i="13"/>
  <c r="T22" i="13" s="1"/>
  <c r="U22" i="13" s="1"/>
  <c r="S21" i="13"/>
  <c r="T21" i="13" s="1"/>
  <c r="U21" i="13" s="1"/>
  <c r="S20" i="13"/>
  <c r="T20" i="13" s="1"/>
  <c r="U20" i="13" s="1"/>
  <c r="S19" i="13"/>
  <c r="T19" i="13" s="1"/>
  <c r="U19" i="13" s="1"/>
  <c r="S18" i="13"/>
  <c r="T18" i="13" s="1"/>
  <c r="U18" i="13" s="1"/>
  <c r="S17" i="13"/>
  <c r="T17" i="13" s="1"/>
  <c r="U17" i="13" s="1"/>
  <c r="S16" i="13"/>
  <c r="T16" i="13" s="1"/>
  <c r="U16" i="13" s="1"/>
  <c r="S15" i="13"/>
  <c r="T15" i="13" s="1"/>
  <c r="U15" i="13" s="1"/>
  <c r="S14" i="13"/>
  <c r="T14" i="13" s="1"/>
  <c r="U14" i="13" s="1"/>
  <c r="S13" i="13"/>
  <c r="T13" i="13" s="1"/>
  <c r="U13" i="13" s="1"/>
  <c r="S12" i="13"/>
  <c r="T12" i="13" s="1"/>
  <c r="U12" i="13" s="1"/>
  <c r="S11" i="13"/>
  <c r="T11" i="13" s="1"/>
  <c r="U11" i="13" s="1"/>
  <c r="S10" i="13"/>
  <c r="T10" i="13" s="1"/>
  <c r="U10" i="13" s="1"/>
  <c r="T9" i="13"/>
  <c r="U9" i="13" s="1"/>
  <c r="S66" i="1" a="1"/>
  <c r="S40" i="1" a="1"/>
  <c r="S39" i="1" a="1"/>
  <c r="S60" i="1" a="1"/>
  <c r="S28" i="1" a="1"/>
  <c r="S17" i="1" a="1"/>
  <c r="S47" i="1" a="1"/>
  <c r="S37" i="1" a="1"/>
  <c r="S18" i="1" a="1"/>
  <c r="S24" i="1" a="1"/>
  <c r="S27" i="1" a="1"/>
  <c r="S70" i="1" a="1"/>
  <c r="S22" i="1" a="1"/>
  <c r="S62" i="1" a="1"/>
  <c r="S38" i="1" a="1"/>
  <c r="S67" i="1" a="1"/>
  <c r="S12" i="1" a="1"/>
  <c r="S61" i="1" a="1"/>
  <c r="S55" i="1" a="1"/>
  <c r="S50" i="1" a="1"/>
  <c r="S30" i="1" a="1"/>
  <c r="S13" i="1" a="1"/>
  <c r="S33" i="1" a="1"/>
  <c r="S52" i="1" a="1"/>
  <c r="S71" i="1" a="1"/>
  <c r="S21" i="1" a="1"/>
  <c r="S42" i="1" a="1"/>
  <c r="S44" i="1" a="1"/>
  <c r="S19" i="1" a="1"/>
  <c r="S32" i="1" a="1"/>
  <c r="S65" i="1" a="1"/>
  <c r="S68" i="1" a="1"/>
  <c r="S31" i="1" a="1"/>
  <c r="S23" i="1" a="1"/>
  <c r="S57" i="1" a="1"/>
  <c r="S48" i="1" a="1"/>
  <c r="S45" i="1" a="1"/>
  <c r="S41" i="1" a="1"/>
  <c r="S43" i="1" a="1"/>
  <c r="S35" i="1" a="1"/>
  <c r="S49" i="1" a="1"/>
  <c r="S20" i="1" a="1"/>
  <c r="S53" i="1" a="1"/>
  <c r="S16" i="1" a="1"/>
  <c r="S26" i="1" a="1"/>
  <c r="S34" i="1" a="1"/>
  <c r="S15" i="1" a="1"/>
  <c r="S59" i="1" a="1"/>
  <c r="S69" i="1" a="1"/>
  <c r="S63" i="1" a="1"/>
  <c r="S29" i="1" a="1"/>
  <c r="S14" i="1" a="1"/>
  <c r="S64" i="1" a="1"/>
  <c r="S46" i="1" a="1"/>
  <c r="S54" i="1" a="1"/>
  <c r="S25" i="1" a="1"/>
  <c r="S36" i="1" a="1"/>
  <c r="S58" i="1" a="1"/>
  <c r="S56" i="1" a="1"/>
  <c r="S51" i="1" a="1"/>
  <c r="S46" i="1" l="1"/>
  <c r="N46" i="1" s="1"/>
  <c r="S29" i="1"/>
  <c r="S14" i="1"/>
  <c r="R14" i="1" s="1"/>
  <c r="S60" i="1"/>
  <c r="S26" i="1"/>
  <c r="N26" i="1" s="1"/>
  <c r="S62" i="1"/>
  <c r="N62" i="1" s="1"/>
  <c r="S45" i="1"/>
  <c r="N45" i="1" s="1"/>
  <c r="S13" i="1"/>
  <c r="S16" i="1"/>
  <c r="S50" i="1"/>
  <c r="S20" i="1"/>
  <c r="N20" i="1" s="1"/>
  <c r="S19" i="1"/>
  <c r="S66" i="1"/>
  <c r="R66" i="1" s="1"/>
  <c r="S47" i="1"/>
  <c r="N47" i="1" s="1"/>
  <c r="S32" i="1"/>
  <c r="N32" i="1" s="1"/>
  <c r="S36" i="1"/>
  <c r="R36" i="1" s="1"/>
  <c r="S15" i="1"/>
  <c r="S65" i="1"/>
  <c r="N65" i="1" s="1"/>
  <c r="S17" i="1"/>
  <c r="S63" i="1"/>
  <c r="S67" i="1"/>
  <c r="S18" i="1"/>
  <c r="S39" i="1"/>
  <c r="S42" i="1"/>
  <c r="N42" i="1" s="1"/>
  <c r="S27" i="1"/>
  <c r="N27" i="1" s="1"/>
  <c r="S30" i="1"/>
  <c r="S64" i="1"/>
  <c r="N64" i="1" s="1"/>
  <c r="S12" i="1"/>
  <c r="S21" i="1"/>
  <c r="S59" i="1"/>
  <c r="S24" i="1"/>
  <c r="S52" i="1"/>
  <c r="R52" i="1" s="1"/>
  <c r="S33" i="1"/>
  <c r="N33" i="1" s="1"/>
  <c r="S34" i="1"/>
  <c r="S61" i="1"/>
  <c r="S22" i="1"/>
  <c r="N22" i="1" s="1"/>
  <c r="S69" i="1"/>
  <c r="S58" i="1"/>
  <c r="N58" i="1" s="1"/>
  <c r="S54" i="1"/>
  <c r="R54" i="1" s="1"/>
  <c r="S38" i="1"/>
  <c r="N38" i="1" s="1"/>
  <c r="S44" i="1"/>
  <c r="S68" i="1"/>
  <c r="S28" i="1"/>
  <c r="S57" i="1"/>
  <c r="N57" i="1" s="1"/>
  <c r="S35" i="1"/>
  <c r="N35" i="1" s="1"/>
  <c r="S71" i="1"/>
  <c r="S41" i="1"/>
  <c r="S31" i="1"/>
  <c r="N31" i="1" s="1"/>
  <c r="S40" i="1"/>
  <c r="N40" i="1" s="1"/>
  <c r="S55" i="1"/>
  <c r="R55" i="1" s="1"/>
  <c r="S23" i="1"/>
  <c r="N23" i="1" s="1"/>
  <c r="S48" i="1"/>
  <c r="R48" i="1" s="1"/>
  <c r="S70" i="1"/>
  <c r="S25" i="1"/>
  <c r="S51" i="1"/>
  <c r="S56" i="1"/>
  <c r="N56" i="1" s="1"/>
  <c r="S49" i="1"/>
  <c r="N49" i="1" s="1"/>
  <c r="S43" i="1"/>
  <c r="S53" i="1"/>
  <c r="S37" i="1"/>
  <c r="N37" i="1" s="1"/>
  <c r="R46" i="1"/>
  <c r="R26" i="1"/>
  <c r="R33" i="1"/>
  <c r="E222" i="3"/>
  <c r="N25" i="1" l="1"/>
  <c r="R25" i="1"/>
  <c r="R35" i="1"/>
  <c r="N29" i="1"/>
  <c r="R29" i="1"/>
  <c r="N66" i="1"/>
  <c r="N51" i="1"/>
  <c r="R51" i="1"/>
  <c r="N39" i="1"/>
  <c r="R39" i="1"/>
  <c r="N17" i="1"/>
  <c r="R17" i="1"/>
  <c r="N69" i="1"/>
  <c r="R69" i="1"/>
  <c r="N12" i="1"/>
  <c r="R12" i="1"/>
  <c r="N71" i="1"/>
  <c r="R71" i="1"/>
  <c r="N59" i="1"/>
  <c r="R59" i="1"/>
  <c r="N18" i="1"/>
  <c r="R18" i="1"/>
  <c r="N70" i="1"/>
  <c r="R70" i="1"/>
  <c r="N21" i="1"/>
  <c r="R21" i="1"/>
  <c r="N28" i="1"/>
  <c r="R28" i="1"/>
  <c r="N43" i="1"/>
  <c r="R43" i="1"/>
  <c r="N63" i="1"/>
  <c r="R63" i="1"/>
  <c r="N19" i="1"/>
  <c r="R19" i="1"/>
  <c r="N13" i="1"/>
  <c r="R13" i="1"/>
  <c r="N60" i="1"/>
  <c r="R60" i="1"/>
  <c r="N61" i="1"/>
  <c r="R61" i="1"/>
  <c r="N68" i="1"/>
  <c r="R68" i="1"/>
  <c r="N50" i="1"/>
  <c r="R50" i="1"/>
  <c r="N53" i="1"/>
  <c r="R53" i="1"/>
  <c r="N41" i="1"/>
  <c r="R41" i="1"/>
  <c r="N44" i="1"/>
  <c r="R44" i="1"/>
  <c r="N67" i="1"/>
  <c r="R67" i="1"/>
  <c r="N15" i="1"/>
  <c r="R15" i="1"/>
  <c r="N34" i="1"/>
  <c r="R34" i="1"/>
  <c r="N24" i="1"/>
  <c r="R24" i="1"/>
  <c r="N30" i="1"/>
  <c r="R30" i="1"/>
  <c r="N16" i="1"/>
  <c r="R16" i="1"/>
  <c r="N36" i="1"/>
  <c r="R45" i="1"/>
  <c r="R40" i="1"/>
  <c r="R32" i="1"/>
  <c r="N14" i="1"/>
  <c r="R64" i="1"/>
  <c r="N48" i="1"/>
  <c r="S10" i="1"/>
  <c r="N52" i="1"/>
  <c r="R37" i="1"/>
  <c r="R42" i="1"/>
  <c r="R22" i="1"/>
  <c r="R31" i="1"/>
  <c r="N54" i="1"/>
  <c r="N55" i="1"/>
  <c r="R47" i="1"/>
  <c r="R23" i="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R10" i="1" l="1"/>
  <c r="A5" i="9"/>
  <c r="N10" i="1" l="1"/>
  <c r="O41" i="11" l="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A3" i="11" l="1"/>
  <c r="A3" i="10"/>
  <c r="A3" i="9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T11" i="3" l="1"/>
  <c r="U11" i="3" s="1"/>
  <c r="T12" i="3" l="1"/>
  <c r="T13" i="3" s="1"/>
  <c r="T14" i="3" s="1"/>
  <c r="T15" i="3" s="1"/>
  <c r="T16" i="3" s="1"/>
  <c r="T17" i="3" s="1"/>
  <c r="T18" i="3" s="1"/>
  <c r="T19" i="3" s="1"/>
  <c r="V11" i="3"/>
  <c r="V12" i="3" l="1"/>
  <c r="V13" i="3" s="1"/>
  <c r="V14" i="3" s="1"/>
  <c r="V15" i="3" s="1"/>
  <c r="V16" i="3" s="1"/>
  <c r="V17" i="3" s="1"/>
  <c r="V18" i="3" s="1"/>
  <c r="V19" i="3" s="1"/>
  <c r="U12" i="3"/>
  <c r="U13" i="3" l="1"/>
  <c r="U14" i="3" l="1"/>
  <c r="U15" i="3" l="1"/>
  <c r="P8" i="3"/>
  <c r="O8" i="3"/>
  <c r="N8" i="3"/>
  <c r="M8" i="3"/>
  <c r="U16" i="3" l="1"/>
  <c r="U17" i="3" s="1"/>
  <c r="U18" i="3" s="1"/>
  <c r="U19" i="3" s="1"/>
  <c r="A8" i="9" l="1"/>
  <c r="A8" i="10"/>
  <c r="A7" i="10"/>
  <c r="A7" i="9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<sst xmlns="http://schemas.openxmlformats.org/spreadsheetml/2006/main" count="334" uniqueCount="231">
  <si>
    <t>Name (Last, First)</t>
  </si>
  <si>
    <t>City/St</t>
  </si>
  <si>
    <t>ACC No.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</si>
  <si>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</si>
  <si>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</si>
  <si>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</si>
  <si>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</si>
  <si>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</si>
  <si>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</si>
  <si>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</si>
  <si>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02</t>
  </si>
  <si>
    <t>03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</si>
  <si>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</si>
  <si>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</si>
  <si>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</si>
  <si>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</si>
  <si>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</si>
  <si>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</si>
  <si>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</si>
  <si>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</si>
  <si>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</si>
  <si>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</si>
  <si>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</si>
  <si>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</si>
  <si>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5 - 8</t>
  </si>
  <si>
    <t>9 - 16</t>
  </si>
  <si>
    <t>17 - 32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</si>
  <si>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</si>
  <si>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</si>
  <si>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</si>
  <si>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</si>
  <si>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</si>
  <si>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</si>
  <si>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</si>
  <si>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</si>
  <si>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</si>
  <si>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</si>
  <si>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</si>
  <si>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</si>
  <si>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Pool $'s</t>
  </si>
  <si>
    <t>Total $'s</t>
  </si>
  <si>
    <t>Total</t>
  </si>
  <si>
    <t>Entered</t>
  </si>
  <si>
    <t>hidden--&gt;</t>
  </si>
  <si>
    <t>04</t>
  </si>
  <si>
    <t>Equal Pool</t>
  </si>
  <si>
    <t>1:6 Grad</t>
  </si>
  <si>
    <t>Pool1</t>
  </si>
  <si>
    <t>Pool2</t>
  </si>
  <si>
    <t>Pool3</t>
  </si>
  <si>
    <t>Pool4</t>
  </si>
  <si>
    <t>Main Results</t>
  </si>
  <si>
    <t>Qualified ("1")</t>
  </si>
  <si>
    <t>No. Players in Main</t>
  </si>
  <si>
    <t>Main Roster</t>
  </si>
  <si>
    <t>"C" or "$"</t>
  </si>
  <si>
    <t>Checks</t>
  </si>
  <si>
    <t>Cash</t>
  </si>
  <si>
    <t>Total Revenue</t>
  </si>
  <si>
    <t>Veggies</t>
  </si>
  <si>
    <t>Tourney Name</t>
  </si>
  <si>
    <t>Tourney Location</t>
  </si>
  <si>
    <t>Tourney City</t>
  </si>
  <si>
    <t>Tourney Date</t>
  </si>
  <si>
    <t>Check id</t>
  </si>
  <si>
    <t>Qf'd</t>
  </si>
  <si>
    <t>Account for any late entries/no-shows and adjust pool participation accordingly</t>
  </si>
  <si>
    <t>When qualifiers scores are entered, we can sort in finishing order, allocate payoffs, and fill in pool payoffs with names</t>
  </si>
  <si>
    <t>Once play has commenced can also popualte payoff % and bands; allocation of $$s must be done from MainFinancials once all the expenses are entered.</t>
  </si>
  <si>
    <t>Once play has commenced can print out side pool payouts and Tourney payoff levels - as long as all expenses are in MainFinancials</t>
  </si>
  <si>
    <t>INSTRUCTIONS:</t>
  </si>
  <si>
    <t>When done, click the "Finalize For No Shows" button</t>
  </si>
  <si>
    <t>All pool counts and payoff amounts will now be calculated using those who started playing</t>
  </si>
  <si>
    <t>This will compute the pools and Payoffs   ==&gt;</t>
  </si>
  <si>
    <t>Put in a "1" for those that qualified and move to results with the appropriate button</t>
  </si>
  <si>
    <t>Change any last minute no-shows  by removing the "1" under "Entered"</t>
  </si>
  <si>
    <t>The order of results is used for tourney payoff amounts and for Grad pool payout ordering</t>
  </si>
  <si>
    <t>Payoff Bracket</t>
  </si>
  <si>
    <t>Teams</t>
  </si>
  <si>
    <t>Byes</t>
  </si>
  <si>
    <t>Playoffs</t>
  </si>
  <si>
    <t>Byes and 1st round playoffs</t>
  </si>
  <si>
    <t>Byes  are next higher power of 2 - # qualifiers formula is =2^(INT(LOG(Teams -1 , 2))+1)</t>
  </si>
  <si>
    <t>3 - 4</t>
  </si>
  <si>
    <t>Once results are sorted</t>
  </si>
  <si>
    <t>Tourney payoffs and pool payout sheets are available to print</t>
  </si>
  <si>
    <t>Change any last-minute pool choices using "1" to Enter or Del to remove</t>
  </si>
  <si>
    <t>Due at Door</t>
  </si>
  <si>
    <t>Anchor</t>
  </si>
  <si>
    <t>Use MainFinancials to ensure all financials marked complete</t>
  </si>
  <si>
    <t>Creates final pool assignments</t>
  </si>
  <si>
    <t>Aasen, Kirby</t>
  </si>
  <si>
    <t>CA-7573</t>
  </si>
  <si>
    <t>Aleschus Jr., James</t>
  </si>
  <si>
    <t>Rancho Cordova, CA</t>
  </si>
  <si>
    <t>CA-3942</t>
  </si>
  <si>
    <t>Allen, Dennis</t>
  </si>
  <si>
    <t>Discovery Bay, CA</t>
  </si>
  <si>
    <t>CA-6371</t>
  </si>
  <si>
    <t>Bartosh, Bob</t>
  </si>
  <si>
    <t>Sacramento, CA</t>
  </si>
  <si>
    <t>CA-4898</t>
  </si>
  <si>
    <t>Bartosh, Scott</t>
  </si>
  <si>
    <t>Grass Valley, CA</t>
  </si>
  <si>
    <t>CA-4893</t>
  </si>
  <si>
    <t>Cheda, Catherine</t>
  </si>
  <si>
    <t>Brentwood, CA.</t>
  </si>
  <si>
    <t>CA-8228</t>
  </si>
  <si>
    <t>Chisholm, Alana</t>
  </si>
  <si>
    <t>Oakley, CA</t>
  </si>
  <si>
    <t>CA-8167</t>
  </si>
  <si>
    <t>Chistiakoff, Orr</t>
  </si>
  <si>
    <t>Santa Rosa, CA</t>
  </si>
  <si>
    <t>CA-7941</t>
  </si>
  <si>
    <t>Clark, Jim</t>
  </si>
  <si>
    <t>Livermore, CA</t>
  </si>
  <si>
    <t>CA-5195</t>
  </si>
  <si>
    <t>Cox, Robert</t>
  </si>
  <si>
    <t>CA-6616</t>
  </si>
  <si>
    <t>Dalton, Sue</t>
  </si>
  <si>
    <t>Napa, CA</t>
  </si>
  <si>
    <t>CA-8075</t>
  </si>
  <si>
    <t>Doppelt, Jackie</t>
  </si>
  <si>
    <t>Fairfield, CA</t>
  </si>
  <si>
    <t>CA-1582</t>
  </si>
  <si>
    <t>Dresbach, Doug</t>
  </si>
  <si>
    <t>CA-5254</t>
  </si>
  <si>
    <t>Fernandez, Cres</t>
  </si>
  <si>
    <t>CA-2690</t>
  </si>
  <si>
    <t>Gregson, Paul</t>
  </si>
  <si>
    <t>Antioch, CA</t>
  </si>
  <si>
    <t>CA-4627</t>
  </si>
  <si>
    <t>Hall, Roland</t>
  </si>
  <si>
    <t>CA-1222L</t>
  </si>
  <si>
    <t>Hammock, Richard</t>
  </si>
  <si>
    <t>Newark, CA</t>
  </si>
  <si>
    <t>CA-7489</t>
  </si>
  <si>
    <t>Hastie, Steve</t>
  </si>
  <si>
    <t>Citrus Heights, CA</t>
  </si>
  <si>
    <t>CA-3822</t>
  </si>
  <si>
    <t>Higgins, Terry</t>
  </si>
  <si>
    <t>Hayward, CA</t>
  </si>
  <si>
    <t>CA-6372</t>
  </si>
  <si>
    <t>Hom, Jones</t>
  </si>
  <si>
    <t>Walnut Creek, CA</t>
  </si>
  <si>
    <t>CA-925L</t>
  </si>
  <si>
    <t>Jackson, Peter A.</t>
  </si>
  <si>
    <t>Chico, CA</t>
  </si>
  <si>
    <t>CA-4206</t>
  </si>
  <si>
    <t>Kimsal, Michael</t>
  </si>
  <si>
    <t>CA-6348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</si>
  <si>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</si>
  <si>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</si>
  <si>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</si>
  <si>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</si>
  <si>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</si>
  <si>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</si>
  <si>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</si>
  <si>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</si>
  <si>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</si>
  <si>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Lind, Dick</t>
  </si>
  <si>
    <t>Spreckels, CA</t>
  </si>
  <si>
    <t>CA-6780</t>
  </si>
  <si>
    <t>Long, David</t>
  </si>
  <si>
    <t>Lower Lake, CA</t>
  </si>
  <si>
    <t>CA-6693</t>
  </si>
  <si>
    <t>Martignoni, Tony</t>
  </si>
  <si>
    <t>CA-7639</t>
  </si>
  <si>
    <t>Meza, Nicole</t>
  </si>
  <si>
    <t>Rohnert  Park, CA</t>
  </si>
  <si>
    <t>CA-8037</t>
  </si>
  <si>
    <t>Moore, Denny</t>
  </si>
  <si>
    <t>CA-0793</t>
  </si>
  <si>
    <t>Morin, Dennis</t>
  </si>
  <si>
    <t>CA-5923</t>
  </si>
  <si>
    <t>Njaa, H.Ross</t>
  </si>
  <si>
    <t>Salinas, CA</t>
  </si>
  <si>
    <t>CA-3226</t>
  </si>
  <si>
    <t>Pilecki, Tad</t>
  </si>
  <si>
    <t>Martinez, CA</t>
  </si>
  <si>
    <t>CA-3377</t>
  </si>
  <si>
    <t>Pimentel, Ken</t>
  </si>
  <si>
    <t>San Andreas, CA.</t>
  </si>
  <si>
    <t>CA-7801</t>
  </si>
  <si>
    <t>Rogers, Michael</t>
  </si>
  <si>
    <t>CA-6999</t>
  </si>
  <si>
    <t>Rothbach</t>
  </si>
  <si>
    <t>Fremont, CA</t>
  </si>
  <si>
    <t>CA-7017</t>
  </si>
  <si>
    <t>Salinas, Amy</t>
  </si>
  <si>
    <t>CA-8116</t>
  </si>
  <si>
    <t>Sanner, Sara</t>
  </si>
  <si>
    <t>Colorado Springs, CO.</t>
  </si>
  <si>
    <t>FL-1788</t>
  </si>
  <si>
    <t>Schlabes, Bill</t>
  </si>
  <si>
    <t>W. Sacramento, CA</t>
  </si>
  <si>
    <t>CA-5515</t>
  </si>
  <si>
    <t>Schuler, Marylin</t>
  </si>
  <si>
    <t>CA-7916</t>
  </si>
  <si>
    <t>Shea, Peggy</t>
  </si>
  <si>
    <t>Eureka, CA</t>
  </si>
  <si>
    <t>CA-3048</t>
  </si>
  <si>
    <t>Shea, Rick</t>
  </si>
  <si>
    <t>CA-4103</t>
  </si>
  <si>
    <t>Spero, Denny</t>
  </si>
  <si>
    <t>CA-6237</t>
  </si>
  <si>
    <t>Spurgeon, Donald</t>
  </si>
  <si>
    <t>CA-7974</t>
  </si>
  <si>
    <t>Steen, David</t>
  </si>
  <si>
    <t>Tellez, Barbara</t>
  </si>
  <si>
    <t>CA-5378</t>
  </si>
  <si>
    <t>Van Scyoc, Cheryl</t>
  </si>
  <si>
    <t>CA-1638</t>
  </si>
  <si>
    <t>Van Scyoc, Garrett</t>
  </si>
  <si>
    <t>CA-5859</t>
  </si>
  <si>
    <t>Washington, Carolyn</t>
  </si>
  <si>
    <t>Fair Oaks, CA</t>
  </si>
  <si>
    <t>CA-6863</t>
  </si>
  <si>
    <t>Whitfield, Judith</t>
  </si>
  <si>
    <t>Lakeport, CA</t>
  </si>
  <si>
    <t>CA-7555</t>
  </si>
  <si>
    <t>Yaeger, Dave</t>
  </si>
  <si>
    <t>Kettle Falls, WA.</t>
  </si>
  <si>
    <t>MN-0616</t>
  </si>
  <si>
    <t>Yepson, Bud</t>
  </si>
  <si>
    <t>CA-5454</t>
  </si>
  <si>
    <t>Ziari, Farokh</t>
  </si>
  <si>
    <t>CA-5731</t>
  </si>
  <si>
    <t>Napa Wine Country Open</t>
  </si>
  <si>
    <t>The Moose Lodge</t>
  </si>
  <si>
    <t>Napa Ca, 94558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</si>
</sst>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$&quot;#,##0_);\(&quot;$&quot;#,##0\)"/>
    <numFmt numFmtId="7" formatCode="&quot;$&quot;#,##0.00_);\(&quot;$&quot;#,##0.00\)"/>
    <numFmt numFmtId="164" formatCode="&quot;$&quot;#,##0"/>
    <numFmt numFmtId="165" formatCode="mm/d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8"/>
      <name val="Calibri"/>
      <family val="2"/>
      <scheme val="minor"/>
    </font>
    <font>
      <b/>
      <sz val="16"/>
      <color theme="1"/>
      <name val="Calibri"/>
      <family val="2"/>
    </font>
    <font>
      <b/>
      <sz val="16"/>
      <color rgb="FF000000"/>
      <name val="Calibri"/>
      <family val="2"/>
    </font>
    <font>
      <b/>
      <i/>
      <sz val="11"/>
      <color rgb="FF008000"/>
      <name val="Calibri"/>
      <family val="2"/>
    </font>
    <font>
      <b/>
      <sz val="18"/>
      <color theme="1"/>
      <name val="Calibri"/>
      <family val="2"/>
    </font>
    <font>
      <b/>
      <sz val="18"/>
      <color rgb="FF000000"/>
      <name val="Calibri"/>
      <family val="2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84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 applyAlignment="1">
      <alignment horizontal="left"/>
    </xf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3" fillId="0" borderId="0" xfId="0" quotePrefix="1" applyFont="1" applyAlignment="1">
      <alignment horizontal="left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4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1" fontId="7" fillId="0" borderId="0" xfId="0" applyNumberFormat="1" applyFon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/>
    </xf>
    <xf numFmtId="0" fontId="7" fillId="0" borderId="4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 vertical="center"/>
    </xf>
    <xf numFmtId="164" fontId="7" fillId="0" borderId="0" xfId="0" quotePrefix="1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0" fontId="1" fillId="0" borderId="0" xfId="0" applyFont="1" applyProtection="1"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7" fillId="0" borderId="1" xfId="0" applyNumberFormat="1" applyFont="1" applyBorder="1" applyProtection="1">
      <protection locked="0"/>
    </xf>
    <xf numFmtId="49" fontId="7" fillId="0" borderId="1" xfId="0" applyNumberFormat="1" applyFont="1" applyBorder="1" applyAlignment="1" applyProtection="1">
      <alignment horizontal="center"/>
      <protection locked="0"/>
    </xf>
    <xf numFmtId="164" fontId="7" fillId="0" borderId="1" xfId="0" applyNumberFormat="1" applyFont="1" applyBorder="1" applyAlignment="1" applyProtection="1">
      <alignment horizontal="center"/>
      <protection locked="0"/>
    </xf>
    <xf numFmtId="49" fontId="7" fillId="0" borderId="4" xfId="0" applyNumberFormat="1" applyFont="1" applyBorder="1" applyProtection="1">
      <protection locked="0"/>
    </xf>
    <xf numFmtId="49" fontId="7" fillId="0" borderId="4" xfId="0" applyNumberFormat="1" applyFont="1" applyBorder="1" applyAlignment="1" applyProtection="1">
      <alignment horizontal="center"/>
      <protection locked="0"/>
    </xf>
    <xf numFmtId="164" fontId="7" fillId="0" borderId="4" xfId="0" applyNumberFormat="1" applyFont="1" applyBorder="1" applyAlignment="1" applyProtection="1">
      <alignment horizontal="center"/>
      <protection locked="0"/>
    </xf>
    <xf numFmtId="0" fontId="7" fillId="0" borderId="4" xfId="0" applyFont="1" applyBorder="1" applyProtection="1">
      <protection locked="0"/>
    </xf>
    <xf numFmtId="0" fontId="7" fillId="0" borderId="4" xfId="0" applyFont="1" applyBorder="1" applyAlignment="1" applyProtection="1">
      <alignment horizontal="center"/>
      <protection locked="0"/>
    </xf>
    <xf numFmtId="0" fontId="7" fillId="0" borderId="1" xfId="0" applyFont="1" applyBorder="1" applyProtection="1">
      <protection locked="0"/>
    </xf>
    <xf numFmtId="0" fontId="7" fillId="0" borderId="1" xfId="0" applyFont="1" applyBorder="1" applyAlignment="1" applyProtection="1">
      <alignment horizontal="center"/>
      <protection locked="0"/>
    </xf>
    <xf numFmtId="164" fontId="7" fillId="0" borderId="0" xfId="0" applyNumberFormat="1" applyFont="1" applyAlignment="1">
      <alignment horizontal="center"/>
    </xf>
    <xf numFmtId="49" fontId="7" fillId="0" borderId="2" xfId="0" applyNumberFormat="1" applyFont="1" applyBorder="1" applyAlignment="1">
      <alignment horizontal="left"/>
    </xf>
    <xf numFmtId="49" fontId="7" fillId="0" borderId="2" xfId="0" applyNumberFormat="1" applyFont="1" applyBorder="1"/>
    <xf numFmtId="49" fontId="7" fillId="0" borderId="2" xfId="0" applyNumberFormat="1" applyFont="1" applyBorder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164" fontId="1" fillId="0" borderId="1" xfId="0" applyNumberFormat="1" applyFont="1" applyBorder="1" applyAlignment="1">
      <alignment horizontal="center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1" fillId="0" borderId="0" xfId="0" applyNumberFormat="1" applyFont="1"/>
    <xf numFmtId="49" fontId="7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8" fillId="0" borderId="1" xfId="0" applyNumberFormat="1" applyFont="1" applyBorder="1" applyAlignment="1" applyProtection="1">
      <alignment horizontal="center"/>
      <protection locked="0"/>
    </xf>
    <xf numFmtId="1" fontId="8" fillId="0" borderId="1" xfId="0" applyNumberFormat="1" applyFont="1" applyBorder="1" applyAlignment="1" applyProtection="1">
      <alignment horizontal="center"/>
      <protection locked="0"/>
    </xf>
    <xf numFmtId="164" fontId="8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5" fillId="0" borderId="0" xfId="0" applyFont="1" applyAlignment="1">
      <alignment horizontal="left"/>
    </xf>
    <xf numFmtId="0" fontId="1" fillId="0" borderId="6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5" fontId="0" fillId="0" borderId="0" xfId="0" applyNumberFormat="1"/>
    <xf numFmtId="164" fontId="7" fillId="0" borderId="0" xfId="0" applyNumberFormat="1" applyFont="1"/>
    <xf numFmtId="164" fontId="7" fillId="0" borderId="4" xfId="0" applyNumberFormat="1" applyFont="1" applyBorder="1" applyProtection="1">
      <protection locked="0"/>
    </xf>
    <xf numFmtId="164" fontId="7" fillId="0" borderId="1" xfId="0" applyNumberFormat="1" applyFont="1" applyBorder="1" applyProtection="1">
      <protection locked="0"/>
    </xf>
    <xf numFmtId="0" fontId="8" fillId="0" borderId="1" xfId="0" applyFont="1" applyBorder="1" applyProtection="1"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49" fontId="8" fillId="0" borderId="1" xfId="0" applyNumberFormat="1" applyFont="1" applyBorder="1" applyProtection="1">
      <protection locked="0"/>
    </xf>
    <xf numFmtId="1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center" wrapText="1"/>
    </xf>
    <xf numFmtId="49" fontId="7" fillId="0" borderId="1" xfId="0" applyNumberFormat="1" applyFont="1" applyBorder="1" applyAlignment="1">
      <alignment horizontal="left"/>
    </xf>
    <xf numFmtId="49" fontId="7" fillId="0" borderId="1" xfId="0" applyNumberFormat="1" applyFont="1" applyBorder="1"/>
    <xf numFmtId="49" fontId="7" fillId="0" borderId="1" xfId="0" applyNumberFormat="1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0" fontId="11" fillId="0" borderId="0" xfId="0" applyFont="1" applyAlignment="1">
      <alignment horizontal="left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49" fontId="2" fillId="0" borderId="0" xfId="0" applyNumberFormat="1" applyFont="1"/>
    <xf numFmtId="1" fontId="6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1" fontId="10" fillId="0" borderId="0" xfId="0" applyNumberFormat="1" applyFont="1" applyAlignment="1" applyProtection="1">
      <alignment horizontal="center"/>
      <protection locked="0"/>
    </xf>
    <xf numFmtId="164" fontId="1" fillId="0" borderId="5" xfId="0" applyNumberFormat="1" applyFont="1" applyBorder="1" applyAlignment="1">
      <alignment horizontal="center" wrapText="1"/>
    </xf>
    <xf numFmtId="0" fontId="1" fillId="0" borderId="1" xfId="0" quotePrefix="1" applyFont="1" applyBorder="1" applyAlignment="1">
      <alignment wrapText="1"/>
    </xf>
    <xf numFmtId="164" fontId="10" fillId="0" borderId="1" xfId="0" applyNumberFormat="1" applyFont="1" applyBorder="1" applyAlignment="1">
      <alignment horizontal="center"/>
    </xf>
    <xf numFmtId="1" fontId="10" fillId="0" borderId="1" xfId="0" applyNumberFormat="1" applyFont="1" applyBorder="1" applyAlignment="1">
      <alignment horizontal="center" wrapText="1"/>
    </xf>
    <xf numFmtId="0" fontId="0" fillId="0" borderId="1" xfId="0" applyBorder="1" applyProtection="1">
      <protection locked="0"/>
    </xf>
    <xf numFmtId="0" fontId="12" fillId="0" borderId="0" xfId="0" applyFont="1"/>
    <xf numFmtId="14" fontId="12" fillId="0" borderId="0" xfId="0" applyNumberFormat="1" applyFont="1" applyAlignment="1">
      <alignment horizontal="left"/>
    </xf>
    <xf numFmtId="1" fontId="0" fillId="0" borderId="1" xfId="0" applyNumberFormat="1" applyBorder="1" applyAlignment="1">
      <alignment horizontal="center"/>
    </xf>
    <xf numFmtId="14" fontId="1" fillId="0" borderId="0" xfId="0" applyNumberFormat="1" applyFont="1" applyAlignment="1">
      <alignment horizontal="left"/>
    </xf>
    <xf numFmtId="0" fontId="1" fillId="0" borderId="2" xfId="0" applyFont="1" applyBorder="1" applyAlignment="1">
      <alignment horizontal="center" wrapText="1"/>
    </xf>
    <xf numFmtId="1" fontId="12" fillId="0" borderId="0" xfId="0" applyNumberFormat="1" applyFont="1" applyAlignment="1" applyProtection="1">
      <alignment horizontal="center"/>
      <protection locked="0"/>
    </xf>
    <xf numFmtId="49" fontId="14" fillId="0" borderId="1" xfId="0" applyNumberFormat="1" applyFont="1" applyBorder="1" applyProtection="1">
      <protection locked="0"/>
    </xf>
    <xf numFmtId="49" fontId="15" fillId="0" borderId="1" xfId="0" applyNumberFormat="1" applyFont="1" applyBorder="1" applyProtection="1">
      <protection locked="0"/>
    </xf>
    <xf numFmtId="49" fontId="15" fillId="0" borderId="1" xfId="0" applyNumberFormat="1" applyFont="1" applyBorder="1" applyAlignment="1" applyProtection="1">
      <alignment horizontal="center"/>
      <protection locked="0"/>
    </xf>
    <xf numFmtId="49" fontId="14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>
      <alignment horizontal="center"/>
    </xf>
    <xf numFmtId="0" fontId="0" fillId="0" borderId="1" xfId="0" applyBorder="1"/>
    <xf numFmtId="0" fontId="8" fillId="0" borderId="1" xfId="0" applyFont="1" applyBorder="1" applyAlignment="1" applyProtection="1">
      <alignment horizontal="left"/>
      <protection locked="0"/>
    </xf>
    <xf numFmtId="1" fontId="8" fillId="0" borderId="1" xfId="0" applyNumberFormat="1" applyFont="1" applyBorder="1" applyAlignment="1" applyProtection="1">
      <alignment horizontal="left"/>
      <protection locked="0"/>
    </xf>
    <xf numFmtId="49" fontId="9" fillId="0" borderId="1" xfId="0" applyNumberFormat="1" applyFont="1" applyBorder="1" applyAlignment="1" applyProtection="1">
      <alignment horizontal="left"/>
      <protection locked="0"/>
    </xf>
    <xf numFmtId="49" fontId="8" fillId="0" borderId="1" xfId="0" applyNumberFormat="1" applyFont="1" applyBorder="1" applyAlignment="1" applyProtection="1">
      <alignment horizontal="left"/>
      <protection locked="0"/>
    </xf>
    <xf numFmtId="164" fontId="6" fillId="0" borderId="1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right"/>
    </xf>
    <xf numFmtId="49" fontId="9" fillId="0" borderId="0" xfId="0" applyNumberFormat="1" applyFont="1" applyProtection="1">
      <protection locked="0"/>
    </xf>
    <xf numFmtId="49" fontId="7" fillId="0" borderId="0" xfId="0" applyNumberFormat="1" applyFont="1"/>
    <xf numFmtId="49" fontId="7" fillId="0" borderId="0" xfId="0" quotePrefix="1" applyNumberFormat="1" applyFont="1" applyAlignment="1">
      <alignment horizontal="left"/>
    </xf>
    <xf numFmtId="49" fontId="7" fillId="0" borderId="0" xfId="0" applyNumberFormat="1" applyFont="1" applyAlignment="1">
      <alignment horizontal="left"/>
    </xf>
    <xf numFmtId="49" fontId="17" fillId="0" borderId="1" xfId="0" applyNumberFormat="1" applyFont="1" applyBorder="1" applyProtection="1">
      <protection locked="0"/>
    </xf>
    <xf numFmtId="49" fontId="18" fillId="0" borderId="1" xfId="0" applyNumberFormat="1" applyFont="1" applyBorder="1" applyProtection="1">
      <protection locked="0"/>
    </xf>
    <xf numFmtId="49" fontId="18" fillId="0" borderId="1" xfId="0" applyNumberFormat="1" applyFont="1" applyBorder="1" applyAlignment="1" applyProtection="1">
      <alignment horizontal="center"/>
      <protection locked="0"/>
    </xf>
    <xf numFmtId="49" fontId="17" fillId="0" borderId="1" xfId="0" applyNumberFormat="1" applyFont="1" applyBorder="1" applyAlignment="1" applyProtection="1">
      <alignment horizontal="center"/>
      <protection locked="0"/>
    </xf>
    <xf numFmtId="49" fontId="19" fillId="0" borderId="1" xfId="0" applyNumberFormat="1" applyFont="1" applyBorder="1" applyProtection="1">
      <protection locked="0"/>
    </xf>
    <xf numFmtId="49" fontId="19" fillId="0" borderId="1" xfId="0" applyNumberFormat="1" applyFont="1" applyBorder="1" applyAlignment="1" applyProtection="1">
      <alignment horizontal="center"/>
      <protection locked="0"/>
    </xf>
    <xf numFmtId="164" fontId="19" fillId="0" borderId="1" xfId="0" applyNumberFormat="1" applyFont="1" applyBorder="1" applyAlignment="1" applyProtection="1">
      <alignment horizontal="center"/>
      <protection locked="0"/>
    </xf>
    <xf numFmtId="49" fontId="7" fillId="0" borderId="1" xfId="0" quotePrefix="1" applyNumberFormat="1" applyFont="1" applyBorder="1" applyAlignment="1">
      <alignment horizontal="left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0" fillId="0" borderId="2" xfId="0" applyFont="1" applyBorder="1" applyAlignment="1" applyProtection="1">
      <alignment horizontal="center"/>
      <protection locked="0"/>
    </xf>
    <xf numFmtId="0" fontId="9" fillId="0" borderId="0" xfId="0" applyFont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 wrapText="1"/>
    </xf>
    <xf numFmtId="49" fontId="2" fillId="0" borderId="0" xfId="0" applyNumberFormat="1" applyFont="1" applyAlignment="1">
      <alignment horizontal="left"/>
    </xf>
    <xf numFmtId="0" fontId="1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1</xdr:row>
          <xdr:rowOff>0</xdr:rowOff>
        </xdr:from>
        <xdr:to>
          <xdr:col>8</xdr:col>
          <xdr:colOff>9525</xdr:colOff>
          <xdr:row>3</xdr:row>
          <xdr:rowOff>47625</xdr:rowOff>
        </xdr:to>
        <xdr:sp macro="" textlink="">
          <xdr:nvSpPr>
            <xdr:cNvPr id="3075" name="FinalizeMainRoster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 For No Shows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3</xdr:row>
          <xdr:rowOff>180975</xdr:rowOff>
        </xdr:from>
        <xdr:to>
          <xdr:col>8</xdr:col>
          <xdr:colOff>9525</xdr:colOff>
          <xdr:row>6</xdr:row>
          <xdr:rowOff>47625</xdr:rowOff>
        </xdr:to>
        <xdr:sp macro="" textlink="">
          <xdr:nvSpPr>
            <xdr:cNvPr id="3078" name="ConsyEntriesCopy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Entries to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1</xdr:row>
          <xdr:rowOff>0</xdr:rowOff>
        </xdr:from>
        <xdr:to>
          <xdr:col>10</xdr:col>
          <xdr:colOff>295275</xdr:colOff>
          <xdr:row>3</xdr:row>
          <xdr:rowOff>47625</xdr:rowOff>
        </xdr:to>
        <xdr:sp macro="" textlink="">
          <xdr:nvSpPr>
            <xdr:cNvPr id="3079" name="RevertFinalizeButton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6</xdr:row>
          <xdr:rowOff>180975</xdr:rowOff>
        </xdr:from>
        <xdr:to>
          <xdr:col>10</xdr:col>
          <xdr:colOff>295275</xdr:colOff>
          <xdr:row>8</xdr:row>
          <xdr:rowOff>142875</xdr:rowOff>
        </xdr:to>
        <xdr:sp macro="" textlink="">
          <xdr:nvSpPr>
            <xdr:cNvPr id="3080" name="ConsyCheckinList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 Check-In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</xdr:row>
          <xdr:rowOff>0</xdr:rowOff>
        </xdr:from>
        <xdr:to>
          <xdr:col>12</xdr:col>
          <xdr:colOff>428625</xdr:colOff>
          <xdr:row>3</xdr:row>
          <xdr:rowOff>47625</xdr:rowOff>
        </xdr:to>
        <xdr:sp macro="" textlink="">
          <xdr:nvSpPr>
            <xdr:cNvPr id="3081" name="ConsyEntriesCopy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</xdr:row>
          <xdr:rowOff>180975</xdr:rowOff>
        </xdr:from>
        <xdr:to>
          <xdr:col>12</xdr:col>
          <xdr:colOff>447675</xdr:colOff>
          <xdr:row>8</xdr:row>
          <xdr:rowOff>142875</xdr:rowOff>
        </xdr:to>
        <xdr:sp macro="" textlink="">
          <xdr:nvSpPr>
            <xdr:cNvPr id="3082" name="FinalizeMainRosterButton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6</xdr:row>
          <xdr:rowOff>180975</xdr:rowOff>
        </xdr:from>
        <xdr:to>
          <xdr:col>8</xdr:col>
          <xdr:colOff>9525</xdr:colOff>
          <xdr:row>8</xdr:row>
          <xdr:rowOff>142875</xdr:rowOff>
        </xdr:to>
        <xdr:sp macro="" textlink="">
          <xdr:nvSpPr>
            <xdr:cNvPr id="3083" name="MoveMainQualifiers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Main Qualifiers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1</xdr:row>
          <xdr:rowOff>85725</xdr:rowOff>
        </xdr:from>
        <xdr:to>
          <xdr:col>7</xdr:col>
          <xdr:colOff>9525</xdr:colOff>
          <xdr:row>3</xdr:row>
          <xdr:rowOff>133350</xdr:rowOff>
        </xdr:to>
        <xdr:sp macro="" textlink="">
          <xdr:nvSpPr>
            <xdr:cNvPr id="2050" name="SortMain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Main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171450</xdr:rowOff>
        </xdr:from>
        <xdr:to>
          <xdr:col>7</xdr:col>
          <xdr:colOff>19050</xdr:colOff>
          <xdr:row>7</xdr:row>
          <xdr:rowOff>28575</xdr:rowOff>
        </xdr:to>
        <xdr:sp macro="" textlink="">
          <xdr:nvSpPr>
            <xdr:cNvPr id="2051" name="SortMain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22"/>
  <sheetViews>
    <sheetView showZeros="0" tabSelected="1" workbookViewId="0">
      <pane ySplit="11" topLeftCell="A12" activePane="bottomLeft" state="frozen"/>
      <selection pane="bottomLeft" activeCell="B11" sqref="B11"/>
    </sheetView>
  </sheetViews>
  <sheetFormatPr defaultRowHeight="15" x14ac:dyDescent="0.25"/>
  <cols>
    <col min="1" max="1" width="4.5703125" style="1" customWidth="1"/>
    <col min="2" max="2" width="13.85546875" style="1" customWidth="1"/>
    <col min="3" max="3" width="15.5703125" style="1" customWidth="1"/>
    <col min="4" max="4" width="24.85546875" style="2" customWidth="1"/>
    <col min="5" max="5" width="16.85546875" style="2" customWidth="1"/>
    <col min="6" max="6" width="10.140625" style="3" customWidth="1"/>
    <col min="7" max="11" width="7.5703125" style="1" customWidth="1"/>
    <col min="12" max="13" width="9.85546875" customWidth="1"/>
    <col min="14" max="14" width="12.7109375" style="28" customWidth="1"/>
    <col min="15" max="15" width="10.42578125" style="1" customWidth="1"/>
    <col min="16" max="16" width="9.85546875" style="1" customWidth="1"/>
    <col min="17" max="18" width="11.140625" style="1" customWidth="1"/>
    <col min="19" max="19" width="11.140625" customWidth="1"/>
    <col min="20" max="21" width="9.140625" customWidth="1"/>
    <col min="22" max="22" width="12.5703125" style="1" customWidth="1"/>
    <col min="23" max="26" width="9.140625" customWidth="1"/>
    <col min="27" max="27" width="5" style="109" customWidth="1"/>
    <col min="28" max="28" width="9.5703125" customWidth="1"/>
  </cols>
  <sheetData>
    <row r="1" spans="1:31" ht="21" x14ac:dyDescent="0.35">
      <c r="A1" s="171" t="s">
        <v>54</v>
      </c>
      <c r="B1" s="171"/>
      <c r="C1" s="150"/>
      <c r="D1" s="124"/>
      <c r="E1" s="89"/>
      <c r="F1"/>
      <c r="K1" s="92"/>
      <c r="L1" s="30"/>
      <c r="O1" s="22"/>
      <c r="P1" s="22"/>
      <c r="Q1" s="22"/>
      <c r="R1" s="8"/>
      <c r="S1" s="8"/>
      <c r="T1" s="14"/>
      <c r="W1" s="30"/>
      <c r="AA1" s="30"/>
    </row>
    <row r="2" spans="1:31" x14ac:dyDescent="0.25">
      <c r="A2" s="15"/>
      <c r="B2" s="15"/>
      <c r="C2" s="8"/>
      <c r="D2" s="174" t="s">
        <v>73</v>
      </c>
      <c r="E2" s="174"/>
      <c r="F2" s="15"/>
      <c r="G2"/>
      <c r="I2" s="16"/>
      <c r="J2"/>
      <c r="O2" s="16" t="s">
        <v>70</v>
      </c>
      <c r="S2" s="8"/>
      <c r="T2" s="15"/>
      <c r="AA2"/>
    </row>
    <row r="3" spans="1:31" ht="15.75" customHeight="1" x14ac:dyDescent="0.25">
      <c r="A3" s="15"/>
      <c r="B3" s="172" t="s">
        <v>60</v>
      </c>
      <c r="C3" s="172"/>
      <c r="D3" s="173" t="s">
        <v>228</v>
      </c>
      <c r="E3" s="173"/>
      <c r="F3" s="15"/>
      <c r="G3"/>
      <c r="L3" s="8"/>
      <c r="M3" s="16"/>
      <c r="O3" s="16" t="s">
        <v>75</v>
      </c>
      <c r="T3" s="15"/>
      <c r="AA3"/>
      <c r="AB3" s="15"/>
    </row>
    <row r="4" spans="1:31" x14ac:dyDescent="0.25">
      <c r="A4" s="15"/>
      <c r="B4" s="172" t="s">
        <v>61</v>
      </c>
      <c r="C4" s="172"/>
      <c r="D4" s="173" t="s">
        <v>229</v>
      </c>
      <c r="E4" s="173"/>
      <c r="F4" s="15"/>
      <c r="G4" s="15"/>
      <c r="L4" s="8"/>
      <c r="M4" s="1"/>
      <c r="O4" s="16" t="s">
        <v>86</v>
      </c>
      <c r="S4" s="62"/>
      <c r="AA4"/>
    </row>
    <row r="5" spans="1:31" ht="15" customHeight="1" x14ac:dyDescent="0.25">
      <c r="A5" s="15"/>
      <c r="B5" s="172" t="s">
        <v>62</v>
      </c>
      <c r="C5" s="172"/>
      <c r="D5" s="173" t="s">
        <v>230</v>
      </c>
      <c r="E5" s="173"/>
      <c r="F5" s="15"/>
      <c r="G5" s="17"/>
      <c r="L5" s="21"/>
      <c r="M5" s="22"/>
      <c r="N5" s="151"/>
      <c r="O5" s="169" t="s">
        <v>89</v>
      </c>
      <c r="P5" s="169"/>
      <c r="Q5" s="169"/>
      <c r="R5" s="169"/>
      <c r="S5" s="169"/>
      <c r="T5" s="169"/>
      <c r="U5" s="169"/>
      <c r="V5" s="88"/>
      <c r="W5" s="88"/>
      <c r="AA5"/>
      <c r="AB5" s="85"/>
      <c r="AC5" s="16"/>
      <c r="AD5" s="16"/>
      <c r="AE5" s="16"/>
    </row>
    <row r="6" spans="1:31" x14ac:dyDescent="0.25">
      <c r="A6" s="15"/>
      <c r="B6" s="172" t="s">
        <v>63</v>
      </c>
      <c r="C6" s="172"/>
      <c r="D6" s="136">
        <v>45731</v>
      </c>
      <c r="E6" s="14"/>
      <c r="F6" s="15"/>
      <c r="G6" s="14"/>
      <c r="L6" s="15"/>
      <c r="O6" t="s">
        <v>71</v>
      </c>
      <c r="R6" s="88"/>
      <c r="S6" s="88"/>
      <c r="T6" s="88"/>
      <c r="U6" s="88"/>
      <c r="V6" s="88"/>
      <c r="W6" s="88"/>
      <c r="Z6" s="15"/>
      <c r="AA6"/>
    </row>
    <row r="7" spans="1:31" ht="18.75" x14ac:dyDescent="0.3">
      <c r="A7" s="15"/>
      <c r="B7" s="15"/>
      <c r="C7" s="8"/>
      <c r="D7" s="15"/>
      <c r="E7" s="15"/>
      <c r="F7" s="15"/>
      <c r="G7" s="121"/>
      <c r="H7" s="97"/>
      <c r="I7" s="97"/>
      <c r="J7" s="12"/>
      <c r="K7" s="12"/>
      <c r="O7" s="16" t="s">
        <v>72</v>
      </c>
      <c r="S7" s="8"/>
      <c r="T7" s="16"/>
      <c r="AA7"/>
    </row>
    <row r="8" spans="1:31" ht="18.75" customHeight="1" x14ac:dyDescent="0.25">
      <c r="A8" s="15"/>
      <c r="B8" s="15"/>
      <c r="C8" s="8"/>
      <c r="D8" s="15"/>
      <c r="E8" s="14"/>
      <c r="F8" s="15"/>
      <c r="G8" s="23"/>
      <c r="H8" s="23"/>
      <c r="I8" s="23"/>
      <c r="J8" s="23"/>
      <c r="O8" s="16" t="s">
        <v>74</v>
      </c>
      <c r="T8" s="1"/>
      <c r="AA8"/>
    </row>
    <row r="9" spans="1:31" ht="36.75" customHeight="1" x14ac:dyDescent="0.25">
      <c r="B9" s="13" t="s">
        <v>53</v>
      </c>
      <c r="C9" s="116" t="s">
        <v>52</v>
      </c>
      <c r="D9" s="91"/>
      <c r="E9" s="87"/>
      <c r="G9" s="98"/>
      <c r="H9" s="98"/>
      <c r="I9" s="98"/>
      <c r="J9" s="122"/>
      <c r="K9" s="170"/>
      <c r="L9" s="170"/>
      <c r="S9" s="8"/>
      <c r="T9" s="1"/>
      <c r="V9" s="123"/>
      <c r="W9" s="123"/>
      <c r="X9" s="123"/>
      <c r="Y9" s="123"/>
      <c r="AA9"/>
    </row>
    <row r="10" spans="1:31" ht="18.75" customHeight="1" x14ac:dyDescent="0.25">
      <c r="B10" s="51">
        <f>COUNTIF(B12:B322,"&lt;&gt;"&amp;"")</f>
        <v>53</v>
      </c>
      <c r="C10" s="51">
        <f>COUNTIF(C12:C322,"&lt;&gt;"&amp;"")</f>
        <v>0</v>
      </c>
      <c r="G10" s="51">
        <f t="shared" ref="G10:M10" si="0">COUNTIF(G12:G322,"&lt;&gt;"&amp;"")</f>
        <v>44</v>
      </c>
      <c r="H10" s="51">
        <f t="shared" si="0"/>
        <v>25</v>
      </c>
      <c r="I10" s="51">
        <f t="shared" si="0"/>
        <v>29</v>
      </c>
      <c r="J10" s="51">
        <f t="shared" si="0"/>
        <v>15</v>
      </c>
      <c r="K10" s="51">
        <f t="shared" si="0"/>
        <v>12</v>
      </c>
      <c r="L10" s="51">
        <f t="shared" si="0"/>
        <v>4</v>
      </c>
      <c r="M10" s="51">
        <f t="shared" si="0"/>
        <v>9</v>
      </c>
      <c r="N10" s="149">
        <f>SUM(N12:N211)</f>
        <v>950</v>
      </c>
      <c r="Q10" s="84">
        <f>SUM(Q12:Q211)</f>
        <v>0</v>
      </c>
      <c r="R10" s="149">
        <f>SUM(R12:R211)</f>
        <v>950</v>
      </c>
      <c r="S10" s="149">
        <f>SUM(S12:S211)</f>
        <v>5730</v>
      </c>
      <c r="T10" s="51">
        <f>COUNTIF(T12:T411,"&lt;&gt;"&amp;"")</f>
        <v>7</v>
      </c>
      <c r="V10" s="123"/>
      <c r="W10" s="123"/>
      <c r="X10" s="123"/>
      <c r="Y10" s="123"/>
      <c r="Z10" s="125"/>
      <c r="AA10"/>
    </row>
    <row r="11" spans="1:31" ht="30.75" customHeight="1" x14ac:dyDescent="0.25">
      <c r="B11" s="10" t="s">
        <v>42</v>
      </c>
      <c r="C11" s="116" t="s">
        <v>65</v>
      </c>
      <c r="D11" s="4" t="s">
        <v>0</v>
      </c>
      <c r="E11" s="5" t="s">
        <v>1</v>
      </c>
      <c r="F11" s="6" t="s">
        <v>2</v>
      </c>
      <c r="G11" s="116" t="s">
        <v>45</v>
      </c>
      <c r="H11" s="116" t="s">
        <v>46</v>
      </c>
      <c r="I11" s="116" t="s">
        <v>46</v>
      </c>
      <c r="J11" s="116" t="s">
        <v>46</v>
      </c>
      <c r="K11" s="116" t="s">
        <v>13</v>
      </c>
      <c r="L11" s="116" t="s">
        <v>88</v>
      </c>
      <c r="M11" s="116" t="s">
        <v>14</v>
      </c>
      <c r="N11" s="128" t="s">
        <v>87</v>
      </c>
      <c r="O11" s="129" t="s">
        <v>55</v>
      </c>
      <c r="P11" s="129" t="s">
        <v>64</v>
      </c>
      <c r="Q11" s="130" t="s">
        <v>56</v>
      </c>
      <c r="R11" s="130" t="s">
        <v>57</v>
      </c>
      <c r="S11" s="131" t="s">
        <v>58</v>
      </c>
      <c r="T11" s="131" t="s">
        <v>59</v>
      </c>
      <c r="U11" s="22"/>
      <c r="V11" s="123"/>
      <c r="W11" s="123"/>
      <c r="X11" s="123"/>
      <c r="Y11" s="123"/>
      <c r="Z11" s="122"/>
      <c r="AA11"/>
      <c r="AC11" s="96"/>
    </row>
    <row r="12" spans="1:31" ht="15.75" customHeight="1" x14ac:dyDescent="0.25">
      <c r="A12" s="7"/>
      <c r="B12" s="94">
        <v>1</v>
      </c>
      <c r="C12" s="105"/>
      <c r="D12" s="145" t="s">
        <v>91</v>
      </c>
      <c r="E12" s="145"/>
      <c r="F12" s="111" t="s">
        <v>92</v>
      </c>
      <c r="G12" s="94"/>
      <c r="H12" s="105"/>
      <c r="I12" s="105"/>
      <c r="J12" s="105"/>
      <c r="K12" s="105"/>
      <c r="L12" s="143"/>
      <c r="M12" s="67">
        <v>1</v>
      </c>
      <c r="N12" s="108">
        <f t="shared" ref="N12:N43" si="1">M12*S12</f>
        <v>70</v>
      </c>
      <c r="O12" s="54"/>
      <c r="P12" s="7"/>
      <c r="Q12" s="144" t="str">
        <f t="shared" ref="Q12:Q43" si="2">IF(OR(O12="c",O12="C"),+S12,"")</f>
        <v/>
      </c>
      <c r="R12" s="115">
        <f t="shared" ref="R12:R43" si="3">IF(OR(O12="$",M12=1),+S12,"")</f>
        <v>70</v>
      </c>
      <c r="S12" s="54" cm="1">
        <f t="array" ref="S12">B12*MainEntryFee()+G12*MPool1Fee()+H12*MPool2Fee()+I12*MPool3Fee()+J12*MPool4Fee()</f>
        <v>70</v>
      </c>
      <c r="T12" s="144"/>
      <c r="W12" s="1"/>
      <c r="X12" s="1"/>
      <c r="Y12" s="1"/>
      <c r="Z12" s="126"/>
      <c r="AA12" s="83"/>
      <c r="AC12" s="21"/>
    </row>
    <row r="13" spans="1:31" x14ac:dyDescent="0.25">
      <c r="A13" s="7"/>
      <c r="B13" s="94">
        <v>1</v>
      </c>
      <c r="C13" s="105"/>
      <c r="D13" s="145" t="s">
        <v>93</v>
      </c>
      <c r="E13" s="145" t="s">
        <v>94</v>
      </c>
      <c r="F13" s="111" t="s">
        <v>95</v>
      </c>
      <c r="G13" s="105"/>
      <c r="H13" s="105"/>
      <c r="I13" s="105">
        <v>1</v>
      </c>
      <c r="J13" s="105"/>
      <c r="K13" s="105"/>
      <c r="L13" s="143"/>
      <c r="M13" s="67"/>
      <c r="N13" s="108">
        <f t="shared" si="1"/>
        <v>0</v>
      </c>
      <c r="O13" s="54"/>
      <c r="P13" s="7"/>
      <c r="Q13" s="144" t="str">
        <f t="shared" si="2"/>
        <v/>
      </c>
      <c r="R13" s="115" t="str">
        <f t="shared" si="3"/>
        <v/>
      </c>
      <c r="S13" s="54" cm="1">
        <f t="array" ref="S13">B13*MainEntryFee()+G13*MPool1Fee()+H13*MPool2Fee()+I13*MPool3Fee()+J13*MPool4Fee()</f>
        <v>90</v>
      </c>
      <c r="T13" s="144"/>
      <c r="W13" s="1"/>
      <c r="X13" s="1"/>
      <c r="Y13" s="1"/>
      <c r="Z13" s="126"/>
      <c r="AA13" s="83"/>
      <c r="AC13" s="21"/>
    </row>
    <row r="14" spans="1:31" x14ac:dyDescent="0.25">
      <c r="A14" s="7"/>
      <c r="B14" s="94">
        <v>1</v>
      </c>
      <c r="C14" s="105"/>
      <c r="D14" s="145" t="s">
        <v>96</v>
      </c>
      <c r="E14" s="145" t="s">
        <v>97</v>
      </c>
      <c r="F14" s="114" t="s">
        <v>98</v>
      </c>
      <c r="G14" s="106">
        <v>1</v>
      </c>
      <c r="H14" s="106"/>
      <c r="I14" s="106"/>
      <c r="J14" s="106"/>
      <c r="K14" s="106"/>
      <c r="L14" s="143"/>
      <c r="M14" s="108"/>
      <c r="N14" s="108">
        <f t="shared" si="1"/>
        <v>0</v>
      </c>
      <c r="O14" s="54"/>
      <c r="P14" s="7"/>
      <c r="Q14" s="144" t="str">
        <f t="shared" si="2"/>
        <v/>
      </c>
      <c r="R14" s="115" t="str">
        <f t="shared" si="3"/>
        <v/>
      </c>
      <c r="S14" s="54" cm="1">
        <f t="array" ref="S14">B14*MainEntryFee()+G14*MPool1Fee()+H14*MPool2Fee()+I14*MPool3Fee()+J14*MPool4Fee()</f>
        <v>80</v>
      </c>
      <c r="T14" s="144"/>
      <c r="W14" s="1"/>
      <c r="X14" s="1"/>
      <c r="Y14" s="1"/>
      <c r="Z14" s="126"/>
      <c r="AA14" s="83"/>
      <c r="AC14" s="21"/>
    </row>
    <row r="15" spans="1:31" x14ac:dyDescent="0.25">
      <c r="A15" s="7"/>
      <c r="B15" s="106">
        <v>1</v>
      </c>
      <c r="C15" s="105"/>
      <c r="D15" s="145" t="s">
        <v>99</v>
      </c>
      <c r="E15" s="145" t="s">
        <v>100</v>
      </c>
      <c r="F15" s="114" t="s">
        <v>101</v>
      </c>
      <c r="G15" s="106">
        <v>1</v>
      </c>
      <c r="H15" s="106">
        <v>1</v>
      </c>
      <c r="I15" s="106">
        <v>1</v>
      </c>
      <c r="J15" s="106">
        <v>1</v>
      </c>
      <c r="K15" s="106"/>
      <c r="L15" s="143"/>
      <c r="M15" s="167"/>
      <c r="N15" s="108">
        <f t="shared" si="1"/>
        <v>0</v>
      </c>
      <c r="O15" s="54"/>
      <c r="P15" s="7"/>
      <c r="Q15" s="144" t="str">
        <f t="shared" si="2"/>
        <v/>
      </c>
      <c r="R15" s="115" t="str">
        <f t="shared" si="3"/>
        <v/>
      </c>
      <c r="S15" s="54" cm="1">
        <f t="array" ref="S15">B15*MainEntryFee()+G15*MPool1Fee()+H15*MPool2Fee()+I15*MPool3Fee()+J15*MPool4Fee()</f>
        <v>160</v>
      </c>
      <c r="T15" s="144"/>
      <c r="W15" s="1"/>
      <c r="X15" s="1"/>
      <c r="Y15" s="1"/>
      <c r="Z15" s="126"/>
      <c r="AA15" s="83"/>
    </row>
    <row r="16" spans="1:31" x14ac:dyDescent="0.25">
      <c r="A16" s="7"/>
      <c r="B16" s="106">
        <v>1</v>
      </c>
      <c r="C16" s="105"/>
      <c r="D16" s="145" t="s">
        <v>102</v>
      </c>
      <c r="E16" s="145" t="s">
        <v>103</v>
      </c>
      <c r="F16" s="114" t="s">
        <v>104</v>
      </c>
      <c r="G16" s="106">
        <v>1</v>
      </c>
      <c r="H16" s="106">
        <v>1</v>
      </c>
      <c r="I16" s="106">
        <v>1</v>
      </c>
      <c r="J16" s="106">
        <v>1</v>
      </c>
      <c r="K16" s="106">
        <v>1</v>
      </c>
      <c r="L16" s="143"/>
      <c r="M16" s="108"/>
      <c r="N16" s="108">
        <f t="shared" si="1"/>
        <v>0</v>
      </c>
      <c r="O16" s="54"/>
      <c r="P16" s="7"/>
      <c r="Q16" s="144" t="str">
        <f t="shared" si="2"/>
        <v/>
      </c>
      <c r="R16" s="115" t="str">
        <f t="shared" si="3"/>
        <v/>
      </c>
      <c r="S16" s="54" cm="1">
        <f t="array" ref="S16">B16*MainEntryFee()+G16*MPool1Fee()+H16*MPool2Fee()+I16*MPool3Fee()+J16*MPool4Fee()</f>
        <v>160</v>
      </c>
      <c r="T16" s="144"/>
      <c r="W16" s="1"/>
      <c r="X16" s="1"/>
      <c r="Y16" s="1"/>
      <c r="Z16" s="126"/>
      <c r="AA16" s="83"/>
      <c r="AB16" s="1"/>
      <c r="AC16" s="2"/>
      <c r="AD16" s="86"/>
    </row>
    <row r="17" spans="1:30" x14ac:dyDescent="0.25">
      <c r="A17" s="7"/>
      <c r="B17" s="106">
        <v>1</v>
      </c>
      <c r="C17" s="105"/>
      <c r="D17" s="145" t="s">
        <v>105</v>
      </c>
      <c r="E17" s="145" t="s">
        <v>106</v>
      </c>
      <c r="F17" s="114" t="s">
        <v>107</v>
      </c>
      <c r="G17" s="106">
        <v>1</v>
      </c>
      <c r="H17" s="106"/>
      <c r="I17" s="106"/>
      <c r="J17" s="106"/>
      <c r="K17" s="106"/>
      <c r="L17" s="166"/>
      <c r="M17" s="108"/>
      <c r="N17" s="108">
        <f t="shared" si="1"/>
        <v>0</v>
      </c>
      <c r="O17" s="54"/>
      <c r="P17" s="7"/>
      <c r="Q17" s="144" t="str">
        <f t="shared" si="2"/>
        <v/>
      </c>
      <c r="R17" s="115" t="str">
        <f t="shared" si="3"/>
        <v/>
      </c>
      <c r="S17" s="54" cm="1">
        <f t="array" ref="S17">B17*MainEntryFee()+G17*MPool1Fee()+H17*MPool2Fee()+I17*MPool3Fee()+J17*MPool4Fee()</f>
        <v>80</v>
      </c>
      <c r="T17" s="144"/>
      <c r="W17" s="1"/>
      <c r="X17" s="1"/>
      <c r="Y17" s="1"/>
      <c r="Z17" s="126"/>
      <c r="AA17" s="83"/>
      <c r="AC17" s="2"/>
      <c r="AD17" s="32"/>
    </row>
    <row r="18" spans="1:30" x14ac:dyDescent="0.25">
      <c r="A18" s="7"/>
      <c r="B18" s="94">
        <v>1</v>
      </c>
      <c r="C18" s="105"/>
      <c r="D18" s="145" t="s">
        <v>108</v>
      </c>
      <c r="E18" s="145" t="s">
        <v>109</v>
      </c>
      <c r="F18" s="111" t="s">
        <v>110</v>
      </c>
      <c r="G18" s="94">
        <v>1</v>
      </c>
      <c r="H18" s="105"/>
      <c r="I18" s="105"/>
      <c r="J18" s="105"/>
      <c r="K18" s="105"/>
      <c r="L18" s="143"/>
      <c r="M18" s="67"/>
      <c r="N18" s="108">
        <f t="shared" si="1"/>
        <v>0</v>
      </c>
      <c r="O18" s="54"/>
      <c r="P18" s="7"/>
      <c r="Q18" s="144" t="str">
        <f t="shared" si="2"/>
        <v/>
      </c>
      <c r="R18" s="115" t="str">
        <f t="shared" si="3"/>
        <v/>
      </c>
      <c r="S18" s="54" cm="1">
        <f t="array" ref="S18">B18*MainEntryFee()+G18*MPool1Fee()+H18*MPool2Fee()+I18*MPool3Fee()+J18*MPool4Fee()</f>
        <v>80</v>
      </c>
      <c r="T18" s="144"/>
      <c r="W18" s="1"/>
      <c r="X18" s="1"/>
      <c r="Y18" s="1"/>
      <c r="Z18" s="126"/>
      <c r="AA18" s="127"/>
      <c r="AB18" s="14"/>
      <c r="AC18" s="17"/>
      <c r="AD18" s="86"/>
    </row>
    <row r="19" spans="1:30" x14ac:dyDescent="0.25">
      <c r="A19" s="7"/>
      <c r="B19" s="106">
        <v>1</v>
      </c>
      <c r="C19" s="105"/>
      <c r="D19" s="145" t="s">
        <v>111</v>
      </c>
      <c r="E19" s="145" t="s">
        <v>112</v>
      </c>
      <c r="F19" s="114" t="s">
        <v>113</v>
      </c>
      <c r="G19" s="106">
        <v>1</v>
      </c>
      <c r="H19" s="106"/>
      <c r="I19" s="106"/>
      <c r="J19" s="106"/>
      <c r="K19" s="106"/>
      <c r="L19" s="143"/>
      <c r="M19" s="108"/>
      <c r="N19" s="108">
        <f t="shared" si="1"/>
        <v>0</v>
      </c>
      <c r="O19" s="54"/>
      <c r="P19" s="7"/>
      <c r="Q19" s="144" t="str">
        <f t="shared" si="2"/>
        <v/>
      </c>
      <c r="R19" s="115" t="str">
        <f t="shared" si="3"/>
        <v/>
      </c>
      <c r="S19" s="54" cm="1">
        <f t="array" ref="S19">B19*MainEntryFee()+G19*MPool1Fee()+H19*MPool2Fee()+I19*MPool3Fee()+J19*MPool4Fee()</f>
        <v>80</v>
      </c>
      <c r="T19" s="144"/>
      <c r="W19" s="1"/>
      <c r="X19" s="1"/>
      <c r="Y19" s="1"/>
      <c r="Z19" s="126"/>
      <c r="AA19" s="83"/>
    </row>
    <row r="20" spans="1:30" x14ac:dyDescent="0.25">
      <c r="A20" s="7"/>
      <c r="B20" s="106">
        <v>1</v>
      </c>
      <c r="C20" s="105"/>
      <c r="D20" s="145" t="s">
        <v>114</v>
      </c>
      <c r="E20" s="145" t="s">
        <v>115</v>
      </c>
      <c r="F20" s="111" t="s">
        <v>116</v>
      </c>
      <c r="G20" s="94">
        <v>1</v>
      </c>
      <c r="H20" s="105">
        <v>1</v>
      </c>
      <c r="I20" s="105">
        <v>1</v>
      </c>
      <c r="J20" s="105">
        <v>1</v>
      </c>
      <c r="K20" s="105">
        <v>1</v>
      </c>
      <c r="L20" s="166"/>
      <c r="M20" s="67"/>
      <c r="N20" s="108">
        <f t="shared" si="1"/>
        <v>0</v>
      </c>
      <c r="O20" s="54"/>
      <c r="P20" s="7"/>
      <c r="Q20" s="144" t="str">
        <f t="shared" si="2"/>
        <v/>
      </c>
      <c r="R20" s="115" t="str">
        <f t="shared" si="3"/>
        <v/>
      </c>
      <c r="S20" s="54" cm="1">
        <f t="array" ref="S20">B20*MainEntryFee()+G20*MPool1Fee()+H20*MPool2Fee()+I20*MPool3Fee()+J20*MPool4Fee()</f>
        <v>160</v>
      </c>
      <c r="T20" s="144"/>
      <c r="W20" s="1"/>
      <c r="X20" s="1"/>
      <c r="Y20" s="1"/>
      <c r="Z20" s="126"/>
      <c r="AA20" s="83"/>
      <c r="AC20" s="21"/>
    </row>
    <row r="21" spans="1:30" x14ac:dyDescent="0.25">
      <c r="A21" s="7"/>
      <c r="B21" s="106">
        <v>1</v>
      </c>
      <c r="C21" s="105"/>
      <c r="D21" s="145" t="s">
        <v>117</v>
      </c>
      <c r="E21" s="145" t="s">
        <v>112</v>
      </c>
      <c r="F21" s="114" t="s">
        <v>118</v>
      </c>
      <c r="G21" s="106">
        <v>1</v>
      </c>
      <c r="H21" s="106"/>
      <c r="I21" s="106"/>
      <c r="J21" s="106"/>
      <c r="K21" s="106"/>
      <c r="L21" s="143"/>
      <c r="M21" s="108"/>
      <c r="N21" s="108">
        <f t="shared" si="1"/>
        <v>0</v>
      </c>
      <c r="O21" s="54"/>
      <c r="P21" s="7"/>
      <c r="Q21" s="144" t="str">
        <f t="shared" si="2"/>
        <v/>
      </c>
      <c r="R21" s="115" t="str">
        <f t="shared" si="3"/>
        <v/>
      </c>
      <c r="S21" s="54" cm="1">
        <f t="array" ref="S21">B21*MainEntryFee()+G21*MPool1Fee()+H21*MPool2Fee()+I21*MPool3Fee()+J21*MPool4Fee()</f>
        <v>80</v>
      </c>
      <c r="T21" s="144"/>
      <c r="W21" s="1"/>
      <c r="X21" s="1"/>
      <c r="Y21" s="1"/>
      <c r="Z21" s="126"/>
      <c r="AA21" s="83"/>
      <c r="AC21" s="21"/>
    </row>
    <row r="22" spans="1:30" x14ac:dyDescent="0.25">
      <c r="A22" s="7"/>
      <c r="B22" s="94">
        <v>1</v>
      </c>
      <c r="C22" s="105"/>
      <c r="D22" s="145" t="s">
        <v>119</v>
      </c>
      <c r="E22" s="145" t="s">
        <v>120</v>
      </c>
      <c r="F22" s="111" t="s">
        <v>121</v>
      </c>
      <c r="G22" s="106"/>
      <c r="H22" s="106"/>
      <c r="I22" s="106"/>
      <c r="J22" s="106"/>
      <c r="K22" s="106"/>
      <c r="L22" s="143"/>
      <c r="M22" s="108"/>
      <c r="N22" s="108">
        <f t="shared" si="1"/>
        <v>0</v>
      </c>
      <c r="O22" s="54"/>
      <c r="P22" s="7"/>
      <c r="Q22" s="144" t="str">
        <f t="shared" si="2"/>
        <v/>
      </c>
      <c r="R22" s="115" t="str">
        <f t="shared" si="3"/>
        <v/>
      </c>
      <c r="S22" s="54" cm="1">
        <f t="array" ref="S22">B22*MainEntryFee()+G22*MPool1Fee()+H22*MPool2Fee()+I22*MPool3Fee()+J22*MPool4Fee()</f>
        <v>70</v>
      </c>
      <c r="T22" s="144"/>
      <c r="W22" s="1"/>
      <c r="X22" s="1"/>
      <c r="Y22" s="1"/>
      <c r="Z22" s="126"/>
      <c r="AA22" s="83"/>
      <c r="AC22" s="21"/>
    </row>
    <row r="23" spans="1:30" x14ac:dyDescent="0.25">
      <c r="A23" s="7"/>
      <c r="B23" s="106">
        <v>1</v>
      </c>
      <c r="C23" s="105"/>
      <c r="D23" s="145" t="s">
        <v>122</v>
      </c>
      <c r="E23" s="145" t="s">
        <v>123</v>
      </c>
      <c r="F23" s="114" t="s">
        <v>124</v>
      </c>
      <c r="G23" s="106">
        <v>1</v>
      </c>
      <c r="H23" s="106">
        <v>1</v>
      </c>
      <c r="I23" s="106"/>
      <c r="J23" s="106"/>
      <c r="K23" s="106"/>
      <c r="L23" s="143"/>
      <c r="M23" s="108"/>
      <c r="N23" s="108">
        <f t="shared" si="1"/>
        <v>0</v>
      </c>
      <c r="O23" s="54"/>
      <c r="P23" s="7"/>
      <c r="Q23" s="144" t="str">
        <f t="shared" si="2"/>
        <v/>
      </c>
      <c r="R23" s="115" t="str">
        <f t="shared" si="3"/>
        <v/>
      </c>
      <c r="S23" s="54" cm="1">
        <f t="array" ref="S23">B23*MainEntryFee()+G23*MPool1Fee()+H23*MPool2Fee()+I23*MPool3Fee()+J23*MPool4Fee()</f>
        <v>90</v>
      </c>
      <c r="T23" s="144"/>
      <c r="W23" s="1"/>
      <c r="X23" s="1"/>
      <c r="Y23" s="1"/>
      <c r="Z23" s="126"/>
      <c r="AA23" s="83"/>
      <c r="AC23" s="21"/>
    </row>
    <row r="24" spans="1:30" x14ac:dyDescent="0.25">
      <c r="A24" s="7"/>
      <c r="B24" s="106">
        <v>1</v>
      </c>
      <c r="C24" s="105"/>
      <c r="D24" s="145" t="s">
        <v>125</v>
      </c>
      <c r="E24" s="145" t="s">
        <v>94</v>
      </c>
      <c r="F24" s="114" t="s">
        <v>126</v>
      </c>
      <c r="G24" s="106">
        <v>1</v>
      </c>
      <c r="H24" s="106">
        <v>1</v>
      </c>
      <c r="I24" s="106">
        <v>1</v>
      </c>
      <c r="J24" s="106"/>
      <c r="K24" s="106"/>
      <c r="L24" s="143"/>
      <c r="M24" s="108"/>
      <c r="N24" s="108">
        <f t="shared" si="1"/>
        <v>0</v>
      </c>
      <c r="O24" s="54"/>
      <c r="P24" s="7"/>
      <c r="Q24" s="144" t="str">
        <f t="shared" si="2"/>
        <v/>
      </c>
      <c r="R24" s="115" t="str">
        <f t="shared" si="3"/>
        <v/>
      </c>
      <c r="S24" s="54" cm="1">
        <f t="array" ref="S24">B24*MainEntryFee()+G24*MPool1Fee()+H24*MPool2Fee()+I24*MPool3Fee()+J24*MPool4Fee()</f>
        <v>110</v>
      </c>
      <c r="T24" s="144"/>
      <c r="W24" s="1"/>
      <c r="X24" s="1"/>
      <c r="Y24" s="1"/>
      <c r="Z24" s="126"/>
      <c r="AA24" s="83"/>
      <c r="AC24" s="21"/>
    </row>
    <row r="25" spans="1:30" x14ac:dyDescent="0.25">
      <c r="A25" s="7"/>
      <c r="B25" s="106">
        <v>1</v>
      </c>
      <c r="C25" s="105"/>
      <c r="D25" s="145" t="s">
        <v>127</v>
      </c>
      <c r="E25" s="145" t="s">
        <v>112</v>
      </c>
      <c r="F25" s="111" t="s">
        <v>128</v>
      </c>
      <c r="G25" s="94">
        <v>1</v>
      </c>
      <c r="H25" s="105"/>
      <c r="I25" s="105">
        <v>1</v>
      </c>
      <c r="J25" s="105"/>
      <c r="K25" s="105"/>
      <c r="L25" s="143"/>
      <c r="M25" s="67">
        <v>1</v>
      </c>
      <c r="N25" s="108">
        <f t="shared" si="1"/>
        <v>100</v>
      </c>
      <c r="O25" s="54"/>
      <c r="P25" s="7"/>
      <c r="Q25" s="144" t="str">
        <f t="shared" si="2"/>
        <v/>
      </c>
      <c r="R25" s="115">
        <f t="shared" si="3"/>
        <v>100</v>
      </c>
      <c r="S25" s="54" cm="1">
        <f t="array" ref="S25">B25*MainEntryFee()+G25*MPool1Fee()+H25*MPool2Fee()+I25*MPool3Fee()+J25*MPool4Fee()</f>
        <v>100</v>
      </c>
      <c r="T25" s="144"/>
      <c r="W25" s="1"/>
      <c r="X25" s="1"/>
      <c r="Y25" s="1"/>
      <c r="Z25" s="126"/>
      <c r="AA25" s="83"/>
      <c r="AC25" s="21"/>
    </row>
    <row r="26" spans="1:30" x14ac:dyDescent="0.25">
      <c r="A26" s="7"/>
      <c r="B26" s="94">
        <v>1</v>
      </c>
      <c r="C26" s="105"/>
      <c r="D26" s="145" t="s">
        <v>129</v>
      </c>
      <c r="E26" s="145" t="s">
        <v>130</v>
      </c>
      <c r="F26" s="114" t="s">
        <v>131</v>
      </c>
      <c r="G26" s="94">
        <v>1</v>
      </c>
      <c r="H26" s="105">
        <v>1</v>
      </c>
      <c r="I26" s="105">
        <v>1</v>
      </c>
      <c r="J26" s="105">
        <v>1</v>
      </c>
      <c r="K26" s="105">
        <v>1</v>
      </c>
      <c r="L26" s="166"/>
      <c r="M26" s="67">
        <v>1</v>
      </c>
      <c r="N26" s="108">
        <f t="shared" si="1"/>
        <v>160</v>
      </c>
      <c r="O26" s="54"/>
      <c r="P26" s="7"/>
      <c r="Q26" s="144" t="str">
        <f t="shared" si="2"/>
        <v/>
      </c>
      <c r="R26" s="115">
        <f t="shared" si="3"/>
        <v>160</v>
      </c>
      <c r="S26" s="54" cm="1">
        <f t="array" ref="S26">B26*MainEntryFee()+G26*MPool1Fee()+H26*MPool2Fee()+I26*MPool3Fee()+J26*MPool4Fee()</f>
        <v>160</v>
      </c>
      <c r="T26" s="144"/>
      <c r="W26" s="1"/>
      <c r="X26" s="1"/>
      <c r="Y26" s="1"/>
      <c r="Z26" s="126"/>
      <c r="AA26" s="83"/>
      <c r="AC26" s="21"/>
    </row>
    <row r="27" spans="1:30" x14ac:dyDescent="0.25">
      <c r="A27" s="7"/>
      <c r="B27" s="106">
        <v>1</v>
      </c>
      <c r="C27" s="105"/>
      <c r="D27" s="145" t="s">
        <v>132</v>
      </c>
      <c r="E27" s="145" t="s">
        <v>120</v>
      </c>
      <c r="F27" s="114" t="s">
        <v>133</v>
      </c>
      <c r="G27" s="106">
        <v>1</v>
      </c>
      <c r="H27" s="106">
        <v>1</v>
      </c>
      <c r="I27" s="106">
        <v>1</v>
      </c>
      <c r="J27" s="106">
        <v>1</v>
      </c>
      <c r="K27" s="106">
        <v>1</v>
      </c>
      <c r="L27" s="143"/>
      <c r="M27" s="108"/>
      <c r="N27" s="108">
        <f t="shared" si="1"/>
        <v>0</v>
      </c>
      <c r="O27" s="54"/>
      <c r="P27" s="7"/>
      <c r="Q27" s="144" t="str">
        <f t="shared" si="2"/>
        <v/>
      </c>
      <c r="R27" s="115" t="str">
        <f t="shared" si="3"/>
        <v/>
      </c>
      <c r="S27" s="54" cm="1">
        <f t="array" ref="S27">B27*MainEntryFee()+G27*MPool1Fee()+H27*MPool2Fee()+I27*MPool3Fee()+J27*MPool4Fee()</f>
        <v>160</v>
      </c>
      <c r="T27" s="144"/>
      <c r="W27" s="1"/>
      <c r="X27" s="1"/>
      <c r="Y27" s="1"/>
      <c r="Z27" s="126"/>
      <c r="AA27" s="83"/>
      <c r="AC27" s="21"/>
    </row>
    <row r="28" spans="1:30" x14ac:dyDescent="0.25">
      <c r="A28" s="7"/>
      <c r="B28" s="94">
        <v>1</v>
      </c>
      <c r="C28" s="105"/>
      <c r="D28" s="145" t="s">
        <v>134</v>
      </c>
      <c r="E28" s="145" t="s">
        <v>135</v>
      </c>
      <c r="F28" s="114" t="s">
        <v>136</v>
      </c>
      <c r="G28" s="94">
        <v>1</v>
      </c>
      <c r="H28" s="105"/>
      <c r="I28" s="105"/>
      <c r="J28" s="105"/>
      <c r="K28" s="105"/>
      <c r="L28" s="143"/>
      <c r="M28" s="67"/>
      <c r="N28" s="108">
        <f t="shared" si="1"/>
        <v>0</v>
      </c>
      <c r="O28" s="54"/>
      <c r="P28" s="7"/>
      <c r="Q28" s="144" t="str">
        <f t="shared" si="2"/>
        <v/>
      </c>
      <c r="R28" s="115" t="str">
        <f t="shared" si="3"/>
        <v/>
      </c>
      <c r="S28" s="54" cm="1">
        <f t="array" ref="S28">B28*MainEntryFee()+G28*MPool1Fee()+H28*MPool2Fee()+I28*MPool3Fee()+J28*MPool4Fee()</f>
        <v>80</v>
      </c>
      <c r="T28" s="144"/>
      <c r="W28" s="1"/>
      <c r="X28" s="1"/>
      <c r="Y28" s="1"/>
      <c r="Z28" s="126"/>
      <c r="AA28" s="83"/>
      <c r="AC28" s="21"/>
    </row>
    <row r="29" spans="1:30" x14ac:dyDescent="0.25">
      <c r="A29" s="7"/>
      <c r="B29" s="106">
        <v>1</v>
      </c>
      <c r="C29" s="105"/>
      <c r="D29" s="145" t="s">
        <v>137</v>
      </c>
      <c r="E29" s="145" t="s">
        <v>138</v>
      </c>
      <c r="F29" s="111" t="s">
        <v>139</v>
      </c>
      <c r="G29" s="106">
        <v>1</v>
      </c>
      <c r="H29" s="106">
        <v>1</v>
      </c>
      <c r="I29" s="106">
        <v>1</v>
      </c>
      <c r="J29" s="106">
        <v>1</v>
      </c>
      <c r="K29" s="106">
        <v>1</v>
      </c>
      <c r="L29" s="143"/>
      <c r="M29" s="108">
        <v>1</v>
      </c>
      <c r="N29" s="108">
        <f t="shared" si="1"/>
        <v>160</v>
      </c>
      <c r="O29" s="54"/>
      <c r="P29" s="7"/>
      <c r="Q29" s="144" t="str">
        <f t="shared" si="2"/>
        <v/>
      </c>
      <c r="R29" s="115">
        <f t="shared" si="3"/>
        <v>160</v>
      </c>
      <c r="S29" s="54" cm="1">
        <f t="array" ref="S29">B29*MainEntryFee()+G29*MPool1Fee()+H29*MPool2Fee()+I29*MPool3Fee()+J29*MPool4Fee()</f>
        <v>160</v>
      </c>
      <c r="T29" s="144"/>
      <c r="W29" s="1"/>
      <c r="X29" s="1"/>
      <c r="Y29" s="1"/>
      <c r="Z29" s="126"/>
      <c r="AA29" s="127"/>
      <c r="AC29" s="21"/>
    </row>
    <row r="30" spans="1:30" x14ac:dyDescent="0.25">
      <c r="A30" s="7"/>
      <c r="B30" s="106">
        <v>1</v>
      </c>
      <c r="C30" s="105"/>
      <c r="D30" s="145" t="s">
        <v>140</v>
      </c>
      <c r="E30" s="145" t="s">
        <v>141</v>
      </c>
      <c r="F30" s="111" t="s">
        <v>142</v>
      </c>
      <c r="G30" s="94">
        <v>1</v>
      </c>
      <c r="H30" s="105">
        <v>1</v>
      </c>
      <c r="I30" s="105">
        <v>1</v>
      </c>
      <c r="J30" s="105"/>
      <c r="K30" s="105">
        <v>1</v>
      </c>
      <c r="L30" s="166"/>
      <c r="M30" s="67"/>
      <c r="N30" s="108">
        <f t="shared" si="1"/>
        <v>0</v>
      </c>
      <c r="O30" s="54"/>
      <c r="P30" s="7"/>
      <c r="Q30" s="144" t="str">
        <f t="shared" si="2"/>
        <v/>
      </c>
      <c r="R30" s="115" t="str">
        <f t="shared" si="3"/>
        <v/>
      </c>
      <c r="S30" s="54" cm="1">
        <f t="array" ref="S30">B30*MainEntryFee()+G30*MPool1Fee()+H30*MPool2Fee()+I30*MPool3Fee()+J30*MPool4Fee()</f>
        <v>110</v>
      </c>
      <c r="T30" s="144"/>
      <c r="W30" s="1"/>
      <c r="X30" s="1"/>
      <c r="Y30" s="1"/>
      <c r="Z30" s="126"/>
      <c r="AA30" s="127"/>
      <c r="AC30" s="21"/>
    </row>
    <row r="31" spans="1:30" x14ac:dyDescent="0.25">
      <c r="A31" s="7"/>
      <c r="B31" s="106">
        <v>1</v>
      </c>
      <c r="C31" s="105"/>
      <c r="D31" s="145" t="s">
        <v>143</v>
      </c>
      <c r="E31" s="145" t="s">
        <v>144</v>
      </c>
      <c r="F31" s="104" t="s">
        <v>145</v>
      </c>
      <c r="G31" s="106">
        <v>1</v>
      </c>
      <c r="H31" s="106"/>
      <c r="I31" s="106"/>
      <c r="J31" s="106"/>
      <c r="K31" s="106"/>
      <c r="L31" s="166"/>
      <c r="M31" s="108"/>
      <c r="N31" s="108">
        <f t="shared" si="1"/>
        <v>0</v>
      </c>
      <c r="O31" s="54"/>
      <c r="P31" s="7"/>
      <c r="Q31" s="144" t="str">
        <f t="shared" si="2"/>
        <v/>
      </c>
      <c r="R31" s="115" t="str">
        <f t="shared" si="3"/>
        <v/>
      </c>
      <c r="S31" s="54" cm="1">
        <f t="array" ref="S31">B31*MainEntryFee()+G31*MPool1Fee()+H31*MPool2Fee()+I31*MPool3Fee()+J31*MPool4Fee()</f>
        <v>80</v>
      </c>
      <c r="T31" s="144"/>
      <c r="W31" s="1"/>
      <c r="X31" s="1"/>
      <c r="Y31" s="1"/>
      <c r="Z31" s="126"/>
      <c r="AA31" s="83"/>
      <c r="AC31" s="21"/>
    </row>
    <row r="32" spans="1:30" x14ac:dyDescent="0.25">
      <c r="A32" s="7"/>
      <c r="B32" s="106">
        <v>1</v>
      </c>
      <c r="C32" s="105"/>
      <c r="D32" s="145" t="s">
        <v>146</v>
      </c>
      <c r="E32" s="145" t="s">
        <v>147</v>
      </c>
      <c r="F32" s="114" t="s">
        <v>148</v>
      </c>
      <c r="G32" s="106">
        <v>1</v>
      </c>
      <c r="H32" s="106">
        <v>1</v>
      </c>
      <c r="I32" s="106">
        <v>1</v>
      </c>
      <c r="J32" s="106"/>
      <c r="K32" s="106"/>
      <c r="L32" s="143"/>
      <c r="M32" s="108"/>
      <c r="N32" s="108">
        <f t="shared" si="1"/>
        <v>0</v>
      </c>
      <c r="O32" s="54"/>
      <c r="P32" s="7"/>
      <c r="Q32" s="144" t="str">
        <f t="shared" si="2"/>
        <v/>
      </c>
      <c r="R32" s="115" t="str">
        <f t="shared" si="3"/>
        <v/>
      </c>
      <c r="S32" s="54" cm="1">
        <f t="array" ref="S32">B32*MainEntryFee()+G32*MPool1Fee()+H32*MPool2Fee()+I32*MPool3Fee()+J32*MPool4Fee()</f>
        <v>110</v>
      </c>
      <c r="T32" s="144"/>
      <c r="W32" s="1"/>
      <c r="X32" s="1"/>
      <c r="Y32" s="1"/>
      <c r="Z32" s="126"/>
      <c r="AA32" s="127"/>
      <c r="AC32" s="21"/>
    </row>
    <row r="33" spans="1:29" x14ac:dyDescent="0.25">
      <c r="A33" s="7"/>
      <c r="B33" s="94">
        <v>1</v>
      </c>
      <c r="C33" s="105"/>
      <c r="D33" s="145" t="s">
        <v>149</v>
      </c>
      <c r="E33" s="145" t="s">
        <v>144</v>
      </c>
      <c r="F33" s="114" t="s">
        <v>150</v>
      </c>
      <c r="G33" s="106">
        <v>1</v>
      </c>
      <c r="H33" s="106"/>
      <c r="I33" s="106"/>
      <c r="J33" s="106"/>
      <c r="K33" s="106"/>
      <c r="L33" s="143"/>
      <c r="M33" s="108"/>
      <c r="N33" s="108">
        <f t="shared" si="1"/>
        <v>0</v>
      </c>
      <c r="O33" s="54"/>
      <c r="P33" s="7"/>
      <c r="Q33" s="144" t="str">
        <f t="shared" si="2"/>
        <v/>
      </c>
      <c r="R33" s="115" t="str">
        <f t="shared" si="3"/>
        <v/>
      </c>
      <c r="S33" s="54" cm="1">
        <f t="array" ref="S33">B33*MainEntryFee()+G33*MPool1Fee()+H33*MPool2Fee()+I33*MPool3Fee()+J33*MPool4Fee()</f>
        <v>80</v>
      </c>
      <c r="T33" s="144">
        <v>1</v>
      </c>
      <c r="W33" s="1"/>
      <c r="X33" s="1"/>
      <c r="Y33" s="1"/>
      <c r="Z33" s="126"/>
      <c r="AA33" s="127"/>
      <c r="AC33" s="21"/>
    </row>
    <row r="34" spans="1:29" x14ac:dyDescent="0.25">
      <c r="A34" s="7"/>
      <c r="B34" s="106">
        <v>1</v>
      </c>
      <c r="C34" s="105"/>
      <c r="D34" s="145" t="s">
        <v>151</v>
      </c>
      <c r="E34" s="145" t="s">
        <v>152</v>
      </c>
      <c r="F34" s="111" t="s">
        <v>153</v>
      </c>
      <c r="G34" s="105"/>
      <c r="H34" s="105"/>
      <c r="I34" s="105"/>
      <c r="J34" s="105"/>
      <c r="K34" s="105">
        <v>1</v>
      </c>
      <c r="L34" s="143"/>
      <c r="M34" s="67"/>
      <c r="N34" s="108">
        <f t="shared" si="1"/>
        <v>0</v>
      </c>
      <c r="O34" s="54"/>
      <c r="P34" s="7"/>
      <c r="Q34" s="144" t="str">
        <f t="shared" si="2"/>
        <v/>
      </c>
      <c r="R34" s="115" t="str">
        <f t="shared" si="3"/>
        <v/>
      </c>
      <c r="S34" s="54" cm="1">
        <f t="array" ref="S34">B34*MainEntryFee()+G34*MPool1Fee()+H34*MPool2Fee()+I34*MPool3Fee()+J34*MPool4Fee()</f>
        <v>70</v>
      </c>
      <c r="T34" s="144"/>
      <c r="W34" s="1"/>
      <c r="X34" s="1"/>
      <c r="Y34" s="1"/>
      <c r="Z34" s="126"/>
      <c r="AA34" s="127"/>
      <c r="AC34" s="21"/>
    </row>
    <row r="35" spans="1:29" x14ac:dyDescent="0.25">
      <c r="A35" s="7"/>
      <c r="B35" s="106">
        <v>1</v>
      </c>
      <c r="C35" s="105"/>
      <c r="D35" s="145" t="s">
        <v>154</v>
      </c>
      <c r="E35" s="145" t="s">
        <v>155</v>
      </c>
      <c r="F35" s="111" t="s">
        <v>156</v>
      </c>
      <c r="G35" s="94"/>
      <c r="H35" s="105"/>
      <c r="I35" s="105"/>
      <c r="J35" s="105"/>
      <c r="K35" s="105"/>
      <c r="L35" s="143">
        <v>1</v>
      </c>
      <c r="M35" s="67">
        <v>1</v>
      </c>
      <c r="N35" s="108">
        <f t="shared" si="1"/>
        <v>70</v>
      </c>
      <c r="O35" s="54"/>
      <c r="P35" s="7"/>
      <c r="Q35" s="144" t="str">
        <f t="shared" si="2"/>
        <v/>
      </c>
      <c r="R35" s="115">
        <f t="shared" si="3"/>
        <v>70</v>
      </c>
      <c r="S35" s="54" cm="1">
        <f t="array" ref="S35">B35*MainEntryFee()+G35*MPool1Fee()+H35*MPool2Fee()+I35*MPool3Fee()+J35*MPool4Fee()</f>
        <v>70</v>
      </c>
      <c r="T35" s="144"/>
      <c r="W35" s="1"/>
      <c r="X35" s="1"/>
      <c r="Y35" s="1"/>
      <c r="Z35" s="126"/>
      <c r="AA35" s="83"/>
      <c r="AC35" s="21"/>
    </row>
    <row r="36" spans="1:29" x14ac:dyDescent="0.25">
      <c r="A36" s="7"/>
      <c r="B36" s="106">
        <v>1</v>
      </c>
      <c r="C36" s="105"/>
      <c r="D36" s="145" t="s">
        <v>157</v>
      </c>
      <c r="E36" s="145" t="s">
        <v>158</v>
      </c>
      <c r="F36" s="114" t="s">
        <v>159</v>
      </c>
      <c r="G36" s="106">
        <v>1</v>
      </c>
      <c r="H36" s="106"/>
      <c r="I36" s="106"/>
      <c r="J36" s="106"/>
      <c r="K36" s="106">
        <v>1</v>
      </c>
      <c r="L36" s="166"/>
      <c r="M36" s="108">
        <v>1</v>
      </c>
      <c r="N36" s="108">
        <f t="shared" si="1"/>
        <v>80</v>
      </c>
      <c r="O36" s="54"/>
      <c r="P36" s="7"/>
      <c r="Q36" s="144" t="str">
        <f t="shared" si="2"/>
        <v/>
      </c>
      <c r="R36" s="115">
        <f t="shared" si="3"/>
        <v>80</v>
      </c>
      <c r="S36" s="54" cm="1">
        <f t="array" ref="S36">B36*MainEntryFee()+G36*MPool1Fee()+H36*MPool2Fee()+I36*MPool3Fee()+J36*MPool4Fee()</f>
        <v>80</v>
      </c>
      <c r="T36" s="144">
        <v>1</v>
      </c>
      <c r="W36" s="1"/>
      <c r="X36" s="1"/>
      <c r="Y36" s="1"/>
      <c r="Z36" s="126"/>
      <c r="AA36" s="83"/>
      <c r="AC36" s="21"/>
    </row>
    <row r="37" spans="1:29" x14ac:dyDescent="0.25">
      <c r="A37" s="7"/>
      <c r="B37" s="94">
        <v>1</v>
      </c>
      <c r="C37" s="105"/>
      <c r="D37" s="145" t="s">
        <v>160</v>
      </c>
      <c r="E37" s="145" t="s">
        <v>161</v>
      </c>
      <c r="F37" s="111" t="s">
        <v>162</v>
      </c>
      <c r="G37" s="94">
        <v>1</v>
      </c>
      <c r="H37" s="105"/>
      <c r="I37" s="105">
        <v>1</v>
      </c>
      <c r="J37" s="105"/>
      <c r="K37" s="105"/>
      <c r="L37" s="143"/>
      <c r="M37" s="67">
        <v>1</v>
      </c>
      <c r="N37" s="108">
        <f t="shared" si="1"/>
        <v>100</v>
      </c>
      <c r="O37" s="54"/>
      <c r="P37" s="7"/>
      <c r="Q37" s="144" t="str">
        <f t="shared" si="2"/>
        <v/>
      </c>
      <c r="R37" s="115">
        <f t="shared" si="3"/>
        <v>100</v>
      </c>
      <c r="S37" s="54" cm="1">
        <f t="array" ref="S37">B37*MainEntryFee()+G37*MPool1Fee()+H37*MPool2Fee()+I37*MPool3Fee()+J37*MPool4Fee()</f>
        <v>100</v>
      </c>
      <c r="T37" s="144"/>
      <c r="W37" s="1"/>
      <c r="X37" s="1"/>
      <c r="Y37" s="1"/>
      <c r="Z37" s="126"/>
      <c r="AA37" s="83"/>
      <c r="AC37" s="21"/>
    </row>
    <row r="38" spans="1:29" x14ac:dyDescent="0.25">
      <c r="A38" s="7"/>
      <c r="B38" s="106">
        <v>1</v>
      </c>
      <c r="C38" s="105"/>
      <c r="D38" s="145" t="s">
        <v>163</v>
      </c>
      <c r="E38" s="145" t="s">
        <v>164</v>
      </c>
      <c r="F38" s="114" t="s">
        <v>165</v>
      </c>
      <c r="G38" s="94"/>
      <c r="H38" s="105"/>
      <c r="I38" s="105"/>
      <c r="J38" s="105"/>
      <c r="K38" s="105"/>
      <c r="L38" s="143"/>
      <c r="M38" s="67"/>
      <c r="N38" s="108">
        <f t="shared" si="1"/>
        <v>0</v>
      </c>
      <c r="O38" s="54"/>
      <c r="P38" s="7"/>
      <c r="Q38" s="144" t="str">
        <f t="shared" si="2"/>
        <v/>
      </c>
      <c r="R38" s="115" t="str">
        <f t="shared" si="3"/>
        <v/>
      </c>
      <c r="S38" s="54" cm="1">
        <f t="array" ref="S38">B38*MainEntryFee()+G38*MPool1Fee()+H38*MPool2Fee()+I38*MPool3Fee()+J38*MPool4Fee()</f>
        <v>70</v>
      </c>
      <c r="T38" s="144">
        <v>1</v>
      </c>
      <c r="W38" s="1"/>
      <c r="X38" s="1"/>
      <c r="Y38" s="1"/>
      <c r="Z38" s="126"/>
      <c r="AA38" s="83"/>
      <c r="AC38" s="21"/>
    </row>
    <row r="39" spans="1:29" x14ac:dyDescent="0.25">
      <c r="A39" s="7"/>
      <c r="B39" s="106">
        <v>1</v>
      </c>
      <c r="C39" s="105"/>
      <c r="D39" s="145" t="s">
        <v>166</v>
      </c>
      <c r="E39" s="145" t="s">
        <v>120</v>
      </c>
      <c r="F39" s="111" t="s">
        <v>167</v>
      </c>
      <c r="G39" s="94">
        <v>1</v>
      </c>
      <c r="H39" s="105">
        <v>1</v>
      </c>
      <c r="I39" s="105">
        <v>1</v>
      </c>
      <c r="J39" s="105">
        <v>1</v>
      </c>
      <c r="K39" s="105"/>
      <c r="L39" s="143"/>
      <c r="M39" s="67"/>
      <c r="N39" s="108">
        <f t="shared" si="1"/>
        <v>0</v>
      </c>
      <c r="O39" s="54"/>
      <c r="P39" s="7"/>
      <c r="Q39" s="144" t="str">
        <f t="shared" si="2"/>
        <v/>
      </c>
      <c r="R39" s="115" t="str">
        <f t="shared" si="3"/>
        <v/>
      </c>
      <c r="S39" s="54" cm="1">
        <f t="array" ref="S39">B39*MainEntryFee()+G39*MPool1Fee()+H39*MPool2Fee()+I39*MPool3Fee()+J39*MPool4Fee()</f>
        <v>160</v>
      </c>
      <c r="T39" s="144"/>
      <c r="W39" s="1"/>
      <c r="X39" s="1"/>
      <c r="Y39" s="1"/>
      <c r="Z39" s="126"/>
      <c r="AA39" s="83"/>
      <c r="AC39" s="21"/>
    </row>
    <row r="40" spans="1:29" x14ac:dyDescent="0.25">
      <c r="A40" s="7"/>
      <c r="B40" s="106">
        <v>1</v>
      </c>
      <c r="C40" s="105"/>
      <c r="D40" s="145" t="s">
        <v>168</v>
      </c>
      <c r="E40" s="145" t="s">
        <v>169</v>
      </c>
      <c r="F40" s="114" t="s">
        <v>170</v>
      </c>
      <c r="G40" s="106">
        <v>1</v>
      </c>
      <c r="H40" s="106"/>
      <c r="I40" s="106"/>
      <c r="J40" s="106"/>
      <c r="K40" s="106"/>
      <c r="L40" s="143"/>
      <c r="M40" s="108"/>
      <c r="N40" s="108">
        <f t="shared" si="1"/>
        <v>0</v>
      </c>
      <c r="O40" s="54"/>
      <c r="P40" s="7"/>
      <c r="Q40" s="144" t="str">
        <f t="shared" si="2"/>
        <v/>
      </c>
      <c r="R40" s="115" t="str">
        <f t="shared" si="3"/>
        <v/>
      </c>
      <c r="S40" s="54" cm="1">
        <f t="array" ref="S40">B40*MainEntryFee()+G40*MPool1Fee()+H40*MPool2Fee()+I40*MPool3Fee()+J40*MPool4Fee()</f>
        <v>80</v>
      </c>
      <c r="T40" s="144">
        <v>1</v>
      </c>
      <c r="W40" s="1"/>
      <c r="X40" s="1"/>
      <c r="Y40" s="1"/>
      <c r="Z40" s="126"/>
      <c r="AA40" s="83"/>
      <c r="AC40" s="21"/>
    </row>
    <row r="41" spans="1:29" x14ac:dyDescent="0.25">
      <c r="A41" s="7"/>
      <c r="B41" s="106">
        <v>1</v>
      </c>
      <c r="C41" s="105"/>
      <c r="D41" s="145" t="s">
        <v>171</v>
      </c>
      <c r="E41" s="145" t="s">
        <v>120</v>
      </c>
      <c r="F41" s="114" t="s">
        <v>172</v>
      </c>
      <c r="G41" s="106">
        <v>1</v>
      </c>
      <c r="H41" s="106">
        <v>1</v>
      </c>
      <c r="I41" s="106">
        <v>1</v>
      </c>
      <c r="J41" s="106">
        <v>1</v>
      </c>
      <c r="K41" s="106"/>
      <c r="L41" s="143"/>
      <c r="M41" s="108"/>
      <c r="N41" s="108">
        <f t="shared" si="1"/>
        <v>0</v>
      </c>
      <c r="O41" s="54"/>
      <c r="P41" s="7"/>
      <c r="Q41" s="144" t="str">
        <f t="shared" si="2"/>
        <v/>
      </c>
      <c r="R41" s="115" t="str">
        <f t="shared" si="3"/>
        <v/>
      </c>
      <c r="S41" s="54" cm="1">
        <f t="array" ref="S41">B41*MainEntryFee()+G41*MPool1Fee()+H41*MPool2Fee()+I41*MPool3Fee()+J41*MPool4Fee()</f>
        <v>160</v>
      </c>
      <c r="T41" s="144"/>
      <c r="W41" s="1"/>
      <c r="X41" s="1"/>
      <c r="Y41" s="1"/>
      <c r="Z41" s="126"/>
      <c r="AA41" s="83"/>
      <c r="AC41" s="21"/>
    </row>
    <row r="42" spans="1:29" x14ac:dyDescent="0.25">
      <c r="A42" s="7"/>
      <c r="B42" s="94">
        <v>1</v>
      </c>
      <c r="C42" s="105"/>
      <c r="D42" s="145" t="s">
        <v>173</v>
      </c>
      <c r="E42" s="145" t="s">
        <v>138</v>
      </c>
      <c r="F42" s="114" t="s">
        <v>174</v>
      </c>
      <c r="G42" s="106">
        <v>1</v>
      </c>
      <c r="H42" s="106"/>
      <c r="I42" s="106"/>
      <c r="J42" s="106"/>
      <c r="K42" s="106"/>
      <c r="L42" s="166"/>
      <c r="M42" s="108"/>
      <c r="N42" s="108">
        <f t="shared" si="1"/>
        <v>0</v>
      </c>
      <c r="O42" s="54"/>
      <c r="P42" s="7"/>
      <c r="Q42" s="144" t="str">
        <f t="shared" si="2"/>
        <v/>
      </c>
      <c r="R42" s="115" t="str">
        <f t="shared" si="3"/>
        <v/>
      </c>
      <c r="S42" s="54" cm="1">
        <f t="array" ref="S42">B42*MainEntryFee()+G42*MPool1Fee()+H42*MPool2Fee()+I42*MPool3Fee()+J42*MPool4Fee()</f>
        <v>80</v>
      </c>
      <c r="T42" s="144"/>
      <c r="W42" s="1"/>
      <c r="X42" s="1"/>
      <c r="Y42" s="1"/>
      <c r="Z42" s="126"/>
      <c r="AA42" s="83"/>
      <c r="AC42" s="21"/>
    </row>
    <row r="43" spans="1:29" x14ac:dyDescent="0.25">
      <c r="A43" s="7"/>
      <c r="B43" s="106">
        <v>1</v>
      </c>
      <c r="C43" s="105"/>
      <c r="D43" s="145" t="s">
        <v>175</v>
      </c>
      <c r="E43" s="145" t="s">
        <v>176</v>
      </c>
      <c r="F43" s="114" t="s">
        <v>177</v>
      </c>
      <c r="G43" s="106">
        <v>1</v>
      </c>
      <c r="H43" s="106"/>
      <c r="I43" s="106">
        <v>1</v>
      </c>
      <c r="J43" s="106"/>
      <c r="K43" s="106"/>
      <c r="L43" s="143">
        <v>1</v>
      </c>
      <c r="M43" s="108">
        <v>1</v>
      </c>
      <c r="N43" s="108">
        <f t="shared" si="1"/>
        <v>100</v>
      </c>
      <c r="O43" s="54"/>
      <c r="P43" s="7"/>
      <c r="Q43" s="144" t="str">
        <f t="shared" si="2"/>
        <v/>
      </c>
      <c r="R43" s="115">
        <f t="shared" si="3"/>
        <v>100</v>
      </c>
      <c r="S43" s="54" cm="1">
        <f t="array" ref="S43">B43*MainEntryFee()+G43*MPool1Fee()+H43*MPool2Fee()+I43*MPool3Fee()+J43*MPool4Fee()</f>
        <v>100</v>
      </c>
      <c r="T43" s="144"/>
      <c r="W43" s="1"/>
      <c r="X43" s="1"/>
      <c r="Y43" s="1"/>
      <c r="Z43" s="126"/>
      <c r="AA43" s="83"/>
      <c r="AC43" s="21"/>
    </row>
    <row r="44" spans="1:29" x14ac:dyDescent="0.25">
      <c r="A44" s="7"/>
      <c r="B44" s="106">
        <v>1</v>
      </c>
      <c r="C44" s="105"/>
      <c r="D44" s="145" t="s">
        <v>178</v>
      </c>
      <c r="E44" s="145" t="s">
        <v>179</v>
      </c>
      <c r="F44" s="114" t="s">
        <v>180</v>
      </c>
      <c r="G44" s="94">
        <v>1</v>
      </c>
      <c r="H44" s="105">
        <v>1</v>
      </c>
      <c r="I44" s="105">
        <v>1</v>
      </c>
      <c r="J44" s="105"/>
      <c r="K44" s="105"/>
      <c r="L44" s="143"/>
      <c r="M44" s="67"/>
      <c r="N44" s="108">
        <f t="shared" ref="N44:N71" si="4">M44*S44</f>
        <v>0</v>
      </c>
      <c r="O44" s="54"/>
      <c r="P44" s="7"/>
      <c r="Q44" s="144" t="str">
        <f t="shared" ref="Q44:Q71" si="5">IF(OR(O44="c",O44="C"),+S44,"")</f>
        <v/>
      </c>
      <c r="R44" s="115" t="str">
        <f t="shared" ref="R44:R71" si="6">IF(OR(O44="$",M44=1),+S44,"")</f>
        <v/>
      </c>
      <c r="S44" s="54" cm="1">
        <f t="array" ref="S44">B44*MainEntryFee()+G44*MPool1Fee()+H44*MPool2Fee()+I44*MPool3Fee()+J44*MPool4Fee()</f>
        <v>110</v>
      </c>
      <c r="T44" s="144">
        <v>1</v>
      </c>
      <c r="W44" s="1"/>
      <c r="X44" s="1"/>
      <c r="Y44" s="1"/>
      <c r="Z44" s="126"/>
      <c r="AA44" s="83"/>
      <c r="AC44" s="21"/>
    </row>
    <row r="45" spans="1:29" x14ac:dyDescent="0.25">
      <c r="A45" s="7"/>
      <c r="B45" s="106">
        <v>1</v>
      </c>
      <c r="C45" s="105"/>
      <c r="D45" s="145" t="s">
        <v>181</v>
      </c>
      <c r="E45" s="145" t="s">
        <v>182</v>
      </c>
      <c r="F45" s="111" t="s">
        <v>183</v>
      </c>
      <c r="G45" s="94"/>
      <c r="H45" s="105"/>
      <c r="I45" s="105"/>
      <c r="J45" s="105"/>
      <c r="K45" s="105"/>
      <c r="L45" s="143">
        <v>1</v>
      </c>
      <c r="M45" s="67"/>
      <c r="N45" s="108">
        <f t="shared" si="4"/>
        <v>0</v>
      </c>
      <c r="O45" s="54"/>
      <c r="P45" s="7"/>
      <c r="Q45" s="144" t="str">
        <f t="shared" si="5"/>
        <v/>
      </c>
      <c r="R45" s="115" t="str">
        <f t="shared" si="6"/>
        <v/>
      </c>
      <c r="S45" s="54" cm="1">
        <f t="array" ref="S45">B45*MainEntryFee()+G45*MPool1Fee()+H45*MPool2Fee()+I45*MPool3Fee()+J45*MPool4Fee()</f>
        <v>70</v>
      </c>
      <c r="T45" s="144">
        <v>1</v>
      </c>
      <c r="W45" s="1"/>
      <c r="X45" s="1"/>
      <c r="Y45" s="1"/>
      <c r="Z45" s="126"/>
      <c r="AA45" s="127"/>
      <c r="AC45" s="21"/>
    </row>
    <row r="46" spans="1:29" x14ac:dyDescent="0.25">
      <c r="A46" s="7"/>
      <c r="B46" s="94">
        <v>1</v>
      </c>
      <c r="C46" s="105"/>
      <c r="D46" s="145" t="s">
        <v>184</v>
      </c>
      <c r="E46" s="145" t="s">
        <v>120</v>
      </c>
      <c r="F46" s="114" t="s">
        <v>185</v>
      </c>
      <c r="G46" s="94">
        <v>1</v>
      </c>
      <c r="H46" s="105">
        <v>1</v>
      </c>
      <c r="I46" s="105">
        <v>1</v>
      </c>
      <c r="J46" s="105">
        <v>1</v>
      </c>
      <c r="K46" s="105">
        <v>1</v>
      </c>
      <c r="L46" s="166"/>
      <c r="M46" s="67"/>
      <c r="N46" s="108">
        <f t="shared" si="4"/>
        <v>0</v>
      </c>
      <c r="O46" s="54"/>
      <c r="P46" s="7"/>
      <c r="Q46" s="144" t="str">
        <f t="shared" si="5"/>
        <v/>
      </c>
      <c r="R46" s="115" t="str">
        <f t="shared" si="6"/>
        <v/>
      </c>
      <c r="S46" s="54" cm="1">
        <f t="array" ref="S46">B46*MainEntryFee()+G46*MPool1Fee()+H46*MPool2Fee()+I46*MPool3Fee()+J46*MPool4Fee()</f>
        <v>160</v>
      </c>
      <c r="T46" s="144">
        <v>1</v>
      </c>
      <c r="W46" s="1"/>
      <c r="X46" s="1"/>
      <c r="Y46" s="1"/>
      <c r="Z46" s="126"/>
      <c r="AA46" s="83"/>
      <c r="AC46" s="21"/>
    </row>
    <row r="47" spans="1:29" x14ac:dyDescent="0.25">
      <c r="A47" s="7"/>
      <c r="B47" s="94">
        <v>1</v>
      </c>
      <c r="C47" s="105"/>
      <c r="D47" s="145" t="s">
        <v>186</v>
      </c>
      <c r="E47" s="145" t="s">
        <v>187</v>
      </c>
      <c r="F47" s="114" t="s">
        <v>188</v>
      </c>
      <c r="G47" s="106">
        <v>1</v>
      </c>
      <c r="H47" s="106"/>
      <c r="I47" s="106"/>
      <c r="J47" s="106"/>
      <c r="K47" s="106"/>
      <c r="L47" s="166"/>
      <c r="M47" s="108"/>
      <c r="N47" s="108">
        <f t="shared" si="4"/>
        <v>0</v>
      </c>
      <c r="O47" s="54"/>
      <c r="P47" s="7"/>
      <c r="Q47" s="144" t="str">
        <f t="shared" si="5"/>
        <v/>
      </c>
      <c r="R47" s="115" t="str">
        <f t="shared" si="6"/>
        <v/>
      </c>
      <c r="S47" s="54" cm="1">
        <f t="array" ref="S47">B47*MainEntryFee()+G47*MPool1Fee()+H47*MPool2Fee()+I47*MPool3Fee()+J47*MPool4Fee()</f>
        <v>80</v>
      </c>
      <c r="T47" s="144"/>
      <c r="W47" s="1"/>
      <c r="X47" s="1"/>
      <c r="Y47" s="1"/>
      <c r="Z47" s="126"/>
      <c r="AA47" s="83"/>
      <c r="AC47" s="21"/>
    </row>
    <row r="48" spans="1:29" x14ac:dyDescent="0.25">
      <c r="A48" s="7"/>
      <c r="B48" s="94">
        <v>1</v>
      </c>
      <c r="C48" s="94"/>
      <c r="D48" s="146" t="s">
        <v>189</v>
      </c>
      <c r="E48" s="146" t="s">
        <v>120</v>
      </c>
      <c r="F48" s="114" t="s">
        <v>190</v>
      </c>
      <c r="G48" s="106">
        <v>1</v>
      </c>
      <c r="H48" s="106"/>
      <c r="I48" s="106">
        <v>1</v>
      </c>
      <c r="J48" s="106"/>
      <c r="K48" s="106"/>
      <c r="L48" s="166"/>
      <c r="M48" s="108"/>
      <c r="N48" s="108">
        <f t="shared" si="4"/>
        <v>0</v>
      </c>
      <c r="O48" s="54"/>
      <c r="P48" s="7"/>
      <c r="Q48" s="144" t="str">
        <f t="shared" si="5"/>
        <v/>
      </c>
      <c r="R48" s="115" t="str">
        <f t="shared" si="6"/>
        <v/>
      </c>
      <c r="S48" s="54" cm="1">
        <f t="array" ref="S48">B48*MainEntryFee()+G48*MPool1Fee()+H48*MPool2Fee()+I48*MPool3Fee()+J48*MPool4Fee()</f>
        <v>100</v>
      </c>
      <c r="T48" s="144"/>
      <c r="W48" s="1"/>
      <c r="X48" s="1"/>
      <c r="Y48" s="1"/>
      <c r="Z48" s="126"/>
      <c r="AA48" s="83"/>
      <c r="AC48" s="21"/>
    </row>
    <row r="49" spans="1:29" x14ac:dyDescent="0.25">
      <c r="A49" s="7"/>
      <c r="B49" s="106">
        <v>1</v>
      </c>
      <c r="C49" s="105"/>
      <c r="D49" s="145" t="s">
        <v>191</v>
      </c>
      <c r="E49" s="145" t="s">
        <v>192</v>
      </c>
      <c r="F49" s="114" t="s">
        <v>193</v>
      </c>
      <c r="G49" s="106">
        <v>1</v>
      </c>
      <c r="H49" s="106">
        <v>1</v>
      </c>
      <c r="I49" s="106">
        <v>1</v>
      </c>
      <c r="J49" s="106">
        <v>1</v>
      </c>
      <c r="K49" s="106"/>
      <c r="L49" s="166"/>
      <c r="M49" s="108"/>
      <c r="N49" s="108">
        <f t="shared" si="4"/>
        <v>0</v>
      </c>
      <c r="O49" s="54"/>
      <c r="P49" s="7"/>
      <c r="Q49" s="144" t="str">
        <f t="shared" si="5"/>
        <v/>
      </c>
      <c r="R49" s="115" t="str">
        <f t="shared" si="6"/>
        <v/>
      </c>
      <c r="S49" s="54" cm="1">
        <f t="array" ref="S49">B49*MainEntryFee()+G49*MPool1Fee()+H49*MPool2Fee()+I49*MPool3Fee()+J49*MPool4Fee()</f>
        <v>160</v>
      </c>
      <c r="T49" s="144"/>
      <c r="W49" s="1"/>
      <c r="X49" s="1"/>
      <c r="Y49" s="1"/>
      <c r="Z49" s="126"/>
      <c r="AA49" s="83"/>
      <c r="AC49" s="21"/>
    </row>
    <row r="50" spans="1:29" x14ac:dyDescent="0.25">
      <c r="A50" s="7"/>
      <c r="B50" s="106">
        <v>1</v>
      </c>
      <c r="C50" s="105"/>
      <c r="D50" s="145" t="s">
        <v>194</v>
      </c>
      <c r="E50" s="145" t="s">
        <v>195</v>
      </c>
      <c r="F50" s="111" t="s">
        <v>196</v>
      </c>
      <c r="G50" s="105">
        <v>1</v>
      </c>
      <c r="H50" s="105">
        <v>1</v>
      </c>
      <c r="I50" s="105">
        <v>1</v>
      </c>
      <c r="J50" s="105">
        <v>1</v>
      </c>
      <c r="K50" s="105">
        <v>1</v>
      </c>
      <c r="L50" s="143"/>
      <c r="M50" s="67"/>
      <c r="N50" s="108">
        <f t="shared" si="4"/>
        <v>0</v>
      </c>
      <c r="O50" s="54"/>
      <c r="P50" s="7"/>
      <c r="Q50" s="144" t="str">
        <f t="shared" si="5"/>
        <v/>
      </c>
      <c r="R50" s="115" t="str">
        <f t="shared" si="6"/>
        <v/>
      </c>
      <c r="S50" s="54" cm="1">
        <f t="array" ref="S50">B50*MainEntryFee()+G50*MPool1Fee()+H50*MPool2Fee()+I50*MPool3Fee()+J50*MPool4Fee()</f>
        <v>160</v>
      </c>
      <c r="T50" s="144"/>
      <c r="W50" s="1"/>
      <c r="X50" s="1"/>
      <c r="Y50" s="1"/>
      <c r="Z50" s="126"/>
      <c r="AA50" s="83"/>
      <c r="AC50" s="21"/>
    </row>
    <row r="51" spans="1:29" x14ac:dyDescent="0.25">
      <c r="A51" s="7"/>
      <c r="B51" s="106">
        <v>1</v>
      </c>
      <c r="C51" s="105"/>
      <c r="D51" s="145" t="s">
        <v>197</v>
      </c>
      <c r="E51" s="145"/>
      <c r="F51" s="111" t="s">
        <v>198</v>
      </c>
      <c r="G51" s="94">
        <v>1</v>
      </c>
      <c r="H51" s="105"/>
      <c r="I51" s="105"/>
      <c r="J51" s="105"/>
      <c r="K51" s="105"/>
      <c r="L51" s="143"/>
      <c r="M51" s="67"/>
      <c r="N51" s="108">
        <f t="shared" si="4"/>
        <v>0</v>
      </c>
      <c r="O51" s="54"/>
      <c r="P51" s="7"/>
      <c r="Q51" s="144" t="str">
        <f t="shared" si="5"/>
        <v/>
      </c>
      <c r="R51" s="115" t="str">
        <f t="shared" si="6"/>
        <v/>
      </c>
      <c r="S51" s="54" cm="1">
        <f t="array" ref="S51">B51*MainEntryFee()+G51*MPool1Fee()+H51*MPool2Fee()+I51*MPool3Fee()+J51*MPool4Fee()</f>
        <v>80</v>
      </c>
      <c r="T51" s="144"/>
      <c r="W51" s="1"/>
      <c r="X51" s="1"/>
      <c r="Y51" s="1"/>
      <c r="Z51" s="126"/>
      <c r="AA51" s="83"/>
      <c r="AC51" s="21"/>
    </row>
    <row r="52" spans="1:29" x14ac:dyDescent="0.25">
      <c r="A52" s="7"/>
      <c r="B52" s="94">
        <v>1</v>
      </c>
      <c r="C52" s="105"/>
      <c r="D52" s="145" t="s">
        <v>199</v>
      </c>
      <c r="E52" s="145" t="s">
        <v>200</v>
      </c>
      <c r="F52" s="114" t="s">
        <v>201</v>
      </c>
      <c r="G52" s="94">
        <v>1</v>
      </c>
      <c r="H52" s="105">
        <v>1</v>
      </c>
      <c r="I52" s="105">
        <v>1</v>
      </c>
      <c r="J52" s="105">
        <v>1</v>
      </c>
      <c r="K52" s="105">
        <v>1</v>
      </c>
      <c r="L52" s="143"/>
      <c r="M52" s="67"/>
      <c r="N52" s="108">
        <f t="shared" si="4"/>
        <v>0</v>
      </c>
      <c r="O52" s="54"/>
      <c r="P52" s="7"/>
      <c r="Q52" s="144" t="str">
        <f t="shared" si="5"/>
        <v/>
      </c>
      <c r="R52" s="115" t="str">
        <f t="shared" si="6"/>
        <v/>
      </c>
      <c r="S52" s="54" cm="1">
        <f t="array" ref="S52">B52*MainEntryFee()+G52*MPool1Fee()+H52*MPool2Fee()+I52*MPool3Fee()+J52*MPool4Fee()</f>
        <v>160</v>
      </c>
      <c r="T52" s="144"/>
      <c r="W52" s="1"/>
      <c r="X52" s="1"/>
      <c r="Y52" s="1"/>
      <c r="Z52" s="126"/>
      <c r="AA52" s="127"/>
      <c r="AC52" s="21"/>
    </row>
    <row r="53" spans="1:29" x14ac:dyDescent="0.25">
      <c r="A53" s="7"/>
      <c r="B53" s="94">
        <v>1</v>
      </c>
      <c r="C53" s="105"/>
      <c r="D53" s="145" t="s">
        <v>202</v>
      </c>
      <c r="E53" s="145" t="s">
        <v>200</v>
      </c>
      <c r="F53" s="111" t="s">
        <v>203</v>
      </c>
      <c r="G53" s="94">
        <v>1</v>
      </c>
      <c r="H53" s="105">
        <v>1</v>
      </c>
      <c r="I53" s="105">
        <v>1</v>
      </c>
      <c r="J53" s="105">
        <v>1</v>
      </c>
      <c r="K53" s="105">
        <v>1</v>
      </c>
      <c r="L53" s="143"/>
      <c r="M53" s="67"/>
      <c r="N53" s="108">
        <f t="shared" si="4"/>
        <v>0</v>
      </c>
      <c r="O53" s="54"/>
      <c r="P53" s="7"/>
      <c r="Q53" s="144" t="str">
        <f t="shared" si="5"/>
        <v/>
      </c>
      <c r="R53" s="115" t="str">
        <f t="shared" si="6"/>
        <v/>
      </c>
      <c r="S53" s="54" cm="1">
        <f t="array" ref="S53">B53*MainEntryFee()+G53*MPool1Fee()+H53*MPool2Fee()+I53*MPool3Fee()+J53*MPool4Fee()</f>
        <v>160</v>
      </c>
      <c r="T53" s="144"/>
      <c r="W53" s="1"/>
      <c r="X53" s="1"/>
      <c r="Y53" s="1"/>
      <c r="Z53" s="126"/>
      <c r="AA53" s="83"/>
      <c r="AC53" s="21"/>
    </row>
    <row r="54" spans="1:29" x14ac:dyDescent="0.25">
      <c r="A54" s="7"/>
      <c r="B54" s="106">
        <v>1</v>
      </c>
      <c r="C54" s="105"/>
      <c r="D54" s="145" t="s">
        <v>204</v>
      </c>
      <c r="E54" s="145" t="s">
        <v>169</v>
      </c>
      <c r="F54" s="114" t="s">
        <v>205</v>
      </c>
      <c r="G54" s="106">
        <v>1</v>
      </c>
      <c r="H54" s="106">
        <v>1</v>
      </c>
      <c r="I54" s="106">
        <v>1</v>
      </c>
      <c r="J54" s="106"/>
      <c r="K54" s="106"/>
      <c r="L54" s="143"/>
      <c r="M54" s="108">
        <v>1</v>
      </c>
      <c r="N54" s="108">
        <f t="shared" si="4"/>
        <v>110</v>
      </c>
      <c r="O54" s="54"/>
      <c r="P54" s="7"/>
      <c r="Q54" s="144" t="str">
        <f t="shared" si="5"/>
        <v/>
      </c>
      <c r="R54" s="115">
        <f t="shared" si="6"/>
        <v>110</v>
      </c>
      <c r="S54" s="54" cm="1">
        <f t="array" ref="S54">B54*MainEntryFee()+G54*MPool1Fee()+H54*MPool2Fee()+I54*MPool3Fee()+J54*MPool4Fee()</f>
        <v>110</v>
      </c>
      <c r="T54" s="144"/>
      <c r="W54" s="1"/>
      <c r="X54" s="1"/>
      <c r="Y54" s="1"/>
      <c r="Z54" s="126"/>
      <c r="AA54" s="83"/>
      <c r="AC54" s="21"/>
    </row>
    <row r="55" spans="1:29" x14ac:dyDescent="0.25">
      <c r="A55" s="7"/>
      <c r="B55" s="94">
        <v>1</v>
      </c>
      <c r="C55" s="105"/>
      <c r="D55" s="145" t="s">
        <v>206</v>
      </c>
      <c r="E55" s="145" t="s">
        <v>120</v>
      </c>
      <c r="F55" s="111" t="s">
        <v>207</v>
      </c>
      <c r="G55" s="94">
        <v>1</v>
      </c>
      <c r="H55" s="105">
        <v>1</v>
      </c>
      <c r="I55" s="105">
        <v>1</v>
      </c>
      <c r="J55" s="105"/>
      <c r="K55" s="105"/>
      <c r="L55" s="143"/>
      <c r="M55" s="67"/>
      <c r="N55" s="108">
        <f t="shared" si="4"/>
        <v>0</v>
      </c>
      <c r="O55" s="54"/>
      <c r="P55" s="7"/>
      <c r="Q55" s="144" t="str">
        <f t="shared" si="5"/>
        <v/>
      </c>
      <c r="R55" s="115" t="str">
        <f t="shared" si="6"/>
        <v/>
      </c>
      <c r="S55" s="54" cm="1">
        <f t="array" ref="S55">B55*MainEntryFee()+G55*MPool1Fee()+H55*MPool2Fee()+I55*MPool3Fee()+J55*MPool4Fee()</f>
        <v>110</v>
      </c>
      <c r="T55" s="144"/>
      <c r="W55" s="1"/>
      <c r="X55" s="1"/>
      <c r="Y55" s="1"/>
      <c r="Z55" s="126"/>
      <c r="AA55" s="83"/>
      <c r="AC55" s="21"/>
    </row>
    <row r="56" spans="1:29" x14ac:dyDescent="0.25">
      <c r="A56" s="7"/>
      <c r="B56" s="94">
        <v>1</v>
      </c>
      <c r="C56" s="105"/>
      <c r="D56" s="145" t="s">
        <v>208</v>
      </c>
      <c r="E56" s="145" t="s">
        <v>120</v>
      </c>
      <c r="F56" s="114"/>
      <c r="G56" s="106"/>
      <c r="H56" s="106"/>
      <c r="I56" s="106"/>
      <c r="J56" s="106"/>
      <c r="K56" s="106"/>
      <c r="L56" s="143"/>
      <c r="M56" s="108"/>
      <c r="N56" s="108">
        <f t="shared" si="4"/>
        <v>0</v>
      </c>
      <c r="O56" s="54"/>
      <c r="P56" s="7"/>
      <c r="Q56" s="144" t="str">
        <f t="shared" si="5"/>
        <v/>
      </c>
      <c r="R56" s="115" t="str">
        <f t="shared" si="6"/>
        <v/>
      </c>
      <c r="S56" s="54" cm="1">
        <f t="array" ref="S56">B56*MainEntryFee()+G56*MPool1Fee()+H56*MPool2Fee()+I56*MPool3Fee()+J56*MPool4Fee()</f>
        <v>70</v>
      </c>
      <c r="T56" s="144"/>
      <c r="W56" s="1"/>
      <c r="X56" s="1"/>
      <c r="Y56" s="1"/>
      <c r="Z56" s="126"/>
      <c r="AA56" s="83"/>
      <c r="AC56" s="21"/>
    </row>
    <row r="57" spans="1:29" x14ac:dyDescent="0.25">
      <c r="A57" s="7"/>
      <c r="B57" s="106">
        <v>1</v>
      </c>
      <c r="C57" s="105"/>
      <c r="D57" s="145" t="s">
        <v>209</v>
      </c>
      <c r="E57" s="145" t="s">
        <v>120</v>
      </c>
      <c r="F57" s="114" t="s">
        <v>210</v>
      </c>
      <c r="G57" s="106">
        <v>1</v>
      </c>
      <c r="H57" s="106">
        <v>1</v>
      </c>
      <c r="I57" s="106"/>
      <c r="J57" s="106"/>
      <c r="K57" s="106"/>
      <c r="L57" s="143"/>
      <c r="M57" s="108"/>
      <c r="N57" s="108">
        <f t="shared" si="4"/>
        <v>0</v>
      </c>
      <c r="O57" s="54"/>
      <c r="P57" s="7"/>
      <c r="Q57" s="144" t="str">
        <f t="shared" si="5"/>
        <v/>
      </c>
      <c r="R57" s="115" t="str">
        <f t="shared" si="6"/>
        <v/>
      </c>
      <c r="S57" s="54" cm="1">
        <f t="array" ref="S57">B57*MainEntryFee()+G57*MPool1Fee()+H57*MPool2Fee()+I57*MPool3Fee()+J57*MPool4Fee()</f>
        <v>90</v>
      </c>
      <c r="T57" s="144"/>
      <c r="W57" s="1"/>
      <c r="X57" s="1"/>
      <c r="Y57" s="1"/>
      <c r="Z57" s="126"/>
      <c r="AA57" s="83"/>
      <c r="AC57" s="21"/>
    </row>
    <row r="58" spans="1:29" x14ac:dyDescent="0.25">
      <c r="A58" s="7"/>
      <c r="B58" s="106">
        <v>1</v>
      </c>
      <c r="C58" s="105"/>
      <c r="D58" s="145" t="s">
        <v>211</v>
      </c>
      <c r="E58" s="145" t="s">
        <v>120</v>
      </c>
      <c r="F58" s="114" t="s">
        <v>212</v>
      </c>
      <c r="G58" s="106">
        <v>1</v>
      </c>
      <c r="H58" s="106">
        <v>1</v>
      </c>
      <c r="I58" s="106">
        <v>1</v>
      </c>
      <c r="J58" s="106"/>
      <c r="K58" s="106"/>
      <c r="L58" s="143"/>
      <c r="M58" s="108"/>
      <c r="N58" s="108">
        <f t="shared" si="4"/>
        <v>0</v>
      </c>
      <c r="O58" s="54"/>
      <c r="P58" s="7"/>
      <c r="Q58" s="144" t="str">
        <f t="shared" si="5"/>
        <v/>
      </c>
      <c r="R58" s="115" t="str">
        <f t="shared" si="6"/>
        <v/>
      </c>
      <c r="S58" s="54" cm="1">
        <f t="array" ref="S58">B58*MainEntryFee()+G58*MPool1Fee()+H58*MPool2Fee()+I58*MPool3Fee()+J58*MPool4Fee()</f>
        <v>110</v>
      </c>
      <c r="T58" s="144"/>
      <c r="W58" s="1"/>
      <c r="X58" s="1"/>
      <c r="Y58" s="1"/>
      <c r="Z58" s="126"/>
      <c r="AA58" s="83"/>
      <c r="AC58" s="21"/>
    </row>
    <row r="59" spans="1:29" x14ac:dyDescent="0.25">
      <c r="A59" s="7"/>
      <c r="B59" s="106">
        <v>1</v>
      </c>
      <c r="C59" s="105"/>
      <c r="D59" s="145" t="s">
        <v>213</v>
      </c>
      <c r="E59" s="145" t="s">
        <v>120</v>
      </c>
      <c r="F59" s="111" t="s">
        <v>214</v>
      </c>
      <c r="G59" s="94">
        <v>1</v>
      </c>
      <c r="H59" s="105">
        <v>1</v>
      </c>
      <c r="I59" s="105">
        <v>1</v>
      </c>
      <c r="J59" s="105">
        <v>1</v>
      </c>
      <c r="K59" s="105"/>
      <c r="L59" s="143">
        <v>1</v>
      </c>
      <c r="M59" s="67"/>
      <c r="N59" s="108">
        <f t="shared" si="4"/>
        <v>0</v>
      </c>
      <c r="O59" s="54"/>
      <c r="P59" s="7"/>
      <c r="Q59" s="144" t="str">
        <f t="shared" si="5"/>
        <v/>
      </c>
      <c r="R59" s="115" t="str">
        <f t="shared" si="6"/>
        <v/>
      </c>
      <c r="S59" s="54" cm="1">
        <f t="array" ref="S59">B59*MainEntryFee()+G59*MPool1Fee()+H59*MPool2Fee()+I59*MPool3Fee()+J59*MPool4Fee()</f>
        <v>160</v>
      </c>
      <c r="T59" s="144"/>
      <c r="W59" s="1"/>
      <c r="X59" s="1"/>
      <c r="Y59" s="1"/>
      <c r="Z59" s="126"/>
      <c r="AA59" s="127"/>
      <c r="AC59" s="21"/>
    </row>
    <row r="60" spans="1:29" x14ac:dyDescent="0.25">
      <c r="A60" s="7"/>
      <c r="B60" s="106">
        <v>1</v>
      </c>
      <c r="C60" s="105"/>
      <c r="D60" s="145" t="s">
        <v>215</v>
      </c>
      <c r="E60" s="145" t="s">
        <v>216</v>
      </c>
      <c r="F60" s="114" t="s">
        <v>217</v>
      </c>
      <c r="G60" s="106">
        <v>1</v>
      </c>
      <c r="H60" s="106"/>
      <c r="I60" s="106"/>
      <c r="J60" s="106"/>
      <c r="K60" s="106"/>
      <c r="L60" s="143"/>
      <c r="M60" s="108"/>
      <c r="N60" s="108">
        <f t="shared" si="4"/>
        <v>0</v>
      </c>
      <c r="O60" s="54"/>
      <c r="P60" s="7"/>
      <c r="Q60" s="144" t="str">
        <f t="shared" si="5"/>
        <v/>
      </c>
      <c r="R60" s="115" t="str">
        <f t="shared" si="6"/>
        <v/>
      </c>
      <c r="S60" s="54" cm="1">
        <f t="array" ref="S60">B60*MainEntryFee()+G60*MPool1Fee()+H60*MPool2Fee()+I60*MPool3Fee()+J60*MPool4Fee()</f>
        <v>80</v>
      </c>
      <c r="T60" s="144"/>
      <c r="W60" s="1"/>
      <c r="X60" s="1"/>
      <c r="Y60" s="1"/>
      <c r="Z60" s="126"/>
      <c r="AA60" s="127"/>
      <c r="AC60" s="21"/>
    </row>
    <row r="61" spans="1:29" x14ac:dyDescent="0.25">
      <c r="A61" s="7"/>
      <c r="B61" s="106">
        <v>1</v>
      </c>
      <c r="C61" s="105"/>
      <c r="D61" s="145" t="s">
        <v>218</v>
      </c>
      <c r="E61" s="145" t="s">
        <v>219</v>
      </c>
      <c r="F61" s="114" t="s">
        <v>220</v>
      </c>
      <c r="G61" s="94"/>
      <c r="H61" s="105"/>
      <c r="I61" s="105"/>
      <c r="J61" s="105"/>
      <c r="K61" s="105"/>
      <c r="L61" s="143"/>
      <c r="M61" s="67"/>
      <c r="N61" s="108">
        <f t="shared" si="4"/>
        <v>0</v>
      </c>
      <c r="O61" s="54"/>
      <c r="P61" s="7"/>
      <c r="Q61" s="144" t="str">
        <f t="shared" si="5"/>
        <v/>
      </c>
      <c r="R61" s="115" t="str">
        <f t="shared" si="6"/>
        <v/>
      </c>
      <c r="S61" s="54" cm="1">
        <f t="array" ref="S61">B61*MainEntryFee()+G61*MPool1Fee()+H61*MPool2Fee()+I61*MPool3Fee()+J61*MPool4Fee()</f>
        <v>70</v>
      </c>
      <c r="T61" s="144"/>
      <c r="W61" s="1"/>
      <c r="X61" s="1"/>
      <c r="Y61" s="1"/>
      <c r="Z61" s="126"/>
      <c r="AA61" s="83"/>
      <c r="AC61" s="21"/>
    </row>
    <row r="62" spans="1:29" x14ac:dyDescent="0.25">
      <c r="A62" s="7"/>
      <c r="B62" s="94">
        <v>1</v>
      </c>
      <c r="C62" s="105"/>
      <c r="D62" s="145" t="s">
        <v>221</v>
      </c>
      <c r="E62" s="145" t="s">
        <v>222</v>
      </c>
      <c r="F62" s="114" t="s">
        <v>223</v>
      </c>
      <c r="G62" s="106">
        <v>1</v>
      </c>
      <c r="H62" s="106">
        <v>1</v>
      </c>
      <c r="I62" s="106">
        <v>1</v>
      </c>
      <c r="J62" s="106">
        <v>1</v>
      </c>
      <c r="K62" s="106"/>
      <c r="L62" s="143"/>
      <c r="M62" s="108"/>
      <c r="N62" s="108">
        <f t="shared" si="4"/>
        <v>0</v>
      </c>
      <c r="O62" s="54"/>
      <c r="P62" s="7"/>
      <c r="Q62" s="144" t="str">
        <f t="shared" si="5"/>
        <v/>
      </c>
      <c r="R62" s="115" t="str">
        <f t="shared" si="6"/>
        <v/>
      </c>
      <c r="S62" s="54" cm="1">
        <f t="array" ref="S62">B62*MainEntryFee()+G62*MPool1Fee()+H62*MPool2Fee()+I62*MPool3Fee()+J62*MPool4Fee()</f>
        <v>160</v>
      </c>
      <c r="T62" s="144"/>
      <c r="W62" s="1"/>
      <c r="X62" s="1"/>
      <c r="Y62" s="1"/>
      <c r="Z62" s="126"/>
      <c r="AA62" s="127"/>
      <c r="AC62" s="21"/>
    </row>
    <row r="63" spans="1:29" x14ac:dyDescent="0.25">
      <c r="A63" s="7"/>
      <c r="B63" s="106">
        <v>1</v>
      </c>
      <c r="C63" s="105"/>
      <c r="D63" s="145" t="s">
        <v>224</v>
      </c>
      <c r="E63" s="145" t="s">
        <v>120</v>
      </c>
      <c r="F63" s="152" t="s">
        <v>225</v>
      </c>
      <c r="G63" s="106">
        <v>1</v>
      </c>
      <c r="H63" s="106"/>
      <c r="I63" s="106">
        <v>1</v>
      </c>
      <c r="J63" s="106"/>
      <c r="K63" s="106"/>
      <c r="L63" s="143"/>
      <c r="M63" s="108"/>
      <c r="N63" s="108">
        <f t="shared" si="4"/>
        <v>0</v>
      </c>
      <c r="O63" s="54"/>
      <c r="P63" s="7"/>
      <c r="Q63" s="144" t="str">
        <f t="shared" si="5"/>
        <v/>
      </c>
      <c r="R63" s="115" t="str">
        <f t="shared" si="6"/>
        <v/>
      </c>
      <c r="S63" s="54" cm="1">
        <f t="array" ref="S63">B63*MainEntryFee()+G63*MPool1Fee()+H63*MPool2Fee()+I63*MPool3Fee()+J63*MPool4Fee()</f>
        <v>100</v>
      </c>
      <c r="T63" s="144"/>
      <c r="W63" s="1"/>
      <c r="X63" s="1"/>
      <c r="Y63" s="1"/>
      <c r="Z63" s="126"/>
      <c r="AA63" s="127"/>
      <c r="AC63" s="21"/>
    </row>
    <row r="64" spans="1:29" x14ac:dyDescent="0.25">
      <c r="A64" s="7"/>
      <c r="B64" s="106">
        <v>1</v>
      </c>
      <c r="C64" s="105"/>
      <c r="D64" s="145" t="s">
        <v>226</v>
      </c>
      <c r="E64" s="145" t="s">
        <v>187</v>
      </c>
      <c r="F64" s="114" t="s">
        <v>227</v>
      </c>
      <c r="G64" s="106">
        <v>1</v>
      </c>
      <c r="H64" s="106">
        <v>1</v>
      </c>
      <c r="I64" s="106">
        <v>1</v>
      </c>
      <c r="J64" s="106"/>
      <c r="K64" s="106"/>
      <c r="L64" s="143"/>
      <c r="M64" s="108"/>
      <c r="N64" s="108">
        <f t="shared" si="4"/>
        <v>0</v>
      </c>
      <c r="O64" s="54"/>
      <c r="P64" s="7"/>
      <c r="Q64" s="144" t="str">
        <f t="shared" si="5"/>
        <v/>
      </c>
      <c r="R64" s="115" t="str">
        <f t="shared" si="6"/>
        <v/>
      </c>
      <c r="S64" s="54" cm="1">
        <f t="array" ref="S64">B64*MainEntryFee()+G64*MPool1Fee()+H64*MPool2Fee()+I64*MPool3Fee()+J64*MPool4Fee()</f>
        <v>110</v>
      </c>
      <c r="T64" s="144"/>
      <c r="W64" s="1"/>
      <c r="X64" s="1"/>
      <c r="Y64" s="1"/>
      <c r="Z64" s="126"/>
      <c r="AA64" s="83"/>
      <c r="AC64" s="21"/>
    </row>
    <row r="65" spans="1:29" x14ac:dyDescent="0.25">
      <c r="A65" s="7"/>
      <c r="B65" s="106"/>
      <c r="C65" s="105"/>
      <c r="D65" s="145"/>
      <c r="E65" s="145"/>
      <c r="F65" s="114"/>
      <c r="G65" s="106"/>
      <c r="H65" s="106"/>
      <c r="I65" s="106"/>
      <c r="J65" s="106"/>
      <c r="K65" s="106"/>
      <c r="L65" s="166"/>
      <c r="M65" s="108"/>
      <c r="N65" s="108">
        <f t="shared" si="4"/>
        <v>0</v>
      </c>
      <c r="O65" s="54"/>
      <c r="P65" s="7"/>
      <c r="Q65" s="144" t="str">
        <f t="shared" si="5"/>
        <v/>
      </c>
      <c r="R65" s="115" t="str">
        <f t="shared" si="6"/>
        <v/>
      </c>
      <c r="S65" s="54" cm="1">
        <f t="array" ref="S65">B65*MainEntryFee()+G65*MPool1Fee()+H65*MPool2Fee()+I65*MPool3Fee()+J65*MPool4Fee()</f>
        <v>0</v>
      </c>
      <c r="T65" s="144"/>
      <c r="W65" s="1"/>
      <c r="X65" s="1"/>
      <c r="Y65" s="1"/>
      <c r="Z65" s="126"/>
      <c r="AA65" s="83"/>
      <c r="AC65" s="21"/>
    </row>
    <row r="66" spans="1:29" x14ac:dyDescent="0.25">
      <c r="A66" s="7"/>
      <c r="B66" s="106"/>
      <c r="C66" s="105"/>
      <c r="D66" s="145"/>
      <c r="E66" s="145"/>
      <c r="F66" s="114"/>
      <c r="G66" s="94"/>
      <c r="H66" s="105"/>
      <c r="I66" s="105"/>
      <c r="J66" s="105"/>
      <c r="K66" s="105"/>
      <c r="L66" s="166"/>
      <c r="M66" s="67"/>
      <c r="N66" s="108">
        <f t="shared" si="4"/>
        <v>0</v>
      </c>
      <c r="O66" s="54"/>
      <c r="P66" s="7"/>
      <c r="Q66" s="144" t="str">
        <f t="shared" si="5"/>
        <v/>
      </c>
      <c r="R66" s="115" t="str">
        <f t="shared" si="6"/>
        <v/>
      </c>
      <c r="S66" s="54" cm="1">
        <f t="array" ref="S66">B66*MainEntryFee()+G66*MPool1Fee()+H66*MPool2Fee()+I66*MPool3Fee()+J66*MPool4Fee()</f>
        <v>0</v>
      </c>
      <c r="T66" s="144"/>
      <c r="W66" s="1"/>
      <c r="X66" s="1"/>
      <c r="Y66" s="1"/>
      <c r="Z66" s="126"/>
      <c r="AA66" s="83"/>
      <c r="AC66" s="21"/>
    </row>
    <row r="67" spans="1:29" x14ac:dyDescent="0.25">
      <c r="A67" s="7"/>
      <c r="B67" s="94"/>
      <c r="C67" s="105"/>
      <c r="D67" s="145"/>
      <c r="E67" s="145"/>
      <c r="F67" s="114"/>
      <c r="G67" s="106"/>
      <c r="H67" s="106"/>
      <c r="I67" s="106"/>
      <c r="J67" s="106"/>
      <c r="K67" s="106"/>
      <c r="L67" s="166"/>
      <c r="M67" s="108"/>
      <c r="N67" s="108">
        <f t="shared" si="4"/>
        <v>0</v>
      </c>
      <c r="O67" s="54"/>
      <c r="P67" s="7"/>
      <c r="Q67" s="144" t="str">
        <f t="shared" si="5"/>
        <v/>
      </c>
      <c r="R67" s="115" t="str">
        <f t="shared" si="6"/>
        <v/>
      </c>
      <c r="S67" s="54" cm="1">
        <f t="array" ref="S67">B67*MainEntryFee()+G67*MPool1Fee()+H67*MPool2Fee()+I67*MPool3Fee()+J67*MPool4Fee()</f>
        <v>0</v>
      </c>
      <c r="T67" s="144"/>
      <c r="W67" s="1"/>
      <c r="X67" s="1"/>
      <c r="Y67" s="1"/>
      <c r="Z67" s="126"/>
      <c r="AA67" s="127"/>
      <c r="AC67" s="21"/>
    </row>
    <row r="68" spans="1:29" x14ac:dyDescent="0.25">
      <c r="A68" s="7"/>
      <c r="B68" s="106"/>
      <c r="C68" s="105"/>
      <c r="D68" s="145"/>
      <c r="E68" s="145"/>
      <c r="F68" s="111"/>
      <c r="G68" s="94"/>
      <c r="H68" s="105"/>
      <c r="I68" s="105"/>
      <c r="J68" s="105"/>
      <c r="K68" s="105"/>
      <c r="L68" s="166"/>
      <c r="M68" s="67"/>
      <c r="N68" s="108">
        <f t="shared" si="4"/>
        <v>0</v>
      </c>
      <c r="O68" s="54"/>
      <c r="P68" s="7"/>
      <c r="Q68" s="144" t="str">
        <f t="shared" si="5"/>
        <v/>
      </c>
      <c r="R68" s="115" t="str">
        <f t="shared" si="6"/>
        <v/>
      </c>
      <c r="S68" s="54" cm="1">
        <f t="array" ref="S68">B68*MainEntryFee()+G68*MPool1Fee()+H68*MPool2Fee()+I68*MPool3Fee()+J68*MPool4Fee()</f>
        <v>0</v>
      </c>
      <c r="T68" s="144"/>
      <c r="W68" s="1"/>
      <c r="X68" s="1"/>
      <c r="Y68" s="1"/>
      <c r="Z68" s="126"/>
      <c r="AA68" s="127"/>
      <c r="AC68" s="21"/>
    </row>
    <row r="69" spans="1:29" x14ac:dyDescent="0.25">
      <c r="A69" s="7"/>
      <c r="B69" s="94"/>
      <c r="C69" s="105"/>
      <c r="D69" s="145"/>
      <c r="E69" s="145"/>
      <c r="F69" s="114"/>
      <c r="G69" s="106"/>
      <c r="H69" s="106"/>
      <c r="I69" s="106"/>
      <c r="J69" s="106"/>
      <c r="K69" s="106"/>
      <c r="L69" s="166"/>
      <c r="M69" s="108"/>
      <c r="N69" s="108">
        <f t="shared" si="4"/>
        <v>0</v>
      </c>
      <c r="O69" s="54"/>
      <c r="P69" s="7"/>
      <c r="Q69" s="144" t="str">
        <f t="shared" si="5"/>
        <v/>
      </c>
      <c r="R69" s="115" t="str">
        <f t="shared" si="6"/>
        <v/>
      </c>
      <c r="S69" s="54" cm="1">
        <f t="array" ref="S69">B69*MainEntryFee()+G69*MPool1Fee()+H69*MPool2Fee()+I69*MPool3Fee()+J69*MPool4Fee()</f>
        <v>0</v>
      </c>
      <c r="T69" s="144"/>
      <c r="W69" s="1"/>
      <c r="X69" s="1"/>
      <c r="Y69" s="1"/>
      <c r="Z69" s="126"/>
      <c r="AA69" s="127"/>
      <c r="AC69" s="21"/>
    </row>
    <row r="70" spans="1:29" x14ac:dyDescent="0.25">
      <c r="A70" s="7"/>
      <c r="B70" s="94"/>
      <c r="C70" s="105"/>
      <c r="D70" s="145"/>
      <c r="E70" s="145"/>
      <c r="F70" s="114"/>
      <c r="G70" s="106"/>
      <c r="H70" s="106"/>
      <c r="I70" s="106"/>
      <c r="J70" s="106"/>
      <c r="K70" s="106"/>
      <c r="L70" s="166"/>
      <c r="M70" s="108"/>
      <c r="N70" s="108">
        <f t="shared" si="4"/>
        <v>0</v>
      </c>
      <c r="O70" s="54"/>
      <c r="P70" s="7"/>
      <c r="Q70" s="144" t="str">
        <f t="shared" si="5"/>
        <v/>
      </c>
      <c r="R70" s="115" t="str">
        <f t="shared" si="6"/>
        <v/>
      </c>
      <c r="S70" s="54" cm="1">
        <f t="array" ref="S70">B70*MainEntryFee()+G70*MPool1Fee()+H70*MPool2Fee()+I70*MPool3Fee()+J70*MPool4Fee()</f>
        <v>0</v>
      </c>
      <c r="T70" s="144"/>
      <c r="W70" s="1"/>
      <c r="X70" s="1"/>
      <c r="Y70" s="1"/>
      <c r="Z70" s="126"/>
      <c r="AA70" s="127"/>
      <c r="AC70" s="21"/>
    </row>
    <row r="71" spans="1:29" x14ac:dyDescent="0.25">
      <c r="A71" s="7"/>
      <c r="B71" s="106"/>
      <c r="C71" s="105"/>
      <c r="D71" s="145"/>
      <c r="E71" s="145"/>
      <c r="F71" s="114"/>
      <c r="G71" s="106"/>
      <c r="H71" s="106"/>
      <c r="I71" s="106"/>
      <c r="J71" s="106"/>
      <c r="K71" s="106"/>
      <c r="L71" s="166"/>
      <c r="M71" s="108"/>
      <c r="N71" s="108">
        <f t="shared" si="4"/>
        <v>0</v>
      </c>
      <c r="O71" s="54"/>
      <c r="P71" s="7"/>
      <c r="Q71" s="144" t="str">
        <f t="shared" si="5"/>
        <v/>
      </c>
      <c r="R71" s="115" t="str">
        <f t="shared" si="6"/>
        <v/>
      </c>
      <c r="S71" s="54" cm="1">
        <f t="array" ref="S71">B71*MainEntryFee()+G71*MPool1Fee()+H71*MPool2Fee()+I71*MPool3Fee()+J71*MPool4Fee()</f>
        <v>0</v>
      </c>
      <c r="T71" s="144"/>
      <c r="W71" s="1"/>
      <c r="X71" s="1"/>
      <c r="Y71" s="1"/>
      <c r="Z71" s="126"/>
      <c r="AA71" s="127"/>
      <c r="AC71" s="21"/>
    </row>
    <row r="72" spans="1:29" x14ac:dyDescent="0.25">
      <c r="A72" s="7"/>
      <c r="B72" s="94"/>
      <c r="C72" s="105"/>
      <c r="D72" s="147"/>
      <c r="E72" s="147"/>
      <c r="F72" s="113"/>
      <c r="G72" s="106"/>
      <c r="H72" s="106"/>
      <c r="I72" s="106"/>
      <c r="J72" s="106"/>
      <c r="K72" s="106"/>
      <c r="L72" s="106"/>
      <c r="M72" s="106"/>
      <c r="N72" s="108"/>
      <c r="O72" s="67"/>
      <c r="P72" s="67"/>
      <c r="Q72" s="144"/>
      <c r="R72" s="115"/>
      <c r="S72" s="54"/>
      <c r="T72" s="132"/>
      <c r="W72" s="1"/>
      <c r="X72" s="1"/>
      <c r="Y72" s="1"/>
      <c r="Z72" s="126"/>
      <c r="AA72" s="83"/>
      <c r="AC72" s="21"/>
    </row>
    <row r="73" spans="1:29" x14ac:dyDescent="0.25">
      <c r="A73" s="7"/>
      <c r="B73" s="106"/>
      <c r="C73" s="105"/>
      <c r="D73" s="147"/>
      <c r="E73" s="147"/>
      <c r="F73" s="113"/>
      <c r="G73" s="106"/>
      <c r="H73" s="106"/>
      <c r="I73" s="106"/>
      <c r="J73" s="106"/>
      <c r="K73" s="106"/>
      <c r="L73" s="106"/>
      <c r="M73" s="106"/>
      <c r="N73" s="108"/>
      <c r="O73" s="108"/>
      <c r="P73" s="108"/>
      <c r="Q73" s="144"/>
      <c r="R73" s="115"/>
      <c r="S73" s="54"/>
      <c r="T73" s="132"/>
      <c r="W73" s="1"/>
      <c r="X73" s="1"/>
      <c r="Y73" s="1"/>
      <c r="Z73" s="126"/>
      <c r="AA73" s="83"/>
      <c r="AC73" s="21"/>
    </row>
    <row r="74" spans="1:29" x14ac:dyDescent="0.25">
      <c r="A74" s="7"/>
      <c r="B74" s="106"/>
      <c r="C74" s="105"/>
      <c r="D74" s="147"/>
      <c r="E74" s="147"/>
      <c r="F74" s="113"/>
      <c r="G74" s="106"/>
      <c r="H74" s="106"/>
      <c r="I74" s="106"/>
      <c r="J74" s="106"/>
      <c r="K74" s="106"/>
      <c r="L74" s="106"/>
      <c r="M74" s="106"/>
      <c r="N74" s="108"/>
      <c r="O74" s="108"/>
      <c r="P74" s="108"/>
      <c r="Q74" s="144"/>
      <c r="R74" s="115"/>
      <c r="S74" s="54"/>
      <c r="T74" s="132"/>
      <c r="W74" s="1"/>
      <c r="X74" s="1"/>
      <c r="Y74" s="1"/>
      <c r="Z74" s="126"/>
      <c r="AA74" s="83"/>
      <c r="AC74" s="21"/>
    </row>
    <row r="75" spans="1:29" x14ac:dyDescent="0.25">
      <c r="A75" s="7"/>
      <c r="B75" s="94"/>
      <c r="C75" s="105"/>
      <c r="D75" s="148"/>
      <c r="E75" s="148"/>
      <c r="F75" s="93"/>
      <c r="G75" s="105"/>
      <c r="H75" s="94"/>
      <c r="I75" s="94"/>
      <c r="J75" s="105"/>
      <c r="K75" s="105"/>
      <c r="L75" s="105"/>
      <c r="M75" s="105"/>
      <c r="N75" s="108"/>
      <c r="O75" s="67"/>
      <c r="P75" s="67"/>
      <c r="Q75" s="144"/>
      <c r="R75" s="115"/>
      <c r="S75" s="54"/>
      <c r="T75" s="132"/>
      <c r="W75" s="1"/>
      <c r="X75" s="1"/>
      <c r="Y75" s="1"/>
      <c r="Z75" s="126"/>
      <c r="AA75" s="83"/>
      <c r="AC75" s="21"/>
    </row>
    <row r="76" spans="1:29" x14ac:dyDescent="0.25">
      <c r="A76" s="7"/>
      <c r="B76" s="94"/>
      <c r="C76" s="105"/>
      <c r="D76" s="148"/>
      <c r="E76" s="148"/>
      <c r="F76" s="93"/>
      <c r="G76" s="105"/>
      <c r="H76" s="94"/>
      <c r="I76" s="94"/>
      <c r="J76" s="105"/>
      <c r="K76" s="105"/>
      <c r="L76" s="105"/>
      <c r="M76" s="105"/>
      <c r="N76" s="108"/>
      <c r="O76" s="67"/>
      <c r="P76" s="67"/>
      <c r="Q76" s="144"/>
      <c r="R76" s="115"/>
      <c r="S76" s="54"/>
      <c r="T76" s="132"/>
      <c r="W76" s="1"/>
      <c r="X76" s="1"/>
      <c r="Y76" s="1"/>
      <c r="Z76" s="126"/>
      <c r="AA76" s="83"/>
      <c r="AC76" s="21"/>
    </row>
    <row r="77" spans="1:29" x14ac:dyDescent="0.25">
      <c r="A77" s="7"/>
      <c r="B77" s="106"/>
      <c r="C77" s="105"/>
      <c r="D77" s="147"/>
      <c r="E77" s="147"/>
      <c r="F77" s="113"/>
      <c r="G77" s="106"/>
      <c r="H77" s="106"/>
      <c r="I77" s="106"/>
      <c r="J77" s="106"/>
      <c r="K77" s="106"/>
      <c r="L77" s="106"/>
      <c r="M77" s="106"/>
      <c r="N77" s="108"/>
      <c r="O77" s="108"/>
      <c r="P77" s="108"/>
      <c r="Q77" s="144"/>
      <c r="R77" s="115"/>
      <c r="S77" s="54"/>
      <c r="T77" s="132"/>
      <c r="W77" s="1"/>
      <c r="X77" s="1"/>
      <c r="Y77" s="1"/>
      <c r="Z77" s="126"/>
      <c r="AA77" s="83"/>
      <c r="AC77" s="21"/>
    </row>
    <row r="78" spans="1:29" x14ac:dyDescent="0.25">
      <c r="A78" s="7"/>
      <c r="B78" s="94"/>
      <c r="C78" s="105"/>
      <c r="D78" s="148"/>
      <c r="E78" s="148"/>
      <c r="F78" s="93"/>
      <c r="G78" s="106"/>
      <c r="H78" s="106"/>
      <c r="I78" s="106"/>
      <c r="J78" s="106"/>
      <c r="K78" s="106"/>
      <c r="L78" s="106"/>
      <c r="M78" s="106"/>
      <c r="N78" s="108"/>
      <c r="O78" s="108"/>
      <c r="P78" s="108"/>
      <c r="Q78" s="144"/>
      <c r="R78" s="115"/>
      <c r="S78" s="54"/>
      <c r="T78" s="132"/>
      <c r="W78" s="1"/>
      <c r="X78" s="1"/>
      <c r="Y78" s="1"/>
      <c r="Z78" s="126"/>
      <c r="AA78" s="83"/>
      <c r="AC78" s="21"/>
    </row>
    <row r="79" spans="1:29" x14ac:dyDescent="0.25">
      <c r="A79" s="7"/>
      <c r="B79" s="94"/>
      <c r="C79" s="105"/>
      <c r="D79" s="148"/>
      <c r="E79" s="148"/>
      <c r="F79" s="93"/>
      <c r="G79" s="105"/>
      <c r="H79" s="105"/>
      <c r="I79" s="105"/>
      <c r="J79" s="105"/>
      <c r="K79" s="105"/>
      <c r="L79" s="105"/>
      <c r="M79" s="105"/>
      <c r="N79" s="108"/>
      <c r="O79" s="67"/>
      <c r="P79" s="67"/>
      <c r="Q79" s="144"/>
      <c r="R79" s="115"/>
      <c r="S79" s="54"/>
      <c r="T79" s="132"/>
      <c r="W79" s="1"/>
      <c r="X79" s="1"/>
      <c r="Y79" s="1"/>
      <c r="Z79" s="126"/>
      <c r="AA79" s="83"/>
      <c r="AC79" s="21"/>
    </row>
    <row r="80" spans="1:29" x14ac:dyDescent="0.25">
      <c r="A80" s="7"/>
      <c r="B80" s="106"/>
      <c r="C80" s="105"/>
      <c r="D80" s="147"/>
      <c r="E80" s="147"/>
      <c r="F80" s="113"/>
      <c r="G80" s="106"/>
      <c r="H80" s="106"/>
      <c r="I80" s="106"/>
      <c r="J80" s="106"/>
      <c r="K80" s="106"/>
      <c r="L80" s="106"/>
      <c r="M80" s="106"/>
      <c r="N80" s="108"/>
      <c r="O80" s="108"/>
      <c r="P80" s="108"/>
      <c r="Q80" s="144"/>
      <c r="R80" s="115"/>
      <c r="S80" s="54"/>
      <c r="T80" s="132"/>
      <c r="W80" s="1"/>
      <c r="X80" s="1"/>
      <c r="Y80" s="1"/>
      <c r="Z80" s="126"/>
      <c r="AA80" s="83"/>
    </row>
    <row r="81" spans="1:27" x14ac:dyDescent="0.25">
      <c r="A81" s="7"/>
      <c r="B81" s="94"/>
      <c r="C81" s="105"/>
      <c r="D81" s="147"/>
      <c r="E81" s="147"/>
      <c r="F81" s="113"/>
      <c r="G81" s="106"/>
      <c r="H81" s="106"/>
      <c r="I81" s="106"/>
      <c r="J81" s="106"/>
      <c r="K81" s="106"/>
      <c r="L81" s="106"/>
      <c r="M81" s="106"/>
      <c r="N81" s="108"/>
      <c r="O81" s="108"/>
      <c r="P81" s="108"/>
      <c r="Q81" s="144"/>
      <c r="R81" s="115"/>
      <c r="S81" s="54"/>
      <c r="T81" s="132"/>
      <c r="W81" s="1"/>
      <c r="X81" s="1"/>
      <c r="Y81" s="1"/>
      <c r="Z81" s="126"/>
      <c r="AA81" s="83"/>
    </row>
    <row r="82" spans="1:27" x14ac:dyDescent="0.25">
      <c r="A82" s="7"/>
      <c r="B82" s="94"/>
      <c r="C82" s="105"/>
      <c r="D82" s="147"/>
      <c r="E82" s="147"/>
      <c r="F82" s="113"/>
      <c r="G82" s="106"/>
      <c r="H82" s="106"/>
      <c r="I82" s="106"/>
      <c r="J82" s="106"/>
      <c r="K82" s="106"/>
      <c r="L82" s="106"/>
      <c r="M82" s="106"/>
      <c r="N82" s="108"/>
      <c r="O82" s="108"/>
      <c r="P82" s="108"/>
      <c r="Q82" s="144"/>
      <c r="R82" s="115"/>
      <c r="S82" s="54"/>
      <c r="T82" s="132"/>
      <c r="W82" s="1"/>
      <c r="X82" s="1"/>
      <c r="Y82" s="1"/>
      <c r="Z82" s="126"/>
      <c r="AA82" s="83"/>
    </row>
    <row r="83" spans="1:27" x14ac:dyDescent="0.25">
      <c r="A83" s="7"/>
      <c r="B83" s="94"/>
      <c r="C83" s="105"/>
      <c r="D83" s="148"/>
      <c r="E83" s="148"/>
      <c r="F83" s="93"/>
      <c r="G83" s="106"/>
      <c r="H83" s="106"/>
      <c r="I83" s="106"/>
      <c r="J83" s="106"/>
      <c r="K83" s="106"/>
      <c r="L83" s="106"/>
      <c r="M83" s="106"/>
      <c r="N83" s="108"/>
      <c r="O83" s="108"/>
      <c r="P83" s="108"/>
      <c r="Q83" s="144"/>
      <c r="R83" s="115"/>
      <c r="S83" s="54"/>
      <c r="T83" s="132"/>
      <c r="W83" s="1"/>
      <c r="X83" s="1"/>
      <c r="Y83" s="1"/>
      <c r="Z83" s="126"/>
      <c r="AA83" s="83"/>
    </row>
    <row r="84" spans="1:27" x14ac:dyDescent="0.25">
      <c r="A84" s="7"/>
      <c r="B84" s="106"/>
      <c r="C84" s="105"/>
      <c r="D84" s="147"/>
      <c r="E84" s="147"/>
      <c r="F84" s="113"/>
      <c r="G84" s="106"/>
      <c r="H84" s="106"/>
      <c r="I84" s="106"/>
      <c r="J84" s="106"/>
      <c r="K84" s="106"/>
      <c r="L84" s="106"/>
      <c r="M84" s="106"/>
      <c r="N84" s="108"/>
      <c r="O84" s="108"/>
      <c r="P84" s="108"/>
      <c r="Q84" s="144"/>
      <c r="R84" s="115"/>
      <c r="S84" s="54"/>
      <c r="T84" s="132"/>
      <c r="W84" s="1"/>
      <c r="X84" s="1"/>
      <c r="Y84" s="1"/>
      <c r="Z84" s="126"/>
      <c r="AA84" s="83"/>
    </row>
    <row r="85" spans="1:27" x14ac:dyDescent="0.25">
      <c r="A85" s="7"/>
      <c r="B85" s="106"/>
      <c r="C85" s="105"/>
      <c r="D85" s="147"/>
      <c r="E85" s="147"/>
      <c r="F85" s="113"/>
      <c r="G85" s="106"/>
      <c r="H85" s="106"/>
      <c r="I85" s="106"/>
      <c r="J85" s="106"/>
      <c r="K85" s="106"/>
      <c r="L85" s="106"/>
      <c r="M85" s="106"/>
      <c r="N85" s="108"/>
      <c r="O85" s="108"/>
      <c r="P85" s="108"/>
      <c r="Q85" s="144"/>
      <c r="R85" s="115"/>
      <c r="S85" s="54"/>
      <c r="T85" s="132"/>
      <c r="W85" s="1"/>
      <c r="X85" s="1"/>
      <c r="Y85" s="1"/>
      <c r="Z85" s="126"/>
      <c r="AA85" s="83"/>
    </row>
    <row r="86" spans="1:27" x14ac:dyDescent="0.25">
      <c r="A86" s="7"/>
      <c r="B86" s="94"/>
      <c r="C86" s="105"/>
      <c r="D86" s="145"/>
      <c r="E86" s="145"/>
      <c r="F86" s="105"/>
      <c r="G86" s="106"/>
      <c r="H86" s="106"/>
      <c r="I86" s="106"/>
      <c r="J86" s="106"/>
      <c r="K86" s="106"/>
      <c r="L86" s="106"/>
      <c r="M86" s="106"/>
      <c r="N86" s="108"/>
      <c r="O86" s="108"/>
      <c r="P86" s="108"/>
      <c r="Q86" s="144"/>
      <c r="R86" s="115"/>
      <c r="S86" s="54"/>
      <c r="T86" s="132"/>
      <c r="W86" s="1"/>
      <c r="X86" s="1"/>
      <c r="Y86" s="1"/>
      <c r="Z86" s="126"/>
      <c r="AA86" s="83"/>
    </row>
    <row r="87" spans="1:27" x14ac:dyDescent="0.25">
      <c r="A87" s="7"/>
      <c r="B87" s="106"/>
      <c r="C87" s="105"/>
      <c r="D87" s="147"/>
      <c r="E87" s="147"/>
      <c r="F87" s="113"/>
      <c r="G87" s="106"/>
      <c r="H87" s="106"/>
      <c r="I87" s="106"/>
      <c r="J87" s="106"/>
      <c r="K87" s="106"/>
      <c r="L87" s="106"/>
      <c r="M87" s="106"/>
      <c r="N87" s="108"/>
      <c r="O87" s="108"/>
      <c r="P87" s="108"/>
      <c r="Q87" s="144"/>
      <c r="R87" s="115"/>
      <c r="S87" s="54"/>
      <c r="T87" s="132"/>
      <c r="W87" s="1"/>
      <c r="X87" s="1"/>
      <c r="Y87" s="1"/>
      <c r="Z87" s="126"/>
      <c r="AA87" s="83"/>
    </row>
    <row r="88" spans="1:27" x14ac:dyDescent="0.25">
      <c r="A88" s="7"/>
      <c r="B88" s="94"/>
      <c r="C88" s="105"/>
      <c r="D88" s="148"/>
      <c r="E88" s="148"/>
      <c r="F88" s="93"/>
      <c r="G88" s="105"/>
      <c r="H88" s="105"/>
      <c r="I88" s="105"/>
      <c r="J88" s="105"/>
      <c r="K88" s="105"/>
      <c r="L88" s="105"/>
      <c r="M88" s="105"/>
      <c r="N88" s="108"/>
      <c r="O88" s="67"/>
      <c r="P88" s="67"/>
      <c r="Q88" s="144"/>
      <c r="R88" s="115"/>
      <c r="S88" s="54"/>
      <c r="T88" s="132"/>
      <c r="W88" s="1"/>
      <c r="X88" s="1"/>
      <c r="Y88" s="1"/>
      <c r="Z88" s="126"/>
      <c r="AA88" s="83"/>
    </row>
    <row r="89" spans="1:27" x14ac:dyDescent="0.25">
      <c r="A89" s="7"/>
      <c r="B89" s="94"/>
      <c r="C89" s="105"/>
      <c r="D89" s="148"/>
      <c r="E89" s="148"/>
      <c r="F89" s="93"/>
      <c r="G89" s="105"/>
      <c r="H89" s="105"/>
      <c r="I89" s="105"/>
      <c r="J89" s="105"/>
      <c r="K89" s="105"/>
      <c r="L89" s="105"/>
      <c r="M89" s="105"/>
      <c r="N89" s="108"/>
      <c r="O89" s="67"/>
      <c r="P89" s="67"/>
      <c r="Q89" s="144"/>
      <c r="R89" s="115"/>
      <c r="S89" s="54"/>
      <c r="T89" s="132"/>
      <c r="W89" s="1"/>
      <c r="X89" s="1"/>
      <c r="Y89" s="1"/>
      <c r="Z89" s="126"/>
      <c r="AA89" s="83"/>
    </row>
    <row r="90" spans="1:27" x14ac:dyDescent="0.25">
      <c r="A90" s="7"/>
      <c r="B90" s="94"/>
      <c r="C90" s="105"/>
      <c r="D90" s="148"/>
      <c r="E90" s="148"/>
      <c r="F90" s="93"/>
      <c r="G90" s="105"/>
      <c r="H90" s="105"/>
      <c r="I90" s="105"/>
      <c r="J90" s="105"/>
      <c r="K90" s="105"/>
      <c r="L90" s="105"/>
      <c r="M90" s="105"/>
      <c r="N90" s="108"/>
      <c r="O90" s="67"/>
      <c r="P90" s="67"/>
      <c r="Q90" s="144"/>
      <c r="R90" s="115"/>
      <c r="S90" s="54"/>
      <c r="T90" s="132"/>
      <c r="W90" s="1"/>
      <c r="X90" s="1"/>
      <c r="Y90" s="1"/>
      <c r="Z90" s="126"/>
      <c r="AA90" s="83"/>
    </row>
    <row r="91" spans="1:27" x14ac:dyDescent="0.25">
      <c r="A91" s="7"/>
      <c r="B91" s="94"/>
      <c r="C91" s="105"/>
      <c r="D91" s="148"/>
      <c r="E91" s="148"/>
      <c r="F91" s="93"/>
      <c r="G91" s="105"/>
      <c r="H91" s="105"/>
      <c r="I91" s="105"/>
      <c r="J91" s="105"/>
      <c r="K91" s="105"/>
      <c r="L91" s="105"/>
      <c r="M91" s="105"/>
      <c r="N91" s="108"/>
      <c r="O91" s="67"/>
      <c r="P91" s="67"/>
      <c r="Q91" s="144"/>
      <c r="R91" s="115"/>
      <c r="S91" s="54"/>
      <c r="T91" s="132"/>
      <c r="W91" s="1"/>
      <c r="X91" s="1"/>
      <c r="Y91" s="1"/>
      <c r="Z91" s="126"/>
      <c r="AA91" s="83"/>
    </row>
    <row r="92" spans="1:27" x14ac:dyDescent="0.25">
      <c r="A92" s="7"/>
      <c r="B92" s="94"/>
      <c r="C92" s="105"/>
      <c r="D92" s="148"/>
      <c r="E92" s="148"/>
      <c r="F92" s="93"/>
      <c r="G92" s="105"/>
      <c r="H92" s="105"/>
      <c r="I92" s="105"/>
      <c r="J92" s="105"/>
      <c r="K92" s="105"/>
      <c r="L92" s="105"/>
      <c r="M92" s="105"/>
      <c r="N92" s="108"/>
      <c r="O92" s="67"/>
      <c r="P92" s="67"/>
      <c r="Q92" s="144"/>
      <c r="R92" s="115"/>
      <c r="S92" s="54"/>
      <c r="T92" s="132"/>
      <c r="W92" s="1"/>
      <c r="X92" s="1"/>
      <c r="Y92" s="1"/>
      <c r="Z92" s="126"/>
      <c r="AA92" s="83"/>
    </row>
    <row r="93" spans="1:27" x14ac:dyDescent="0.25">
      <c r="A93" s="7"/>
      <c r="B93" s="94"/>
      <c r="C93" s="105"/>
      <c r="D93" s="148"/>
      <c r="E93" s="148"/>
      <c r="F93" s="93"/>
      <c r="G93" s="105"/>
      <c r="H93" s="105"/>
      <c r="I93" s="105"/>
      <c r="J93" s="105"/>
      <c r="K93" s="105"/>
      <c r="L93" s="105"/>
      <c r="M93" s="105"/>
      <c r="N93" s="108"/>
      <c r="O93" s="67"/>
      <c r="P93" s="67"/>
      <c r="Q93" s="144"/>
      <c r="R93" s="115"/>
      <c r="S93" s="54"/>
      <c r="T93" s="132"/>
      <c r="W93" s="1"/>
      <c r="X93" s="1"/>
      <c r="Y93" s="1"/>
      <c r="Z93" s="126"/>
      <c r="AA93" s="83"/>
    </row>
    <row r="94" spans="1:27" x14ac:dyDescent="0.25">
      <c r="A94" s="7"/>
      <c r="B94" s="94"/>
      <c r="C94" s="105"/>
      <c r="D94" s="148"/>
      <c r="E94" s="148"/>
      <c r="F94" s="93"/>
      <c r="G94" s="105"/>
      <c r="H94" s="105"/>
      <c r="I94" s="105"/>
      <c r="J94" s="105"/>
      <c r="K94" s="105"/>
      <c r="L94" s="105"/>
      <c r="M94" s="105"/>
      <c r="N94" s="108"/>
      <c r="O94" s="67"/>
      <c r="P94" s="67"/>
      <c r="Q94" s="144"/>
      <c r="R94" s="115"/>
      <c r="S94" s="54"/>
      <c r="T94" s="132"/>
      <c r="W94" s="1"/>
      <c r="X94" s="1"/>
      <c r="Y94" s="1"/>
      <c r="Z94" s="126"/>
      <c r="AA94" s="83"/>
    </row>
    <row r="95" spans="1:27" x14ac:dyDescent="0.25">
      <c r="A95" s="7"/>
      <c r="B95" s="94"/>
      <c r="C95" s="105"/>
      <c r="D95" s="148"/>
      <c r="E95" s="148"/>
      <c r="F95" s="93"/>
      <c r="G95" s="105"/>
      <c r="H95" s="105"/>
      <c r="I95" s="105"/>
      <c r="J95" s="105"/>
      <c r="K95" s="105"/>
      <c r="L95" s="105"/>
      <c r="M95" s="105"/>
      <c r="N95" s="108"/>
      <c r="O95" s="67"/>
      <c r="P95" s="67"/>
      <c r="Q95" s="144"/>
      <c r="R95" s="115"/>
      <c r="S95" s="54"/>
      <c r="T95" s="132"/>
      <c r="W95" s="1"/>
      <c r="X95" s="1"/>
      <c r="Y95" s="1"/>
      <c r="Z95" s="126"/>
      <c r="AA95" s="83"/>
    </row>
    <row r="96" spans="1:27" x14ac:dyDescent="0.25">
      <c r="A96" s="7"/>
      <c r="B96" s="94"/>
      <c r="C96" s="105"/>
      <c r="D96" s="148"/>
      <c r="E96" s="148"/>
      <c r="F96" s="93"/>
      <c r="G96" s="105"/>
      <c r="H96" s="105"/>
      <c r="I96" s="105"/>
      <c r="J96" s="105"/>
      <c r="K96" s="105"/>
      <c r="L96" s="105"/>
      <c r="M96" s="105"/>
      <c r="N96" s="108"/>
      <c r="O96" s="67"/>
      <c r="P96" s="67"/>
      <c r="Q96" s="144"/>
      <c r="R96" s="115"/>
      <c r="S96" s="54"/>
      <c r="T96" s="132"/>
      <c r="W96" s="1"/>
      <c r="X96" s="1"/>
      <c r="Y96" s="1"/>
      <c r="Z96" s="126"/>
      <c r="AA96" s="83"/>
    </row>
    <row r="97" spans="1:27" x14ac:dyDescent="0.25">
      <c r="A97" s="7"/>
      <c r="B97" s="94"/>
      <c r="C97" s="105"/>
      <c r="D97" s="148"/>
      <c r="E97" s="148"/>
      <c r="F97" s="93"/>
      <c r="G97" s="105"/>
      <c r="H97" s="105"/>
      <c r="I97" s="105"/>
      <c r="J97" s="105"/>
      <c r="K97" s="105"/>
      <c r="L97" s="105"/>
      <c r="M97" s="105"/>
      <c r="N97" s="108"/>
      <c r="O97" s="67"/>
      <c r="P97" s="67"/>
      <c r="Q97" s="144"/>
      <c r="R97" s="115"/>
      <c r="S97" s="54"/>
      <c r="T97" s="132"/>
      <c r="W97" s="1"/>
      <c r="X97" s="1"/>
      <c r="Y97" s="1"/>
      <c r="Z97" s="126"/>
      <c r="AA97" s="83"/>
    </row>
    <row r="98" spans="1:27" x14ac:dyDescent="0.25">
      <c r="A98" s="7"/>
      <c r="B98" s="94"/>
      <c r="C98" s="105"/>
      <c r="D98" s="148"/>
      <c r="E98" s="148"/>
      <c r="F98" s="93"/>
      <c r="G98" s="105"/>
      <c r="H98" s="105"/>
      <c r="I98" s="105"/>
      <c r="J98" s="105"/>
      <c r="K98" s="105"/>
      <c r="L98" s="105"/>
      <c r="M98" s="105"/>
      <c r="N98" s="108"/>
      <c r="O98" s="67"/>
      <c r="P98" s="67"/>
      <c r="Q98" s="144"/>
      <c r="R98" s="115"/>
      <c r="S98" s="54"/>
      <c r="T98" s="132"/>
      <c r="W98" s="1"/>
      <c r="X98" s="1"/>
      <c r="Y98" s="1"/>
      <c r="Z98" s="126"/>
      <c r="AA98" s="83"/>
    </row>
    <row r="99" spans="1:27" x14ac:dyDescent="0.25">
      <c r="A99" s="7"/>
      <c r="B99" s="94"/>
      <c r="C99" s="105"/>
      <c r="D99" s="148"/>
      <c r="E99" s="148"/>
      <c r="F99" s="93"/>
      <c r="G99" s="105"/>
      <c r="H99" s="105"/>
      <c r="I99" s="105"/>
      <c r="J99" s="105"/>
      <c r="K99" s="105"/>
      <c r="L99" s="105"/>
      <c r="M99" s="105"/>
      <c r="N99" s="108"/>
      <c r="O99" s="67"/>
      <c r="P99" s="67"/>
      <c r="Q99" s="144"/>
      <c r="R99" s="115"/>
      <c r="S99" s="54"/>
      <c r="T99" s="132"/>
      <c r="W99" s="1"/>
      <c r="X99" s="1"/>
      <c r="Y99" s="1"/>
      <c r="Z99" s="126"/>
      <c r="AA99" s="83"/>
    </row>
    <row r="100" spans="1:27" x14ac:dyDescent="0.25">
      <c r="A100" s="7"/>
      <c r="B100" s="94"/>
      <c r="C100" s="105"/>
      <c r="D100" s="148"/>
      <c r="E100" s="148"/>
      <c r="F100" s="93"/>
      <c r="G100" s="105"/>
      <c r="H100" s="105"/>
      <c r="I100" s="105"/>
      <c r="J100" s="105"/>
      <c r="K100" s="105"/>
      <c r="L100" s="105"/>
      <c r="M100" s="105"/>
      <c r="N100" s="108"/>
      <c r="O100" s="67"/>
      <c r="P100" s="67"/>
      <c r="Q100" s="144"/>
      <c r="R100" s="115"/>
      <c r="S100" s="54"/>
      <c r="T100" s="132"/>
      <c r="W100" s="1"/>
      <c r="X100" s="1"/>
      <c r="Y100" s="1"/>
      <c r="Z100" s="126"/>
      <c r="AA100" s="83"/>
    </row>
    <row r="101" spans="1:27" x14ac:dyDescent="0.25">
      <c r="A101" s="7"/>
      <c r="B101" s="94"/>
      <c r="C101" s="105"/>
      <c r="D101" s="148"/>
      <c r="E101" s="148"/>
      <c r="F101" s="93"/>
      <c r="G101" s="105"/>
      <c r="H101" s="105"/>
      <c r="I101" s="105"/>
      <c r="J101" s="105"/>
      <c r="K101" s="105"/>
      <c r="L101" s="105"/>
      <c r="M101" s="105"/>
      <c r="N101" s="108"/>
      <c r="O101" s="67"/>
      <c r="P101" s="67"/>
      <c r="Q101" s="144"/>
      <c r="R101" s="115"/>
      <c r="S101" s="54"/>
      <c r="T101" s="132"/>
      <c r="W101" s="1"/>
      <c r="X101" s="1"/>
      <c r="Y101" s="1"/>
      <c r="Z101" s="126"/>
      <c r="AA101" s="83"/>
    </row>
    <row r="102" spans="1:27" x14ac:dyDescent="0.25">
      <c r="A102" s="7"/>
      <c r="B102" s="94"/>
      <c r="C102" s="105"/>
      <c r="D102" s="148"/>
      <c r="E102" s="148"/>
      <c r="F102" s="93"/>
      <c r="G102" s="105"/>
      <c r="H102" s="105"/>
      <c r="I102" s="105"/>
      <c r="J102" s="105"/>
      <c r="K102" s="105"/>
      <c r="L102" s="105"/>
      <c r="M102" s="105"/>
      <c r="N102" s="108"/>
      <c r="O102" s="67"/>
      <c r="P102" s="67"/>
      <c r="Q102" s="144"/>
      <c r="R102" s="115"/>
      <c r="S102" s="54"/>
      <c r="T102" s="132"/>
      <c r="W102" s="1"/>
      <c r="X102" s="1"/>
      <c r="Y102" s="1"/>
      <c r="Z102" s="126"/>
      <c r="AA102" s="83"/>
    </row>
    <row r="103" spans="1:27" x14ac:dyDescent="0.25">
      <c r="A103" s="7"/>
      <c r="B103" s="94"/>
      <c r="C103" s="105"/>
      <c r="D103" s="148"/>
      <c r="E103" s="148"/>
      <c r="F103" s="93"/>
      <c r="G103" s="105"/>
      <c r="H103" s="105"/>
      <c r="I103" s="105"/>
      <c r="J103" s="105"/>
      <c r="K103" s="105"/>
      <c r="L103" s="105"/>
      <c r="M103" s="105"/>
      <c r="N103" s="108"/>
      <c r="O103" s="67"/>
      <c r="P103" s="67"/>
      <c r="Q103" s="144"/>
      <c r="R103" s="115"/>
      <c r="S103" s="54"/>
      <c r="T103" s="132"/>
      <c r="W103" s="1"/>
      <c r="X103" s="1"/>
      <c r="Y103" s="1"/>
      <c r="Z103" s="126"/>
      <c r="AA103" s="83"/>
    </row>
    <row r="104" spans="1:27" x14ac:dyDescent="0.25">
      <c r="A104" s="7"/>
      <c r="B104" s="94"/>
      <c r="C104" s="105"/>
      <c r="D104" s="148"/>
      <c r="E104" s="148"/>
      <c r="F104" s="93"/>
      <c r="G104" s="105"/>
      <c r="H104" s="105"/>
      <c r="I104" s="105"/>
      <c r="J104" s="105"/>
      <c r="K104" s="105"/>
      <c r="L104" s="105"/>
      <c r="M104" s="105"/>
      <c r="N104" s="108"/>
      <c r="O104" s="67"/>
      <c r="P104" s="67"/>
      <c r="Q104" s="144"/>
      <c r="R104" s="115"/>
      <c r="S104" s="54"/>
      <c r="T104" s="132"/>
      <c r="W104" s="1"/>
      <c r="X104" s="1"/>
      <c r="Y104" s="1"/>
      <c r="Z104" s="126"/>
      <c r="AA104" s="83"/>
    </row>
    <row r="105" spans="1:27" x14ac:dyDescent="0.25">
      <c r="A105" s="7"/>
      <c r="B105" s="94"/>
      <c r="C105" s="105"/>
      <c r="D105" s="148"/>
      <c r="E105" s="148"/>
      <c r="F105" s="93"/>
      <c r="G105" s="105"/>
      <c r="H105" s="105"/>
      <c r="I105" s="105"/>
      <c r="J105" s="105"/>
      <c r="K105" s="105"/>
      <c r="L105" s="105"/>
      <c r="M105" s="105"/>
      <c r="N105" s="108"/>
      <c r="O105" s="67"/>
      <c r="P105" s="67"/>
      <c r="Q105" s="144"/>
      <c r="R105" s="115"/>
      <c r="S105" s="54"/>
      <c r="T105" s="132"/>
      <c r="W105" s="1"/>
      <c r="X105" s="1"/>
      <c r="Y105" s="1"/>
      <c r="Z105" s="126"/>
      <c r="AA105" s="83"/>
    </row>
    <row r="106" spans="1:27" x14ac:dyDescent="0.25">
      <c r="A106" s="7"/>
      <c r="B106" s="94"/>
      <c r="C106" s="105"/>
      <c r="D106" s="148"/>
      <c r="E106" s="148"/>
      <c r="F106" s="93"/>
      <c r="G106" s="105"/>
      <c r="H106" s="105"/>
      <c r="I106" s="105"/>
      <c r="J106" s="105"/>
      <c r="K106" s="105"/>
      <c r="L106" s="105"/>
      <c r="M106" s="105"/>
      <c r="N106" s="108"/>
      <c r="O106" s="67"/>
      <c r="P106" s="67"/>
      <c r="Q106" s="144"/>
      <c r="R106" s="115"/>
      <c r="S106" s="54"/>
      <c r="T106" s="132"/>
      <c r="W106" s="1"/>
      <c r="X106" s="1"/>
      <c r="Y106" s="1"/>
      <c r="Z106" s="126"/>
      <c r="AA106" s="83"/>
    </row>
    <row r="107" spans="1:27" x14ac:dyDescent="0.25">
      <c r="A107" s="7"/>
      <c r="B107" s="94"/>
      <c r="C107" s="105"/>
      <c r="D107" s="148"/>
      <c r="E107" s="148"/>
      <c r="F107" s="93"/>
      <c r="G107" s="105"/>
      <c r="H107" s="105"/>
      <c r="I107" s="105"/>
      <c r="J107" s="105"/>
      <c r="K107" s="105"/>
      <c r="L107" s="105"/>
      <c r="M107" s="105"/>
      <c r="N107" s="108"/>
      <c r="O107" s="67"/>
      <c r="P107" s="67"/>
      <c r="Q107" s="144"/>
      <c r="R107" s="115"/>
      <c r="S107" s="54"/>
      <c r="T107" s="132"/>
      <c r="W107" s="1"/>
      <c r="X107" s="1"/>
      <c r="Y107" s="1"/>
      <c r="Z107" s="126"/>
      <c r="AA107" s="83"/>
    </row>
    <row r="108" spans="1:27" x14ac:dyDescent="0.25">
      <c r="A108" s="7"/>
      <c r="B108" s="94"/>
      <c r="C108" s="105"/>
      <c r="D108" s="148"/>
      <c r="E108" s="148"/>
      <c r="F108" s="93"/>
      <c r="G108" s="105"/>
      <c r="H108" s="105"/>
      <c r="I108" s="105"/>
      <c r="J108" s="105"/>
      <c r="K108" s="105"/>
      <c r="L108" s="105"/>
      <c r="M108" s="105"/>
      <c r="N108" s="108"/>
      <c r="O108" s="67"/>
      <c r="P108" s="67"/>
      <c r="Q108" s="144"/>
      <c r="R108" s="115"/>
      <c r="S108" s="54"/>
      <c r="T108" s="132"/>
      <c r="W108" s="1"/>
      <c r="X108" s="1"/>
      <c r="Y108" s="1"/>
      <c r="Z108" s="126"/>
      <c r="AA108" s="83"/>
    </row>
    <row r="109" spans="1:27" x14ac:dyDescent="0.25">
      <c r="A109" s="7"/>
      <c r="B109" s="94"/>
      <c r="C109" s="105"/>
      <c r="D109" s="148"/>
      <c r="E109" s="148"/>
      <c r="F109" s="93"/>
      <c r="G109" s="105"/>
      <c r="H109" s="105"/>
      <c r="I109" s="105"/>
      <c r="J109" s="105"/>
      <c r="K109" s="105"/>
      <c r="L109" s="105"/>
      <c r="M109" s="105"/>
      <c r="N109" s="108"/>
      <c r="O109" s="67"/>
      <c r="P109" s="67"/>
      <c r="Q109" s="144"/>
      <c r="R109" s="115"/>
      <c r="S109" s="54"/>
      <c r="T109" s="132"/>
      <c r="W109" s="1"/>
      <c r="X109" s="1"/>
      <c r="Y109" s="1"/>
      <c r="Z109" s="126"/>
      <c r="AA109" s="83"/>
    </row>
    <row r="110" spans="1:27" x14ac:dyDescent="0.25">
      <c r="A110" s="7"/>
      <c r="B110" s="94"/>
      <c r="C110" s="105"/>
      <c r="D110" s="148"/>
      <c r="E110" s="148"/>
      <c r="F110" s="93"/>
      <c r="G110" s="105"/>
      <c r="H110" s="105"/>
      <c r="I110" s="105"/>
      <c r="J110" s="105"/>
      <c r="K110" s="105"/>
      <c r="L110" s="105"/>
      <c r="M110" s="105"/>
      <c r="N110" s="108"/>
      <c r="O110" s="67"/>
      <c r="P110" s="67"/>
      <c r="Q110" s="144"/>
      <c r="R110" s="115"/>
      <c r="S110" s="54"/>
      <c r="T110" s="132"/>
      <c r="W110" s="1"/>
      <c r="X110" s="1"/>
      <c r="Y110" s="1"/>
      <c r="Z110" s="126"/>
      <c r="AA110" s="83"/>
    </row>
    <row r="111" spans="1:27" x14ac:dyDescent="0.25">
      <c r="A111" s="7"/>
      <c r="B111" s="94"/>
      <c r="C111" s="105"/>
      <c r="D111" s="148"/>
      <c r="E111" s="148"/>
      <c r="F111" s="93"/>
      <c r="G111" s="105"/>
      <c r="H111" s="105"/>
      <c r="I111" s="105"/>
      <c r="J111" s="105"/>
      <c r="K111" s="105"/>
      <c r="L111" s="105"/>
      <c r="M111" s="105"/>
      <c r="N111" s="108"/>
      <c r="O111" s="67"/>
      <c r="P111" s="67"/>
      <c r="Q111" s="144"/>
      <c r="R111" s="115"/>
      <c r="S111" s="54"/>
      <c r="T111" s="132"/>
      <c r="W111" s="1"/>
      <c r="X111" s="1"/>
      <c r="Y111" s="1"/>
      <c r="Z111" s="126"/>
      <c r="AA111" s="83"/>
    </row>
    <row r="112" spans="1:27" x14ac:dyDescent="0.25">
      <c r="A112" s="7"/>
      <c r="B112" s="94"/>
      <c r="C112" s="105"/>
      <c r="D112" s="148"/>
      <c r="E112" s="148"/>
      <c r="F112" s="93"/>
      <c r="G112" s="105"/>
      <c r="H112" s="105"/>
      <c r="I112" s="105"/>
      <c r="J112" s="105"/>
      <c r="K112" s="105"/>
      <c r="L112" s="105"/>
      <c r="M112" s="105"/>
      <c r="N112" s="108"/>
      <c r="O112" s="67"/>
      <c r="P112" s="67"/>
      <c r="Q112" s="144"/>
      <c r="R112" s="115"/>
      <c r="S112" s="54"/>
      <c r="T112" s="132"/>
      <c r="W112" s="1"/>
      <c r="X112" s="1"/>
      <c r="Y112" s="1"/>
      <c r="Z112" s="126"/>
      <c r="AA112" s="83"/>
    </row>
    <row r="113" spans="1:27" x14ac:dyDescent="0.25">
      <c r="A113" s="7"/>
      <c r="B113" s="94"/>
      <c r="C113" s="105"/>
      <c r="D113" s="148"/>
      <c r="E113" s="148"/>
      <c r="F113" s="93"/>
      <c r="G113" s="105"/>
      <c r="H113" s="105"/>
      <c r="I113" s="105"/>
      <c r="J113" s="105"/>
      <c r="K113" s="105"/>
      <c r="L113" s="105"/>
      <c r="M113" s="105"/>
      <c r="N113" s="108"/>
      <c r="O113" s="67"/>
      <c r="P113" s="67"/>
      <c r="Q113" s="144"/>
      <c r="R113" s="115"/>
      <c r="S113" s="54"/>
      <c r="T113" s="132"/>
      <c r="W113" s="1"/>
      <c r="X113" s="1"/>
      <c r="Y113" s="1"/>
      <c r="Z113" s="126"/>
      <c r="AA113" s="83"/>
    </row>
    <row r="114" spans="1:27" x14ac:dyDescent="0.25">
      <c r="A114" s="7"/>
      <c r="B114" s="94"/>
      <c r="C114" s="105"/>
      <c r="D114" s="148"/>
      <c r="E114" s="148"/>
      <c r="F114" s="93"/>
      <c r="G114" s="105"/>
      <c r="H114" s="105"/>
      <c r="I114" s="105"/>
      <c r="J114" s="105"/>
      <c r="K114" s="105"/>
      <c r="L114" s="105"/>
      <c r="M114" s="105"/>
      <c r="N114" s="108"/>
      <c r="O114" s="67"/>
      <c r="P114" s="67"/>
      <c r="Q114" s="144"/>
      <c r="R114" s="115"/>
      <c r="S114" s="54"/>
      <c r="T114" s="132"/>
      <c r="W114" s="1"/>
      <c r="X114" s="1"/>
      <c r="Y114" s="1"/>
      <c r="Z114" s="126"/>
      <c r="AA114" s="83"/>
    </row>
    <row r="115" spans="1:27" x14ac:dyDescent="0.25">
      <c r="A115" s="7"/>
      <c r="B115" s="94"/>
      <c r="C115" s="105"/>
      <c r="D115" s="148"/>
      <c r="E115" s="148"/>
      <c r="F115" s="93"/>
      <c r="G115" s="105"/>
      <c r="H115" s="105"/>
      <c r="I115" s="105"/>
      <c r="J115" s="105"/>
      <c r="K115" s="105"/>
      <c r="L115" s="105"/>
      <c r="M115" s="105"/>
      <c r="N115" s="108"/>
      <c r="O115" s="67"/>
      <c r="P115" s="67"/>
      <c r="Q115" s="144"/>
      <c r="R115" s="115"/>
      <c r="S115" s="54"/>
      <c r="T115" s="132"/>
      <c r="W115" s="1"/>
      <c r="X115" s="1"/>
      <c r="Y115" s="1"/>
      <c r="Z115" s="126"/>
      <c r="AA115" s="83"/>
    </row>
    <row r="116" spans="1:27" x14ac:dyDescent="0.25">
      <c r="A116" s="7"/>
      <c r="B116" s="94"/>
      <c r="C116" s="105"/>
      <c r="D116" s="148"/>
      <c r="E116" s="148"/>
      <c r="F116" s="93"/>
      <c r="G116" s="105"/>
      <c r="H116" s="105"/>
      <c r="I116" s="105"/>
      <c r="J116" s="105"/>
      <c r="K116" s="105"/>
      <c r="L116" s="105"/>
      <c r="M116" s="105"/>
      <c r="N116" s="108"/>
      <c r="O116" s="67"/>
      <c r="P116" s="67"/>
      <c r="Q116" s="144"/>
      <c r="R116" s="115"/>
      <c r="S116" s="54"/>
      <c r="T116" s="132"/>
      <c r="W116" s="1"/>
      <c r="X116" s="1"/>
      <c r="Y116" s="1"/>
      <c r="Z116" s="126"/>
      <c r="AA116" s="83"/>
    </row>
    <row r="117" spans="1:27" x14ac:dyDescent="0.25">
      <c r="A117" s="7"/>
      <c r="B117" s="94"/>
      <c r="C117" s="105"/>
      <c r="D117" s="148"/>
      <c r="E117" s="148"/>
      <c r="F117" s="93"/>
      <c r="G117" s="105"/>
      <c r="H117" s="105"/>
      <c r="I117" s="105"/>
      <c r="J117" s="105"/>
      <c r="K117" s="105"/>
      <c r="L117" s="105"/>
      <c r="M117" s="105"/>
      <c r="N117" s="108"/>
      <c r="O117" s="67"/>
      <c r="P117" s="67"/>
      <c r="Q117" s="144"/>
      <c r="R117" s="115"/>
      <c r="S117" s="54"/>
      <c r="T117" s="132"/>
      <c r="W117" s="1"/>
      <c r="X117" s="1"/>
      <c r="Y117" s="1"/>
      <c r="Z117" s="126"/>
      <c r="AA117" s="83"/>
    </row>
    <row r="118" spans="1:27" x14ac:dyDescent="0.25">
      <c r="A118" s="7"/>
      <c r="B118" s="94"/>
      <c r="C118" s="105"/>
      <c r="D118" s="148"/>
      <c r="E118" s="148"/>
      <c r="F118" s="93"/>
      <c r="G118" s="105"/>
      <c r="H118" s="105"/>
      <c r="I118" s="105"/>
      <c r="J118" s="105"/>
      <c r="K118" s="105"/>
      <c r="L118" s="105"/>
      <c r="M118" s="105"/>
      <c r="N118" s="108"/>
      <c r="O118" s="67"/>
      <c r="P118" s="67"/>
      <c r="Q118" s="144"/>
      <c r="R118" s="115"/>
      <c r="S118" s="54"/>
      <c r="T118" s="132"/>
      <c r="W118" s="1"/>
      <c r="X118" s="1"/>
      <c r="Y118" s="1"/>
      <c r="Z118" s="126"/>
      <c r="AA118" s="83"/>
    </row>
    <row r="119" spans="1:27" x14ac:dyDescent="0.25">
      <c r="A119" s="7"/>
      <c r="B119" s="94"/>
      <c r="C119" s="105"/>
      <c r="D119" s="148"/>
      <c r="E119" s="148"/>
      <c r="F119" s="93"/>
      <c r="G119" s="105"/>
      <c r="H119" s="105"/>
      <c r="I119" s="105"/>
      <c r="J119" s="105"/>
      <c r="K119" s="105"/>
      <c r="L119" s="105"/>
      <c r="M119" s="105"/>
      <c r="N119" s="108"/>
      <c r="O119" s="67"/>
      <c r="P119" s="67"/>
      <c r="Q119" s="144"/>
      <c r="R119" s="115"/>
      <c r="S119" s="54"/>
      <c r="T119" s="132"/>
      <c r="W119" s="1"/>
      <c r="X119" s="1"/>
      <c r="Y119" s="1"/>
      <c r="Z119" s="126"/>
      <c r="AA119" s="83"/>
    </row>
    <row r="120" spans="1:27" x14ac:dyDescent="0.25">
      <c r="A120" s="7"/>
      <c r="B120" s="94"/>
      <c r="C120" s="105"/>
      <c r="D120" s="148"/>
      <c r="E120" s="148"/>
      <c r="F120" s="93"/>
      <c r="G120" s="105"/>
      <c r="H120" s="105"/>
      <c r="I120" s="105"/>
      <c r="J120" s="105"/>
      <c r="K120" s="105"/>
      <c r="L120" s="105"/>
      <c r="M120" s="105"/>
      <c r="N120" s="108"/>
      <c r="O120" s="67"/>
      <c r="P120" s="67"/>
      <c r="Q120" s="144"/>
      <c r="R120" s="115"/>
      <c r="S120" s="54"/>
      <c r="T120" s="132"/>
      <c r="W120" s="1"/>
      <c r="X120" s="1"/>
      <c r="Y120" s="1"/>
      <c r="Z120" s="126"/>
      <c r="AA120" s="83"/>
    </row>
    <row r="121" spans="1:27" x14ac:dyDescent="0.25">
      <c r="A121" s="7"/>
      <c r="B121" s="94"/>
      <c r="C121" s="105"/>
      <c r="D121" s="148"/>
      <c r="E121" s="148"/>
      <c r="F121" s="93"/>
      <c r="G121" s="105"/>
      <c r="H121" s="105"/>
      <c r="I121" s="105"/>
      <c r="J121" s="105"/>
      <c r="K121" s="105"/>
      <c r="L121" s="105"/>
      <c r="M121" s="105"/>
      <c r="N121" s="108"/>
      <c r="O121" s="67"/>
      <c r="P121" s="67"/>
      <c r="Q121" s="144"/>
      <c r="R121" s="115"/>
      <c r="S121" s="54"/>
      <c r="T121" s="132"/>
      <c r="W121" s="1"/>
      <c r="X121" s="1"/>
      <c r="Y121" s="1"/>
      <c r="Z121" s="126"/>
      <c r="AA121" s="83"/>
    </row>
    <row r="122" spans="1:27" x14ac:dyDescent="0.25">
      <c r="A122" s="7"/>
      <c r="B122" s="94"/>
      <c r="C122" s="105"/>
      <c r="D122" s="148"/>
      <c r="E122" s="148"/>
      <c r="F122" s="93"/>
      <c r="G122" s="105"/>
      <c r="H122" s="105"/>
      <c r="I122" s="105"/>
      <c r="J122" s="105"/>
      <c r="K122" s="105"/>
      <c r="L122" s="105"/>
      <c r="M122" s="105"/>
      <c r="N122" s="108"/>
      <c r="O122" s="67"/>
      <c r="P122" s="67"/>
      <c r="Q122" s="144"/>
      <c r="R122" s="115"/>
      <c r="S122" s="54"/>
      <c r="T122" s="132"/>
      <c r="W122" s="1"/>
      <c r="X122" s="1"/>
      <c r="Y122" s="1"/>
      <c r="Z122" s="126"/>
      <c r="AA122" s="83"/>
    </row>
    <row r="123" spans="1:27" x14ac:dyDescent="0.25">
      <c r="A123" s="7"/>
      <c r="B123" s="94"/>
      <c r="C123" s="105"/>
      <c r="D123" s="148"/>
      <c r="E123" s="148"/>
      <c r="F123" s="93"/>
      <c r="G123" s="105"/>
      <c r="H123" s="105"/>
      <c r="I123" s="105"/>
      <c r="J123" s="105"/>
      <c r="K123" s="105"/>
      <c r="L123" s="105"/>
      <c r="M123" s="105"/>
      <c r="N123" s="108"/>
      <c r="O123" s="67"/>
      <c r="P123" s="67"/>
      <c r="Q123" s="144"/>
      <c r="R123" s="115"/>
      <c r="S123" s="54"/>
      <c r="T123" s="132"/>
      <c r="W123" s="1"/>
      <c r="X123" s="1"/>
      <c r="Y123" s="1"/>
      <c r="Z123" s="126"/>
      <c r="AA123" s="83"/>
    </row>
    <row r="124" spans="1:27" x14ac:dyDescent="0.25">
      <c r="A124" s="7"/>
      <c r="B124" s="94"/>
      <c r="C124" s="105"/>
      <c r="D124" s="148"/>
      <c r="E124" s="148"/>
      <c r="F124" s="93"/>
      <c r="G124" s="105"/>
      <c r="H124" s="105"/>
      <c r="I124" s="105"/>
      <c r="J124" s="105"/>
      <c r="K124" s="105"/>
      <c r="L124" s="105"/>
      <c r="M124" s="105"/>
      <c r="N124" s="108"/>
      <c r="O124" s="67"/>
      <c r="P124" s="67"/>
      <c r="Q124" s="144"/>
      <c r="R124" s="115"/>
      <c r="S124" s="54"/>
      <c r="T124" s="132"/>
      <c r="W124" s="1"/>
      <c r="X124" s="1"/>
      <c r="Y124" s="1"/>
      <c r="Z124" s="126"/>
      <c r="AA124" s="83"/>
    </row>
    <row r="125" spans="1:27" x14ac:dyDescent="0.25">
      <c r="A125" s="7"/>
      <c r="B125" s="94"/>
      <c r="C125" s="105"/>
      <c r="D125" s="148"/>
      <c r="E125" s="148"/>
      <c r="F125" s="93"/>
      <c r="G125" s="105"/>
      <c r="H125" s="105"/>
      <c r="I125" s="105"/>
      <c r="J125" s="105"/>
      <c r="K125" s="105"/>
      <c r="L125" s="105"/>
      <c r="M125" s="105"/>
      <c r="N125" s="108"/>
      <c r="O125" s="67"/>
      <c r="P125" s="67"/>
      <c r="Q125" s="144"/>
      <c r="R125" s="115"/>
      <c r="S125" s="54"/>
      <c r="T125" s="132"/>
      <c r="W125" s="1"/>
      <c r="X125" s="1"/>
      <c r="Y125" s="1"/>
      <c r="Z125" s="126"/>
      <c r="AA125" s="83"/>
    </row>
    <row r="126" spans="1:27" x14ac:dyDescent="0.25">
      <c r="A126" s="7"/>
      <c r="B126" s="94"/>
      <c r="C126" s="105"/>
      <c r="D126" s="148"/>
      <c r="E126" s="148"/>
      <c r="F126" s="93"/>
      <c r="G126" s="105"/>
      <c r="H126" s="105"/>
      <c r="I126" s="105"/>
      <c r="J126" s="105"/>
      <c r="K126" s="105"/>
      <c r="L126" s="105"/>
      <c r="M126" s="105"/>
      <c r="N126" s="108"/>
      <c r="O126" s="67"/>
      <c r="P126" s="67"/>
      <c r="Q126" s="144"/>
      <c r="R126" s="115"/>
      <c r="S126" s="54"/>
      <c r="T126" s="132"/>
      <c r="W126" s="1"/>
      <c r="X126" s="1"/>
      <c r="Y126" s="1"/>
      <c r="Z126" s="126"/>
      <c r="AA126" s="83"/>
    </row>
    <row r="127" spans="1:27" x14ac:dyDescent="0.25">
      <c r="A127" s="7"/>
      <c r="B127" s="94"/>
      <c r="C127" s="105"/>
      <c r="D127" s="148"/>
      <c r="E127" s="148"/>
      <c r="F127" s="93"/>
      <c r="G127" s="105"/>
      <c r="H127" s="105"/>
      <c r="I127" s="105"/>
      <c r="J127" s="105"/>
      <c r="K127" s="105"/>
      <c r="L127" s="105"/>
      <c r="M127" s="105"/>
      <c r="N127" s="108"/>
      <c r="O127" s="67"/>
      <c r="P127" s="67"/>
      <c r="Q127" s="144"/>
      <c r="R127" s="115"/>
      <c r="S127" s="54"/>
      <c r="T127" s="132"/>
      <c r="W127" s="1"/>
      <c r="X127" s="1"/>
      <c r="Y127" s="1"/>
      <c r="Z127" s="126"/>
      <c r="AA127" s="83"/>
    </row>
    <row r="128" spans="1:27" x14ac:dyDescent="0.25">
      <c r="A128" s="7"/>
      <c r="B128" s="94"/>
      <c r="C128" s="105"/>
      <c r="D128" s="148"/>
      <c r="E128" s="148"/>
      <c r="F128" s="93"/>
      <c r="G128" s="105"/>
      <c r="H128" s="105"/>
      <c r="I128" s="105"/>
      <c r="J128" s="105"/>
      <c r="K128" s="105"/>
      <c r="L128" s="105"/>
      <c r="M128" s="105"/>
      <c r="N128" s="108"/>
      <c r="O128" s="67"/>
      <c r="P128" s="67"/>
      <c r="Q128" s="144"/>
      <c r="R128" s="115"/>
      <c r="S128" s="54"/>
      <c r="T128" s="132"/>
      <c r="W128" s="1"/>
      <c r="X128" s="1"/>
      <c r="Y128" s="1"/>
      <c r="Z128" s="126"/>
      <c r="AA128" s="83"/>
    </row>
    <row r="129" spans="1:27" x14ac:dyDescent="0.25">
      <c r="A129" s="7"/>
      <c r="B129" s="94"/>
      <c r="C129" s="105"/>
      <c r="D129" s="148"/>
      <c r="E129" s="148"/>
      <c r="F129" s="93"/>
      <c r="G129" s="105"/>
      <c r="H129" s="105"/>
      <c r="I129" s="105"/>
      <c r="J129" s="105"/>
      <c r="K129" s="105"/>
      <c r="L129" s="105"/>
      <c r="M129" s="105"/>
      <c r="N129" s="108"/>
      <c r="O129" s="67"/>
      <c r="P129" s="67"/>
      <c r="Q129" s="144"/>
      <c r="R129" s="115"/>
      <c r="S129" s="54"/>
      <c r="T129" s="132"/>
      <c r="W129" s="1"/>
      <c r="X129" s="1"/>
      <c r="Y129" s="1"/>
      <c r="Z129" s="126"/>
      <c r="AA129" s="83"/>
    </row>
    <row r="130" spans="1:27" x14ac:dyDescent="0.25">
      <c r="A130" s="7"/>
      <c r="B130" s="94"/>
      <c r="C130" s="105"/>
      <c r="D130" s="148"/>
      <c r="E130" s="148"/>
      <c r="F130" s="93"/>
      <c r="G130" s="105"/>
      <c r="H130" s="105"/>
      <c r="I130" s="105"/>
      <c r="J130" s="105"/>
      <c r="K130" s="105"/>
      <c r="L130" s="105"/>
      <c r="M130" s="105"/>
      <c r="N130" s="108"/>
      <c r="O130" s="67"/>
      <c r="P130" s="67"/>
      <c r="Q130" s="144"/>
      <c r="R130" s="115"/>
      <c r="S130" s="54"/>
      <c r="T130" s="132"/>
      <c r="W130" s="1"/>
      <c r="X130" s="1"/>
      <c r="Y130" s="1"/>
      <c r="Z130" s="126"/>
      <c r="AA130" s="83"/>
    </row>
    <row r="131" spans="1:27" x14ac:dyDescent="0.25">
      <c r="A131" s="7"/>
      <c r="B131" s="94"/>
      <c r="C131" s="105"/>
      <c r="D131" s="148"/>
      <c r="E131" s="148"/>
      <c r="F131" s="93"/>
      <c r="G131" s="105"/>
      <c r="H131" s="105"/>
      <c r="I131" s="105"/>
      <c r="J131" s="105"/>
      <c r="K131" s="105"/>
      <c r="L131" s="105"/>
      <c r="M131" s="105"/>
      <c r="N131" s="108"/>
      <c r="O131" s="67"/>
      <c r="P131" s="67"/>
      <c r="Q131" s="144"/>
      <c r="R131" s="115"/>
      <c r="S131" s="54"/>
      <c r="T131" s="132"/>
      <c r="W131" s="1"/>
      <c r="X131" s="1"/>
      <c r="Y131" s="1"/>
      <c r="Z131" s="126"/>
      <c r="AA131" s="83"/>
    </row>
    <row r="132" spans="1:27" x14ac:dyDescent="0.25">
      <c r="A132" s="7"/>
      <c r="B132" s="94"/>
      <c r="C132" s="105"/>
      <c r="D132" s="148"/>
      <c r="E132" s="148"/>
      <c r="F132" s="93"/>
      <c r="G132" s="105"/>
      <c r="H132" s="105"/>
      <c r="I132" s="105"/>
      <c r="J132" s="105"/>
      <c r="K132" s="105"/>
      <c r="L132" s="105"/>
      <c r="M132" s="105"/>
      <c r="N132" s="108"/>
      <c r="O132" s="67"/>
      <c r="P132" s="67"/>
      <c r="Q132" s="144"/>
      <c r="R132" s="115"/>
      <c r="S132" s="54"/>
      <c r="T132" s="132"/>
      <c r="W132" s="1"/>
      <c r="X132" s="1"/>
      <c r="Y132" s="1"/>
      <c r="Z132" s="126"/>
      <c r="AA132" s="83"/>
    </row>
    <row r="133" spans="1:27" x14ac:dyDescent="0.25">
      <c r="A133" s="7"/>
      <c r="B133" s="94"/>
      <c r="C133" s="105"/>
      <c r="D133" s="148"/>
      <c r="E133" s="148"/>
      <c r="F133" s="93"/>
      <c r="G133" s="105"/>
      <c r="H133" s="105"/>
      <c r="I133" s="105"/>
      <c r="J133" s="105"/>
      <c r="K133" s="105"/>
      <c r="L133" s="105"/>
      <c r="M133" s="105"/>
      <c r="N133" s="108"/>
      <c r="O133" s="67"/>
      <c r="P133" s="67"/>
      <c r="Q133" s="144"/>
      <c r="R133" s="115"/>
      <c r="S133" s="54"/>
      <c r="T133" s="132"/>
      <c r="W133" s="1"/>
      <c r="X133" s="1"/>
      <c r="Y133" s="1"/>
      <c r="Z133" s="126"/>
      <c r="AA133" s="83"/>
    </row>
    <row r="134" spans="1:27" x14ac:dyDescent="0.25">
      <c r="A134" s="7"/>
      <c r="B134" s="94"/>
      <c r="C134" s="105"/>
      <c r="D134" s="148"/>
      <c r="E134" s="148"/>
      <c r="F134" s="93"/>
      <c r="G134" s="105"/>
      <c r="H134" s="105"/>
      <c r="I134" s="105"/>
      <c r="J134" s="105"/>
      <c r="K134" s="105"/>
      <c r="L134" s="105"/>
      <c r="M134" s="105"/>
      <c r="N134" s="108"/>
      <c r="O134" s="67"/>
      <c r="P134" s="67"/>
      <c r="Q134" s="144"/>
      <c r="R134" s="115"/>
      <c r="S134" s="54"/>
      <c r="T134" s="132"/>
      <c r="W134" s="1"/>
      <c r="X134" s="1"/>
      <c r="Y134" s="1"/>
      <c r="Z134" s="126"/>
      <c r="AA134" s="83"/>
    </row>
    <row r="135" spans="1:27" x14ac:dyDescent="0.25">
      <c r="A135" s="7"/>
      <c r="B135" s="94"/>
      <c r="C135" s="105"/>
      <c r="D135" s="148"/>
      <c r="E135" s="148"/>
      <c r="F135" s="93"/>
      <c r="G135" s="105"/>
      <c r="H135" s="105"/>
      <c r="I135" s="105"/>
      <c r="J135" s="105"/>
      <c r="K135" s="105"/>
      <c r="L135" s="105"/>
      <c r="M135" s="105"/>
      <c r="N135" s="108"/>
      <c r="O135" s="67"/>
      <c r="P135" s="67"/>
      <c r="Q135" s="144"/>
      <c r="R135" s="115"/>
      <c r="S135" s="54"/>
      <c r="T135" s="132"/>
      <c r="W135" s="1"/>
      <c r="X135" s="1"/>
      <c r="Y135" s="1"/>
      <c r="Z135" s="126"/>
      <c r="AA135" s="83"/>
    </row>
    <row r="136" spans="1:27" x14ac:dyDescent="0.25">
      <c r="A136" s="7"/>
      <c r="B136" s="94"/>
      <c r="C136" s="105"/>
      <c r="D136" s="148"/>
      <c r="E136" s="148"/>
      <c r="F136" s="93"/>
      <c r="G136" s="105"/>
      <c r="H136" s="105"/>
      <c r="I136" s="105"/>
      <c r="J136" s="105"/>
      <c r="K136" s="105"/>
      <c r="L136" s="105"/>
      <c r="M136" s="105"/>
      <c r="N136" s="108"/>
      <c r="O136" s="67"/>
      <c r="P136" s="67"/>
      <c r="Q136" s="144"/>
      <c r="R136" s="115"/>
      <c r="S136" s="54"/>
      <c r="T136" s="132"/>
      <c r="W136" s="1"/>
      <c r="X136" s="1"/>
      <c r="Y136" s="1"/>
      <c r="Z136" s="126"/>
      <c r="AA136" s="83"/>
    </row>
    <row r="137" spans="1:27" x14ac:dyDescent="0.25">
      <c r="A137" s="7"/>
      <c r="B137" s="94"/>
      <c r="C137" s="105"/>
      <c r="D137" s="148"/>
      <c r="E137" s="148"/>
      <c r="F137" s="93"/>
      <c r="G137" s="105"/>
      <c r="H137" s="105"/>
      <c r="I137" s="105"/>
      <c r="J137" s="105"/>
      <c r="K137" s="105"/>
      <c r="L137" s="105"/>
      <c r="M137" s="105"/>
      <c r="N137" s="108"/>
      <c r="O137" s="67"/>
      <c r="P137" s="67"/>
      <c r="Q137" s="144"/>
      <c r="R137" s="115"/>
      <c r="S137" s="54"/>
      <c r="T137" s="132"/>
      <c r="W137" s="1"/>
      <c r="X137" s="1"/>
      <c r="Y137" s="1"/>
      <c r="Z137" s="126"/>
      <c r="AA137" s="83"/>
    </row>
    <row r="138" spans="1:27" x14ac:dyDescent="0.25">
      <c r="A138" s="7"/>
      <c r="B138" s="94"/>
      <c r="C138" s="105"/>
      <c r="D138" s="148"/>
      <c r="E138" s="148"/>
      <c r="F138" s="93"/>
      <c r="G138" s="105"/>
      <c r="H138" s="105"/>
      <c r="I138" s="105"/>
      <c r="J138" s="105"/>
      <c r="K138" s="105"/>
      <c r="L138" s="105"/>
      <c r="M138" s="105"/>
      <c r="N138" s="108"/>
      <c r="O138" s="67"/>
      <c r="P138" s="67"/>
      <c r="Q138" s="144"/>
      <c r="R138" s="115"/>
      <c r="S138" s="54"/>
      <c r="T138" s="132"/>
      <c r="W138" s="1"/>
      <c r="X138" s="1"/>
      <c r="Y138" s="1"/>
      <c r="Z138" s="126"/>
      <c r="AA138" s="83"/>
    </row>
    <row r="139" spans="1:27" x14ac:dyDescent="0.25">
      <c r="A139" s="7"/>
      <c r="B139" s="94"/>
      <c r="C139" s="105"/>
      <c r="D139" s="148"/>
      <c r="E139" s="148"/>
      <c r="F139" s="93"/>
      <c r="G139" s="105"/>
      <c r="H139" s="105"/>
      <c r="I139" s="105"/>
      <c r="J139" s="105"/>
      <c r="K139" s="105"/>
      <c r="L139" s="105"/>
      <c r="M139" s="105"/>
      <c r="N139" s="108"/>
      <c r="O139" s="67"/>
      <c r="P139" s="67"/>
      <c r="Q139" s="144"/>
      <c r="R139" s="115"/>
      <c r="S139" s="54"/>
      <c r="T139" s="132"/>
      <c r="W139" s="1"/>
      <c r="X139" s="1"/>
      <c r="Y139" s="1"/>
      <c r="Z139" s="126"/>
      <c r="AA139" s="83"/>
    </row>
    <row r="140" spans="1:27" x14ac:dyDescent="0.25">
      <c r="A140" s="7"/>
      <c r="B140" s="94"/>
      <c r="C140" s="105"/>
      <c r="D140" s="148"/>
      <c r="E140" s="148"/>
      <c r="F140" s="93"/>
      <c r="G140" s="105"/>
      <c r="H140" s="105"/>
      <c r="I140" s="105"/>
      <c r="J140" s="105"/>
      <c r="K140" s="105"/>
      <c r="L140" s="105"/>
      <c r="M140" s="105"/>
      <c r="N140" s="108"/>
      <c r="O140" s="67"/>
      <c r="P140" s="67"/>
      <c r="Q140" s="144"/>
      <c r="R140" s="115"/>
      <c r="S140" s="54"/>
      <c r="T140" s="132"/>
      <c r="W140" s="1"/>
      <c r="X140" s="1"/>
      <c r="Y140" s="1"/>
      <c r="Z140" s="126"/>
      <c r="AA140" s="83"/>
    </row>
    <row r="141" spans="1:27" x14ac:dyDescent="0.25">
      <c r="A141" s="7"/>
      <c r="B141" s="94"/>
      <c r="C141" s="105"/>
      <c r="D141" s="148"/>
      <c r="E141" s="148"/>
      <c r="F141" s="93"/>
      <c r="G141" s="105"/>
      <c r="H141" s="105"/>
      <c r="I141" s="105"/>
      <c r="J141" s="105"/>
      <c r="K141" s="105"/>
      <c r="L141" s="105"/>
      <c r="M141" s="105"/>
      <c r="N141" s="108"/>
      <c r="O141" s="67"/>
      <c r="P141" s="67"/>
      <c r="Q141" s="144"/>
      <c r="R141" s="115"/>
      <c r="S141" s="54"/>
      <c r="T141" s="132"/>
      <c r="W141" s="1"/>
      <c r="X141" s="1"/>
      <c r="Y141" s="1"/>
      <c r="Z141" s="126"/>
      <c r="AA141" s="83"/>
    </row>
    <row r="142" spans="1:27" x14ac:dyDescent="0.25">
      <c r="A142" s="7"/>
      <c r="B142" s="94"/>
      <c r="C142" s="105"/>
      <c r="D142" s="148"/>
      <c r="E142" s="148"/>
      <c r="F142" s="93"/>
      <c r="G142" s="105"/>
      <c r="H142" s="105"/>
      <c r="I142" s="105"/>
      <c r="J142" s="105"/>
      <c r="K142" s="105"/>
      <c r="L142" s="105"/>
      <c r="M142" s="105"/>
      <c r="N142" s="108"/>
      <c r="O142" s="67"/>
      <c r="P142" s="67"/>
      <c r="Q142" s="144"/>
      <c r="R142" s="115"/>
      <c r="S142" s="54"/>
      <c r="T142" s="132"/>
      <c r="W142" s="1"/>
      <c r="X142" s="1"/>
      <c r="Y142" s="1"/>
      <c r="Z142" s="126"/>
      <c r="AA142" s="83"/>
    </row>
    <row r="143" spans="1:27" x14ac:dyDescent="0.25">
      <c r="A143" s="7"/>
      <c r="B143" s="94"/>
      <c r="C143" s="105"/>
      <c r="D143" s="148"/>
      <c r="E143" s="148"/>
      <c r="F143" s="93"/>
      <c r="G143" s="105"/>
      <c r="H143" s="105"/>
      <c r="I143" s="105"/>
      <c r="J143" s="105"/>
      <c r="K143" s="105"/>
      <c r="L143" s="105"/>
      <c r="M143" s="105"/>
      <c r="N143" s="108"/>
      <c r="O143" s="67"/>
      <c r="P143" s="67"/>
      <c r="Q143" s="144"/>
      <c r="R143" s="115"/>
      <c r="S143" s="54"/>
      <c r="T143" s="132"/>
      <c r="W143" s="1"/>
      <c r="X143" s="1"/>
      <c r="Y143" s="1"/>
      <c r="Z143" s="126"/>
      <c r="AA143" s="83"/>
    </row>
    <row r="144" spans="1:27" x14ac:dyDescent="0.25">
      <c r="A144" s="7"/>
      <c r="B144" s="94"/>
      <c r="C144" s="105"/>
      <c r="D144" s="148"/>
      <c r="E144" s="148"/>
      <c r="F144" s="93"/>
      <c r="G144" s="105"/>
      <c r="H144" s="105"/>
      <c r="I144" s="105"/>
      <c r="J144" s="105"/>
      <c r="K144" s="105"/>
      <c r="L144" s="105"/>
      <c r="M144" s="105"/>
      <c r="N144" s="108"/>
      <c r="O144" s="67"/>
      <c r="P144" s="67"/>
      <c r="Q144" s="144"/>
      <c r="R144" s="115"/>
      <c r="S144" s="54"/>
      <c r="T144" s="132"/>
      <c r="W144" s="1"/>
      <c r="X144" s="1"/>
      <c r="Y144" s="1"/>
      <c r="Z144" s="126"/>
      <c r="AA144" s="83"/>
    </row>
    <row r="145" spans="1:27" x14ac:dyDescent="0.25">
      <c r="A145" s="7"/>
      <c r="B145" s="94"/>
      <c r="C145" s="105"/>
      <c r="D145" s="148"/>
      <c r="E145" s="148"/>
      <c r="F145" s="93"/>
      <c r="G145" s="105"/>
      <c r="H145" s="105"/>
      <c r="I145" s="105"/>
      <c r="J145" s="105"/>
      <c r="K145" s="105"/>
      <c r="L145" s="105"/>
      <c r="M145" s="105"/>
      <c r="N145" s="108"/>
      <c r="O145" s="67"/>
      <c r="P145" s="67"/>
      <c r="Q145" s="144"/>
      <c r="R145" s="115"/>
      <c r="S145" s="54"/>
      <c r="T145" s="132"/>
      <c r="W145" s="1"/>
      <c r="X145" s="1"/>
      <c r="Y145" s="1"/>
      <c r="Z145" s="126"/>
      <c r="AA145" s="83"/>
    </row>
    <row r="146" spans="1:27" x14ac:dyDescent="0.25">
      <c r="A146" s="7"/>
      <c r="B146" s="94"/>
      <c r="C146" s="105"/>
      <c r="D146" s="148"/>
      <c r="E146" s="148"/>
      <c r="F146" s="93"/>
      <c r="G146" s="105"/>
      <c r="H146" s="105"/>
      <c r="I146" s="105"/>
      <c r="J146" s="105"/>
      <c r="K146" s="105"/>
      <c r="L146" s="105"/>
      <c r="M146" s="105"/>
      <c r="N146" s="108"/>
      <c r="O146" s="67"/>
      <c r="P146" s="67"/>
      <c r="Q146" s="144"/>
      <c r="R146" s="115"/>
      <c r="S146" s="54"/>
      <c r="T146" s="132"/>
      <c r="W146" s="1"/>
      <c r="X146" s="1"/>
      <c r="Y146" s="1"/>
      <c r="Z146" s="126"/>
      <c r="AA146" s="83"/>
    </row>
    <row r="147" spans="1:27" x14ac:dyDescent="0.25">
      <c r="A147" s="7"/>
      <c r="B147" s="94"/>
      <c r="C147" s="105"/>
      <c r="D147" s="148"/>
      <c r="E147" s="148"/>
      <c r="F147" s="93"/>
      <c r="G147" s="105"/>
      <c r="H147" s="105"/>
      <c r="I147" s="105"/>
      <c r="J147" s="105"/>
      <c r="K147" s="105"/>
      <c r="L147" s="105"/>
      <c r="M147" s="105"/>
      <c r="N147" s="108"/>
      <c r="O147" s="67"/>
      <c r="P147" s="67"/>
      <c r="Q147" s="144"/>
      <c r="R147" s="115"/>
      <c r="S147" s="54"/>
      <c r="T147" s="132"/>
      <c r="W147" s="1"/>
      <c r="X147" s="1"/>
      <c r="Y147" s="1"/>
      <c r="Z147" s="126"/>
      <c r="AA147" s="83"/>
    </row>
    <row r="148" spans="1:27" x14ac:dyDescent="0.25">
      <c r="A148" s="7"/>
      <c r="B148" s="94"/>
      <c r="C148" s="105"/>
      <c r="D148" s="148"/>
      <c r="E148" s="148"/>
      <c r="F148" s="93"/>
      <c r="G148" s="105"/>
      <c r="H148" s="105"/>
      <c r="I148" s="105"/>
      <c r="J148" s="105"/>
      <c r="K148" s="105"/>
      <c r="L148" s="105"/>
      <c r="M148" s="105"/>
      <c r="N148" s="108"/>
      <c r="O148" s="67"/>
      <c r="P148" s="67"/>
      <c r="Q148" s="144"/>
      <c r="R148" s="115"/>
      <c r="S148" s="54"/>
      <c r="T148" s="132"/>
      <c r="W148" s="1"/>
      <c r="X148" s="1"/>
      <c r="Y148" s="1"/>
      <c r="Z148" s="126"/>
      <c r="AA148" s="83"/>
    </row>
    <row r="149" spans="1:27" x14ac:dyDescent="0.25">
      <c r="A149" s="7"/>
      <c r="B149" s="94"/>
      <c r="C149" s="105"/>
      <c r="D149" s="148"/>
      <c r="E149" s="148"/>
      <c r="F149" s="93"/>
      <c r="G149" s="105"/>
      <c r="H149" s="105"/>
      <c r="I149" s="105"/>
      <c r="J149" s="105"/>
      <c r="K149" s="105"/>
      <c r="L149" s="105"/>
      <c r="M149" s="105"/>
      <c r="N149" s="108"/>
      <c r="O149" s="67"/>
      <c r="P149" s="67"/>
      <c r="Q149" s="144"/>
      <c r="R149" s="115"/>
      <c r="S149" s="54"/>
      <c r="T149" s="132"/>
      <c r="W149" s="1"/>
      <c r="X149" s="1"/>
      <c r="Y149" s="1"/>
      <c r="Z149" s="126"/>
      <c r="AA149" s="83"/>
    </row>
    <row r="150" spans="1:27" x14ac:dyDescent="0.25">
      <c r="A150" s="7"/>
      <c r="B150" s="94"/>
      <c r="C150" s="105"/>
      <c r="D150" s="148"/>
      <c r="E150" s="148"/>
      <c r="F150" s="93"/>
      <c r="G150" s="105"/>
      <c r="H150" s="105"/>
      <c r="I150" s="105"/>
      <c r="J150" s="105"/>
      <c r="K150" s="105"/>
      <c r="L150" s="105"/>
      <c r="M150" s="105"/>
      <c r="N150" s="108"/>
      <c r="O150" s="67"/>
      <c r="P150" s="67"/>
      <c r="Q150" s="144"/>
      <c r="R150" s="115"/>
      <c r="S150" s="54"/>
      <c r="T150" s="132"/>
      <c r="W150" s="1"/>
      <c r="X150" s="1"/>
      <c r="Y150" s="1"/>
      <c r="Z150" s="126"/>
      <c r="AA150" s="83"/>
    </row>
    <row r="151" spans="1:27" x14ac:dyDescent="0.25">
      <c r="A151" s="7"/>
      <c r="B151" s="94"/>
      <c r="C151" s="105"/>
      <c r="D151" s="148"/>
      <c r="E151" s="148"/>
      <c r="F151" s="93"/>
      <c r="G151" s="105"/>
      <c r="H151" s="105"/>
      <c r="I151" s="105"/>
      <c r="J151" s="105"/>
      <c r="K151" s="105"/>
      <c r="L151" s="105"/>
      <c r="M151" s="105"/>
      <c r="N151" s="108"/>
      <c r="O151" s="67"/>
      <c r="P151" s="67"/>
      <c r="Q151" s="144"/>
      <c r="R151" s="115"/>
      <c r="S151" s="54"/>
      <c r="T151" s="132"/>
      <c r="W151" s="1"/>
      <c r="X151" s="1"/>
      <c r="Y151" s="1"/>
      <c r="Z151" s="126"/>
      <c r="AA151" s="83"/>
    </row>
    <row r="152" spans="1:27" x14ac:dyDescent="0.25">
      <c r="A152" s="7"/>
      <c r="B152" s="94"/>
      <c r="C152" s="105"/>
      <c r="D152" s="148"/>
      <c r="E152" s="148"/>
      <c r="F152" s="93"/>
      <c r="G152" s="105"/>
      <c r="H152" s="105"/>
      <c r="I152" s="105"/>
      <c r="J152" s="105"/>
      <c r="K152" s="105"/>
      <c r="L152" s="105"/>
      <c r="M152" s="105"/>
      <c r="N152" s="108"/>
      <c r="O152" s="67"/>
      <c r="P152" s="67"/>
      <c r="Q152" s="144"/>
      <c r="R152" s="115"/>
      <c r="S152" s="54"/>
      <c r="T152" s="132"/>
      <c r="W152" s="1"/>
      <c r="X152" s="1"/>
      <c r="Y152" s="1"/>
      <c r="Z152" s="126"/>
      <c r="AA152" s="83"/>
    </row>
    <row r="153" spans="1:27" x14ac:dyDescent="0.25">
      <c r="A153" s="7"/>
      <c r="B153" s="94"/>
      <c r="C153" s="105"/>
      <c r="D153" s="148"/>
      <c r="E153" s="148"/>
      <c r="F153" s="93"/>
      <c r="G153" s="105"/>
      <c r="H153" s="105"/>
      <c r="I153" s="105"/>
      <c r="J153" s="105"/>
      <c r="K153" s="105"/>
      <c r="L153" s="105"/>
      <c r="M153" s="105"/>
      <c r="N153" s="108"/>
      <c r="O153" s="67"/>
      <c r="P153" s="67"/>
      <c r="Q153" s="144"/>
      <c r="R153" s="115"/>
      <c r="S153" s="54"/>
      <c r="T153" s="132"/>
      <c r="W153" s="1"/>
      <c r="X153" s="1"/>
      <c r="Y153" s="1"/>
      <c r="Z153" s="126"/>
      <c r="AA153" s="83"/>
    </row>
    <row r="154" spans="1:27" x14ac:dyDescent="0.25">
      <c r="A154" s="7"/>
      <c r="B154" s="94"/>
      <c r="C154" s="105"/>
      <c r="D154" s="148"/>
      <c r="E154" s="148"/>
      <c r="F154" s="93"/>
      <c r="G154" s="105"/>
      <c r="H154" s="105"/>
      <c r="I154" s="105"/>
      <c r="J154" s="105"/>
      <c r="K154" s="105"/>
      <c r="L154" s="105"/>
      <c r="M154" s="105"/>
      <c r="N154" s="108"/>
      <c r="O154" s="67"/>
      <c r="P154" s="67"/>
      <c r="Q154" s="144"/>
      <c r="R154" s="115"/>
      <c r="S154" s="54"/>
      <c r="T154" s="132"/>
      <c r="W154" s="1"/>
      <c r="X154" s="1"/>
      <c r="Y154" s="1"/>
      <c r="Z154" s="126"/>
      <c r="AA154" s="83"/>
    </row>
    <row r="155" spans="1:27" x14ac:dyDescent="0.25">
      <c r="A155" s="7"/>
      <c r="B155" s="94"/>
      <c r="C155" s="105"/>
      <c r="D155" s="148"/>
      <c r="E155" s="148"/>
      <c r="F155" s="93"/>
      <c r="G155" s="105"/>
      <c r="H155" s="105"/>
      <c r="I155" s="105"/>
      <c r="J155" s="105"/>
      <c r="K155" s="105"/>
      <c r="L155" s="105"/>
      <c r="M155" s="105"/>
      <c r="N155" s="108"/>
      <c r="O155" s="67"/>
      <c r="P155" s="67"/>
      <c r="Q155" s="144"/>
      <c r="R155" s="115"/>
      <c r="S155" s="54"/>
      <c r="T155" s="132"/>
      <c r="W155" s="1"/>
      <c r="X155" s="1"/>
      <c r="Y155" s="1"/>
      <c r="Z155" s="126"/>
      <c r="AA155" s="83"/>
    </row>
    <row r="156" spans="1:27" x14ac:dyDescent="0.25">
      <c r="A156" s="7"/>
      <c r="B156" s="94"/>
      <c r="C156" s="105"/>
      <c r="D156" s="148"/>
      <c r="E156" s="148"/>
      <c r="F156" s="93"/>
      <c r="G156" s="105"/>
      <c r="H156" s="105"/>
      <c r="I156" s="105"/>
      <c r="J156" s="105"/>
      <c r="K156" s="105"/>
      <c r="L156" s="105"/>
      <c r="M156" s="105"/>
      <c r="N156" s="108"/>
      <c r="O156" s="67"/>
      <c r="P156" s="67"/>
      <c r="Q156" s="144"/>
      <c r="R156" s="115"/>
      <c r="S156" s="54"/>
      <c r="T156" s="132"/>
      <c r="W156" s="1"/>
      <c r="X156" s="1"/>
      <c r="Y156" s="1"/>
      <c r="Z156" s="126"/>
      <c r="AA156" s="83"/>
    </row>
    <row r="157" spans="1:27" x14ac:dyDescent="0.25">
      <c r="A157" s="7"/>
      <c r="B157" s="94"/>
      <c r="C157" s="105"/>
      <c r="D157" s="148"/>
      <c r="E157" s="148"/>
      <c r="F157" s="93"/>
      <c r="G157" s="105"/>
      <c r="H157" s="105"/>
      <c r="I157" s="105"/>
      <c r="J157" s="105"/>
      <c r="K157" s="105"/>
      <c r="L157" s="105"/>
      <c r="M157" s="105"/>
      <c r="N157" s="108"/>
      <c r="O157" s="67"/>
      <c r="P157" s="67"/>
      <c r="Q157" s="144"/>
      <c r="R157" s="115"/>
      <c r="S157" s="54"/>
      <c r="T157" s="132"/>
      <c r="W157" s="1"/>
      <c r="X157" s="1"/>
      <c r="Y157" s="1"/>
      <c r="Z157" s="126"/>
      <c r="AA157" s="83"/>
    </row>
    <row r="158" spans="1:27" x14ac:dyDescent="0.25">
      <c r="A158" s="7"/>
      <c r="B158" s="94"/>
      <c r="C158" s="105"/>
      <c r="D158" s="148"/>
      <c r="E158" s="148"/>
      <c r="F158" s="93"/>
      <c r="G158" s="105"/>
      <c r="H158" s="105"/>
      <c r="I158" s="105"/>
      <c r="J158" s="105"/>
      <c r="K158" s="105"/>
      <c r="L158" s="105"/>
      <c r="M158" s="105"/>
      <c r="N158" s="108"/>
      <c r="O158" s="67"/>
      <c r="P158" s="67"/>
      <c r="Q158" s="144"/>
      <c r="R158" s="115"/>
      <c r="S158" s="54"/>
      <c r="T158" s="132"/>
      <c r="W158" s="1"/>
      <c r="X158" s="1"/>
      <c r="Y158" s="1"/>
      <c r="Z158" s="126"/>
      <c r="AA158" s="83"/>
    </row>
    <row r="159" spans="1:27" x14ac:dyDescent="0.25">
      <c r="A159" s="7"/>
      <c r="B159" s="94"/>
      <c r="C159" s="105"/>
      <c r="D159" s="148"/>
      <c r="E159" s="148"/>
      <c r="F159" s="93"/>
      <c r="G159" s="105"/>
      <c r="H159" s="105"/>
      <c r="I159" s="105"/>
      <c r="J159" s="105"/>
      <c r="K159" s="105"/>
      <c r="L159" s="105"/>
      <c r="M159" s="105"/>
      <c r="N159" s="108"/>
      <c r="O159" s="67"/>
      <c r="P159" s="67"/>
      <c r="Q159" s="144"/>
      <c r="R159" s="115"/>
      <c r="S159" s="54"/>
      <c r="T159" s="132"/>
      <c r="W159" s="1"/>
      <c r="X159" s="1"/>
      <c r="Y159" s="1"/>
      <c r="Z159" s="126"/>
      <c r="AA159" s="83"/>
    </row>
    <row r="160" spans="1:27" x14ac:dyDescent="0.25">
      <c r="A160" s="7"/>
      <c r="B160" s="94"/>
      <c r="C160" s="105"/>
      <c r="D160" s="148"/>
      <c r="E160" s="148"/>
      <c r="F160" s="93"/>
      <c r="G160" s="105"/>
      <c r="H160" s="105"/>
      <c r="I160" s="105"/>
      <c r="J160" s="105"/>
      <c r="K160" s="105"/>
      <c r="L160" s="105"/>
      <c r="M160" s="105"/>
      <c r="N160" s="108"/>
      <c r="O160" s="67"/>
      <c r="P160" s="67"/>
      <c r="Q160" s="144"/>
      <c r="R160" s="115"/>
      <c r="S160" s="54"/>
      <c r="T160" s="132"/>
      <c r="W160" s="1"/>
      <c r="X160" s="1"/>
      <c r="Y160" s="1"/>
      <c r="Z160" s="126"/>
      <c r="AA160" s="83"/>
    </row>
    <row r="161" spans="1:27" x14ac:dyDescent="0.25">
      <c r="A161" s="7"/>
      <c r="B161" s="94"/>
      <c r="C161" s="105"/>
      <c r="D161" s="148"/>
      <c r="E161" s="148"/>
      <c r="F161" s="93"/>
      <c r="G161" s="105"/>
      <c r="H161" s="105"/>
      <c r="I161" s="105"/>
      <c r="J161" s="105"/>
      <c r="K161" s="105"/>
      <c r="L161" s="105"/>
      <c r="M161" s="105"/>
      <c r="N161" s="108"/>
      <c r="O161" s="67"/>
      <c r="P161" s="67"/>
      <c r="Q161" s="144"/>
      <c r="R161" s="115"/>
      <c r="S161" s="54"/>
      <c r="T161" s="132"/>
      <c r="W161" s="1"/>
      <c r="X161" s="1"/>
      <c r="Y161" s="1"/>
      <c r="Z161" s="126"/>
      <c r="AA161" s="83"/>
    </row>
    <row r="162" spans="1:27" x14ac:dyDescent="0.25">
      <c r="A162" s="7"/>
      <c r="B162" s="94"/>
      <c r="C162" s="105"/>
      <c r="D162" s="148"/>
      <c r="E162" s="148"/>
      <c r="F162" s="93"/>
      <c r="G162" s="105"/>
      <c r="H162" s="105"/>
      <c r="I162" s="105"/>
      <c r="J162" s="105"/>
      <c r="K162" s="105"/>
      <c r="L162" s="105"/>
      <c r="M162" s="105"/>
      <c r="N162" s="108"/>
      <c r="O162" s="67"/>
      <c r="P162" s="67"/>
      <c r="Q162" s="144"/>
      <c r="R162" s="115"/>
      <c r="S162" s="54"/>
      <c r="T162" s="132"/>
      <c r="W162" s="1"/>
      <c r="X162" s="1"/>
      <c r="Y162" s="1"/>
      <c r="Z162" s="126"/>
      <c r="AA162" s="83"/>
    </row>
    <row r="163" spans="1:27" x14ac:dyDescent="0.25">
      <c r="A163" s="7"/>
      <c r="B163" s="94"/>
      <c r="C163" s="105"/>
      <c r="D163" s="148"/>
      <c r="E163" s="148"/>
      <c r="F163" s="93"/>
      <c r="G163" s="105"/>
      <c r="H163" s="105"/>
      <c r="I163" s="105"/>
      <c r="J163" s="105"/>
      <c r="K163" s="105"/>
      <c r="L163" s="105"/>
      <c r="M163" s="105"/>
      <c r="N163" s="108"/>
      <c r="O163" s="67"/>
      <c r="P163" s="67"/>
      <c r="Q163" s="144"/>
      <c r="R163" s="115"/>
      <c r="S163" s="54"/>
      <c r="T163" s="132"/>
      <c r="W163" s="1"/>
      <c r="X163" s="1"/>
      <c r="Y163" s="1"/>
      <c r="Z163" s="126"/>
      <c r="AA163" s="83"/>
    </row>
    <row r="164" spans="1:27" x14ac:dyDescent="0.25">
      <c r="A164" s="7"/>
      <c r="B164" s="94"/>
      <c r="C164" s="105"/>
      <c r="D164" s="148"/>
      <c r="E164" s="148"/>
      <c r="F164" s="93"/>
      <c r="G164" s="105"/>
      <c r="H164" s="105"/>
      <c r="I164" s="105"/>
      <c r="J164" s="105"/>
      <c r="K164" s="105"/>
      <c r="L164" s="105"/>
      <c r="M164" s="105"/>
      <c r="N164" s="108"/>
      <c r="O164" s="67"/>
      <c r="P164" s="67"/>
      <c r="Q164" s="144"/>
      <c r="R164" s="115"/>
      <c r="S164" s="54"/>
      <c r="T164" s="132"/>
      <c r="W164" s="1"/>
      <c r="X164" s="1"/>
      <c r="Y164" s="1"/>
      <c r="Z164" s="126"/>
      <c r="AA164" s="83"/>
    </row>
    <row r="165" spans="1:27" x14ac:dyDescent="0.25">
      <c r="A165" s="7"/>
      <c r="B165" s="94"/>
      <c r="C165" s="105"/>
      <c r="D165" s="148"/>
      <c r="E165" s="148"/>
      <c r="F165" s="93"/>
      <c r="G165" s="105"/>
      <c r="H165" s="105"/>
      <c r="I165" s="105"/>
      <c r="J165" s="105"/>
      <c r="K165" s="105"/>
      <c r="L165" s="105"/>
      <c r="M165" s="105"/>
      <c r="N165" s="108"/>
      <c r="O165" s="67"/>
      <c r="P165" s="67"/>
      <c r="Q165" s="144"/>
      <c r="R165" s="115"/>
      <c r="S165" s="54"/>
      <c r="T165" s="132"/>
      <c r="W165" s="1"/>
      <c r="X165" s="1"/>
      <c r="Y165" s="1"/>
      <c r="Z165" s="126"/>
      <c r="AA165" s="83"/>
    </row>
    <row r="166" spans="1:27" x14ac:dyDescent="0.25">
      <c r="A166" s="7"/>
      <c r="B166" s="94"/>
      <c r="C166" s="105"/>
      <c r="D166" s="148"/>
      <c r="E166" s="148"/>
      <c r="F166" s="93"/>
      <c r="G166" s="105"/>
      <c r="H166" s="105"/>
      <c r="I166" s="105"/>
      <c r="J166" s="105"/>
      <c r="K166" s="105"/>
      <c r="L166" s="105"/>
      <c r="M166" s="105"/>
      <c r="N166" s="108"/>
      <c r="O166" s="67"/>
      <c r="P166" s="67"/>
      <c r="Q166" s="144"/>
      <c r="R166" s="115"/>
      <c r="S166" s="54"/>
      <c r="T166" s="132"/>
      <c r="W166" s="1"/>
      <c r="X166" s="1"/>
      <c r="Y166" s="1"/>
      <c r="Z166" s="126"/>
      <c r="AA166" s="83"/>
    </row>
    <row r="167" spans="1:27" x14ac:dyDescent="0.25">
      <c r="A167" s="7"/>
      <c r="B167" s="94"/>
      <c r="C167" s="105"/>
      <c r="D167" s="148"/>
      <c r="E167" s="148"/>
      <c r="F167" s="93"/>
      <c r="G167" s="105"/>
      <c r="H167" s="105"/>
      <c r="I167" s="105"/>
      <c r="J167" s="105"/>
      <c r="K167" s="105"/>
      <c r="L167" s="105"/>
      <c r="M167" s="105"/>
      <c r="N167" s="108"/>
      <c r="O167" s="67"/>
      <c r="P167" s="67"/>
      <c r="Q167" s="144"/>
      <c r="R167" s="115"/>
      <c r="S167" s="54"/>
      <c r="T167" s="132"/>
      <c r="W167" s="1"/>
      <c r="X167" s="1"/>
      <c r="Y167" s="1"/>
      <c r="Z167" s="126"/>
      <c r="AA167" s="83"/>
    </row>
    <row r="168" spans="1:27" x14ac:dyDescent="0.25">
      <c r="A168" s="7"/>
      <c r="B168" s="94"/>
      <c r="C168" s="105"/>
      <c r="D168" s="148"/>
      <c r="E168" s="148"/>
      <c r="F168" s="93"/>
      <c r="G168" s="105"/>
      <c r="H168" s="105"/>
      <c r="I168" s="105"/>
      <c r="J168" s="105"/>
      <c r="K168" s="105"/>
      <c r="L168" s="105"/>
      <c r="M168" s="105"/>
      <c r="N168" s="108"/>
      <c r="O168" s="67"/>
      <c r="P168" s="67"/>
      <c r="Q168" s="144"/>
      <c r="R168" s="115"/>
      <c r="S168" s="54"/>
      <c r="T168" s="132"/>
      <c r="W168" s="1"/>
      <c r="X168" s="1"/>
      <c r="Y168" s="1"/>
      <c r="Z168" s="126"/>
      <c r="AA168" s="83"/>
    </row>
    <row r="169" spans="1:27" x14ac:dyDescent="0.25">
      <c r="A169" s="7"/>
      <c r="B169" s="94"/>
      <c r="C169" s="105"/>
      <c r="D169" s="148"/>
      <c r="E169" s="148"/>
      <c r="F169" s="93"/>
      <c r="G169" s="105"/>
      <c r="H169" s="105"/>
      <c r="I169" s="105"/>
      <c r="J169" s="105"/>
      <c r="K169" s="105"/>
      <c r="L169" s="105"/>
      <c r="M169" s="105"/>
      <c r="N169" s="108"/>
      <c r="O169" s="67"/>
      <c r="P169" s="67"/>
      <c r="Q169" s="144"/>
      <c r="R169" s="115"/>
      <c r="S169" s="54"/>
      <c r="T169" s="132"/>
      <c r="W169" s="1"/>
      <c r="X169" s="1"/>
      <c r="Y169" s="1"/>
      <c r="Z169" s="126"/>
      <c r="AA169" s="83"/>
    </row>
    <row r="170" spans="1:27" x14ac:dyDescent="0.25">
      <c r="A170" s="7"/>
      <c r="B170" s="94"/>
      <c r="C170" s="105"/>
      <c r="D170" s="148"/>
      <c r="E170" s="148"/>
      <c r="F170" s="93"/>
      <c r="G170" s="105"/>
      <c r="H170" s="105"/>
      <c r="I170" s="105"/>
      <c r="J170" s="105"/>
      <c r="K170" s="105"/>
      <c r="L170" s="105"/>
      <c r="M170" s="105"/>
      <c r="N170" s="108"/>
      <c r="O170" s="67"/>
      <c r="P170" s="67"/>
      <c r="Q170" s="144"/>
      <c r="R170" s="115"/>
      <c r="S170" s="54"/>
      <c r="T170" s="132"/>
      <c r="W170" s="1"/>
      <c r="X170" s="1"/>
      <c r="Y170" s="1"/>
      <c r="Z170" s="126"/>
      <c r="AA170" s="83"/>
    </row>
    <row r="171" spans="1:27" x14ac:dyDescent="0.25">
      <c r="A171" s="7"/>
      <c r="B171" s="94"/>
      <c r="C171" s="105"/>
      <c r="D171" s="148"/>
      <c r="E171" s="148"/>
      <c r="F171" s="93"/>
      <c r="G171" s="105"/>
      <c r="H171" s="105"/>
      <c r="I171" s="105"/>
      <c r="J171" s="105"/>
      <c r="K171" s="105"/>
      <c r="L171" s="105"/>
      <c r="M171" s="105"/>
      <c r="N171" s="108"/>
      <c r="O171" s="67"/>
      <c r="P171" s="67"/>
      <c r="Q171" s="144"/>
      <c r="R171" s="115"/>
      <c r="S171" s="54"/>
      <c r="T171" s="132"/>
      <c r="W171" s="1"/>
      <c r="X171" s="1"/>
      <c r="Y171" s="1"/>
      <c r="Z171" s="126"/>
      <c r="AA171" s="83"/>
    </row>
    <row r="172" spans="1:27" x14ac:dyDescent="0.25">
      <c r="A172" s="7"/>
      <c r="B172" s="94"/>
      <c r="C172" s="105"/>
      <c r="D172" s="148"/>
      <c r="E172" s="148"/>
      <c r="F172" s="93"/>
      <c r="G172" s="105"/>
      <c r="H172" s="105"/>
      <c r="I172" s="105"/>
      <c r="J172" s="105"/>
      <c r="K172" s="105"/>
      <c r="L172" s="105"/>
      <c r="M172" s="105"/>
      <c r="N172" s="108"/>
      <c r="O172" s="67"/>
      <c r="P172" s="67"/>
      <c r="Q172" s="144"/>
      <c r="R172" s="115"/>
      <c r="S172" s="54"/>
      <c r="T172" s="132"/>
      <c r="W172" s="1"/>
      <c r="X172" s="1"/>
      <c r="Y172" s="1"/>
      <c r="Z172" s="126"/>
      <c r="AA172" s="83"/>
    </row>
    <row r="173" spans="1:27" x14ac:dyDescent="0.25">
      <c r="A173" s="7"/>
      <c r="B173" s="94"/>
      <c r="C173" s="105"/>
      <c r="D173" s="148"/>
      <c r="E173" s="148"/>
      <c r="F173" s="93"/>
      <c r="G173" s="105"/>
      <c r="H173" s="105"/>
      <c r="I173" s="105"/>
      <c r="J173" s="105"/>
      <c r="K173" s="105"/>
      <c r="L173" s="105"/>
      <c r="M173" s="105"/>
      <c r="N173" s="108"/>
      <c r="O173" s="67"/>
      <c r="P173" s="67"/>
      <c r="Q173" s="144"/>
      <c r="R173" s="115"/>
      <c r="S173" s="54"/>
      <c r="T173" s="132"/>
      <c r="W173" s="1"/>
      <c r="X173" s="1"/>
      <c r="Y173" s="1"/>
      <c r="Z173" s="126"/>
      <c r="AA173" s="83"/>
    </row>
    <row r="174" spans="1:27" x14ac:dyDescent="0.25">
      <c r="A174" s="7"/>
      <c r="B174" s="94"/>
      <c r="C174" s="105"/>
      <c r="D174" s="148"/>
      <c r="E174" s="148"/>
      <c r="F174" s="93"/>
      <c r="G174" s="105"/>
      <c r="H174" s="105"/>
      <c r="I174" s="105"/>
      <c r="J174" s="105"/>
      <c r="K174" s="105"/>
      <c r="L174" s="105"/>
      <c r="M174" s="105"/>
      <c r="N174" s="108"/>
      <c r="O174" s="67"/>
      <c r="P174" s="67"/>
      <c r="Q174" s="144"/>
      <c r="R174" s="115"/>
      <c r="S174" s="54"/>
      <c r="T174" s="132"/>
      <c r="W174" s="1"/>
      <c r="X174" s="1"/>
      <c r="Y174" s="1"/>
      <c r="Z174" s="126"/>
      <c r="AA174" s="83"/>
    </row>
    <row r="175" spans="1:27" x14ac:dyDescent="0.25">
      <c r="A175" s="7"/>
      <c r="B175" s="94"/>
      <c r="C175" s="105"/>
      <c r="D175" s="148"/>
      <c r="E175" s="148"/>
      <c r="F175" s="93"/>
      <c r="G175" s="105"/>
      <c r="H175" s="105"/>
      <c r="I175" s="105"/>
      <c r="J175" s="105"/>
      <c r="K175" s="105"/>
      <c r="L175" s="105"/>
      <c r="M175" s="105"/>
      <c r="N175" s="108"/>
      <c r="O175" s="67"/>
      <c r="P175" s="67"/>
      <c r="Q175" s="144"/>
      <c r="R175" s="115"/>
      <c r="S175" s="54"/>
      <c r="T175" s="132"/>
      <c r="W175" s="1"/>
      <c r="X175" s="1"/>
      <c r="Y175" s="1"/>
      <c r="Z175" s="126"/>
      <c r="AA175" s="83"/>
    </row>
    <row r="176" spans="1:27" x14ac:dyDescent="0.25">
      <c r="A176" s="7"/>
      <c r="B176" s="94"/>
      <c r="C176" s="105"/>
      <c r="D176" s="148"/>
      <c r="E176" s="148"/>
      <c r="F176" s="93"/>
      <c r="G176" s="105"/>
      <c r="H176" s="105"/>
      <c r="I176" s="105"/>
      <c r="J176" s="105"/>
      <c r="K176" s="105"/>
      <c r="L176" s="105"/>
      <c r="M176" s="105"/>
      <c r="N176" s="108"/>
      <c r="O176" s="67"/>
      <c r="P176" s="67"/>
      <c r="Q176" s="144"/>
      <c r="R176" s="115"/>
      <c r="S176" s="54"/>
      <c r="T176" s="132"/>
      <c r="W176" s="1"/>
      <c r="X176" s="1"/>
      <c r="Y176" s="1"/>
      <c r="Z176" s="126"/>
      <c r="AA176" s="83"/>
    </row>
    <row r="177" spans="1:27" x14ac:dyDescent="0.25">
      <c r="A177" s="7"/>
      <c r="B177" s="94"/>
      <c r="C177" s="105"/>
      <c r="D177" s="148"/>
      <c r="E177" s="148"/>
      <c r="F177" s="93"/>
      <c r="G177" s="105"/>
      <c r="H177" s="105"/>
      <c r="I177" s="105"/>
      <c r="J177" s="105"/>
      <c r="K177" s="105"/>
      <c r="L177" s="105"/>
      <c r="M177" s="105"/>
      <c r="N177" s="108"/>
      <c r="O177" s="67"/>
      <c r="P177" s="67"/>
      <c r="Q177" s="144"/>
      <c r="R177" s="115"/>
      <c r="S177" s="54"/>
      <c r="T177" s="132"/>
      <c r="W177" s="1"/>
      <c r="X177" s="1"/>
      <c r="Y177" s="1"/>
      <c r="Z177" s="126"/>
      <c r="AA177" s="83"/>
    </row>
    <row r="178" spans="1:27" x14ac:dyDescent="0.25">
      <c r="A178" s="7"/>
      <c r="B178" s="94"/>
      <c r="C178" s="105"/>
      <c r="D178" s="148"/>
      <c r="E178" s="148"/>
      <c r="F178" s="93"/>
      <c r="G178" s="105"/>
      <c r="H178" s="105"/>
      <c r="I178" s="105"/>
      <c r="J178" s="105"/>
      <c r="K178" s="105"/>
      <c r="L178" s="105"/>
      <c r="M178" s="105"/>
      <c r="N178" s="108"/>
      <c r="O178" s="67"/>
      <c r="P178" s="67"/>
      <c r="Q178" s="144"/>
      <c r="R178" s="115"/>
      <c r="S178" s="54"/>
      <c r="T178" s="132"/>
      <c r="W178" s="1"/>
      <c r="X178" s="1"/>
      <c r="Y178" s="1"/>
      <c r="Z178" s="126"/>
      <c r="AA178" s="83"/>
    </row>
    <row r="179" spans="1:27" x14ac:dyDescent="0.25">
      <c r="A179" s="7"/>
      <c r="B179" s="94"/>
      <c r="C179" s="105"/>
      <c r="D179" s="148"/>
      <c r="E179" s="148"/>
      <c r="F179" s="93"/>
      <c r="G179" s="105"/>
      <c r="H179" s="105"/>
      <c r="I179" s="105"/>
      <c r="J179" s="105"/>
      <c r="K179" s="105"/>
      <c r="L179" s="105"/>
      <c r="M179" s="105"/>
      <c r="N179" s="108"/>
      <c r="O179" s="67"/>
      <c r="P179" s="67"/>
      <c r="Q179" s="144"/>
      <c r="R179" s="115"/>
      <c r="S179" s="54"/>
      <c r="T179" s="132"/>
      <c r="W179" s="1"/>
      <c r="X179" s="1"/>
      <c r="Y179" s="1"/>
      <c r="Z179" s="126"/>
      <c r="AA179" s="83"/>
    </row>
    <row r="180" spans="1:27" x14ac:dyDescent="0.25">
      <c r="A180" s="7"/>
      <c r="B180" s="94"/>
      <c r="C180" s="105"/>
      <c r="D180" s="148"/>
      <c r="E180" s="148"/>
      <c r="F180" s="93"/>
      <c r="G180" s="105"/>
      <c r="H180" s="105"/>
      <c r="I180" s="105"/>
      <c r="J180" s="105"/>
      <c r="K180" s="105"/>
      <c r="L180" s="105"/>
      <c r="M180" s="105"/>
      <c r="N180" s="108"/>
      <c r="O180" s="67"/>
      <c r="P180" s="67"/>
      <c r="Q180" s="144"/>
      <c r="R180" s="115"/>
      <c r="S180" s="54"/>
      <c r="T180" s="132"/>
      <c r="W180" s="1"/>
      <c r="X180" s="1"/>
      <c r="Y180" s="1"/>
      <c r="Z180" s="126"/>
      <c r="AA180" s="83"/>
    </row>
    <row r="181" spans="1:27" x14ac:dyDescent="0.25">
      <c r="A181" s="7"/>
      <c r="B181" s="94"/>
      <c r="C181" s="105"/>
      <c r="D181" s="148"/>
      <c r="E181" s="148"/>
      <c r="F181" s="93"/>
      <c r="G181" s="105"/>
      <c r="H181" s="105"/>
      <c r="I181" s="105"/>
      <c r="J181" s="105"/>
      <c r="K181" s="105"/>
      <c r="L181" s="105"/>
      <c r="M181" s="105"/>
      <c r="N181" s="108"/>
      <c r="O181" s="67"/>
      <c r="P181" s="67"/>
      <c r="Q181" s="144"/>
      <c r="R181" s="115"/>
      <c r="S181" s="54"/>
      <c r="T181" s="132"/>
      <c r="W181" s="1"/>
      <c r="X181" s="1"/>
      <c r="Y181" s="1"/>
      <c r="Z181" s="126"/>
      <c r="AA181" s="83"/>
    </row>
    <row r="182" spans="1:27" x14ac:dyDescent="0.25">
      <c r="A182" s="7"/>
      <c r="B182" s="94"/>
      <c r="C182" s="105"/>
      <c r="D182" s="148"/>
      <c r="E182" s="148"/>
      <c r="F182" s="93"/>
      <c r="G182" s="105"/>
      <c r="H182" s="105"/>
      <c r="I182" s="105"/>
      <c r="J182" s="105"/>
      <c r="K182" s="105"/>
      <c r="L182" s="105"/>
      <c r="M182" s="105"/>
      <c r="N182" s="108"/>
      <c r="O182" s="67"/>
      <c r="P182" s="67"/>
      <c r="Q182" s="144"/>
      <c r="R182" s="115"/>
      <c r="S182" s="54"/>
      <c r="T182" s="132"/>
      <c r="W182" s="1"/>
      <c r="X182" s="1"/>
      <c r="Y182" s="1"/>
      <c r="Z182" s="126"/>
      <c r="AA182" s="83"/>
    </row>
    <row r="183" spans="1:27" x14ac:dyDescent="0.25">
      <c r="A183" s="7"/>
      <c r="B183" s="94"/>
      <c r="C183" s="105"/>
      <c r="D183" s="148"/>
      <c r="E183" s="148"/>
      <c r="F183" s="93"/>
      <c r="G183" s="105"/>
      <c r="H183" s="105"/>
      <c r="I183" s="105"/>
      <c r="J183" s="105"/>
      <c r="K183" s="105"/>
      <c r="L183" s="105"/>
      <c r="M183" s="105"/>
      <c r="N183" s="108"/>
      <c r="O183" s="67"/>
      <c r="P183" s="67"/>
      <c r="Q183" s="144"/>
      <c r="R183" s="115"/>
      <c r="S183" s="54"/>
      <c r="T183" s="132"/>
      <c r="W183" s="1"/>
      <c r="X183" s="1"/>
      <c r="Y183" s="1"/>
      <c r="Z183" s="126"/>
      <c r="AA183" s="83"/>
    </row>
    <row r="184" spans="1:27" x14ac:dyDescent="0.25">
      <c r="A184" s="7"/>
      <c r="B184" s="94"/>
      <c r="C184" s="105"/>
      <c r="D184" s="148"/>
      <c r="E184" s="148"/>
      <c r="F184" s="93"/>
      <c r="G184" s="105"/>
      <c r="H184" s="105"/>
      <c r="I184" s="105"/>
      <c r="J184" s="105"/>
      <c r="K184" s="105"/>
      <c r="L184" s="105"/>
      <c r="M184" s="105"/>
      <c r="N184" s="108"/>
      <c r="O184" s="67"/>
      <c r="P184" s="67"/>
      <c r="Q184" s="144"/>
      <c r="R184" s="115"/>
      <c r="S184" s="54"/>
      <c r="T184" s="132"/>
      <c r="W184" s="1"/>
      <c r="X184" s="1"/>
      <c r="Y184" s="1"/>
      <c r="Z184" s="126"/>
      <c r="AA184" s="83"/>
    </row>
    <row r="185" spans="1:27" x14ac:dyDescent="0.25">
      <c r="A185" s="7"/>
      <c r="B185" s="94"/>
      <c r="C185" s="105"/>
      <c r="D185" s="148"/>
      <c r="E185" s="148"/>
      <c r="F185" s="93"/>
      <c r="G185" s="105"/>
      <c r="H185" s="105"/>
      <c r="I185" s="105"/>
      <c r="J185" s="105"/>
      <c r="K185" s="105"/>
      <c r="L185" s="105"/>
      <c r="M185" s="105"/>
      <c r="N185" s="108"/>
      <c r="O185" s="67"/>
      <c r="P185" s="67"/>
      <c r="Q185" s="144"/>
      <c r="R185" s="115"/>
      <c r="S185" s="54"/>
      <c r="T185" s="132"/>
      <c r="W185" s="1"/>
      <c r="X185" s="1"/>
      <c r="Y185" s="1"/>
      <c r="Z185" s="126"/>
      <c r="AA185" s="83"/>
    </row>
    <row r="186" spans="1:27" x14ac:dyDescent="0.25">
      <c r="A186" s="7"/>
      <c r="B186" s="94"/>
      <c r="C186" s="105"/>
      <c r="D186" s="148"/>
      <c r="E186" s="148"/>
      <c r="F186" s="93"/>
      <c r="G186" s="105"/>
      <c r="H186" s="105"/>
      <c r="I186" s="105"/>
      <c r="J186" s="105"/>
      <c r="K186" s="105"/>
      <c r="L186" s="105"/>
      <c r="M186" s="105"/>
      <c r="N186" s="108"/>
      <c r="O186" s="67"/>
      <c r="P186" s="67"/>
      <c r="Q186" s="144"/>
      <c r="R186" s="115"/>
      <c r="S186" s="54"/>
      <c r="T186" s="132"/>
      <c r="W186" s="1"/>
      <c r="X186" s="1"/>
      <c r="Y186" s="1"/>
      <c r="Z186" s="126"/>
      <c r="AA186" s="83"/>
    </row>
    <row r="187" spans="1:27" x14ac:dyDescent="0.25">
      <c r="A187" s="7"/>
      <c r="B187" s="94"/>
      <c r="C187" s="105"/>
      <c r="D187" s="148"/>
      <c r="E187" s="148"/>
      <c r="F187" s="93"/>
      <c r="G187" s="105"/>
      <c r="H187" s="105"/>
      <c r="I187" s="105"/>
      <c r="J187" s="105"/>
      <c r="K187" s="105"/>
      <c r="L187" s="105"/>
      <c r="M187" s="105"/>
      <c r="N187" s="108"/>
      <c r="O187" s="67"/>
      <c r="P187" s="67"/>
      <c r="Q187" s="144"/>
      <c r="R187" s="115"/>
      <c r="S187" s="54"/>
      <c r="T187" s="132"/>
      <c r="W187" s="1"/>
      <c r="X187" s="1"/>
      <c r="Y187" s="1"/>
      <c r="Z187" s="126"/>
      <c r="AA187" s="83"/>
    </row>
    <row r="188" spans="1:27" x14ac:dyDescent="0.25">
      <c r="A188" s="7"/>
      <c r="B188" s="94"/>
      <c r="C188" s="105"/>
      <c r="D188" s="148"/>
      <c r="E188" s="148"/>
      <c r="F188" s="93"/>
      <c r="G188" s="105"/>
      <c r="H188" s="105"/>
      <c r="I188" s="105"/>
      <c r="J188" s="105"/>
      <c r="K188" s="105"/>
      <c r="L188" s="105"/>
      <c r="M188" s="105"/>
      <c r="N188" s="108"/>
      <c r="O188" s="67"/>
      <c r="P188" s="67"/>
      <c r="Q188" s="144"/>
      <c r="R188" s="115"/>
      <c r="S188" s="54"/>
      <c r="T188" s="132"/>
      <c r="W188" s="1"/>
      <c r="X188" s="1"/>
      <c r="Y188" s="1"/>
      <c r="Z188" s="126"/>
      <c r="AA188" s="83"/>
    </row>
    <row r="189" spans="1:27" x14ac:dyDescent="0.25">
      <c r="A189" s="7"/>
      <c r="B189" s="94"/>
      <c r="C189" s="105"/>
      <c r="D189" s="148"/>
      <c r="E189" s="148"/>
      <c r="F189" s="93"/>
      <c r="G189" s="105"/>
      <c r="H189" s="105"/>
      <c r="I189" s="105"/>
      <c r="J189" s="105"/>
      <c r="K189" s="105"/>
      <c r="L189" s="105"/>
      <c r="M189" s="105"/>
      <c r="N189" s="108"/>
      <c r="O189" s="67"/>
      <c r="P189" s="67"/>
      <c r="Q189" s="144"/>
      <c r="R189" s="115"/>
      <c r="S189" s="54"/>
      <c r="T189" s="132"/>
      <c r="W189" s="1"/>
      <c r="X189" s="1"/>
      <c r="Y189" s="1"/>
      <c r="Z189" s="126"/>
    </row>
    <row r="190" spans="1:27" x14ac:dyDescent="0.25">
      <c r="A190" s="7"/>
      <c r="B190" s="94"/>
      <c r="C190" s="105"/>
      <c r="D190" s="148"/>
      <c r="E190" s="148"/>
      <c r="F190" s="93"/>
      <c r="G190" s="105"/>
      <c r="H190" s="105"/>
      <c r="I190" s="105"/>
      <c r="J190" s="105"/>
      <c r="K190" s="105"/>
      <c r="L190" s="105"/>
      <c r="M190" s="105"/>
      <c r="N190" s="108"/>
      <c r="O190" s="67"/>
      <c r="P190" s="67"/>
      <c r="Q190" s="144"/>
      <c r="R190" s="115"/>
      <c r="S190" s="54"/>
      <c r="T190" s="132"/>
      <c r="W190" s="1"/>
      <c r="X190" s="1"/>
      <c r="Y190" s="1"/>
      <c r="Z190" s="126"/>
    </row>
    <row r="191" spans="1:27" x14ac:dyDescent="0.25">
      <c r="A191" s="7"/>
      <c r="B191" s="94"/>
      <c r="C191" s="105"/>
      <c r="D191" s="148"/>
      <c r="E191" s="148"/>
      <c r="F191" s="93"/>
      <c r="G191" s="105"/>
      <c r="H191" s="105"/>
      <c r="I191" s="105"/>
      <c r="J191" s="105"/>
      <c r="K191" s="105"/>
      <c r="L191" s="105"/>
      <c r="M191" s="105"/>
      <c r="N191" s="108"/>
      <c r="O191" s="67"/>
      <c r="P191" s="67"/>
      <c r="Q191" s="144"/>
      <c r="R191" s="115"/>
      <c r="S191" s="54"/>
      <c r="T191" s="132"/>
      <c r="W191" s="1"/>
      <c r="X191" s="1"/>
      <c r="Y191" s="1"/>
      <c r="Z191" s="126"/>
    </row>
    <row r="192" spans="1:27" x14ac:dyDescent="0.25">
      <c r="A192" s="7"/>
      <c r="B192" s="94"/>
      <c r="C192" s="105"/>
      <c r="D192" s="148"/>
      <c r="E192" s="148"/>
      <c r="F192" s="93"/>
      <c r="G192" s="105"/>
      <c r="H192" s="105"/>
      <c r="I192" s="105"/>
      <c r="J192" s="105"/>
      <c r="K192" s="105"/>
      <c r="L192" s="105"/>
      <c r="M192" s="105"/>
      <c r="N192" s="108"/>
      <c r="O192" s="67"/>
      <c r="P192" s="67"/>
      <c r="Q192" s="144"/>
      <c r="R192" s="115"/>
      <c r="S192" s="54"/>
      <c r="T192" s="132"/>
      <c r="W192" s="1"/>
      <c r="X192" s="1"/>
      <c r="Y192" s="1"/>
      <c r="Z192" s="126"/>
    </row>
    <row r="193" spans="1:26" x14ac:dyDescent="0.25">
      <c r="A193" s="7"/>
      <c r="B193" s="94"/>
      <c r="C193" s="105"/>
      <c r="D193" s="148"/>
      <c r="E193" s="148"/>
      <c r="F193" s="93"/>
      <c r="G193" s="105"/>
      <c r="H193" s="105"/>
      <c r="I193" s="105"/>
      <c r="J193" s="105"/>
      <c r="K193" s="105"/>
      <c r="L193" s="105"/>
      <c r="M193" s="105"/>
      <c r="N193" s="108"/>
      <c r="O193" s="67"/>
      <c r="P193" s="67"/>
      <c r="Q193" s="144"/>
      <c r="R193" s="115"/>
      <c r="S193" s="54"/>
      <c r="T193" s="132"/>
      <c r="W193" s="1"/>
      <c r="X193" s="1"/>
      <c r="Y193" s="1"/>
      <c r="Z193" s="126"/>
    </row>
    <row r="194" spans="1:26" x14ac:dyDescent="0.25">
      <c r="A194" s="7"/>
      <c r="B194" s="94"/>
      <c r="C194" s="105"/>
      <c r="D194" s="148"/>
      <c r="E194" s="148"/>
      <c r="F194" s="93"/>
      <c r="G194" s="105"/>
      <c r="H194" s="105"/>
      <c r="I194" s="105"/>
      <c r="J194" s="105"/>
      <c r="K194" s="105"/>
      <c r="L194" s="105"/>
      <c r="M194" s="105"/>
      <c r="N194" s="108"/>
      <c r="O194" s="67"/>
      <c r="P194" s="67"/>
      <c r="Q194" s="144"/>
      <c r="R194" s="115"/>
      <c r="S194" s="54"/>
      <c r="T194" s="132"/>
      <c r="W194" s="1"/>
      <c r="X194" s="1"/>
      <c r="Y194" s="1"/>
      <c r="Z194" s="126"/>
    </row>
    <row r="195" spans="1:26" x14ac:dyDescent="0.25">
      <c r="A195" s="7"/>
      <c r="B195" s="94"/>
      <c r="C195" s="105"/>
      <c r="D195" s="148"/>
      <c r="E195" s="148"/>
      <c r="F195" s="93"/>
      <c r="G195" s="105"/>
      <c r="H195" s="105"/>
      <c r="I195" s="105"/>
      <c r="J195" s="105"/>
      <c r="K195" s="105"/>
      <c r="L195" s="105"/>
      <c r="M195" s="105"/>
      <c r="N195" s="108"/>
      <c r="O195" s="67"/>
      <c r="P195" s="67"/>
      <c r="Q195" s="144"/>
      <c r="R195" s="115"/>
      <c r="S195" s="54"/>
      <c r="T195" s="132"/>
      <c r="W195" s="1"/>
      <c r="X195" s="1"/>
      <c r="Y195" s="1"/>
      <c r="Z195" s="126"/>
    </row>
    <row r="196" spans="1:26" x14ac:dyDescent="0.25">
      <c r="A196" s="7"/>
      <c r="B196" s="94"/>
      <c r="C196" s="105"/>
      <c r="D196" s="148"/>
      <c r="E196" s="148"/>
      <c r="F196" s="93"/>
      <c r="G196" s="105"/>
      <c r="H196" s="105"/>
      <c r="I196" s="105"/>
      <c r="J196" s="105"/>
      <c r="K196" s="105"/>
      <c r="L196" s="105"/>
      <c r="M196" s="105"/>
      <c r="N196" s="108"/>
      <c r="O196" s="67"/>
      <c r="P196" s="67"/>
      <c r="Q196" s="144"/>
      <c r="R196" s="115"/>
      <c r="S196" s="54"/>
      <c r="T196" s="132"/>
      <c r="W196" s="1"/>
      <c r="X196" s="1"/>
      <c r="Y196" s="1"/>
      <c r="Z196" s="126"/>
    </row>
    <row r="197" spans="1:26" x14ac:dyDescent="0.25">
      <c r="A197" s="7"/>
      <c r="B197" s="94"/>
      <c r="C197" s="105"/>
      <c r="D197" s="148"/>
      <c r="E197" s="148"/>
      <c r="F197" s="93"/>
      <c r="G197" s="105"/>
      <c r="H197" s="105"/>
      <c r="I197" s="105"/>
      <c r="J197" s="105"/>
      <c r="K197" s="105"/>
      <c r="L197" s="105"/>
      <c r="M197" s="105"/>
      <c r="N197" s="108"/>
      <c r="O197" s="67"/>
      <c r="P197" s="67"/>
      <c r="Q197" s="144"/>
      <c r="R197" s="115"/>
      <c r="S197" s="54"/>
      <c r="T197" s="132"/>
      <c r="W197" s="1"/>
      <c r="X197" s="1"/>
      <c r="Y197" s="1"/>
      <c r="Z197" s="126"/>
    </row>
    <row r="198" spans="1:26" x14ac:dyDescent="0.25">
      <c r="A198" s="7"/>
      <c r="B198" s="94"/>
      <c r="C198" s="105"/>
      <c r="D198" s="148"/>
      <c r="E198" s="148"/>
      <c r="F198" s="93"/>
      <c r="G198" s="105"/>
      <c r="H198" s="105"/>
      <c r="I198" s="105"/>
      <c r="J198" s="105"/>
      <c r="K198" s="105"/>
      <c r="L198" s="105"/>
      <c r="M198" s="105"/>
      <c r="N198" s="108"/>
      <c r="O198" s="67"/>
      <c r="P198" s="67"/>
      <c r="Q198" s="144"/>
      <c r="R198" s="115"/>
      <c r="S198" s="54"/>
      <c r="T198" s="132"/>
      <c r="W198" s="1"/>
      <c r="X198" s="1"/>
      <c r="Y198" s="1"/>
      <c r="Z198" s="126"/>
    </row>
    <row r="199" spans="1:26" x14ac:dyDescent="0.25">
      <c r="A199" s="7"/>
      <c r="B199" s="94"/>
      <c r="C199" s="105"/>
      <c r="D199" s="148"/>
      <c r="E199" s="148"/>
      <c r="F199" s="93"/>
      <c r="G199" s="105"/>
      <c r="H199" s="105"/>
      <c r="I199" s="105"/>
      <c r="J199" s="105"/>
      <c r="K199" s="105"/>
      <c r="L199" s="105"/>
      <c r="M199" s="105"/>
      <c r="N199" s="108"/>
      <c r="O199" s="67"/>
      <c r="P199" s="67"/>
      <c r="Q199" s="144"/>
      <c r="R199" s="115"/>
      <c r="S199" s="54"/>
      <c r="T199" s="132"/>
      <c r="W199" s="1"/>
      <c r="X199" s="1"/>
      <c r="Y199" s="1"/>
      <c r="Z199" s="126"/>
    </row>
    <row r="200" spans="1:26" x14ac:dyDescent="0.25">
      <c r="A200" s="7"/>
      <c r="B200" s="94"/>
      <c r="C200" s="105"/>
      <c r="D200" s="148"/>
      <c r="E200" s="148"/>
      <c r="F200" s="93"/>
      <c r="G200" s="105"/>
      <c r="H200" s="105"/>
      <c r="I200" s="105"/>
      <c r="J200" s="105"/>
      <c r="K200" s="105"/>
      <c r="L200" s="105"/>
      <c r="M200" s="105"/>
      <c r="N200" s="108"/>
      <c r="O200" s="67"/>
      <c r="P200" s="67"/>
      <c r="Q200" s="144"/>
      <c r="R200" s="115"/>
      <c r="S200" s="54"/>
      <c r="T200" s="132"/>
      <c r="W200" s="1"/>
      <c r="X200" s="1"/>
      <c r="Y200" s="1"/>
      <c r="Z200" s="126"/>
    </row>
    <row r="201" spans="1:26" x14ac:dyDescent="0.25">
      <c r="A201" s="7"/>
      <c r="B201" s="94"/>
      <c r="C201" s="105"/>
      <c r="D201" s="148"/>
      <c r="E201" s="148"/>
      <c r="F201" s="93"/>
      <c r="G201" s="105"/>
      <c r="H201" s="105"/>
      <c r="I201" s="105"/>
      <c r="J201" s="105"/>
      <c r="K201" s="105"/>
      <c r="L201" s="105"/>
      <c r="M201" s="105"/>
      <c r="N201" s="108"/>
      <c r="O201" s="67"/>
      <c r="P201" s="67"/>
      <c r="Q201" s="144"/>
      <c r="R201" s="115"/>
      <c r="S201" s="54"/>
      <c r="T201" s="132"/>
      <c r="W201" s="1"/>
      <c r="X201" s="1"/>
      <c r="Y201" s="1"/>
      <c r="Z201" s="126"/>
    </row>
    <row r="202" spans="1:26" x14ac:dyDescent="0.25">
      <c r="A202" s="7"/>
      <c r="B202" s="94"/>
      <c r="C202" s="105"/>
      <c r="D202" s="148"/>
      <c r="E202" s="148"/>
      <c r="F202" s="93"/>
      <c r="G202" s="105"/>
      <c r="H202" s="105"/>
      <c r="I202" s="105"/>
      <c r="J202" s="105"/>
      <c r="K202" s="105"/>
      <c r="L202" s="105"/>
      <c r="M202" s="105"/>
      <c r="N202" s="108"/>
      <c r="O202" s="67"/>
      <c r="P202" s="67"/>
      <c r="Q202" s="144"/>
      <c r="R202" s="115"/>
      <c r="S202" s="54"/>
      <c r="T202" s="132"/>
      <c r="W202" s="1"/>
      <c r="X202" s="1"/>
      <c r="Y202" s="1"/>
      <c r="Z202" s="126"/>
    </row>
    <row r="203" spans="1:26" x14ac:dyDescent="0.25">
      <c r="A203" s="7"/>
      <c r="B203" s="94"/>
      <c r="C203" s="105"/>
      <c r="D203" s="148"/>
      <c r="E203" s="148"/>
      <c r="F203" s="93"/>
      <c r="G203" s="105"/>
      <c r="H203" s="105"/>
      <c r="I203" s="105"/>
      <c r="J203" s="105"/>
      <c r="K203" s="105"/>
      <c r="L203" s="105"/>
      <c r="M203" s="105"/>
      <c r="N203" s="108"/>
      <c r="O203" s="67"/>
      <c r="P203" s="67"/>
      <c r="Q203" s="144"/>
      <c r="R203" s="115"/>
      <c r="S203" s="54"/>
      <c r="T203" s="132"/>
      <c r="W203" s="1"/>
      <c r="X203" s="1"/>
      <c r="Y203" s="1"/>
      <c r="Z203" s="126"/>
    </row>
    <row r="204" spans="1:26" x14ac:dyDescent="0.25">
      <c r="A204" s="7"/>
      <c r="B204" s="94"/>
      <c r="C204" s="105"/>
      <c r="D204" s="148"/>
      <c r="E204" s="148"/>
      <c r="F204" s="93"/>
      <c r="G204" s="105"/>
      <c r="H204" s="105"/>
      <c r="I204" s="105"/>
      <c r="J204" s="105"/>
      <c r="K204" s="105"/>
      <c r="L204" s="105"/>
      <c r="M204" s="105"/>
      <c r="N204" s="108"/>
      <c r="O204" s="67"/>
      <c r="P204" s="67"/>
      <c r="Q204" s="144"/>
      <c r="R204" s="115"/>
      <c r="S204" s="54"/>
      <c r="T204" s="132"/>
      <c r="W204" s="1"/>
      <c r="X204" s="1"/>
      <c r="Y204" s="1"/>
      <c r="Z204" s="126"/>
    </row>
    <row r="205" spans="1:26" x14ac:dyDescent="0.25">
      <c r="A205" s="7"/>
      <c r="B205" s="94"/>
      <c r="C205" s="105"/>
      <c r="D205" s="148"/>
      <c r="E205" s="148"/>
      <c r="F205" s="93"/>
      <c r="G205" s="105"/>
      <c r="H205" s="105"/>
      <c r="I205" s="105"/>
      <c r="J205" s="105"/>
      <c r="K205" s="105"/>
      <c r="L205" s="105"/>
      <c r="M205" s="105"/>
      <c r="N205" s="108"/>
      <c r="O205" s="67"/>
      <c r="P205" s="67"/>
      <c r="Q205" s="144"/>
      <c r="R205" s="115"/>
      <c r="S205" s="54"/>
      <c r="T205" s="132"/>
      <c r="W205" s="1"/>
      <c r="X205" s="1"/>
      <c r="Y205" s="1"/>
      <c r="Z205" s="126"/>
    </row>
    <row r="206" spans="1:26" x14ac:dyDescent="0.25">
      <c r="A206" s="7"/>
      <c r="B206" s="94"/>
      <c r="C206" s="105"/>
      <c r="D206" s="148"/>
      <c r="E206" s="148"/>
      <c r="F206" s="93"/>
      <c r="G206" s="105"/>
      <c r="H206" s="105"/>
      <c r="I206" s="105"/>
      <c r="J206" s="105"/>
      <c r="K206" s="105"/>
      <c r="L206" s="105"/>
      <c r="M206" s="105"/>
      <c r="N206" s="108"/>
      <c r="O206" s="67"/>
      <c r="P206" s="67"/>
      <c r="Q206" s="144"/>
      <c r="R206" s="115"/>
      <c r="S206" s="54"/>
      <c r="T206" s="132"/>
      <c r="W206" s="1"/>
      <c r="X206" s="1"/>
      <c r="Y206" s="1"/>
      <c r="Z206" s="126"/>
    </row>
    <row r="207" spans="1:26" x14ac:dyDescent="0.25">
      <c r="A207" s="7"/>
      <c r="B207" s="94"/>
      <c r="C207" s="105"/>
      <c r="D207" s="148"/>
      <c r="E207" s="148"/>
      <c r="F207" s="93"/>
      <c r="G207" s="105"/>
      <c r="H207" s="105"/>
      <c r="I207" s="105"/>
      <c r="J207" s="105"/>
      <c r="K207" s="105"/>
      <c r="L207" s="105"/>
      <c r="M207" s="105"/>
      <c r="N207" s="108"/>
      <c r="O207" s="67"/>
      <c r="P207" s="67"/>
      <c r="Q207" s="144"/>
      <c r="R207" s="115"/>
      <c r="S207" s="54"/>
      <c r="T207" s="132"/>
      <c r="W207" s="1"/>
      <c r="X207" s="1"/>
      <c r="Y207" s="1"/>
      <c r="Z207" s="126"/>
    </row>
    <row r="208" spans="1:26" x14ac:dyDescent="0.25">
      <c r="A208" s="7"/>
      <c r="B208" s="94"/>
      <c r="C208" s="105"/>
      <c r="D208" s="148"/>
      <c r="E208" s="148"/>
      <c r="F208" s="93"/>
      <c r="G208" s="105"/>
      <c r="H208" s="105"/>
      <c r="I208" s="105"/>
      <c r="J208" s="105"/>
      <c r="K208" s="105"/>
      <c r="L208" s="105"/>
      <c r="M208" s="105"/>
      <c r="N208" s="108"/>
      <c r="O208" s="67"/>
      <c r="P208" s="67"/>
      <c r="Q208" s="144"/>
      <c r="R208" s="115"/>
      <c r="S208" s="54"/>
      <c r="T208" s="132"/>
      <c r="W208" s="1"/>
      <c r="X208" s="1"/>
      <c r="Y208" s="1"/>
      <c r="Z208" s="126"/>
    </row>
    <row r="209" spans="1:26" x14ac:dyDescent="0.25">
      <c r="A209" s="7"/>
      <c r="B209" s="94"/>
      <c r="C209" s="105"/>
      <c r="D209" s="148"/>
      <c r="E209" s="148"/>
      <c r="F209" s="93"/>
      <c r="G209" s="105"/>
      <c r="H209" s="105"/>
      <c r="I209" s="105"/>
      <c r="J209" s="105"/>
      <c r="K209" s="105"/>
      <c r="L209" s="105"/>
      <c r="M209" s="105"/>
      <c r="N209" s="108"/>
      <c r="O209" s="67"/>
      <c r="P209" s="67"/>
      <c r="Q209" s="144"/>
      <c r="R209" s="115"/>
      <c r="S209" s="54"/>
      <c r="T209" s="132"/>
      <c r="W209" s="1"/>
      <c r="X209" s="1"/>
      <c r="Y209" s="1"/>
      <c r="Z209" s="126"/>
    </row>
    <row r="210" spans="1:26" x14ac:dyDescent="0.25">
      <c r="A210" s="7"/>
      <c r="B210" s="94"/>
      <c r="C210" s="105"/>
      <c r="D210" s="148"/>
      <c r="E210" s="148"/>
      <c r="F210" s="93"/>
      <c r="G210" s="105"/>
      <c r="H210" s="105"/>
      <c r="I210" s="105"/>
      <c r="J210" s="105"/>
      <c r="K210" s="105"/>
      <c r="L210" s="105"/>
      <c r="M210" s="105"/>
      <c r="N210" s="108"/>
      <c r="O210" s="67"/>
      <c r="P210" s="67"/>
      <c r="Q210" s="144"/>
      <c r="R210" s="115"/>
      <c r="S210" s="54"/>
      <c r="T210" s="132"/>
      <c r="W210" s="1"/>
      <c r="X210" s="1"/>
      <c r="Y210" s="1"/>
      <c r="Z210" s="126"/>
    </row>
    <row r="211" spans="1:26" x14ac:dyDescent="0.25">
      <c r="A211" s="7"/>
      <c r="B211" s="94"/>
      <c r="C211" s="105"/>
      <c r="D211" s="148"/>
      <c r="E211" s="148"/>
      <c r="F211" s="93"/>
      <c r="G211" s="105"/>
      <c r="H211" s="105"/>
      <c r="I211" s="105"/>
      <c r="J211" s="105"/>
      <c r="K211" s="105"/>
      <c r="L211" s="105"/>
      <c r="M211" s="105"/>
      <c r="N211" s="108"/>
      <c r="O211" s="67"/>
      <c r="P211" s="67"/>
      <c r="Q211" s="144"/>
      <c r="R211" s="115"/>
      <c r="S211" s="54"/>
      <c r="T211" s="132"/>
      <c r="W211" s="1"/>
      <c r="X211" s="1"/>
      <c r="Y211" s="1"/>
      <c r="Z211" s="126"/>
    </row>
    <row r="212" spans="1:26" x14ac:dyDescent="0.25">
      <c r="B212" s="9"/>
      <c r="O212" s="3"/>
      <c r="P212" s="3"/>
      <c r="Q212" s="3"/>
    </row>
    <row r="213" spans="1:26" x14ac:dyDescent="0.25">
      <c r="B213" s="9"/>
      <c r="O213" s="3"/>
      <c r="P213" s="3"/>
      <c r="Q213" s="3"/>
    </row>
    <row r="214" spans="1:26" x14ac:dyDescent="0.25">
      <c r="B214" s="9"/>
      <c r="O214" s="3"/>
      <c r="P214" s="3"/>
      <c r="Q214" s="3"/>
    </row>
    <row r="215" spans="1:26" x14ac:dyDescent="0.25">
      <c r="B215" s="9"/>
      <c r="O215" s="3"/>
      <c r="P215" s="3"/>
      <c r="Q215" s="3"/>
    </row>
    <row r="216" spans="1:26" x14ac:dyDescent="0.25">
      <c r="B216" s="9"/>
      <c r="O216" s="3"/>
      <c r="P216" s="3"/>
      <c r="Q216" s="3"/>
    </row>
    <row r="217" spans="1:26" x14ac:dyDescent="0.25">
      <c r="B217" s="9"/>
      <c r="O217" s="3"/>
      <c r="P217" s="3"/>
      <c r="Q217" s="3"/>
    </row>
    <row r="218" spans="1:26" x14ac:dyDescent="0.25">
      <c r="B218" s="9"/>
      <c r="O218" s="3"/>
      <c r="P218" s="3"/>
      <c r="Q218" s="3"/>
    </row>
    <row r="219" spans="1:26" x14ac:dyDescent="0.25">
      <c r="B219" s="9"/>
      <c r="O219" s="3"/>
      <c r="P219" s="3"/>
      <c r="Q219" s="3"/>
    </row>
    <row r="220" spans="1:26" x14ac:dyDescent="0.25">
      <c r="O220" s="3"/>
      <c r="P220" s="3"/>
      <c r="Q220" s="3"/>
    </row>
    <row r="221" spans="1:26" x14ac:dyDescent="0.25">
      <c r="O221" s="3"/>
      <c r="P221" s="3"/>
      <c r="Q221" s="3"/>
    </row>
    <row r="222" spans="1:26" x14ac:dyDescent="0.25">
      <c r="O222" s="3"/>
      <c r="P222" s="3"/>
      <c r="Q222" s="3"/>
    </row>
  </sheetData>
  <sheetProtection sheet="1" objects="1" scenarios="1" selectLockedCells="1" selectUnlockedCells="1"/>
  <sortState xmlns:xlrd2="http://schemas.microsoft.com/office/spreadsheetml/2017/richdata2" ref="B12:T82">
    <sortCondition ref="C12"/>
    <sortCondition ref="D12"/>
  </sortState>
  <mergeCells count="11">
    <mergeCell ref="O5:U5"/>
    <mergeCell ref="K9:L9"/>
    <mergeCell ref="A1:B1"/>
    <mergeCell ref="B3:C3"/>
    <mergeCell ref="B4:C4"/>
    <mergeCell ref="B5:C5"/>
    <mergeCell ref="B6:C6"/>
    <mergeCell ref="D3:E3"/>
    <mergeCell ref="D4:E4"/>
    <mergeCell ref="D5:E5"/>
    <mergeCell ref="D2:E2"/>
  </mergeCells>
  <phoneticPr fontId="13" type="noConversion"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FinalizeMainRosterButton">
              <controlPr defaultSize="0" print="0" autoFill="0" autoPict="0" macro="[0]!FinalizeMainRoster_Click">
                <anchor moveWithCells="1">
                  <from>
                    <xdr:col>5</xdr:col>
                    <xdr:colOff>647700</xdr:colOff>
                    <xdr:row>1</xdr:row>
                    <xdr:rowOff>0</xdr:rowOff>
                  </from>
                  <to>
                    <xdr:col>8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onsyEntriesCopy">
              <controlPr defaultSize="0" print="0" autoFill="0" autoPict="0" macro="[0]!CopyMainToConsy_Click">
                <anchor moveWithCells="1">
                  <from>
                    <xdr:col>5</xdr:col>
                    <xdr:colOff>647700</xdr:colOff>
                    <xdr:row>3</xdr:row>
                    <xdr:rowOff>180975</xdr:rowOff>
                  </from>
                  <to>
                    <xdr:col>8</xdr:col>
                    <xdr:colOff>9525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RevertFinalizeButton">
              <controlPr defaultSize="0" print="0" autoFill="0" autoPict="0" macro="[0]!RevertFinalizeMainRoster_Click">
                <anchor moveWithCells="1" sizeWithCells="1">
                  <from>
                    <xdr:col>8</xdr:col>
                    <xdr:colOff>257175</xdr:colOff>
                    <xdr:row>1</xdr:row>
                    <xdr:rowOff>0</xdr:rowOff>
                  </from>
                  <to>
                    <xdr:col>10</xdr:col>
                    <xdr:colOff>295275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onsyCheckinList">
              <controlPr defaultSize="0" print="0" autoFill="0" autoPict="0" macro="[0]!PrintConsyCheckIn_Click">
                <anchor moveWithCells="1">
                  <from>
                    <xdr:col>8</xdr:col>
                    <xdr:colOff>257175</xdr:colOff>
                    <xdr:row>6</xdr:row>
                    <xdr:rowOff>180975</xdr:rowOff>
                  </from>
                  <to>
                    <xdr:col>10</xdr:col>
                    <xdr:colOff>295275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Utilities.WhereAmI_Click">
                <anchor moveWithCells="1">
                  <from>
                    <xdr:col>11</xdr:col>
                    <xdr:colOff>38100</xdr:colOff>
                    <xdr:row>1</xdr:row>
                    <xdr:rowOff>0</xdr:rowOff>
                  </from>
                  <to>
                    <xdr:col>12</xdr:col>
                    <xdr:colOff>428625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utton 10">
              <controlPr defaultSize="0" print="0" autoFill="0" autoPict="0" macro="[0]!navigation_Click">
                <anchor moveWithCells="1">
                  <from>
                    <xdr:col>11</xdr:col>
                    <xdr:colOff>57150</xdr:colOff>
                    <xdr:row>6</xdr:row>
                    <xdr:rowOff>180975</xdr:rowOff>
                  </from>
                  <to>
                    <xdr:col>12</xdr:col>
                    <xdr:colOff>447675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MoveMainQualifiers">
              <controlPr defaultSize="0" print="0" autoFill="0" autoPict="0" macro="[0]!MoveMainQualifiers_Click">
                <anchor moveWithCells="1">
                  <from>
                    <xdr:col>5</xdr:col>
                    <xdr:colOff>647700</xdr:colOff>
                    <xdr:row>6</xdr:row>
                    <xdr:rowOff>180975</xdr:rowOff>
                  </from>
                  <to>
                    <xdr:col>8</xdr:col>
                    <xdr:colOff>9525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222"/>
  <sheetViews>
    <sheetView zoomScaleNormal="100" workbookViewId="0">
      <pane ySplit="9" topLeftCell="A13" activePane="bottomLeft" state="frozen"/>
      <selection activeCell="B10" sqref="B10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2" customWidth="1"/>
    <col min="3" max="3" width="22.7109375" style="2" customWidth="1"/>
    <col min="4" max="4" width="11.85546875" style="3" customWidth="1"/>
    <col min="5" max="5" width="6.7109375" style="9" customWidth="1"/>
    <col min="6" max="6" width="7.85546875" style="9" customWidth="1"/>
    <col min="7" max="7" width="7.28515625" style="9" customWidth="1"/>
    <col min="8" max="8" width="6.5703125" style="9" customWidth="1"/>
    <col min="9" max="9" width="6.85546875" style="9" customWidth="1"/>
    <col min="10" max="11" width="8" style="9" customWidth="1"/>
    <col min="12" max="12" width="8" style="28" customWidth="1"/>
    <col min="13" max="16" width="6.42578125" style="9" customWidth="1"/>
    <col min="17" max="18" width="9.140625" customWidth="1"/>
    <col min="19" max="19" width="9.140625" style="1"/>
    <col min="20" max="20" width="9.140625" customWidth="1"/>
    <col min="21" max="23" width="9.140625" style="16" customWidth="1"/>
    <col min="24" max="31" width="9.140625" customWidth="1"/>
  </cols>
  <sheetData>
    <row r="1" spans="1:22" ht="21" x14ac:dyDescent="0.35">
      <c r="A1" s="175" t="s">
        <v>51</v>
      </c>
      <c r="B1" s="175"/>
      <c r="C1" s="89"/>
      <c r="D1" s="12"/>
      <c r="E1" s="19"/>
      <c r="F1"/>
      <c r="G1" s="8"/>
      <c r="H1" s="8"/>
      <c r="I1"/>
      <c r="L1" s="17"/>
      <c r="Q1" s="8"/>
      <c r="T1" s="1"/>
    </row>
    <row r="2" spans="1:22" x14ac:dyDescent="0.25">
      <c r="A2" s="24"/>
      <c r="D2" s="8"/>
      <c r="E2"/>
      <c r="F2"/>
      <c r="G2" s="8"/>
      <c r="I2" s="99"/>
      <c r="L2" s="18"/>
      <c r="Q2" s="14"/>
    </row>
    <row r="3" spans="1:22" x14ac:dyDescent="0.25">
      <c r="B3" s="133" t="s">
        <v>60</v>
      </c>
      <c r="C3" s="172" t="s">
        <v>228</v>
      </c>
      <c r="D3" s="172"/>
      <c r="E3" s="23"/>
      <c r="F3" s="23"/>
      <c r="G3" s="14"/>
      <c r="H3" s="14"/>
      <c r="I3" t="s">
        <v>84</v>
      </c>
      <c r="P3"/>
    </row>
    <row r="4" spans="1:22" x14ac:dyDescent="0.25">
      <c r="B4" s="133" t="s">
        <v>61</v>
      </c>
      <c r="C4" s="172" t="s">
        <v>229</v>
      </c>
      <c r="D4" s="172"/>
      <c r="E4" s="88"/>
      <c r="F4" s="88"/>
      <c r="G4" s="14"/>
      <c r="H4" s="14"/>
      <c r="I4" t="s">
        <v>85</v>
      </c>
      <c r="M4" s="135"/>
      <c r="P4"/>
    </row>
    <row r="5" spans="1:22" x14ac:dyDescent="0.25">
      <c r="B5" s="133" t="s">
        <v>62</v>
      </c>
      <c r="C5" s="172" t="s">
        <v>230</v>
      </c>
      <c r="D5" s="172"/>
      <c r="E5" s="88"/>
      <c r="F5" s="88"/>
      <c r="G5" s="14"/>
      <c r="H5" s="14"/>
      <c r="I5"/>
      <c r="P5" s="15"/>
    </row>
    <row r="6" spans="1:22" ht="15" customHeight="1" x14ac:dyDescent="0.35">
      <c r="A6" s="15"/>
      <c r="B6" s="133" t="s">
        <v>63</v>
      </c>
      <c r="C6" s="134">
        <v>45731</v>
      </c>
      <c r="D6" s="153"/>
      <c r="E6" s="153"/>
      <c r="G6" s="8"/>
      <c r="H6"/>
      <c r="I6" s="99" t="s">
        <v>90</v>
      </c>
      <c r="L6" s="9"/>
      <c r="P6"/>
    </row>
    <row r="7" spans="1:22" ht="15" customHeight="1" x14ac:dyDescent="0.35">
      <c r="A7" s="20"/>
      <c r="B7" s="154"/>
      <c r="C7" s="44"/>
      <c r="D7" s="89"/>
      <c r="E7" s="155"/>
      <c r="F7" s="23"/>
      <c r="H7" s="20"/>
      <c r="I7" s="20"/>
      <c r="J7" s="20"/>
      <c r="K7" s="20"/>
      <c r="L7" s="21"/>
      <c r="M7" s="20"/>
      <c r="N7" s="20"/>
      <c r="O7" s="20"/>
      <c r="P7" s="20"/>
    </row>
    <row r="8" spans="1:22" ht="16.5" customHeight="1" x14ac:dyDescent="0.35">
      <c r="B8" s="153"/>
      <c r="C8" s="153"/>
      <c r="D8" s="89"/>
      <c r="E8" s="46"/>
      <c r="G8" s="20"/>
      <c r="H8" s="20"/>
      <c r="M8" s="10">
        <f>SUM(M10:M203)</f>
        <v>0</v>
      </c>
      <c r="N8" s="10">
        <f>SUM(N10:N203)</f>
        <v>0</v>
      </c>
      <c r="O8" s="10">
        <f>SUM(O10:O203)</f>
        <v>0</v>
      </c>
      <c r="P8" s="10">
        <f>SUM(P10:P203)</f>
        <v>0</v>
      </c>
    </row>
    <row r="9" spans="1:22" ht="36" customHeight="1" x14ac:dyDescent="0.25">
      <c r="B9" s="4" t="s">
        <v>0</v>
      </c>
      <c r="C9" s="5" t="s">
        <v>1</v>
      </c>
      <c r="D9" s="6" t="s">
        <v>2</v>
      </c>
      <c r="E9" s="11" t="s">
        <v>3</v>
      </c>
      <c r="F9" s="11" t="s">
        <v>4</v>
      </c>
      <c r="G9" s="11" t="s">
        <v>15</v>
      </c>
      <c r="H9" s="11" t="s">
        <v>16</v>
      </c>
      <c r="I9" s="11" t="s">
        <v>19</v>
      </c>
      <c r="J9" s="11" t="s">
        <v>17</v>
      </c>
      <c r="K9" s="11" t="s">
        <v>18</v>
      </c>
      <c r="L9" s="29" t="s">
        <v>22</v>
      </c>
      <c r="M9" s="11" t="s">
        <v>45</v>
      </c>
      <c r="N9" s="11" t="s">
        <v>46</v>
      </c>
      <c r="O9" s="11" t="s">
        <v>46</v>
      </c>
      <c r="P9" s="11" t="s">
        <v>46</v>
      </c>
      <c r="Q9" s="137" t="s">
        <v>77</v>
      </c>
      <c r="T9" s="22"/>
      <c r="U9" s="26" t="s">
        <v>20</v>
      </c>
      <c r="V9" s="27" t="s">
        <v>21</v>
      </c>
    </row>
    <row r="10" spans="1:22" ht="15" customHeight="1" x14ac:dyDescent="0.25">
      <c r="A10" s="7">
        <v>1</v>
      </c>
      <c r="B10" s="113"/>
      <c r="C10" s="115"/>
      <c r="D10" s="115"/>
      <c r="E10" s="115"/>
      <c r="F10" s="115"/>
      <c r="G10" s="115"/>
      <c r="H10" s="115"/>
      <c r="I10" s="106"/>
      <c r="J10" s="106"/>
      <c r="K10" s="106"/>
      <c r="L10" s="107"/>
      <c r="M10" s="115"/>
      <c r="N10" s="115"/>
      <c r="O10" s="106"/>
      <c r="P10" s="106"/>
      <c r="Q10" s="115">
        <v>1</v>
      </c>
      <c r="R10" s="109"/>
      <c r="T10" s="22">
        <v>1</v>
      </c>
      <c r="U10" s="7">
        <v>7</v>
      </c>
      <c r="V10" s="25">
        <v>4</v>
      </c>
    </row>
    <row r="11" spans="1:22" ht="15" customHeight="1" x14ac:dyDescent="0.25">
      <c r="A11" s="7">
        <f>+A10+1</f>
        <v>2</v>
      </c>
      <c r="B11" s="93"/>
      <c r="C11" s="115"/>
      <c r="D11" s="115"/>
      <c r="E11" s="115"/>
      <c r="F11" s="115"/>
      <c r="G11" s="115"/>
      <c r="H11" s="115"/>
      <c r="I11" s="106"/>
      <c r="J11" s="106"/>
      <c r="K11" s="115"/>
      <c r="L11" s="115"/>
      <c r="M11" s="115"/>
      <c r="N11" s="115"/>
      <c r="O11" s="106"/>
      <c r="P11" s="106"/>
      <c r="Q11" s="115">
        <v>2</v>
      </c>
      <c r="R11" s="109"/>
      <c r="T11" s="22">
        <f>+T10+1</f>
        <v>2</v>
      </c>
      <c r="U11" s="25">
        <f>+T11*7+U10</f>
        <v>21</v>
      </c>
      <c r="V11" s="25">
        <f>+T11*4+V10</f>
        <v>12</v>
      </c>
    </row>
    <row r="12" spans="1:22" x14ac:dyDescent="0.25">
      <c r="A12" s="7">
        <f t="shared" ref="A12:A75" si="0">+A11+1</f>
        <v>3</v>
      </c>
      <c r="B12" s="93"/>
      <c r="C12" s="115"/>
      <c r="D12" s="115"/>
      <c r="E12" s="115"/>
      <c r="F12" s="115"/>
      <c r="G12" s="115"/>
      <c r="H12" s="115"/>
      <c r="I12" s="105"/>
      <c r="J12" s="105"/>
      <c r="K12" s="105"/>
      <c r="L12" s="107"/>
      <c r="M12" s="115"/>
      <c r="N12" s="115"/>
      <c r="O12" s="106"/>
      <c r="P12" s="106"/>
      <c r="Q12" s="7" t="s">
        <v>83</v>
      </c>
      <c r="R12" s="109"/>
      <c r="T12" s="22">
        <f t="shared" ref="T12:T19" si="1">+T11+1</f>
        <v>3</v>
      </c>
      <c r="U12" s="25">
        <f t="shared" ref="U12:U19" si="2">+T12*7+U11</f>
        <v>42</v>
      </c>
      <c r="V12" s="25">
        <f t="shared" ref="V12:V19" si="3">+T12*4+V11</f>
        <v>24</v>
      </c>
    </row>
    <row r="13" spans="1:22" x14ac:dyDescent="0.25">
      <c r="A13" s="7">
        <f t="shared" si="0"/>
        <v>4</v>
      </c>
      <c r="B13" s="113"/>
      <c r="C13" s="94"/>
      <c r="D13" s="94"/>
      <c r="E13" s="115"/>
      <c r="F13" s="115"/>
      <c r="G13" s="115"/>
      <c r="H13" s="115"/>
      <c r="I13" s="106"/>
      <c r="J13" s="106"/>
      <c r="K13" s="106"/>
      <c r="L13" s="107"/>
      <c r="M13" s="94"/>
      <c r="N13" s="105"/>
      <c r="O13" s="105"/>
      <c r="P13" s="105"/>
      <c r="Q13" s="7" t="s">
        <v>83</v>
      </c>
      <c r="R13" s="83"/>
      <c r="T13" s="22">
        <f t="shared" si="1"/>
        <v>4</v>
      </c>
      <c r="U13" s="25">
        <f t="shared" si="2"/>
        <v>70</v>
      </c>
      <c r="V13" s="25">
        <f t="shared" si="3"/>
        <v>40</v>
      </c>
    </row>
    <row r="14" spans="1:22" x14ac:dyDescent="0.25">
      <c r="A14" s="7">
        <f t="shared" si="0"/>
        <v>5</v>
      </c>
      <c r="B14" s="113"/>
      <c r="C14" s="115"/>
      <c r="D14" s="115"/>
      <c r="E14" s="115"/>
      <c r="F14" s="115"/>
      <c r="G14" s="115"/>
      <c r="H14" s="115"/>
      <c r="I14" s="106"/>
      <c r="J14" s="106"/>
      <c r="K14" s="115"/>
      <c r="L14" s="115"/>
      <c r="M14" s="115"/>
      <c r="N14" s="115"/>
      <c r="O14" s="106"/>
      <c r="P14" s="106"/>
      <c r="Q14" s="7" t="s">
        <v>24</v>
      </c>
      <c r="R14" s="127"/>
      <c r="T14" s="22">
        <f t="shared" si="1"/>
        <v>5</v>
      </c>
      <c r="U14" s="25">
        <f t="shared" si="2"/>
        <v>105</v>
      </c>
      <c r="V14" s="25">
        <f t="shared" si="3"/>
        <v>60</v>
      </c>
    </row>
    <row r="15" spans="1:22" x14ac:dyDescent="0.25">
      <c r="A15" s="7">
        <f t="shared" si="0"/>
        <v>6</v>
      </c>
      <c r="B15" s="93"/>
      <c r="C15" s="115"/>
      <c r="D15" s="115"/>
      <c r="E15" s="115"/>
      <c r="F15" s="115"/>
      <c r="G15" s="115"/>
      <c r="H15" s="115"/>
      <c r="I15" s="106"/>
      <c r="J15" s="106"/>
      <c r="K15" s="115"/>
      <c r="L15" s="115"/>
      <c r="M15" s="115"/>
      <c r="N15" s="115"/>
      <c r="O15" s="106"/>
      <c r="P15" s="106"/>
      <c r="Q15" s="7" t="s">
        <v>24</v>
      </c>
      <c r="R15" s="138"/>
      <c r="T15" s="22">
        <f t="shared" si="1"/>
        <v>6</v>
      </c>
      <c r="U15" s="25">
        <f t="shared" si="2"/>
        <v>147</v>
      </c>
      <c r="V15" s="25">
        <f t="shared" si="3"/>
        <v>84</v>
      </c>
    </row>
    <row r="16" spans="1:22" x14ac:dyDescent="0.25">
      <c r="A16" s="7">
        <f t="shared" si="0"/>
        <v>7</v>
      </c>
      <c r="B16" s="113"/>
      <c r="C16" s="110"/>
      <c r="D16" s="110"/>
      <c r="E16" s="115"/>
      <c r="F16" s="115"/>
      <c r="G16" s="115"/>
      <c r="H16" s="115"/>
      <c r="I16" s="106"/>
      <c r="J16" s="106"/>
      <c r="K16" s="115"/>
      <c r="L16" s="115"/>
      <c r="M16" s="112"/>
      <c r="N16" s="112"/>
      <c r="O16" s="106"/>
      <c r="P16" s="106"/>
      <c r="Q16" s="7" t="s">
        <v>24</v>
      </c>
      <c r="T16" s="22">
        <f t="shared" si="1"/>
        <v>7</v>
      </c>
      <c r="U16" s="25">
        <f t="shared" si="2"/>
        <v>196</v>
      </c>
      <c r="V16" s="25">
        <f t="shared" si="3"/>
        <v>112</v>
      </c>
    </row>
    <row r="17" spans="1:22" x14ac:dyDescent="0.25">
      <c r="A17" s="7">
        <f t="shared" si="0"/>
        <v>8</v>
      </c>
      <c r="B17" s="113"/>
      <c r="C17" s="115"/>
      <c r="D17" s="115"/>
      <c r="E17" s="110"/>
      <c r="F17" s="110"/>
      <c r="G17" s="112"/>
      <c r="H17" s="112"/>
      <c r="I17" s="106"/>
      <c r="J17" s="106"/>
      <c r="K17" s="115"/>
      <c r="L17" s="115"/>
      <c r="M17" s="115"/>
      <c r="N17" s="115"/>
      <c r="O17" s="106"/>
      <c r="P17" s="106"/>
      <c r="Q17" s="7" t="s">
        <v>24</v>
      </c>
      <c r="T17" s="22">
        <f t="shared" si="1"/>
        <v>8</v>
      </c>
      <c r="U17" s="25">
        <f t="shared" si="2"/>
        <v>252</v>
      </c>
      <c r="V17" s="25">
        <f t="shared" si="3"/>
        <v>144</v>
      </c>
    </row>
    <row r="18" spans="1:22" x14ac:dyDescent="0.25">
      <c r="A18" s="7">
        <f t="shared" si="0"/>
        <v>9</v>
      </c>
      <c r="B18" s="113"/>
      <c r="C18" s="105"/>
      <c r="D18" s="94"/>
      <c r="E18" s="115"/>
      <c r="F18" s="115"/>
      <c r="G18" s="115"/>
      <c r="H18" s="115"/>
      <c r="I18" s="106"/>
      <c r="J18" s="106"/>
      <c r="K18" s="106"/>
      <c r="L18" s="107"/>
      <c r="M18" s="94"/>
      <c r="N18" s="105"/>
      <c r="O18" s="105"/>
      <c r="P18" s="105"/>
      <c r="Q18" s="7" t="s">
        <v>25</v>
      </c>
      <c r="T18" s="22">
        <f t="shared" si="1"/>
        <v>9</v>
      </c>
      <c r="U18" s="25">
        <f t="shared" si="2"/>
        <v>315</v>
      </c>
      <c r="V18" s="25">
        <f t="shared" si="3"/>
        <v>180</v>
      </c>
    </row>
    <row r="19" spans="1:22" x14ac:dyDescent="0.25">
      <c r="A19" s="7">
        <f t="shared" si="0"/>
        <v>10</v>
      </c>
      <c r="B19" s="93"/>
      <c r="C19" s="106"/>
      <c r="D19" s="106"/>
      <c r="E19" s="115"/>
      <c r="F19" s="115"/>
      <c r="G19" s="115"/>
      <c r="H19" s="115"/>
      <c r="I19" s="106"/>
      <c r="J19" s="106"/>
      <c r="K19" s="115"/>
      <c r="L19" s="115"/>
      <c r="M19" s="106"/>
      <c r="N19" s="106"/>
      <c r="O19" s="106"/>
      <c r="P19" s="106"/>
      <c r="Q19" s="7" t="s">
        <v>25</v>
      </c>
      <c r="T19" s="22">
        <f t="shared" si="1"/>
        <v>10</v>
      </c>
      <c r="U19" s="25">
        <f t="shared" si="2"/>
        <v>385</v>
      </c>
      <c r="V19" s="25">
        <f t="shared" si="3"/>
        <v>220</v>
      </c>
    </row>
    <row r="20" spans="1:22" x14ac:dyDescent="0.25">
      <c r="A20" s="7">
        <f t="shared" si="0"/>
        <v>11</v>
      </c>
      <c r="B20" s="113"/>
      <c r="C20" s="112"/>
      <c r="D20" s="106"/>
      <c r="E20" s="115"/>
      <c r="F20" s="115"/>
      <c r="G20" s="115"/>
      <c r="H20" s="115"/>
      <c r="I20" s="106"/>
      <c r="J20" s="106"/>
      <c r="K20" s="115"/>
      <c r="L20" s="115"/>
      <c r="M20" s="106"/>
      <c r="N20" s="106"/>
      <c r="O20" s="106"/>
      <c r="P20" s="106"/>
      <c r="Q20" s="7" t="s">
        <v>25</v>
      </c>
    </row>
    <row r="21" spans="1:22" x14ac:dyDescent="0.25">
      <c r="A21" s="7">
        <f t="shared" si="0"/>
        <v>12</v>
      </c>
      <c r="B21" s="93"/>
      <c r="C21" s="115"/>
      <c r="D21" s="115"/>
      <c r="E21" s="115"/>
      <c r="F21" s="105"/>
      <c r="G21" s="105"/>
      <c r="H21" s="115"/>
      <c r="I21" s="106"/>
      <c r="J21" s="106"/>
      <c r="K21" s="94"/>
      <c r="L21" s="95"/>
      <c r="M21" s="115"/>
      <c r="N21" s="115"/>
      <c r="O21" s="106"/>
      <c r="P21" s="106"/>
      <c r="Q21" s="7" t="s">
        <v>25</v>
      </c>
    </row>
    <row r="22" spans="1:22" x14ac:dyDescent="0.25">
      <c r="A22" s="7">
        <f t="shared" si="0"/>
        <v>13</v>
      </c>
      <c r="B22" s="113"/>
      <c r="C22" s="115"/>
      <c r="D22" s="115"/>
      <c r="E22" s="115"/>
      <c r="F22" s="115"/>
      <c r="G22" s="115"/>
      <c r="H22" s="135"/>
      <c r="I22" s="135"/>
      <c r="J22" s="135"/>
      <c r="K22" s="105"/>
      <c r="L22" s="107"/>
      <c r="M22" s="115"/>
      <c r="N22" s="115"/>
      <c r="O22" s="106"/>
      <c r="P22" s="106"/>
      <c r="Q22" s="7" t="s">
        <v>25</v>
      </c>
    </row>
    <row r="23" spans="1:22" x14ac:dyDescent="0.25">
      <c r="A23" s="7">
        <f t="shared" si="0"/>
        <v>14</v>
      </c>
      <c r="B23" s="93"/>
      <c r="C23" s="115"/>
      <c r="D23" s="115"/>
      <c r="E23" s="115"/>
      <c r="F23" s="115"/>
      <c r="G23" s="115"/>
      <c r="H23" s="126"/>
      <c r="I23" s="168"/>
      <c r="J23" s="168"/>
      <c r="K23" s="115"/>
      <c r="L23" s="115"/>
      <c r="M23" s="115"/>
      <c r="N23" s="115"/>
      <c r="O23" s="106"/>
      <c r="P23" s="106"/>
      <c r="Q23" s="7" t="s">
        <v>25</v>
      </c>
    </row>
    <row r="24" spans="1:22" x14ac:dyDescent="0.25">
      <c r="A24" s="7">
        <f t="shared" si="0"/>
        <v>15</v>
      </c>
      <c r="B24" s="113"/>
      <c r="C24" s="115"/>
      <c r="D24" s="115"/>
      <c r="E24" s="115"/>
      <c r="F24" s="115"/>
      <c r="G24" s="115"/>
      <c r="H24" s="115"/>
      <c r="I24" s="105"/>
      <c r="J24" s="105"/>
      <c r="K24" s="105"/>
      <c r="L24" s="107"/>
      <c r="M24" s="115"/>
      <c r="N24" s="115"/>
      <c r="O24" s="106"/>
      <c r="P24" s="106"/>
      <c r="Q24" s="7" t="s">
        <v>25</v>
      </c>
    </row>
    <row r="25" spans="1:22" x14ac:dyDescent="0.25">
      <c r="A25" s="7">
        <f t="shared" si="0"/>
        <v>16</v>
      </c>
      <c r="B25" s="111"/>
      <c r="C25" s="111"/>
      <c r="D25" s="93"/>
      <c r="E25" s="115"/>
      <c r="F25" s="115"/>
      <c r="G25" s="115"/>
      <c r="H25" s="115"/>
      <c r="I25" s="106"/>
      <c r="J25" s="106"/>
      <c r="K25" s="115"/>
      <c r="L25" s="115"/>
      <c r="M25" s="112"/>
      <c r="N25" s="106"/>
      <c r="O25" s="106"/>
      <c r="P25" s="106"/>
      <c r="Q25" s="7" t="s">
        <v>25</v>
      </c>
    </row>
    <row r="26" spans="1:22" x14ac:dyDescent="0.25">
      <c r="A26" s="7">
        <f t="shared" si="0"/>
        <v>17</v>
      </c>
      <c r="B26" s="114"/>
      <c r="C26" s="114"/>
      <c r="D26" s="113"/>
      <c r="E26" s="115"/>
      <c r="F26" s="115"/>
      <c r="G26" s="115"/>
      <c r="H26" s="115"/>
      <c r="I26" s="106"/>
      <c r="J26" s="106"/>
      <c r="K26" s="115"/>
      <c r="L26" s="115"/>
      <c r="M26" s="112"/>
      <c r="N26" s="106"/>
      <c r="O26" s="106"/>
      <c r="P26" s="106"/>
      <c r="Q26" s="7" t="s">
        <v>26</v>
      </c>
    </row>
    <row r="27" spans="1:22" x14ac:dyDescent="0.25">
      <c r="A27" s="7">
        <f t="shared" si="0"/>
        <v>18</v>
      </c>
      <c r="B27" s="114"/>
      <c r="C27" s="111"/>
      <c r="D27" s="113"/>
      <c r="E27" s="110"/>
      <c r="F27" s="110"/>
      <c r="G27" s="110"/>
      <c r="H27" s="110"/>
      <c r="I27" s="106"/>
      <c r="J27" s="106"/>
      <c r="K27" s="110"/>
      <c r="L27" s="110"/>
      <c r="M27" s="112"/>
      <c r="N27" s="106"/>
      <c r="O27" s="106"/>
      <c r="P27" s="106"/>
      <c r="Q27" s="7" t="s">
        <v>26</v>
      </c>
    </row>
    <row r="28" spans="1:22" x14ac:dyDescent="0.25">
      <c r="A28" s="7">
        <f t="shared" si="0"/>
        <v>19</v>
      </c>
      <c r="B28" s="114"/>
      <c r="C28" s="114"/>
      <c r="D28" s="113"/>
      <c r="E28" s="115"/>
      <c r="F28" s="115"/>
      <c r="G28" s="115"/>
      <c r="H28" s="115"/>
      <c r="I28" s="106"/>
      <c r="J28" s="106"/>
      <c r="K28" s="115"/>
      <c r="L28" s="115"/>
      <c r="M28" s="112"/>
      <c r="N28" s="106"/>
      <c r="O28" s="106"/>
      <c r="P28" s="106"/>
      <c r="Q28" s="7" t="s">
        <v>26</v>
      </c>
    </row>
    <row r="29" spans="1:22" x14ac:dyDescent="0.25">
      <c r="A29" s="7">
        <f t="shared" si="0"/>
        <v>20</v>
      </c>
      <c r="B29" s="111"/>
      <c r="C29" s="111"/>
      <c r="D29" s="93"/>
      <c r="E29" s="110"/>
      <c r="F29" s="110"/>
      <c r="G29" s="110"/>
      <c r="H29" s="110"/>
      <c r="I29" s="106"/>
      <c r="J29" s="106"/>
      <c r="K29" s="110"/>
      <c r="L29" s="110"/>
      <c r="M29" s="94"/>
      <c r="N29" s="94"/>
      <c r="O29" s="94"/>
      <c r="P29" s="105"/>
      <c r="Q29" s="7" t="s">
        <v>26</v>
      </c>
    </row>
    <row r="30" spans="1:22" x14ac:dyDescent="0.25">
      <c r="A30" s="7">
        <f t="shared" si="0"/>
        <v>21</v>
      </c>
      <c r="B30" s="111"/>
      <c r="C30" s="111"/>
      <c r="D30" s="93"/>
      <c r="E30" s="112"/>
      <c r="F30" s="112"/>
      <c r="G30" s="112"/>
      <c r="H30" s="112"/>
      <c r="I30" s="106"/>
      <c r="J30" s="106"/>
      <c r="K30" s="94"/>
      <c r="L30" s="95"/>
      <c r="M30" s="94"/>
      <c r="N30" s="94"/>
      <c r="O30" s="94"/>
      <c r="P30" s="94"/>
      <c r="Q30" s="7" t="s">
        <v>26</v>
      </c>
    </row>
    <row r="31" spans="1:22" x14ac:dyDescent="0.25">
      <c r="A31" s="7">
        <f t="shared" si="0"/>
        <v>22</v>
      </c>
      <c r="B31" s="111"/>
      <c r="C31" s="111"/>
      <c r="D31" s="93"/>
      <c r="E31" s="112"/>
      <c r="F31" s="112"/>
      <c r="G31" s="112"/>
      <c r="H31" s="112"/>
      <c r="I31" s="106"/>
      <c r="J31" s="106"/>
      <c r="K31" s="94"/>
      <c r="L31" s="95"/>
      <c r="M31" s="94"/>
      <c r="N31" s="94"/>
      <c r="O31" s="94"/>
      <c r="P31" s="94"/>
      <c r="Q31" s="7" t="s">
        <v>26</v>
      </c>
    </row>
    <row r="32" spans="1:22" x14ac:dyDescent="0.25">
      <c r="A32" s="7">
        <f t="shared" si="0"/>
        <v>23</v>
      </c>
      <c r="B32" s="111"/>
      <c r="C32" s="111"/>
      <c r="D32" s="113"/>
      <c r="E32" s="112"/>
      <c r="F32" s="112"/>
      <c r="G32" s="112"/>
      <c r="H32" s="112"/>
      <c r="I32" s="106"/>
      <c r="J32" s="106"/>
      <c r="K32" s="94"/>
      <c r="L32" s="95"/>
      <c r="M32" s="94"/>
      <c r="N32" s="94"/>
      <c r="O32" s="94"/>
      <c r="P32" s="94"/>
      <c r="Q32" s="7" t="s">
        <v>26</v>
      </c>
    </row>
    <row r="33" spans="1:17" x14ac:dyDescent="0.25">
      <c r="A33" s="7">
        <f t="shared" si="0"/>
        <v>24</v>
      </c>
      <c r="B33" s="111"/>
      <c r="C33" s="111"/>
      <c r="D33" s="93"/>
      <c r="E33" s="112"/>
      <c r="F33" s="112"/>
      <c r="G33" s="112"/>
      <c r="H33" s="112"/>
      <c r="I33" s="106"/>
      <c r="J33" s="106"/>
      <c r="K33" s="94"/>
      <c r="L33" s="95"/>
      <c r="M33" s="94"/>
      <c r="N33" s="94"/>
      <c r="O33" s="94"/>
      <c r="P33" s="94"/>
      <c r="Q33" s="7" t="s">
        <v>26</v>
      </c>
    </row>
    <row r="34" spans="1:17" x14ac:dyDescent="0.25">
      <c r="A34" s="7">
        <f t="shared" si="0"/>
        <v>25</v>
      </c>
      <c r="B34" s="111"/>
      <c r="C34" s="111"/>
      <c r="D34" s="93"/>
      <c r="E34" s="112"/>
      <c r="F34" s="112"/>
      <c r="G34" s="112"/>
      <c r="H34" s="112"/>
      <c r="I34" s="106"/>
      <c r="J34" s="106"/>
      <c r="K34" s="94"/>
      <c r="L34" s="95"/>
      <c r="M34" s="94"/>
      <c r="N34" s="94"/>
      <c r="O34" s="94"/>
      <c r="P34" s="94"/>
      <c r="Q34" s="7" t="s">
        <v>26</v>
      </c>
    </row>
    <row r="35" spans="1:17" x14ac:dyDescent="0.25">
      <c r="A35" s="7">
        <f t="shared" si="0"/>
        <v>26</v>
      </c>
      <c r="B35" s="111"/>
      <c r="C35" s="111"/>
      <c r="D35" s="93"/>
      <c r="E35" s="112"/>
      <c r="F35" s="112"/>
      <c r="G35" s="112"/>
      <c r="H35" s="112"/>
      <c r="I35" s="106"/>
      <c r="J35" s="106"/>
      <c r="K35" s="94"/>
      <c r="L35" s="95"/>
      <c r="M35" s="94"/>
      <c r="N35" s="94"/>
      <c r="O35" s="94"/>
      <c r="P35" s="94"/>
      <c r="Q35" s="7" t="s">
        <v>26</v>
      </c>
    </row>
    <row r="36" spans="1:17" x14ac:dyDescent="0.25">
      <c r="A36" s="7">
        <f t="shared" si="0"/>
        <v>27</v>
      </c>
      <c r="B36" s="111"/>
      <c r="C36" s="111"/>
      <c r="D36" s="93"/>
      <c r="E36" s="112"/>
      <c r="F36" s="112"/>
      <c r="G36" s="112"/>
      <c r="H36" s="112"/>
      <c r="I36" s="106"/>
      <c r="J36" s="106"/>
      <c r="K36" s="94"/>
      <c r="L36" s="95"/>
      <c r="M36" s="94"/>
      <c r="N36" s="94"/>
      <c r="O36" s="94"/>
      <c r="P36" s="94"/>
      <c r="Q36" s="7" t="s">
        <v>26</v>
      </c>
    </row>
    <row r="37" spans="1:17" x14ac:dyDescent="0.25">
      <c r="A37" s="7">
        <f t="shared" si="0"/>
        <v>28</v>
      </c>
      <c r="B37" s="111"/>
      <c r="C37" s="111"/>
      <c r="D37" s="93"/>
      <c r="E37" s="112"/>
      <c r="F37" s="112"/>
      <c r="G37" s="112"/>
      <c r="H37" s="112"/>
      <c r="I37" s="106"/>
      <c r="J37" s="106"/>
      <c r="K37" s="94"/>
      <c r="L37" s="95"/>
      <c r="M37" s="94"/>
      <c r="N37" s="94"/>
      <c r="O37" s="94"/>
      <c r="P37" s="94"/>
      <c r="Q37" s="7" t="s">
        <v>26</v>
      </c>
    </row>
    <row r="38" spans="1:17" x14ac:dyDescent="0.25">
      <c r="A38" s="7">
        <f t="shared" si="0"/>
        <v>29</v>
      </c>
      <c r="B38" s="111"/>
      <c r="C38" s="111"/>
      <c r="D38" s="93"/>
      <c r="E38" s="112"/>
      <c r="F38" s="112"/>
      <c r="G38" s="112"/>
      <c r="H38" s="112"/>
      <c r="I38" s="106"/>
      <c r="J38" s="106"/>
      <c r="K38" s="94"/>
      <c r="L38" s="95"/>
      <c r="M38" s="94"/>
      <c r="N38" s="94"/>
      <c r="O38" s="94"/>
      <c r="P38" s="94"/>
      <c r="Q38" s="7" t="s">
        <v>26</v>
      </c>
    </row>
    <row r="39" spans="1:17" x14ac:dyDescent="0.25">
      <c r="A39" s="7">
        <f t="shared" si="0"/>
        <v>30</v>
      </c>
      <c r="B39" s="111"/>
      <c r="C39" s="111"/>
      <c r="D39" s="93"/>
      <c r="E39" s="112"/>
      <c r="F39" s="112"/>
      <c r="G39" s="112"/>
      <c r="H39" s="112"/>
      <c r="I39" s="106"/>
      <c r="J39" s="106"/>
      <c r="K39" s="94"/>
      <c r="L39" s="95"/>
      <c r="M39" s="94"/>
      <c r="N39" s="94"/>
      <c r="O39" s="94"/>
      <c r="P39" s="94"/>
      <c r="Q39" s="7" t="s">
        <v>26</v>
      </c>
    </row>
    <row r="40" spans="1:17" x14ac:dyDescent="0.25">
      <c r="A40" s="7">
        <f t="shared" si="0"/>
        <v>31</v>
      </c>
      <c r="B40" s="111"/>
      <c r="C40" s="111"/>
      <c r="D40" s="93"/>
      <c r="E40" s="112"/>
      <c r="F40" s="112"/>
      <c r="G40" s="112"/>
      <c r="H40" s="112"/>
      <c r="I40" s="106"/>
      <c r="J40" s="106"/>
      <c r="K40" s="94"/>
      <c r="L40" s="95"/>
      <c r="M40" s="94"/>
      <c r="N40" s="94"/>
      <c r="O40" s="94"/>
      <c r="P40" s="94"/>
      <c r="Q40" s="7" t="s">
        <v>26</v>
      </c>
    </row>
    <row r="41" spans="1:17" x14ac:dyDescent="0.25">
      <c r="A41" s="7">
        <f t="shared" si="0"/>
        <v>32</v>
      </c>
      <c r="B41" s="111"/>
      <c r="C41" s="111"/>
      <c r="D41" s="93"/>
      <c r="E41" s="112"/>
      <c r="F41" s="112"/>
      <c r="G41" s="112"/>
      <c r="H41" s="112"/>
      <c r="I41" s="106"/>
      <c r="J41" s="106"/>
      <c r="K41" s="94"/>
      <c r="L41" s="95"/>
      <c r="M41" s="94"/>
      <c r="N41" s="94"/>
      <c r="O41" s="94"/>
      <c r="P41" s="94"/>
      <c r="Q41" s="7" t="s">
        <v>26</v>
      </c>
    </row>
    <row r="42" spans="1:17" x14ac:dyDescent="0.25">
      <c r="A42" s="7">
        <f t="shared" si="0"/>
        <v>33</v>
      </c>
      <c r="B42" s="111"/>
      <c r="C42" s="111"/>
      <c r="D42" s="93"/>
      <c r="E42" s="112"/>
      <c r="F42" s="112"/>
      <c r="G42" s="112"/>
      <c r="H42" s="112"/>
      <c r="I42" s="106"/>
      <c r="J42" s="106"/>
      <c r="K42" s="94"/>
      <c r="L42" s="95"/>
      <c r="M42" s="94"/>
      <c r="N42" s="94"/>
      <c r="O42" s="94"/>
      <c r="P42" s="94"/>
    </row>
    <row r="43" spans="1:17" x14ac:dyDescent="0.25">
      <c r="A43" s="7">
        <f t="shared" si="0"/>
        <v>34</v>
      </c>
      <c r="B43" s="111"/>
      <c r="C43" s="111"/>
      <c r="D43" s="93"/>
      <c r="E43" s="112"/>
      <c r="F43" s="112"/>
      <c r="G43" s="112"/>
      <c r="H43" s="112"/>
      <c r="I43" s="106"/>
      <c r="J43" s="106"/>
      <c r="K43" s="94"/>
      <c r="L43" s="95"/>
      <c r="M43" s="94"/>
      <c r="N43" s="94"/>
      <c r="O43" s="94"/>
      <c r="P43" s="94"/>
    </row>
    <row r="44" spans="1:17" x14ac:dyDescent="0.25">
      <c r="A44" s="7">
        <f t="shared" si="0"/>
        <v>35</v>
      </c>
      <c r="B44" s="111"/>
      <c r="C44" s="111"/>
      <c r="D44" s="93"/>
      <c r="E44" s="112"/>
      <c r="F44" s="112"/>
      <c r="G44" s="112"/>
      <c r="H44" s="112"/>
      <c r="I44" s="106"/>
      <c r="J44" s="106"/>
      <c r="K44" s="94"/>
      <c r="L44" s="95"/>
      <c r="M44" s="94"/>
      <c r="N44" s="94"/>
      <c r="O44" s="94"/>
      <c r="P44" s="94"/>
    </row>
    <row r="45" spans="1:17" x14ac:dyDescent="0.25">
      <c r="A45" s="7">
        <f t="shared" si="0"/>
        <v>36</v>
      </c>
      <c r="B45" s="111"/>
      <c r="C45" s="111"/>
      <c r="D45" s="93"/>
      <c r="E45" s="112"/>
      <c r="F45" s="112"/>
      <c r="G45" s="112"/>
      <c r="H45" s="112"/>
      <c r="I45" s="106"/>
      <c r="J45" s="106"/>
      <c r="K45" s="94"/>
      <c r="L45" s="95"/>
      <c r="M45" s="94"/>
      <c r="N45" s="94"/>
      <c r="O45" s="94"/>
      <c r="P45" s="94"/>
    </row>
    <row r="46" spans="1:17" x14ac:dyDescent="0.25">
      <c r="A46" s="7">
        <f t="shared" si="0"/>
        <v>37</v>
      </c>
      <c r="B46" s="111"/>
      <c r="C46" s="111"/>
      <c r="D46" s="93"/>
      <c r="E46" s="112"/>
      <c r="F46" s="112"/>
      <c r="G46" s="112"/>
      <c r="H46" s="112"/>
      <c r="I46" s="106"/>
      <c r="J46" s="106"/>
      <c r="K46" s="94"/>
      <c r="L46" s="95"/>
      <c r="M46" s="94"/>
      <c r="N46" s="94"/>
      <c r="O46" s="94"/>
      <c r="P46" s="94"/>
    </row>
    <row r="47" spans="1:17" x14ac:dyDescent="0.25">
      <c r="A47" s="7">
        <f t="shared" si="0"/>
        <v>38</v>
      </c>
      <c r="B47" s="111"/>
      <c r="C47" s="111"/>
      <c r="D47" s="93"/>
      <c r="E47" s="112"/>
      <c r="F47" s="112"/>
      <c r="G47" s="112"/>
      <c r="H47" s="112"/>
      <c r="I47" s="106"/>
      <c r="J47" s="106"/>
      <c r="K47" s="94"/>
      <c r="L47" s="95"/>
      <c r="M47" s="94"/>
      <c r="N47" s="94"/>
      <c r="O47" s="94"/>
      <c r="P47" s="94"/>
    </row>
    <row r="48" spans="1:17" x14ac:dyDescent="0.25">
      <c r="A48" s="7">
        <f t="shared" si="0"/>
        <v>39</v>
      </c>
      <c r="B48" s="111"/>
      <c r="C48" s="111"/>
      <c r="D48" s="93"/>
      <c r="E48" s="112"/>
      <c r="F48" s="112"/>
      <c r="G48" s="112"/>
      <c r="H48" s="112"/>
      <c r="I48" s="106"/>
      <c r="J48" s="106"/>
      <c r="K48" s="94"/>
      <c r="L48" s="95"/>
      <c r="M48" s="94"/>
      <c r="N48" s="94"/>
      <c r="O48" s="94"/>
      <c r="P48" s="94"/>
    </row>
    <row r="49" spans="1:16" x14ac:dyDescent="0.25">
      <c r="A49" s="7">
        <f t="shared" si="0"/>
        <v>40</v>
      </c>
      <c r="B49" s="111"/>
      <c r="C49" s="111"/>
      <c r="D49" s="93"/>
      <c r="E49" s="112"/>
      <c r="F49" s="112"/>
      <c r="G49" s="112"/>
      <c r="H49" s="112"/>
      <c r="I49" s="106"/>
      <c r="J49" s="106"/>
      <c r="K49" s="94"/>
      <c r="L49" s="95"/>
      <c r="M49" s="94"/>
      <c r="N49" s="94"/>
      <c r="O49" s="94"/>
      <c r="P49" s="94"/>
    </row>
    <row r="50" spans="1:16" x14ac:dyDescent="0.25">
      <c r="A50" s="7">
        <f t="shared" si="0"/>
        <v>41</v>
      </c>
      <c r="B50" s="111"/>
      <c r="C50" s="111"/>
      <c r="D50" s="93"/>
      <c r="E50" s="112"/>
      <c r="F50" s="112"/>
      <c r="G50" s="112"/>
      <c r="H50" s="112"/>
      <c r="I50" s="106"/>
      <c r="J50" s="106"/>
      <c r="K50" s="94"/>
      <c r="L50" s="95"/>
      <c r="M50" s="94"/>
      <c r="N50" s="94"/>
      <c r="O50" s="94"/>
      <c r="P50" s="94"/>
    </row>
    <row r="51" spans="1:16" x14ac:dyDescent="0.25">
      <c r="A51" s="7">
        <f t="shared" si="0"/>
        <v>42</v>
      </c>
      <c r="B51" s="111"/>
      <c r="C51" s="111"/>
      <c r="D51" s="93"/>
      <c r="E51" s="112"/>
      <c r="F51" s="112"/>
      <c r="G51" s="112"/>
      <c r="H51" s="112"/>
      <c r="I51" s="106"/>
      <c r="J51" s="106"/>
      <c r="K51" s="94"/>
      <c r="L51" s="95"/>
      <c r="M51" s="94"/>
      <c r="N51" s="94"/>
      <c r="O51" s="94"/>
      <c r="P51" s="94"/>
    </row>
    <row r="52" spans="1:16" x14ac:dyDescent="0.25">
      <c r="A52" s="7">
        <f t="shared" si="0"/>
        <v>43</v>
      </c>
      <c r="B52" s="111"/>
      <c r="C52" s="111"/>
      <c r="D52" s="93"/>
      <c r="E52" s="112"/>
      <c r="F52" s="112"/>
      <c r="G52" s="112"/>
      <c r="H52" s="112"/>
      <c r="I52" s="106"/>
      <c r="J52" s="106"/>
      <c r="K52" s="94"/>
      <c r="L52" s="95"/>
      <c r="M52" s="94"/>
      <c r="N52" s="94"/>
      <c r="O52" s="94"/>
      <c r="P52" s="94"/>
    </row>
    <row r="53" spans="1:16" x14ac:dyDescent="0.25">
      <c r="A53" s="7">
        <f t="shared" si="0"/>
        <v>44</v>
      </c>
      <c r="B53" s="111"/>
      <c r="C53" s="111"/>
      <c r="D53" s="93"/>
      <c r="E53" s="112"/>
      <c r="F53" s="112"/>
      <c r="G53" s="112"/>
      <c r="H53" s="112"/>
      <c r="I53" s="106"/>
      <c r="J53" s="106"/>
      <c r="K53" s="94"/>
      <c r="L53" s="95"/>
      <c r="M53" s="94"/>
      <c r="N53" s="94"/>
      <c r="O53" s="94"/>
      <c r="P53" s="94"/>
    </row>
    <row r="54" spans="1:16" x14ac:dyDescent="0.25">
      <c r="A54" s="7">
        <f t="shared" si="0"/>
        <v>45</v>
      </c>
      <c r="B54" s="111"/>
      <c r="C54" s="111"/>
      <c r="D54" s="93"/>
      <c r="E54" s="112"/>
      <c r="F54" s="112"/>
      <c r="G54" s="112"/>
      <c r="H54" s="112"/>
      <c r="I54" s="106"/>
      <c r="J54" s="106"/>
      <c r="K54" s="94"/>
      <c r="L54" s="95"/>
      <c r="M54" s="94"/>
      <c r="N54" s="94"/>
      <c r="O54" s="94"/>
      <c r="P54" s="94"/>
    </row>
    <row r="55" spans="1:16" x14ac:dyDescent="0.25">
      <c r="A55" s="7">
        <f t="shared" si="0"/>
        <v>46</v>
      </c>
      <c r="B55" s="111"/>
      <c r="C55" s="111"/>
      <c r="D55" s="93"/>
      <c r="E55" s="112"/>
      <c r="F55" s="112"/>
      <c r="G55" s="112"/>
      <c r="H55" s="112"/>
      <c r="I55" s="106"/>
      <c r="J55" s="106"/>
      <c r="K55" s="94"/>
      <c r="L55" s="95"/>
      <c r="M55" s="94"/>
      <c r="N55" s="94"/>
      <c r="O55" s="94"/>
      <c r="P55" s="94"/>
    </row>
    <row r="56" spans="1:16" x14ac:dyDescent="0.25">
      <c r="A56" s="7">
        <f t="shared" si="0"/>
        <v>47</v>
      </c>
      <c r="B56" s="111"/>
      <c r="C56" s="111"/>
      <c r="D56" s="93"/>
      <c r="E56" s="112"/>
      <c r="F56" s="112"/>
      <c r="G56" s="112"/>
      <c r="H56" s="112"/>
      <c r="I56" s="106"/>
      <c r="J56" s="106"/>
      <c r="K56" s="94"/>
      <c r="L56" s="95"/>
      <c r="M56" s="94"/>
      <c r="N56" s="94"/>
      <c r="O56" s="94"/>
      <c r="P56" s="94"/>
    </row>
    <row r="57" spans="1:16" x14ac:dyDescent="0.25">
      <c r="A57" s="7">
        <f t="shared" si="0"/>
        <v>48</v>
      </c>
      <c r="B57" s="111"/>
      <c r="C57" s="111"/>
      <c r="D57" s="93"/>
      <c r="E57" s="112"/>
      <c r="F57" s="112"/>
      <c r="G57" s="112"/>
      <c r="H57" s="112"/>
      <c r="I57" s="106"/>
      <c r="J57" s="106"/>
      <c r="K57" s="94"/>
      <c r="L57" s="95"/>
      <c r="M57" s="94"/>
      <c r="N57" s="94"/>
      <c r="O57" s="94"/>
      <c r="P57" s="94"/>
    </row>
    <row r="58" spans="1:16" x14ac:dyDescent="0.25">
      <c r="A58" s="7">
        <f t="shared" si="0"/>
        <v>49</v>
      </c>
      <c r="B58" s="111"/>
      <c r="C58" s="111"/>
      <c r="D58" s="93"/>
      <c r="E58" s="112"/>
      <c r="F58" s="112"/>
      <c r="G58" s="112"/>
      <c r="H58" s="112"/>
      <c r="I58" s="106"/>
      <c r="J58" s="106"/>
      <c r="K58" s="94"/>
      <c r="L58" s="95"/>
      <c r="M58" s="94"/>
      <c r="N58" s="94"/>
      <c r="O58" s="94"/>
      <c r="P58" s="94"/>
    </row>
    <row r="59" spans="1:16" x14ac:dyDescent="0.25">
      <c r="A59" s="7">
        <f t="shared" si="0"/>
        <v>50</v>
      </c>
      <c r="B59" s="111"/>
      <c r="C59" s="111"/>
      <c r="D59" s="93"/>
      <c r="E59" s="112"/>
      <c r="F59" s="112"/>
      <c r="G59" s="112"/>
      <c r="H59" s="112"/>
      <c r="I59" s="106"/>
      <c r="J59" s="106"/>
      <c r="K59" s="94"/>
      <c r="L59" s="95"/>
      <c r="M59" s="94"/>
      <c r="N59" s="94"/>
      <c r="O59" s="94"/>
      <c r="P59" s="94"/>
    </row>
    <row r="60" spans="1:16" x14ac:dyDescent="0.25">
      <c r="A60" s="7">
        <f t="shared" si="0"/>
        <v>51</v>
      </c>
      <c r="B60" s="111"/>
      <c r="C60" s="111"/>
      <c r="D60" s="93"/>
      <c r="E60" s="112"/>
      <c r="F60" s="112"/>
      <c r="G60" s="112"/>
      <c r="H60" s="112"/>
      <c r="I60" s="106"/>
      <c r="J60" s="106"/>
      <c r="K60" s="94"/>
      <c r="L60" s="95"/>
      <c r="M60" s="94"/>
      <c r="N60" s="94"/>
      <c r="O60" s="94"/>
      <c r="P60" s="94"/>
    </row>
    <row r="61" spans="1:16" x14ac:dyDescent="0.25">
      <c r="A61" s="7">
        <f t="shared" si="0"/>
        <v>52</v>
      </c>
      <c r="B61" s="111"/>
      <c r="C61" s="111"/>
      <c r="D61" s="93"/>
      <c r="E61" s="112"/>
      <c r="F61" s="112"/>
      <c r="G61" s="112"/>
      <c r="H61" s="112"/>
      <c r="I61" s="106"/>
      <c r="J61" s="106"/>
      <c r="K61" s="94"/>
      <c r="L61" s="95"/>
      <c r="M61" s="94"/>
      <c r="N61" s="94"/>
      <c r="O61" s="94"/>
      <c r="P61" s="94"/>
    </row>
    <row r="62" spans="1:16" x14ac:dyDescent="0.25">
      <c r="A62" s="7">
        <f t="shared" si="0"/>
        <v>53</v>
      </c>
      <c r="B62" s="111"/>
      <c r="C62" s="111"/>
      <c r="D62" s="93"/>
      <c r="E62" s="112"/>
      <c r="F62" s="112"/>
      <c r="G62" s="112"/>
      <c r="H62" s="112"/>
      <c r="I62" s="106"/>
      <c r="J62" s="106"/>
      <c r="K62" s="94"/>
      <c r="L62" s="95"/>
      <c r="M62" s="94"/>
      <c r="N62" s="94"/>
      <c r="O62" s="94"/>
      <c r="P62" s="94"/>
    </row>
    <row r="63" spans="1:16" x14ac:dyDescent="0.25">
      <c r="A63" s="7">
        <f t="shared" si="0"/>
        <v>54</v>
      </c>
      <c r="B63" s="111"/>
      <c r="C63" s="111"/>
      <c r="D63" s="93"/>
      <c r="E63" s="112"/>
      <c r="F63" s="112"/>
      <c r="G63" s="112"/>
      <c r="H63" s="112"/>
      <c r="I63" s="106"/>
      <c r="J63" s="106"/>
      <c r="K63" s="94"/>
      <c r="L63" s="95"/>
      <c r="M63" s="94"/>
      <c r="N63" s="94"/>
      <c r="O63" s="94"/>
      <c r="P63" s="94"/>
    </row>
    <row r="64" spans="1:16" x14ac:dyDescent="0.25">
      <c r="A64" s="7">
        <f t="shared" si="0"/>
        <v>55</v>
      </c>
      <c r="B64" s="111"/>
      <c r="C64" s="111"/>
      <c r="D64" s="93"/>
      <c r="E64" s="112"/>
      <c r="F64" s="112"/>
      <c r="G64" s="112"/>
      <c r="H64" s="112"/>
      <c r="I64" s="106"/>
      <c r="J64" s="106"/>
      <c r="K64" s="94"/>
      <c r="L64" s="95"/>
      <c r="M64" s="94"/>
      <c r="N64" s="94"/>
      <c r="O64" s="94"/>
      <c r="P64" s="94"/>
    </row>
    <row r="65" spans="1:16" x14ac:dyDescent="0.25">
      <c r="A65" s="7">
        <f t="shared" si="0"/>
        <v>56</v>
      </c>
      <c r="B65" s="111"/>
      <c r="C65" s="111"/>
      <c r="D65" s="93"/>
      <c r="E65" s="112"/>
      <c r="F65" s="112"/>
      <c r="G65" s="112"/>
      <c r="H65" s="112"/>
      <c r="I65" s="106"/>
      <c r="J65" s="106"/>
      <c r="K65" s="94"/>
      <c r="L65" s="95"/>
      <c r="M65" s="94"/>
      <c r="N65" s="94"/>
      <c r="O65" s="94"/>
      <c r="P65" s="94"/>
    </row>
    <row r="66" spans="1:16" x14ac:dyDescent="0.25">
      <c r="A66" s="7">
        <f t="shared" si="0"/>
        <v>57</v>
      </c>
      <c r="B66" s="111"/>
      <c r="C66" s="111"/>
      <c r="D66" s="93"/>
      <c r="E66" s="112"/>
      <c r="F66" s="112"/>
      <c r="G66" s="112"/>
      <c r="H66" s="112"/>
      <c r="I66" s="106"/>
      <c r="J66" s="106"/>
      <c r="K66" s="94"/>
      <c r="L66" s="95"/>
      <c r="M66" s="94"/>
      <c r="N66" s="94"/>
      <c r="O66" s="94"/>
      <c r="P66" s="94"/>
    </row>
    <row r="67" spans="1:16" x14ac:dyDescent="0.25">
      <c r="A67" s="7">
        <f t="shared" si="0"/>
        <v>58</v>
      </c>
      <c r="B67" s="111"/>
      <c r="C67" s="111"/>
      <c r="D67" s="93"/>
      <c r="E67" s="112"/>
      <c r="F67" s="112"/>
      <c r="G67" s="112"/>
      <c r="H67" s="112"/>
      <c r="I67" s="106"/>
      <c r="J67" s="106"/>
      <c r="K67" s="94"/>
      <c r="L67" s="95"/>
      <c r="M67" s="94"/>
      <c r="N67" s="94"/>
      <c r="O67" s="94"/>
      <c r="P67" s="94"/>
    </row>
    <row r="68" spans="1:16" x14ac:dyDescent="0.25">
      <c r="A68" s="7">
        <f t="shared" si="0"/>
        <v>59</v>
      </c>
      <c r="B68" s="111"/>
      <c r="C68" s="111"/>
      <c r="D68" s="93"/>
      <c r="E68" s="112"/>
      <c r="F68" s="112"/>
      <c r="G68" s="112"/>
      <c r="H68" s="112"/>
      <c r="I68" s="106"/>
      <c r="J68" s="106"/>
      <c r="K68" s="94"/>
      <c r="L68" s="95"/>
      <c r="M68" s="94"/>
      <c r="N68" s="94"/>
      <c r="O68" s="94"/>
      <c r="P68" s="94"/>
    </row>
    <row r="69" spans="1:16" x14ac:dyDescent="0.25">
      <c r="A69" s="7">
        <f t="shared" si="0"/>
        <v>60</v>
      </c>
      <c r="B69" s="111"/>
      <c r="C69" s="111"/>
      <c r="D69" s="93"/>
      <c r="E69" s="112"/>
      <c r="F69" s="112"/>
      <c r="G69" s="112"/>
      <c r="H69" s="112"/>
      <c r="I69" s="106"/>
      <c r="J69" s="106"/>
      <c r="K69" s="94"/>
      <c r="L69" s="95"/>
      <c r="M69" s="94"/>
      <c r="N69" s="94"/>
      <c r="O69" s="94"/>
      <c r="P69" s="94"/>
    </row>
    <row r="70" spans="1:16" x14ac:dyDescent="0.25">
      <c r="A70" s="7">
        <f t="shared" si="0"/>
        <v>61</v>
      </c>
      <c r="B70" s="111"/>
      <c r="C70" s="111"/>
      <c r="D70" s="93"/>
      <c r="E70" s="112"/>
      <c r="F70" s="112"/>
      <c r="G70" s="112"/>
      <c r="H70" s="112"/>
      <c r="I70" s="106"/>
      <c r="J70" s="106"/>
      <c r="K70" s="94"/>
      <c r="L70" s="95"/>
      <c r="M70" s="94"/>
      <c r="N70" s="94"/>
      <c r="O70" s="94"/>
      <c r="P70" s="94"/>
    </row>
    <row r="71" spans="1:16" x14ac:dyDescent="0.25">
      <c r="A71" s="7">
        <f t="shared" si="0"/>
        <v>62</v>
      </c>
      <c r="B71" s="111"/>
      <c r="C71" s="111"/>
      <c r="D71" s="93"/>
      <c r="E71" s="112"/>
      <c r="F71" s="112"/>
      <c r="G71" s="112"/>
      <c r="H71" s="112"/>
      <c r="I71" s="106"/>
      <c r="J71" s="106"/>
      <c r="K71" s="94"/>
      <c r="L71" s="95"/>
      <c r="M71" s="94"/>
      <c r="N71" s="94"/>
      <c r="O71" s="94"/>
      <c r="P71" s="94"/>
    </row>
    <row r="72" spans="1:16" x14ac:dyDescent="0.25">
      <c r="A72" s="7">
        <f t="shared" si="0"/>
        <v>63</v>
      </c>
      <c r="B72" s="111"/>
      <c r="C72" s="111"/>
      <c r="D72" s="93"/>
      <c r="E72" s="112"/>
      <c r="F72" s="112"/>
      <c r="G72" s="112"/>
      <c r="H72" s="112"/>
      <c r="I72" s="106"/>
      <c r="J72" s="106"/>
      <c r="K72" s="94"/>
      <c r="L72" s="95"/>
      <c r="M72" s="94"/>
      <c r="N72" s="94"/>
      <c r="O72" s="94"/>
      <c r="P72" s="94"/>
    </row>
    <row r="73" spans="1:16" x14ac:dyDescent="0.25">
      <c r="A73" s="7">
        <f t="shared" si="0"/>
        <v>64</v>
      </c>
      <c r="B73" s="111"/>
      <c r="C73" s="111"/>
      <c r="D73" s="93"/>
      <c r="E73" s="112"/>
      <c r="F73" s="112"/>
      <c r="G73" s="112"/>
      <c r="H73" s="112"/>
      <c r="I73" s="106"/>
      <c r="J73" s="106"/>
      <c r="K73" s="94"/>
      <c r="L73" s="95"/>
      <c r="M73" s="94"/>
      <c r="N73" s="94"/>
      <c r="O73" s="94"/>
      <c r="P73" s="94"/>
    </row>
    <row r="74" spans="1:16" x14ac:dyDescent="0.25">
      <c r="A74" s="7">
        <f t="shared" si="0"/>
        <v>65</v>
      </c>
      <c r="B74" s="111"/>
      <c r="C74" s="111"/>
      <c r="D74" s="93"/>
      <c r="E74" s="112"/>
      <c r="F74" s="112"/>
      <c r="G74" s="112"/>
      <c r="H74" s="112"/>
      <c r="I74" s="106"/>
      <c r="J74" s="106"/>
      <c r="K74" s="94"/>
      <c r="L74" s="95"/>
      <c r="M74" s="94"/>
      <c r="N74" s="94"/>
      <c r="O74" s="94"/>
      <c r="P74" s="94"/>
    </row>
    <row r="75" spans="1:16" x14ac:dyDescent="0.25">
      <c r="A75" s="7">
        <f t="shared" si="0"/>
        <v>66</v>
      </c>
      <c r="B75" s="111"/>
      <c r="C75" s="111"/>
      <c r="D75" s="93"/>
      <c r="E75" s="112"/>
      <c r="F75" s="112"/>
      <c r="G75" s="112"/>
      <c r="H75" s="112"/>
      <c r="I75" s="106"/>
      <c r="J75" s="106"/>
      <c r="K75" s="94"/>
      <c r="L75" s="95"/>
      <c r="M75" s="94"/>
      <c r="N75" s="94"/>
      <c r="O75" s="94"/>
      <c r="P75" s="94"/>
    </row>
    <row r="76" spans="1:16" x14ac:dyDescent="0.25">
      <c r="A76" s="7">
        <f t="shared" ref="A76:A139" si="4">+A75+1</f>
        <v>67</v>
      </c>
      <c r="B76" s="111"/>
      <c r="C76" s="111"/>
      <c r="D76" s="93"/>
      <c r="E76" s="112"/>
      <c r="F76" s="112"/>
      <c r="G76" s="112"/>
      <c r="H76" s="112"/>
      <c r="I76" s="106"/>
      <c r="J76" s="106"/>
      <c r="K76" s="94"/>
      <c r="L76" s="95"/>
      <c r="M76" s="94"/>
      <c r="N76" s="94"/>
      <c r="O76" s="94"/>
      <c r="P76" s="94"/>
    </row>
    <row r="77" spans="1:16" x14ac:dyDescent="0.25">
      <c r="A77" s="7">
        <f t="shared" si="4"/>
        <v>68</v>
      </c>
      <c r="B77" s="111"/>
      <c r="C77" s="111"/>
      <c r="D77" s="93"/>
      <c r="E77" s="112"/>
      <c r="F77" s="112"/>
      <c r="G77" s="112"/>
      <c r="H77" s="112"/>
      <c r="I77" s="106"/>
      <c r="J77" s="106"/>
      <c r="K77" s="94"/>
      <c r="L77" s="95"/>
      <c r="M77" s="94"/>
      <c r="N77" s="94"/>
      <c r="O77" s="94"/>
      <c r="P77" s="94"/>
    </row>
    <row r="78" spans="1:16" x14ac:dyDescent="0.25">
      <c r="A78" s="7">
        <f t="shared" si="4"/>
        <v>69</v>
      </c>
      <c r="B78" s="111"/>
      <c r="C78" s="111"/>
      <c r="D78" s="93"/>
      <c r="E78" s="112"/>
      <c r="F78" s="112"/>
      <c r="G78" s="112"/>
      <c r="H78" s="112"/>
      <c r="I78" s="106"/>
      <c r="J78" s="106"/>
      <c r="K78" s="94"/>
      <c r="L78" s="95"/>
      <c r="M78" s="94"/>
      <c r="N78" s="94"/>
      <c r="O78" s="94"/>
      <c r="P78" s="94"/>
    </row>
    <row r="79" spans="1:16" x14ac:dyDescent="0.25">
      <c r="A79" s="7">
        <f t="shared" si="4"/>
        <v>70</v>
      </c>
      <c r="B79" s="111"/>
      <c r="C79" s="111"/>
      <c r="D79" s="93"/>
      <c r="E79" s="112"/>
      <c r="F79" s="112"/>
      <c r="G79" s="112"/>
      <c r="H79" s="112"/>
      <c r="I79" s="106"/>
      <c r="J79" s="106"/>
      <c r="K79" s="94"/>
      <c r="L79" s="95"/>
      <c r="M79" s="94"/>
      <c r="N79" s="94"/>
      <c r="O79" s="94"/>
      <c r="P79" s="94"/>
    </row>
    <row r="80" spans="1:16" x14ac:dyDescent="0.25">
      <c r="A80" s="7">
        <f t="shared" si="4"/>
        <v>71</v>
      </c>
      <c r="B80" s="111"/>
      <c r="C80" s="111"/>
      <c r="D80" s="93"/>
      <c r="E80" s="112"/>
      <c r="F80" s="112"/>
      <c r="G80" s="112"/>
      <c r="H80" s="112"/>
      <c r="I80" s="106"/>
      <c r="J80" s="106"/>
      <c r="K80" s="94"/>
      <c r="L80" s="95"/>
      <c r="M80" s="94"/>
      <c r="N80" s="94"/>
      <c r="O80" s="94"/>
      <c r="P80" s="94"/>
    </row>
    <row r="81" spans="1:16" x14ac:dyDescent="0.25">
      <c r="A81" s="7">
        <f t="shared" si="4"/>
        <v>72</v>
      </c>
      <c r="B81" s="111"/>
      <c r="C81" s="111"/>
      <c r="D81" s="93"/>
      <c r="E81" s="112"/>
      <c r="F81" s="112"/>
      <c r="G81" s="112"/>
      <c r="H81" s="112"/>
      <c r="I81" s="106"/>
      <c r="J81" s="106"/>
      <c r="K81" s="94"/>
      <c r="L81" s="95"/>
      <c r="M81" s="94"/>
      <c r="N81" s="94"/>
      <c r="O81" s="94"/>
      <c r="P81" s="94"/>
    </row>
    <row r="82" spans="1:16" x14ac:dyDescent="0.25">
      <c r="A82" s="7">
        <f t="shared" si="4"/>
        <v>73</v>
      </c>
      <c r="B82" s="111"/>
      <c r="C82" s="111"/>
      <c r="D82" s="93"/>
      <c r="E82" s="112"/>
      <c r="F82" s="112"/>
      <c r="G82" s="112"/>
      <c r="H82" s="112"/>
      <c r="I82" s="106"/>
      <c r="J82" s="106"/>
      <c r="K82" s="94"/>
      <c r="L82" s="95"/>
      <c r="M82" s="94"/>
      <c r="N82" s="94"/>
      <c r="O82" s="94"/>
      <c r="P82" s="94"/>
    </row>
    <row r="83" spans="1:16" x14ac:dyDescent="0.25">
      <c r="A83" s="7">
        <f t="shared" si="4"/>
        <v>74</v>
      </c>
      <c r="B83" s="111"/>
      <c r="C83" s="111"/>
      <c r="D83" s="93"/>
      <c r="E83" s="112"/>
      <c r="F83" s="112"/>
      <c r="G83" s="112"/>
      <c r="H83" s="112"/>
      <c r="I83" s="106"/>
      <c r="J83" s="106"/>
      <c r="K83" s="94"/>
      <c r="L83" s="95"/>
      <c r="M83" s="94"/>
      <c r="N83" s="94"/>
      <c r="O83" s="94"/>
      <c r="P83" s="94"/>
    </row>
    <row r="84" spans="1:16" x14ac:dyDescent="0.25">
      <c r="A84" s="7">
        <f t="shared" si="4"/>
        <v>75</v>
      </c>
      <c r="B84" s="111"/>
      <c r="C84" s="111"/>
      <c r="D84" s="93"/>
      <c r="E84" s="112"/>
      <c r="F84" s="112"/>
      <c r="G84" s="112"/>
      <c r="H84" s="112"/>
      <c r="I84" s="106"/>
      <c r="J84" s="106"/>
      <c r="K84" s="94"/>
      <c r="L84" s="95"/>
      <c r="M84" s="94"/>
      <c r="N84" s="94"/>
      <c r="O84" s="94"/>
      <c r="P84" s="94"/>
    </row>
    <row r="85" spans="1:16" x14ac:dyDescent="0.25">
      <c r="A85" s="7">
        <f t="shared" si="4"/>
        <v>76</v>
      </c>
      <c r="B85" s="111"/>
      <c r="C85" s="111"/>
      <c r="D85" s="93"/>
      <c r="E85" s="112"/>
      <c r="F85" s="112"/>
      <c r="G85" s="112"/>
      <c r="H85" s="112"/>
      <c r="I85" s="106"/>
      <c r="J85" s="106"/>
      <c r="K85" s="94"/>
      <c r="L85" s="95"/>
      <c r="M85" s="94"/>
      <c r="N85" s="94"/>
      <c r="O85" s="94"/>
      <c r="P85" s="94"/>
    </row>
    <row r="86" spans="1:16" x14ac:dyDescent="0.25">
      <c r="A86" s="7">
        <f t="shared" si="4"/>
        <v>77</v>
      </c>
      <c r="B86" s="111"/>
      <c r="C86" s="111"/>
      <c r="D86" s="93"/>
      <c r="E86" s="112"/>
      <c r="F86" s="112"/>
      <c r="G86" s="112"/>
      <c r="H86" s="112"/>
      <c r="I86" s="106"/>
      <c r="J86" s="106"/>
      <c r="K86" s="94"/>
      <c r="L86" s="95"/>
      <c r="M86" s="94"/>
      <c r="N86" s="94"/>
      <c r="O86" s="94"/>
      <c r="P86" s="94"/>
    </row>
    <row r="87" spans="1:16" x14ac:dyDescent="0.25">
      <c r="A87" s="7">
        <f t="shared" si="4"/>
        <v>78</v>
      </c>
      <c r="B87" s="111"/>
      <c r="C87" s="111"/>
      <c r="D87" s="93"/>
      <c r="E87" s="112"/>
      <c r="F87" s="112"/>
      <c r="G87" s="112"/>
      <c r="H87" s="112"/>
      <c r="I87" s="106"/>
      <c r="J87" s="106"/>
      <c r="K87" s="94"/>
      <c r="L87" s="95"/>
      <c r="M87" s="94"/>
      <c r="N87" s="94"/>
      <c r="O87" s="94"/>
      <c r="P87" s="94"/>
    </row>
    <row r="88" spans="1:16" x14ac:dyDescent="0.25">
      <c r="A88" s="7">
        <f t="shared" si="4"/>
        <v>79</v>
      </c>
      <c r="B88" s="111"/>
      <c r="C88" s="111"/>
      <c r="D88" s="93"/>
      <c r="E88" s="112"/>
      <c r="F88" s="112"/>
      <c r="G88" s="112"/>
      <c r="H88" s="112"/>
      <c r="I88" s="106"/>
      <c r="J88" s="106"/>
      <c r="K88" s="94"/>
      <c r="L88" s="95"/>
      <c r="M88" s="94"/>
      <c r="N88" s="94"/>
      <c r="O88" s="94"/>
      <c r="P88" s="94"/>
    </row>
    <row r="89" spans="1:16" x14ac:dyDescent="0.25">
      <c r="A89" s="7">
        <f t="shared" si="4"/>
        <v>80</v>
      </c>
      <c r="B89" s="111"/>
      <c r="C89" s="111"/>
      <c r="D89" s="93"/>
      <c r="E89" s="112"/>
      <c r="F89" s="112"/>
      <c r="G89" s="112"/>
      <c r="H89" s="112"/>
      <c r="I89" s="106"/>
      <c r="J89" s="106"/>
      <c r="K89" s="94"/>
      <c r="L89" s="95"/>
      <c r="M89" s="94"/>
      <c r="N89" s="94"/>
      <c r="O89" s="94"/>
      <c r="P89" s="94"/>
    </row>
    <row r="90" spans="1:16" x14ac:dyDescent="0.25">
      <c r="A90" s="7">
        <f t="shared" si="4"/>
        <v>81</v>
      </c>
      <c r="B90" s="111"/>
      <c r="C90" s="111"/>
      <c r="D90" s="93"/>
      <c r="E90" s="112"/>
      <c r="F90" s="112"/>
      <c r="G90" s="112"/>
      <c r="H90" s="112"/>
      <c r="I90" s="106"/>
      <c r="J90" s="106"/>
      <c r="K90" s="94"/>
      <c r="L90" s="95"/>
      <c r="M90" s="94"/>
      <c r="N90" s="94"/>
      <c r="O90" s="94"/>
      <c r="P90" s="94"/>
    </row>
    <row r="91" spans="1:16" x14ac:dyDescent="0.25">
      <c r="A91" s="7">
        <f t="shared" si="4"/>
        <v>82</v>
      </c>
      <c r="B91" s="111"/>
      <c r="C91" s="111"/>
      <c r="D91" s="93"/>
      <c r="E91" s="112"/>
      <c r="F91" s="112"/>
      <c r="G91" s="112"/>
      <c r="H91" s="112"/>
      <c r="I91" s="106"/>
      <c r="J91" s="106"/>
      <c r="K91" s="94"/>
      <c r="L91" s="95"/>
      <c r="M91" s="94"/>
      <c r="N91" s="94"/>
      <c r="O91" s="94"/>
      <c r="P91" s="94"/>
    </row>
    <row r="92" spans="1:16" x14ac:dyDescent="0.25">
      <c r="A92" s="7">
        <f t="shared" si="4"/>
        <v>83</v>
      </c>
      <c r="B92" s="111"/>
      <c r="C92" s="111"/>
      <c r="D92" s="93"/>
      <c r="E92" s="112"/>
      <c r="F92" s="112"/>
      <c r="G92" s="112"/>
      <c r="H92" s="112"/>
      <c r="I92" s="106"/>
      <c r="J92" s="106"/>
      <c r="K92" s="94"/>
      <c r="L92" s="95"/>
      <c r="M92" s="94"/>
      <c r="N92" s="94"/>
      <c r="O92" s="94"/>
      <c r="P92" s="94"/>
    </row>
    <row r="93" spans="1:16" x14ac:dyDescent="0.25">
      <c r="A93" s="7">
        <f t="shared" si="4"/>
        <v>84</v>
      </c>
      <c r="B93" s="111"/>
      <c r="C93" s="111"/>
      <c r="D93" s="93"/>
      <c r="E93" s="112"/>
      <c r="F93" s="112"/>
      <c r="G93" s="112"/>
      <c r="H93" s="112"/>
      <c r="I93" s="106"/>
      <c r="J93" s="106"/>
      <c r="K93" s="94"/>
      <c r="L93" s="95"/>
      <c r="M93" s="94"/>
      <c r="N93" s="94"/>
      <c r="O93" s="94"/>
      <c r="P93" s="94"/>
    </row>
    <row r="94" spans="1:16" x14ac:dyDescent="0.25">
      <c r="A94" s="7">
        <f t="shared" si="4"/>
        <v>85</v>
      </c>
      <c r="B94" s="111"/>
      <c r="C94" s="111"/>
      <c r="D94" s="93"/>
      <c r="E94" s="112"/>
      <c r="F94" s="112"/>
      <c r="G94" s="112"/>
      <c r="H94" s="112"/>
      <c r="I94" s="106"/>
      <c r="J94" s="106"/>
      <c r="K94" s="94"/>
      <c r="L94" s="95"/>
      <c r="M94" s="94"/>
      <c r="N94" s="94"/>
      <c r="O94" s="94"/>
      <c r="P94" s="94"/>
    </row>
    <row r="95" spans="1:16" x14ac:dyDescent="0.25">
      <c r="A95" s="7">
        <f t="shared" si="4"/>
        <v>86</v>
      </c>
      <c r="B95" s="111"/>
      <c r="C95" s="111"/>
      <c r="D95" s="93"/>
      <c r="E95" s="112"/>
      <c r="F95" s="112"/>
      <c r="G95" s="112"/>
      <c r="H95" s="112"/>
      <c r="I95" s="106"/>
      <c r="J95" s="106"/>
      <c r="K95" s="94"/>
      <c r="L95" s="95"/>
      <c r="M95" s="94"/>
      <c r="N95" s="94"/>
      <c r="O95" s="94"/>
      <c r="P95" s="94"/>
    </row>
    <row r="96" spans="1:16" x14ac:dyDescent="0.25">
      <c r="A96" s="7">
        <f t="shared" si="4"/>
        <v>87</v>
      </c>
      <c r="B96" s="111"/>
      <c r="C96" s="111"/>
      <c r="D96" s="93"/>
      <c r="E96" s="112"/>
      <c r="F96" s="112"/>
      <c r="G96" s="112"/>
      <c r="H96" s="112"/>
      <c r="I96" s="106"/>
      <c r="J96" s="106"/>
      <c r="K96" s="94"/>
      <c r="L96" s="95"/>
      <c r="M96" s="94"/>
      <c r="N96" s="94"/>
      <c r="O96" s="94"/>
      <c r="P96" s="94"/>
    </row>
    <row r="97" spans="1:16" x14ac:dyDescent="0.25">
      <c r="A97" s="7">
        <f t="shared" si="4"/>
        <v>88</v>
      </c>
      <c r="B97" s="111"/>
      <c r="C97" s="111"/>
      <c r="D97" s="93"/>
      <c r="E97" s="112"/>
      <c r="F97" s="112"/>
      <c r="G97" s="112"/>
      <c r="H97" s="112"/>
      <c r="I97" s="106"/>
      <c r="J97" s="106"/>
      <c r="K97" s="94"/>
      <c r="L97" s="95"/>
      <c r="M97" s="94"/>
      <c r="N97" s="94"/>
      <c r="O97" s="94"/>
      <c r="P97" s="94"/>
    </row>
    <row r="98" spans="1:16" x14ac:dyDescent="0.25">
      <c r="A98" s="7">
        <f t="shared" si="4"/>
        <v>89</v>
      </c>
      <c r="B98" s="111"/>
      <c r="C98" s="111"/>
      <c r="D98" s="93"/>
      <c r="E98" s="112"/>
      <c r="F98" s="112"/>
      <c r="G98" s="112"/>
      <c r="H98" s="112"/>
      <c r="I98" s="106"/>
      <c r="J98" s="106"/>
      <c r="K98" s="94"/>
      <c r="L98" s="95"/>
      <c r="M98" s="94"/>
      <c r="N98" s="94"/>
      <c r="O98" s="94"/>
      <c r="P98" s="94"/>
    </row>
    <row r="99" spans="1:16" x14ac:dyDescent="0.25">
      <c r="A99" s="7">
        <f t="shared" si="4"/>
        <v>90</v>
      </c>
      <c r="B99" s="111"/>
      <c r="C99" s="111"/>
      <c r="D99" s="93"/>
      <c r="E99" s="112"/>
      <c r="F99" s="112"/>
      <c r="G99" s="112"/>
      <c r="H99" s="112"/>
      <c r="I99" s="106"/>
      <c r="J99" s="106"/>
      <c r="K99" s="94"/>
      <c r="L99" s="95"/>
      <c r="M99" s="94"/>
      <c r="N99" s="94"/>
      <c r="O99" s="94"/>
      <c r="P99" s="94"/>
    </row>
    <row r="100" spans="1:16" x14ac:dyDescent="0.25">
      <c r="A100" s="7">
        <f t="shared" si="4"/>
        <v>91</v>
      </c>
      <c r="B100" s="111"/>
      <c r="C100" s="111"/>
      <c r="D100" s="93"/>
      <c r="E100" s="112"/>
      <c r="F100" s="112"/>
      <c r="G100" s="112"/>
      <c r="H100" s="112"/>
      <c r="I100" s="106"/>
      <c r="J100" s="106"/>
      <c r="K100" s="94"/>
      <c r="L100" s="95"/>
      <c r="M100" s="94"/>
      <c r="N100" s="94"/>
      <c r="O100" s="94"/>
      <c r="P100" s="94"/>
    </row>
    <row r="101" spans="1:16" x14ac:dyDescent="0.25">
      <c r="A101" s="7">
        <f t="shared" si="4"/>
        <v>92</v>
      </c>
      <c r="B101" s="111"/>
      <c r="C101" s="111"/>
      <c r="D101" s="93"/>
      <c r="E101" s="112"/>
      <c r="F101" s="112"/>
      <c r="G101" s="112"/>
      <c r="H101" s="112"/>
      <c r="I101" s="106"/>
      <c r="J101" s="106"/>
      <c r="K101" s="94"/>
      <c r="L101" s="95"/>
      <c r="M101" s="94"/>
      <c r="N101" s="94"/>
      <c r="O101" s="94"/>
      <c r="P101" s="94"/>
    </row>
    <row r="102" spans="1:16" x14ac:dyDescent="0.25">
      <c r="A102" s="7">
        <f t="shared" si="4"/>
        <v>93</v>
      </c>
      <c r="B102" s="111"/>
      <c r="C102" s="111"/>
      <c r="D102" s="93"/>
      <c r="E102" s="112"/>
      <c r="F102" s="112"/>
      <c r="G102" s="112"/>
      <c r="H102" s="112"/>
      <c r="I102" s="106"/>
      <c r="J102" s="106"/>
      <c r="K102" s="94"/>
      <c r="L102" s="95"/>
      <c r="M102" s="94"/>
      <c r="N102" s="94"/>
      <c r="O102" s="94"/>
      <c r="P102" s="94"/>
    </row>
    <row r="103" spans="1:16" x14ac:dyDescent="0.25">
      <c r="A103" s="7">
        <f t="shared" si="4"/>
        <v>94</v>
      </c>
      <c r="B103" s="111"/>
      <c r="C103" s="111"/>
      <c r="D103" s="93"/>
      <c r="E103" s="112"/>
      <c r="F103" s="112"/>
      <c r="G103" s="112"/>
      <c r="H103" s="112"/>
      <c r="I103" s="106"/>
      <c r="J103" s="106"/>
      <c r="K103" s="94"/>
      <c r="L103" s="95"/>
      <c r="M103" s="94"/>
      <c r="N103" s="94"/>
      <c r="O103" s="94"/>
      <c r="P103" s="94"/>
    </row>
    <row r="104" spans="1:16" x14ac:dyDescent="0.25">
      <c r="A104" s="7">
        <f t="shared" si="4"/>
        <v>95</v>
      </c>
      <c r="B104" s="111"/>
      <c r="C104" s="111"/>
      <c r="D104" s="93"/>
      <c r="E104" s="112"/>
      <c r="F104" s="112"/>
      <c r="G104" s="112"/>
      <c r="H104" s="112"/>
      <c r="I104" s="106"/>
      <c r="J104" s="106"/>
      <c r="K104" s="94"/>
      <c r="L104" s="95"/>
      <c r="M104" s="94"/>
      <c r="N104" s="94"/>
      <c r="O104" s="94"/>
      <c r="P104" s="94"/>
    </row>
    <row r="105" spans="1:16" x14ac:dyDescent="0.25">
      <c r="A105" s="7">
        <f t="shared" si="4"/>
        <v>96</v>
      </c>
      <c r="B105" s="111"/>
      <c r="C105" s="111"/>
      <c r="D105" s="93"/>
      <c r="E105" s="112"/>
      <c r="F105" s="112"/>
      <c r="G105" s="112"/>
      <c r="H105" s="112"/>
      <c r="I105" s="106"/>
      <c r="J105" s="106"/>
      <c r="K105" s="94"/>
      <c r="L105" s="95"/>
      <c r="M105" s="94"/>
      <c r="N105" s="94"/>
      <c r="O105" s="94"/>
      <c r="P105" s="94"/>
    </row>
    <row r="106" spans="1:16" x14ac:dyDescent="0.25">
      <c r="A106" s="7">
        <f t="shared" si="4"/>
        <v>97</v>
      </c>
      <c r="B106" s="111"/>
      <c r="C106" s="111"/>
      <c r="D106" s="93"/>
      <c r="E106" s="112"/>
      <c r="F106" s="112"/>
      <c r="G106" s="112"/>
      <c r="H106" s="112"/>
      <c r="I106" s="106"/>
      <c r="J106" s="106"/>
      <c r="K106" s="94"/>
      <c r="L106" s="95"/>
      <c r="M106" s="94"/>
      <c r="N106" s="94"/>
      <c r="O106" s="94"/>
      <c r="P106" s="94"/>
    </row>
    <row r="107" spans="1:16" x14ac:dyDescent="0.25">
      <c r="A107" s="7">
        <f t="shared" si="4"/>
        <v>98</v>
      </c>
      <c r="B107" s="111"/>
      <c r="C107" s="111"/>
      <c r="D107" s="93"/>
      <c r="E107" s="112"/>
      <c r="F107" s="112"/>
      <c r="G107" s="112"/>
      <c r="H107" s="112"/>
      <c r="I107" s="106"/>
      <c r="J107" s="106"/>
      <c r="K107" s="94"/>
      <c r="L107" s="95"/>
      <c r="M107" s="94"/>
      <c r="N107" s="94"/>
      <c r="O107" s="94"/>
      <c r="P107" s="94"/>
    </row>
    <row r="108" spans="1:16" x14ac:dyDescent="0.25">
      <c r="A108" s="7">
        <f t="shared" si="4"/>
        <v>99</v>
      </c>
      <c r="B108" s="111"/>
      <c r="C108" s="111"/>
      <c r="D108" s="93"/>
      <c r="E108" s="112"/>
      <c r="F108" s="112"/>
      <c r="G108" s="112"/>
      <c r="H108" s="112"/>
      <c r="I108" s="106"/>
      <c r="J108" s="106"/>
      <c r="K108" s="94"/>
      <c r="L108" s="95"/>
      <c r="M108" s="94"/>
      <c r="N108" s="94"/>
      <c r="O108" s="94"/>
      <c r="P108" s="94"/>
    </row>
    <row r="109" spans="1:16" x14ac:dyDescent="0.25">
      <c r="A109" s="7">
        <f t="shared" si="4"/>
        <v>100</v>
      </c>
      <c r="B109" s="111"/>
      <c r="C109" s="111"/>
      <c r="D109" s="93"/>
      <c r="E109" s="112"/>
      <c r="F109" s="112"/>
      <c r="G109" s="112"/>
      <c r="H109" s="112"/>
      <c r="I109" s="106"/>
      <c r="J109" s="106"/>
      <c r="K109" s="94"/>
      <c r="L109" s="95"/>
      <c r="M109" s="94"/>
      <c r="N109" s="94"/>
      <c r="O109" s="94"/>
      <c r="P109" s="94"/>
    </row>
    <row r="110" spans="1:16" x14ac:dyDescent="0.25">
      <c r="A110" s="7">
        <f t="shared" si="4"/>
        <v>101</v>
      </c>
      <c r="B110" s="111"/>
      <c r="C110" s="111"/>
      <c r="D110" s="93"/>
      <c r="E110" s="112"/>
      <c r="F110" s="112"/>
      <c r="G110" s="112"/>
      <c r="H110" s="112"/>
      <c r="I110" s="106"/>
      <c r="J110" s="106"/>
      <c r="K110" s="94"/>
      <c r="L110" s="95"/>
      <c r="M110" s="94"/>
      <c r="N110" s="94"/>
      <c r="O110" s="94"/>
      <c r="P110" s="94"/>
    </row>
    <row r="111" spans="1:16" x14ac:dyDescent="0.25">
      <c r="A111" s="7">
        <f t="shared" si="4"/>
        <v>102</v>
      </c>
      <c r="B111" s="111"/>
      <c r="C111" s="111"/>
      <c r="D111" s="93"/>
      <c r="E111" s="112"/>
      <c r="F111" s="112"/>
      <c r="G111" s="112"/>
      <c r="H111" s="112"/>
      <c r="I111" s="106"/>
      <c r="J111" s="106"/>
      <c r="K111" s="94"/>
      <c r="L111" s="95"/>
      <c r="M111" s="94"/>
      <c r="N111" s="94"/>
      <c r="O111" s="94"/>
      <c r="P111" s="94"/>
    </row>
    <row r="112" spans="1:16" x14ac:dyDescent="0.25">
      <c r="A112" s="7">
        <f t="shared" si="4"/>
        <v>103</v>
      </c>
      <c r="B112" s="111"/>
      <c r="C112" s="111"/>
      <c r="D112" s="93"/>
      <c r="E112" s="112"/>
      <c r="F112" s="112"/>
      <c r="G112" s="112"/>
      <c r="H112" s="112"/>
      <c r="I112" s="106"/>
      <c r="J112" s="106"/>
      <c r="K112" s="94"/>
      <c r="L112" s="95"/>
      <c r="M112" s="94"/>
      <c r="N112" s="94"/>
      <c r="O112" s="94"/>
      <c r="P112" s="94"/>
    </row>
    <row r="113" spans="1:16" x14ac:dyDescent="0.25">
      <c r="A113" s="7">
        <f t="shared" si="4"/>
        <v>104</v>
      </c>
      <c r="B113" s="111"/>
      <c r="C113" s="111"/>
      <c r="D113" s="93"/>
      <c r="E113" s="112"/>
      <c r="F113" s="112"/>
      <c r="G113" s="112"/>
      <c r="H113" s="112"/>
      <c r="I113" s="106"/>
      <c r="J113" s="106"/>
      <c r="K113" s="94"/>
      <c r="L113" s="95"/>
      <c r="M113" s="94"/>
      <c r="N113" s="94"/>
      <c r="O113" s="94"/>
      <c r="P113" s="94"/>
    </row>
    <row r="114" spans="1:16" x14ac:dyDescent="0.25">
      <c r="A114" s="7">
        <f t="shared" si="4"/>
        <v>105</v>
      </c>
      <c r="B114" s="111"/>
      <c r="C114" s="111"/>
      <c r="D114" s="93"/>
      <c r="E114" s="112"/>
      <c r="F114" s="112"/>
      <c r="G114" s="112"/>
      <c r="H114" s="112"/>
      <c r="I114" s="106"/>
      <c r="J114" s="106"/>
      <c r="K114" s="94"/>
      <c r="L114" s="95"/>
      <c r="M114" s="94"/>
      <c r="N114" s="94"/>
      <c r="O114" s="94"/>
      <c r="P114" s="94"/>
    </row>
    <row r="115" spans="1:16" x14ac:dyDescent="0.25">
      <c r="A115" s="7">
        <f t="shared" si="4"/>
        <v>106</v>
      </c>
      <c r="B115" s="111"/>
      <c r="C115" s="111"/>
      <c r="D115" s="93"/>
      <c r="E115" s="112"/>
      <c r="F115" s="112"/>
      <c r="G115" s="112"/>
      <c r="H115" s="112"/>
      <c r="I115" s="106"/>
      <c r="J115" s="106"/>
      <c r="K115" s="94"/>
      <c r="L115" s="95"/>
      <c r="M115" s="94"/>
      <c r="N115" s="94"/>
      <c r="O115" s="94"/>
      <c r="P115" s="94"/>
    </row>
    <row r="116" spans="1:16" x14ac:dyDescent="0.25">
      <c r="A116" s="7">
        <f t="shared" si="4"/>
        <v>107</v>
      </c>
      <c r="B116" s="111"/>
      <c r="C116" s="111"/>
      <c r="D116" s="93"/>
      <c r="E116" s="112"/>
      <c r="F116" s="112"/>
      <c r="G116" s="112"/>
      <c r="H116" s="112"/>
      <c r="I116" s="106"/>
      <c r="J116" s="106"/>
      <c r="K116" s="94"/>
      <c r="L116" s="95"/>
      <c r="M116" s="94"/>
      <c r="N116" s="94"/>
      <c r="O116" s="94"/>
      <c r="P116" s="94"/>
    </row>
    <row r="117" spans="1:16" x14ac:dyDescent="0.25">
      <c r="A117" s="7">
        <f t="shared" si="4"/>
        <v>108</v>
      </c>
      <c r="B117" s="111"/>
      <c r="C117" s="111"/>
      <c r="D117" s="93"/>
      <c r="E117" s="112"/>
      <c r="F117" s="112"/>
      <c r="G117" s="112"/>
      <c r="H117" s="112"/>
      <c r="I117" s="106"/>
      <c r="J117" s="106"/>
      <c r="K117" s="94"/>
      <c r="L117" s="95"/>
      <c r="M117" s="94"/>
      <c r="N117" s="94"/>
      <c r="O117" s="94"/>
      <c r="P117" s="94"/>
    </row>
    <row r="118" spans="1:16" x14ac:dyDescent="0.25">
      <c r="A118" s="7">
        <f t="shared" si="4"/>
        <v>109</v>
      </c>
      <c r="B118" s="111"/>
      <c r="C118" s="111"/>
      <c r="D118" s="93"/>
      <c r="E118" s="112"/>
      <c r="F118" s="112"/>
      <c r="G118" s="112"/>
      <c r="H118" s="112"/>
      <c r="I118" s="106"/>
      <c r="J118" s="106"/>
      <c r="K118" s="94"/>
      <c r="L118" s="95"/>
      <c r="M118" s="94"/>
      <c r="N118" s="94"/>
      <c r="O118" s="94"/>
      <c r="P118" s="94"/>
    </row>
    <row r="119" spans="1:16" x14ac:dyDescent="0.25">
      <c r="A119" s="7">
        <f t="shared" si="4"/>
        <v>110</v>
      </c>
      <c r="B119" s="111"/>
      <c r="C119" s="111"/>
      <c r="D119" s="93"/>
      <c r="E119" s="112"/>
      <c r="F119" s="112"/>
      <c r="G119" s="112"/>
      <c r="H119" s="112"/>
      <c r="I119" s="106"/>
      <c r="J119" s="106"/>
      <c r="K119" s="94"/>
      <c r="L119" s="95"/>
      <c r="M119" s="94"/>
      <c r="N119" s="94"/>
      <c r="O119" s="94"/>
      <c r="P119" s="94"/>
    </row>
    <row r="120" spans="1:16" x14ac:dyDescent="0.25">
      <c r="A120" s="7">
        <f t="shared" si="4"/>
        <v>111</v>
      </c>
      <c r="B120" s="111"/>
      <c r="C120" s="111"/>
      <c r="D120" s="93"/>
      <c r="E120" s="112"/>
      <c r="F120" s="112"/>
      <c r="G120" s="112"/>
      <c r="H120" s="112"/>
      <c r="I120" s="106"/>
      <c r="J120" s="106"/>
      <c r="K120" s="94"/>
      <c r="L120" s="95"/>
      <c r="M120" s="94"/>
      <c r="N120" s="94"/>
      <c r="O120" s="94"/>
      <c r="P120" s="94"/>
    </row>
    <row r="121" spans="1:16" x14ac:dyDescent="0.25">
      <c r="A121" s="7">
        <f t="shared" si="4"/>
        <v>112</v>
      </c>
      <c r="B121" s="111"/>
      <c r="C121" s="111"/>
      <c r="D121" s="93"/>
      <c r="E121" s="112"/>
      <c r="F121" s="112"/>
      <c r="G121" s="112"/>
      <c r="H121" s="112"/>
      <c r="I121" s="106"/>
      <c r="J121" s="106"/>
      <c r="K121" s="94"/>
      <c r="L121" s="95"/>
      <c r="M121" s="94"/>
      <c r="N121" s="94"/>
      <c r="O121" s="94"/>
      <c r="P121" s="94"/>
    </row>
    <row r="122" spans="1:16" x14ac:dyDescent="0.25">
      <c r="A122" s="7">
        <f t="shared" si="4"/>
        <v>113</v>
      </c>
      <c r="B122" s="111"/>
      <c r="C122" s="111"/>
      <c r="D122" s="93"/>
      <c r="E122" s="112"/>
      <c r="F122" s="112"/>
      <c r="G122" s="112"/>
      <c r="H122" s="112"/>
      <c r="I122" s="106"/>
      <c r="J122" s="106"/>
      <c r="K122" s="94"/>
      <c r="L122" s="95"/>
      <c r="M122" s="94"/>
      <c r="N122" s="94"/>
      <c r="O122" s="94"/>
      <c r="P122" s="94"/>
    </row>
    <row r="123" spans="1:16" x14ac:dyDescent="0.25">
      <c r="A123" s="7">
        <f t="shared" si="4"/>
        <v>114</v>
      </c>
      <c r="B123" s="111"/>
      <c r="C123" s="111"/>
      <c r="D123" s="93"/>
      <c r="E123" s="112"/>
      <c r="F123" s="112"/>
      <c r="G123" s="112"/>
      <c r="H123" s="112"/>
      <c r="I123" s="106"/>
      <c r="J123" s="106"/>
      <c r="K123" s="94"/>
      <c r="L123" s="95"/>
      <c r="M123" s="94"/>
      <c r="N123" s="94"/>
      <c r="O123" s="94"/>
      <c r="P123" s="94"/>
    </row>
    <row r="124" spans="1:16" x14ac:dyDescent="0.25">
      <c r="A124" s="7">
        <f t="shared" si="4"/>
        <v>115</v>
      </c>
      <c r="B124" s="111"/>
      <c r="C124" s="111"/>
      <c r="D124" s="93"/>
      <c r="E124" s="112"/>
      <c r="F124" s="112"/>
      <c r="G124" s="112"/>
      <c r="H124" s="112"/>
      <c r="I124" s="106"/>
      <c r="J124" s="106"/>
      <c r="K124" s="94"/>
      <c r="L124" s="95"/>
      <c r="M124" s="94"/>
      <c r="N124" s="94"/>
      <c r="O124" s="94"/>
      <c r="P124" s="94"/>
    </row>
    <row r="125" spans="1:16" x14ac:dyDescent="0.25">
      <c r="A125" s="7">
        <f t="shared" si="4"/>
        <v>116</v>
      </c>
      <c r="B125" s="111"/>
      <c r="C125" s="111"/>
      <c r="D125" s="93"/>
      <c r="E125" s="112"/>
      <c r="F125" s="112"/>
      <c r="G125" s="112"/>
      <c r="H125" s="112"/>
      <c r="I125" s="106"/>
      <c r="J125" s="106"/>
      <c r="K125" s="94"/>
      <c r="L125" s="95"/>
      <c r="M125" s="94"/>
      <c r="N125" s="94"/>
      <c r="O125" s="94"/>
      <c r="P125" s="94"/>
    </row>
    <row r="126" spans="1:16" x14ac:dyDescent="0.25">
      <c r="A126" s="7">
        <f t="shared" si="4"/>
        <v>117</v>
      </c>
      <c r="B126" s="111"/>
      <c r="C126" s="111"/>
      <c r="D126" s="93"/>
      <c r="E126" s="112"/>
      <c r="F126" s="112"/>
      <c r="G126" s="112"/>
      <c r="H126" s="112"/>
      <c r="I126" s="106"/>
      <c r="J126" s="106"/>
      <c r="K126" s="94"/>
      <c r="L126" s="95"/>
      <c r="M126" s="94"/>
      <c r="N126" s="94"/>
      <c r="O126" s="94"/>
      <c r="P126" s="94"/>
    </row>
    <row r="127" spans="1:16" x14ac:dyDescent="0.25">
      <c r="A127" s="7">
        <f t="shared" si="4"/>
        <v>118</v>
      </c>
      <c r="B127" s="111"/>
      <c r="C127" s="111"/>
      <c r="D127" s="93"/>
      <c r="E127" s="112"/>
      <c r="F127" s="112"/>
      <c r="G127" s="112"/>
      <c r="H127" s="112"/>
      <c r="I127" s="106"/>
      <c r="J127" s="106"/>
      <c r="K127" s="94"/>
      <c r="L127" s="95"/>
      <c r="M127" s="94"/>
      <c r="N127" s="94"/>
      <c r="O127" s="94"/>
      <c r="P127" s="94"/>
    </row>
    <row r="128" spans="1:16" x14ac:dyDescent="0.25">
      <c r="A128" s="7">
        <f t="shared" si="4"/>
        <v>119</v>
      </c>
      <c r="B128" s="111"/>
      <c r="C128" s="111"/>
      <c r="D128" s="93"/>
      <c r="E128" s="112"/>
      <c r="F128" s="112"/>
      <c r="G128" s="112"/>
      <c r="H128" s="112"/>
      <c r="I128" s="106"/>
      <c r="J128" s="106"/>
      <c r="K128" s="94"/>
      <c r="L128" s="95"/>
      <c r="M128" s="94"/>
      <c r="N128" s="94"/>
      <c r="O128" s="94"/>
      <c r="P128" s="94"/>
    </row>
    <row r="129" spans="1:16" x14ac:dyDescent="0.25">
      <c r="A129" s="7">
        <f t="shared" si="4"/>
        <v>120</v>
      </c>
      <c r="B129" s="111"/>
      <c r="C129" s="111"/>
      <c r="D129" s="93"/>
      <c r="E129" s="112"/>
      <c r="F129" s="112"/>
      <c r="G129" s="112"/>
      <c r="H129" s="112"/>
      <c r="I129" s="106"/>
      <c r="J129" s="106"/>
      <c r="K129" s="94"/>
      <c r="L129" s="95"/>
      <c r="M129" s="94"/>
      <c r="N129" s="94"/>
      <c r="O129" s="94"/>
      <c r="P129" s="94"/>
    </row>
    <row r="130" spans="1:16" x14ac:dyDescent="0.25">
      <c r="A130" s="7">
        <f t="shared" si="4"/>
        <v>121</v>
      </c>
      <c r="B130" s="111"/>
      <c r="C130" s="111"/>
      <c r="D130" s="93"/>
      <c r="E130" s="112"/>
      <c r="F130" s="112"/>
      <c r="G130" s="112"/>
      <c r="H130" s="112"/>
      <c r="I130" s="106"/>
      <c r="J130" s="106"/>
      <c r="K130" s="94"/>
      <c r="L130" s="95"/>
      <c r="M130" s="94"/>
      <c r="N130" s="94"/>
      <c r="O130" s="94"/>
      <c r="P130" s="94"/>
    </row>
    <row r="131" spans="1:16" x14ac:dyDescent="0.25">
      <c r="A131" s="7">
        <f t="shared" si="4"/>
        <v>122</v>
      </c>
      <c r="B131" s="111"/>
      <c r="C131" s="111"/>
      <c r="D131" s="93"/>
      <c r="E131" s="112"/>
      <c r="F131" s="112"/>
      <c r="G131" s="112"/>
      <c r="H131" s="112"/>
      <c r="I131" s="106"/>
      <c r="J131" s="106"/>
      <c r="K131" s="94"/>
      <c r="L131" s="95"/>
      <c r="M131" s="94"/>
      <c r="N131" s="94"/>
      <c r="O131" s="94"/>
      <c r="P131" s="94"/>
    </row>
    <row r="132" spans="1:16" x14ac:dyDescent="0.25">
      <c r="A132" s="7">
        <f t="shared" si="4"/>
        <v>123</v>
      </c>
      <c r="B132" s="111"/>
      <c r="C132" s="111"/>
      <c r="D132" s="93"/>
      <c r="E132" s="112"/>
      <c r="F132" s="112"/>
      <c r="G132" s="112"/>
      <c r="H132" s="112"/>
      <c r="I132" s="106"/>
      <c r="J132" s="106"/>
      <c r="K132" s="94"/>
      <c r="L132" s="95"/>
      <c r="M132" s="94"/>
      <c r="N132" s="94"/>
      <c r="O132" s="94"/>
      <c r="P132" s="94"/>
    </row>
    <row r="133" spans="1:16" x14ac:dyDescent="0.25">
      <c r="A133" s="7">
        <f t="shared" si="4"/>
        <v>124</v>
      </c>
      <c r="B133" s="111"/>
      <c r="C133" s="111"/>
      <c r="D133" s="93"/>
      <c r="E133" s="112"/>
      <c r="F133" s="112"/>
      <c r="G133" s="112"/>
      <c r="H133" s="112"/>
      <c r="I133" s="106"/>
      <c r="J133" s="106"/>
      <c r="K133" s="94"/>
      <c r="L133" s="95"/>
      <c r="M133" s="94"/>
      <c r="N133" s="94"/>
      <c r="O133" s="94"/>
      <c r="P133" s="94"/>
    </row>
    <row r="134" spans="1:16" x14ac:dyDescent="0.25">
      <c r="A134" s="7">
        <f t="shared" si="4"/>
        <v>125</v>
      </c>
      <c r="B134" s="111"/>
      <c r="C134" s="111"/>
      <c r="D134" s="93"/>
      <c r="E134" s="112"/>
      <c r="F134" s="112"/>
      <c r="G134" s="112"/>
      <c r="H134" s="112"/>
      <c r="I134" s="106"/>
      <c r="J134" s="106"/>
      <c r="K134" s="94"/>
      <c r="L134" s="95"/>
      <c r="M134" s="94"/>
      <c r="N134" s="94"/>
      <c r="O134" s="94"/>
      <c r="P134" s="94"/>
    </row>
    <row r="135" spans="1:16" x14ac:dyDescent="0.25">
      <c r="A135" s="7">
        <f t="shared" si="4"/>
        <v>126</v>
      </c>
      <c r="B135" s="111"/>
      <c r="C135" s="111"/>
      <c r="D135" s="93"/>
      <c r="E135" s="112"/>
      <c r="F135" s="112"/>
      <c r="G135" s="112"/>
      <c r="H135" s="112"/>
      <c r="I135" s="106"/>
      <c r="J135" s="106"/>
      <c r="K135" s="94"/>
      <c r="L135" s="95"/>
      <c r="M135" s="94"/>
      <c r="N135" s="94"/>
      <c r="O135" s="94"/>
      <c r="P135" s="94"/>
    </row>
    <row r="136" spans="1:16" x14ac:dyDescent="0.25">
      <c r="A136" s="7">
        <f t="shared" si="4"/>
        <v>127</v>
      </c>
      <c r="B136" s="111"/>
      <c r="C136" s="111"/>
      <c r="D136" s="93"/>
      <c r="E136" s="112"/>
      <c r="F136" s="112"/>
      <c r="G136" s="112"/>
      <c r="H136" s="112"/>
      <c r="I136" s="106"/>
      <c r="J136" s="106"/>
      <c r="K136" s="94"/>
      <c r="L136" s="95"/>
      <c r="M136" s="94"/>
      <c r="N136" s="94"/>
      <c r="O136" s="94"/>
      <c r="P136" s="94"/>
    </row>
    <row r="137" spans="1:16" x14ac:dyDescent="0.25">
      <c r="A137" s="7">
        <f t="shared" si="4"/>
        <v>128</v>
      </c>
      <c r="B137" s="111"/>
      <c r="C137" s="111"/>
      <c r="D137" s="93"/>
      <c r="E137" s="112"/>
      <c r="F137" s="112"/>
      <c r="G137" s="112"/>
      <c r="H137" s="112"/>
      <c r="I137" s="106"/>
      <c r="J137" s="106"/>
      <c r="K137" s="94"/>
      <c r="L137" s="95"/>
      <c r="M137" s="94"/>
      <c r="N137" s="94"/>
      <c r="O137" s="94"/>
      <c r="P137" s="94"/>
    </row>
    <row r="138" spans="1:16" x14ac:dyDescent="0.25">
      <c r="A138" s="7">
        <f t="shared" si="4"/>
        <v>129</v>
      </c>
      <c r="B138" s="111"/>
      <c r="C138" s="111"/>
      <c r="D138" s="93"/>
      <c r="E138" s="112"/>
      <c r="F138" s="112"/>
      <c r="G138" s="112"/>
      <c r="H138" s="112"/>
      <c r="I138" s="106"/>
      <c r="J138" s="106"/>
      <c r="K138" s="94"/>
      <c r="L138" s="95"/>
      <c r="M138" s="94"/>
      <c r="N138" s="94"/>
      <c r="O138" s="94"/>
      <c r="P138" s="94"/>
    </row>
    <row r="139" spans="1:16" x14ac:dyDescent="0.25">
      <c r="A139" s="7">
        <f t="shared" si="4"/>
        <v>130</v>
      </c>
      <c r="B139" s="111"/>
      <c r="C139" s="111"/>
      <c r="D139" s="93"/>
      <c r="E139" s="112"/>
      <c r="F139" s="112"/>
      <c r="G139" s="112"/>
      <c r="H139" s="112"/>
      <c r="I139" s="106"/>
      <c r="J139" s="106"/>
      <c r="K139" s="94"/>
      <c r="L139" s="95"/>
      <c r="M139" s="94"/>
      <c r="N139" s="94"/>
      <c r="O139" s="94"/>
      <c r="P139" s="94"/>
    </row>
    <row r="140" spans="1:16" x14ac:dyDescent="0.25">
      <c r="A140" s="7">
        <f t="shared" ref="A140:A203" si="5">+A139+1</f>
        <v>131</v>
      </c>
      <c r="B140" s="111"/>
      <c r="C140" s="111"/>
      <c r="D140" s="93"/>
      <c r="E140" s="112"/>
      <c r="F140" s="112"/>
      <c r="G140" s="112"/>
      <c r="H140" s="112"/>
      <c r="I140" s="106"/>
      <c r="J140" s="106"/>
      <c r="K140" s="94"/>
      <c r="L140" s="95"/>
      <c r="M140" s="94"/>
      <c r="N140" s="94"/>
      <c r="O140" s="94"/>
      <c r="P140" s="94"/>
    </row>
    <row r="141" spans="1:16" x14ac:dyDescent="0.25">
      <c r="A141" s="7">
        <f t="shared" si="5"/>
        <v>132</v>
      </c>
      <c r="B141" s="111"/>
      <c r="C141" s="111"/>
      <c r="D141" s="93"/>
      <c r="E141" s="112"/>
      <c r="F141" s="112"/>
      <c r="G141" s="112"/>
      <c r="H141" s="112"/>
      <c r="I141" s="106"/>
      <c r="J141" s="106"/>
      <c r="K141" s="94"/>
      <c r="L141" s="95"/>
      <c r="M141" s="94"/>
      <c r="N141" s="94"/>
      <c r="O141" s="94"/>
      <c r="P141" s="94"/>
    </row>
    <row r="142" spans="1:16" x14ac:dyDescent="0.25">
      <c r="A142" s="7">
        <f t="shared" si="5"/>
        <v>133</v>
      </c>
      <c r="B142" s="111"/>
      <c r="C142" s="111"/>
      <c r="D142" s="93"/>
      <c r="E142" s="112"/>
      <c r="F142" s="112"/>
      <c r="G142" s="112"/>
      <c r="H142" s="112"/>
      <c r="I142" s="106"/>
      <c r="J142" s="106"/>
      <c r="K142" s="94"/>
      <c r="L142" s="95"/>
      <c r="M142" s="94"/>
      <c r="N142" s="94"/>
      <c r="O142" s="94"/>
      <c r="P142" s="94"/>
    </row>
    <row r="143" spans="1:16" x14ac:dyDescent="0.25">
      <c r="A143" s="7">
        <f t="shared" si="5"/>
        <v>134</v>
      </c>
      <c r="B143" s="111"/>
      <c r="C143" s="111"/>
      <c r="D143" s="93"/>
      <c r="E143" s="112"/>
      <c r="F143" s="112"/>
      <c r="G143" s="112"/>
      <c r="H143" s="112"/>
      <c r="I143" s="106"/>
      <c r="J143" s="106"/>
      <c r="K143" s="94"/>
      <c r="L143" s="95"/>
      <c r="M143" s="94"/>
      <c r="N143" s="94"/>
      <c r="O143" s="94"/>
      <c r="P143" s="94"/>
    </row>
    <row r="144" spans="1:16" x14ac:dyDescent="0.25">
      <c r="A144" s="7">
        <f t="shared" si="5"/>
        <v>135</v>
      </c>
      <c r="B144" s="111"/>
      <c r="C144" s="111"/>
      <c r="D144" s="93"/>
      <c r="E144" s="112"/>
      <c r="F144" s="112"/>
      <c r="G144" s="112"/>
      <c r="H144" s="112"/>
      <c r="I144" s="106"/>
      <c r="J144" s="106"/>
      <c r="K144" s="94"/>
      <c r="L144" s="95"/>
      <c r="M144" s="94"/>
      <c r="N144" s="94"/>
      <c r="O144" s="94"/>
      <c r="P144" s="94"/>
    </row>
    <row r="145" spans="1:16" x14ac:dyDescent="0.25">
      <c r="A145" s="7">
        <f t="shared" si="5"/>
        <v>136</v>
      </c>
      <c r="B145" s="111"/>
      <c r="C145" s="111"/>
      <c r="D145" s="93"/>
      <c r="E145" s="112"/>
      <c r="F145" s="112"/>
      <c r="G145" s="112"/>
      <c r="H145" s="112"/>
      <c r="I145" s="106"/>
      <c r="J145" s="106"/>
      <c r="K145" s="94"/>
      <c r="L145" s="95"/>
      <c r="M145" s="94"/>
      <c r="N145" s="94"/>
      <c r="O145" s="94"/>
      <c r="P145" s="94"/>
    </row>
    <row r="146" spans="1:16" x14ac:dyDescent="0.25">
      <c r="A146" s="7">
        <f t="shared" si="5"/>
        <v>137</v>
      </c>
      <c r="B146" s="111"/>
      <c r="C146" s="111"/>
      <c r="D146" s="93"/>
      <c r="E146" s="112"/>
      <c r="F146" s="112"/>
      <c r="G146" s="112"/>
      <c r="H146" s="112"/>
      <c r="I146" s="106"/>
      <c r="J146" s="106"/>
      <c r="K146" s="94"/>
      <c r="L146" s="95"/>
      <c r="M146" s="94"/>
      <c r="N146" s="94"/>
      <c r="O146" s="94"/>
      <c r="P146" s="94"/>
    </row>
    <row r="147" spans="1:16" x14ac:dyDescent="0.25">
      <c r="A147" s="7">
        <f t="shared" si="5"/>
        <v>138</v>
      </c>
      <c r="B147" s="111"/>
      <c r="C147" s="111"/>
      <c r="D147" s="93"/>
      <c r="E147" s="112"/>
      <c r="F147" s="112"/>
      <c r="G147" s="112"/>
      <c r="H147" s="112"/>
      <c r="I147" s="106"/>
      <c r="J147" s="106"/>
      <c r="K147" s="94"/>
      <c r="L147" s="95"/>
      <c r="M147" s="94"/>
      <c r="N147" s="94"/>
      <c r="O147" s="94"/>
      <c r="P147" s="94"/>
    </row>
    <row r="148" spans="1:16" x14ac:dyDescent="0.25">
      <c r="A148" s="7">
        <f t="shared" si="5"/>
        <v>139</v>
      </c>
      <c r="B148" s="111"/>
      <c r="C148" s="111"/>
      <c r="D148" s="93"/>
      <c r="E148" s="112"/>
      <c r="F148" s="112"/>
      <c r="G148" s="112"/>
      <c r="H148" s="112"/>
      <c r="I148" s="106"/>
      <c r="J148" s="106"/>
      <c r="K148" s="94"/>
      <c r="L148" s="95"/>
      <c r="M148" s="94"/>
      <c r="N148" s="94"/>
      <c r="O148" s="94"/>
      <c r="P148" s="94"/>
    </row>
    <row r="149" spans="1:16" x14ac:dyDescent="0.25">
      <c r="A149" s="7">
        <f t="shared" si="5"/>
        <v>140</v>
      </c>
      <c r="B149" s="111"/>
      <c r="C149" s="111"/>
      <c r="D149" s="93"/>
      <c r="E149" s="112"/>
      <c r="F149" s="112"/>
      <c r="G149" s="112"/>
      <c r="H149" s="112"/>
      <c r="I149" s="106"/>
      <c r="J149" s="106"/>
      <c r="K149" s="94"/>
      <c r="L149" s="95"/>
      <c r="M149" s="94"/>
      <c r="N149" s="94"/>
      <c r="O149" s="94"/>
      <c r="P149" s="94"/>
    </row>
    <row r="150" spans="1:16" x14ac:dyDescent="0.25">
      <c r="A150" s="7">
        <f t="shared" si="5"/>
        <v>141</v>
      </c>
      <c r="B150" s="111"/>
      <c r="C150" s="111"/>
      <c r="D150" s="93"/>
      <c r="E150" s="112"/>
      <c r="F150" s="112"/>
      <c r="G150" s="112"/>
      <c r="H150" s="112"/>
      <c r="I150" s="106"/>
      <c r="J150" s="106"/>
      <c r="K150" s="94"/>
      <c r="L150" s="95"/>
      <c r="M150" s="94"/>
      <c r="N150" s="94"/>
      <c r="O150" s="94"/>
      <c r="P150" s="94"/>
    </row>
    <row r="151" spans="1:16" x14ac:dyDescent="0.25">
      <c r="A151" s="7">
        <f t="shared" si="5"/>
        <v>142</v>
      </c>
      <c r="B151" s="111"/>
      <c r="C151" s="111"/>
      <c r="D151" s="93"/>
      <c r="E151" s="112"/>
      <c r="F151" s="112"/>
      <c r="G151" s="112"/>
      <c r="H151" s="112"/>
      <c r="I151" s="106"/>
      <c r="J151" s="106"/>
      <c r="K151" s="94"/>
      <c r="L151" s="95"/>
      <c r="M151" s="94"/>
      <c r="N151" s="94"/>
      <c r="O151" s="94"/>
      <c r="P151" s="94"/>
    </row>
    <row r="152" spans="1:16" x14ac:dyDescent="0.25">
      <c r="A152" s="7">
        <f t="shared" si="5"/>
        <v>143</v>
      </c>
      <c r="B152" s="111"/>
      <c r="C152" s="111"/>
      <c r="D152" s="93"/>
      <c r="E152" s="112"/>
      <c r="F152" s="112"/>
      <c r="G152" s="112"/>
      <c r="H152" s="112"/>
      <c r="I152" s="106"/>
      <c r="J152" s="106"/>
      <c r="K152" s="94"/>
      <c r="L152" s="95"/>
      <c r="M152" s="94"/>
      <c r="N152" s="94"/>
      <c r="O152" s="94"/>
      <c r="P152" s="94"/>
    </row>
    <row r="153" spans="1:16" x14ac:dyDescent="0.25">
      <c r="A153" s="7">
        <f t="shared" si="5"/>
        <v>144</v>
      </c>
      <c r="B153" s="111"/>
      <c r="C153" s="111"/>
      <c r="D153" s="93"/>
      <c r="E153" s="112"/>
      <c r="F153" s="112"/>
      <c r="G153" s="112"/>
      <c r="H153" s="112"/>
      <c r="I153" s="106"/>
      <c r="J153" s="106"/>
      <c r="K153" s="94"/>
      <c r="L153" s="95"/>
      <c r="M153" s="94"/>
      <c r="N153" s="94"/>
      <c r="O153" s="94"/>
      <c r="P153" s="94"/>
    </row>
    <row r="154" spans="1:16" x14ac:dyDescent="0.25">
      <c r="A154" s="7">
        <f t="shared" si="5"/>
        <v>145</v>
      </c>
      <c r="B154" s="111"/>
      <c r="C154" s="111"/>
      <c r="D154" s="93"/>
      <c r="E154" s="112"/>
      <c r="F154" s="112"/>
      <c r="G154" s="112"/>
      <c r="H154" s="112"/>
      <c r="I154" s="106"/>
      <c r="J154" s="106"/>
      <c r="K154" s="94"/>
      <c r="L154" s="95"/>
      <c r="M154" s="94"/>
      <c r="N154" s="94"/>
      <c r="O154" s="94"/>
      <c r="P154" s="94"/>
    </row>
    <row r="155" spans="1:16" x14ac:dyDescent="0.25">
      <c r="A155" s="7">
        <f t="shared" si="5"/>
        <v>146</v>
      </c>
      <c r="B155" s="111"/>
      <c r="C155" s="111"/>
      <c r="D155" s="93"/>
      <c r="E155" s="112"/>
      <c r="F155" s="112"/>
      <c r="G155" s="112"/>
      <c r="H155" s="112"/>
      <c r="I155" s="106"/>
      <c r="J155" s="106"/>
      <c r="K155" s="94"/>
      <c r="L155" s="95"/>
      <c r="M155" s="94"/>
      <c r="N155" s="94"/>
      <c r="O155" s="94"/>
      <c r="P155" s="94"/>
    </row>
    <row r="156" spans="1:16" x14ac:dyDescent="0.25">
      <c r="A156" s="7">
        <f t="shared" si="5"/>
        <v>147</v>
      </c>
      <c r="B156" s="111"/>
      <c r="C156" s="111"/>
      <c r="D156" s="93"/>
      <c r="E156" s="112"/>
      <c r="F156" s="112"/>
      <c r="G156" s="112"/>
      <c r="H156" s="112"/>
      <c r="I156" s="106"/>
      <c r="J156" s="106"/>
      <c r="K156" s="94"/>
      <c r="L156" s="95"/>
      <c r="M156" s="94"/>
      <c r="N156" s="94"/>
      <c r="O156" s="94"/>
      <c r="P156" s="94"/>
    </row>
    <row r="157" spans="1:16" x14ac:dyDescent="0.25">
      <c r="A157" s="7">
        <f t="shared" si="5"/>
        <v>148</v>
      </c>
      <c r="B157" s="111"/>
      <c r="C157" s="111"/>
      <c r="D157" s="93"/>
      <c r="E157" s="112"/>
      <c r="F157" s="112"/>
      <c r="G157" s="112"/>
      <c r="H157" s="112"/>
      <c r="I157" s="106"/>
      <c r="J157" s="106"/>
      <c r="K157" s="94"/>
      <c r="L157" s="95"/>
      <c r="M157" s="94"/>
      <c r="N157" s="94"/>
      <c r="O157" s="94"/>
      <c r="P157" s="94"/>
    </row>
    <row r="158" spans="1:16" x14ac:dyDescent="0.25">
      <c r="A158" s="7">
        <f t="shared" si="5"/>
        <v>149</v>
      </c>
      <c r="B158" s="111"/>
      <c r="C158" s="111"/>
      <c r="D158" s="93"/>
      <c r="E158" s="112"/>
      <c r="F158" s="112"/>
      <c r="G158" s="112"/>
      <c r="H158" s="112"/>
      <c r="I158" s="106"/>
      <c r="J158" s="106"/>
      <c r="K158" s="94"/>
      <c r="L158" s="95"/>
      <c r="M158" s="94"/>
      <c r="N158" s="94"/>
      <c r="O158" s="94"/>
      <c r="P158" s="94"/>
    </row>
    <row r="159" spans="1:16" x14ac:dyDescent="0.25">
      <c r="A159" s="7">
        <f t="shared" si="5"/>
        <v>150</v>
      </c>
      <c r="B159" s="111"/>
      <c r="C159" s="111"/>
      <c r="D159" s="93"/>
      <c r="E159" s="112"/>
      <c r="F159" s="112"/>
      <c r="G159" s="112"/>
      <c r="H159" s="112"/>
      <c r="I159" s="106"/>
      <c r="J159" s="106"/>
      <c r="K159" s="94"/>
      <c r="L159" s="95"/>
      <c r="M159" s="94"/>
      <c r="N159" s="94"/>
      <c r="O159" s="94"/>
      <c r="P159" s="94"/>
    </row>
    <row r="160" spans="1:16" x14ac:dyDescent="0.25">
      <c r="A160" s="7">
        <f t="shared" si="5"/>
        <v>151</v>
      </c>
      <c r="B160" s="111"/>
      <c r="C160" s="111"/>
      <c r="D160" s="93"/>
      <c r="E160" s="112"/>
      <c r="F160" s="112"/>
      <c r="G160" s="112"/>
      <c r="H160" s="112"/>
      <c r="I160" s="106"/>
      <c r="J160" s="106"/>
      <c r="K160" s="94"/>
      <c r="L160" s="95"/>
      <c r="M160" s="94"/>
      <c r="N160" s="94"/>
      <c r="O160" s="94"/>
      <c r="P160" s="94"/>
    </row>
    <row r="161" spans="1:16" x14ac:dyDescent="0.25">
      <c r="A161" s="7">
        <f t="shared" si="5"/>
        <v>152</v>
      </c>
      <c r="B161" s="111"/>
      <c r="C161" s="111"/>
      <c r="D161" s="93"/>
      <c r="E161" s="112"/>
      <c r="F161" s="112"/>
      <c r="G161" s="112"/>
      <c r="H161" s="112"/>
      <c r="I161" s="106"/>
      <c r="J161" s="106"/>
      <c r="K161" s="94"/>
      <c r="L161" s="95"/>
      <c r="M161" s="94"/>
      <c r="N161" s="94"/>
      <c r="O161" s="94"/>
      <c r="P161" s="94"/>
    </row>
    <row r="162" spans="1:16" x14ac:dyDescent="0.25">
      <c r="A162" s="7">
        <f t="shared" si="5"/>
        <v>153</v>
      </c>
      <c r="B162" s="111"/>
      <c r="C162" s="111"/>
      <c r="D162" s="93"/>
      <c r="E162" s="112"/>
      <c r="F162" s="112"/>
      <c r="G162" s="112"/>
      <c r="H162" s="112"/>
      <c r="I162" s="106"/>
      <c r="J162" s="106"/>
      <c r="K162" s="94"/>
      <c r="L162" s="95"/>
      <c r="M162" s="94"/>
      <c r="N162" s="94"/>
      <c r="O162" s="94"/>
      <c r="P162" s="94"/>
    </row>
    <row r="163" spans="1:16" x14ac:dyDescent="0.25">
      <c r="A163" s="7">
        <f t="shared" si="5"/>
        <v>154</v>
      </c>
      <c r="B163" s="111"/>
      <c r="C163" s="111"/>
      <c r="D163" s="93"/>
      <c r="E163" s="112"/>
      <c r="F163" s="112"/>
      <c r="G163" s="112"/>
      <c r="H163" s="112"/>
      <c r="I163" s="106"/>
      <c r="J163" s="106"/>
      <c r="K163" s="94"/>
      <c r="L163" s="95"/>
      <c r="M163" s="94"/>
      <c r="N163" s="94"/>
      <c r="O163" s="94"/>
      <c r="P163" s="94"/>
    </row>
    <row r="164" spans="1:16" x14ac:dyDescent="0.25">
      <c r="A164" s="7">
        <f t="shared" si="5"/>
        <v>155</v>
      </c>
      <c r="B164" s="111"/>
      <c r="C164" s="111"/>
      <c r="D164" s="93"/>
      <c r="E164" s="112"/>
      <c r="F164" s="112"/>
      <c r="G164" s="112"/>
      <c r="H164" s="112"/>
      <c r="I164" s="106"/>
      <c r="J164" s="106"/>
      <c r="K164" s="94"/>
      <c r="L164" s="95"/>
      <c r="M164" s="94"/>
      <c r="N164" s="94"/>
      <c r="O164" s="94"/>
      <c r="P164" s="94"/>
    </row>
    <row r="165" spans="1:16" x14ac:dyDescent="0.25">
      <c r="A165" s="7">
        <f t="shared" si="5"/>
        <v>156</v>
      </c>
      <c r="B165" s="111"/>
      <c r="C165" s="111"/>
      <c r="D165" s="93"/>
      <c r="E165" s="112"/>
      <c r="F165" s="112"/>
      <c r="G165" s="112"/>
      <c r="H165" s="112"/>
      <c r="I165" s="106"/>
      <c r="J165" s="106"/>
      <c r="K165" s="94"/>
      <c r="L165" s="95"/>
      <c r="M165" s="94"/>
      <c r="N165" s="94"/>
      <c r="O165" s="94"/>
      <c r="P165" s="94"/>
    </row>
    <row r="166" spans="1:16" x14ac:dyDescent="0.25">
      <c r="A166" s="7">
        <f t="shared" si="5"/>
        <v>157</v>
      </c>
      <c r="B166" s="111"/>
      <c r="C166" s="111"/>
      <c r="D166" s="93"/>
      <c r="E166" s="112"/>
      <c r="F166" s="112"/>
      <c r="G166" s="112"/>
      <c r="H166" s="112"/>
      <c r="I166" s="106"/>
      <c r="J166" s="106"/>
      <c r="K166" s="94"/>
      <c r="L166" s="95"/>
      <c r="M166" s="94"/>
      <c r="N166" s="94"/>
      <c r="O166" s="94"/>
      <c r="P166" s="94"/>
    </row>
    <row r="167" spans="1:16" x14ac:dyDescent="0.25">
      <c r="A167" s="7">
        <f t="shared" si="5"/>
        <v>158</v>
      </c>
      <c r="B167" s="111"/>
      <c r="C167" s="111"/>
      <c r="D167" s="93"/>
      <c r="E167" s="112"/>
      <c r="F167" s="112"/>
      <c r="G167" s="112"/>
      <c r="H167" s="112"/>
      <c r="I167" s="106"/>
      <c r="J167" s="106"/>
      <c r="K167" s="94"/>
      <c r="L167" s="95"/>
      <c r="M167" s="94"/>
      <c r="N167" s="94"/>
      <c r="O167" s="94"/>
      <c r="P167" s="94"/>
    </row>
    <row r="168" spans="1:16" x14ac:dyDescent="0.25">
      <c r="A168" s="7">
        <f t="shared" si="5"/>
        <v>159</v>
      </c>
      <c r="B168" s="111"/>
      <c r="C168" s="111"/>
      <c r="D168" s="93"/>
      <c r="E168" s="112"/>
      <c r="F168" s="112"/>
      <c r="G168" s="112"/>
      <c r="H168" s="112"/>
      <c r="I168" s="106"/>
      <c r="J168" s="106"/>
      <c r="K168" s="94"/>
      <c r="L168" s="95"/>
      <c r="M168" s="94"/>
      <c r="N168" s="94"/>
      <c r="O168" s="94"/>
      <c r="P168" s="94"/>
    </row>
    <row r="169" spans="1:16" x14ac:dyDescent="0.25">
      <c r="A169" s="7">
        <f t="shared" si="5"/>
        <v>160</v>
      </c>
      <c r="B169" s="111"/>
      <c r="C169" s="111"/>
      <c r="D169" s="93"/>
      <c r="E169" s="112"/>
      <c r="F169" s="112"/>
      <c r="G169" s="112"/>
      <c r="H169" s="112"/>
      <c r="I169" s="106"/>
      <c r="J169" s="106"/>
      <c r="K169" s="94"/>
      <c r="L169" s="95"/>
      <c r="M169" s="94"/>
      <c r="N169" s="94"/>
      <c r="O169" s="94"/>
      <c r="P169" s="94"/>
    </row>
    <row r="170" spans="1:16" x14ac:dyDescent="0.25">
      <c r="A170" s="7">
        <f t="shared" si="5"/>
        <v>161</v>
      </c>
      <c r="B170" s="111"/>
      <c r="C170" s="111"/>
      <c r="D170" s="93"/>
      <c r="E170" s="112"/>
      <c r="F170" s="112"/>
      <c r="G170" s="112"/>
      <c r="H170" s="112"/>
      <c r="I170" s="106"/>
      <c r="J170" s="106"/>
      <c r="K170" s="94"/>
      <c r="L170" s="95"/>
      <c r="M170" s="94"/>
      <c r="N170" s="94"/>
      <c r="O170" s="94"/>
      <c r="P170" s="94"/>
    </row>
    <row r="171" spans="1:16" x14ac:dyDescent="0.25">
      <c r="A171" s="7">
        <f t="shared" si="5"/>
        <v>162</v>
      </c>
      <c r="B171" s="111"/>
      <c r="C171" s="111"/>
      <c r="D171" s="93"/>
      <c r="E171" s="112"/>
      <c r="F171" s="112"/>
      <c r="G171" s="112"/>
      <c r="H171" s="112"/>
      <c r="I171" s="106"/>
      <c r="J171" s="106"/>
      <c r="K171" s="94"/>
      <c r="L171" s="95"/>
      <c r="M171" s="94"/>
      <c r="N171" s="94"/>
      <c r="O171" s="94"/>
      <c r="P171" s="94"/>
    </row>
    <row r="172" spans="1:16" x14ac:dyDescent="0.25">
      <c r="A172" s="7">
        <f t="shared" si="5"/>
        <v>163</v>
      </c>
      <c r="B172" s="111"/>
      <c r="C172" s="111"/>
      <c r="D172" s="93"/>
      <c r="E172" s="112"/>
      <c r="F172" s="112"/>
      <c r="G172" s="112"/>
      <c r="H172" s="112"/>
      <c r="I172" s="106"/>
      <c r="J172" s="106"/>
      <c r="K172" s="94"/>
      <c r="L172" s="95"/>
      <c r="M172" s="94"/>
      <c r="N172" s="94"/>
      <c r="O172" s="94"/>
      <c r="P172" s="94"/>
    </row>
    <row r="173" spans="1:16" x14ac:dyDescent="0.25">
      <c r="A173" s="7">
        <f t="shared" si="5"/>
        <v>164</v>
      </c>
      <c r="B173" s="111"/>
      <c r="C173" s="111"/>
      <c r="D173" s="93"/>
      <c r="E173" s="112"/>
      <c r="F173" s="112"/>
      <c r="G173" s="112"/>
      <c r="H173" s="112"/>
      <c r="I173" s="106"/>
      <c r="J173" s="106"/>
      <c r="K173" s="94"/>
      <c r="L173" s="95"/>
      <c r="M173" s="94"/>
      <c r="N173" s="94"/>
      <c r="O173" s="94"/>
      <c r="P173" s="94"/>
    </row>
    <row r="174" spans="1:16" x14ac:dyDescent="0.25">
      <c r="A174" s="7">
        <f t="shared" si="5"/>
        <v>165</v>
      </c>
      <c r="B174" s="111"/>
      <c r="C174" s="111"/>
      <c r="D174" s="93"/>
      <c r="E174" s="112"/>
      <c r="F174" s="112"/>
      <c r="G174" s="112"/>
      <c r="H174" s="112"/>
      <c r="I174" s="106"/>
      <c r="J174" s="106"/>
      <c r="K174" s="94"/>
      <c r="L174" s="95"/>
      <c r="M174" s="94"/>
      <c r="N174" s="94"/>
      <c r="O174" s="94"/>
      <c r="P174" s="94"/>
    </row>
    <row r="175" spans="1:16" x14ac:dyDescent="0.25">
      <c r="A175" s="7">
        <f t="shared" si="5"/>
        <v>166</v>
      </c>
      <c r="B175" s="111"/>
      <c r="C175" s="111"/>
      <c r="D175" s="93"/>
      <c r="E175" s="112"/>
      <c r="F175" s="112"/>
      <c r="G175" s="112"/>
      <c r="H175" s="112"/>
      <c r="I175" s="106"/>
      <c r="J175" s="106"/>
      <c r="K175" s="94"/>
      <c r="L175" s="95"/>
      <c r="M175" s="94"/>
      <c r="N175" s="94"/>
      <c r="O175" s="94"/>
      <c r="P175" s="94"/>
    </row>
    <row r="176" spans="1:16" x14ac:dyDescent="0.25">
      <c r="A176" s="7">
        <f t="shared" si="5"/>
        <v>167</v>
      </c>
      <c r="B176" s="111"/>
      <c r="C176" s="111"/>
      <c r="D176" s="93"/>
      <c r="E176" s="112"/>
      <c r="F176" s="112"/>
      <c r="G176" s="112"/>
      <c r="H176" s="112"/>
      <c r="I176" s="106"/>
      <c r="J176" s="106"/>
      <c r="K176" s="94"/>
      <c r="L176" s="95"/>
      <c r="M176" s="94"/>
      <c r="N176" s="94"/>
      <c r="O176" s="94"/>
      <c r="P176" s="94"/>
    </row>
    <row r="177" spans="1:16" x14ac:dyDescent="0.25">
      <c r="A177" s="7">
        <f t="shared" si="5"/>
        <v>168</v>
      </c>
      <c r="B177" s="111"/>
      <c r="C177" s="111"/>
      <c r="D177" s="93"/>
      <c r="E177" s="112"/>
      <c r="F177" s="112"/>
      <c r="G177" s="112"/>
      <c r="H177" s="112"/>
      <c r="I177" s="106"/>
      <c r="J177" s="106"/>
      <c r="K177" s="94"/>
      <c r="L177" s="95"/>
      <c r="M177" s="94"/>
      <c r="N177" s="94"/>
      <c r="O177" s="94"/>
      <c r="P177" s="94"/>
    </row>
    <row r="178" spans="1:16" x14ac:dyDescent="0.25">
      <c r="A178" s="7">
        <f t="shared" si="5"/>
        <v>169</v>
      </c>
      <c r="B178" s="111"/>
      <c r="C178" s="111"/>
      <c r="D178" s="93"/>
      <c r="E178" s="112"/>
      <c r="F178" s="112"/>
      <c r="G178" s="112"/>
      <c r="H178" s="112"/>
      <c r="I178" s="106"/>
      <c r="J178" s="106"/>
      <c r="K178" s="94"/>
      <c r="L178" s="95"/>
      <c r="M178" s="94"/>
      <c r="N178" s="94"/>
      <c r="O178" s="94"/>
      <c r="P178" s="94"/>
    </row>
    <row r="179" spans="1:16" x14ac:dyDescent="0.25">
      <c r="A179" s="7">
        <f t="shared" si="5"/>
        <v>170</v>
      </c>
      <c r="B179" s="111"/>
      <c r="C179" s="111"/>
      <c r="D179" s="93"/>
      <c r="E179" s="112"/>
      <c r="F179" s="112"/>
      <c r="G179" s="112"/>
      <c r="H179" s="112"/>
      <c r="I179" s="106"/>
      <c r="J179" s="106"/>
      <c r="K179" s="94"/>
      <c r="L179" s="95"/>
      <c r="M179" s="94"/>
      <c r="N179" s="94"/>
      <c r="O179" s="94"/>
      <c r="P179" s="94"/>
    </row>
    <row r="180" spans="1:16" x14ac:dyDescent="0.25">
      <c r="A180" s="7">
        <f t="shared" si="5"/>
        <v>171</v>
      </c>
      <c r="B180" s="111"/>
      <c r="C180" s="111"/>
      <c r="D180" s="93"/>
      <c r="E180" s="112"/>
      <c r="F180" s="112"/>
      <c r="G180" s="112"/>
      <c r="H180" s="112"/>
      <c r="I180" s="106"/>
      <c r="J180" s="106"/>
      <c r="K180" s="94"/>
      <c r="L180" s="95"/>
      <c r="M180" s="94"/>
      <c r="N180" s="94"/>
      <c r="O180" s="94"/>
      <c r="P180" s="94"/>
    </row>
    <row r="181" spans="1:16" x14ac:dyDescent="0.25">
      <c r="A181" s="7">
        <f t="shared" si="5"/>
        <v>172</v>
      </c>
      <c r="B181" s="111"/>
      <c r="C181" s="111"/>
      <c r="D181" s="93"/>
      <c r="E181" s="112"/>
      <c r="F181" s="112"/>
      <c r="G181" s="112"/>
      <c r="H181" s="112"/>
      <c r="I181" s="106"/>
      <c r="J181" s="106"/>
      <c r="K181" s="94"/>
      <c r="L181" s="95"/>
      <c r="M181" s="94"/>
      <c r="N181" s="94"/>
      <c r="O181" s="94"/>
      <c r="P181" s="94"/>
    </row>
    <row r="182" spans="1:16" x14ac:dyDescent="0.25">
      <c r="A182" s="7">
        <f t="shared" si="5"/>
        <v>173</v>
      </c>
      <c r="B182" s="111"/>
      <c r="C182" s="111"/>
      <c r="D182" s="93"/>
      <c r="E182" s="112"/>
      <c r="F182" s="112"/>
      <c r="G182" s="112"/>
      <c r="H182" s="112"/>
      <c r="I182" s="106"/>
      <c r="J182" s="106"/>
      <c r="K182" s="94"/>
      <c r="L182" s="95"/>
      <c r="M182" s="94"/>
      <c r="N182" s="94"/>
      <c r="O182" s="94"/>
      <c r="P182" s="94"/>
    </row>
    <row r="183" spans="1:16" x14ac:dyDescent="0.25">
      <c r="A183" s="7">
        <f t="shared" si="5"/>
        <v>174</v>
      </c>
      <c r="B183" s="111"/>
      <c r="C183" s="111"/>
      <c r="D183" s="93"/>
      <c r="E183" s="112"/>
      <c r="F183" s="112"/>
      <c r="G183" s="112"/>
      <c r="H183" s="112"/>
      <c r="I183" s="106"/>
      <c r="J183" s="106"/>
      <c r="K183" s="94"/>
      <c r="L183" s="95"/>
      <c r="M183" s="94"/>
      <c r="N183" s="94"/>
      <c r="O183" s="94"/>
      <c r="P183" s="94"/>
    </row>
    <row r="184" spans="1:16" x14ac:dyDescent="0.25">
      <c r="A184" s="7">
        <f t="shared" si="5"/>
        <v>175</v>
      </c>
      <c r="B184" s="111"/>
      <c r="C184" s="111"/>
      <c r="D184" s="93"/>
      <c r="E184" s="112"/>
      <c r="F184" s="112"/>
      <c r="G184" s="112"/>
      <c r="H184" s="112"/>
      <c r="I184" s="106"/>
      <c r="J184" s="106"/>
      <c r="K184" s="94"/>
      <c r="L184" s="95"/>
      <c r="M184" s="94"/>
      <c r="N184" s="94"/>
      <c r="O184" s="94"/>
      <c r="P184" s="94"/>
    </row>
    <row r="185" spans="1:16" x14ac:dyDescent="0.25">
      <c r="A185" s="7">
        <f t="shared" si="5"/>
        <v>176</v>
      </c>
      <c r="B185" s="111"/>
      <c r="C185" s="111"/>
      <c r="D185" s="93"/>
      <c r="E185" s="112"/>
      <c r="F185" s="112"/>
      <c r="G185" s="112"/>
      <c r="H185" s="112"/>
      <c r="I185" s="106"/>
      <c r="J185" s="106"/>
      <c r="K185" s="94"/>
      <c r="L185" s="95"/>
      <c r="M185" s="94"/>
      <c r="N185" s="94"/>
      <c r="O185" s="94"/>
      <c r="P185" s="94"/>
    </row>
    <row r="186" spans="1:16" x14ac:dyDescent="0.25">
      <c r="A186" s="7">
        <f t="shared" si="5"/>
        <v>177</v>
      </c>
      <c r="B186" s="111"/>
      <c r="C186" s="111"/>
      <c r="D186" s="93"/>
      <c r="E186" s="112"/>
      <c r="F186" s="112"/>
      <c r="G186" s="112"/>
      <c r="H186" s="112"/>
      <c r="I186" s="106"/>
      <c r="J186" s="106"/>
      <c r="K186" s="94"/>
      <c r="L186" s="95"/>
      <c r="M186" s="94"/>
      <c r="N186" s="94"/>
      <c r="O186" s="94"/>
      <c r="P186" s="94"/>
    </row>
    <row r="187" spans="1:16" x14ac:dyDescent="0.25">
      <c r="A187" s="7">
        <f t="shared" si="5"/>
        <v>178</v>
      </c>
      <c r="B187" s="111"/>
      <c r="C187" s="111"/>
      <c r="D187" s="93"/>
      <c r="E187" s="112"/>
      <c r="F187" s="112"/>
      <c r="G187" s="112"/>
      <c r="H187" s="112"/>
      <c r="I187" s="106"/>
      <c r="J187" s="106"/>
      <c r="K187" s="94"/>
      <c r="L187" s="95"/>
      <c r="M187" s="94"/>
      <c r="N187" s="94"/>
      <c r="O187" s="94"/>
      <c r="P187" s="94"/>
    </row>
    <row r="188" spans="1:16" x14ac:dyDescent="0.25">
      <c r="A188" s="7">
        <f t="shared" si="5"/>
        <v>179</v>
      </c>
      <c r="B188" s="111"/>
      <c r="C188" s="111"/>
      <c r="D188" s="93"/>
      <c r="E188" s="112"/>
      <c r="F188" s="112"/>
      <c r="G188" s="112"/>
      <c r="H188" s="112"/>
      <c r="I188" s="106"/>
      <c r="J188" s="106"/>
      <c r="K188" s="94"/>
      <c r="L188" s="95"/>
      <c r="M188" s="94"/>
      <c r="N188" s="94"/>
      <c r="O188" s="94"/>
      <c r="P188" s="94"/>
    </row>
    <row r="189" spans="1:16" x14ac:dyDescent="0.25">
      <c r="A189" s="7">
        <f t="shared" si="5"/>
        <v>180</v>
      </c>
      <c r="B189" s="111"/>
      <c r="C189" s="111"/>
      <c r="D189" s="93"/>
      <c r="E189" s="112"/>
      <c r="F189" s="112"/>
      <c r="G189" s="112"/>
      <c r="H189" s="112"/>
      <c r="I189" s="106"/>
      <c r="J189" s="106"/>
      <c r="K189" s="94"/>
      <c r="L189" s="95"/>
      <c r="M189" s="94"/>
      <c r="N189" s="94"/>
      <c r="O189" s="94"/>
      <c r="P189" s="94"/>
    </row>
    <row r="190" spans="1:16" x14ac:dyDescent="0.25">
      <c r="A190" s="7">
        <f t="shared" si="5"/>
        <v>181</v>
      </c>
      <c r="B190" s="111"/>
      <c r="C190" s="111"/>
      <c r="D190" s="93"/>
      <c r="E190" s="112"/>
      <c r="F190" s="112"/>
      <c r="G190" s="112"/>
      <c r="H190" s="112"/>
      <c r="I190" s="106"/>
      <c r="J190" s="106"/>
      <c r="K190" s="94"/>
      <c r="L190" s="95"/>
      <c r="M190" s="94"/>
      <c r="N190" s="94"/>
      <c r="O190" s="94"/>
      <c r="P190" s="94"/>
    </row>
    <row r="191" spans="1:16" x14ac:dyDescent="0.25">
      <c r="A191" s="7">
        <f t="shared" si="5"/>
        <v>182</v>
      </c>
      <c r="B191" s="111"/>
      <c r="C191" s="111"/>
      <c r="D191" s="93"/>
      <c r="E191" s="112"/>
      <c r="F191" s="112"/>
      <c r="G191" s="112"/>
      <c r="H191" s="112"/>
      <c r="I191" s="106"/>
      <c r="J191" s="106"/>
      <c r="K191" s="94"/>
      <c r="L191" s="95"/>
      <c r="M191" s="94"/>
      <c r="N191" s="94"/>
      <c r="O191" s="94"/>
      <c r="P191" s="94"/>
    </row>
    <row r="192" spans="1:16" x14ac:dyDescent="0.25">
      <c r="A192" s="7">
        <f t="shared" si="5"/>
        <v>183</v>
      </c>
      <c r="B192" s="111"/>
      <c r="C192" s="111"/>
      <c r="D192" s="93"/>
      <c r="E192" s="112"/>
      <c r="F192" s="112"/>
      <c r="G192" s="112"/>
      <c r="H192" s="112"/>
      <c r="I192" s="106"/>
      <c r="J192" s="106"/>
      <c r="K192" s="94"/>
      <c r="L192" s="95"/>
      <c r="M192" s="94"/>
      <c r="N192" s="94"/>
      <c r="O192" s="94"/>
      <c r="P192" s="94"/>
    </row>
    <row r="193" spans="1:16" x14ac:dyDescent="0.25">
      <c r="A193" s="7">
        <f t="shared" si="5"/>
        <v>184</v>
      </c>
      <c r="B193" s="111"/>
      <c r="C193" s="111"/>
      <c r="D193" s="93"/>
      <c r="E193" s="112"/>
      <c r="F193" s="112"/>
      <c r="G193" s="112"/>
      <c r="H193" s="112"/>
      <c r="I193" s="106"/>
      <c r="J193" s="106"/>
      <c r="K193" s="94"/>
      <c r="L193" s="95"/>
      <c r="M193" s="94"/>
      <c r="N193" s="94"/>
      <c r="O193" s="94"/>
      <c r="P193" s="94"/>
    </row>
    <row r="194" spans="1:16" x14ac:dyDescent="0.25">
      <c r="A194" s="7">
        <f t="shared" si="5"/>
        <v>185</v>
      </c>
      <c r="B194" s="111"/>
      <c r="C194" s="111"/>
      <c r="D194" s="93"/>
      <c r="E194" s="112"/>
      <c r="F194" s="112"/>
      <c r="G194" s="112"/>
      <c r="H194" s="112"/>
      <c r="I194" s="106"/>
      <c r="J194" s="106"/>
      <c r="K194" s="94"/>
      <c r="L194" s="95"/>
      <c r="M194" s="94"/>
      <c r="N194" s="94"/>
      <c r="O194" s="94"/>
      <c r="P194" s="94"/>
    </row>
    <row r="195" spans="1:16" x14ac:dyDescent="0.25">
      <c r="A195" s="7">
        <f t="shared" si="5"/>
        <v>186</v>
      </c>
      <c r="B195" s="111"/>
      <c r="C195" s="111"/>
      <c r="D195" s="93"/>
      <c r="E195" s="112"/>
      <c r="F195" s="112"/>
      <c r="G195" s="112"/>
      <c r="H195" s="112"/>
      <c r="I195" s="106"/>
      <c r="J195" s="106"/>
      <c r="K195" s="94"/>
      <c r="L195" s="95"/>
      <c r="M195" s="94"/>
      <c r="N195" s="94"/>
      <c r="O195" s="94"/>
      <c r="P195" s="94"/>
    </row>
    <row r="196" spans="1:16" x14ac:dyDescent="0.25">
      <c r="A196" s="7">
        <f t="shared" si="5"/>
        <v>187</v>
      </c>
      <c r="B196" s="111"/>
      <c r="C196" s="111"/>
      <c r="D196" s="93"/>
      <c r="E196" s="112"/>
      <c r="F196" s="112"/>
      <c r="G196" s="112"/>
      <c r="H196" s="112"/>
      <c r="I196" s="106"/>
      <c r="J196" s="106"/>
      <c r="K196" s="94"/>
      <c r="L196" s="95"/>
      <c r="M196" s="94"/>
      <c r="N196" s="94"/>
      <c r="O196" s="94"/>
      <c r="P196" s="94"/>
    </row>
    <row r="197" spans="1:16" x14ac:dyDescent="0.25">
      <c r="A197" s="7">
        <f t="shared" si="5"/>
        <v>188</v>
      </c>
      <c r="B197" s="111"/>
      <c r="C197" s="111"/>
      <c r="D197" s="93"/>
      <c r="E197" s="112"/>
      <c r="F197" s="112"/>
      <c r="G197" s="112"/>
      <c r="H197" s="112"/>
      <c r="I197" s="106"/>
      <c r="J197" s="106"/>
      <c r="K197" s="94"/>
      <c r="L197" s="95"/>
      <c r="M197" s="94"/>
      <c r="N197" s="94"/>
      <c r="O197" s="94"/>
      <c r="P197" s="94"/>
    </row>
    <row r="198" spans="1:16" x14ac:dyDescent="0.25">
      <c r="A198" s="7">
        <f t="shared" si="5"/>
        <v>189</v>
      </c>
      <c r="B198" s="111"/>
      <c r="C198" s="111"/>
      <c r="D198" s="93"/>
      <c r="E198" s="112"/>
      <c r="F198" s="112"/>
      <c r="G198" s="112"/>
      <c r="H198" s="112"/>
      <c r="I198" s="106"/>
      <c r="J198" s="106"/>
      <c r="K198" s="94"/>
      <c r="L198" s="95"/>
      <c r="M198" s="94"/>
      <c r="N198" s="94"/>
      <c r="O198" s="94"/>
      <c r="P198" s="94"/>
    </row>
    <row r="199" spans="1:16" x14ac:dyDescent="0.25">
      <c r="A199" s="7">
        <f t="shared" si="5"/>
        <v>190</v>
      </c>
      <c r="B199" s="111"/>
      <c r="C199" s="111"/>
      <c r="D199" s="93"/>
      <c r="E199" s="112"/>
      <c r="F199" s="112"/>
      <c r="G199" s="112"/>
      <c r="H199" s="112"/>
      <c r="I199" s="106"/>
      <c r="J199" s="106"/>
      <c r="K199" s="94"/>
      <c r="L199" s="95"/>
      <c r="M199" s="94"/>
      <c r="N199" s="94"/>
      <c r="O199" s="94"/>
      <c r="P199" s="94"/>
    </row>
    <row r="200" spans="1:16" x14ac:dyDescent="0.25">
      <c r="A200" s="7">
        <f t="shared" si="5"/>
        <v>191</v>
      </c>
      <c r="B200" s="111"/>
      <c r="C200" s="111"/>
      <c r="D200" s="93"/>
      <c r="E200" s="112"/>
      <c r="F200" s="112"/>
      <c r="G200" s="112"/>
      <c r="H200" s="112"/>
      <c r="I200" s="106"/>
      <c r="J200" s="106"/>
      <c r="K200" s="94"/>
      <c r="L200" s="95"/>
      <c r="M200" s="94"/>
      <c r="N200" s="94"/>
      <c r="O200" s="94"/>
      <c r="P200" s="94"/>
    </row>
    <row r="201" spans="1:16" x14ac:dyDescent="0.25">
      <c r="A201" s="7">
        <f t="shared" si="5"/>
        <v>192</v>
      </c>
      <c r="B201" s="111"/>
      <c r="C201" s="111"/>
      <c r="D201" s="93"/>
      <c r="E201" s="112"/>
      <c r="F201" s="112"/>
      <c r="G201" s="112"/>
      <c r="H201" s="112"/>
      <c r="I201" s="106"/>
      <c r="J201" s="106"/>
      <c r="K201" s="94"/>
      <c r="L201" s="95"/>
      <c r="M201" s="94"/>
      <c r="N201" s="94"/>
      <c r="O201" s="94"/>
      <c r="P201" s="94"/>
    </row>
    <row r="202" spans="1:16" x14ac:dyDescent="0.25">
      <c r="A202" s="7">
        <f t="shared" si="5"/>
        <v>193</v>
      </c>
      <c r="B202" s="111"/>
      <c r="C202" s="111"/>
      <c r="D202" s="93"/>
      <c r="E202" s="112"/>
      <c r="F202" s="112"/>
      <c r="G202" s="112"/>
      <c r="H202" s="112"/>
      <c r="I202" s="106"/>
      <c r="J202" s="106"/>
      <c r="K202" s="94"/>
      <c r="L202" s="95"/>
      <c r="M202" s="94"/>
      <c r="N202" s="94"/>
      <c r="O202" s="94"/>
      <c r="P202" s="94"/>
    </row>
    <row r="203" spans="1:16" x14ac:dyDescent="0.25">
      <c r="A203" s="7">
        <f t="shared" si="5"/>
        <v>194</v>
      </c>
      <c r="B203" s="111"/>
      <c r="C203" s="111"/>
      <c r="D203" s="93"/>
      <c r="E203" s="112"/>
      <c r="F203" s="112"/>
      <c r="G203" s="112"/>
      <c r="H203" s="112"/>
      <c r="I203" s="106"/>
      <c r="J203" s="106"/>
      <c r="K203" s="94"/>
      <c r="L203" s="95"/>
      <c r="M203" s="94"/>
      <c r="N203" s="94"/>
      <c r="O203" s="94"/>
      <c r="P203" s="94"/>
    </row>
    <row r="204" spans="1:16" x14ac:dyDescent="0.25">
      <c r="A204" s="7">
        <f t="shared" ref="A204:A209" si="6">+A203+1</f>
        <v>195</v>
      </c>
      <c r="B204" s="111"/>
      <c r="C204" s="111"/>
      <c r="D204" s="93"/>
      <c r="E204" s="112"/>
      <c r="F204" s="112"/>
      <c r="G204" s="112"/>
      <c r="H204" s="112"/>
      <c r="I204" s="106"/>
      <c r="J204" s="106"/>
      <c r="K204" s="94"/>
      <c r="L204" s="95"/>
      <c r="M204" s="94"/>
      <c r="N204" s="94"/>
      <c r="O204" s="94"/>
      <c r="P204" s="94"/>
    </row>
    <row r="205" spans="1:16" x14ac:dyDescent="0.25">
      <c r="A205" s="7">
        <f t="shared" si="6"/>
        <v>196</v>
      </c>
      <c r="B205" s="111"/>
      <c r="C205" s="111"/>
      <c r="D205" s="93"/>
      <c r="E205" s="112"/>
      <c r="F205" s="112"/>
      <c r="G205" s="112"/>
      <c r="H205" s="112"/>
      <c r="I205" s="106"/>
      <c r="J205" s="106"/>
      <c r="K205" s="94"/>
      <c r="L205" s="95"/>
      <c r="M205" s="94"/>
      <c r="N205" s="94"/>
      <c r="O205" s="94"/>
      <c r="P205" s="94"/>
    </row>
    <row r="206" spans="1:16" x14ac:dyDescent="0.25">
      <c r="A206" s="7">
        <f t="shared" si="6"/>
        <v>197</v>
      </c>
      <c r="B206" s="111"/>
      <c r="C206" s="111"/>
      <c r="D206" s="93"/>
      <c r="E206" s="112"/>
      <c r="F206" s="112"/>
      <c r="G206" s="112"/>
      <c r="H206" s="112"/>
      <c r="I206" s="106"/>
      <c r="J206" s="106"/>
      <c r="K206" s="94"/>
      <c r="L206" s="95"/>
      <c r="M206" s="94"/>
      <c r="N206" s="94"/>
      <c r="O206" s="94"/>
      <c r="P206" s="94"/>
    </row>
    <row r="207" spans="1:16" x14ac:dyDescent="0.25">
      <c r="A207" s="7">
        <f t="shared" si="6"/>
        <v>198</v>
      </c>
      <c r="B207" s="111"/>
      <c r="C207" s="111"/>
      <c r="D207" s="93"/>
      <c r="E207" s="112"/>
      <c r="F207" s="112"/>
      <c r="G207" s="112"/>
      <c r="H207" s="112"/>
      <c r="I207" s="106"/>
      <c r="J207" s="106"/>
      <c r="K207" s="94"/>
      <c r="L207" s="95"/>
      <c r="M207" s="94"/>
      <c r="N207" s="94"/>
      <c r="O207" s="94"/>
      <c r="P207" s="94"/>
    </row>
    <row r="208" spans="1:16" x14ac:dyDescent="0.25">
      <c r="A208" s="7">
        <f t="shared" si="6"/>
        <v>199</v>
      </c>
      <c r="B208" s="111"/>
      <c r="C208" s="111"/>
      <c r="D208" s="93"/>
      <c r="E208" s="112"/>
      <c r="F208" s="112"/>
      <c r="G208" s="112"/>
      <c r="H208" s="112"/>
      <c r="I208" s="106"/>
      <c r="J208" s="106"/>
      <c r="K208" s="94"/>
      <c r="L208" s="95"/>
      <c r="M208" s="94"/>
      <c r="N208" s="94"/>
      <c r="O208" s="94"/>
      <c r="P208" s="94"/>
    </row>
    <row r="209" spans="1:16" x14ac:dyDescent="0.25">
      <c r="A209" s="7">
        <f t="shared" si="6"/>
        <v>200</v>
      </c>
      <c r="B209" s="111"/>
      <c r="C209" s="111"/>
      <c r="D209" s="93"/>
      <c r="E209" s="112"/>
      <c r="F209" s="112"/>
      <c r="G209" s="112"/>
      <c r="H209" s="112"/>
      <c r="I209" s="106"/>
      <c r="J209" s="106"/>
      <c r="K209" s="94"/>
      <c r="L209" s="95"/>
      <c r="M209" s="94"/>
      <c r="N209" s="94"/>
      <c r="O209" s="94"/>
      <c r="P209" s="94"/>
    </row>
    <row r="222" spans="1:16" x14ac:dyDescent="0.25">
      <c r="E222" s="9">
        <f>SUM(E16:E209)</f>
        <v>0</v>
      </c>
    </row>
  </sheetData>
  <sheetProtection sheet="1" objects="1" scenarios="1" selectLockedCells="1"/>
  <sortState xmlns:xlrd2="http://schemas.microsoft.com/office/spreadsheetml/2017/richdata2" ref="B10:P24">
    <sortCondition descending="1" ref="E10"/>
    <sortCondition descending="1" ref="F10"/>
    <sortCondition descending="1" ref="G10"/>
    <sortCondition descending="1" ref="H10"/>
  </sortState>
  <mergeCells count="4">
    <mergeCell ref="A1:B1"/>
    <mergeCell ref="C4:D4"/>
    <mergeCell ref="C3:D3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MainResults">
              <controlPr defaultSize="0" print="0" autoFill="0" autoPict="0" macro="[0]!SortMainResults_Click">
                <anchor moveWithCells="1" sizeWithCells="1">
                  <from>
                    <xdr:col>4</xdr:col>
                    <xdr:colOff>438150</xdr:colOff>
                    <xdr:row>1</xdr:row>
                    <xdr:rowOff>85725</xdr:rowOff>
                  </from>
                  <to>
                    <xdr:col>7</xdr:col>
                    <xdr:colOff>9525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PoolPayoutSheets">
                <anchor moveWithCells="1" sizeWithCells="1">
                  <from>
                    <xdr:col>5</xdr:col>
                    <xdr:colOff>0</xdr:colOff>
                    <xdr:row>4</xdr:row>
                    <xdr:rowOff>171450</xdr:rowOff>
                  </from>
                  <to>
                    <xdr:col>7</xdr:col>
                    <xdr:colOff>19050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S30"/>
  <sheetViews>
    <sheetView workbookViewId="0">
      <selection activeCell="B5" sqref="B5"/>
    </sheetView>
  </sheetViews>
  <sheetFormatPr defaultRowHeight="21" x14ac:dyDescent="0.35"/>
  <cols>
    <col min="1" max="1" width="7.140625" style="44" customWidth="1"/>
    <col min="2" max="2" width="30.140625" style="43" customWidth="1"/>
    <col min="3" max="3" width="25.85546875" style="43" customWidth="1"/>
    <col min="4" max="4" width="13.85546875" style="44" customWidth="1"/>
    <col min="5" max="5" width="11.7109375" style="44" customWidth="1"/>
  </cols>
  <sheetData>
    <row r="1" spans="1:18" x14ac:dyDescent="0.35">
      <c r="A1" s="49" t="s">
        <v>8</v>
      </c>
      <c r="B1" s="42"/>
      <c r="C1" s="89"/>
      <c r="G1" s="8"/>
    </row>
    <row r="2" spans="1:18" x14ac:dyDescent="0.35">
      <c r="A2" s="78"/>
      <c r="B2" s="43" t="s">
        <v>7</v>
      </c>
      <c r="C2" s="45" t="s">
        <v>6</v>
      </c>
      <c r="D2" s="46"/>
      <c r="H2" s="100"/>
    </row>
    <row r="3" spans="1:18" x14ac:dyDescent="0.35">
      <c r="C3" s="45" t="s">
        <v>12</v>
      </c>
      <c r="D3" s="46"/>
      <c r="H3" s="96"/>
    </row>
    <row r="5" spans="1:18" x14ac:dyDescent="0.35">
      <c r="B5" s="79" t="s">
        <v>0</v>
      </c>
      <c r="C5" s="80" t="s">
        <v>1</v>
      </c>
      <c r="D5" s="81" t="s">
        <v>2</v>
      </c>
      <c r="E5" s="81" t="s">
        <v>9</v>
      </c>
    </row>
    <row r="6" spans="1:18" x14ac:dyDescent="0.35">
      <c r="A6" s="48" t="str">
        <f>IF(FMRPool1FirstName&lt;&gt;"",1,"")</f>
        <v/>
      </c>
      <c r="B6" s="139"/>
      <c r="C6" s="140"/>
      <c r="D6" s="141"/>
      <c r="E6" s="70"/>
    </row>
    <row r="7" spans="1:18" x14ac:dyDescent="0.35">
      <c r="A7" s="48" t="str">
        <f>IF(B7&lt;&gt;"",A6+1,"")</f>
        <v/>
      </c>
      <c r="B7" s="139"/>
      <c r="C7" s="139"/>
      <c r="D7" s="142"/>
      <c r="E7" s="70"/>
    </row>
    <row r="8" spans="1:18" x14ac:dyDescent="0.35">
      <c r="A8" s="48" t="str">
        <f t="shared" ref="A8:A30" si="0">IF(B8&lt;&gt;"",A7+1,"")</f>
        <v/>
      </c>
      <c r="B8" s="140"/>
      <c r="C8" s="140"/>
      <c r="D8" s="141"/>
      <c r="E8" s="70"/>
    </row>
    <row r="9" spans="1:18" x14ac:dyDescent="0.35">
      <c r="A9" s="48" t="str">
        <f t="shared" si="0"/>
        <v/>
      </c>
      <c r="B9" s="139"/>
      <c r="C9" s="139"/>
      <c r="D9" s="141"/>
      <c r="E9" s="70"/>
    </row>
    <row r="10" spans="1:18" x14ac:dyDescent="0.35">
      <c r="A10" s="48" t="str">
        <f t="shared" si="0"/>
        <v/>
      </c>
      <c r="B10" s="140"/>
      <c r="C10" s="139"/>
      <c r="D10" s="141"/>
      <c r="E10" s="70"/>
    </row>
    <row r="11" spans="1:18" x14ac:dyDescent="0.35">
      <c r="A11" s="48" t="str">
        <f t="shared" si="0"/>
        <v/>
      </c>
      <c r="B11" s="140"/>
      <c r="C11" s="139"/>
      <c r="D11" s="142"/>
      <c r="E11" s="70"/>
      <c r="Q11" s="82"/>
      <c r="R11" s="82"/>
    </row>
    <row r="12" spans="1:18" x14ac:dyDescent="0.35">
      <c r="A12" s="48" t="str">
        <f t="shared" si="0"/>
        <v/>
      </c>
      <c r="B12" s="68"/>
      <c r="C12" s="68"/>
      <c r="D12" s="69"/>
      <c r="E12" s="70"/>
      <c r="Q12" s="82"/>
    </row>
    <row r="13" spans="1:18" x14ac:dyDescent="0.35">
      <c r="A13" s="48" t="str">
        <f t="shared" si="0"/>
        <v/>
      </c>
      <c r="B13" s="71"/>
      <c r="C13" s="71"/>
      <c r="D13" s="72"/>
      <c r="E13" s="73"/>
    </row>
    <row r="14" spans="1:18" x14ac:dyDescent="0.35">
      <c r="A14" s="48" t="str">
        <f t="shared" si="0"/>
        <v/>
      </c>
      <c r="B14" s="68"/>
      <c r="C14" s="68"/>
      <c r="D14" s="69"/>
      <c r="E14" s="70"/>
      <c r="Q14" s="82"/>
      <c r="R14" s="82"/>
    </row>
    <row r="15" spans="1:18" x14ac:dyDescent="0.35">
      <c r="A15" s="48" t="str">
        <f t="shared" si="0"/>
        <v/>
      </c>
      <c r="B15" s="71"/>
      <c r="C15" s="71"/>
      <c r="D15" s="72"/>
      <c r="E15" s="73"/>
      <c r="Q15" s="82"/>
      <c r="R15" s="82"/>
    </row>
    <row r="16" spans="1:18" x14ac:dyDescent="0.35">
      <c r="A16" s="48" t="str">
        <f t="shared" si="0"/>
        <v/>
      </c>
      <c r="B16" s="74"/>
      <c r="C16" s="74"/>
      <c r="D16" s="75"/>
      <c r="E16" s="73"/>
      <c r="Q16" s="82"/>
      <c r="R16" s="82"/>
    </row>
    <row r="17" spans="1:19" x14ac:dyDescent="0.35">
      <c r="A17" s="48" t="str">
        <f t="shared" si="0"/>
        <v/>
      </c>
      <c r="B17" s="74"/>
      <c r="C17" s="76"/>
      <c r="D17" s="77"/>
      <c r="E17" s="70"/>
      <c r="Q17" s="82"/>
      <c r="R17" s="82"/>
    </row>
    <row r="18" spans="1:19" x14ac:dyDescent="0.35">
      <c r="A18" s="48" t="str">
        <f t="shared" si="0"/>
        <v/>
      </c>
      <c r="B18" s="76"/>
      <c r="C18" s="76"/>
      <c r="D18" s="77"/>
      <c r="E18" s="70"/>
    </row>
    <row r="19" spans="1:19" x14ac:dyDescent="0.35">
      <c r="A19" s="48" t="str">
        <f t="shared" si="0"/>
        <v/>
      </c>
      <c r="B19" s="76"/>
      <c r="C19" s="76"/>
      <c r="D19" s="77"/>
      <c r="E19" s="70"/>
    </row>
    <row r="20" spans="1:19" x14ac:dyDescent="0.35">
      <c r="A20" s="48" t="str">
        <f t="shared" si="0"/>
        <v/>
      </c>
      <c r="B20" s="76"/>
      <c r="C20" s="76"/>
      <c r="D20" s="77"/>
      <c r="E20" s="70"/>
    </row>
    <row r="21" spans="1:19" x14ac:dyDescent="0.35">
      <c r="A21" s="48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48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48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48" t="str">
        <f t="shared" si="0"/>
        <v/>
      </c>
      <c r="B24" s="76"/>
      <c r="C24" s="76"/>
      <c r="D24" s="77"/>
      <c r="E24" s="70"/>
    </row>
    <row r="25" spans="1:19" x14ac:dyDescent="0.35">
      <c r="A25" s="48" t="str">
        <f t="shared" si="0"/>
        <v/>
      </c>
      <c r="B25" s="76"/>
      <c r="C25" s="76"/>
      <c r="D25" s="77"/>
      <c r="E25" s="70"/>
    </row>
    <row r="26" spans="1:19" x14ac:dyDescent="0.35">
      <c r="A26" s="48" t="str">
        <f t="shared" si="0"/>
        <v/>
      </c>
      <c r="B26" s="76"/>
      <c r="C26" s="76"/>
      <c r="D26" s="77"/>
      <c r="E26" s="70"/>
    </row>
    <row r="27" spans="1:19" x14ac:dyDescent="0.35">
      <c r="A27" s="48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48" t="str">
        <f t="shared" si="0"/>
        <v/>
      </c>
      <c r="B28" s="76"/>
      <c r="C28" s="76"/>
      <c r="D28" s="77"/>
      <c r="E28" s="70"/>
    </row>
    <row r="29" spans="1:19" x14ac:dyDescent="0.35">
      <c r="A29" s="48" t="str">
        <f t="shared" si="0"/>
        <v/>
      </c>
      <c r="B29" s="76"/>
      <c r="C29" s="76"/>
      <c r="D29" s="77"/>
      <c r="E29" s="70"/>
    </row>
    <row r="30" spans="1:19" x14ac:dyDescent="0.35">
      <c r="A30" s="48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S30"/>
  <sheetViews>
    <sheetView workbookViewId="0">
      <selection activeCell="E6" sqref="E6:E11"/>
    </sheetView>
  </sheetViews>
  <sheetFormatPr defaultRowHeight="21" x14ac:dyDescent="0.35"/>
  <cols>
    <col min="1" max="1" width="6.7109375" style="44" customWidth="1"/>
    <col min="2" max="2" width="30.28515625" style="43" customWidth="1"/>
    <col min="3" max="3" width="24.5703125" style="43" customWidth="1"/>
    <col min="4" max="4" width="14.42578125" style="44" customWidth="1"/>
    <col min="5" max="5" width="11.7109375" style="78" customWidth="1"/>
  </cols>
  <sheetData>
    <row r="1" spans="1:18" x14ac:dyDescent="0.35">
      <c r="A1" s="49" t="s">
        <v>10</v>
      </c>
      <c r="B1" s="42"/>
      <c r="C1" s="89"/>
      <c r="G1" s="8"/>
    </row>
    <row r="2" spans="1:18" x14ac:dyDescent="0.35">
      <c r="A2" s="78"/>
      <c r="B2" s="43" t="s">
        <v>7</v>
      </c>
      <c r="C2" s="45" t="s">
        <v>6</v>
      </c>
      <c r="D2" s="46"/>
      <c r="H2" s="82"/>
    </row>
    <row r="3" spans="1:18" x14ac:dyDescent="0.35">
      <c r="C3" s="45" t="s">
        <v>12</v>
      </c>
      <c r="D3" s="46"/>
      <c r="H3" s="82"/>
    </row>
    <row r="5" spans="1:18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18" ht="23.25" x14ac:dyDescent="0.35">
      <c r="A6" s="48" t="str">
        <f>IF(FMRPool2FirstName&gt;"",1,"")</f>
        <v/>
      </c>
      <c r="B6" s="156"/>
      <c r="C6" s="157"/>
      <c r="D6" s="158"/>
      <c r="E6" s="165"/>
    </row>
    <row r="7" spans="1:18" ht="23.25" x14ac:dyDescent="0.35">
      <c r="A7" s="50" t="str">
        <f>IF(B7&lt;&gt;"",A6+1,"")</f>
        <v/>
      </c>
      <c r="B7" s="156"/>
      <c r="C7" s="156"/>
      <c r="D7" s="159"/>
      <c r="E7" s="165"/>
    </row>
    <row r="8" spans="1:18" ht="23.25" x14ac:dyDescent="0.35">
      <c r="A8" s="50" t="str">
        <f t="shared" ref="A8:A30" si="0">IF(B8&lt;&gt;"",A7+1,"")</f>
        <v/>
      </c>
      <c r="B8" s="157"/>
      <c r="C8" s="157"/>
      <c r="D8" s="158"/>
      <c r="E8" s="165"/>
    </row>
    <row r="9" spans="1:18" ht="23.25" x14ac:dyDescent="0.35">
      <c r="A9" s="50" t="str">
        <f t="shared" si="0"/>
        <v/>
      </c>
      <c r="B9" s="156"/>
      <c r="C9" s="156"/>
      <c r="D9" s="158"/>
      <c r="E9" s="165"/>
    </row>
    <row r="10" spans="1:18" ht="23.25" x14ac:dyDescent="0.35">
      <c r="A10" s="50" t="str">
        <f t="shared" si="0"/>
        <v/>
      </c>
      <c r="B10" s="160"/>
      <c r="C10" s="160"/>
      <c r="D10" s="161"/>
      <c r="E10" s="165"/>
    </row>
    <row r="11" spans="1:18" ht="23.25" x14ac:dyDescent="0.35">
      <c r="A11" s="50" t="str">
        <f t="shared" si="0"/>
        <v/>
      </c>
      <c r="B11" s="160"/>
      <c r="C11" s="160"/>
      <c r="D11" s="161"/>
      <c r="E11" s="162"/>
      <c r="Q11" s="82"/>
      <c r="R11" s="82"/>
    </row>
    <row r="12" spans="1:18" x14ac:dyDescent="0.35">
      <c r="A12" s="50" t="str">
        <f t="shared" si="0"/>
        <v/>
      </c>
      <c r="B12" s="71"/>
      <c r="C12" s="71"/>
      <c r="D12" s="72"/>
      <c r="E12" s="73"/>
      <c r="Q12" s="82"/>
    </row>
    <row r="13" spans="1:18" x14ac:dyDescent="0.35">
      <c r="A13" s="50" t="str">
        <f t="shared" si="0"/>
        <v/>
      </c>
      <c r="B13" s="68"/>
      <c r="C13" s="68"/>
      <c r="D13" s="69"/>
      <c r="E13" s="70"/>
    </row>
    <row r="14" spans="1:18" x14ac:dyDescent="0.35">
      <c r="A14" s="50" t="str">
        <f t="shared" si="0"/>
        <v/>
      </c>
      <c r="B14" s="68"/>
      <c r="C14" s="68"/>
      <c r="D14" s="69"/>
      <c r="E14" s="70"/>
      <c r="Q14" s="82"/>
      <c r="R14" s="82"/>
    </row>
    <row r="15" spans="1:18" x14ac:dyDescent="0.35">
      <c r="A15" s="50" t="str">
        <f t="shared" si="0"/>
        <v/>
      </c>
      <c r="B15" s="71"/>
      <c r="C15" s="71"/>
      <c r="D15" s="72"/>
      <c r="E15" s="73"/>
      <c r="Q15" s="82"/>
      <c r="R15" s="82"/>
    </row>
    <row r="16" spans="1:18" x14ac:dyDescent="0.35">
      <c r="A16" s="50" t="str">
        <f t="shared" si="0"/>
        <v/>
      </c>
      <c r="B16" s="74"/>
      <c r="C16" s="74"/>
      <c r="D16" s="75"/>
      <c r="E16" s="73"/>
      <c r="Q16" s="82"/>
      <c r="R16" s="82"/>
    </row>
    <row r="17" spans="1:19" x14ac:dyDescent="0.35">
      <c r="A17" s="50" t="str">
        <f t="shared" si="0"/>
        <v/>
      </c>
      <c r="B17" s="76"/>
      <c r="C17" s="76"/>
      <c r="D17" s="77"/>
      <c r="E17" s="70"/>
      <c r="Q17" s="82"/>
      <c r="R17" s="82"/>
    </row>
    <row r="18" spans="1:19" x14ac:dyDescent="0.35">
      <c r="A18" s="50" t="str">
        <f t="shared" si="0"/>
        <v/>
      </c>
      <c r="B18" s="76"/>
      <c r="C18" s="76"/>
      <c r="D18" s="77"/>
      <c r="E18" s="70"/>
    </row>
    <row r="19" spans="1:19" x14ac:dyDescent="0.35">
      <c r="A19" s="50" t="str">
        <f t="shared" si="0"/>
        <v/>
      </c>
      <c r="B19" s="76"/>
      <c r="C19" s="76"/>
      <c r="D19" s="77"/>
      <c r="E19" s="70"/>
    </row>
    <row r="20" spans="1:19" x14ac:dyDescent="0.35">
      <c r="A20" s="50" t="str">
        <f t="shared" si="0"/>
        <v/>
      </c>
      <c r="B20" s="76"/>
      <c r="C20" s="76"/>
      <c r="D20" s="77"/>
      <c r="E20" s="70"/>
    </row>
    <row r="21" spans="1:19" x14ac:dyDescent="0.35">
      <c r="A21" s="50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50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50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50" t="str">
        <f t="shared" si="0"/>
        <v/>
      </c>
      <c r="B24" s="76"/>
      <c r="C24" s="76"/>
      <c r="D24" s="77"/>
      <c r="E24" s="70"/>
    </row>
    <row r="25" spans="1:19" x14ac:dyDescent="0.35">
      <c r="A25" s="50" t="str">
        <f t="shared" si="0"/>
        <v/>
      </c>
      <c r="B25" s="76"/>
      <c r="C25" s="76"/>
      <c r="D25" s="77"/>
      <c r="E25" s="70"/>
    </row>
    <row r="26" spans="1:19" x14ac:dyDescent="0.35">
      <c r="A26" s="50" t="str">
        <f t="shared" si="0"/>
        <v/>
      </c>
      <c r="B26" s="76"/>
      <c r="C26" s="76"/>
      <c r="D26" s="77"/>
      <c r="E26" s="70"/>
    </row>
    <row r="27" spans="1:19" x14ac:dyDescent="0.35">
      <c r="A27" s="50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50" t="str">
        <f t="shared" si="0"/>
        <v/>
      </c>
      <c r="B28" s="76"/>
      <c r="C28" s="76"/>
      <c r="D28" s="77"/>
      <c r="E28" s="70"/>
    </row>
    <row r="29" spans="1:19" x14ac:dyDescent="0.35">
      <c r="A29" s="50" t="str">
        <f t="shared" si="0"/>
        <v/>
      </c>
      <c r="B29" s="76"/>
      <c r="C29" s="76"/>
      <c r="D29" s="77"/>
      <c r="E29" s="70"/>
    </row>
    <row r="30" spans="1:19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G30"/>
  <sheetViews>
    <sheetView workbookViewId="0">
      <selection activeCell="E6" sqref="E6:E11"/>
    </sheetView>
  </sheetViews>
  <sheetFormatPr defaultRowHeight="21" x14ac:dyDescent="0.35"/>
  <cols>
    <col min="1" max="1" width="6.5703125" style="44" customWidth="1"/>
    <col min="2" max="2" width="29" style="43" customWidth="1"/>
    <col min="3" max="3" width="28" style="43" customWidth="1"/>
    <col min="4" max="4" width="13.85546875" style="44" customWidth="1"/>
    <col min="5" max="5" width="11.7109375" style="78" customWidth="1"/>
  </cols>
  <sheetData>
    <row r="1" spans="1:7" x14ac:dyDescent="0.35">
      <c r="A1" s="49" t="s">
        <v>11</v>
      </c>
      <c r="B1" s="42"/>
      <c r="C1" s="89"/>
      <c r="G1" s="8"/>
    </row>
    <row r="2" spans="1:7" x14ac:dyDescent="0.35">
      <c r="A2" s="78"/>
      <c r="B2" s="43" t="s">
        <v>7</v>
      </c>
      <c r="C2" s="45" t="s">
        <v>6</v>
      </c>
      <c r="D2" s="46"/>
      <c r="F2" s="30" t="s">
        <v>11</v>
      </c>
    </row>
    <row r="3" spans="1:7" x14ac:dyDescent="0.35">
      <c r="A3" s="47"/>
      <c r="C3" s="45" t="s">
        <v>12</v>
      </c>
      <c r="D3" s="46"/>
    </row>
    <row r="5" spans="1:7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7" ht="21" customHeight="1" x14ac:dyDescent="0.35">
      <c r="A6" s="48" t="str">
        <f>IF(FMRPool3FirstName&lt;&gt;"",1,"")</f>
        <v/>
      </c>
      <c r="B6" s="156"/>
      <c r="C6" s="157"/>
      <c r="D6" s="158"/>
      <c r="E6" s="165"/>
    </row>
    <row r="7" spans="1:7" ht="21" customHeight="1" x14ac:dyDescent="0.35">
      <c r="A7" s="50" t="str">
        <f>IF(B7&lt;&gt;"",A6+1,"")</f>
        <v/>
      </c>
      <c r="B7" s="156"/>
      <c r="C7" s="156"/>
      <c r="D7" s="159"/>
      <c r="E7" s="165"/>
    </row>
    <row r="8" spans="1:7" ht="21" customHeight="1" x14ac:dyDescent="0.35">
      <c r="A8" s="50" t="str">
        <f t="shared" ref="A8:A30" si="0">IF(B8&lt;&gt;"",A7+1,"")</f>
        <v/>
      </c>
      <c r="B8" s="157"/>
      <c r="C8" s="157"/>
      <c r="D8" s="158"/>
      <c r="E8" s="165"/>
    </row>
    <row r="9" spans="1:7" ht="21" customHeight="1" x14ac:dyDescent="0.35">
      <c r="A9" s="50" t="str">
        <f t="shared" si="0"/>
        <v/>
      </c>
      <c r="B9" s="160"/>
      <c r="C9" s="160"/>
      <c r="D9" s="161"/>
      <c r="E9" s="162"/>
    </row>
    <row r="10" spans="1:7" ht="23.25" x14ac:dyDescent="0.35">
      <c r="A10" s="50" t="str">
        <f t="shared" si="0"/>
        <v/>
      </c>
      <c r="B10" s="160"/>
      <c r="C10" s="160"/>
      <c r="D10" s="161"/>
      <c r="E10" s="162"/>
    </row>
    <row r="11" spans="1:7" ht="23.25" x14ac:dyDescent="0.35">
      <c r="A11" s="50" t="str">
        <f t="shared" si="0"/>
        <v/>
      </c>
      <c r="B11" s="160"/>
      <c r="C11" s="160"/>
      <c r="D11" s="161"/>
      <c r="E11" s="162"/>
    </row>
    <row r="12" spans="1:7" x14ac:dyDescent="0.35">
      <c r="A12" s="50" t="str">
        <f t="shared" si="0"/>
        <v/>
      </c>
      <c r="B12" s="68"/>
      <c r="C12" s="68"/>
      <c r="D12" s="69"/>
      <c r="E12" s="70"/>
    </row>
    <row r="13" spans="1:7" x14ac:dyDescent="0.35">
      <c r="A13" s="50" t="str">
        <f t="shared" si="0"/>
        <v/>
      </c>
      <c r="B13" s="71"/>
      <c r="C13" s="71"/>
      <c r="D13" s="72"/>
      <c r="E13" s="73"/>
    </row>
    <row r="14" spans="1:7" x14ac:dyDescent="0.35">
      <c r="A14" s="50" t="str">
        <f t="shared" si="0"/>
        <v/>
      </c>
      <c r="B14" s="74"/>
      <c r="C14" s="74"/>
      <c r="D14" s="75"/>
      <c r="E14" s="73"/>
    </row>
    <row r="15" spans="1:7" x14ac:dyDescent="0.35">
      <c r="A15" s="50" t="str">
        <f t="shared" si="0"/>
        <v/>
      </c>
      <c r="B15" s="76"/>
      <c r="C15" s="76"/>
      <c r="D15" s="77"/>
      <c r="E15" s="70"/>
    </row>
    <row r="16" spans="1:7" x14ac:dyDescent="0.35">
      <c r="A16" s="50" t="str">
        <f t="shared" si="0"/>
        <v/>
      </c>
      <c r="B16" s="76"/>
      <c r="C16" s="76"/>
      <c r="D16" s="77"/>
      <c r="E16" s="70"/>
    </row>
    <row r="17" spans="1:5" x14ac:dyDescent="0.35">
      <c r="A17" s="50" t="str">
        <f t="shared" si="0"/>
        <v/>
      </c>
      <c r="B17" s="76"/>
      <c r="C17" s="76"/>
      <c r="D17" s="77"/>
      <c r="E17" s="70"/>
    </row>
    <row r="18" spans="1:5" x14ac:dyDescent="0.35">
      <c r="A18" s="50" t="str">
        <f t="shared" si="0"/>
        <v/>
      </c>
      <c r="B18" s="76"/>
      <c r="C18" s="76"/>
      <c r="D18" s="77"/>
      <c r="E18" s="70"/>
    </row>
    <row r="19" spans="1:5" x14ac:dyDescent="0.35">
      <c r="A19" s="50" t="str">
        <f t="shared" si="0"/>
        <v/>
      </c>
      <c r="B19" s="76"/>
      <c r="C19" s="76"/>
      <c r="D19" s="77"/>
      <c r="E19" s="70"/>
    </row>
    <row r="20" spans="1:5" x14ac:dyDescent="0.35">
      <c r="A20" s="50" t="str">
        <f t="shared" si="0"/>
        <v/>
      </c>
      <c r="B20" s="76"/>
      <c r="C20" s="76"/>
      <c r="D20" s="77"/>
      <c r="E20" s="70"/>
    </row>
    <row r="21" spans="1:5" x14ac:dyDescent="0.35">
      <c r="A21" s="50" t="str">
        <f t="shared" si="0"/>
        <v/>
      </c>
      <c r="B21" s="76"/>
      <c r="C21" s="76"/>
      <c r="D21" s="77"/>
      <c r="E21" s="70"/>
    </row>
    <row r="22" spans="1:5" x14ac:dyDescent="0.35">
      <c r="A22" s="50" t="str">
        <f t="shared" si="0"/>
        <v/>
      </c>
      <c r="B22" s="76"/>
      <c r="C22" s="76"/>
      <c r="D22" s="77"/>
      <c r="E22" s="70"/>
    </row>
    <row r="23" spans="1:5" x14ac:dyDescent="0.35">
      <c r="A23" s="50" t="str">
        <f t="shared" si="0"/>
        <v/>
      </c>
      <c r="B23" s="76"/>
      <c r="C23" s="76"/>
      <c r="D23" s="77"/>
      <c r="E23" s="70"/>
    </row>
    <row r="24" spans="1:5" x14ac:dyDescent="0.35">
      <c r="A24" s="50" t="str">
        <f t="shared" si="0"/>
        <v/>
      </c>
      <c r="B24" s="76"/>
      <c r="C24" s="76"/>
      <c r="D24" s="77"/>
      <c r="E24" s="70"/>
    </row>
    <row r="25" spans="1:5" x14ac:dyDescent="0.35">
      <c r="A25" s="50" t="str">
        <f t="shared" si="0"/>
        <v/>
      </c>
      <c r="B25" s="76"/>
      <c r="C25" s="76"/>
      <c r="D25" s="77"/>
      <c r="E25" s="70"/>
    </row>
    <row r="26" spans="1:5" x14ac:dyDescent="0.35">
      <c r="A26" s="50" t="str">
        <f t="shared" si="0"/>
        <v/>
      </c>
      <c r="B26" s="76"/>
      <c r="C26" s="76"/>
      <c r="D26" s="77"/>
      <c r="E26" s="70"/>
    </row>
    <row r="27" spans="1:5" x14ac:dyDescent="0.35">
      <c r="A27" s="50" t="str">
        <f t="shared" si="0"/>
        <v/>
      </c>
      <c r="B27" s="76"/>
      <c r="C27" s="76"/>
      <c r="D27" s="77"/>
      <c r="E27" s="70"/>
    </row>
    <row r="28" spans="1:5" x14ac:dyDescent="0.35">
      <c r="A28" s="50" t="str">
        <f t="shared" si="0"/>
        <v/>
      </c>
      <c r="B28" s="76"/>
      <c r="C28" s="76"/>
      <c r="D28" s="77"/>
      <c r="E28" s="70"/>
    </row>
    <row r="29" spans="1:5" x14ac:dyDescent="0.35">
      <c r="A29" s="50" t="str">
        <f t="shared" si="0"/>
        <v/>
      </c>
      <c r="B29" s="76"/>
      <c r="C29" s="76"/>
      <c r="D29" s="77"/>
      <c r="E29" s="70"/>
    </row>
    <row r="30" spans="1:5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L30"/>
  <sheetViews>
    <sheetView workbookViewId="0">
      <selection activeCell="E6" sqref="E6:E8"/>
    </sheetView>
  </sheetViews>
  <sheetFormatPr defaultRowHeight="21" x14ac:dyDescent="0.35"/>
  <cols>
    <col min="1" max="1" width="6" style="57" customWidth="1"/>
    <col min="2" max="2" width="30.7109375" style="43" customWidth="1"/>
    <col min="3" max="3" width="26.28515625" style="43" customWidth="1"/>
    <col min="4" max="4" width="13.85546875" style="43" customWidth="1"/>
    <col min="5" max="5" width="11.7109375" style="101" customWidth="1"/>
  </cols>
  <sheetData>
    <row r="1" spans="1:12" x14ac:dyDescent="0.35">
      <c r="A1" s="55" t="s">
        <v>44</v>
      </c>
      <c r="B1" s="42"/>
      <c r="C1" s="89"/>
      <c r="D1" s="44"/>
      <c r="G1" s="8"/>
    </row>
    <row r="2" spans="1:12" x14ac:dyDescent="0.35">
      <c r="A2" s="78"/>
      <c r="B2" s="43" t="s">
        <v>7</v>
      </c>
      <c r="C2" s="45" t="s">
        <v>6</v>
      </c>
      <c r="D2" s="46"/>
    </row>
    <row r="3" spans="1:12" x14ac:dyDescent="0.35">
      <c r="A3" s="56"/>
      <c r="C3" s="45" t="s">
        <v>12</v>
      </c>
      <c r="D3" s="46"/>
    </row>
    <row r="4" spans="1:12" x14ac:dyDescent="0.35">
      <c r="D4" s="44"/>
    </row>
    <row r="5" spans="1:12" x14ac:dyDescent="0.35">
      <c r="A5" s="58"/>
      <c r="B5" s="163" t="s">
        <v>0</v>
      </c>
      <c r="C5" s="118" t="s">
        <v>1</v>
      </c>
      <c r="D5" s="119" t="s">
        <v>2</v>
      </c>
      <c r="E5" s="120" t="s">
        <v>9</v>
      </c>
    </row>
    <row r="6" spans="1:12" ht="23.25" x14ac:dyDescent="0.35">
      <c r="A6" s="58" t="str">
        <f>IF(FMRPool4FirstName&lt;&gt;"",1,"")</f>
        <v/>
      </c>
      <c r="B6" s="156"/>
      <c r="C6" s="157"/>
      <c r="D6" s="158"/>
      <c r="E6" s="165"/>
    </row>
    <row r="7" spans="1:12" ht="23.25" x14ac:dyDescent="0.35">
      <c r="A7" s="59" t="str">
        <f>IF(B7&lt;&gt;"",A6+1,"")</f>
        <v/>
      </c>
      <c r="B7" s="156"/>
      <c r="C7" s="156"/>
      <c r="D7" s="159"/>
      <c r="E7" s="165"/>
    </row>
    <row r="8" spans="1:12" ht="23.25" x14ac:dyDescent="0.35">
      <c r="A8" s="59" t="str">
        <f t="shared" ref="A8:A30" si="0">IF(B8&lt;&gt;"",A7+1,"")</f>
        <v/>
      </c>
      <c r="B8" s="164"/>
      <c r="C8" s="164"/>
      <c r="D8" s="164"/>
      <c r="E8" s="162"/>
    </row>
    <row r="9" spans="1:12" x14ac:dyDescent="0.35">
      <c r="A9" s="59" t="str">
        <f t="shared" si="0"/>
        <v/>
      </c>
      <c r="B9" s="76"/>
      <c r="C9" s="76"/>
      <c r="D9" s="76"/>
      <c r="E9" s="70"/>
    </row>
    <row r="10" spans="1:12" x14ac:dyDescent="0.35">
      <c r="A10" s="59" t="str">
        <f t="shared" si="0"/>
        <v/>
      </c>
      <c r="B10" s="74"/>
      <c r="C10" s="74"/>
      <c r="D10" s="74"/>
      <c r="E10" s="73"/>
    </row>
    <row r="11" spans="1:12" x14ac:dyDescent="0.35">
      <c r="A11" s="59" t="str">
        <f t="shared" si="0"/>
        <v/>
      </c>
      <c r="B11" s="74"/>
      <c r="C11" s="74"/>
      <c r="D11" s="74"/>
      <c r="E11" s="73"/>
      <c r="L11" s="30"/>
    </row>
    <row r="12" spans="1:12" x14ac:dyDescent="0.35">
      <c r="A12" s="59" t="str">
        <f t="shared" si="0"/>
        <v/>
      </c>
      <c r="B12" s="76"/>
      <c r="C12" s="76"/>
      <c r="D12" s="76"/>
      <c r="E12" s="70"/>
    </row>
    <row r="13" spans="1:12" x14ac:dyDescent="0.35">
      <c r="A13" s="59" t="str">
        <f t="shared" si="0"/>
        <v/>
      </c>
      <c r="B13" s="76"/>
      <c r="C13" s="76"/>
      <c r="D13" s="76"/>
      <c r="E13" s="70"/>
    </row>
    <row r="14" spans="1:12" x14ac:dyDescent="0.35">
      <c r="A14" s="59" t="str">
        <f t="shared" si="0"/>
        <v/>
      </c>
      <c r="B14" s="76"/>
      <c r="C14" s="76"/>
      <c r="D14" s="76"/>
      <c r="E14" s="70"/>
    </row>
    <row r="15" spans="1:12" x14ac:dyDescent="0.35">
      <c r="A15" s="59" t="str">
        <f t="shared" si="0"/>
        <v/>
      </c>
      <c r="B15" s="76"/>
      <c r="C15" s="76"/>
      <c r="D15" s="76"/>
      <c r="E15" s="70"/>
    </row>
    <row r="16" spans="1:12" x14ac:dyDescent="0.35">
      <c r="A16" s="59" t="str">
        <f t="shared" si="0"/>
        <v/>
      </c>
      <c r="B16" s="76"/>
      <c r="C16" s="76"/>
      <c r="D16" s="76"/>
      <c r="E16" s="70"/>
    </row>
    <row r="17" spans="1:5" x14ac:dyDescent="0.35">
      <c r="A17" s="59" t="str">
        <f t="shared" si="0"/>
        <v/>
      </c>
      <c r="B17" s="74"/>
      <c r="C17" s="74"/>
      <c r="D17" s="74"/>
      <c r="E17" s="102"/>
    </row>
    <row r="18" spans="1:5" x14ac:dyDescent="0.35">
      <c r="A18" s="59" t="str">
        <f t="shared" si="0"/>
        <v/>
      </c>
      <c r="B18" s="76"/>
      <c r="C18" s="76"/>
      <c r="D18" s="76"/>
      <c r="E18" s="103"/>
    </row>
    <row r="19" spans="1:5" x14ac:dyDescent="0.35">
      <c r="A19" s="59" t="str">
        <f t="shared" si="0"/>
        <v/>
      </c>
      <c r="B19" s="76"/>
      <c r="C19" s="76"/>
      <c r="D19" s="76"/>
      <c r="E19" s="103"/>
    </row>
    <row r="20" spans="1:5" x14ac:dyDescent="0.35">
      <c r="A20" s="59" t="str">
        <f t="shared" si="0"/>
        <v/>
      </c>
      <c r="B20" s="76"/>
      <c r="C20" s="76"/>
      <c r="D20" s="76"/>
      <c r="E20" s="103"/>
    </row>
    <row r="21" spans="1:5" x14ac:dyDescent="0.35">
      <c r="A21" s="59" t="str">
        <f t="shared" si="0"/>
        <v/>
      </c>
      <c r="B21" s="76"/>
      <c r="C21" s="76"/>
      <c r="D21" s="76"/>
      <c r="E21" s="103"/>
    </row>
    <row r="22" spans="1:5" x14ac:dyDescent="0.35">
      <c r="A22" s="59" t="str">
        <f t="shared" si="0"/>
        <v/>
      </c>
      <c r="B22" s="76"/>
      <c r="C22" s="76"/>
      <c r="D22" s="76"/>
      <c r="E22" s="103"/>
    </row>
    <row r="23" spans="1:5" x14ac:dyDescent="0.35">
      <c r="A23" s="59" t="str">
        <f t="shared" si="0"/>
        <v/>
      </c>
      <c r="B23" s="76"/>
      <c r="C23" s="76"/>
      <c r="D23" s="76"/>
      <c r="E23" s="103"/>
    </row>
    <row r="24" spans="1:5" x14ac:dyDescent="0.35">
      <c r="A24" s="59" t="str">
        <f t="shared" si="0"/>
        <v/>
      </c>
      <c r="B24" s="76"/>
      <c r="C24" s="76"/>
      <c r="D24" s="76"/>
      <c r="E24" s="103"/>
    </row>
    <row r="25" spans="1:5" x14ac:dyDescent="0.35">
      <c r="A25" s="59" t="str">
        <f t="shared" si="0"/>
        <v/>
      </c>
      <c r="B25" s="76"/>
      <c r="C25" s="76"/>
      <c r="D25" s="76"/>
      <c r="E25" s="103"/>
    </row>
    <row r="26" spans="1:5" x14ac:dyDescent="0.35">
      <c r="A26" s="59" t="str">
        <f t="shared" si="0"/>
        <v/>
      </c>
      <c r="B26" s="76"/>
      <c r="C26" s="76"/>
      <c r="D26" s="76"/>
      <c r="E26" s="103"/>
    </row>
    <row r="27" spans="1:5" x14ac:dyDescent="0.35">
      <c r="A27" s="59" t="str">
        <f t="shared" si="0"/>
        <v/>
      </c>
      <c r="B27" s="76"/>
      <c r="C27" s="76"/>
      <c r="D27" s="76"/>
      <c r="E27" s="103"/>
    </row>
    <row r="28" spans="1:5" x14ac:dyDescent="0.35">
      <c r="A28" s="59" t="str">
        <f t="shared" si="0"/>
        <v/>
      </c>
      <c r="B28" s="76"/>
      <c r="C28" s="76"/>
      <c r="D28" s="76"/>
      <c r="E28" s="103"/>
    </row>
    <row r="29" spans="1:5" x14ac:dyDescent="0.35">
      <c r="A29" s="59" t="str">
        <f t="shared" si="0"/>
        <v/>
      </c>
      <c r="B29" s="76"/>
      <c r="C29" s="76"/>
      <c r="D29" s="76"/>
      <c r="E29" s="103"/>
    </row>
    <row r="30" spans="1:5" x14ac:dyDescent="0.35">
      <c r="A30" s="59" t="str">
        <f t="shared" si="0"/>
        <v/>
      </c>
      <c r="B30" s="76"/>
      <c r="C30" s="76"/>
      <c r="D30" s="76"/>
      <c r="E30" s="103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"/>
  <sheetViews>
    <sheetView workbookViewId="0">
      <selection activeCell="I29" sqref="I29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B9" sqref="B9"/>
    </sheetView>
  </sheetViews>
  <sheetFormatPr defaultRowHeight="18.75" x14ac:dyDescent="0.3"/>
  <cols>
    <col min="1" max="1" width="8.42578125" style="31" customWidth="1"/>
    <col min="2" max="2" width="28.5703125" style="31" customWidth="1"/>
    <col min="3" max="3" width="24.7109375" style="31" customWidth="1"/>
    <col min="4" max="4" width="12.7109375" style="31" customWidth="1"/>
    <col min="5" max="16384" width="9.140625" style="31"/>
  </cols>
  <sheetData>
    <row r="1" spans="1:6" ht="21" x14ac:dyDescent="0.35">
      <c r="A1" s="33" t="s">
        <v>30</v>
      </c>
      <c r="C1" s="89"/>
    </row>
    <row r="3" spans="1:6" ht="21" x14ac:dyDescent="0.35">
      <c r="A3" s="176">
        <f>+Entries!A2</f>
        <v>0</v>
      </c>
      <c r="B3" s="176"/>
      <c r="C3" s="176"/>
      <c r="D3" s="89"/>
    </row>
    <row r="4" spans="1:6" x14ac:dyDescent="0.3">
      <c r="A4" s="177"/>
      <c r="B4" s="177"/>
      <c r="C4" s="35"/>
    </row>
    <row r="5" spans="1:6" x14ac:dyDescent="0.3">
      <c r="A5" s="178"/>
      <c r="B5" s="176"/>
      <c r="C5" s="36" t="s">
        <v>28</v>
      </c>
    </row>
    <row r="6" spans="1:6" x14ac:dyDescent="0.3">
      <c r="A6" s="41"/>
      <c r="B6" s="36" t="s">
        <v>36</v>
      </c>
      <c r="C6" s="35"/>
    </row>
    <row r="7" spans="1:6" x14ac:dyDescent="0.3">
      <c r="A7" s="41">
        <f>+Entries!B10</f>
        <v>53</v>
      </c>
      <c r="B7" s="179" t="s">
        <v>34</v>
      </c>
      <c r="C7" s="179"/>
    </row>
    <row r="8" spans="1:6" x14ac:dyDescent="0.3">
      <c r="A8" s="41" t="e">
        <f>+Results!#REF!</f>
        <v>#REF!</v>
      </c>
      <c r="B8" s="61" t="s">
        <v>5</v>
      </c>
    </row>
    <row r="9" spans="1:6" x14ac:dyDescent="0.3">
      <c r="A9" s="34"/>
      <c r="B9" s="37" t="s">
        <v>0</v>
      </c>
      <c r="C9" s="37" t="s">
        <v>1</v>
      </c>
      <c r="D9" s="38" t="s">
        <v>2</v>
      </c>
      <c r="E9" s="40" t="s">
        <v>33</v>
      </c>
      <c r="F9" s="40" t="s">
        <v>32</v>
      </c>
    </row>
    <row r="10" spans="1:6" x14ac:dyDescent="0.3">
      <c r="A10" s="39">
        <v>1</v>
      </c>
      <c r="B10" s="65"/>
      <c r="C10" s="65"/>
      <c r="D10" s="64"/>
      <c r="E10" s="64"/>
      <c r="F10" s="64"/>
    </row>
    <row r="11" spans="1:6" x14ac:dyDescent="0.3">
      <c r="A11" s="39">
        <f>+A10+1</f>
        <v>2</v>
      </c>
      <c r="B11" s="65"/>
      <c r="C11" s="65"/>
      <c r="D11" s="64"/>
      <c r="E11" s="64"/>
      <c r="F11" s="64"/>
    </row>
    <row r="12" spans="1:6" x14ac:dyDescent="0.3">
      <c r="A12" s="39">
        <f t="shared" ref="A12:A41" si="0">+A11+1</f>
        <v>3</v>
      </c>
      <c r="B12" s="65"/>
      <c r="C12" s="65"/>
      <c r="D12" s="64"/>
      <c r="E12" s="64"/>
      <c r="F12" s="64"/>
    </row>
    <row r="13" spans="1:6" x14ac:dyDescent="0.3">
      <c r="A13" s="39">
        <f t="shared" si="0"/>
        <v>4</v>
      </c>
      <c r="B13" s="65"/>
      <c r="C13" s="65"/>
      <c r="D13" s="64"/>
      <c r="E13" s="64"/>
      <c r="F13" s="64"/>
    </row>
    <row r="14" spans="1:6" x14ac:dyDescent="0.3">
      <c r="A14" s="39">
        <f t="shared" si="0"/>
        <v>5</v>
      </c>
      <c r="B14" s="65"/>
      <c r="C14" s="65"/>
      <c r="D14" s="64"/>
      <c r="E14" s="64"/>
      <c r="F14" s="64"/>
    </row>
    <row r="15" spans="1:6" x14ac:dyDescent="0.3">
      <c r="A15" s="39">
        <f t="shared" si="0"/>
        <v>6</v>
      </c>
      <c r="B15" s="65"/>
      <c r="C15" s="65"/>
      <c r="D15" s="64"/>
      <c r="E15" s="64"/>
      <c r="F15" s="64"/>
    </row>
    <row r="16" spans="1:6" x14ac:dyDescent="0.3">
      <c r="A16" s="39">
        <f t="shared" si="0"/>
        <v>7</v>
      </c>
      <c r="B16" s="65"/>
      <c r="C16" s="65"/>
      <c r="D16" s="64"/>
      <c r="E16" s="64"/>
      <c r="F16" s="64"/>
    </row>
    <row r="17" spans="1:6" x14ac:dyDescent="0.3">
      <c r="A17" s="39">
        <f t="shared" si="0"/>
        <v>8</v>
      </c>
      <c r="B17" s="65"/>
      <c r="C17" s="65"/>
      <c r="D17" s="64"/>
      <c r="E17" s="64"/>
      <c r="F17" s="64"/>
    </row>
    <row r="18" spans="1:6" x14ac:dyDescent="0.3">
      <c r="A18" s="39">
        <f t="shared" si="0"/>
        <v>9</v>
      </c>
      <c r="B18" s="65"/>
      <c r="C18" s="65"/>
      <c r="D18" s="64"/>
      <c r="E18" s="64"/>
      <c r="F18" s="64"/>
    </row>
    <row r="19" spans="1:6" x14ac:dyDescent="0.3">
      <c r="A19" s="39">
        <f t="shared" si="0"/>
        <v>10</v>
      </c>
      <c r="B19" s="65"/>
      <c r="C19" s="65"/>
      <c r="D19" s="64"/>
      <c r="E19" s="64"/>
      <c r="F19" s="64"/>
    </row>
    <row r="20" spans="1:6" x14ac:dyDescent="0.3">
      <c r="A20" s="39">
        <f t="shared" si="0"/>
        <v>11</v>
      </c>
      <c r="B20" s="65"/>
      <c r="C20" s="65"/>
      <c r="D20" s="64"/>
      <c r="E20" s="64"/>
      <c r="F20" s="64"/>
    </row>
    <row r="21" spans="1:6" x14ac:dyDescent="0.3">
      <c r="A21" s="39">
        <f t="shared" si="0"/>
        <v>12</v>
      </c>
      <c r="B21" s="65"/>
      <c r="C21" s="65"/>
      <c r="D21" s="64"/>
      <c r="E21" s="64"/>
      <c r="F21" s="64"/>
    </row>
    <row r="22" spans="1:6" x14ac:dyDescent="0.3">
      <c r="A22" s="39">
        <f t="shared" si="0"/>
        <v>13</v>
      </c>
      <c r="B22" s="65"/>
      <c r="C22" s="65"/>
      <c r="D22" s="64"/>
      <c r="E22" s="64"/>
      <c r="F22" s="64"/>
    </row>
    <row r="23" spans="1:6" x14ac:dyDescent="0.3">
      <c r="A23" s="39">
        <f t="shared" si="0"/>
        <v>14</v>
      </c>
      <c r="B23" s="65"/>
      <c r="C23" s="65"/>
      <c r="D23" s="64"/>
      <c r="E23" s="64"/>
      <c r="F23" s="64"/>
    </row>
    <row r="24" spans="1:6" x14ac:dyDescent="0.3">
      <c r="A24" s="39">
        <f t="shared" si="0"/>
        <v>15</v>
      </c>
      <c r="B24" s="65"/>
      <c r="C24" s="65"/>
      <c r="D24" s="64"/>
      <c r="E24" s="64"/>
      <c r="F24" s="64"/>
    </row>
    <row r="25" spans="1:6" x14ac:dyDescent="0.3">
      <c r="A25" s="39">
        <f t="shared" si="0"/>
        <v>16</v>
      </c>
      <c r="B25" s="65"/>
      <c r="C25" s="65"/>
      <c r="D25" s="64"/>
      <c r="E25" s="64"/>
      <c r="F25" s="64"/>
    </row>
    <row r="26" spans="1:6" x14ac:dyDescent="0.3">
      <c r="A26" s="39">
        <f t="shared" si="0"/>
        <v>17</v>
      </c>
      <c r="B26" s="65"/>
      <c r="C26" s="65"/>
      <c r="D26" s="64"/>
      <c r="E26" s="64"/>
      <c r="F26" s="64"/>
    </row>
    <row r="27" spans="1:6" x14ac:dyDescent="0.3">
      <c r="A27" s="39">
        <f t="shared" si="0"/>
        <v>18</v>
      </c>
      <c r="B27" s="65"/>
      <c r="C27" s="65"/>
      <c r="D27" s="64"/>
      <c r="E27" s="64"/>
      <c r="F27" s="64"/>
    </row>
    <row r="28" spans="1:6" x14ac:dyDescent="0.3">
      <c r="A28" s="39">
        <f t="shared" si="0"/>
        <v>19</v>
      </c>
      <c r="B28" s="65"/>
      <c r="C28" s="65"/>
      <c r="D28" s="64"/>
      <c r="E28" s="64"/>
      <c r="F28" s="64"/>
    </row>
    <row r="29" spans="1:6" x14ac:dyDescent="0.3">
      <c r="A29" s="39">
        <f t="shared" si="0"/>
        <v>20</v>
      </c>
      <c r="B29" s="65"/>
      <c r="C29" s="65"/>
      <c r="D29" s="64"/>
      <c r="E29" s="64"/>
      <c r="F29" s="64"/>
    </row>
    <row r="30" spans="1:6" x14ac:dyDescent="0.3">
      <c r="A30" s="39">
        <f t="shared" si="0"/>
        <v>21</v>
      </c>
      <c r="B30" s="65"/>
      <c r="C30" s="65"/>
      <c r="D30" s="64"/>
      <c r="E30" s="64"/>
      <c r="F30" s="64"/>
    </row>
    <row r="31" spans="1:6" x14ac:dyDescent="0.3">
      <c r="A31" s="39">
        <f t="shared" si="0"/>
        <v>22</v>
      </c>
      <c r="B31" s="65"/>
      <c r="C31" s="65"/>
      <c r="D31" s="64"/>
      <c r="E31" s="64"/>
      <c r="F31" s="64"/>
    </row>
    <row r="32" spans="1:6" x14ac:dyDescent="0.3">
      <c r="A32" s="39">
        <f t="shared" si="0"/>
        <v>23</v>
      </c>
      <c r="B32" s="65"/>
      <c r="C32" s="65"/>
      <c r="D32" s="64"/>
      <c r="E32" s="64"/>
      <c r="F32" s="64"/>
    </row>
    <row r="33" spans="1:6" x14ac:dyDescent="0.3">
      <c r="A33" s="39">
        <f t="shared" si="0"/>
        <v>24</v>
      </c>
      <c r="B33" s="65"/>
      <c r="C33" s="65"/>
      <c r="D33" s="64"/>
      <c r="E33" s="64"/>
      <c r="F33" s="64"/>
    </row>
    <row r="34" spans="1:6" x14ac:dyDescent="0.3">
      <c r="A34" s="39">
        <f t="shared" si="0"/>
        <v>25</v>
      </c>
      <c r="B34" s="65"/>
      <c r="C34" s="65"/>
      <c r="D34" s="64"/>
      <c r="E34" s="64"/>
      <c r="F34" s="64"/>
    </row>
    <row r="35" spans="1:6" x14ac:dyDescent="0.3">
      <c r="A35" s="39">
        <f t="shared" si="0"/>
        <v>26</v>
      </c>
      <c r="B35" s="65"/>
      <c r="C35" s="65"/>
      <c r="D35" s="64"/>
      <c r="E35" s="64"/>
      <c r="F35" s="64"/>
    </row>
    <row r="36" spans="1:6" x14ac:dyDescent="0.3">
      <c r="A36" s="39">
        <f t="shared" si="0"/>
        <v>27</v>
      </c>
      <c r="B36" s="65"/>
      <c r="C36" s="65"/>
      <c r="D36" s="64"/>
      <c r="E36" s="64"/>
      <c r="F36" s="64"/>
    </row>
    <row r="37" spans="1:6" x14ac:dyDescent="0.3">
      <c r="A37" s="39">
        <f t="shared" si="0"/>
        <v>28</v>
      </c>
      <c r="B37" s="65"/>
      <c r="C37" s="65"/>
      <c r="D37" s="64"/>
      <c r="E37" s="64"/>
      <c r="F37" s="64"/>
    </row>
    <row r="38" spans="1:6" x14ac:dyDescent="0.3">
      <c r="A38" s="39">
        <f t="shared" si="0"/>
        <v>29</v>
      </c>
      <c r="B38" s="65"/>
      <c r="C38" s="65"/>
      <c r="D38" s="64"/>
      <c r="E38" s="64"/>
      <c r="F38" s="64"/>
    </row>
    <row r="39" spans="1:6" x14ac:dyDescent="0.3">
      <c r="A39" s="39">
        <f t="shared" si="0"/>
        <v>30</v>
      </c>
      <c r="B39" s="65"/>
      <c r="C39" s="65"/>
      <c r="D39" s="64"/>
      <c r="E39" s="64"/>
      <c r="F39" s="64"/>
    </row>
    <row r="40" spans="1:6" x14ac:dyDescent="0.3">
      <c r="A40" s="39">
        <f t="shared" si="0"/>
        <v>31</v>
      </c>
      <c r="B40" s="65"/>
      <c r="C40" s="65"/>
      <c r="D40" s="64"/>
      <c r="E40" s="64"/>
      <c r="F40" s="64"/>
    </row>
    <row r="41" spans="1:6" x14ac:dyDescent="0.3">
      <c r="A41" s="39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D2" sqref="D2"/>
    </sheetView>
  </sheetViews>
  <sheetFormatPr defaultRowHeight="18.75" x14ac:dyDescent="0.3"/>
  <cols>
    <col min="1" max="1" width="10.140625" style="33" customWidth="1"/>
    <col min="2" max="2" width="28.5703125" style="35" customWidth="1"/>
    <col min="3" max="3" width="24.7109375" style="35" customWidth="1"/>
    <col min="4" max="4" width="12.7109375" style="34" customWidth="1"/>
    <col min="5" max="5" width="10.28515625" style="34" customWidth="1"/>
    <col min="6" max="6" width="11.140625" style="34" customWidth="1"/>
    <col min="7" max="16384" width="9.140625" style="33"/>
  </cols>
  <sheetData>
    <row r="1" spans="1:15" ht="21" x14ac:dyDescent="0.35">
      <c r="A1" s="33" t="s">
        <v>27</v>
      </c>
      <c r="C1" s="89"/>
      <c r="K1" s="35"/>
      <c r="L1" s="35"/>
      <c r="M1" s="34"/>
      <c r="N1" s="34"/>
      <c r="O1" s="34"/>
    </row>
    <row r="2" spans="1:15" x14ac:dyDescent="0.3">
      <c r="K2" s="35"/>
      <c r="L2" s="35"/>
      <c r="M2" s="34"/>
      <c r="N2" s="34"/>
      <c r="O2" s="34"/>
    </row>
    <row r="3" spans="1:15" x14ac:dyDescent="0.3">
      <c r="A3" s="171">
        <f>+Entries!A2</f>
        <v>0</v>
      </c>
      <c r="B3" s="171"/>
      <c r="C3" s="171"/>
      <c r="E3" s="35"/>
      <c r="F3" s="35"/>
      <c r="J3" s="176"/>
      <c r="K3" s="176"/>
      <c r="L3" s="176"/>
      <c r="M3" s="34"/>
      <c r="N3" s="35"/>
      <c r="O3" s="35"/>
    </row>
    <row r="4" spans="1:15" x14ac:dyDescent="0.3">
      <c r="A4" s="177"/>
      <c r="B4" s="177"/>
      <c r="J4" s="177"/>
      <c r="K4" s="177"/>
      <c r="L4" s="35"/>
      <c r="M4" s="34"/>
      <c r="N4" s="34"/>
      <c r="O4" s="34"/>
    </row>
    <row r="5" spans="1:15" x14ac:dyDescent="0.3">
      <c r="A5" s="178" t="e">
        <f>+#REF!</f>
        <v>#REF!</v>
      </c>
      <c r="B5" s="176"/>
      <c r="C5" s="36" t="s">
        <v>28</v>
      </c>
      <c r="J5" s="176"/>
      <c r="K5" s="176"/>
      <c r="L5" s="36"/>
      <c r="M5" s="34"/>
      <c r="N5" s="34"/>
      <c r="O5" s="34"/>
    </row>
    <row r="6" spans="1:15" x14ac:dyDescent="0.3">
      <c r="A6" s="41"/>
      <c r="B6" s="36" t="s">
        <v>36</v>
      </c>
      <c r="K6" s="36"/>
      <c r="L6" s="35"/>
      <c r="M6" s="34"/>
      <c r="N6" s="34"/>
      <c r="O6" s="34"/>
    </row>
    <row r="7" spans="1:15" x14ac:dyDescent="0.3">
      <c r="A7" s="41">
        <f>+Entries!B10</f>
        <v>53</v>
      </c>
      <c r="B7" s="179" t="s">
        <v>34</v>
      </c>
      <c r="C7" s="179"/>
      <c r="J7" s="41"/>
      <c r="K7" s="179"/>
      <c r="L7" s="179"/>
      <c r="M7" s="34"/>
      <c r="N7" s="34"/>
      <c r="O7" s="34"/>
    </row>
    <row r="8" spans="1:15" x14ac:dyDescent="0.3">
      <c r="A8" s="41" t="e">
        <f>+Results!#REF!</f>
        <v>#REF!</v>
      </c>
      <c r="B8" s="61" t="s">
        <v>5</v>
      </c>
      <c r="J8" s="41"/>
      <c r="K8" s="61"/>
      <c r="L8" s="35"/>
      <c r="M8" s="34"/>
      <c r="N8" s="34"/>
      <c r="O8" s="34"/>
    </row>
    <row r="9" spans="1:15" x14ac:dyDescent="0.3">
      <c r="A9" s="34"/>
      <c r="B9" s="37" t="s">
        <v>0</v>
      </c>
      <c r="C9" s="37" t="s">
        <v>1</v>
      </c>
      <c r="D9" s="38" t="s">
        <v>2</v>
      </c>
      <c r="E9" s="40" t="s">
        <v>31</v>
      </c>
      <c r="F9" s="40" t="s">
        <v>32</v>
      </c>
    </row>
    <row r="10" spans="1:15" x14ac:dyDescent="0.3">
      <c r="A10" s="40">
        <v>1</v>
      </c>
      <c r="B10" s="65"/>
      <c r="C10" s="65"/>
      <c r="D10" s="64"/>
      <c r="E10" s="64"/>
      <c r="F10" s="64"/>
    </row>
    <row r="11" spans="1:15" x14ac:dyDescent="0.3">
      <c r="A11" s="40">
        <f>+A10+1</f>
        <v>2</v>
      </c>
      <c r="B11" s="65"/>
      <c r="C11" s="65"/>
      <c r="D11" s="64"/>
      <c r="E11" s="64"/>
      <c r="F11" s="64"/>
    </row>
    <row r="12" spans="1:15" x14ac:dyDescent="0.3">
      <c r="A12" s="40">
        <f t="shared" ref="A12:A41" si="0">+A11+1</f>
        <v>3</v>
      </c>
      <c r="B12" s="65"/>
      <c r="C12" s="65"/>
      <c r="D12" s="64"/>
      <c r="E12" s="64"/>
      <c r="F12" s="64"/>
    </row>
    <row r="13" spans="1:15" x14ac:dyDescent="0.3">
      <c r="A13" s="40">
        <f t="shared" si="0"/>
        <v>4</v>
      </c>
      <c r="B13" s="65"/>
      <c r="C13" s="65"/>
      <c r="D13" s="64"/>
      <c r="E13" s="64"/>
      <c r="F13" s="64"/>
    </row>
    <row r="14" spans="1:15" x14ac:dyDescent="0.3">
      <c r="A14" s="40">
        <f t="shared" si="0"/>
        <v>5</v>
      </c>
      <c r="B14" s="65"/>
      <c r="C14" s="65"/>
      <c r="D14" s="64"/>
      <c r="E14" s="64"/>
      <c r="F14" s="64"/>
    </row>
    <row r="15" spans="1:15" x14ac:dyDescent="0.3">
      <c r="A15" s="40">
        <f t="shared" si="0"/>
        <v>6</v>
      </c>
      <c r="B15" s="65"/>
      <c r="C15" s="65"/>
      <c r="D15" s="64"/>
      <c r="E15" s="64"/>
      <c r="F15" s="64"/>
    </row>
    <row r="16" spans="1:15" x14ac:dyDescent="0.3">
      <c r="A16" s="40">
        <f t="shared" si="0"/>
        <v>7</v>
      </c>
      <c r="B16" s="65"/>
      <c r="C16" s="65"/>
      <c r="D16" s="64"/>
      <c r="E16" s="64"/>
      <c r="F16" s="64"/>
    </row>
    <row r="17" spans="1:6" x14ac:dyDescent="0.3">
      <c r="A17" s="40">
        <f t="shared" si="0"/>
        <v>8</v>
      </c>
      <c r="B17" s="65"/>
      <c r="C17" s="65"/>
      <c r="D17" s="64"/>
      <c r="E17" s="64"/>
      <c r="F17" s="64"/>
    </row>
    <row r="18" spans="1:6" x14ac:dyDescent="0.3">
      <c r="A18" s="40">
        <f t="shared" si="0"/>
        <v>9</v>
      </c>
      <c r="B18" s="65"/>
      <c r="C18" s="65"/>
      <c r="D18" s="64"/>
      <c r="E18" s="64"/>
      <c r="F18" s="64"/>
    </row>
    <row r="19" spans="1:6" x14ac:dyDescent="0.3">
      <c r="A19" s="40">
        <f t="shared" si="0"/>
        <v>10</v>
      </c>
      <c r="B19" s="65"/>
      <c r="C19" s="65"/>
      <c r="D19" s="64"/>
      <c r="E19" s="64"/>
      <c r="F19" s="64"/>
    </row>
    <row r="20" spans="1:6" x14ac:dyDescent="0.3">
      <c r="A20" s="40">
        <f t="shared" si="0"/>
        <v>11</v>
      </c>
      <c r="B20" s="65"/>
      <c r="C20" s="65"/>
      <c r="D20" s="64"/>
      <c r="E20" s="64"/>
      <c r="F20" s="64"/>
    </row>
    <row r="21" spans="1:6" x14ac:dyDescent="0.3">
      <c r="A21" s="40">
        <f t="shared" si="0"/>
        <v>12</v>
      </c>
      <c r="B21" s="65"/>
      <c r="C21" s="65"/>
      <c r="D21" s="64"/>
      <c r="E21" s="64"/>
      <c r="F21" s="64"/>
    </row>
    <row r="22" spans="1:6" x14ac:dyDescent="0.3">
      <c r="A22" s="40">
        <f t="shared" si="0"/>
        <v>13</v>
      </c>
      <c r="B22" s="65"/>
      <c r="C22" s="65"/>
      <c r="D22" s="64"/>
      <c r="E22" s="64"/>
      <c r="F22" s="64"/>
    </row>
    <row r="23" spans="1:6" x14ac:dyDescent="0.3">
      <c r="A23" s="40">
        <f t="shared" si="0"/>
        <v>14</v>
      </c>
      <c r="B23" s="65"/>
      <c r="C23" s="65"/>
      <c r="D23" s="64"/>
      <c r="E23" s="64"/>
      <c r="F23" s="64"/>
    </row>
    <row r="24" spans="1:6" x14ac:dyDescent="0.3">
      <c r="A24" s="40">
        <f t="shared" si="0"/>
        <v>15</v>
      </c>
      <c r="B24" s="65"/>
      <c r="C24" s="65"/>
      <c r="D24" s="64"/>
      <c r="E24" s="64"/>
      <c r="F24" s="64"/>
    </row>
    <row r="25" spans="1:6" x14ac:dyDescent="0.3">
      <c r="A25" s="40">
        <f t="shared" si="0"/>
        <v>16</v>
      </c>
      <c r="B25" s="65"/>
      <c r="C25" s="65"/>
      <c r="D25" s="64"/>
      <c r="E25" s="64"/>
      <c r="F25" s="64"/>
    </row>
    <row r="26" spans="1:6" x14ac:dyDescent="0.3">
      <c r="A26" s="40">
        <f t="shared" si="0"/>
        <v>17</v>
      </c>
      <c r="B26" s="65"/>
      <c r="C26" s="65"/>
      <c r="D26" s="64"/>
      <c r="E26" s="64"/>
      <c r="F26" s="64"/>
    </row>
    <row r="27" spans="1:6" x14ac:dyDescent="0.3">
      <c r="A27" s="40">
        <f t="shared" si="0"/>
        <v>18</v>
      </c>
      <c r="B27" s="65"/>
      <c r="C27" s="65"/>
      <c r="D27" s="64"/>
      <c r="E27" s="64"/>
      <c r="F27" s="64"/>
    </row>
    <row r="28" spans="1:6" x14ac:dyDescent="0.3">
      <c r="A28" s="40">
        <f t="shared" si="0"/>
        <v>19</v>
      </c>
      <c r="B28" s="65"/>
      <c r="C28" s="65"/>
      <c r="D28" s="64"/>
      <c r="E28" s="64"/>
      <c r="F28" s="64"/>
    </row>
    <row r="29" spans="1:6" x14ac:dyDescent="0.3">
      <c r="A29" s="40">
        <f t="shared" si="0"/>
        <v>20</v>
      </c>
      <c r="B29" s="65"/>
      <c r="C29" s="65"/>
      <c r="D29" s="64"/>
      <c r="E29" s="64"/>
      <c r="F29" s="64"/>
    </row>
    <row r="30" spans="1:6" x14ac:dyDescent="0.3">
      <c r="A30" s="40">
        <f t="shared" si="0"/>
        <v>21</v>
      </c>
      <c r="B30" s="65"/>
      <c r="C30" s="65"/>
      <c r="D30" s="64"/>
      <c r="E30" s="64"/>
      <c r="F30" s="64"/>
    </row>
    <row r="31" spans="1:6" x14ac:dyDescent="0.3">
      <c r="A31" s="40">
        <f t="shared" si="0"/>
        <v>22</v>
      </c>
      <c r="B31" s="65"/>
      <c r="C31" s="65"/>
      <c r="D31" s="64"/>
      <c r="E31" s="64"/>
      <c r="F31" s="64"/>
    </row>
    <row r="32" spans="1:6" x14ac:dyDescent="0.3">
      <c r="A32" s="40">
        <f t="shared" si="0"/>
        <v>23</v>
      </c>
      <c r="B32" s="65"/>
      <c r="C32" s="65"/>
      <c r="D32" s="64"/>
      <c r="E32" s="64"/>
      <c r="F32" s="64"/>
    </row>
    <row r="33" spans="1:6" x14ac:dyDescent="0.3">
      <c r="A33" s="40">
        <f t="shared" si="0"/>
        <v>24</v>
      </c>
      <c r="B33" s="65"/>
      <c r="C33" s="65"/>
      <c r="D33" s="64"/>
      <c r="E33" s="64"/>
      <c r="F33" s="64"/>
    </row>
    <row r="34" spans="1:6" x14ac:dyDescent="0.3">
      <c r="A34" s="40">
        <f t="shared" si="0"/>
        <v>25</v>
      </c>
      <c r="B34" s="65"/>
      <c r="C34" s="65"/>
      <c r="D34" s="64"/>
      <c r="E34" s="64"/>
      <c r="F34" s="64"/>
    </row>
    <row r="35" spans="1:6" x14ac:dyDescent="0.3">
      <c r="A35" s="40">
        <f t="shared" si="0"/>
        <v>26</v>
      </c>
      <c r="B35" s="65"/>
      <c r="C35" s="65"/>
      <c r="D35" s="64"/>
      <c r="E35" s="64"/>
      <c r="F35" s="64"/>
    </row>
    <row r="36" spans="1:6" x14ac:dyDescent="0.3">
      <c r="A36" s="40">
        <f t="shared" si="0"/>
        <v>27</v>
      </c>
      <c r="B36" s="65"/>
      <c r="C36" s="65"/>
      <c r="D36" s="64"/>
      <c r="E36" s="64"/>
      <c r="F36" s="64"/>
    </row>
    <row r="37" spans="1:6" x14ac:dyDescent="0.3">
      <c r="A37" s="40">
        <f t="shared" si="0"/>
        <v>28</v>
      </c>
      <c r="B37" s="65"/>
      <c r="C37" s="65"/>
      <c r="D37" s="64"/>
      <c r="E37" s="64"/>
      <c r="F37" s="64"/>
    </row>
    <row r="38" spans="1:6" x14ac:dyDescent="0.3">
      <c r="A38" s="40">
        <f t="shared" si="0"/>
        <v>29</v>
      </c>
      <c r="B38" s="65"/>
      <c r="C38" s="65"/>
      <c r="D38" s="64"/>
      <c r="E38" s="64"/>
      <c r="F38" s="64"/>
    </row>
    <row r="39" spans="1:6" x14ac:dyDescent="0.3">
      <c r="A39" s="40">
        <f t="shared" si="0"/>
        <v>30</v>
      </c>
      <c r="B39" s="65"/>
      <c r="C39" s="65"/>
      <c r="D39" s="64"/>
      <c r="E39" s="64"/>
      <c r="F39" s="64"/>
    </row>
    <row r="40" spans="1:6" x14ac:dyDescent="0.3">
      <c r="A40" s="40">
        <f t="shared" si="0"/>
        <v>31</v>
      </c>
      <c r="B40" s="65"/>
      <c r="C40" s="65"/>
      <c r="D40" s="64"/>
      <c r="E40" s="64"/>
      <c r="F40" s="64"/>
    </row>
    <row r="41" spans="1:6" x14ac:dyDescent="0.3">
      <c r="A41" s="40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topLeftCell="A8" workbookViewId="0">
      <selection activeCell="D1" sqref="D1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1" customWidth="1"/>
    <col min="12" max="12" width="6.42578125" style="21" customWidth="1"/>
    <col min="13" max="13" width="9.28515625" style="21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0"/>
      <c r="N1" s="22" t="s">
        <v>43</v>
      </c>
      <c r="T1" s="30" t="s">
        <v>23</v>
      </c>
    </row>
    <row r="3" spans="1:20" x14ac:dyDescent="0.25">
      <c r="A3" s="180">
        <f>+Entries!A2</f>
        <v>0</v>
      </c>
      <c r="B3" s="180"/>
      <c r="C3" s="180"/>
    </row>
    <row r="4" spans="1:20" x14ac:dyDescent="0.25">
      <c r="A4" s="181"/>
      <c r="B4" s="181"/>
      <c r="C4" s="14"/>
    </row>
    <row r="5" spans="1:20" x14ac:dyDescent="0.25">
      <c r="A5" s="182"/>
      <c r="B5" s="180"/>
      <c r="C5" s="32"/>
    </row>
    <row r="6" spans="1:20" x14ac:dyDescent="0.25">
      <c r="A6" s="53"/>
      <c r="B6" s="32"/>
      <c r="C6" s="14"/>
    </row>
    <row r="7" spans="1:20" x14ac:dyDescent="0.25">
      <c r="A7" s="53"/>
      <c r="B7" s="183"/>
      <c r="C7" s="183"/>
    </row>
    <row r="8" spans="1:20" x14ac:dyDescent="0.25">
      <c r="A8" s="53"/>
      <c r="B8" s="60"/>
    </row>
    <row r="9" spans="1:20" ht="34.5" customHeight="1" x14ac:dyDescent="0.25">
      <c r="A9" s="8"/>
      <c r="B9" s="4" t="s">
        <v>0</v>
      </c>
      <c r="C9" s="5" t="s">
        <v>1</v>
      </c>
      <c r="D9" s="6" t="s">
        <v>2</v>
      </c>
      <c r="E9" s="54" t="s">
        <v>31</v>
      </c>
      <c r="F9" s="54" t="s">
        <v>32</v>
      </c>
      <c r="G9" s="11" t="s">
        <v>33</v>
      </c>
      <c r="H9" s="11" t="s">
        <v>38</v>
      </c>
      <c r="I9" s="11" t="s">
        <v>37</v>
      </c>
      <c r="J9" s="11"/>
      <c r="K9" s="29" t="s">
        <v>35</v>
      </c>
      <c r="L9" s="29" t="s">
        <v>39</v>
      </c>
      <c r="M9" s="29" t="s">
        <v>40</v>
      </c>
      <c r="O9" s="20" t="s">
        <v>41</v>
      </c>
      <c r="P9" s="20" t="s">
        <v>47</v>
      </c>
      <c r="Q9" s="20" t="s">
        <v>48</v>
      </c>
      <c r="R9" s="20" t="s">
        <v>49</v>
      </c>
      <c r="S9" s="20" t="s">
        <v>50</v>
      </c>
    </row>
    <row r="10" spans="1:20" x14ac:dyDescent="0.25">
      <c r="A10" s="54">
        <v>1</v>
      </c>
      <c r="B10" s="66"/>
      <c r="C10" s="66"/>
      <c r="D10" s="67"/>
      <c r="E10" s="67"/>
      <c r="F10" s="67"/>
      <c r="G10" s="52"/>
      <c r="H10" s="52"/>
      <c r="I10" s="52">
        <f>+F10+H10</f>
        <v>0</v>
      </c>
      <c r="J10" s="52"/>
      <c r="K10" s="63"/>
      <c r="L10" s="63"/>
      <c r="M10" s="63">
        <f>+L10+K10</f>
        <v>0</v>
      </c>
      <c r="O10" s="83">
        <f t="shared" ref="O10:O41" si="0">SUM(P10:S10)</f>
        <v>129</v>
      </c>
      <c r="P10" s="83">
        <v>34</v>
      </c>
      <c r="Q10" s="83">
        <v>95</v>
      </c>
      <c r="R10" s="83"/>
      <c r="S10" s="83"/>
    </row>
    <row r="11" spans="1:20" x14ac:dyDescent="0.25">
      <c r="A11" s="54">
        <f>+A10+1</f>
        <v>2</v>
      </c>
      <c r="B11" s="66"/>
      <c r="C11" s="66"/>
      <c r="D11" s="67"/>
      <c r="E11" s="67"/>
      <c r="F11" s="67"/>
      <c r="G11" s="52"/>
      <c r="H11" s="52"/>
      <c r="I11" s="52">
        <f t="shared" ref="I11:I41" si="1">+F11+H11</f>
        <v>0</v>
      </c>
      <c r="J11" s="52"/>
      <c r="K11" s="63"/>
      <c r="L11" s="63"/>
      <c r="M11" s="63">
        <f t="shared" ref="M11:M41" si="2">+L11+K11</f>
        <v>0</v>
      </c>
      <c r="O11" s="83">
        <f t="shared" si="0"/>
        <v>34</v>
      </c>
      <c r="P11" s="83">
        <v>34</v>
      </c>
      <c r="Q11" s="83"/>
      <c r="R11" s="83"/>
      <c r="S11" s="83"/>
    </row>
    <row r="12" spans="1:20" x14ac:dyDescent="0.25">
      <c r="A12" s="54">
        <f t="shared" ref="A12:A41" si="3">+A11+1</f>
        <v>3</v>
      </c>
      <c r="B12" s="66"/>
      <c r="C12" s="66"/>
      <c r="D12" s="67"/>
      <c r="E12" s="67"/>
      <c r="F12" s="67"/>
      <c r="G12" s="52"/>
      <c r="H12" s="52"/>
      <c r="I12" s="52">
        <f t="shared" si="1"/>
        <v>0</v>
      </c>
      <c r="J12" s="52"/>
      <c r="K12" s="63"/>
      <c r="L12" s="63"/>
      <c r="M12" s="63">
        <f t="shared" si="2"/>
        <v>0</v>
      </c>
      <c r="O12" s="83">
        <f t="shared" si="0"/>
        <v>34</v>
      </c>
      <c r="P12" s="83">
        <v>34</v>
      </c>
      <c r="Q12" s="83"/>
      <c r="R12" s="83"/>
      <c r="S12" s="83"/>
    </row>
    <row r="13" spans="1:20" x14ac:dyDescent="0.25">
      <c r="A13" s="54">
        <f t="shared" si="3"/>
        <v>4</v>
      </c>
      <c r="B13" s="66"/>
      <c r="C13" s="66"/>
      <c r="D13" s="67"/>
      <c r="E13" s="67"/>
      <c r="F13" s="67"/>
      <c r="G13" s="52"/>
      <c r="H13" s="52"/>
      <c r="I13" s="52">
        <f t="shared" si="1"/>
        <v>0</v>
      </c>
      <c r="J13" s="52"/>
      <c r="K13" s="63"/>
      <c r="L13" s="63"/>
      <c r="M13" s="63">
        <f t="shared" si="2"/>
        <v>0</v>
      </c>
      <c r="O13" s="83">
        <f t="shared" si="0"/>
        <v>34</v>
      </c>
      <c r="P13" s="83">
        <v>34</v>
      </c>
      <c r="Q13" s="83"/>
      <c r="R13" s="83"/>
      <c r="S13" s="83"/>
    </row>
    <row r="14" spans="1:20" x14ac:dyDescent="0.25">
      <c r="A14" s="54">
        <f t="shared" si="3"/>
        <v>5</v>
      </c>
      <c r="B14" s="66"/>
      <c r="C14" s="66"/>
      <c r="D14" s="67"/>
      <c r="E14" s="67"/>
      <c r="F14" s="67"/>
      <c r="G14" s="52"/>
      <c r="H14" s="52"/>
      <c r="I14" s="52">
        <f t="shared" si="1"/>
        <v>0</v>
      </c>
      <c r="J14" s="52"/>
      <c r="K14" s="63"/>
      <c r="L14" s="63"/>
      <c r="M14" s="63">
        <f t="shared" si="2"/>
        <v>0</v>
      </c>
      <c r="O14" s="83">
        <f t="shared" si="0"/>
        <v>109</v>
      </c>
      <c r="P14" s="83">
        <v>34</v>
      </c>
      <c r="Q14" s="83">
        <v>75</v>
      </c>
      <c r="R14" s="83"/>
      <c r="S14" s="83"/>
    </row>
    <row r="15" spans="1:20" x14ac:dyDescent="0.25">
      <c r="A15" s="54">
        <f t="shared" si="3"/>
        <v>6</v>
      </c>
      <c r="B15" s="66"/>
      <c r="C15" s="66"/>
      <c r="D15" s="67"/>
      <c r="E15" s="67"/>
      <c r="F15" s="67"/>
      <c r="G15" s="52"/>
      <c r="H15" s="52"/>
      <c r="I15" s="52">
        <f t="shared" si="1"/>
        <v>0</v>
      </c>
      <c r="J15" s="52"/>
      <c r="K15" s="63"/>
      <c r="L15" s="63"/>
      <c r="M15" s="63">
        <f t="shared" si="2"/>
        <v>0</v>
      </c>
      <c r="O15" s="83">
        <f t="shared" si="0"/>
        <v>229</v>
      </c>
      <c r="P15" s="83">
        <v>34</v>
      </c>
      <c r="Q15" s="83">
        <v>195</v>
      </c>
      <c r="R15" s="83"/>
      <c r="S15" s="83"/>
    </row>
    <row r="16" spans="1:20" x14ac:dyDescent="0.25">
      <c r="A16" s="54">
        <f t="shared" si="3"/>
        <v>7</v>
      </c>
      <c r="B16" s="66"/>
      <c r="C16" s="66"/>
      <c r="D16" s="67"/>
      <c r="E16" s="67"/>
      <c r="F16" s="67"/>
      <c r="G16" s="52"/>
      <c r="H16" s="52"/>
      <c r="I16" s="52">
        <f t="shared" si="1"/>
        <v>0</v>
      </c>
      <c r="J16" s="52"/>
      <c r="K16" s="63"/>
      <c r="L16" s="63"/>
      <c r="M16" s="63">
        <f t="shared" si="2"/>
        <v>0</v>
      </c>
      <c r="O16" s="83">
        <f t="shared" si="0"/>
        <v>34</v>
      </c>
      <c r="P16" s="83">
        <v>34</v>
      </c>
      <c r="Q16" s="83"/>
      <c r="R16" s="83"/>
      <c r="S16" s="83"/>
    </row>
    <row r="17" spans="1:19" x14ac:dyDescent="0.25">
      <c r="A17" s="54">
        <f t="shared" si="3"/>
        <v>8</v>
      </c>
      <c r="B17" s="66"/>
      <c r="C17" s="66"/>
      <c r="D17" s="67"/>
      <c r="E17" s="67"/>
      <c r="F17" s="67"/>
      <c r="G17" s="52"/>
      <c r="H17" s="52"/>
      <c r="I17" s="52">
        <f t="shared" si="1"/>
        <v>0</v>
      </c>
      <c r="J17" s="52"/>
      <c r="K17" s="63"/>
      <c r="L17" s="63"/>
      <c r="M17" s="63">
        <f t="shared" si="2"/>
        <v>0</v>
      </c>
      <c r="O17" s="83">
        <f t="shared" si="0"/>
        <v>34</v>
      </c>
      <c r="P17" s="83">
        <v>34</v>
      </c>
      <c r="Q17" s="83"/>
      <c r="R17" s="83"/>
      <c r="S17" s="83"/>
    </row>
    <row r="18" spans="1:19" x14ac:dyDescent="0.25">
      <c r="A18" s="54">
        <f t="shared" si="3"/>
        <v>9</v>
      </c>
      <c r="B18" s="66"/>
      <c r="C18" s="66"/>
      <c r="D18" s="67"/>
      <c r="E18" s="67"/>
      <c r="F18" s="67"/>
      <c r="G18" s="52"/>
      <c r="H18" s="52"/>
      <c r="I18" s="52">
        <f t="shared" si="1"/>
        <v>0</v>
      </c>
      <c r="J18" s="52"/>
      <c r="K18" s="63"/>
      <c r="L18" s="63"/>
      <c r="M18" s="63">
        <f t="shared" si="2"/>
        <v>0</v>
      </c>
      <c r="O18" s="83">
        <f t="shared" si="0"/>
        <v>169</v>
      </c>
      <c r="P18" s="83">
        <v>34</v>
      </c>
      <c r="Q18" s="83">
        <v>135</v>
      </c>
      <c r="R18" s="83"/>
      <c r="S18" s="83"/>
    </row>
    <row r="19" spans="1:19" x14ac:dyDescent="0.25">
      <c r="A19" s="54">
        <f t="shared" si="3"/>
        <v>10</v>
      </c>
      <c r="B19" s="66"/>
      <c r="C19" s="66"/>
      <c r="D19" s="67"/>
      <c r="E19" s="67"/>
      <c r="F19" s="67"/>
      <c r="G19" s="52"/>
      <c r="H19" s="52"/>
      <c r="I19" s="52">
        <f t="shared" si="1"/>
        <v>0</v>
      </c>
      <c r="J19" s="52"/>
      <c r="K19" s="63"/>
      <c r="L19" s="63"/>
      <c r="M19" s="63">
        <f t="shared" si="2"/>
        <v>0</v>
      </c>
      <c r="O19" s="83">
        <f t="shared" si="0"/>
        <v>119</v>
      </c>
      <c r="P19" s="83">
        <v>34</v>
      </c>
      <c r="Q19" s="83">
        <v>85</v>
      </c>
      <c r="R19" s="83"/>
      <c r="S19" s="83"/>
    </row>
    <row r="20" spans="1:19" x14ac:dyDescent="0.25">
      <c r="A20" s="54">
        <f t="shared" si="3"/>
        <v>11</v>
      </c>
      <c r="B20" s="66"/>
      <c r="C20" s="66"/>
      <c r="D20" s="67"/>
      <c r="E20" s="67"/>
      <c r="F20" s="67"/>
      <c r="G20" s="52"/>
      <c r="H20" s="52"/>
      <c r="I20" s="52">
        <f t="shared" si="1"/>
        <v>0</v>
      </c>
      <c r="J20" s="52"/>
      <c r="K20" s="63"/>
      <c r="L20" s="63"/>
      <c r="M20" s="63">
        <f t="shared" si="2"/>
        <v>0</v>
      </c>
      <c r="O20" s="83">
        <f t="shared" si="0"/>
        <v>179</v>
      </c>
      <c r="P20" s="83">
        <v>34</v>
      </c>
      <c r="Q20" s="83">
        <v>145</v>
      </c>
      <c r="R20" s="83"/>
      <c r="S20" s="83"/>
    </row>
    <row r="21" spans="1:19" x14ac:dyDescent="0.25">
      <c r="A21" s="54">
        <f t="shared" si="3"/>
        <v>12</v>
      </c>
      <c r="B21" s="66"/>
      <c r="C21" s="66"/>
      <c r="D21" s="67"/>
      <c r="E21" s="67"/>
      <c r="F21" s="67"/>
      <c r="G21" s="52"/>
      <c r="H21" s="52"/>
      <c r="I21" s="52">
        <f t="shared" si="1"/>
        <v>0</v>
      </c>
      <c r="J21" s="52"/>
      <c r="K21" s="63"/>
      <c r="L21" s="63"/>
      <c r="M21" s="63">
        <f t="shared" si="2"/>
        <v>0</v>
      </c>
      <c r="O21" s="83">
        <f t="shared" si="0"/>
        <v>104</v>
      </c>
      <c r="P21" s="83">
        <v>34</v>
      </c>
      <c r="Q21" s="83">
        <v>70</v>
      </c>
      <c r="R21" s="83"/>
      <c r="S21" s="83"/>
    </row>
    <row r="22" spans="1:19" x14ac:dyDescent="0.25">
      <c r="A22" s="54">
        <f t="shared" si="3"/>
        <v>13</v>
      </c>
      <c r="B22" s="66"/>
      <c r="C22" s="66"/>
      <c r="D22" s="67"/>
      <c r="E22" s="67"/>
      <c r="F22" s="67"/>
      <c r="G22" s="52"/>
      <c r="H22" s="52"/>
      <c r="I22" s="52">
        <f t="shared" si="1"/>
        <v>0</v>
      </c>
      <c r="J22" s="52"/>
      <c r="K22" s="63"/>
      <c r="L22" s="63"/>
      <c r="M22" s="63">
        <f t="shared" si="2"/>
        <v>0</v>
      </c>
      <c r="O22" s="83">
        <f t="shared" si="0"/>
        <v>159</v>
      </c>
      <c r="P22" s="83">
        <v>34</v>
      </c>
      <c r="Q22" s="83">
        <v>125</v>
      </c>
      <c r="R22" s="83"/>
      <c r="S22" s="83"/>
    </row>
    <row r="23" spans="1:19" x14ac:dyDescent="0.25">
      <c r="A23" s="54">
        <f t="shared" si="3"/>
        <v>14</v>
      </c>
      <c r="B23" s="66"/>
      <c r="C23" s="66"/>
      <c r="D23" s="67"/>
      <c r="E23" s="67"/>
      <c r="F23" s="67"/>
      <c r="G23" s="52"/>
      <c r="H23" s="52"/>
      <c r="I23" s="52">
        <f t="shared" si="1"/>
        <v>0</v>
      </c>
      <c r="J23" s="52"/>
      <c r="K23" s="63"/>
      <c r="L23" s="63"/>
      <c r="M23" s="63">
        <f t="shared" si="2"/>
        <v>0</v>
      </c>
      <c r="O23" s="83">
        <f t="shared" si="0"/>
        <v>149</v>
      </c>
      <c r="P23" s="83">
        <v>34</v>
      </c>
      <c r="Q23" s="83">
        <v>115</v>
      </c>
      <c r="R23" s="83"/>
      <c r="S23" s="83"/>
    </row>
    <row r="24" spans="1:19" x14ac:dyDescent="0.25">
      <c r="A24" s="54">
        <f t="shared" si="3"/>
        <v>15</v>
      </c>
      <c r="B24" s="66"/>
      <c r="C24" s="66"/>
      <c r="D24" s="67"/>
      <c r="E24" s="67"/>
      <c r="F24" s="67"/>
      <c r="G24" s="52"/>
      <c r="H24" s="52"/>
      <c r="I24" s="52">
        <f t="shared" si="1"/>
        <v>0</v>
      </c>
      <c r="J24" s="52"/>
      <c r="K24" s="63"/>
      <c r="L24" s="63"/>
      <c r="M24" s="63">
        <f t="shared" si="2"/>
        <v>0</v>
      </c>
      <c r="O24" s="83">
        <f t="shared" si="0"/>
        <v>34</v>
      </c>
      <c r="P24" s="83">
        <v>34</v>
      </c>
      <c r="Q24" s="83"/>
      <c r="R24" s="83"/>
      <c r="S24" s="83"/>
    </row>
    <row r="25" spans="1:19" x14ac:dyDescent="0.25">
      <c r="A25" s="54">
        <f t="shared" si="3"/>
        <v>16</v>
      </c>
      <c r="B25" s="66"/>
      <c r="C25" s="66"/>
      <c r="D25" s="67"/>
      <c r="E25" s="67"/>
      <c r="F25" s="67"/>
      <c r="G25" s="52"/>
      <c r="H25" s="52"/>
      <c r="I25" s="52">
        <f t="shared" si="1"/>
        <v>0</v>
      </c>
      <c r="J25" s="52"/>
      <c r="K25" s="63"/>
      <c r="L25" s="63"/>
      <c r="M25" s="63">
        <f t="shared" si="2"/>
        <v>0</v>
      </c>
      <c r="O25" s="83">
        <f t="shared" si="0"/>
        <v>34</v>
      </c>
      <c r="P25" s="83">
        <v>34</v>
      </c>
      <c r="Q25" s="83"/>
      <c r="R25" s="83"/>
      <c r="S25" s="83"/>
    </row>
    <row r="26" spans="1:19" x14ac:dyDescent="0.25">
      <c r="A26" s="54">
        <f t="shared" si="3"/>
        <v>17</v>
      </c>
      <c r="B26" s="66"/>
      <c r="C26" s="66"/>
      <c r="D26" s="67"/>
      <c r="E26" s="67"/>
      <c r="F26" s="67"/>
      <c r="G26" s="52"/>
      <c r="H26" s="52"/>
      <c r="I26" s="52">
        <f t="shared" si="1"/>
        <v>0</v>
      </c>
      <c r="J26" s="52"/>
      <c r="K26" s="63"/>
      <c r="L26" s="63"/>
      <c r="M26" s="63">
        <f t="shared" si="2"/>
        <v>0</v>
      </c>
      <c r="O26" s="83">
        <f t="shared" si="0"/>
        <v>34</v>
      </c>
      <c r="P26" s="83">
        <v>34</v>
      </c>
      <c r="Q26" s="83"/>
      <c r="R26" s="83"/>
      <c r="S26" s="83"/>
    </row>
    <row r="27" spans="1:19" x14ac:dyDescent="0.25">
      <c r="A27" s="54">
        <f t="shared" si="3"/>
        <v>18</v>
      </c>
      <c r="B27" s="66"/>
      <c r="C27" s="66"/>
      <c r="D27" s="67"/>
      <c r="E27" s="67"/>
      <c r="F27" s="67"/>
      <c r="G27" s="52"/>
      <c r="H27" s="52"/>
      <c r="I27" s="52">
        <f t="shared" si="1"/>
        <v>0</v>
      </c>
      <c r="J27" s="52"/>
      <c r="K27" s="63"/>
      <c r="L27" s="63"/>
      <c r="M27" s="63">
        <f t="shared" si="2"/>
        <v>0</v>
      </c>
      <c r="O27" s="83">
        <f t="shared" si="0"/>
        <v>34</v>
      </c>
      <c r="P27" s="83">
        <v>34</v>
      </c>
      <c r="Q27" s="83"/>
      <c r="R27" s="83"/>
      <c r="S27" s="83"/>
    </row>
    <row r="28" spans="1:19" x14ac:dyDescent="0.25">
      <c r="A28" s="54">
        <f t="shared" si="3"/>
        <v>19</v>
      </c>
      <c r="B28" s="66"/>
      <c r="C28" s="66"/>
      <c r="D28" s="67"/>
      <c r="E28" s="67"/>
      <c r="F28" s="67"/>
      <c r="G28" s="52"/>
      <c r="H28" s="52"/>
      <c r="I28" s="52">
        <f t="shared" si="1"/>
        <v>0</v>
      </c>
      <c r="J28" s="52"/>
      <c r="K28" s="63"/>
      <c r="L28" s="63"/>
      <c r="M28" s="63">
        <f t="shared" si="2"/>
        <v>0</v>
      </c>
      <c r="O28" s="83">
        <f t="shared" si="0"/>
        <v>0</v>
      </c>
      <c r="P28" s="83"/>
      <c r="Q28" s="83"/>
      <c r="R28" s="83"/>
      <c r="S28" s="83"/>
    </row>
    <row r="29" spans="1:19" x14ac:dyDescent="0.25">
      <c r="A29" s="54">
        <f t="shared" si="3"/>
        <v>20</v>
      </c>
      <c r="B29" s="66"/>
      <c r="C29" s="66"/>
      <c r="D29" s="67"/>
      <c r="E29" s="67"/>
      <c r="F29" s="67"/>
      <c r="G29" s="52"/>
      <c r="H29" s="52"/>
      <c r="I29" s="52">
        <f t="shared" si="1"/>
        <v>0</v>
      </c>
      <c r="J29" s="52"/>
      <c r="K29" s="63"/>
      <c r="L29" s="63"/>
      <c r="M29" s="63">
        <f t="shared" si="2"/>
        <v>0</v>
      </c>
      <c r="O29" s="83">
        <f t="shared" si="0"/>
        <v>0</v>
      </c>
      <c r="P29" s="83"/>
      <c r="Q29" s="83"/>
      <c r="R29" s="83"/>
      <c r="S29" s="83"/>
    </row>
    <row r="30" spans="1:19" x14ac:dyDescent="0.25">
      <c r="A30" s="54">
        <f t="shared" si="3"/>
        <v>21</v>
      </c>
      <c r="B30" s="66"/>
      <c r="C30" s="66"/>
      <c r="D30" s="67"/>
      <c r="E30" s="67"/>
      <c r="F30" s="67"/>
      <c r="G30" s="52"/>
      <c r="H30" s="52"/>
      <c r="I30" s="52">
        <f t="shared" si="1"/>
        <v>0</v>
      </c>
      <c r="J30" s="52"/>
      <c r="K30" s="63"/>
      <c r="L30" s="63"/>
      <c r="M30" s="63">
        <f t="shared" si="2"/>
        <v>0</v>
      </c>
      <c r="O30" s="83">
        <f t="shared" si="0"/>
        <v>0</v>
      </c>
      <c r="P30" s="83"/>
      <c r="Q30" s="83"/>
      <c r="R30" s="83"/>
      <c r="S30" s="83"/>
    </row>
    <row r="31" spans="1:19" x14ac:dyDescent="0.25">
      <c r="A31" s="54">
        <f t="shared" si="3"/>
        <v>22</v>
      </c>
      <c r="B31" s="66"/>
      <c r="C31" s="66"/>
      <c r="D31" s="67"/>
      <c r="E31" s="67"/>
      <c r="F31" s="67"/>
      <c r="G31" s="52"/>
      <c r="H31" s="52"/>
      <c r="I31" s="52">
        <f t="shared" si="1"/>
        <v>0</v>
      </c>
      <c r="J31" s="52"/>
      <c r="K31" s="63"/>
      <c r="L31" s="63"/>
      <c r="M31" s="63">
        <f t="shared" si="2"/>
        <v>0</v>
      </c>
      <c r="O31" s="83">
        <f t="shared" si="0"/>
        <v>0</v>
      </c>
      <c r="P31" s="83"/>
      <c r="Q31" s="83"/>
      <c r="R31" s="83"/>
      <c r="S31" s="83"/>
    </row>
    <row r="32" spans="1:19" x14ac:dyDescent="0.25">
      <c r="A32" s="54">
        <f t="shared" si="3"/>
        <v>23</v>
      </c>
      <c r="B32" s="66"/>
      <c r="C32" s="66"/>
      <c r="D32" s="67"/>
      <c r="E32" s="67"/>
      <c r="F32" s="67"/>
      <c r="G32" s="52"/>
      <c r="H32" s="52"/>
      <c r="I32" s="52">
        <f t="shared" si="1"/>
        <v>0</v>
      </c>
      <c r="J32" s="52"/>
      <c r="K32" s="63"/>
      <c r="L32" s="63"/>
      <c r="M32" s="63">
        <f t="shared" si="2"/>
        <v>0</v>
      </c>
      <c r="O32" s="83">
        <f t="shared" si="0"/>
        <v>0</v>
      </c>
      <c r="P32" s="83"/>
      <c r="Q32" s="83"/>
      <c r="R32" s="83"/>
      <c r="S32" s="83"/>
    </row>
    <row r="33" spans="1:19" x14ac:dyDescent="0.25">
      <c r="A33" s="54">
        <f t="shared" si="3"/>
        <v>24</v>
      </c>
      <c r="B33" s="66"/>
      <c r="C33" s="66"/>
      <c r="D33" s="67"/>
      <c r="E33" s="67"/>
      <c r="F33" s="67"/>
      <c r="G33" s="52"/>
      <c r="H33" s="52"/>
      <c r="I33" s="52">
        <f t="shared" si="1"/>
        <v>0</v>
      </c>
      <c r="J33" s="52"/>
      <c r="K33" s="63"/>
      <c r="L33" s="63"/>
      <c r="M33" s="63">
        <f t="shared" si="2"/>
        <v>0</v>
      </c>
      <c r="O33" s="83">
        <f t="shared" si="0"/>
        <v>0</v>
      </c>
      <c r="P33" s="83"/>
      <c r="Q33" s="83"/>
      <c r="R33" s="83"/>
      <c r="S33" s="83"/>
    </row>
    <row r="34" spans="1:19" x14ac:dyDescent="0.25">
      <c r="A34" s="54">
        <f t="shared" si="3"/>
        <v>25</v>
      </c>
      <c r="B34" s="66"/>
      <c r="C34" s="66"/>
      <c r="D34" s="67"/>
      <c r="E34" s="67"/>
      <c r="F34" s="67"/>
      <c r="G34" s="52"/>
      <c r="H34" s="52"/>
      <c r="I34" s="52">
        <f t="shared" si="1"/>
        <v>0</v>
      </c>
      <c r="J34" s="52"/>
      <c r="K34" s="63"/>
      <c r="L34" s="63"/>
      <c r="M34" s="63">
        <f t="shared" si="2"/>
        <v>0</v>
      </c>
      <c r="O34" s="83">
        <f t="shared" si="0"/>
        <v>0</v>
      </c>
      <c r="P34" s="83"/>
      <c r="Q34" s="83"/>
      <c r="R34" s="83"/>
      <c r="S34" s="83"/>
    </row>
    <row r="35" spans="1:19" x14ac:dyDescent="0.25">
      <c r="A35" s="54">
        <f t="shared" si="3"/>
        <v>26</v>
      </c>
      <c r="B35" s="66"/>
      <c r="C35" s="66"/>
      <c r="D35" s="67"/>
      <c r="E35" s="67"/>
      <c r="F35" s="67"/>
      <c r="G35" s="52"/>
      <c r="H35" s="52"/>
      <c r="I35" s="52">
        <f t="shared" si="1"/>
        <v>0</v>
      </c>
      <c r="J35" s="52"/>
      <c r="K35" s="63"/>
      <c r="L35" s="63"/>
      <c r="M35" s="63">
        <f t="shared" si="2"/>
        <v>0</v>
      </c>
      <c r="O35" s="83">
        <f t="shared" si="0"/>
        <v>0</v>
      </c>
      <c r="P35" s="83"/>
      <c r="Q35" s="83"/>
      <c r="R35" s="83"/>
      <c r="S35" s="83"/>
    </row>
    <row r="36" spans="1:19" x14ac:dyDescent="0.25">
      <c r="A36" s="54">
        <f t="shared" si="3"/>
        <v>27</v>
      </c>
      <c r="B36" s="66"/>
      <c r="C36" s="66"/>
      <c r="D36" s="67"/>
      <c r="E36" s="67"/>
      <c r="F36" s="67"/>
      <c r="G36" s="52"/>
      <c r="H36" s="52"/>
      <c r="I36" s="52">
        <f t="shared" si="1"/>
        <v>0</v>
      </c>
      <c r="J36" s="52"/>
      <c r="K36" s="63"/>
      <c r="L36" s="63"/>
      <c r="M36" s="63">
        <f t="shared" si="2"/>
        <v>0</v>
      </c>
      <c r="O36" s="83">
        <f t="shared" si="0"/>
        <v>0</v>
      </c>
      <c r="P36" s="83"/>
      <c r="Q36" s="83"/>
      <c r="R36" s="83"/>
      <c r="S36" s="83"/>
    </row>
    <row r="37" spans="1:19" x14ac:dyDescent="0.25">
      <c r="A37" s="54">
        <f t="shared" si="3"/>
        <v>28</v>
      </c>
      <c r="B37" s="66"/>
      <c r="C37" s="66"/>
      <c r="D37" s="67"/>
      <c r="E37" s="67"/>
      <c r="F37" s="67"/>
      <c r="G37" s="52"/>
      <c r="H37" s="52"/>
      <c r="I37" s="52">
        <f t="shared" si="1"/>
        <v>0</v>
      </c>
      <c r="J37" s="52"/>
      <c r="K37" s="63"/>
      <c r="L37" s="63"/>
      <c r="M37" s="63">
        <f t="shared" si="2"/>
        <v>0</v>
      </c>
      <c r="O37" s="83">
        <f t="shared" si="0"/>
        <v>0</v>
      </c>
      <c r="P37" s="83"/>
      <c r="Q37" s="83"/>
      <c r="R37" s="83"/>
      <c r="S37" s="83"/>
    </row>
    <row r="38" spans="1:19" x14ac:dyDescent="0.25">
      <c r="A38" s="54">
        <f t="shared" si="3"/>
        <v>29</v>
      </c>
      <c r="B38" s="66"/>
      <c r="C38" s="66"/>
      <c r="D38" s="67"/>
      <c r="E38" s="67"/>
      <c r="F38" s="67"/>
      <c r="G38" s="52"/>
      <c r="H38" s="52"/>
      <c r="I38" s="52">
        <f t="shared" si="1"/>
        <v>0</v>
      </c>
      <c r="J38" s="52"/>
      <c r="K38" s="63"/>
      <c r="L38" s="63"/>
      <c r="M38" s="63">
        <f t="shared" si="2"/>
        <v>0</v>
      </c>
      <c r="O38" s="83">
        <f t="shared" si="0"/>
        <v>0</v>
      </c>
      <c r="P38" s="83"/>
      <c r="Q38" s="83"/>
      <c r="R38" s="83"/>
      <c r="S38" s="83"/>
    </row>
    <row r="39" spans="1:19" x14ac:dyDescent="0.25">
      <c r="A39" s="54">
        <f t="shared" si="3"/>
        <v>30</v>
      </c>
      <c r="B39" s="66"/>
      <c r="C39" s="66"/>
      <c r="D39" s="67"/>
      <c r="E39" s="67"/>
      <c r="F39" s="67"/>
      <c r="G39" s="52"/>
      <c r="H39" s="52"/>
      <c r="I39" s="52">
        <f t="shared" si="1"/>
        <v>0</v>
      </c>
      <c r="J39" s="52"/>
      <c r="K39" s="63"/>
      <c r="L39" s="63"/>
      <c r="M39" s="63">
        <f t="shared" si="2"/>
        <v>0</v>
      </c>
      <c r="O39" s="83">
        <f t="shared" si="0"/>
        <v>0</v>
      </c>
      <c r="P39" s="83"/>
      <c r="Q39" s="83"/>
      <c r="R39" s="83"/>
      <c r="S39" s="83"/>
    </row>
    <row r="40" spans="1:19" x14ac:dyDescent="0.25">
      <c r="A40" s="54">
        <f t="shared" si="3"/>
        <v>31</v>
      </c>
      <c r="B40" s="66"/>
      <c r="C40" s="66"/>
      <c r="D40" s="67"/>
      <c r="E40" s="67"/>
      <c r="F40" s="67"/>
      <c r="G40" s="52"/>
      <c r="H40" s="52"/>
      <c r="I40" s="52">
        <f t="shared" si="1"/>
        <v>0</v>
      </c>
      <c r="J40" s="52"/>
      <c r="K40" s="63"/>
      <c r="L40" s="63"/>
      <c r="M40" s="63">
        <f t="shared" si="2"/>
        <v>0</v>
      </c>
      <c r="O40" s="83">
        <f t="shared" si="0"/>
        <v>0</v>
      </c>
      <c r="P40" s="83"/>
      <c r="Q40" s="83"/>
      <c r="R40" s="83"/>
      <c r="S40" s="83"/>
    </row>
    <row r="41" spans="1:19" x14ac:dyDescent="0.25">
      <c r="A41" s="54">
        <f t="shared" si="3"/>
        <v>32</v>
      </c>
      <c r="B41" s="66"/>
      <c r="C41" s="66"/>
      <c r="D41" s="67"/>
      <c r="E41" s="67"/>
      <c r="F41" s="67"/>
      <c r="G41" s="52"/>
      <c r="H41" s="52"/>
      <c r="I41" s="52">
        <f t="shared" si="1"/>
        <v>0</v>
      </c>
      <c r="J41" s="52"/>
      <c r="K41" s="63"/>
      <c r="L41" s="63"/>
      <c r="M41" s="63">
        <f t="shared" si="2"/>
        <v>0</v>
      </c>
      <c r="O41" s="83">
        <f t="shared" si="0"/>
        <v>0</v>
      </c>
      <c r="P41" s="83"/>
      <c r="Q41" s="83"/>
      <c r="R41" s="83"/>
      <c r="S41" s="8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U32"/>
  <sheetViews>
    <sheetView workbookViewId="0">
      <selection activeCell="S11" sqref="S11"/>
    </sheetView>
  </sheetViews>
  <sheetFormatPr defaultRowHeight="15" x14ac:dyDescent="0.25"/>
  <sheetData>
    <row r="1" spans="1:21" x14ac:dyDescent="0.25">
      <c r="A1">
        <v>1</v>
      </c>
      <c r="B1" t="s">
        <v>66</v>
      </c>
    </row>
    <row r="2" spans="1:21" x14ac:dyDescent="0.25">
      <c r="A2">
        <v>2</v>
      </c>
      <c r="B2" t="s">
        <v>69</v>
      </c>
    </row>
    <row r="3" spans="1:21" x14ac:dyDescent="0.25">
      <c r="A3">
        <v>3</v>
      </c>
      <c r="B3" t="s">
        <v>67</v>
      </c>
    </row>
    <row r="4" spans="1:21" x14ac:dyDescent="0.25">
      <c r="A4">
        <v>4</v>
      </c>
      <c r="B4" t="s">
        <v>68</v>
      </c>
    </row>
    <row r="5" spans="1:21" x14ac:dyDescent="0.25">
      <c r="A5">
        <v>5</v>
      </c>
      <c r="B5" t="s">
        <v>76</v>
      </c>
    </row>
    <row r="6" spans="1:21" x14ac:dyDescent="0.25">
      <c r="A6">
        <v>6</v>
      </c>
      <c r="B6" s="16" t="s">
        <v>82</v>
      </c>
    </row>
    <row r="7" spans="1:21" x14ac:dyDescent="0.25">
      <c r="R7" t="s">
        <v>81</v>
      </c>
    </row>
    <row r="8" spans="1:21" x14ac:dyDescent="0.25">
      <c r="R8" s="15" t="s">
        <v>78</v>
      </c>
      <c r="S8" s="15"/>
      <c r="T8" s="15" t="s">
        <v>79</v>
      </c>
      <c r="U8" s="15" t="s">
        <v>80</v>
      </c>
    </row>
    <row r="9" spans="1:21" x14ac:dyDescent="0.25">
      <c r="R9">
        <v>16</v>
      </c>
      <c r="S9">
        <f>2^(INT(LOG(R9-1,2))+1)</f>
        <v>16</v>
      </c>
      <c r="T9">
        <f>16-16</f>
        <v>0</v>
      </c>
      <c r="U9">
        <f>(R9-T9)/2</f>
        <v>8</v>
      </c>
    </row>
    <row r="10" spans="1:21" x14ac:dyDescent="0.25">
      <c r="R10">
        <v>17</v>
      </c>
      <c r="S10">
        <f>2^(INT(LOG(R10-1,2))+1)</f>
        <v>32</v>
      </c>
      <c r="T10">
        <f>S10-R10</f>
        <v>15</v>
      </c>
      <c r="U10">
        <f>(R10-T10)/2</f>
        <v>1</v>
      </c>
    </row>
    <row r="11" spans="1:21" x14ac:dyDescent="0.25">
      <c r="R11">
        <v>18</v>
      </c>
      <c r="S11">
        <f t="shared" ref="S11:S32" si="0">2^(INT(LOG(R11-1,2))+1)</f>
        <v>32</v>
      </c>
      <c r="T11">
        <f t="shared" ref="T11:T32" si="1">S11-R11</f>
        <v>14</v>
      </c>
      <c r="U11">
        <f t="shared" ref="U11:U32" si="2">(R11-T11)/2</f>
        <v>2</v>
      </c>
    </row>
    <row r="12" spans="1:21" x14ac:dyDescent="0.25">
      <c r="R12">
        <v>19</v>
      </c>
      <c r="S12">
        <f t="shared" si="0"/>
        <v>32</v>
      </c>
      <c r="T12">
        <f t="shared" si="1"/>
        <v>13</v>
      </c>
      <c r="U12">
        <f t="shared" si="2"/>
        <v>3</v>
      </c>
    </row>
    <row r="13" spans="1:21" x14ac:dyDescent="0.25">
      <c r="R13">
        <v>20</v>
      </c>
      <c r="S13">
        <f t="shared" si="0"/>
        <v>32</v>
      </c>
      <c r="T13">
        <f t="shared" si="1"/>
        <v>12</v>
      </c>
      <c r="U13">
        <f t="shared" si="2"/>
        <v>4</v>
      </c>
    </row>
    <row r="14" spans="1:21" x14ac:dyDescent="0.25">
      <c r="R14">
        <v>21</v>
      </c>
      <c r="S14">
        <f t="shared" si="0"/>
        <v>32</v>
      </c>
      <c r="T14">
        <f t="shared" si="1"/>
        <v>11</v>
      </c>
      <c r="U14">
        <f t="shared" si="2"/>
        <v>5</v>
      </c>
    </row>
    <row r="15" spans="1:21" x14ac:dyDescent="0.25">
      <c r="R15">
        <v>22</v>
      </c>
      <c r="S15">
        <f t="shared" si="0"/>
        <v>32</v>
      </c>
      <c r="T15">
        <f t="shared" si="1"/>
        <v>10</v>
      </c>
      <c r="U15">
        <f t="shared" si="2"/>
        <v>6</v>
      </c>
    </row>
    <row r="16" spans="1:21" x14ac:dyDescent="0.25">
      <c r="R16">
        <v>23</v>
      </c>
      <c r="S16">
        <f t="shared" si="0"/>
        <v>32</v>
      </c>
      <c r="T16">
        <f t="shared" si="1"/>
        <v>9</v>
      </c>
      <c r="U16">
        <f t="shared" si="2"/>
        <v>7</v>
      </c>
    </row>
    <row r="17" spans="18:21" x14ac:dyDescent="0.25">
      <c r="R17">
        <v>24</v>
      </c>
      <c r="S17">
        <f t="shared" si="0"/>
        <v>32</v>
      </c>
      <c r="T17">
        <f t="shared" si="1"/>
        <v>8</v>
      </c>
      <c r="U17">
        <f t="shared" si="2"/>
        <v>8</v>
      </c>
    </row>
    <row r="18" spans="18:21" x14ac:dyDescent="0.25">
      <c r="R18">
        <v>25</v>
      </c>
      <c r="S18">
        <f t="shared" si="0"/>
        <v>32</v>
      </c>
      <c r="T18">
        <f t="shared" si="1"/>
        <v>7</v>
      </c>
      <c r="U18">
        <f t="shared" si="2"/>
        <v>9</v>
      </c>
    </row>
    <row r="19" spans="18:21" x14ac:dyDescent="0.25">
      <c r="R19">
        <v>26</v>
      </c>
      <c r="S19">
        <f t="shared" si="0"/>
        <v>32</v>
      </c>
      <c r="T19">
        <f t="shared" si="1"/>
        <v>6</v>
      </c>
      <c r="U19">
        <f t="shared" si="2"/>
        <v>10</v>
      </c>
    </row>
    <row r="20" spans="18:21" x14ac:dyDescent="0.25">
      <c r="R20">
        <v>27</v>
      </c>
      <c r="S20">
        <f t="shared" si="0"/>
        <v>32</v>
      </c>
      <c r="T20">
        <f t="shared" si="1"/>
        <v>5</v>
      </c>
      <c r="U20">
        <f t="shared" si="2"/>
        <v>11</v>
      </c>
    </row>
    <row r="21" spans="18:21" x14ac:dyDescent="0.25">
      <c r="R21">
        <v>28</v>
      </c>
      <c r="S21">
        <f t="shared" si="0"/>
        <v>32</v>
      </c>
      <c r="T21">
        <f t="shared" si="1"/>
        <v>4</v>
      </c>
      <c r="U21">
        <f t="shared" si="2"/>
        <v>12</v>
      </c>
    </row>
    <row r="22" spans="18:21" x14ac:dyDescent="0.25">
      <c r="R22">
        <v>29</v>
      </c>
      <c r="S22">
        <f t="shared" si="0"/>
        <v>32</v>
      </c>
      <c r="T22">
        <f t="shared" si="1"/>
        <v>3</v>
      </c>
      <c r="U22">
        <f t="shared" si="2"/>
        <v>13</v>
      </c>
    </row>
    <row r="23" spans="18:21" x14ac:dyDescent="0.25">
      <c r="R23">
        <v>30</v>
      </c>
      <c r="S23">
        <f t="shared" si="0"/>
        <v>32</v>
      </c>
      <c r="T23">
        <f t="shared" si="1"/>
        <v>2</v>
      </c>
      <c r="U23">
        <f t="shared" si="2"/>
        <v>14</v>
      </c>
    </row>
    <row r="24" spans="18:21" x14ac:dyDescent="0.25">
      <c r="R24">
        <v>31</v>
      </c>
      <c r="S24">
        <f t="shared" si="0"/>
        <v>32</v>
      </c>
      <c r="T24">
        <f t="shared" si="1"/>
        <v>1</v>
      </c>
      <c r="U24">
        <f t="shared" si="2"/>
        <v>15</v>
      </c>
    </row>
    <row r="25" spans="18:21" x14ac:dyDescent="0.25">
      <c r="R25">
        <v>32</v>
      </c>
      <c r="S25">
        <f t="shared" si="0"/>
        <v>32</v>
      </c>
      <c r="T25">
        <f t="shared" si="1"/>
        <v>0</v>
      </c>
      <c r="U25">
        <f t="shared" si="2"/>
        <v>16</v>
      </c>
    </row>
    <row r="26" spans="18:21" x14ac:dyDescent="0.25">
      <c r="R26">
        <v>33</v>
      </c>
      <c r="S26">
        <f t="shared" si="0"/>
        <v>64</v>
      </c>
      <c r="T26">
        <f t="shared" si="1"/>
        <v>31</v>
      </c>
      <c r="U26">
        <f t="shared" si="2"/>
        <v>1</v>
      </c>
    </row>
    <row r="27" spans="18:21" x14ac:dyDescent="0.25">
      <c r="R27">
        <v>34</v>
      </c>
      <c r="S27">
        <f t="shared" si="0"/>
        <v>64</v>
      </c>
      <c r="T27">
        <f t="shared" si="1"/>
        <v>30</v>
      </c>
      <c r="U27">
        <f t="shared" si="2"/>
        <v>2</v>
      </c>
    </row>
    <row r="28" spans="18:21" x14ac:dyDescent="0.25">
      <c r="R28">
        <v>35</v>
      </c>
      <c r="S28">
        <f t="shared" si="0"/>
        <v>64</v>
      </c>
      <c r="T28">
        <f t="shared" si="1"/>
        <v>29</v>
      </c>
      <c r="U28">
        <f t="shared" si="2"/>
        <v>3</v>
      </c>
    </row>
    <row r="29" spans="18:21" x14ac:dyDescent="0.25">
      <c r="R29">
        <v>36</v>
      </c>
      <c r="S29">
        <f t="shared" si="0"/>
        <v>64</v>
      </c>
      <c r="T29">
        <f t="shared" si="1"/>
        <v>28</v>
      </c>
      <c r="U29">
        <f t="shared" si="2"/>
        <v>4</v>
      </c>
    </row>
    <row r="30" spans="18:21" x14ac:dyDescent="0.25">
      <c r="R30">
        <v>37</v>
      </c>
      <c r="S30">
        <f t="shared" si="0"/>
        <v>64</v>
      </c>
      <c r="T30">
        <f t="shared" si="1"/>
        <v>27</v>
      </c>
      <c r="U30">
        <f t="shared" si="2"/>
        <v>5</v>
      </c>
    </row>
    <row r="31" spans="18:21" x14ac:dyDescent="0.25">
      <c r="R31">
        <v>38</v>
      </c>
      <c r="S31">
        <f t="shared" si="0"/>
        <v>64</v>
      </c>
      <c r="T31">
        <f t="shared" si="1"/>
        <v>26</v>
      </c>
      <c r="U31">
        <f t="shared" si="2"/>
        <v>6</v>
      </c>
    </row>
    <row r="32" spans="18:21" x14ac:dyDescent="0.25">
      <c r="R32">
        <v>39</v>
      </c>
      <c r="S32">
        <f t="shared" si="0"/>
        <v>64</v>
      </c>
      <c r="T32">
        <f t="shared" si="1"/>
        <v>25</v>
      </c>
      <c r="U32">
        <f t="shared" si="2"/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132</vt:i4>
      </vt:variant>
    </vt:vector>
  </HeadingPairs>
  <TitlesOfParts>
    <vt:vector size="143" baseType="lpstr">
      <vt:lpstr>Entries</vt:lpstr>
      <vt:lpstr>Results</vt:lpstr>
      <vt:lpstr>Pool1</vt:lpstr>
      <vt:lpstr>Pool2</vt:lpstr>
      <vt:lpstr>Pool3</vt:lpstr>
      <vt:lpstr>Pool4</vt:lpstr>
      <vt:lpstr>ConsyList</vt:lpstr>
      <vt:lpstr>FinalQMpts</vt:lpstr>
      <vt:lpstr>FinalRptFinish</vt:lpstr>
      <vt:lpstr>LocalCombined</vt:lpstr>
      <vt:lpstr>Notes</vt:lpstr>
      <vt:lpstr>FMREntriesAccNoHdr</vt:lpstr>
      <vt:lpstr>FMREntriesAllInput</vt:lpstr>
      <vt:lpstr>FMREntriesAllVeggies</vt:lpstr>
      <vt:lpstr>FMREntriesAnchorCount</vt:lpstr>
      <vt:lpstr>FMREntriesAnchorHdr</vt:lpstr>
      <vt:lpstr>FMREntriesCash</vt:lpstr>
      <vt:lpstr>FMREntriesCashAndChecks</vt:lpstr>
      <vt:lpstr>FMREntriesChecks</vt:lpstr>
      <vt:lpstr>FMREntriesCityHdr</vt:lpstr>
      <vt:lpstr>FMREntriesDueAtDoorCount</vt:lpstr>
      <vt:lpstr>FMREntriesDueAtDoorHdr</vt:lpstr>
      <vt:lpstr>FMREntriesEnteredHdr</vt:lpstr>
      <vt:lpstr>FMREntriesEntryAllFields</vt:lpstr>
      <vt:lpstr>FMREntriesFirstName</vt:lpstr>
      <vt:lpstr>FMREntriesHdrGroup1</vt:lpstr>
      <vt:lpstr>FMREntriesHdrGroup2</vt:lpstr>
      <vt:lpstr>FMREntriesJudgeCount</vt:lpstr>
      <vt:lpstr>FMREntriesJudgeHdr</vt:lpstr>
      <vt:lpstr>FMREntriesLastEntered</vt:lpstr>
      <vt:lpstr>FMREntriesNameHdr</vt:lpstr>
      <vt:lpstr>FMREntriesNotPaidCount</vt:lpstr>
      <vt:lpstr>FMREntriesNotPaidHdr</vt:lpstr>
      <vt:lpstr>FMREntriesPlayerCount</vt:lpstr>
      <vt:lpstr>FMREntriesPool1Count</vt:lpstr>
      <vt:lpstr>FMREntriesPool1Hdr</vt:lpstr>
      <vt:lpstr>FMREntriesPool2Count</vt:lpstr>
      <vt:lpstr>FMREntriesPool2Hdr</vt:lpstr>
      <vt:lpstr>FMREntriesPool3Count</vt:lpstr>
      <vt:lpstr>FMREntriesPool3Hdr</vt:lpstr>
      <vt:lpstr>FMREntriesPool4Count</vt:lpstr>
      <vt:lpstr>FMREntriesPool4Hdr</vt:lpstr>
      <vt:lpstr>FMREntriesQualifiedCount</vt:lpstr>
      <vt:lpstr>FMREntriesQualifiedHdr</vt:lpstr>
      <vt:lpstr>FMREntriesTotalRevenue</vt:lpstr>
      <vt:lpstr>FMREntriesTourneyCity</vt:lpstr>
      <vt:lpstr>FMREntriesTourneyDate</vt:lpstr>
      <vt:lpstr>FMREntriesTourneyInfo</vt:lpstr>
      <vt:lpstr>FMREntriesTourneyLocation</vt:lpstr>
      <vt:lpstr>FMREntriesTourneyName</vt:lpstr>
      <vt:lpstr>FMREntriesVeggiesCount</vt:lpstr>
      <vt:lpstr>FMREntriesVeggiesHdr</vt:lpstr>
      <vt:lpstr>FMRPool1AccNoHdr</vt:lpstr>
      <vt:lpstr>FMRPool1AllEntryFields</vt:lpstr>
      <vt:lpstr>FMRPool1AmtHdr</vt:lpstr>
      <vt:lpstr>FMRPool1CityHdr</vt:lpstr>
      <vt:lpstr>FMRPool1Count</vt:lpstr>
      <vt:lpstr>FMRPool1EntryFee</vt:lpstr>
      <vt:lpstr>FMRPool1FirstName</vt:lpstr>
      <vt:lpstr>FMRPool1Msg</vt:lpstr>
      <vt:lpstr>FMRPool1NameHdr</vt:lpstr>
      <vt:lpstr>FMRPool1Number</vt:lpstr>
      <vt:lpstr>FMRPool1Rank1</vt:lpstr>
      <vt:lpstr>FMRPool1Type</vt:lpstr>
      <vt:lpstr>FMRPool1Winners</vt:lpstr>
      <vt:lpstr>FMRPool2AccNoHdr</vt:lpstr>
      <vt:lpstr>FMRPool2AllEntryFields</vt:lpstr>
      <vt:lpstr>FMRPool2AmtHdr</vt:lpstr>
      <vt:lpstr>FMRPool2CityHdr</vt:lpstr>
      <vt:lpstr>FMRPool2Count</vt:lpstr>
      <vt:lpstr>FMRPool2EntryFee</vt:lpstr>
      <vt:lpstr>FMRPool2FirstName</vt:lpstr>
      <vt:lpstr>FMRPool2Msg</vt:lpstr>
      <vt:lpstr>FMRPool2Name</vt:lpstr>
      <vt:lpstr>FMRPool2NameHdr</vt:lpstr>
      <vt:lpstr>FMRPool2Number</vt:lpstr>
      <vt:lpstr>FMRPool2Rank1</vt:lpstr>
      <vt:lpstr>FMRPool2Type</vt:lpstr>
      <vt:lpstr>FMRPool2Winners</vt:lpstr>
      <vt:lpstr>FMRPool3AccNoHdr</vt:lpstr>
      <vt:lpstr>FMRPool3AllEntryFields</vt:lpstr>
      <vt:lpstr>FMRPool3AmtHdr</vt:lpstr>
      <vt:lpstr>FMRPool3CityHdr</vt:lpstr>
      <vt:lpstr>FMRPool3Count</vt:lpstr>
      <vt:lpstr>FMRPool3EntryFee</vt:lpstr>
      <vt:lpstr>FMRPool3FirstName</vt:lpstr>
      <vt:lpstr>FMRPool3Msg</vt:lpstr>
      <vt:lpstr>FMRPool3Name</vt:lpstr>
      <vt:lpstr>FMRPool3NameHdr</vt:lpstr>
      <vt:lpstr>FMRPool3Number</vt:lpstr>
      <vt:lpstr>FMRPool3Rank1</vt:lpstr>
      <vt:lpstr>FMRPool3Type</vt:lpstr>
      <vt:lpstr>FMRPool3Winners</vt:lpstr>
      <vt:lpstr>FMRPool4AccNoHdr</vt:lpstr>
      <vt:lpstr>FMRPool4AllEntryFields</vt:lpstr>
      <vt:lpstr>FMRPool4AmtHdr</vt:lpstr>
      <vt:lpstr>FMRPool4CityHdr</vt:lpstr>
      <vt:lpstr>FMRPool4Count</vt:lpstr>
      <vt:lpstr>FMRPool4EntryFee</vt:lpstr>
      <vt:lpstr>FMRPool4FirstName</vt:lpstr>
      <vt:lpstr>FMRPool4Msg</vt:lpstr>
      <vt:lpstr>FMRPool4Name</vt:lpstr>
      <vt:lpstr>FMRPool4NameHdr</vt:lpstr>
      <vt:lpstr>FMRPool4Number</vt:lpstr>
      <vt:lpstr>FMRPool4Rank1</vt:lpstr>
      <vt:lpstr>FMRPool4Type</vt:lpstr>
      <vt:lpstr>FMRPool4Winners</vt:lpstr>
      <vt:lpstr>FMRResultsAccNoHdr</vt:lpstr>
      <vt:lpstr>FMRResultsAllEntryFields</vt:lpstr>
      <vt:lpstr>FMRResultsCityHdr</vt:lpstr>
      <vt:lpstr>FMRResultsFirstName</vt:lpstr>
      <vt:lpstr>FMRResultsGamePointsHdr</vt:lpstr>
      <vt:lpstr>FMRResultsGamesWonHdr</vt:lpstr>
      <vt:lpstr>FMRResultsNameHdr</vt:lpstr>
      <vt:lpstr>FMRResultsPlayOffPayOffHdr</vt:lpstr>
      <vt:lpstr>FMRResultsPlayoffPlaceHdr</vt:lpstr>
      <vt:lpstr>FMRResultsPlusPointHdr</vt:lpstr>
      <vt:lpstr>FMRResultsPool1Count</vt:lpstr>
      <vt:lpstr>FMRResultsPool1Hdr</vt:lpstr>
      <vt:lpstr>FMRResultsPool2Count</vt:lpstr>
      <vt:lpstr>FMRResultsPool2Hdr</vt:lpstr>
      <vt:lpstr>FMRResultsPool3Count</vt:lpstr>
      <vt:lpstr>FMRResultsPool3Hdr</vt:lpstr>
      <vt:lpstr>FMRResultsPool4Count</vt:lpstr>
      <vt:lpstr>FMRResultsPool4Hdr</vt:lpstr>
      <vt:lpstr>FMRResultsQualMPtsHdr</vt:lpstr>
      <vt:lpstr>FMRResultsSpreadPointsHdr</vt:lpstr>
      <vt:lpstr>FMRResultsTourneyCity</vt:lpstr>
      <vt:lpstr>FMRResultsTourneyDate</vt:lpstr>
      <vt:lpstr>FMRResultsTourneyInfo</vt:lpstr>
      <vt:lpstr>FMRResultsTourneyLocation</vt:lpstr>
      <vt:lpstr>FMRResultsTourneyName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2024-04-20T20:36:53Z</cp:lastPrinted>
  <dcterms:created xsi:type="dcterms:W3CDTF">2014-07-12T17:55:34Z</dcterms:created>
  <dcterms:modified xsi:type="dcterms:W3CDTF">2025-05-08T17:38:12Z</dcterms:modified>
</cp:coreProperties>
</file>