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737DC910-2029-4598-9B70-CDC576C86528}" xr6:coauthVersionLast="47" xr6:coauthVersionMax="47" xr10:uidLastSave="{00000000-0000-0000-0000-000000000000}"/>
  <bookViews>
    <workbookView xWindow="30510" yWindow="1665" windowWidth="27090" windowHeight="14535" xr2:uid="{00000000-000D-0000-FFFF-FFFF00000000}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  <sheet name="Contacts" sheetId="12" r:id="rId6"/>
  </sheets>
  <functionGroups builtInGroupCount="19"/>
  <externalReferences>
    <externalReference r:id="rId7"/>
  </externalReferences>
  <definedNames>
    <definedName name="NextOperation">"NexOperation"</definedName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  <definedName name="SortSpec">Entries!$A$3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L8" i="1"/>
  <c r="K8" i="1"/>
  <c r="J8" i="1"/>
  <c r="I8" i="1"/>
  <c r="H8" i="1"/>
  <c r="G8" i="1"/>
  <c r="T8" i="1"/>
  <c r="U8" i="1"/>
  <c r="Z8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Y311" i="1"/>
  <c r="X311" i="1"/>
  <c r="W311" i="1"/>
  <c r="Q311" i="1"/>
  <c r="Y310" i="1"/>
  <c r="X310" i="1"/>
  <c r="W310" i="1"/>
  <c r="Q310" i="1"/>
  <c r="Y309" i="1"/>
  <c r="X309" i="1"/>
  <c r="W309" i="1"/>
  <c r="Q309" i="1"/>
  <c r="Y308" i="1"/>
  <c r="X308" i="1"/>
  <c r="W308" i="1"/>
  <c r="Q308" i="1"/>
  <c r="Y307" i="1"/>
  <c r="X307" i="1"/>
  <c r="W307" i="1"/>
  <c r="Q307" i="1"/>
  <c r="Y306" i="1"/>
  <c r="X306" i="1"/>
  <c r="W306" i="1"/>
  <c r="Q306" i="1"/>
  <c r="Y305" i="1"/>
  <c r="X305" i="1"/>
  <c r="W305" i="1"/>
  <c r="Q305" i="1"/>
  <c r="Y304" i="1"/>
  <c r="X304" i="1"/>
  <c r="W304" i="1"/>
  <c r="Q304" i="1"/>
  <c r="Y303" i="1"/>
  <c r="X303" i="1"/>
  <c r="W303" i="1"/>
  <c r="Q303" i="1"/>
  <c r="Y302" i="1"/>
  <c r="X302" i="1"/>
  <c r="W302" i="1"/>
  <c r="Q302" i="1"/>
  <c r="Y301" i="1"/>
  <c r="X301" i="1"/>
  <c r="W301" i="1"/>
  <c r="Q301" i="1"/>
  <c r="Y300" i="1"/>
  <c r="X300" i="1"/>
  <c r="W300" i="1"/>
  <c r="Q300" i="1"/>
  <c r="Y299" i="1"/>
  <c r="X299" i="1"/>
  <c r="W299" i="1"/>
  <c r="Q299" i="1"/>
  <c r="Y298" i="1"/>
  <c r="X298" i="1"/>
  <c r="W298" i="1"/>
  <c r="Q298" i="1"/>
  <c r="Y297" i="1"/>
  <c r="X297" i="1"/>
  <c r="W297" i="1"/>
  <c r="Q297" i="1"/>
  <c r="Y296" i="1"/>
  <c r="X296" i="1"/>
  <c r="W296" i="1"/>
  <c r="Q296" i="1"/>
  <c r="Y295" i="1"/>
  <c r="X295" i="1"/>
  <c r="W295" i="1"/>
  <c r="Q295" i="1"/>
  <c r="Y294" i="1"/>
  <c r="X294" i="1"/>
  <c r="W294" i="1"/>
  <c r="Q294" i="1"/>
  <c r="Y293" i="1"/>
  <c r="X293" i="1"/>
  <c r="W293" i="1"/>
  <c r="Q293" i="1"/>
  <c r="Y292" i="1"/>
  <c r="X292" i="1"/>
  <c r="W292" i="1"/>
  <c r="Q292" i="1"/>
  <c r="Y291" i="1"/>
  <c r="X291" i="1"/>
  <c r="W291" i="1"/>
  <c r="Q291" i="1"/>
  <c r="Y290" i="1"/>
  <c r="X290" i="1"/>
  <c r="W290" i="1"/>
  <c r="Q290" i="1"/>
  <c r="Y289" i="1"/>
  <c r="X289" i="1"/>
  <c r="W289" i="1"/>
  <c r="Q289" i="1"/>
  <c r="Y288" i="1"/>
  <c r="X288" i="1"/>
  <c r="W288" i="1"/>
  <c r="Q288" i="1"/>
  <c r="Y287" i="1"/>
  <c r="X287" i="1"/>
  <c r="W287" i="1"/>
  <c r="Q287" i="1"/>
  <c r="Y286" i="1"/>
  <c r="X286" i="1"/>
  <c r="W286" i="1"/>
  <c r="Q286" i="1"/>
  <c r="Y285" i="1"/>
  <c r="X285" i="1"/>
  <c r="W285" i="1"/>
  <c r="Q285" i="1"/>
  <c r="Y284" i="1"/>
  <c r="X284" i="1"/>
  <c r="W284" i="1"/>
  <c r="Q284" i="1"/>
  <c r="Y283" i="1"/>
  <c r="X283" i="1"/>
  <c r="W283" i="1"/>
  <c r="Q283" i="1"/>
  <c r="Y282" i="1"/>
  <c r="X282" i="1"/>
  <c r="W282" i="1"/>
  <c r="Q282" i="1"/>
  <c r="Y281" i="1"/>
  <c r="X281" i="1"/>
  <c r="W281" i="1"/>
  <c r="Q281" i="1"/>
  <c r="Y280" i="1"/>
  <c r="X280" i="1"/>
  <c r="W280" i="1"/>
  <c r="Q280" i="1"/>
  <c r="Y279" i="1"/>
  <c r="X279" i="1"/>
  <c r="W279" i="1"/>
  <c r="Q279" i="1"/>
  <c r="Y278" i="1"/>
  <c r="X278" i="1"/>
  <c r="W278" i="1"/>
  <c r="Q278" i="1"/>
  <c r="Y277" i="1"/>
  <c r="X277" i="1"/>
  <c r="W277" i="1"/>
  <c r="Q277" i="1"/>
  <c r="Y276" i="1"/>
  <c r="X276" i="1"/>
  <c r="W276" i="1"/>
  <c r="Q276" i="1"/>
  <c r="Y275" i="1"/>
  <c r="X275" i="1"/>
  <c r="W275" i="1"/>
  <c r="Q275" i="1"/>
  <c r="Y274" i="1"/>
  <c r="X274" i="1"/>
  <c r="W274" i="1"/>
  <c r="Q274" i="1"/>
  <c r="Y273" i="1"/>
  <c r="X273" i="1"/>
  <c r="W273" i="1"/>
  <c r="Q273" i="1"/>
  <c r="Y272" i="1"/>
  <c r="X272" i="1"/>
  <c r="W272" i="1"/>
  <c r="Q272" i="1"/>
  <c r="Y271" i="1"/>
  <c r="X271" i="1"/>
  <c r="W271" i="1"/>
  <c r="Q271" i="1"/>
  <c r="Y270" i="1"/>
  <c r="X270" i="1"/>
  <c r="W270" i="1"/>
  <c r="Q270" i="1"/>
  <c r="Y269" i="1"/>
  <c r="X269" i="1"/>
  <c r="W269" i="1"/>
  <c r="Q269" i="1"/>
  <c r="Y268" i="1"/>
  <c r="X268" i="1"/>
  <c r="W268" i="1"/>
  <c r="Q268" i="1"/>
  <c r="Y267" i="1"/>
  <c r="X267" i="1"/>
  <c r="W267" i="1"/>
  <c r="Q267" i="1"/>
  <c r="Y266" i="1"/>
  <c r="X266" i="1"/>
  <c r="W266" i="1"/>
  <c r="Q266" i="1"/>
  <c r="Y265" i="1"/>
  <c r="X265" i="1"/>
  <c r="W265" i="1"/>
  <c r="Q265" i="1"/>
  <c r="Y264" i="1"/>
  <c r="X264" i="1"/>
  <c r="W264" i="1"/>
  <c r="Q264" i="1"/>
  <c r="Y263" i="1"/>
  <c r="X263" i="1"/>
  <c r="W263" i="1"/>
  <c r="Q263" i="1"/>
  <c r="Y262" i="1"/>
  <c r="X262" i="1"/>
  <c r="W262" i="1"/>
  <c r="Q262" i="1"/>
  <c r="Y261" i="1"/>
  <c r="X261" i="1"/>
  <c r="W261" i="1"/>
  <c r="Q261" i="1"/>
  <c r="Y260" i="1"/>
  <c r="X260" i="1"/>
  <c r="W260" i="1"/>
  <c r="Q260" i="1"/>
  <c r="Y259" i="1"/>
  <c r="X259" i="1"/>
  <c r="W259" i="1"/>
  <c r="Q259" i="1"/>
  <c r="Y258" i="1"/>
  <c r="X258" i="1"/>
  <c r="W258" i="1"/>
  <c r="Q258" i="1"/>
  <c r="Y257" i="1"/>
  <c r="X257" i="1"/>
  <c r="W257" i="1"/>
  <c r="Q257" i="1"/>
  <c r="Y256" i="1"/>
  <c r="X256" i="1"/>
  <c r="W256" i="1"/>
  <c r="Q256" i="1"/>
  <c r="Y255" i="1"/>
  <c r="X255" i="1"/>
  <c r="W255" i="1"/>
  <c r="Q255" i="1"/>
  <c r="Y254" i="1"/>
  <c r="X254" i="1"/>
  <c r="W254" i="1"/>
  <c r="Q254" i="1"/>
  <c r="Y253" i="1"/>
  <c r="X253" i="1"/>
  <c r="W253" i="1"/>
  <c r="Q253" i="1"/>
  <c r="Y252" i="1"/>
  <c r="X252" i="1"/>
  <c r="W252" i="1"/>
  <c r="Q252" i="1"/>
  <c r="Y251" i="1"/>
  <c r="X251" i="1"/>
  <c r="W251" i="1"/>
  <c r="Q251" i="1"/>
  <c r="Y250" i="1"/>
  <c r="X250" i="1"/>
  <c r="W250" i="1"/>
  <c r="Q250" i="1"/>
  <c r="Y249" i="1"/>
  <c r="X249" i="1"/>
  <c r="W249" i="1"/>
  <c r="Q249" i="1"/>
  <c r="Y248" i="1"/>
  <c r="X248" i="1"/>
  <c r="W248" i="1"/>
  <c r="Q248" i="1"/>
  <c r="Y247" i="1"/>
  <c r="X247" i="1"/>
  <c r="W247" i="1"/>
  <c r="Q247" i="1"/>
  <c r="Y246" i="1"/>
  <c r="X246" i="1"/>
  <c r="W246" i="1"/>
  <c r="Q246" i="1"/>
  <c r="Y245" i="1"/>
  <c r="X245" i="1"/>
  <c r="W245" i="1"/>
  <c r="Q245" i="1"/>
  <c r="Y244" i="1"/>
  <c r="X244" i="1"/>
  <c r="W244" i="1"/>
  <c r="Q244" i="1"/>
  <c r="Y243" i="1"/>
  <c r="X243" i="1"/>
  <c r="W243" i="1"/>
  <c r="Q243" i="1"/>
  <c r="Y242" i="1"/>
  <c r="X242" i="1"/>
  <c r="W242" i="1"/>
  <c r="Q242" i="1"/>
  <c r="Y241" i="1"/>
  <c r="X241" i="1"/>
  <c r="W241" i="1"/>
  <c r="Q241" i="1"/>
  <c r="Y240" i="1"/>
  <c r="X240" i="1"/>
  <c r="W240" i="1"/>
  <c r="Q240" i="1"/>
  <c r="Y239" i="1"/>
  <c r="X239" i="1"/>
  <c r="W239" i="1"/>
  <c r="Q239" i="1"/>
  <c r="Y238" i="1"/>
  <c r="X238" i="1"/>
  <c r="W238" i="1"/>
  <c r="Q238" i="1"/>
  <c r="Y237" i="1"/>
  <c r="X237" i="1"/>
  <c r="W237" i="1"/>
  <c r="Q237" i="1"/>
  <c r="Y236" i="1"/>
  <c r="X236" i="1"/>
  <c r="W236" i="1"/>
  <c r="Q236" i="1"/>
  <c r="Y235" i="1"/>
  <c r="X235" i="1"/>
  <c r="W235" i="1"/>
  <c r="Q235" i="1"/>
  <c r="Y234" i="1"/>
  <c r="X234" i="1"/>
  <c r="W234" i="1"/>
  <c r="Q234" i="1"/>
  <c r="Y233" i="1"/>
  <c r="X233" i="1"/>
  <c r="W233" i="1"/>
  <c r="Q233" i="1"/>
  <c r="Y232" i="1"/>
  <c r="X232" i="1"/>
  <c r="W232" i="1"/>
  <c r="Q232" i="1"/>
  <c r="Y231" i="1"/>
  <c r="X231" i="1"/>
  <c r="W231" i="1"/>
  <c r="Q231" i="1"/>
  <c r="Y230" i="1"/>
  <c r="X230" i="1"/>
  <c r="W230" i="1"/>
  <c r="Q230" i="1"/>
  <c r="Y229" i="1"/>
  <c r="X229" i="1"/>
  <c r="W229" i="1"/>
  <c r="Q229" i="1"/>
  <c r="Y228" i="1"/>
  <c r="X228" i="1"/>
  <c r="W228" i="1"/>
  <c r="Q228" i="1"/>
  <c r="Y227" i="1"/>
  <c r="X227" i="1"/>
  <c r="W227" i="1"/>
  <c r="Q227" i="1"/>
  <c r="Y226" i="1"/>
  <c r="X226" i="1"/>
  <c r="W226" i="1"/>
  <c r="Q226" i="1"/>
  <c r="Y225" i="1"/>
  <c r="X225" i="1"/>
  <c r="W225" i="1"/>
  <c r="Q225" i="1"/>
  <c r="Y224" i="1"/>
  <c r="X224" i="1"/>
  <c r="W224" i="1"/>
  <c r="Q224" i="1"/>
  <c r="Y223" i="1"/>
  <c r="X223" i="1"/>
  <c r="W223" i="1"/>
  <c r="Q223" i="1"/>
  <c r="Y222" i="1"/>
  <c r="X222" i="1"/>
  <c r="W222" i="1"/>
  <c r="Q222" i="1"/>
  <c r="Y221" i="1"/>
  <c r="X221" i="1"/>
  <c r="W221" i="1"/>
  <c r="Q221" i="1"/>
  <c r="Y220" i="1"/>
  <c r="X220" i="1"/>
  <c r="W220" i="1"/>
  <c r="Q220" i="1"/>
  <c r="Y219" i="1"/>
  <c r="X219" i="1"/>
  <c r="W219" i="1"/>
  <c r="Q219" i="1"/>
  <c r="Y218" i="1"/>
  <c r="X218" i="1"/>
  <c r="W218" i="1"/>
  <c r="Q218" i="1"/>
  <c r="Y217" i="1"/>
  <c r="X217" i="1"/>
  <c r="W217" i="1"/>
  <c r="Q217" i="1"/>
  <c r="Y216" i="1"/>
  <c r="X216" i="1"/>
  <c r="W216" i="1"/>
  <c r="Q216" i="1"/>
  <c r="Y215" i="1"/>
  <c r="X215" i="1"/>
  <c r="W215" i="1"/>
  <c r="Q215" i="1"/>
  <c r="Y214" i="1"/>
  <c r="X214" i="1"/>
  <c r="W214" i="1"/>
  <c r="Q214" i="1"/>
  <c r="Y213" i="1"/>
  <c r="X213" i="1"/>
  <c r="W213" i="1"/>
  <c r="Q213" i="1"/>
  <c r="Y212" i="1"/>
  <c r="X212" i="1"/>
  <c r="W212" i="1"/>
  <c r="Q212" i="1"/>
  <c r="Y211" i="1"/>
  <c r="X211" i="1"/>
  <c r="W211" i="1"/>
  <c r="Q211" i="1"/>
  <c r="Y210" i="1"/>
  <c r="X210" i="1"/>
  <c r="W210" i="1"/>
  <c r="Q210" i="1"/>
  <c r="Y209" i="1"/>
  <c r="X209" i="1"/>
  <c r="W209" i="1"/>
  <c r="Q209" i="1"/>
  <c r="Y208" i="1"/>
  <c r="X208" i="1"/>
  <c r="W208" i="1"/>
  <c r="Q208" i="1"/>
  <c r="Y207" i="1"/>
  <c r="X207" i="1"/>
  <c r="W207" i="1"/>
  <c r="Q207" i="1"/>
  <c r="Y206" i="1"/>
  <c r="X206" i="1"/>
  <c r="W206" i="1"/>
  <c r="Q206" i="1"/>
  <c r="Y205" i="1"/>
  <c r="X205" i="1"/>
  <c r="W205" i="1"/>
  <c r="Q205" i="1"/>
  <c r="Y204" i="1"/>
  <c r="X204" i="1"/>
  <c r="W204" i="1"/>
  <c r="Q204" i="1"/>
  <c r="Y203" i="1"/>
  <c r="X203" i="1"/>
  <c r="W203" i="1"/>
  <c r="Q203" i="1"/>
  <c r="Y202" i="1"/>
  <c r="X202" i="1"/>
  <c r="W202" i="1"/>
  <c r="Q202" i="1"/>
  <c r="Y201" i="1"/>
  <c r="X201" i="1"/>
  <c r="W201" i="1"/>
  <c r="Q201" i="1"/>
  <c r="Y200" i="1"/>
  <c r="X200" i="1"/>
  <c r="W200" i="1"/>
  <c r="Q200" i="1"/>
  <c r="Y199" i="1"/>
  <c r="X199" i="1"/>
  <c r="W199" i="1"/>
  <c r="Q199" i="1"/>
  <c r="Y198" i="1"/>
  <c r="X198" i="1"/>
  <c r="W198" i="1"/>
  <c r="Q198" i="1"/>
  <c r="Y197" i="1"/>
  <c r="X197" i="1"/>
  <c r="W197" i="1"/>
  <c r="Q197" i="1"/>
  <c r="Y196" i="1"/>
  <c r="X196" i="1"/>
  <c r="W196" i="1"/>
  <c r="Q196" i="1"/>
  <c r="Y195" i="1"/>
  <c r="X195" i="1"/>
  <c r="W195" i="1"/>
  <c r="Q195" i="1"/>
  <c r="Y194" i="1"/>
  <c r="X194" i="1"/>
  <c r="W194" i="1"/>
  <c r="Q194" i="1"/>
  <c r="Y193" i="1"/>
  <c r="X193" i="1"/>
  <c r="W193" i="1"/>
  <c r="Q193" i="1"/>
  <c r="Y192" i="1"/>
  <c r="X192" i="1"/>
  <c r="W192" i="1"/>
  <c r="Q192" i="1"/>
  <c r="Y191" i="1"/>
  <c r="X191" i="1"/>
  <c r="W191" i="1"/>
  <c r="Q191" i="1"/>
  <c r="Y190" i="1"/>
  <c r="X190" i="1"/>
  <c r="W190" i="1"/>
  <c r="Q190" i="1"/>
  <c r="Y189" i="1"/>
  <c r="X189" i="1"/>
  <c r="W189" i="1"/>
  <c r="R189" i="1"/>
  <c r="Q189" i="1"/>
  <c r="Y188" i="1"/>
  <c r="X188" i="1"/>
  <c r="W188" i="1"/>
  <c r="R188" i="1"/>
  <c r="Q188" i="1"/>
  <c r="Y187" i="1"/>
  <c r="X187" i="1"/>
  <c r="W187" i="1"/>
  <c r="R187" i="1"/>
  <c r="Q187" i="1"/>
  <c r="Y186" i="1"/>
  <c r="X186" i="1"/>
  <c r="W186" i="1"/>
  <c r="R186" i="1"/>
  <c r="Q186" i="1"/>
  <c r="Y185" i="1"/>
  <c r="X185" i="1"/>
  <c r="W185" i="1"/>
  <c r="R185" i="1"/>
  <c r="Q185" i="1"/>
  <c r="Y184" i="1"/>
  <c r="X184" i="1"/>
  <c r="R184" i="1"/>
  <c r="Q184" i="1"/>
  <c r="Y183" i="1"/>
  <c r="X183" i="1"/>
  <c r="W183" i="1"/>
  <c r="R183" i="1"/>
  <c r="Q183" i="1"/>
  <c r="Y182" i="1"/>
  <c r="X182" i="1"/>
  <c r="W182" i="1"/>
  <c r="R182" i="1"/>
  <c r="Q182" i="1"/>
  <c r="Y181" i="1"/>
  <c r="X181" i="1"/>
  <c r="W181" i="1"/>
  <c r="R181" i="1"/>
  <c r="Q181" i="1"/>
  <c r="Y180" i="1"/>
  <c r="X180" i="1"/>
  <c r="W180" i="1"/>
  <c r="R180" i="1"/>
  <c r="Q180" i="1"/>
  <c r="Y179" i="1"/>
  <c r="X179" i="1"/>
  <c r="W179" i="1"/>
  <c r="R179" i="1"/>
  <c r="Q179" i="1"/>
  <c r="Y178" i="1"/>
  <c r="X178" i="1"/>
  <c r="W178" i="1"/>
  <c r="R178" i="1"/>
  <c r="Q178" i="1"/>
  <c r="Y177" i="1"/>
  <c r="X177" i="1"/>
  <c r="W177" i="1"/>
  <c r="R177" i="1"/>
  <c r="Q177" i="1"/>
  <c r="Y176" i="1"/>
  <c r="X176" i="1"/>
  <c r="W176" i="1"/>
  <c r="R176" i="1"/>
  <c r="Q176" i="1"/>
  <c r="Y175" i="1"/>
  <c r="X175" i="1"/>
  <c r="W175" i="1"/>
  <c r="R175" i="1"/>
  <c r="Q175" i="1"/>
  <c r="Y174" i="1"/>
  <c r="X174" i="1"/>
  <c r="W174" i="1"/>
  <c r="R174" i="1"/>
  <c r="Q174" i="1"/>
  <c r="Y173" i="1"/>
  <c r="X173" i="1"/>
  <c r="W173" i="1"/>
  <c r="R173" i="1"/>
  <c r="Q173" i="1"/>
  <c r="Y172" i="1"/>
  <c r="X172" i="1"/>
  <c r="W172" i="1"/>
  <c r="R172" i="1"/>
  <c r="Q172" i="1"/>
  <c r="Y171" i="1"/>
  <c r="X171" i="1"/>
  <c r="W171" i="1"/>
  <c r="R171" i="1"/>
  <c r="Q171" i="1"/>
  <c r="Y170" i="1"/>
  <c r="X170" i="1"/>
  <c r="W170" i="1"/>
  <c r="R170" i="1"/>
  <c r="Q170" i="1"/>
  <c r="Y169" i="1"/>
  <c r="X169" i="1"/>
  <c r="W169" i="1"/>
  <c r="R169" i="1"/>
  <c r="Q169" i="1"/>
  <c r="Y168" i="1"/>
  <c r="X168" i="1"/>
  <c r="W168" i="1"/>
  <c r="R168" i="1"/>
  <c r="Q168" i="1"/>
  <c r="Y167" i="1"/>
  <c r="X167" i="1"/>
  <c r="W167" i="1"/>
  <c r="R167" i="1"/>
  <c r="Q167" i="1"/>
  <c r="Y166" i="1"/>
  <c r="X166" i="1"/>
  <c r="W166" i="1"/>
  <c r="R166" i="1"/>
  <c r="Q166" i="1"/>
  <c r="Y165" i="1"/>
  <c r="X165" i="1"/>
  <c r="W165" i="1"/>
  <c r="R165" i="1"/>
  <c r="Q165" i="1"/>
  <c r="Y164" i="1"/>
  <c r="X164" i="1"/>
  <c r="W164" i="1"/>
  <c r="R164" i="1"/>
  <c r="Q164" i="1"/>
  <c r="Y163" i="1"/>
  <c r="X163" i="1"/>
  <c r="W163" i="1"/>
  <c r="R163" i="1"/>
  <c r="Q163" i="1"/>
  <c r="Y162" i="1"/>
  <c r="X162" i="1"/>
  <c r="W162" i="1"/>
  <c r="R162" i="1"/>
  <c r="Q162" i="1"/>
  <c r="Y161" i="1"/>
  <c r="X161" i="1"/>
  <c r="W161" i="1"/>
  <c r="R161" i="1"/>
  <c r="Q161" i="1"/>
  <c r="Y160" i="1"/>
  <c r="X160" i="1"/>
  <c r="W160" i="1"/>
  <c r="R160" i="1"/>
  <c r="Q160" i="1"/>
  <c r="Y159" i="1"/>
  <c r="X159" i="1"/>
  <c r="W159" i="1"/>
  <c r="R159" i="1"/>
  <c r="Q159" i="1"/>
  <c r="Y158" i="1"/>
  <c r="X158" i="1"/>
  <c r="W158" i="1"/>
  <c r="R158" i="1"/>
  <c r="Q158" i="1"/>
  <c r="Y157" i="1"/>
  <c r="X157" i="1"/>
  <c r="W157" i="1"/>
  <c r="R157" i="1"/>
  <c r="Q157" i="1"/>
  <c r="Y156" i="1"/>
  <c r="X156" i="1"/>
  <c r="W156" i="1"/>
  <c r="R156" i="1"/>
  <c r="Q156" i="1"/>
  <c r="Y155" i="1"/>
  <c r="X155" i="1"/>
  <c r="W155" i="1"/>
  <c r="R155" i="1"/>
  <c r="Q155" i="1"/>
  <c r="Y154" i="1"/>
  <c r="X154" i="1"/>
  <c r="W154" i="1"/>
  <c r="R154" i="1"/>
  <c r="Q154" i="1"/>
  <c r="Y153" i="1"/>
  <c r="X153" i="1"/>
  <c r="W153" i="1"/>
  <c r="R153" i="1"/>
  <c r="Q153" i="1"/>
  <c r="Y152" i="1"/>
  <c r="X152" i="1"/>
  <c r="W152" i="1"/>
  <c r="R152" i="1"/>
  <c r="Q152" i="1"/>
  <c r="Y151" i="1"/>
  <c r="X151" i="1"/>
  <c r="W151" i="1"/>
  <c r="R151" i="1"/>
  <c r="Q151" i="1"/>
  <c r="Y150" i="1"/>
  <c r="X150" i="1"/>
  <c r="W150" i="1"/>
  <c r="R150" i="1"/>
  <c r="Q150" i="1"/>
  <c r="Y149" i="1"/>
  <c r="X149" i="1"/>
  <c r="W149" i="1"/>
  <c r="R149" i="1"/>
  <c r="Q149" i="1"/>
  <c r="Y148" i="1"/>
  <c r="X148" i="1"/>
  <c r="W148" i="1"/>
  <c r="R148" i="1"/>
  <c r="Q148" i="1"/>
  <c r="Y147" i="1"/>
  <c r="X147" i="1"/>
  <c r="W147" i="1"/>
  <c r="R147" i="1"/>
  <c r="Q147" i="1"/>
  <c r="Y146" i="1"/>
  <c r="X146" i="1"/>
  <c r="W146" i="1"/>
  <c r="R146" i="1"/>
  <c r="Q146" i="1"/>
  <c r="Y145" i="1"/>
  <c r="X145" i="1"/>
  <c r="W145" i="1"/>
  <c r="R145" i="1"/>
  <c r="Q145" i="1"/>
  <c r="Y144" i="1"/>
  <c r="X144" i="1"/>
  <c r="W144" i="1"/>
  <c r="R144" i="1"/>
  <c r="Q144" i="1"/>
  <c r="Y143" i="1"/>
  <c r="X143" i="1"/>
  <c r="W143" i="1"/>
  <c r="R143" i="1"/>
  <c r="Q143" i="1"/>
  <c r="Y142" i="1"/>
  <c r="X142" i="1"/>
  <c r="W142" i="1"/>
  <c r="R142" i="1"/>
  <c r="Q142" i="1"/>
  <c r="Y141" i="1"/>
  <c r="X141" i="1"/>
  <c r="W141" i="1"/>
  <c r="R141" i="1"/>
  <c r="Q141" i="1"/>
  <c r="Y140" i="1"/>
  <c r="X140" i="1"/>
  <c r="W140" i="1"/>
  <c r="R140" i="1"/>
  <c r="Q140" i="1"/>
  <c r="Y139" i="1"/>
  <c r="X139" i="1"/>
  <c r="W139" i="1"/>
  <c r="R139" i="1"/>
  <c r="Q139" i="1"/>
  <c r="Y138" i="1"/>
  <c r="X138" i="1"/>
  <c r="W138" i="1"/>
  <c r="R138" i="1"/>
  <c r="Q138" i="1"/>
  <c r="Y137" i="1"/>
  <c r="X137" i="1"/>
  <c r="W137" i="1"/>
  <c r="R137" i="1"/>
  <c r="Q137" i="1"/>
  <c r="Y136" i="1"/>
  <c r="X136" i="1"/>
  <c r="W136" i="1"/>
  <c r="R136" i="1"/>
  <c r="Q136" i="1"/>
  <c r="Y135" i="1"/>
  <c r="X135" i="1"/>
  <c r="W135" i="1"/>
  <c r="R135" i="1"/>
  <c r="Q135" i="1"/>
  <c r="Y134" i="1"/>
  <c r="X134" i="1"/>
  <c r="W134" i="1"/>
  <c r="R134" i="1"/>
  <c r="Q134" i="1"/>
  <c r="Y133" i="1"/>
  <c r="X133" i="1"/>
  <c r="W133" i="1"/>
  <c r="R133" i="1"/>
  <c r="Q133" i="1"/>
  <c r="Y132" i="1"/>
  <c r="X132" i="1"/>
  <c r="W132" i="1"/>
  <c r="R132" i="1"/>
  <c r="Q132" i="1"/>
  <c r="Y131" i="1"/>
  <c r="X131" i="1"/>
  <c r="W131" i="1"/>
  <c r="R131" i="1"/>
  <c r="Q131" i="1"/>
  <c r="Y130" i="1"/>
  <c r="X130" i="1"/>
  <c r="W130" i="1"/>
  <c r="R130" i="1"/>
  <c r="Q130" i="1"/>
  <c r="Y129" i="1"/>
  <c r="X129" i="1"/>
  <c r="W129" i="1"/>
  <c r="R129" i="1"/>
  <c r="Q129" i="1"/>
  <c r="Y128" i="1"/>
  <c r="X128" i="1"/>
  <c r="W128" i="1"/>
  <c r="R128" i="1"/>
  <c r="Q128" i="1"/>
  <c r="Y127" i="1"/>
  <c r="X127" i="1"/>
  <c r="W127" i="1"/>
  <c r="R127" i="1"/>
  <c r="Q127" i="1"/>
  <c r="Y126" i="1"/>
  <c r="X126" i="1"/>
  <c r="W126" i="1"/>
  <c r="R126" i="1"/>
  <c r="Q126" i="1"/>
  <c r="Y125" i="1"/>
  <c r="X125" i="1"/>
  <c r="W125" i="1"/>
  <c r="R125" i="1"/>
  <c r="Q125" i="1"/>
  <c r="Y124" i="1"/>
  <c r="X124" i="1"/>
  <c r="W124" i="1"/>
  <c r="R124" i="1"/>
  <c r="Q124" i="1"/>
  <c r="Y123" i="1"/>
  <c r="X123" i="1"/>
  <c r="W123" i="1"/>
  <c r="R123" i="1"/>
  <c r="Q123" i="1"/>
  <c r="Y122" i="1"/>
  <c r="X122" i="1"/>
  <c r="W122" i="1"/>
  <c r="R122" i="1"/>
  <c r="Q122" i="1"/>
  <c r="Y121" i="1"/>
  <c r="X121" i="1"/>
  <c r="W121" i="1"/>
  <c r="R121" i="1"/>
  <c r="Q121" i="1"/>
  <c r="Y120" i="1"/>
  <c r="X120" i="1"/>
  <c r="W120" i="1"/>
  <c r="R120" i="1"/>
  <c r="Q120" i="1"/>
  <c r="Y119" i="1"/>
  <c r="X119" i="1"/>
  <c r="W119" i="1"/>
  <c r="R119" i="1"/>
  <c r="Q119" i="1"/>
  <c r="Y118" i="1"/>
  <c r="X118" i="1"/>
  <c r="W118" i="1"/>
  <c r="R118" i="1"/>
  <c r="Q118" i="1"/>
  <c r="Y117" i="1"/>
  <c r="X117" i="1"/>
  <c r="W117" i="1"/>
  <c r="R117" i="1"/>
  <c r="Q117" i="1"/>
  <c r="Y116" i="1"/>
  <c r="X116" i="1"/>
  <c r="W116" i="1"/>
  <c r="R116" i="1"/>
  <c r="Q116" i="1"/>
  <c r="Y115" i="1"/>
  <c r="X115" i="1"/>
  <c r="W115" i="1"/>
  <c r="R115" i="1"/>
  <c r="Q115" i="1"/>
  <c r="Y114" i="1"/>
  <c r="X114" i="1"/>
  <c r="W114" i="1"/>
  <c r="R114" i="1"/>
  <c r="Q114" i="1"/>
  <c r="Y113" i="1"/>
  <c r="X113" i="1"/>
  <c r="W113" i="1"/>
  <c r="R113" i="1"/>
  <c r="Q113" i="1"/>
  <c r="Y112" i="1"/>
  <c r="X112" i="1"/>
  <c r="W112" i="1"/>
  <c r="R112" i="1"/>
  <c r="Q112" i="1"/>
  <c r="Y111" i="1"/>
  <c r="X111" i="1"/>
  <c r="W111" i="1"/>
  <c r="R111" i="1"/>
  <c r="Q111" i="1"/>
  <c r="Y110" i="1"/>
  <c r="X110" i="1"/>
  <c r="W110" i="1"/>
  <c r="R110" i="1"/>
  <c r="Q110" i="1"/>
  <c r="Y109" i="1"/>
  <c r="X109" i="1"/>
  <c r="W109" i="1"/>
  <c r="R109" i="1"/>
  <c r="Q109" i="1"/>
  <c r="Y108" i="1"/>
  <c r="X108" i="1"/>
  <c r="W108" i="1"/>
  <c r="R108" i="1"/>
  <c r="Q108" i="1"/>
  <c r="Y107" i="1"/>
  <c r="X107" i="1"/>
  <c r="W107" i="1"/>
  <c r="R107" i="1"/>
  <c r="Q107" i="1"/>
  <c r="Y106" i="1"/>
  <c r="X106" i="1"/>
  <c r="W106" i="1"/>
  <c r="R106" i="1"/>
  <c r="Q106" i="1"/>
  <c r="Y105" i="1"/>
  <c r="X105" i="1"/>
  <c r="W105" i="1"/>
  <c r="R105" i="1"/>
  <c r="Q105" i="1"/>
  <c r="Y104" i="1"/>
  <c r="X104" i="1"/>
  <c r="W104" i="1"/>
  <c r="R104" i="1"/>
  <c r="Q104" i="1"/>
  <c r="Y103" i="1"/>
  <c r="X103" i="1"/>
  <c r="W103" i="1"/>
  <c r="R103" i="1"/>
  <c r="Q103" i="1"/>
  <c r="Y102" i="1"/>
  <c r="X102" i="1"/>
  <c r="W102" i="1"/>
  <c r="R102" i="1"/>
  <c r="Q102" i="1"/>
  <c r="Y101" i="1"/>
  <c r="X101" i="1"/>
  <c r="W101" i="1"/>
  <c r="R101" i="1"/>
  <c r="Q101" i="1"/>
  <c r="Y100" i="1"/>
  <c r="X100" i="1"/>
  <c r="W100" i="1"/>
  <c r="R100" i="1"/>
  <c r="Q100" i="1"/>
  <c r="Y99" i="1"/>
  <c r="X99" i="1"/>
  <c r="W99" i="1"/>
  <c r="R99" i="1"/>
  <c r="Q99" i="1"/>
  <c r="Y98" i="1"/>
  <c r="X98" i="1"/>
  <c r="W98" i="1"/>
  <c r="R98" i="1"/>
  <c r="Q98" i="1"/>
  <c r="Y97" i="1"/>
  <c r="X97" i="1"/>
  <c r="W97" i="1"/>
  <c r="R97" i="1"/>
  <c r="Q97" i="1"/>
  <c r="Y96" i="1"/>
  <c r="X96" i="1"/>
  <c r="W96" i="1"/>
  <c r="R96" i="1"/>
  <c r="Q96" i="1"/>
  <c r="Y95" i="1"/>
  <c r="X95" i="1"/>
  <c r="W95" i="1"/>
  <c r="R95" i="1"/>
  <c r="Q95" i="1"/>
  <c r="Y94" i="1"/>
  <c r="X94" i="1"/>
  <c r="W94" i="1"/>
  <c r="R94" i="1"/>
  <c r="Q94" i="1"/>
  <c r="Y93" i="1"/>
  <c r="X93" i="1"/>
  <c r="W93" i="1"/>
  <c r="R93" i="1"/>
  <c r="Q93" i="1"/>
  <c r="Y92" i="1"/>
  <c r="X92" i="1"/>
  <c r="W92" i="1"/>
  <c r="R92" i="1"/>
  <c r="Q92" i="1"/>
  <c r="Y91" i="1"/>
  <c r="X91" i="1"/>
  <c r="W91" i="1"/>
  <c r="R91" i="1"/>
  <c r="Q91" i="1"/>
  <c r="Y90" i="1"/>
  <c r="X90" i="1"/>
  <c r="W90" i="1"/>
  <c r="R90" i="1"/>
  <c r="Q90" i="1"/>
  <c r="Y89" i="1"/>
  <c r="X89" i="1"/>
  <c r="W89" i="1"/>
  <c r="R89" i="1"/>
  <c r="Q89" i="1"/>
  <c r="Y88" i="1"/>
  <c r="X88" i="1"/>
  <c r="W88" i="1"/>
  <c r="R88" i="1"/>
  <c r="Q88" i="1"/>
  <c r="Y87" i="1"/>
  <c r="X87" i="1"/>
  <c r="W87" i="1"/>
  <c r="R87" i="1"/>
  <c r="Q87" i="1"/>
  <c r="Y86" i="1"/>
  <c r="X86" i="1"/>
  <c r="W86" i="1"/>
  <c r="R86" i="1"/>
  <c r="Q86" i="1"/>
  <c r="Y85" i="1"/>
  <c r="X85" i="1"/>
  <c r="W85" i="1"/>
  <c r="R85" i="1"/>
  <c r="Q85" i="1"/>
  <c r="Y84" i="1"/>
  <c r="X84" i="1"/>
  <c r="W84" i="1"/>
  <c r="R84" i="1"/>
  <c r="Q84" i="1"/>
  <c r="Y83" i="1"/>
  <c r="X83" i="1"/>
  <c r="W83" i="1"/>
  <c r="R83" i="1"/>
  <c r="Q83" i="1"/>
  <c r="Y82" i="1"/>
  <c r="X82" i="1"/>
  <c r="W82" i="1"/>
  <c r="R82" i="1"/>
  <c r="Q82" i="1"/>
  <c r="Y81" i="1"/>
  <c r="X81" i="1"/>
  <c r="W81" i="1"/>
  <c r="R81" i="1"/>
  <c r="Q81" i="1"/>
  <c r="Y80" i="1"/>
  <c r="X80" i="1"/>
  <c r="W80" i="1"/>
  <c r="R80" i="1"/>
  <c r="Q80" i="1"/>
  <c r="Y79" i="1"/>
  <c r="X79" i="1"/>
  <c r="W79" i="1"/>
  <c r="R79" i="1"/>
  <c r="Q79" i="1"/>
  <c r="Y78" i="1"/>
  <c r="X78" i="1"/>
  <c r="W78" i="1"/>
  <c r="R78" i="1"/>
  <c r="Q78" i="1"/>
  <c r="Y77" i="1"/>
  <c r="X77" i="1"/>
  <c r="W77" i="1"/>
  <c r="R77" i="1"/>
  <c r="Q77" i="1"/>
  <c r="Y76" i="1"/>
  <c r="X76" i="1"/>
  <c r="W76" i="1"/>
  <c r="R76" i="1"/>
  <c r="Q76" i="1"/>
  <c r="Y75" i="1"/>
  <c r="X75" i="1"/>
  <c r="W75" i="1"/>
  <c r="R75" i="1"/>
  <c r="Q75" i="1"/>
  <c r="Y74" i="1"/>
  <c r="X74" i="1"/>
  <c r="W74" i="1"/>
  <c r="R74" i="1"/>
  <c r="Q74" i="1"/>
  <c r="Y73" i="1"/>
  <c r="X73" i="1"/>
  <c r="W73" i="1"/>
  <c r="R73" i="1"/>
  <c r="Q73" i="1"/>
  <c r="Y72" i="1"/>
  <c r="X72" i="1"/>
  <c r="W72" i="1"/>
  <c r="R72" i="1"/>
  <c r="Q72" i="1"/>
  <c r="Y71" i="1"/>
  <c r="X71" i="1"/>
  <c r="W71" i="1"/>
  <c r="R71" i="1"/>
  <c r="Q71" i="1"/>
  <c r="Y70" i="1"/>
  <c r="W70" i="1"/>
  <c r="R70" i="1"/>
  <c r="Q70" i="1"/>
  <c r="Y69" i="1"/>
  <c r="X69" i="1"/>
  <c r="W69" i="1"/>
  <c r="R69" i="1"/>
  <c r="Q69" i="1"/>
  <c r="Y68" i="1"/>
  <c r="X68" i="1"/>
  <c r="W68" i="1"/>
  <c r="R68" i="1"/>
  <c r="Q68" i="1"/>
  <c r="Y67" i="1"/>
  <c r="X67" i="1"/>
  <c r="W67" i="1"/>
  <c r="R67" i="1"/>
  <c r="Q67" i="1"/>
  <c r="Y66" i="1"/>
  <c r="X66" i="1"/>
  <c r="W66" i="1"/>
  <c r="R66" i="1"/>
  <c r="Q66" i="1"/>
  <c r="Y65" i="1"/>
  <c r="X65" i="1"/>
  <c r="W65" i="1"/>
  <c r="R65" i="1"/>
  <c r="Q65" i="1"/>
  <c r="Y64" i="1"/>
  <c r="X64" i="1"/>
  <c r="W64" i="1"/>
  <c r="R64" i="1"/>
  <c r="Q64" i="1"/>
  <c r="Y63" i="1"/>
  <c r="X63" i="1"/>
  <c r="W63" i="1"/>
  <c r="R63" i="1"/>
  <c r="Q63" i="1"/>
  <c r="Y62" i="1"/>
  <c r="X62" i="1"/>
  <c r="W62" i="1"/>
  <c r="R62" i="1"/>
  <c r="Q62" i="1"/>
  <c r="Y61" i="1"/>
  <c r="X61" i="1"/>
  <c r="W61" i="1"/>
  <c r="R61" i="1"/>
  <c r="Q61" i="1"/>
  <c r="Y60" i="1"/>
  <c r="X60" i="1"/>
  <c r="W60" i="1"/>
  <c r="R60" i="1"/>
  <c r="Q60" i="1"/>
  <c r="Y59" i="1"/>
  <c r="X59" i="1"/>
  <c r="W59" i="1"/>
  <c r="R59" i="1"/>
  <c r="Q59" i="1"/>
  <c r="Y58" i="1"/>
  <c r="X58" i="1"/>
  <c r="W58" i="1"/>
  <c r="R58" i="1"/>
  <c r="Q58" i="1"/>
  <c r="Y57" i="1"/>
  <c r="X57" i="1"/>
  <c r="W57" i="1"/>
  <c r="R57" i="1"/>
  <c r="Q57" i="1"/>
  <c r="Y56" i="1"/>
  <c r="X56" i="1"/>
  <c r="W56" i="1"/>
  <c r="R56" i="1"/>
  <c r="Q56" i="1"/>
  <c r="Y55" i="1"/>
  <c r="X55" i="1"/>
  <c r="W55" i="1"/>
  <c r="R55" i="1"/>
  <c r="Q55" i="1"/>
  <c r="Y54" i="1"/>
  <c r="X54" i="1"/>
  <c r="W54" i="1"/>
  <c r="R54" i="1"/>
  <c r="Q54" i="1"/>
  <c r="Y53" i="1"/>
  <c r="X53" i="1"/>
  <c r="W53" i="1"/>
  <c r="R53" i="1"/>
  <c r="Q53" i="1"/>
  <c r="Y52" i="1"/>
  <c r="X52" i="1"/>
  <c r="W52" i="1"/>
  <c r="R52" i="1"/>
  <c r="Q52" i="1"/>
  <c r="Y51" i="1"/>
  <c r="X51" i="1"/>
  <c r="W51" i="1"/>
  <c r="R51" i="1"/>
  <c r="Q51" i="1"/>
  <c r="Y50" i="1"/>
  <c r="X50" i="1"/>
  <c r="W50" i="1"/>
  <c r="R50" i="1"/>
  <c r="Q50" i="1"/>
  <c r="Y49" i="1"/>
  <c r="X49" i="1"/>
  <c r="W49" i="1"/>
  <c r="R49" i="1"/>
  <c r="Q49" i="1"/>
  <c r="Y48" i="1"/>
  <c r="X48" i="1"/>
  <c r="W48" i="1"/>
  <c r="R48" i="1"/>
  <c r="Q48" i="1"/>
  <c r="Y47" i="1"/>
  <c r="X47" i="1"/>
  <c r="W47" i="1"/>
  <c r="R47" i="1"/>
  <c r="Q47" i="1"/>
  <c r="Y46" i="1"/>
  <c r="X46" i="1"/>
  <c r="W46" i="1"/>
  <c r="R46" i="1"/>
  <c r="Q46" i="1"/>
  <c r="Y45" i="1"/>
  <c r="X45" i="1"/>
  <c r="W45" i="1"/>
  <c r="R45" i="1"/>
  <c r="Q45" i="1"/>
  <c r="Y44" i="1"/>
  <c r="X44" i="1"/>
  <c r="W44" i="1"/>
  <c r="R44" i="1"/>
  <c r="Q44" i="1"/>
  <c r="Y43" i="1"/>
  <c r="X43" i="1"/>
  <c r="W43" i="1"/>
  <c r="R43" i="1"/>
  <c r="Q43" i="1"/>
  <c r="Y42" i="1"/>
  <c r="X42" i="1"/>
  <c r="W42" i="1"/>
  <c r="R42" i="1"/>
  <c r="Q42" i="1"/>
  <c r="Y41" i="1"/>
  <c r="X41" i="1"/>
  <c r="W41" i="1"/>
  <c r="R41" i="1"/>
  <c r="Q41" i="1"/>
  <c r="Y40" i="1"/>
  <c r="X40" i="1"/>
  <c r="W40" i="1"/>
  <c r="R40" i="1"/>
  <c r="Q40" i="1"/>
  <c r="Y39" i="1"/>
  <c r="X39" i="1"/>
  <c r="W39" i="1"/>
  <c r="R39" i="1"/>
  <c r="Q39" i="1"/>
  <c r="Y38" i="1"/>
  <c r="X38" i="1"/>
  <c r="W38" i="1"/>
  <c r="R38" i="1"/>
  <c r="Q38" i="1"/>
  <c r="Y37" i="1"/>
  <c r="X37" i="1"/>
  <c r="W37" i="1"/>
  <c r="R37" i="1"/>
  <c r="Q37" i="1"/>
  <c r="Y36" i="1"/>
  <c r="X36" i="1"/>
  <c r="W36" i="1"/>
  <c r="R36" i="1"/>
  <c r="Q36" i="1"/>
  <c r="Y35" i="1"/>
  <c r="X35" i="1"/>
  <c r="W35" i="1"/>
  <c r="R35" i="1"/>
  <c r="Q35" i="1"/>
  <c r="Y34" i="1"/>
  <c r="X34" i="1"/>
  <c r="W34" i="1"/>
  <c r="R34" i="1"/>
  <c r="Q34" i="1"/>
  <c r="Y33" i="1"/>
  <c r="X33" i="1"/>
  <c r="W33" i="1"/>
  <c r="R33" i="1"/>
  <c r="Q33" i="1"/>
  <c r="Y32" i="1"/>
  <c r="X32" i="1"/>
  <c r="W32" i="1"/>
  <c r="R32" i="1"/>
  <c r="Q32" i="1"/>
  <c r="Y31" i="1"/>
  <c r="X31" i="1"/>
  <c r="W31" i="1"/>
  <c r="R31" i="1"/>
  <c r="Q31" i="1"/>
  <c r="Y30" i="1"/>
  <c r="X30" i="1"/>
  <c r="W30" i="1"/>
  <c r="R30" i="1"/>
  <c r="Q30" i="1"/>
  <c r="Y29" i="1"/>
  <c r="X29" i="1"/>
  <c r="W29" i="1"/>
  <c r="R29" i="1"/>
  <c r="Q29" i="1"/>
  <c r="Y28" i="1"/>
  <c r="X28" i="1"/>
  <c r="W28" i="1"/>
  <c r="R28" i="1"/>
  <c r="Q28" i="1"/>
  <c r="Y27" i="1"/>
  <c r="X27" i="1"/>
  <c r="W27" i="1"/>
  <c r="R27" i="1"/>
  <c r="Q27" i="1"/>
  <c r="Y26" i="1"/>
  <c r="X26" i="1"/>
  <c r="W26" i="1"/>
  <c r="R26" i="1"/>
  <c r="Q26" i="1"/>
  <c r="Y25" i="1"/>
  <c r="X25" i="1"/>
  <c r="W25" i="1"/>
  <c r="R25" i="1"/>
  <c r="Q25" i="1"/>
  <c r="Y24" i="1"/>
  <c r="X24" i="1"/>
  <c r="W24" i="1"/>
  <c r="R24" i="1"/>
  <c r="Q24" i="1"/>
  <c r="Y23" i="1"/>
  <c r="X23" i="1"/>
  <c r="W23" i="1"/>
  <c r="R23" i="1"/>
  <c r="Q23" i="1"/>
  <c r="Y22" i="1"/>
  <c r="X22" i="1"/>
  <c r="W22" i="1"/>
  <c r="R22" i="1"/>
  <c r="Q22" i="1"/>
  <c r="Y21" i="1"/>
  <c r="X21" i="1"/>
  <c r="W21" i="1"/>
  <c r="R21" i="1"/>
  <c r="Q21" i="1"/>
  <c r="Y20" i="1"/>
  <c r="X20" i="1"/>
  <c r="W20" i="1"/>
  <c r="R20" i="1"/>
  <c r="Q20" i="1"/>
  <c r="Y19" i="1"/>
  <c r="X19" i="1"/>
  <c r="W19" i="1"/>
  <c r="R19" i="1"/>
  <c r="Q19" i="1"/>
  <c r="Y18" i="1"/>
  <c r="X18" i="1"/>
  <c r="W18" i="1"/>
  <c r="R18" i="1"/>
  <c r="Q18" i="1"/>
  <c r="Y17" i="1"/>
  <c r="X17" i="1"/>
  <c r="W17" i="1"/>
  <c r="R17" i="1"/>
  <c r="Q17" i="1"/>
  <c r="Y16" i="1"/>
  <c r="X16" i="1"/>
  <c r="W16" i="1"/>
  <c r="R16" i="1"/>
  <c r="Q16" i="1"/>
  <c r="Y15" i="1"/>
  <c r="X15" i="1"/>
  <c r="W15" i="1"/>
  <c r="R15" i="1"/>
  <c r="Q15" i="1"/>
  <c r="Y14" i="1"/>
  <c r="X14" i="1"/>
  <c r="W14" i="1"/>
  <c r="R14" i="1"/>
  <c r="Q14" i="1"/>
  <c r="Y13" i="1"/>
  <c r="X13" i="1"/>
  <c r="W13" i="1"/>
  <c r="R13" i="1"/>
  <c r="Q13" i="1"/>
  <c r="Y12" i="1"/>
  <c r="X12" i="1"/>
  <c r="W12" i="1"/>
  <c r="R12" i="1"/>
  <c r="Q12" i="1"/>
  <c r="Y11" i="1"/>
  <c r="X11" i="1"/>
  <c r="W11" i="1"/>
  <c r="R11" i="1"/>
  <c r="Q11" i="1"/>
  <c r="Y10" i="1"/>
  <c r="X10" i="1"/>
  <c r="W10" i="1"/>
  <c r="R10" i="1"/>
  <c r="Q10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N8" i="1"/>
  <c r="J7" i="1"/>
  <c r="I7" i="1"/>
  <c r="H7" i="1"/>
  <c r="G7" i="1"/>
  <c r="C8" i="1"/>
  <c r="B8" i="1"/>
  <c r="B7" i="1" s="1"/>
  <c r="X8" i="1" l="1"/>
  <c r="R8" i="1"/>
  <c r="Q8" i="1"/>
  <c r="W8" i="1"/>
  <c r="Y8" i="1"/>
</calcChain>
</file>

<file path=xl/sharedStrings.xml><?xml version="1.0" encoding="utf-8"?>
<sst xmlns="http://schemas.openxmlformats.org/spreadsheetml/2006/main" count="1583" uniqueCount="647">
  <si>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</si>
  <si>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</si>
  <si>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</si>
  <si>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</si>
  <si>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</si>
  <si>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</si>
  <si>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</si>
  <si>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</si>
  <si>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</si>
  <si>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</si>
  <si>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</si>
  <si>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</si>
  <si>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</si>
  <si>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</si>
  <si>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</si>
  <si>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</si>
  <si>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</si>
  <si>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</si>
  <si>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</si>
  <si>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</si>
  <si>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</si>
  <si>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</si>
  <si>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</si>
  <si>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</si>
  <si>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</si>
  <si>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</si>
  <si>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</si>
  <si>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</si>
  <si>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</si>
  <si>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</si>
  <si>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</si>
  <si>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</si>
  <si>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</si>
  <si>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</si>
  <si>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</si>
  <si>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</si>
  <si>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</si>
  <si>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</si>
  <si>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</si>
  <si>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</si>
  <si>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</si>
  <si>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</si>
  <si>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</si>
  <si>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</si>
  <si>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</si>
  <si>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</si>
  <si>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</si>
  <si>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</si>
  <si>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</si>
  <si>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</si>
  <si>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</si>
  <si>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</si>
  <si>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</si>
  <si>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</si>
  <si>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</si>
  <si>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</si>
  <si>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</si>
  <si>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</si>
  <si>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</si>
  <si>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</si>
  <si>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</si>
  <si>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</si>
  <si>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</si>
  <si>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</si>
  <si>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</si>
  <si>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</si>
  <si>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</si>
  <si>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</si>
  <si>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</si>
  <si>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</si>
  <si>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</si>
  <si>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</si>
  <si>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</si>
  <si>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</si>
  <si>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</si>
  <si>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</si>
  <si>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</si>
  <si>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</si>
  <si>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</si>
  <si>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</si>
  <si>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</si>
  <si>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</si>
  <si>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</si>
  <si>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</si>
  <si>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</si>
  <si>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</si>
  <si>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</si>
  <si>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</si>
  <si>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</si>
  <si>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</si>
  <si>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</si>
  <si>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</si>
  <si>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</si>
  <si>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</si>
  <si>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</si>
  <si>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</si>
  <si>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</si>
  <si>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</si>
  <si>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</si>
  <si>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</si>
  <si>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</si>
  <si>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</si>
  <si>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</si>
  <si>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</si>
  <si>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</si>
  <si>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</si>
  <si>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</si>
  <si>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</si>
  <si>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</si>
  <si>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</si>
  <si>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</si>
  <si>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</si>
  <si>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</si>
  <si>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</si>
  <si>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</si>
  <si>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</si>
  <si>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</si>
  <si>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</si>
  <si>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</si>
  <si>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</si>
  <si>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</si>
  <si>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</si>
  <si>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</si>
  <si>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</si>
  <si>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</si>
  <si>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</si>
  <si>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</si>
  <si>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</si>
  <si>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</si>
  <si>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</si>
  <si>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</si>
  <si>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</si>
  <si>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</si>
  <si>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</si>
  <si>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</si>
  <si>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</si>
  <si>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</si>
  <si>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</si>
  <si>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</si>
  <si>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</si>
  <si>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</si>
  <si>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</si>
  <si>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</si>
  <si>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</si>
  <si>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</si>
  <si>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</si>
  <si>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</si>
  <si>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</si>
  <si>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</si>
  <si>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</si>
  <si>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</si>
  <si>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</si>
  <si>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</si>
  <si>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</si>
  <si>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</si>
  <si>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</si>
  <si>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</si>
  <si>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</si>
  <si>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</si>
  <si>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</si>
  <si>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</si>
  <si>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</si>
  <si>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</si>
  <si>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</si>
  <si>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</si>
  <si>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</si>
  <si>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</si>
  <si>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</si>
  <si>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</si>
  <si>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</si>
  <si>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</si>
  <si>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</si>
  <si>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</si>
  <si>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</si>
  <si>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</si>
  <si>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</si>
  <si>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</si>
  <si>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</si>
  <si>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</si>
  <si>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</si>
  <si>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</si>
  <si>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</si>
  <si>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</si>
  <si>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</si>
  <si>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</si>
  <si>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</si>
  <si>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</si>
  <si>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</si>
  <si>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</si>
  <si>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</si>
  <si>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</si>
  <si>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</si>
  <si>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</si>
  <si>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</si>
  <si>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</si>
  <si>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</si>
  <si>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</si>
  <si>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</si>
  <si>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</si>
  <si>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</si>
  <si>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</si>
  <si>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</si>
  <si>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</si>
  <si>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</si>
  <si>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</si>
  <si>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</si>
  <si>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</si>
  <si>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</si>
  <si>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</si>
  <si>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</si>
  <si>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</si>
  <si>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</si>
  <si>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</si>
  <si>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</si>
  <si>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</si>
  <si>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</si>
  <si>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</si>
  <si>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</si>
  <si>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</si>
  <si>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</si>
  <si>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</si>
  <si>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</si>
  <si>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</si>
  <si>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</si>
  <si>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</si>
  <si>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</si>
  <si>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</si>
  <si>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</si>
  <si>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</si>
  <si>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</si>
  <si>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</si>
  <si>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</si>
  <si>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</si>
  <si>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</si>
  <si>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</si>
  <si>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</si>
  <si>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</si>
  <si>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</si>
  <si>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</si>
  <si>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</si>
  <si>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</si>
  <si>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</si>
  <si>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</si>
  <si>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</si>
  <si>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</si>
  <si>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</si>
  <si>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</si>
  <si>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</si>
  <si>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</si>
  <si>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</si>
  <si>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</si>
  <si>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</si>
  <si>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</si>
  <si>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</si>
  <si>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</si>
  <si>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</si>
  <si>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</si>
  <si>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</si>
  <si>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</si>
  <si>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</si>
  <si>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</si>
  <si>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</si>
  <si>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</si>
  <si>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</si>
  <si>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</si>
  <si>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</si>
  <si>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</si>
  <si>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</si>
  <si>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</si>
  <si>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</si>
  <si>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</si>
  <si>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</si>
  <si>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</si>
  <si>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</si>
  <si>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</si>
  <si>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</si>
  <si>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</si>
  <si>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</si>
  <si>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</si>
  <si>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</si>
  <si>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</si>
  <si>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</si>
  <si>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</si>
  <si>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</si>
  <si>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</si>
  <si>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</si>
  <si>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</si>
  <si>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</si>
  <si>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</si>
  <si>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</si>
  <si>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</si>
  <si>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</si>
  <si>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</si>
  <si>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</si>
  <si>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</si>
  <si>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</si>
  <si>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</si>
  <si>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</si>
  <si>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</si>
  <si>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</si>
  <si>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</si>
  <si>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</si>
  <si>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</si>
  <si>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</si>
  <si>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</si>
  <si>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</si>
  <si>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</si>
  <si>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</si>
  <si>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</si>
  <si>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</si>
  <si>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</si>
  <si>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</si>
  <si>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</si>
  <si>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</si>
  <si>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</si>
  <si>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</si>
  <si>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</si>
  <si>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</si>
  <si>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</si>
  <si>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</si>
  <si>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</si>
  <si>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</si>
  <si>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</si>
  <si>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</si>
  <si>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</si>
  <si>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</si>
  <si>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</si>
  <si>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</si>
  <si>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</si>
  <si>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</si>
  <si>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</si>
  <si>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</si>
  <si>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</si>
  <si>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</si>
  <si>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</si>
  <si>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</si>
  <si>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</si>
  <si>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</si>
  <si>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</si>
  <si>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</si>
  <si>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</si>
  <si>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</si>
  <si>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</si>
  <si>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</si>
  <si>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</si>
  <si>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</si>
  <si>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</si>
  <si>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</si>
  <si>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</si>
  <si>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</si>
  <si>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</si>
  <si>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</si>
  <si>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</si>
  <si>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</si>
  <si>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</si>
  <si>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</si>
  <si>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</si>
  <si>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</si>
  <si>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</si>
  <si>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</si>
  <si>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</si>
  <si>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</si>
  <si>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</si>
  <si>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</si>
  <si>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</si>
  <si>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</si>
  <si>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</si>
  <si>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</si>
  <si>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</si>
  <si>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</si>
  <si>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</si>
  <si>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</si>
  <si>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</si>
  <si>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</si>
  <si>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</si>
  <si>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</si>
  <si>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</si>
  <si>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</si>
  <si>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</si>
  <si>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</si>
  <si>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</si>
  <si>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</si>
  <si>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</si>
  <si>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</si>
  <si>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</si>
  <si>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</si>
  <si>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</si>
  <si>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</si>
  <si>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</si>
  <si>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</si>
  <si>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</si>
  <si>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</si>
  <si>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</si>
  <si>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</si>
  <si>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</si>
  <si>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</si>
  <si>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</si>
  <si>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</si>
  <si>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</si>
  <si>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</si>
  <si>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</si>
  <si>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</si>
  <si>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</si>
  <si>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</si>
  <si>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</si>
  <si>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</si>
  <si>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</si>
  <si>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</si>
  <si>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</si>
  <si>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</si>
  <si>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</si>
  <si>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</si>
  <si>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</si>
  <si>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</si>
  <si>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</si>
  <si>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</si>
  <si>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</si>
  <si>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</si>
  <si>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</si>
  <si>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</si>
  <si>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</si>
  <si>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</si>
  <si>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</si>
  <si>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</si>
  <si>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</si>
  <si>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</si>
  <si>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</si>
  <si>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</si>
  <si>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</si>
  <si>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</si>
  <si>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</si>
  <si>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</si>
  <si>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</si>
  <si>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</si>
  <si>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</si>
  <si>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</si>
  <si>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</si>
  <si>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</si>
  <si>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</si>
  <si>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</si>
  <si>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</si>
  <si>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</si>
  <si>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</si>
  <si>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</si>
  <si>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</si>
  <si>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</si>
  <si>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</si>
  <si>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</si>
  <si>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</si>
  <si>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</si>
  <si>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</si>
  <si>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</si>
  <si>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</si>
  <si>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</si>
  <si>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</si>
  <si>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</si>
  <si>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</si>
  <si>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</si>
  <si>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</si>
  <si>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</si>
  <si>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</si>
  <si>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</si>
  <si>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</si>
  <si>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</si>
  <si>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</si>
  <si>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</si>
  <si>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</si>
  <si>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</si>
  <si>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</si>
  <si>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</si>
  <si>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</si>
  <si>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</si>
  <si>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</si>
  <si>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</si>
  <si>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</si>
  <si>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</si>
  <si>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</si>
  <si>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</si>
  <si>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</si>
  <si>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</si>
  <si>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</si>
  <si>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</si>
  <si>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</si>
  <si>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</si>
  <si>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</si>
  <si>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</si>
  <si>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</si>
  <si>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</si>
  <si>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</si>
  <si>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</si>
  <si>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</si>
  <si>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</si>
  <si>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</si>
  <si>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</si>
  <si>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</si>
  <si>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</si>
  <si>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</si>
  <si>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</si>
  <si>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</si>
  <si>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</si>
  <si>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</si>
  <si>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</si>
  <si>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</si>
  <si>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</si>
  <si>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</si>
  <si>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</si>
  <si>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</si>
  <si>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</si>
  <si>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</si>
  <si>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</si>
  <si>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</si>
  <si>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</si>
  <si>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</si>
  <si>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</si>
  <si>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</si>
  <si>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</si>
  <si>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</si>
  <si>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</si>
  <si>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</si>
  <si>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</si>
  <si>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</si>
  <si>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</si>
  <si>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</si>
  <si>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</si>
  <si>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</si>
  <si>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</si>
  <si>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</si>
  <si>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</si>
  <si>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</si>
  <si>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CA-6363</t>
  </si>
  <si>
    <t>CA-8060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</si>
  <si>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</si>
  <si>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</si>
  <si>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</si>
  <si>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</si>
  <si>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</si>
  <si>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</si>
  <si>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</si>
  <si>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</si>
  <si>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</si>
  <si>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</si>
  <si>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</si>
  <si>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</si>
  <si>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</si>
  <si>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</si>
  <si>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</si>
  <si>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</si>
  <si>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</si>
  <si>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</si>
  <si>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</si>
  <si>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</si>
  <si>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</si>
  <si>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</si>
  <si>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</si>
  <si>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</si>
  <si>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</si>
  <si>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</si>
  <si>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</si>
  <si>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</si>
  <si>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</si>
  <si>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</si>
  <si>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</si>
  <si>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</si>
  <si>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</si>
  <si>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</si>
  <si>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</si>
  <si>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</si>
  <si>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</si>
  <si>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</si>
  <si>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</si>
  <si>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</si>
  <si>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</si>
  <si>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</si>
  <si>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</si>
  <si>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</si>
  <si>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</si>
  <si>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</si>
  <si>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</si>
  <si>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</si>
  <si>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</si>
  <si>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</si>
  <si>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</si>
  <si>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</si>
  <si>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</si>
  <si>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</si>
  <si>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</si>
  <si>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</si>
  <si>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</si>
  <si>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</si>
  <si>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</si>
  <si>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</si>
  <si>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</si>
  <si>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</si>
  <si>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</si>
  <si>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</si>
  <si>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</si>
  <si>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</si>
  <si>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</si>
  <si>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</si>
  <si>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</si>
  <si>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</si>
  <si>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</si>
  <si>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</si>
  <si>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</si>
  <si>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</si>
  <si>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</si>
  <si>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</si>
  <si>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</si>
  <si>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</si>
  <si>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</si>
  <si>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</si>
  <si>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</si>
  <si>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</si>
  <si>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</si>
  <si>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</si>
  <si>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</si>
  <si>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</si>
  <si>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</si>
  <si>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</si>
  <si>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</si>
  <si>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</si>
  <si>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</si>
  <si>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</si>
  <si>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</si>
  <si>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</si>
  <si>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</si>
  <si>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</si>
  <si>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</si>
  <si>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Entry Emails</t>
  </si>
  <si>
    <t>Alternate Emails</t>
  </si>
  <si>
    <t>Email Count</t>
  </si>
  <si>
    <t>(530) 228-6462</t>
  </si>
  <si>
    <t>(530) 566-6454</t>
  </si>
  <si>
    <t>(707) 443-1029</t>
  </si>
  <si>
    <t>(530) 885-1266</t>
  </si>
  <si>
    <t>(213) 509-9795</t>
  </si>
  <si>
    <t>(831) 320-0980</t>
  </si>
  <si>
    <t>(707) 349-4494</t>
  </si>
  <si>
    <t>(916) 812-9855</t>
  </si>
  <si>
    <t>(916) 402-0411</t>
  </si>
  <si>
    <t>(530) 945-1065</t>
  </si>
  <si>
    <t>(614) 327-5321</t>
  </si>
  <si>
    <t>(925) 998-0886</t>
  </si>
  <si>
    <t>(707) 464-9168</t>
  </si>
  <si>
    <t>(415) 298-0971</t>
  </si>
  <si>
    <t>(925) 788-2407</t>
  </si>
  <si>
    <t>(805) 598-1867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</si>
</sst>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454545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9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165" fontId="0" fillId="0" borderId="0" xfId="2" applyNumberFormat="1" applyFont="1"/>
    <xf numFmtId="0" fontId="4" fillId="0" borderId="1" xfId="0" applyFont="1" applyBorder="1"/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5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 applyProtection="1">
      <alignment horizontal="center"/>
      <protection locked="0"/>
    </xf>
    <xf numFmtId="0" fontId="1" fillId="0" borderId="1" xfId="0" applyFont="1" applyBorder="1" applyProtection="1"/>
    <xf numFmtId="1" fontId="1" fillId="0" borderId="1" xfId="0" applyNumberFormat="1" applyFont="1" applyBorder="1" applyAlignment="1" applyProtection="1">
      <alignment horizontal="center" wrapText="1"/>
    </xf>
    <xf numFmtId="0" fontId="1" fillId="0" borderId="1" xfId="0" applyFont="1" applyBorder="1" applyAlignment="1" applyProtection="1">
      <alignment horizontal="center" wrapText="1"/>
    </xf>
    <xf numFmtId="1" fontId="1" fillId="0" borderId="1" xfId="0" applyNumberFormat="1" applyFont="1" applyBorder="1" applyProtection="1"/>
    <xf numFmtId="166" fontId="0" fillId="0" borderId="0" xfId="0" applyNumberFormat="1" applyAlignment="1">
      <alignment horizontal="center"/>
    </xf>
    <xf numFmtId="166" fontId="1" fillId="0" borderId="5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>
      <alignment horizontal="center"/>
    </xf>
    <xf numFmtId="166" fontId="0" fillId="0" borderId="5" xfId="0" applyNumberFormat="1" applyBorder="1"/>
    <xf numFmtId="166" fontId="15" fillId="0" borderId="0" xfId="0" applyNumberFormat="1" applyFont="1" applyAlignment="1">
      <alignment horizontal="center"/>
    </xf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114300</xdr:rowOff>
        </xdr:from>
        <xdr:to>
          <xdr:col>2</xdr:col>
          <xdr:colOff>323850</xdr:colOff>
          <xdr:row>5</xdr:row>
          <xdr:rowOff>123825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3</xdr:row>
          <xdr:rowOff>95250</xdr:rowOff>
        </xdr:from>
        <xdr:to>
          <xdr:col>17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95250</xdr:rowOff>
        </xdr:from>
        <xdr:to>
          <xdr:col>19</xdr:col>
          <xdr:colOff>495300</xdr:colOff>
          <xdr:row>5</xdr:row>
          <xdr:rowOff>104775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1</xdr:row>
          <xdr:rowOff>0</xdr:rowOff>
        </xdr:from>
        <xdr:to>
          <xdr:col>19</xdr:col>
          <xdr:colOff>504825</xdr:colOff>
          <xdr:row>2</xdr:row>
          <xdr:rowOff>161925</xdr:rowOff>
        </xdr:to>
        <xdr:sp macro="" textlink="">
          <xdr:nvSpPr>
            <xdr:cNvPr id="1028" name="ClearPrelimShee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3</xdr:row>
          <xdr:rowOff>95250</xdr:rowOff>
        </xdr:from>
        <xdr:to>
          <xdr:col>21</xdr:col>
          <xdr:colOff>1362075</xdr:colOff>
          <xdr:row>5</xdr:row>
          <xdr:rowOff>47625</xdr:rowOff>
        </xdr:to>
        <xdr:sp macro="" textlink="">
          <xdr:nvSpPr>
            <xdr:cNvPr id="1030" name="CreatePlayerLabels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5</xdr:row>
          <xdr:rowOff>171450</xdr:rowOff>
        </xdr:from>
        <xdr:to>
          <xdr:col>21</xdr:col>
          <xdr:colOff>1362075</xdr:colOff>
          <xdr:row>7</xdr:row>
          <xdr:rowOff>152400</xdr:rowOff>
        </xdr:to>
        <xdr:sp macro="" textlink="">
          <xdr:nvSpPr>
            <xdr:cNvPr id="1031" name="CreatePool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390525</xdr:colOff>
          <xdr:row>1</xdr:row>
          <xdr:rowOff>0</xdr:rowOff>
        </xdr:from>
        <xdr:to>
          <xdr:col>21</xdr:col>
          <xdr:colOff>1362075</xdr:colOff>
          <xdr:row>2</xdr:row>
          <xdr:rowOff>161925</xdr:rowOff>
        </xdr:to>
        <xdr:sp macro="" textlink="">
          <xdr:nvSpPr>
            <xdr:cNvPr id="1032" name="MoveEnteredToRost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</xdr:row>
          <xdr:rowOff>0</xdr:rowOff>
        </xdr:from>
        <xdr:to>
          <xdr:col>25</xdr:col>
          <xdr:colOff>9525</xdr:colOff>
          <xdr:row>2</xdr:row>
          <xdr:rowOff>161925</xdr:rowOff>
        </xdr:to>
        <xdr:sp macro="" textlink="">
          <xdr:nvSpPr>
            <xdr:cNvPr id="1034" name="SortEnteredAlph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1</xdr:row>
          <xdr:rowOff>57150</xdr:rowOff>
        </xdr:from>
        <xdr:to>
          <xdr:col>20</xdr:col>
          <xdr:colOff>1181100</xdr:colOff>
          <xdr:row>3</xdr:row>
          <xdr:rowOff>9525</xdr:rowOff>
        </xdr:to>
        <xdr:sp macro="" textlink="">
          <xdr:nvSpPr>
            <xdr:cNvPr id="1053" name="SortEnteredAlpha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3</xdr:row>
          <xdr:rowOff>152400</xdr:rowOff>
        </xdr:from>
        <xdr:to>
          <xdr:col>20</xdr:col>
          <xdr:colOff>1171575</xdr:colOff>
          <xdr:row>5</xdr:row>
          <xdr:rowOff>104775</xdr:rowOff>
        </xdr:to>
        <xdr:sp macro="" textlink="">
          <xdr:nvSpPr>
            <xdr:cNvPr id="1054" name="SortEnteredUnpaid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Macro2"/>
      <definedName name="Macro3"/>
      <definedName name="MainQPoolLabels"/>
      <definedName name="NewStartup_Click"/>
      <definedName name="PrelimReg_N"/>
      <definedName name="SortEnteredAlpha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1.xm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7.xm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6.xm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5.xml"/><Relationship Id="rId37" Type="http://schemas.openxmlformats.org/officeDocument/2006/relationships/ctrlProp" Target="../ctrlProps/ctrlProp10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8" Type="http://schemas.openxmlformats.org/officeDocument/2006/relationships/hyperlink" Target="mailto:ellie.miller.hall@gmail.com" TargetMode="External"/><Relationship Id="rId3" Type="http://schemas.openxmlformats.org/officeDocument/2006/relationships/hyperlink" Target="mailto:azelton@outlook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413"/>
  <sheetViews>
    <sheetView tabSelected="1" zoomScaleNormal="100" workbookViewId="0">
      <pane xSplit="1" ySplit="9" topLeftCell="E10" activePane="bottomRight" state="frozen"/>
      <selection pane="topRight" activeCell="B1" sqref="B1"/>
      <selection pane="bottomLeft" activeCell="A2" sqref="A2"/>
      <selection pane="bottomRight" activeCell="M8" sqref="M8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4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7.28515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20" style="16" customWidth="1"/>
    <col min="22" max="22" width="30.5703125" style="16" customWidth="1"/>
    <col min="23" max="23" width="9.140625" style="19" hidden="1" customWidth="1"/>
    <col min="24" max="25" width="9.140625" style="16" hidden="1" customWidth="1"/>
    <col min="26" max="27" width="20" style="16" hidden="1" customWidth="1"/>
    <col min="28" max="28" width="20" style="16" customWidth="1"/>
    <col min="29" max="16384" width="9.140625" style="16"/>
  </cols>
  <sheetData>
    <row r="1" spans="1:28" ht="16.5" customHeight="1" x14ac:dyDescent="0.25">
      <c r="A1" s="15" t="s">
        <v>120</v>
      </c>
      <c r="E1" s="17" t="s">
        <v>106</v>
      </c>
      <c r="K1" s="57" t="s">
        <v>191</v>
      </c>
    </row>
    <row r="2" spans="1:28" ht="16.5" customHeight="1" thickBot="1" x14ac:dyDescent="0.3">
      <c r="A2" s="15"/>
      <c r="E2" s="17" t="s">
        <v>103</v>
      </c>
    </row>
    <row r="3" spans="1:28" ht="16.5" customHeight="1" thickTop="1" thickBot="1" x14ac:dyDescent="0.35">
      <c r="A3" s="13" t="s">
        <v>627</v>
      </c>
      <c r="B3" s="91" t="s">
        <v>389</v>
      </c>
      <c r="C3" s="91"/>
      <c r="D3" s="91"/>
      <c r="E3" s="16" t="s">
        <v>388</v>
      </c>
    </row>
    <row r="4" spans="1:28" ht="16.5" customHeight="1" thickTop="1" x14ac:dyDescent="0.25">
      <c r="A4" s="15"/>
      <c r="D4" s="16" t="s">
        <v>105</v>
      </c>
      <c r="M4" s="16"/>
    </row>
    <row r="5" spans="1:28" ht="16.5" customHeight="1" x14ac:dyDescent="0.3">
      <c r="A5" s="15"/>
      <c r="D5" s="16" t="s">
        <v>104</v>
      </c>
      <c r="G5" s="16" t="s">
        <v>290</v>
      </c>
      <c r="M5" s="16"/>
    </row>
    <row r="6" spans="1:28" x14ac:dyDescent="0.25">
      <c r="M6" s="16"/>
      <c r="P6" s="20"/>
      <c r="T6" s="63"/>
    </row>
    <row r="7" spans="1:28" ht="15.75" customHeight="1" x14ac:dyDescent="0.25">
      <c r="B7" s="16">
        <f>B8*70</f>
        <v>0</v>
      </c>
      <c r="C7" s="41" t="s">
        <v>115</v>
      </c>
      <c r="D7" s="92" t="s">
        <v>490</v>
      </c>
      <c r="E7" s="93"/>
      <c r="G7" s="16">
        <f>G8*10</f>
        <v>0</v>
      </c>
      <c r="H7" s="16">
        <f>H8*10</f>
        <v>0</v>
      </c>
      <c r="I7" s="16">
        <f>I8*20</f>
        <v>0</v>
      </c>
      <c r="J7" s="16">
        <f>J8*50</f>
        <v>0</v>
      </c>
      <c r="P7" s="20"/>
      <c r="T7" s="63"/>
    </row>
    <row r="8" spans="1:28" ht="15.75" customHeight="1" x14ac:dyDescent="0.25">
      <c r="B8" s="21">
        <f>SUM(B10:B311)</f>
        <v>0</v>
      </c>
      <c r="C8" s="21">
        <f>MAX(C10:C311)+1</f>
        <v>1</v>
      </c>
      <c r="D8" s="94"/>
      <c r="E8" s="95"/>
      <c r="G8" s="22">
        <f t="shared" ref="G8:M8" si="0">SUM(G10:G311)</f>
        <v>0</v>
      </c>
      <c r="H8" s="22">
        <f t="shared" si="0"/>
        <v>0</v>
      </c>
      <c r="I8" s="22">
        <f t="shared" si="0"/>
        <v>0</v>
      </c>
      <c r="J8" s="22">
        <f t="shared" si="0"/>
        <v>0</v>
      </c>
      <c r="K8" s="22">
        <f t="shared" si="0"/>
        <v>0</v>
      </c>
      <c r="L8" s="22">
        <f t="shared" si="0"/>
        <v>0</v>
      </c>
      <c r="M8" s="22">
        <f t="shared" si="0"/>
        <v>0</v>
      </c>
      <c r="N8" s="23">
        <f t="shared" ref="N8" si="1">SUM(N10:N311)</f>
        <v>0</v>
      </c>
      <c r="O8" s="52"/>
      <c r="P8" s="20"/>
      <c r="Q8" s="23">
        <f>SUM(Q10:Q311)</f>
        <v>0</v>
      </c>
      <c r="R8" s="23">
        <f>SUM(R10:R311)</f>
        <v>0</v>
      </c>
      <c r="T8" s="22">
        <f>COUNTIF(T10:T297,"=1")</f>
        <v>0</v>
      </c>
      <c r="U8" s="82">
        <f>COUNTIF(U10:U409,"&lt;&gt;")</f>
        <v>86</v>
      </c>
      <c r="W8" s="21">
        <f>SUM(W10:W311)</f>
        <v>163</v>
      </c>
      <c r="X8" s="21">
        <f>SUM(X10:X311)</f>
        <v>0</v>
      </c>
      <c r="Y8" s="40">
        <f>SUM(Y10:Y311)</f>
        <v>0</v>
      </c>
      <c r="Z8" s="82">
        <f>COUNTIF(V10:V409,"&lt;&gt;")</f>
        <v>143</v>
      </c>
      <c r="AA8" s="82"/>
      <c r="AB8" s="82"/>
    </row>
    <row r="9" spans="1:28" ht="30" x14ac:dyDescent="0.25">
      <c r="A9" s="24"/>
      <c r="B9" s="25" t="s">
        <v>100</v>
      </c>
      <c r="C9" s="26" t="s">
        <v>102</v>
      </c>
      <c r="D9" s="27" t="s">
        <v>0</v>
      </c>
      <c r="E9" s="28" t="s">
        <v>1</v>
      </c>
      <c r="F9" s="29" t="s">
        <v>2</v>
      </c>
      <c r="G9" s="26" t="s">
        <v>96</v>
      </c>
      <c r="H9" s="26" t="s">
        <v>97</v>
      </c>
      <c r="I9" s="26" t="s">
        <v>98</v>
      </c>
      <c r="J9" s="26" t="s">
        <v>99</v>
      </c>
      <c r="K9" s="26" t="s">
        <v>3</v>
      </c>
      <c r="L9" s="26" t="s">
        <v>95</v>
      </c>
      <c r="M9" s="26" t="s">
        <v>4</v>
      </c>
      <c r="N9" s="30" t="s">
        <v>107</v>
      </c>
      <c r="O9" s="31" t="s">
        <v>20</v>
      </c>
      <c r="P9" s="32" t="s">
        <v>101</v>
      </c>
      <c r="Q9" s="33" t="s">
        <v>78</v>
      </c>
      <c r="R9" s="33" t="s">
        <v>79</v>
      </c>
      <c r="S9" s="43" t="s">
        <v>94</v>
      </c>
      <c r="T9" s="62" t="s">
        <v>387</v>
      </c>
      <c r="U9" s="51" t="s">
        <v>554</v>
      </c>
      <c r="V9" s="51" t="s">
        <v>121</v>
      </c>
      <c r="W9" s="83" t="s">
        <v>114</v>
      </c>
      <c r="X9" s="84" t="s">
        <v>108</v>
      </c>
      <c r="Y9" s="26" t="s">
        <v>4</v>
      </c>
      <c r="Z9" s="51" t="s">
        <v>630</v>
      </c>
      <c r="AA9" s="51" t="s">
        <v>628</v>
      </c>
      <c r="AB9" s="51" t="s">
        <v>629</v>
      </c>
    </row>
    <row r="10" spans="1:28" x14ac:dyDescent="0.25">
      <c r="A10" s="34">
        <f t="shared" ref="A10:A41" si="2">+A9+1</f>
        <v>1</v>
      </c>
      <c r="B10" s="14"/>
      <c r="C10" s="14"/>
      <c r="D10" s="8" t="s">
        <v>354</v>
      </c>
      <c r="E10" s="8" t="s">
        <v>355</v>
      </c>
      <c r="F10" s="9" t="s">
        <v>356</v>
      </c>
      <c r="G10" s="10"/>
      <c r="H10" s="11"/>
      <c r="I10" s="11"/>
      <c r="J10" s="11"/>
      <c r="K10" s="11"/>
      <c r="L10" s="11"/>
      <c r="M10" s="11"/>
      <c r="N10" s="50"/>
      <c r="O10" s="53"/>
      <c r="P10" s="36"/>
      <c r="Q10" s="49" t="str">
        <f t="shared" ref="Q10:Q28" si="3">IF(O10="c",(70+G10*10+H10*10+I10*20+J10*50),"")</f>
        <v/>
      </c>
      <c r="R10" s="49" t="str">
        <f t="shared" ref="R10:R28" si="4">IF(O10="$",(70+G10*10+H10*10+I10*20+J10*50),"")</f>
        <v/>
      </c>
      <c r="S10" s="44"/>
      <c r="T10" s="38"/>
      <c r="U10" s="79"/>
      <c r="V10" s="5" t="s">
        <v>442</v>
      </c>
      <c r="W10" s="35">
        <f t="shared" ref="W10:W41" si="5">IF(D10&lt;&gt;"",1,"")</f>
        <v>1</v>
      </c>
      <c r="X10" s="35" t="str">
        <f t="shared" ref="X10:X41" si="6">IF(T10&lt;&gt;"",1,"")</f>
        <v/>
      </c>
      <c r="Y10" s="35" t="str">
        <f t="shared" ref="Y10:Y73" si="7">IF(M10=1,IF($B10=1,1,""),"")</f>
        <v/>
      </c>
      <c r="Z10" s="35">
        <f>IF(V10&lt;&gt;"",1,"")</f>
        <v>1</v>
      </c>
      <c r="AA10" s="82"/>
      <c r="AB10" s="82"/>
    </row>
    <row r="11" spans="1:28" x14ac:dyDescent="0.25">
      <c r="A11" s="34">
        <f t="shared" si="2"/>
        <v>2</v>
      </c>
      <c r="B11" s="14"/>
      <c r="C11" s="14"/>
      <c r="D11" s="1" t="s">
        <v>33</v>
      </c>
      <c r="E11" s="1" t="s">
        <v>34</v>
      </c>
      <c r="F11" s="2" t="s">
        <v>245</v>
      </c>
      <c r="G11" s="10"/>
      <c r="H11" s="11"/>
      <c r="I11" s="11"/>
      <c r="J11" s="11"/>
      <c r="K11" s="11"/>
      <c r="L11" s="11"/>
      <c r="M11" s="11"/>
      <c r="N11" s="50"/>
      <c r="O11" s="53"/>
      <c r="P11" s="36"/>
      <c r="Q11" s="49" t="str">
        <f t="shared" si="3"/>
        <v/>
      </c>
      <c r="R11" s="49" t="str">
        <f t="shared" si="4"/>
        <v/>
      </c>
      <c r="S11" s="44"/>
      <c r="T11" s="38"/>
      <c r="U11" s="86" t="s">
        <v>610</v>
      </c>
      <c r="V11" s="5" t="s">
        <v>611</v>
      </c>
      <c r="W11" s="35">
        <f t="shared" si="5"/>
        <v>1</v>
      </c>
      <c r="X11" s="35" t="str">
        <f t="shared" si="6"/>
        <v/>
      </c>
      <c r="Y11" s="35" t="str">
        <f t="shared" si="7"/>
        <v/>
      </c>
      <c r="Z11" s="35">
        <f t="shared" ref="Z11:Z74" si="8">IF(V11&lt;&gt;"",1,"")</f>
        <v>1</v>
      </c>
      <c r="AA11" s="82"/>
      <c r="AB11" s="82"/>
    </row>
    <row r="12" spans="1:28" x14ac:dyDescent="0.25">
      <c r="A12" s="34">
        <f t="shared" si="2"/>
        <v>3</v>
      </c>
      <c r="B12" s="3"/>
      <c r="C12" s="14"/>
      <c r="D12" s="8" t="s">
        <v>322</v>
      </c>
      <c r="E12" s="8" t="s">
        <v>323</v>
      </c>
      <c r="F12" s="9" t="s">
        <v>324</v>
      </c>
      <c r="G12" s="3"/>
      <c r="H12" s="3"/>
      <c r="I12" s="3"/>
      <c r="J12" s="4"/>
      <c r="K12" s="4"/>
      <c r="L12" s="4"/>
      <c r="M12" s="4"/>
      <c r="N12" s="50"/>
      <c r="O12" s="12"/>
      <c r="P12" s="12"/>
      <c r="Q12" s="49" t="str">
        <f t="shared" si="3"/>
        <v/>
      </c>
      <c r="R12" s="49" t="str">
        <f t="shared" si="4"/>
        <v/>
      </c>
      <c r="S12" s="44"/>
      <c r="T12" s="59"/>
      <c r="U12" s="86" t="s">
        <v>631</v>
      </c>
      <c r="V12" s="8" t="s">
        <v>408</v>
      </c>
      <c r="W12" s="35">
        <f t="shared" si="5"/>
        <v>1</v>
      </c>
      <c r="X12" s="35" t="str">
        <f t="shared" si="6"/>
        <v/>
      </c>
      <c r="Y12" s="35" t="str">
        <f t="shared" si="7"/>
        <v/>
      </c>
      <c r="Z12" s="35">
        <f t="shared" si="8"/>
        <v>1</v>
      </c>
      <c r="AA12" s="82"/>
      <c r="AB12" s="82"/>
    </row>
    <row r="13" spans="1:28" x14ac:dyDescent="0.25">
      <c r="A13" s="34">
        <f t="shared" si="2"/>
        <v>4</v>
      </c>
      <c r="B13" s="14"/>
      <c r="C13" s="14"/>
      <c r="D13" s="1" t="s">
        <v>24</v>
      </c>
      <c r="E13" s="1" t="s">
        <v>556</v>
      </c>
      <c r="F13" s="2" t="s">
        <v>557</v>
      </c>
      <c r="G13" s="10"/>
      <c r="H13" s="11"/>
      <c r="I13" s="11"/>
      <c r="J13" s="11"/>
      <c r="K13" s="11"/>
      <c r="L13" s="11"/>
      <c r="M13" s="11"/>
      <c r="N13" s="50"/>
      <c r="O13" s="68"/>
      <c r="P13" s="36"/>
      <c r="Q13" s="49" t="str">
        <f t="shared" si="3"/>
        <v/>
      </c>
      <c r="R13" s="49" t="str">
        <f t="shared" si="4"/>
        <v/>
      </c>
      <c r="S13" s="44"/>
      <c r="T13" s="38"/>
      <c r="U13" s="79"/>
      <c r="V13" s="64"/>
      <c r="W13" s="35">
        <f t="shared" si="5"/>
        <v>1</v>
      </c>
      <c r="X13" s="35" t="str">
        <f t="shared" si="6"/>
        <v/>
      </c>
      <c r="Y13" s="35" t="str">
        <f t="shared" si="7"/>
        <v/>
      </c>
      <c r="Z13" s="35" t="str">
        <f t="shared" si="8"/>
        <v/>
      </c>
      <c r="AA13" s="82"/>
      <c r="AB13" s="82"/>
    </row>
    <row r="14" spans="1:28" x14ac:dyDescent="0.25">
      <c r="A14" s="34">
        <f t="shared" si="2"/>
        <v>5</v>
      </c>
      <c r="B14" s="14"/>
      <c r="C14" s="14"/>
      <c r="D14" s="8" t="s">
        <v>495</v>
      </c>
      <c r="E14" s="8" t="s">
        <v>558</v>
      </c>
      <c r="F14" s="9" t="s">
        <v>525</v>
      </c>
      <c r="G14" s="10"/>
      <c r="H14" s="11"/>
      <c r="I14" s="11"/>
      <c r="J14" s="11"/>
      <c r="K14" s="11"/>
      <c r="L14" s="11"/>
      <c r="M14" s="11"/>
      <c r="N14" s="50"/>
      <c r="O14" s="53"/>
      <c r="P14" s="36"/>
      <c r="Q14" s="49" t="str">
        <f t="shared" si="3"/>
        <v/>
      </c>
      <c r="R14" s="49" t="str">
        <f t="shared" si="4"/>
        <v/>
      </c>
      <c r="S14" s="44"/>
      <c r="T14" s="38"/>
      <c r="U14" s="79">
        <v>9098875893</v>
      </c>
      <c r="V14" s="60" t="s">
        <v>612</v>
      </c>
      <c r="W14" s="35">
        <f t="shared" si="5"/>
        <v>1</v>
      </c>
      <c r="X14" s="35" t="str">
        <f t="shared" si="6"/>
        <v/>
      </c>
      <c r="Y14" s="35" t="str">
        <f t="shared" si="7"/>
        <v/>
      </c>
      <c r="Z14" s="35">
        <f t="shared" si="8"/>
        <v>1</v>
      </c>
      <c r="AA14" s="82"/>
      <c r="AB14" s="82"/>
    </row>
    <row r="15" spans="1:28" x14ac:dyDescent="0.25">
      <c r="A15" s="34">
        <f t="shared" si="2"/>
        <v>6</v>
      </c>
      <c r="B15" s="14"/>
      <c r="C15" s="14"/>
      <c r="D15" s="8" t="s">
        <v>345</v>
      </c>
      <c r="E15" s="8" t="s">
        <v>16</v>
      </c>
      <c r="F15" s="9" t="s">
        <v>346</v>
      </c>
      <c r="G15" s="10"/>
      <c r="H15" s="11"/>
      <c r="I15" s="11"/>
      <c r="J15" s="11"/>
      <c r="K15" s="11"/>
      <c r="L15" s="11"/>
      <c r="M15" s="11"/>
      <c r="N15" s="50"/>
      <c r="O15" s="53"/>
      <c r="P15" s="36"/>
      <c r="Q15" s="49" t="str">
        <f t="shared" si="3"/>
        <v/>
      </c>
      <c r="R15" s="49" t="str">
        <f t="shared" si="4"/>
        <v/>
      </c>
      <c r="S15" s="44"/>
      <c r="T15" s="38"/>
      <c r="U15" s="79"/>
      <c r="V15" s="5" t="s">
        <v>416</v>
      </c>
      <c r="W15" s="35">
        <f t="shared" si="5"/>
        <v>1</v>
      </c>
      <c r="X15" s="35" t="str">
        <f t="shared" si="6"/>
        <v/>
      </c>
      <c r="Y15" s="35" t="str">
        <f t="shared" si="7"/>
        <v/>
      </c>
      <c r="Z15" s="35">
        <f t="shared" si="8"/>
        <v>1</v>
      </c>
      <c r="AA15" s="82"/>
      <c r="AB15" s="82"/>
    </row>
    <row r="16" spans="1:28" x14ac:dyDescent="0.25">
      <c r="A16" s="34">
        <f t="shared" si="2"/>
        <v>7</v>
      </c>
      <c r="B16" s="14"/>
      <c r="C16" s="14"/>
      <c r="D16" s="1" t="s">
        <v>15</v>
      </c>
      <c r="E16" s="1" t="s">
        <v>16</v>
      </c>
      <c r="F16" s="2" t="s">
        <v>212</v>
      </c>
      <c r="G16" s="10"/>
      <c r="H16" s="11"/>
      <c r="I16" s="11"/>
      <c r="J16" s="11"/>
      <c r="K16" s="11"/>
      <c r="L16" s="11"/>
      <c r="M16" s="11"/>
      <c r="N16" s="50"/>
      <c r="O16" s="53"/>
      <c r="P16" s="36"/>
      <c r="Q16" s="49" t="str">
        <f t="shared" si="3"/>
        <v/>
      </c>
      <c r="R16" s="49" t="str">
        <f t="shared" si="4"/>
        <v/>
      </c>
      <c r="S16" s="38"/>
      <c r="T16" s="38"/>
      <c r="U16" s="87">
        <v>9168138609</v>
      </c>
      <c r="V16" s="5" t="s">
        <v>417</v>
      </c>
      <c r="W16" s="35">
        <f t="shared" si="5"/>
        <v>1</v>
      </c>
      <c r="X16" s="35" t="str">
        <f t="shared" si="6"/>
        <v/>
      </c>
      <c r="Y16" s="35" t="str">
        <f t="shared" si="7"/>
        <v/>
      </c>
      <c r="Z16" s="35">
        <f t="shared" si="8"/>
        <v>1</v>
      </c>
      <c r="AA16" s="82"/>
      <c r="AB16" s="82"/>
    </row>
    <row r="17" spans="1:28" x14ac:dyDescent="0.25">
      <c r="A17" s="34">
        <f t="shared" si="2"/>
        <v>8</v>
      </c>
      <c r="B17" s="14"/>
      <c r="C17" s="14"/>
      <c r="D17" s="8" t="s">
        <v>496</v>
      </c>
      <c r="E17" s="8" t="s">
        <v>117</v>
      </c>
      <c r="F17" s="9" t="s">
        <v>526</v>
      </c>
      <c r="G17" s="10"/>
      <c r="H17" s="11"/>
      <c r="I17" s="11"/>
      <c r="J17" s="11"/>
      <c r="K17" s="11"/>
      <c r="L17" s="11"/>
      <c r="M17" s="11"/>
      <c r="N17" s="50"/>
      <c r="O17" s="53"/>
      <c r="P17" s="36"/>
      <c r="Q17" s="49" t="str">
        <f t="shared" si="3"/>
        <v/>
      </c>
      <c r="R17" s="49" t="str">
        <f t="shared" si="4"/>
        <v/>
      </c>
      <c r="S17" s="44"/>
      <c r="T17" s="38"/>
      <c r="U17" s="79">
        <v>5302775321</v>
      </c>
      <c r="V17" s="60" t="s">
        <v>613</v>
      </c>
      <c r="W17" s="35">
        <f t="shared" si="5"/>
        <v>1</v>
      </c>
      <c r="X17" s="35" t="str">
        <f t="shared" si="6"/>
        <v/>
      </c>
      <c r="Y17" s="35" t="str">
        <f t="shared" si="7"/>
        <v/>
      </c>
      <c r="Z17" s="35">
        <f t="shared" si="8"/>
        <v>1</v>
      </c>
      <c r="AA17" s="82"/>
      <c r="AB17" s="82"/>
    </row>
    <row r="18" spans="1:28" x14ac:dyDescent="0.25">
      <c r="A18" s="34">
        <f t="shared" si="2"/>
        <v>9</v>
      </c>
      <c r="B18" s="14"/>
      <c r="C18" s="14"/>
      <c r="D18" s="8" t="s">
        <v>395</v>
      </c>
      <c r="E18" s="8" t="s">
        <v>396</v>
      </c>
      <c r="F18" s="9" t="s">
        <v>397</v>
      </c>
      <c r="G18" s="10"/>
      <c r="H18" s="11"/>
      <c r="I18" s="11"/>
      <c r="J18" s="11"/>
      <c r="K18" s="11"/>
      <c r="L18" s="11"/>
      <c r="M18" s="11"/>
      <c r="N18" s="50"/>
      <c r="O18" s="53"/>
      <c r="P18" s="36"/>
      <c r="Q18" s="49" t="str">
        <f t="shared" si="3"/>
        <v/>
      </c>
      <c r="R18" s="49" t="str">
        <f t="shared" si="4"/>
        <v/>
      </c>
      <c r="S18" s="44"/>
      <c r="T18" s="38"/>
      <c r="U18" s="79"/>
      <c r="V18" s="5" t="s">
        <v>398</v>
      </c>
      <c r="W18" s="35">
        <f t="shared" si="5"/>
        <v>1</v>
      </c>
      <c r="X18" s="35" t="str">
        <f t="shared" si="6"/>
        <v/>
      </c>
      <c r="Y18" s="35" t="str">
        <f t="shared" si="7"/>
        <v/>
      </c>
      <c r="Z18" s="35">
        <f t="shared" si="8"/>
        <v>1</v>
      </c>
      <c r="AA18" s="82"/>
      <c r="AB18" s="82"/>
    </row>
    <row r="19" spans="1:28" x14ac:dyDescent="0.25">
      <c r="A19" s="34">
        <f t="shared" si="2"/>
        <v>10</v>
      </c>
      <c r="B19" s="3"/>
      <c r="C19" s="14"/>
      <c r="D19" s="8" t="s">
        <v>350</v>
      </c>
      <c r="E19" s="8" t="s">
        <v>16</v>
      </c>
      <c r="F19" s="9" t="s">
        <v>351</v>
      </c>
      <c r="G19" s="3"/>
      <c r="H19" s="3"/>
      <c r="I19" s="3"/>
      <c r="J19" s="4"/>
      <c r="K19" s="4"/>
      <c r="L19" s="4"/>
      <c r="M19" s="4"/>
      <c r="N19" s="50"/>
      <c r="O19" s="12"/>
      <c r="P19" s="12"/>
      <c r="Q19" s="49" t="str">
        <f t="shared" si="3"/>
        <v/>
      </c>
      <c r="R19" s="49" t="str">
        <f t="shared" si="4"/>
        <v/>
      </c>
      <c r="S19" s="44"/>
      <c r="T19" s="44"/>
      <c r="U19" s="79">
        <v>9162036636</v>
      </c>
      <c r="V19" s="5" t="s">
        <v>352</v>
      </c>
      <c r="W19" s="35">
        <f t="shared" si="5"/>
        <v>1</v>
      </c>
      <c r="X19" s="35" t="str">
        <f t="shared" si="6"/>
        <v/>
      </c>
      <c r="Y19" s="35" t="str">
        <f t="shared" si="7"/>
        <v/>
      </c>
      <c r="Z19" s="35">
        <f t="shared" si="8"/>
        <v>1</v>
      </c>
      <c r="AA19" s="82"/>
      <c r="AB19" s="82"/>
    </row>
    <row r="20" spans="1:28" x14ac:dyDescent="0.25">
      <c r="A20" s="34">
        <f t="shared" si="2"/>
        <v>11</v>
      </c>
      <c r="B20" s="3"/>
      <c r="C20" s="14"/>
      <c r="D20" s="1" t="s">
        <v>6</v>
      </c>
      <c r="E20" s="1" t="s">
        <v>7</v>
      </c>
      <c r="F20" s="2" t="s">
        <v>214</v>
      </c>
      <c r="G20" s="3"/>
      <c r="H20" s="3"/>
      <c r="I20" s="3"/>
      <c r="J20" s="4"/>
      <c r="K20" s="4"/>
      <c r="L20" s="4"/>
      <c r="M20" s="4"/>
      <c r="N20" s="50"/>
      <c r="O20" s="12"/>
      <c r="P20" s="12"/>
      <c r="Q20" s="49" t="str">
        <f t="shared" si="3"/>
        <v/>
      </c>
      <c r="R20" s="49" t="str">
        <f t="shared" si="4"/>
        <v/>
      </c>
      <c r="S20" s="44"/>
      <c r="T20" s="44"/>
      <c r="U20" s="81">
        <v>7078430109</v>
      </c>
      <c r="V20" s="60" t="s">
        <v>614</v>
      </c>
      <c r="W20" s="35">
        <f t="shared" si="5"/>
        <v>1</v>
      </c>
      <c r="X20" s="35" t="str">
        <f t="shared" si="6"/>
        <v/>
      </c>
      <c r="Y20" s="35" t="str">
        <f t="shared" si="7"/>
        <v/>
      </c>
      <c r="Z20" s="35">
        <f t="shared" si="8"/>
        <v>1</v>
      </c>
      <c r="AA20" s="82"/>
      <c r="AB20" s="82"/>
    </row>
    <row r="21" spans="1:28" x14ac:dyDescent="0.25">
      <c r="A21" s="34">
        <f t="shared" si="2"/>
        <v>12</v>
      </c>
      <c r="B21" s="14"/>
      <c r="C21" s="14"/>
      <c r="D21" s="8" t="s">
        <v>497</v>
      </c>
      <c r="E21" s="8" t="s">
        <v>559</v>
      </c>
      <c r="F21" s="9" t="s">
        <v>527</v>
      </c>
      <c r="G21" s="10"/>
      <c r="H21" s="11"/>
      <c r="I21" s="11"/>
      <c r="J21" s="11"/>
      <c r="K21" s="11"/>
      <c r="L21" s="11"/>
      <c r="M21" s="11"/>
      <c r="N21" s="50"/>
      <c r="O21" s="53"/>
      <c r="P21" s="36"/>
      <c r="Q21" s="49" t="str">
        <f t="shared" si="3"/>
        <v/>
      </c>
      <c r="R21" s="49" t="str">
        <f t="shared" si="4"/>
        <v/>
      </c>
      <c r="S21" s="44"/>
      <c r="T21" s="38"/>
      <c r="U21" s="79">
        <v>8054892161</v>
      </c>
      <c r="V21" s="7" t="s">
        <v>615</v>
      </c>
      <c r="W21" s="35">
        <f t="shared" si="5"/>
        <v>1</v>
      </c>
      <c r="X21" s="35" t="str">
        <f t="shared" si="6"/>
        <v/>
      </c>
      <c r="Y21" s="35" t="str">
        <f t="shared" si="7"/>
        <v/>
      </c>
      <c r="Z21" s="35">
        <f t="shared" si="8"/>
        <v>1</v>
      </c>
      <c r="AA21" s="82"/>
      <c r="AB21" s="82"/>
    </row>
    <row r="22" spans="1:28" x14ac:dyDescent="0.25">
      <c r="A22" s="34">
        <f t="shared" si="2"/>
        <v>13</v>
      </c>
      <c r="B22" s="3"/>
      <c r="C22" s="14"/>
      <c r="D22" s="8" t="s">
        <v>338</v>
      </c>
      <c r="E22" s="8" t="s">
        <v>339</v>
      </c>
      <c r="F22" s="9" t="s">
        <v>340</v>
      </c>
      <c r="G22" s="3"/>
      <c r="H22" s="3"/>
      <c r="I22" s="3"/>
      <c r="J22" s="4"/>
      <c r="K22" s="4"/>
      <c r="L22" s="4"/>
      <c r="M22" s="4"/>
      <c r="N22" s="50"/>
      <c r="O22" s="12"/>
      <c r="P22" s="12"/>
      <c r="Q22" s="49" t="str">
        <f t="shared" si="3"/>
        <v/>
      </c>
      <c r="R22" s="49" t="str">
        <f t="shared" si="4"/>
        <v/>
      </c>
      <c r="S22" s="44"/>
      <c r="T22" s="44"/>
      <c r="U22" s="79" t="s">
        <v>632</v>
      </c>
      <c r="V22" s="5" t="s">
        <v>343</v>
      </c>
      <c r="W22" s="35">
        <f t="shared" si="5"/>
        <v>1</v>
      </c>
      <c r="X22" s="35" t="str">
        <f t="shared" si="6"/>
        <v/>
      </c>
      <c r="Y22" s="35" t="str">
        <f t="shared" si="7"/>
        <v/>
      </c>
      <c r="Z22" s="35">
        <f t="shared" si="8"/>
        <v>1</v>
      </c>
      <c r="AA22" s="82"/>
      <c r="AB22" s="82"/>
    </row>
    <row r="23" spans="1:28" x14ac:dyDescent="0.25">
      <c r="A23" s="34">
        <f t="shared" si="2"/>
        <v>14</v>
      </c>
      <c r="B23" s="3"/>
      <c r="C23" s="14"/>
      <c r="D23" s="8" t="s">
        <v>560</v>
      </c>
      <c r="E23" s="8" t="s">
        <v>148</v>
      </c>
      <c r="F23" s="9" t="s">
        <v>528</v>
      </c>
      <c r="G23" s="3"/>
      <c r="H23" s="3"/>
      <c r="I23" s="3"/>
      <c r="J23" s="4"/>
      <c r="K23" s="4"/>
      <c r="L23" s="4"/>
      <c r="M23" s="4"/>
      <c r="N23" s="50"/>
      <c r="O23" s="12"/>
      <c r="P23" s="12"/>
      <c r="Q23" s="49" t="str">
        <f t="shared" si="3"/>
        <v/>
      </c>
      <c r="R23" s="49" t="str">
        <f t="shared" si="4"/>
        <v/>
      </c>
      <c r="S23" s="44"/>
      <c r="T23" s="44"/>
      <c r="U23" s="79">
        <v>9167055602</v>
      </c>
      <c r="V23" s="7" t="s">
        <v>617</v>
      </c>
      <c r="W23" s="35">
        <f t="shared" si="5"/>
        <v>1</v>
      </c>
      <c r="X23" s="35" t="str">
        <f t="shared" si="6"/>
        <v/>
      </c>
      <c r="Y23" s="35" t="str">
        <f t="shared" si="7"/>
        <v/>
      </c>
      <c r="Z23" s="35">
        <f t="shared" si="8"/>
        <v>1</v>
      </c>
      <c r="AA23" s="82"/>
      <c r="AB23" s="82"/>
    </row>
    <row r="24" spans="1:28" x14ac:dyDescent="0.25">
      <c r="A24" s="34">
        <f t="shared" si="2"/>
        <v>15</v>
      </c>
      <c r="B24" s="14"/>
      <c r="C24" s="14"/>
      <c r="D24" s="1" t="s">
        <v>51</v>
      </c>
      <c r="E24" s="1" t="s">
        <v>5</v>
      </c>
      <c r="F24" s="2" t="s">
        <v>215</v>
      </c>
      <c r="G24" s="10"/>
      <c r="H24" s="11"/>
      <c r="I24" s="11"/>
      <c r="J24" s="11"/>
      <c r="K24" s="11"/>
      <c r="L24" s="11"/>
      <c r="M24" s="11"/>
      <c r="N24" s="50"/>
      <c r="O24" s="53"/>
      <c r="P24" s="36"/>
      <c r="Q24" s="49" t="str">
        <f t="shared" si="3"/>
        <v/>
      </c>
      <c r="R24" s="49" t="str">
        <f t="shared" si="4"/>
        <v/>
      </c>
      <c r="S24" s="44"/>
      <c r="T24" s="38"/>
      <c r="U24" s="75"/>
      <c r="V24" s="5" t="s">
        <v>443</v>
      </c>
      <c r="W24" s="35">
        <f t="shared" si="5"/>
        <v>1</v>
      </c>
      <c r="X24" s="35" t="str">
        <f t="shared" si="6"/>
        <v/>
      </c>
      <c r="Y24" s="35" t="str">
        <f t="shared" si="7"/>
        <v/>
      </c>
      <c r="Z24" s="35">
        <f t="shared" si="8"/>
        <v>1</v>
      </c>
      <c r="AA24" s="82"/>
      <c r="AB24" s="82"/>
    </row>
    <row r="25" spans="1:28" x14ac:dyDescent="0.25">
      <c r="A25" s="34">
        <f t="shared" si="2"/>
        <v>16</v>
      </c>
      <c r="B25" s="3"/>
      <c r="C25" s="14"/>
      <c r="D25" s="1" t="s">
        <v>52</v>
      </c>
      <c r="E25" s="1" t="s">
        <v>5</v>
      </c>
      <c r="F25" s="2" t="s">
        <v>216</v>
      </c>
      <c r="G25" s="4"/>
      <c r="H25" s="4"/>
      <c r="I25" s="4"/>
      <c r="J25" s="4"/>
      <c r="K25" s="4"/>
      <c r="L25" s="4"/>
      <c r="M25" s="4"/>
      <c r="N25" s="50"/>
      <c r="O25" s="12"/>
      <c r="P25" s="12"/>
      <c r="Q25" s="49" t="str">
        <f t="shared" si="3"/>
        <v/>
      </c>
      <c r="R25" s="49" t="str">
        <f t="shared" si="4"/>
        <v/>
      </c>
      <c r="S25" s="44"/>
      <c r="T25" s="44"/>
      <c r="U25" s="86" t="s">
        <v>616</v>
      </c>
      <c r="V25" s="5" t="s">
        <v>443</v>
      </c>
      <c r="W25" s="35">
        <f t="shared" si="5"/>
        <v>1</v>
      </c>
      <c r="X25" s="35" t="str">
        <f t="shared" si="6"/>
        <v/>
      </c>
      <c r="Y25" s="35" t="str">
        <f t="shared" si="7"/>
        <v/>
      </c>
      <c r="Z25" s="35">
        <f t="shared" si="8"/>
        <v>1</v>
      </c>
      <c r="AA25" s="82"/>
      <c r="AB25" s="82"/>
    </row>
    <row r="26" spans="1:28" x14ac:dyDescent="0.25">
      <c r="A26" s="34">
        <f t="shared" si="2"/>
        <v>17</v>
      </c>
      <c r="B26" s="3"/>
      <c r="C26" s="14"/>
      <c r="D26" s="8" t="s">
        <v>189</v>
      </c>
      <c r="E26" s="8" t="s">
        <v>132</v>
      </c>
      <c r="F26" s="9" t="s">
        <v>236</v>
      </c>
      <c r="G26" s="3"/>
      <c r="H26" s="3"/>
      <c r="I26" s="3"/>
      <c r="J26" s="4"/>
      <c r="K26" s="4"/>
      <c r="L26" s="4"/>
      <c r="M26" s="4"/>
      <c r="N26" s="50"/>
      <c r="O26" s="12"/>
      <c r="P26" s="12"/>
      <c r="Q26" s="49" t="str">
        <f t="shared" si="3"/>
        <v/>
      </c>
      <c r="R26" s="49" t="str">
        <f t="shared" si="4"/>
        <v/>
      </c>
      <c r="S26" s="44"/>
      <c r="T26" s="59"/>
      <c r="U26" s="81" t="s">
        <v>618</v>
      </c>
      <c r="V26" s="5" t="s">
        <v>190</v>
      </c>
      <c r="W26" s="35">
        <f t="shared" si="5"/>
        <v>1</v>
      </c>
      <c r="X26" s="35" t="str">
        <f t="shared" si="6"/>
        <v/>
      </c>
      <c r="Y26" s="35" t="str">
        <f t="shared" si="7"/>
        <v/>
      </c>
      <c r="Z26" s="35">
        <f t="shared" si="8"/>
        <v>1</v>
      </c>
      <c r="AA26" s="82"/>
      <c r="AB26" s="82"/>
    </row>
    <row r="27" spans="1:28" x14ac:dyDescent="0.25">
      <c r="A27" s="34">
        <f t="shared" si="2"/>
        <v>18</v>
      </c>
      <c r="B27" s="14"/>
      <c r="C27" s="14"/>
      <c r="D27" s="8" t="s">
        <v>160</v>
      </c>
      <c r="E27" s="1" t="s">
        <v>5</v>
      </c>
      <c r="F27" s="9" t="s">
        <v>246</v>
      </c>
      <c r="G27" s="10"/>
      <c r="H27" s="11"/>
      <c r="I27" s="11"/>
      <c r="J27" s="11"/>
      <c r="K27" s="11"/>
      <c r="L27" s="11"/>
      <c r="M27" s="11"/>
      <c r="N27" s="50"/>
      <c r="O27" s="53"/>
      <c r="P27" s="36"/>
      <c r="Q27" s="49" t="str">
        <f t="shared" si="3"/>
        <v/>
      </c>
      <c r="R27" s="49" t="str">
        <f t="shared" si="4"/>
        <v/>
      </c>
      <c r="S27" s="38"/>
      <c r="T27" s="38"/>
      <c r="U27" s="81" t="s">
        <v>618</v>
      </c>
      <c r="V27" s="5" t="s">
        <v>620</v>
      </c>
      <c r="W27" s="35">
        <f t="shared" si="5"/>
        <v>1</v>
      </c>
      <c r="X27" s="35" t="str">
        <f t="shared" si="6"/>
        <v/>
      </c>
      <c r="Y27" s="35" t="str">
        <f t="shared" si="7"/>
        <v/>
      </c>
      <c r="Z27" s="35">
        <f t="shared" si="8"/>
        <v>1</v>
      </c>
      <c r="AA27" s="82"/>
      <c r="AB27" s="82"/>
    </row>
    <row r="28" spans="1:28" x14ac:dyDescent="0.25">
      <c r="A28" s="34">
        <f t="shared" si="2"/>
        <v>19</v>
      </c>
      <c r="B28" s="14"/>
      <c r="C28" s="14"/>
      <c r="D28" s="8" t="s">
        <v>333</v>
      </c>
      <c r="E28" s="8" t="s">
        <v>331</v>
      </c>
      <c r="F28" s="9" t="s">
        <v>334</v>
      </c>
      <c r="G28" s="10"/>
      <c r="H28" s="11"/>
      <c r="I28" s="11"/>
      <c r="J28" s="11"/>
      <c r="K28" s="11"/>
      <c r="L28" s="11"/>
      <c r="M28" s="11"/>
      <c r="N28" s="50"/>
      <c r="O28" s="53"/>
      <c r="P28" s="36"/>
      <c r="Q28" s="49" t="str">
        <f t="shared" si="3"/>
        <v/>
      </c>
      <c r="R28" s="49" t="str">
        <f t="shared" si="4"/>
        <v/>
      </c>
      <c r="S28" s="38"/>
      <c r="T28" s="38"/>
      <c r="U28" s="79"/>
      <c r="V28" s="5" t="s">
        <v>444</v>
      </c>
      <c r="W28" s="35">
        <f t="shared" si="5"/>
        <v>1</v>
      </c>
      <c r="X28" s="35" t="str">
        <f t="shared" si="6"/>
        <v/>
      </c>
      <c r="Y28" s="35" t="str">
        <f t="shared" si="7"/>
        <v/>
      </c>
      <c r="Z28" s="35">
        <f t="shared" si="8"/>
        <v>1</v>
      </c>
      <c r="AA28" s="82"/>
      <c r="AB28" s="82"/>
    </row>
    <row r="29" spans="1:28" x14ac:dyDescent="0.25">
      <c r="A29" s="34">
        <f t="shared" si="2"/>
        <v>20</v>
      </c>
      <c r="B29" s="3"/>
      <c r="C29" s="14"/>
      <c r="D29" s="8" t="s">
        <v>392</v>
      </c>
      <c r="E29" s="8" t="s">
        <v>393</v>
      </c>
      <c r="F29" s="9" t="s">
        <v>248</v>
      </c>
      <c r="G29" s="3"/>
      <c r="H29" s="3"/>
      <c r="I29" s="3"/>
      <c r="J29" s="4"/>
      <c r="K29" s="4"/>
      <c r="L29" s="4"/>
      <c r="M29" s="4"/>
      <c r="N29" s="50"/>
      <c r="O29" s="12"/>
      <c r="P29" s="12"/>
      <c r="Q29" s="49" t="str">
        <f>IF(O29="c",+N29,"")</f>
        <v/>
      </c>
      <c r="R29" s="49" t="str">
        <f>IF($O29="$",+$N29,"")</f>
        <v/>
      </c>
      <c r="S29" s="44"/>
      <c r="T29" s="44"/>
      <c r="U29" s="79" t="s">
        <v>619</v>
      </c>
      <c r="V29" s="5" t="s">
        <v>394</v>
      </c>
      <c r="W29" s="35">
        <f t="shared" si="5"/>
        <v>1</v>
      </c>
      <c r="X29" s="35" t="str">
        <f t="shared" si="6"/>
        <v/>
      </c>
      <c r="Y29" s="35" t="str">
        <f t="shared" si="7"/>
        <v/>
      </c>
      <c r="Z29" s="35">
        <f t="shared" si="8"/>
        <v>1</v>
      </c>
      <c r="AA29" s="82"/>
      <c r="AB29" s="82"/>
    </row>
    <row r="30" spans="1:28" x14ac:dyDescent="0.25">
      <c r="A30" s="34">
        <f t="shared" si="2"/>
        <v>21</v>
      </c>
      <c r="B30" s="14"/>
      <c r="C30" s="14"/>
      <c r="D30" s="1" t="s">
        <v>13</v>
      </c>
      <c r="E30" s="1" t="s">
        <v>14</v>
      </c>
      <c r="F30" s="2" t="s">
        <v>210</v>
      </c>
      <c r="G30" s="10"/>
      <c r="H30" s="11"/>
      <c r="I30" s="11"/>
      <c r="J30" s="11"/>
      <c r="K30" s="11"/>
      <c r="L30" s="11"/>
      <c r="M30" s="11"/>
      <c r="N30" s="50"/>
      <c r="O30" s="53"/>
      <c r="P30" s="36"/>
      <c r="Q30" s="49" t="str">
        <f t="shared" ref="Q30:Q61" si="9">IF(O30="c",(70+G30*10+H30*10+I30*20+J30*50),"")</f>
        <v/>
      </c>
      <c r="R30" s="49" t="str">
        <f t="shared" ref="R30:R61" si="10">IF(O30="$",(70+G30*10+H30*10+I30*20+J30*50),"")</f>
        <v/>
      </c>
      <c r="S30" s="38"/>
      <c r="T30" s="38"/>
      <c r="U30" s="79"/>
      <c r="V30" s="5" t="s">
        <v>128</v>
      </c>
      <c r="W30" s="35">
        <f t="shared" si="5"/>
        <v>1</v>
      </c>
      <c r="X30" s="35" t="str">
        <f t="shared" si="6"/>
        <v/>
      </c>
      <c r="Y30" s="35" t="str">
        <f t="shared" si="7"/>
        <v/>
      </c>
      <c r="Z30" s="35">
        <f t="shared" si="8"/>
        <v>1</v>
      </c>
      <c r="AA30" s="82"/>
      <c r="AB30" s="82"/>
    </row>
    <row r="31" spans="1:28" x14ac:dyDescent="0.25">
      <c r="A31" s="34">
        <f t="shared" si="2"/>
        <v>22</v>
      </c>
      <c r="B31" s="14"/>
      <c r="C31" s="14"/>
      <c r="D31" s="8" t="s">
        <v>325</v>
      </c>
      <c r="E31" s="8" t="s">
        <v>37</v>
      </c>
      <c r="F31" s="9" t="s">
        <v>326</v>
      </c>
      <c r="G31" s="10"/>
      <c r="H31" s="11"/>
      <c r="I31" s="11"/>
      <c r="J31" s="11"/>
      <c r="K31" s="11"/>
      <c r="L31" s="11"/>
      <c r="M31" s="11"/>
      <c r="N31" s="50"/>
      <c r="O31" s="53"/>
      <c r="P31" s="36"/>
      <c r="Q31" s="49" t="str">
        <f t="shared" si="9"/>
        <v/>
      </c>
      <c r="R31" s="49" t="str">
        <f t="shared" si="10"/>
        <v/>
      </c>
      <c r="S31" s="38"/>
      <c r="T31" s="38"/>
      <c r="U31" s="79"/>
      <c r="V31" s="5"/>
      <c r="W31" s="35">
        <f t="shared" si="5"/>
        <v>1</v>
      </c>
      <c r="X31" s="35" t="str">
        <f t="shared" si="6"/>
        <v/>
      </c>
      <c r="Y31" s="35" t="str">
        <f t="shared" si="7"/>
        <v/>
      </c>
      <c r="Z31" s="35" t="str">
        <f t="shared" si="8"/>
        <v/>
      </c>
      <c r="AA31" s="82"/>
      <c r="AB31" s="82"/>
    </row>
    <row r="32" spans="1:28" x14ac:dyDescent="0.25">
      <c r="A32" s="34">
        <f t="shared" si="2"/>
        <v>23</v>
      </c>
      <c r="B32" s="14"/>
      <c r="C32" s="14"/>
      <c r="D32" s="8" t="s">
        <v>308</v>
      </c>
      <c r="E32" s="8" t="s">
        <v>48</v>
      </c>
      <c r="F32" s="9" t="s">
        <v>309</v>
      </c>
      <c r="G32" s="10"/>
      <c r="H32" s="11"/>
      <c r="I32" s="11"/>
      <c r="J32" s="11"/>
      <c r="K32" s="11"/>
      <c r="L32" s="11"/>
      <c r="M32" s="11"/>
      <c r="N32" s="50"/>
      <c r="O32" s="53"/>
      <c r="P32" s="36"/>
      <c r="Q32" s="49" t="str">
        <f t="shared" si="9"/>
        <v/>
      </c>
      <c r="R32" s="49" t="str">
        <f t="shared" si="10"/>
        <v/>
      </c>
      <c r="S32" s="38"/>
      <c r="T32" s="38"/>
      <c r="U32" s="81">
        <v>9253213485</v>
      </c>
      <c r="V32" s="5"/>
      <c r="W32" s="35">
        <f t="shared" si="5"/>
        <v>1</v>
      </c>
      <c r="X32" s="35" t="str">
        <f t="shared" si="6"/>
        <v/>
      </c>
      <c r="Y32" s="35" t="str">
        <f t="shared" si="7"/>
        <v/>
      </c>
      <c r="Z32" s="35" t="str">
        <f t="shared" si="8"/>
        <v/>
      </c>
      <c r="AA32" s="82"/>
      <c r="AB32" s="82"/>
    </row>
    <row r="33" spans="1:28" x14ac:dyDescent="0.25">
      <c r="A33" s="34">
        <f t="shared" si="2"/>
        <v>24</v>
      </c>
      <c r="B33" s="14"/>
      <c r="C33" s="14"/>
      <c r="D33" s="8" t="s">
        <v>306</v>
      </c>
      <c r="E33" s="8" t="s">
        <v>48</v>
      </c>
      <c r="F33" s="9" t="s">
        <v>307</v>
      </c>
      <c r="G33" s="10"/>
      <c r="H33" s="11"/>
      <c r="I33" s="11"/>
      <c r="J33" s="11"/>
      <c r="K33" s="11"/>
      <c r="L33" s="11"/>
      <c r="M33" s="11"/>
      <c r="N33" s="50"/>
      <c r="O33" s="53"/>
      <c r="P33" s="12"/>
      <c r="Q33" s="49" t="str">
        <f t="shared" si="9"/>
        <v/>
      </c>
      <c r="R33" s="49" t="str">
        <f t="shared" si="10"/>
        <v/>
      </c>
      <c r="S33" s="44"/>
      <c r="T33" s="38"/>
      <c r="U33" s="79"/>
      <c r="V33" s="60" t="s">
        <v>310</v>
      </c>
      <c r="W33" s="35">
        <f t="shared" si="5"/>
        <v>1</v>
      </c>
      <c r="X33" s="35" t="str">
        <f t="shared" si="6"/>
        <v/>
      </c>
      <c r="Y33" s="35" t="str">
        <f t="shared" si="7"/>
        <v/>
      </c>
      <c r="Z33" s="35">
        <f t="shared" si="8"/>
        <v>1</v>
      </c>
      <c r="AA33" s="82"/>
      <c r="AB33" s="82"/>
    </row>
    <row r="34" spans="1:28" x14ac:dyDescent="0.25">
      <c r="A34" s="34">
        <f t="shared" si="2"/>
        <v>25</v>
      </c>
      <c r="B34" s="3"/>
      <c r="C34" s="14"/>
      <c r="D34" s="1" t="s">
        <v>63</v>
      </c>
      <c r="E34" s="1" t="s">
        <v>18</v>
      </c>
      <c r="F34" s="2" t="s">
        <v>247</v>
      </c>
      <c r="G34" s="3"/>
      <c r="H34" s="3"/>
      <c r="I34" s="3"/>
      <c r="J34" s="4"/>
      <c r="K34" s="4"/>
      <c r="L34" s="4"/>
      <c r="M34" s="4"/>
      <c r="N34" s="50"/>
      <c r="O34" s="12"/>
      <c r="P34" s="12"/>
      <c r="Q34" s="49" t="str">
        <f t="shared" si="9"/>
        <v/>
      </c>
      <c r="R34" s="49" t="str">
        <f t="shared" si="10"/>
        <v/>
      </c>
      <c r="S34" s="44"/>
      <c r="T34" s="44"/>
      <c r="U34" s="6" t="s">
        <v>633</v>
      </c>
      <c r="V34" s="5" t="s">
        <v>570</v>
      </c>
      <c r="W34" s="35">
        <f t="shared" si="5"/>
        <v>1</v>
      </c>
      <c r="X34" s="35" t="str">
        <f t="shared" si="6"/>
        <v/>
      </c>
      <c r="Y34" s="35" t="str">
        <f t="shared" si="7"/>
        <v/>
      </c>
      <c r="Z34" s="35">
        <f t="shared" si="8"/>
        <v>1</v>
      </c>
      <c r="AA34" s="82"/>
      <c r="AB34" s="82"/>
    </row>
    <row r="35" spans="1:28" x14ac:dyDescent="0.25">
      <c r="A35" s="34">
        <f t="shared" si="2"/>
        <v>26</v>
      </c>
      <c r="B35" s="3"/>
      <c r="C35" s="14"/>
      <c r="D35" s="1" t="s">
        <v>38</v>
      </c>
      <c r="E35" s="1" t="s">
        <v>39</v>
      </c>
      <c r="F35" s="2" t="s">
        <v>225</v>
      </c>
      <c r="G35" s="3"/>
      <c r="H35" s="3"/>
      <c r="I35" s="3"/>
      <c r="J35" s="4"/>
      <c r="K35" s="4"/>
      <c r="L35" s="4"/>
      <c r="M35" s="4"/>
      <c r="N35" s="50"/>
      <c r="O35" s="12"/>
      <c r="P35" s="12"/>
      <c r="Q35" s="49" t="str">
        <f t="shared" si="9"/>
        <v/>
      </c>
      <c r="R35" s="49" t="str">
        <f t="shared" si="10"/>
        <v/>
      </c>
      <c r="S35" s="44"/>
      <c r="T35" s="44"/>
      <c r="U35" s="79"/>
      <c r="V35" s="5" t="s">
        <v>181</v>
      </c>
      <c r="W35" s="35">
        <f t="shared" si="5"/>
        <v>1</v>
      </c>
      <c r="X35" s="35" t="str">
        <f t="shared" si="6"/>
        <v/>
      </c>
      <c r="Y35" s="35" t="str">
        <f t="shared" si="7"/>
        <v/>
      </c>
      <c r="Z35" s="35">
        <f t="shared" si="8"/>
        <v>1</v>
      </c>
      <c r="AA35" s="82"/>
      <c r="AB35" s="82"/>
    </row>
    <row r="36" spans="1:28" ht="15.75" x14ac:dyDescent="0.25">
      <c r="A36" s="34">
        <f t="shared" si="2"/>
        <v>27</v>
      </c>
      <c r="B36" s="3"/>
      <c r="C36" s="14"/>
      <c r="D36" s="1" t="s">
        <v>548</v>
      </c>
      <c r="E36" s="1" t="s">
        <v>538</v>
      </c>
      <c r="F36" s="72" t="s">
        <v>539</v>
      </c>
      <c r="G36" s="3"/>
      <c r="H36" s="3"/>
      <c r="I36" s="3"/>
      <c r="J36" s="4"/>
      <c r="K36" s="4"/>
      <c r="L36" s="4"/>
      <c r="M36" s="4"/>
      <c r="N36" s="50"/>
      <c r="O36" s="12"/>
      <c r="P36" s="12"/>
      <c r="Q36" s="49" t="str">
        <f t="shared" si="9"/>
        <v/>
      </c>
      <c r="R36" s="49" t="str">
        <f t="shared" si="10"/>
        <v/>
      </c>
      <c r="S36" s="44"/>
      <c r="T36" s="44"/>
      <c r="U36" s="81">
        <v>9705539123</v>
      </c>
      <c r="V36" s="7" t="s">
        <v>622</v>
      </c>
      <c r="W36" s="35">
        <f t="shared" si="5"/>
        <v>1</v>
      </c>
      <c r="X36" s="35" t="str">
        <f t="shared" si="6"/>
        <v/>
      </c>
      <c r="Y36" s="35" t="str">
        <f t="shared" si="7"/>
        <v/>
      </c>
      <c r="Z36" s="35">
        <f t="shared" si="8"/>
        <v>1</v>
      </c>
      <c r="AA36" s="82"/>
      <c r="AB36" s="82"/>
    </row>
    <row r="37" spans="1:28" x14ac:dyDescent="0.25">
      <c r="A37" s="34">
        <f t="shared" si="2"/>
        <v>28</v>
      </c>
      <c r="B37" s="3"/>
      <c r="C37" s="14"/>
      <c r="D37" s="8" t="s">
        <v>360</v>
      </c>
      <c r="E37" s="8" t="s">
        <v>86</v>
      </c>
      <c r="F37" s="9" t="s">
        <v>361</v>
      </c>
      <c r="G37" s="3"/>
      <c r="H37" s="3"/>
      <c r="I37" s="3"/>
      <c r="J37" s="4"/>
      <c r="K37" s="4"/>
      <c r="L37" s="4"/>
      <c r="M37" s="4"/>
      <c r="N37" s="50"/>
      <c r="O37" s="12"/>
      <c r="P37" s="12"/>
      <c r="Q37" s="49" t="str">
        <f t="shared" si="9"/>
        <v/>
      </c>
      <c r="R37" s="49" t="str">
        <f t="shared" si="10"/>
        <v/>
      </c>
      <c r="S37" s="44"/>
      <c r="T37" s="44"/>
      <c r="U37" s="88" t="s">
        <v>621</v>
      </c>
      <c r="V37" s="5" t="s">
        <v>381</v>
      </c>
      <c r="W37" s="35">
        <f t="shared" si="5"/>
        <v>1</v>
      </c>
      <c r="X37" s="35" t="str">
        <f t="shared" si="6"/>
        <v/>
      </c>
      <c r="Y37" s="35" t="str">
        <f t="shared" si="7"/>
        <v/>
      </c>
      <c r="Z37" s="35">
        <f t="shared" si="8"/>
        <v>1</v>
      </c>
      <c r="AA37" s="82"/>
      <c r="AB37" s="82"/>
    </row>
    <row r="38" spans="1:28" x14ac:dyDescent="0.25">
      <c r="A38" s="34">
        <f t="shared" si="2"/>
        <v>29</v>
      </c>
      <c r="B38" s="14"/>
      <c r="C38" s="14"/>
      <c r="D38" s="1" t="s">
        <v>76</v>
      </c>
      <c r="E38" s="1" t="s">
        <v>67</v>
      </c>
      <c r="F38" s="2" t="s">
        <v>223</v>
      </c>
      <c r="G38" s="10"/>
      <c r="H38" s="11"/>
      <c r="I38" s="11"/>
      <c r="J38" s="11"/>
      <c r="K38" s="11"/>
      <c r="L38" s="11"/>
      <c r="M38" s="11"/>
      <c r="N38" s="50"/>
      <c r="O38" s="53"/>
      <c r="P38" s="12"/>
      <c r="Q38" s="49" t="str">
        <f t="shared" si="9"/>
        <v/>
      </c>
      <c r="R38" s="49" t="str">
        <f t="shared" si="10"/>
        <v/>
      </c>
      <c r="S38" s="44"/>
      <c r="T38" s="38"/>
      <c r="U38" s="79"/>
      <c r="V38" s="5" t="s">
        <v>182</v>
      </c>
      <c r="W38" s="35">
        <f t="shared" si="5"/>
        <v>1</v>
      </c>
      <c r="X38" s="35" t="str">
        <f t="shared" si="6"/>
        <v/>
      </c>
      <c r="Y38" s="35" t="str">
        <f t="shared" si="7"/>
        <v/>
      </c>
      <c r="Z38" s="35">
        <f t="shared" si="8"/>
        <v>1</v>
      </c>
      <c r="AA38" s="82"/>
      <c r="AB38" s="82"/>
    </row>
    <row r="39" spans="1:28" x14ac:dyDescent="0.25">
      <c r="A39" s="34">
        <f t="shared" si="2"/>
        <v>30</v>
      </c>
      <c r="B39" s="14"/>
      <c r="C39" s="14"/>
      <c r="D39" s="1" t="s">
        <v>8</v>
      </c>
      <c r="E39" s="1" t="s">
        <v>37</v>
      </c>
      <c r="F39" s="2" t="s">
        <v>222</v>
      </c>
      <c r="G39" s="10"/>
      <c r="H39" s="11"/>
      <c r="I39" s="11"/>
      <c r="J39" s="11"/>
      <c r="K39" s="11"/>
      <c r="L39" s="11"/>
      <c r="M39" s="11"/>
      <c r="N39" s="50"/>
      <c r="O39" s="53"/>
      <c r="P39" s="36"/>
      <c r="Q39" s="49" t="str">
        <f t="shared" si="9"/>
        <v/>
      </c>
      <c r="R39" s="49" t="str">
        <f t="shared" si="10"/>
        <v/>
      </c>
      <c r="S39" s="44"/>
      <c r="T39" s="38"/>
      <c r="U39" s="81" t="s">
        <v>634</v>
      </c>
      <c r="V39" s="60" t="s">
        <v>623</v>
      </c>
      <c r="W39" s="35">
        <f t="shared" si="5"/>
        <v>1</v>
      </c>
      <c r="X39" s="35" t="str">
        <f t="shared" si="6"/>
        <v/>
      </c>
      <c r="Y39" s="35" t="str">
        <f t="shared" si="7"/>
        <v/>
      </c>
      <c r="Z39" s="35">
        <f t="shared" si="8"/>
        <v>1</v>
      </c>
      <c r="AA39" s="82"/>
      <c r="AB39" s="82"/>
    </row>
    <row r="40" spans="1:28" x14ac:dyDescent="0.25">
      <c r="A40" s="34">
        <f t="shared" si="2"/>
        <v>31</v>
      </c>
      <c r="B40" s="14"/>
      <c r="C40" s="14"/>
      <c r="D40" s="8" t="s">
        <v>327</v>
      </c>
      <c r="E40" s="8" t="s">
        <v>67</v>
      </c>
      <c r="F40" s="9" t="s">
        <v>328</v>
      </c>
      <c r="G40" s="10"/>
      <c r="H40" s="11"/>
      <c r="I40" s="11"/>
      <c r="J40" s="11"/>
      <c r="K40" s="11"/>
      <c r="L40" s="11"/>
      <c r="M40" s="11"/>
      <c r="N40" s="50"/>
      <c r="O40" s="53"/>
      <c r="P40" s="12"/>
      <c r="Q40" s="49" t="str">
        <f t="shared" si="9"/>
        <v/>
      </c>
      <c r="R40" s="49" t="str">
        <f t="shared" si="10"/>
        <v/>
      </c>
      <c r="S40" s="44"/>
      <c r="T40" s="38"/>
      <c r="U40" s="81">
        <v>7073175740</v>
      </c>
      <c r="V40" s="5" t="s">
        <v>445</v>
      </c>
      <c r="W40" s="35">
        <f t="shared" si="5"/>
        <v>1</v>
      </c>
      <c r="X40" s="35" t="str">
        <f t="shared" si="6"/>
        <v/>
      </c>
      <c r="Y40" s="35" t="str">
        <f t="shared" si="7"/>
        <v/>
      </c>
      <c r="Z40" s="35">
        <f t="shared" si="8"/>
        <v>1</v>
      </c>
      <c r="AA40" s="82"/>
      <c r="AB40" s="82"/>
    </row>
    <row r="41" spans="1:28" x14ac:dyDescent="0.25">
      <c r="A41" s="34">
        <f t="shared" si="2"/>
        <v>32</v>
      </c>
      <c r="B41" s="14"/>
      <c r="C41" s="14"/>
      <c r="D41" s="1" t="s">
        <v>45</v>
      </c>
      <c r="E41" s="1" t="s">
        <v>46</v>
      </c>
      <c r="F41" s="2" t="s">
        <v>249</v>
      </c>
      <c r="G41" s="10"/>
      <c r="H41" s="11"/>
      <c r="I41" s="11"/>
      <c r="J41" s="11"/>
      <c r="K41" s="11"/>
      <c r="L41" s="11"/>
      <c r="M41" s="11"/>
      <c r="N41" s="50"/>
      <c r="O41" s="53"/>
      <c r="P41" s="36"/>
      <c r="Q41" s="49" t="str">
        <f t="shared" si="9"/>
        <v/>
      </c>
      <c r="R41" s="49" t="str">
        <f t="shared" si="10"/>
        <v/>
      </c>
      <c r="S41" s="44"/>
      <c r="T41" s="38"/>
      <c r="U41" s="79"/>
      <c r="V41" s="5" t="s">
        <v>418</v>
      </c>
      <c r="W41" s="35">
        <f t="shared" si="5"/>
        <v>1</v>
      </c>
      <c r="X41" s="35" t="str">
        <f t="shared" si="6"/>
        <v/>
      </c>
      <c r="Y41" s="35" t="str">
        <f t="shared" si="7"/>
        <v/>
      </c>
      <c r="Z41" s="35">
        <f t="shared" si="8"/>
        <v>1</v>
      </c>
      <c r="AA41" s="82"/>
      <c r="AB41" s="82"/>
    </row>
    <row r="42" spans="1:28" x14ac:dyDescent="0.25">
      <c r="A42" s="34">
        <f t="shared" ref="A42:A73" si="11">+A41+1</f>
        <v>33</v>
      </c>
      <c r="B42" s="3"/>
      <c r="C42" s="14"/>
      <c r="D42" s="1" t="s">
        <v>83</v>
      </c>
      <c r="E42" s="1" t="s">
        <v>84</v>
      </c>
      <c r="F42" s="2" t="s">
        <v>238</v>
      </c>
      <c r="G42" s="3"/>
      <c r="H42" s="3"/>
      <c r="I42" s="3"/>
      <c r="J42" s="4"/>
      <c r="K42" s="4"/>
      <c r="L42" s="4"/>
      <c r="M42" s="4"/>
      <c r="N42" s="50"/>
      <c r="O42" s="12"/>
      <c r="P42" s="12"/>
      <c r="Q42" s="49" t="str">
        <f t="shared" si="9"/>
        <v/>
      </c>
      <c r="R42" s="49" t="str">
        <f t="shared" si="10"/>
        <v/>
      </c>
      <c r="S42" s="44"/>
      <c r="T42" s="44"/>
      <c r="U42" s="81" t="s">
        <v>624</v>
      </c>
      <c r="V42" s="5" t="s">
        <v>194</v>
      </c>
      <c r="W42" s="35">
        <f t="shared" ref="W42:W73" si="12">IF(D42&lt;&gt;"",1,"")</f>
        <v>1</v>
      </c>
      <c r="X42" s="35" t="str">
        <f t="shared" ref="X42:X69" si="13">IF(T42&lt;&gt;"",1,"")</f>
        <v/>
      </c>
      <c r="Y42" s="35" t="str">
        <f t="shared" si="7"/>
        <v/>
      </c>
      <c r="Z42" s="35">
        <f t="shared" si="8"/>
        <v>1</v>
      </c>
      <c r="AA42" s="82"/>
      <c r="AB42" s="82"/>
    </row>
    <row r="43" spans="1:28" x14ac:dyDescent="0.25">
      <c r="A43" s="34">
        <f t="shared" si="11"/>
        <v>34</v>
      </c>
      <c r="B43" s="14"/>
      <c r="C43" s="14"/>
      <c r="D43" s="8" t="s">
        <v>357</v>
      </c>
      <c r="E43" s="8" t="s">
        <v>358</v>
      </c>
      <c r="F43" s="9" t="s">
        <v>359</v>
      </c>
      <c r="G43" s="10"/>
      <c r="H43" s="11"/>
      <c r="I43" s="11"/>
      <c r="J43" s="11"/>
      <c r="K43" s="11"/>
      <c r="L43" s="11"/>
      <c r="M43" s="11"/>
      <c r="N43" s="50"/>
      <c r="O43" s="53"/>
      <c r="P43" s="36"/>
      <c r="Q43" s="49" t="str">
        <f t="shared" si="9"/>
        <v/>
      </c>
      <c r="R43" s="49" t="str">
        <f t="shared" si="10"/>
        <v/>
      </c>
      <c r="S43" s="38"/>
      <c r="T43" s="38"/>
      <c r="U43" s="81"/>
      <c r="V43" s="5" t="s">
        <v>479</v>
      </c>
      <c r="W43" s="35">
        <f t="shared" si="12"/>
        <v>1</v>
      </c>
      <c r="X43" s="35" t="str">
        <f t="shared" si="13"/>
        <v/>
      </c>
      <c r="Y43" s="35" t="str">
        <f t="shared" si="7"/>
        <v/>
      </c>
      <c r="Z43" s="35">
        <f t="shared" si="8"/>
        <v>1</v>
      </c>
      <c r="AA43" s="82"/>
      <c r="AB43" s="82"/>
    </row>
    <row r="44" spans="1:28" x14ac:dyDescent="0.25">
      <c r="A44" s="34">
        <f t="shared" si="11"/>
        <v>35</v>
      </c>
      <c r="B44" s="14"/>
      <c r="C44" s="14"/>
      <c r="D44" s="1" t="s">
        <v>64</v>
      </c>
      <c r="E44" s="1" t="s">
        <v>65</v>
      </c>
      <c r="F44" s="2" t="s">
        <v>277</v>
      </c>
      <c r="G44" s="10"/>
      <c r="H44" s="11"/>
      <c r="I44" s="11"/>
      <c r="J44" s="11"/>
      <c r="K44" s="11"/>
      <c r="L44" s="11"/>
      <c r="M44" s="11"/>
      <c r="N44" s="50"/>
      <c r="O44" s="53"/>
      <c r="P44" s="36"/>
      <c r="Q44" s="49" t="str">
        <f t="shared" si="9"/>
        <v/>
      </c>
      <c r="R44" s="49" t="str">
        <f t="shared" si="10"/>
        <v/>
      </c>
      <c r="S44" s="44"/>
      <c r="T44" s="38"/>
      <c r="U44" s="79">
        <v>2097537947</v>
      </c>
      <c r="V44" s="5" t="s">
        <v>446</v>
      </c>
      <c r="W44" s="35">
        <f t="shared" si="12"/>
        <v>1</v>
      </c>
      <c r="X44" s="35" t="str">
        <f t="shared" si="13"/>
        <v/>
      </c>
      <c r="Y44" s="35" t="str">
        <f t="shared" si="7"/>
        <v/>
      </c>
      <c r="Z44" s="35">
        <f t="shared" si="8"/>
        <v>1</v>
      </c>
      <c r="AA44" s="82"/>
      <c r="AB44" s="82"/>
    </row>
    <row r="45" spans="1:28" x14ac:dyDescent="0.25">
      <c r="A45" s="34">
        <f t="shared" si="11"/>
        <v>36</v>
      </c>
      <c r="B45" s="3"/>
      <c r="C45" s="14"/>
      <c r="D45" s="8" t="s">
        <v>149</v>
      </c>
      <c r="E45" s="8" t="s">
        <v>82</v>
      </c>
      <c r="F45" s="9" t="s">
        <v>250</v>
      </c>
      <c r="G45" s="3"/>
      <c r="H45" s="3"/>
      <c r="I45" s="3"/>
      <c r="J45" s="4"/>
      <c r="K45" s="4"/>
      <c r="L45" s="4"/>
      <c r="M45" s="4"/>
      <c r="N45" s="50"/>
      <c r="O45" s="12"/>
      <c r="P45" s="12"/>
      <c r="Q45" s="49" t="str">
        <f t="shared" si="9"/>
        <v/>
      </c>
      <c r="R45" s="49" t="str">
        <f t="shared" si="10"/>
        <v/>
      </c>
      <c r="S45" s="44"/>
      <c r="T45" s="44"/>
      <c r="U45" s="81"/>
      <c r="V45" s="5" t="s">
        <v>419</v>
      </c>
      <c r="W45" s="35">
        <f t="shared" si="12"/>
        <v>1</v>
      </c>
      <c r="X45" s="35" t="str">
        <f t="shared" si="13"/>
        <v/>
      </c>
      <c r="Y45" s="35" t="str">
        <f t="shared" si="7"/>
        <v/>
      </c>
      <c r="Z45" s="35">
        <f t="shared" si="8"/>
        <v>1</v>
      </c>
      <c r="AA45" s="82"/>
      <c r="AB45" s="82"/>
    </row>
    <row r="46" spans="1:28" x14ac:dyDescent="0.25">
      <c r="A46" s="34">
        <f t="shared" si="11"/>
        <v>37</v>
      </c>
      <c r="B46" s="3"/>
      <c r="C46" s="14"/>
      <c r="D46" s="8" t="s">
        <v>198</v>
      </c>
      <c r="E46" s="8" t="s">
        <v>200</v>
      </c>
      <c r="F46" s="9" t="s">
        <v>199</v>
      </c>
      <c r="G46" s="3"/>
      <c r="H46" s="3"/>
      <c r="I46" s="3"/>
      <c r="J46" s="4"/>
      <c r="K46" s="4"/>
      <c r="L46" s="4"/>
      <c r="M46" s="4"/>
      <c r="N46" s="50"/>
      <c r="O46" s="12"/>
      <c r="P46" s="12"/>
      <c r="Q46" s="49" t="str">
        <f t="shared" si="9"/>
        <v/>
      </c>
      <c r="R46" s="49" t="str">
        <f t="shared" si="10"/>
        <v/>
      </c>
      <c r="S46" s="44"/>
      <c r="T46" s="44"/>
      <c r="U46" s="79">
        <v>9165213208</v>
      </c>
      <c r="V46" s="5" t="s">
        <v>201</v>
      </c>
      <c r="W46" s="35">
        <f t="shared" si="12"/>
        <v>1</v>
      </c>
      <c r="X46" s="35" t="str">
        <f t="shared" si="13"/>
        <v/>
      </c>
      <c r="Y46" s="35" t="str">
        <f t="shared" si="7"/>
        <v/>
      </c>
      <c r="Z46" s="35">
        <f t="shared" si="8"/>
        <v>1</v>
      </c>
      <c r="AA46" s="82"/>
      <c r="AB46" s="82"/>
    </row>
    <row r="47" spans="1:28" x14ac:dyDescent="0.25">
      <c r="A47" s="34">
        <f t="shared" si="11"/>
        <v>38</v>
      </c>
      <c r="B47" s="3"/>
      <c r="C47" s="14"/>
      <c r="D47" s="1" t="s">
        <v>70</v>
      </c>
      <c r="E47" s="1" t="s">
        <v>18</v>
      </c>
      <c r="F47" s="2" t="s">
        <v>251</v>
      </c>
      <c r="G47" s="3"/>
      <c r="H47" s="3"/>
      <c r="I47" s="3"/>
      <c r="J47" s="4"/>
      <c r="K47" s="4"/>
      <c r="L47" s="4"/>
      <c r="M47" s="4"/>
      <c r="N47" s="50"/>
      <c r="O47" s="12"/>
      <c r="P47" s="12"/>
      <c r="Q47" s="49" t="str">
        <f t="shared" si="9"/>
        <v/>
      </c>
      <c r="R47" s="49" t="str">
        <f t="shared" si="10"/>
        <v/>
      </c>
      <c r="S47" s="44"/>
      <c r="T47" s="44"/>
      <c r="U47" s="79"/>
      <c r="V47" s="5" t="s">
        <v>368</v>
      </c>
      <c r="W47" s="35">
        <f t="shared" si="12"/>
        <v>1</v>
      </c>
      <c r="X47" s="35" t="str">
        <f t="shared" si="13"/>
        <v/>
      </c>
      <c r="Y47" s="35" t="str">
        <f t="shared" si="7"/>
        <v/>
      </c>
      <c r="Z47" s="35">
        <f t="shared" si="8"/>
        <v>1</v>
      </c>
      <c r="AA47" s="82"/>
      <c r="AB47" s="82"/>
    </row>
    <row r="48" spans="1:28" x14ac:dyDescent="0.25">
      <c r="A48" s="34">
        <f t="shared" si="11"/>
        <v>39</v>
      </c>
      <c r="B48" s="3"/>
      <c r="C48" s="14"/>
      <c r="D48" s="1" t="s">
        <v>68</v>
      </c>
      <c r="E48" s="1" t="s">
        <v>16</v>
      </c>
      <c r="F48" s="2" t="s">
        <v>208</v>
      </c>
      <c r="G48" s="3"/>
      <c r="H48" s="3"/>
      <c r="I48" s="3"/>
      <c r="J48" s="4"/>
      <c r="K48" s="4"/>
      <c r="L48" s="4"/>
      <c r="M48" s="4"/>
      <c r="N48" s="50"/>
      <c r="O48" s="12"/>
      <c r="P48" s="61"/>
      <c r="Q48" s="49" t="str">
        <f t="shared" si="9"/>
        <v/>
      </c>
      <c r="R48" s="49" t="str">
        <f t="shared" si="10"/>
        <v/>
      </c>
      <c r="S48" s="44"/>
      <c r="T48" s="44"/>
      <c r="U48" s="86" t="s">
        <v>625</v>
      </c>
      <c r="V48" s="5" t="s">
        <v>164</v>
      </c>
      <c r="W48" s="35">
        <f t="shared" si="12"/>
        <v>1</v>
      </c>
      <c r="X48" s="35" t="str">
        <f t="shared" si="13"/>
        <v/>
      </c>
      <c r="Y48" s="35" t="str">
        <f t="shared" si="7"/>
        <v/>
      </c>
      <c r="Z48" s="35">
        <f t="shared" si="8"/>
        <v>1</v>
      </c>
      <c r="AA48" s="82"/>
      <c r="AB48" s="82"/>
    </row>
    <row r="49" spans="1:28" x14ac:dyDescent="0.25">
      <c r="A49" s="34">
        <f t="shared" si="11"/>
        <v>40</v>
      </c>
      <c r="B49" s="3"/>
      <c r="C49" s="14"/>
      <c r="D49" s="8" t="s">
        <v>474</v>
      </c>
      <c r="E49" s="8" t="s">
        <v>331</v>
      </c>
      <c r="F49" s="9" t="s">
        <v>332</v>
      </c>
      <c r="G49" s="3"/>
      <c r="H49" s="3"/>
      <c r="I49" s="3"/>
      <c r="J49" s="4"/>
      <c r="K49" s="4"/>
      <c r="L49" s="4"/>
      <c r="M49" s="4"/>
      <c r="N49" s="50"/>
      <c r="O49" s="12"/>
      <c r="P49" s="12"/>
      <c r="Q49" s="49" t="str">
        <f t="shared" si="9"/>
        <v/>
      </c>
      <c r="R49" s="49" t="str">
        <f t="shared" si="10"/>
        <v/>
      </c>
      <c r="S49" s="44"/>
      <c r="T49" s="44"/>
      <c r="U49" s="86" t="s">
        <v>626</v>
      </c>
      <c r="V49" s="5" t="s">
        <v>449</v>
      </c>
      <c r="W49" s="35">
        <f t="shared" si="12"/>
        <v>1</v>
      </c>
      <c r="X49" s="35" t="str">
        <f t="shared" si="13"/>
        <v/>
      </c>
      <c r="Y49" s="35" t="str">
        <f t="shared" si="7"/>
        <v/>
      </c>
      <c r="Z49" s="35">
        <f t="shared" si="8"/>
        <v>1</v>
      </c>
      <c r="AA49" s="82"/>
      <c r="AB49" s="82"/>
    </row>
    <row r="50" spans="1:28" x14ac:dyDescent="0.25">
      <c r="A50" s="34">
        <f t="shared" si="11"/>
        <v>41</v>
      </c>
      <c r="B50" s="14"/>
      <c r="C50" s="14"/>
      <c r="D50" s="1" t="s">
        <v>561</v>
      </c>
      <c r="E50" s="1" t="s">
        <v>18</v>
      </c>
      <c r="F50" s="2" t="s">
        <v>233</v>
      </c>
      <c r="G50" s="10"/>
      <c r="H50" s="11"/>
      <c r="I50" s="11"/>
      <c r="J50" s="11"/>
      <c r="K50" s="11"/>
      <c r="L50" s="11"/>
      <c r="M50" s="11"/>
      <c r="N50" s="50"/>
      <c r="O50" s="53"/>
      <c r="P50" s="36"/>
      <c r="Q50" s="49" t="str">
        <f t="shared" si="9"/>
        <v/>
      </c>
      <c r="R50" s="49" t="str">
        <f t="shared" si="10"/>
        <v/>
      </c>
      <c r="S50" s="38"/>
      <c r="T50" s="38"/>
      <c r="U50" s="79"/>
      <c r="V50" s="5" t="s">
        <v>570</v>
      </c>
      <c r="W50" s="35">
        <f t="shared" si="12"/>
        <v>1</v>
      </c>
      <c r="X50" s="35" t="str">
        <f t="shared" si="13"/>
        <v/>
      </c>
      <c r="Y50" s="35" t="str">
        <f t="shared" si="7"/>
        <v/>
      </c>
      <c r="Z50" s="35">
        <f t="shared" si="8"/>
        <v>1</v>
      </c>
      <c r="AA50" s="82"/>
      <c r="AB50" s="82"/>
    </row>
    <row r="51" spans="1:28" x14ac:dyDescent="0.25">
      <c r="A51" s="34">
        <f t="shared" si="11"/>
        <v>42</v>
      </c>
      <c r="B51" s="3"/>
      <c r="C51" s="14"/>
      <c r="D51" s="8" t="s">
        <v>293</v>
      </c>
      <c r="E51" s="8" t="s">
        <v>294</v>
      </c>
      <c r="F51" s="9" t="s">
        <v>295</v>
      </c>
      <c r="G51" s="4"/>
      <c r="H51" s="4"/>
      <c r="I51" s="4"/>
      <c r="J51" s="4"/>
      <c r="K51" s="4"/>
      <c r="L51" s="4"/>
      <c r="M51" s="4"/>
      <c r="N51" s="50"/>
      <c r="O51" s="12"/>
      <c r="P51" s="12"/>
      <c r="Q51" s="49" t="str">
        <f t="shared" si="9"/>
        <v/>
      </c>
      <c r="R51" s="49" t="str">
        <f t="shared" si="10"/>
        <v/>
      </c>
      <c r="S51" s="44"/>
      <c r="T51" s="44"/>
      <c r="U51" s="81" t="s">
        <v>569</v>
      </c>
      <c r="V51" s="5"/>
      <c r="W51" s="35">
        <f t="shared" si="12"/>
        <v>1</v>
      </c>
      <c r="X51" s="35" t="str">
        <f t="shared" si="13"/>
        <v/>
      </c>
      <c r="Y51" s="35" t="str">
        <f t="shared" si="7"/>
        <v/>
      </c>
      <c r="Z51" s="35" t="str">
        <f t="shared" si="8"/>
        <v/>
      </c>
      <c r="AA51" s="82"/>
      <c r="AB51" s="82"/>
    </row>
    <row r="52" spans="1:28" x14ac:dyDescent="0.25">
      <c r="A52" s="34">
        <f t="shared" si="11"/>
        <v>43</v>
      </c>
      <c r="B52" s="14"/>
      <c r="C52" s="14"/>
      <c r="D52" s="8" t="s">
        <v>180</v>
      </c>
      <c r="E52" s="8" t="s">
        <v>18</v>
      </c>
      <c r="F52" s="9" t="s">
        <v>203</v>
      </c>
      <c r="G52" s="10"/>
      <c r="H52" s="11"/>
      <c r="I52" s="11"/>
      <c r="J52" s="11"/>
      <c r="K52" s="11"/>
      <c r="L52" s="11"/>
      <c r="M52" s="11"/>
      <c r="N52" s="50"/>
      <c r="O52" s="53"/>
      <c r="P52" s="36"/>
      <c r="Q52" s="49" t="str">
        <f t="shared" si="9"/>
        <v/>
      </c>
      <c r="R52" s="49" t="str">
        <f t="shared" si="10"/>
        <v/>
      </c>
      <c r="S52" s="44"/>
      <c r="T52" s="38"/>
      <c r="U52" s="79"/>
      <c r="V52" s="5" t="s">
        <v>187</v>
      </c>
      <c r="W52" s="35">
        <f t="shared" si="12"/>
        <v>1</v>
      </c>
      <c r="X52" s="35" t="str">
        <f t="shared" si="13"/>
        <v/>
      </c>
      <c r="Y52" s="35" t="str">
        <f t="shared" si="7"/>
        <v/>
      </c>
      <c r="Z52" s="35">
        <f t="shared" si="8"/>
        <v>1</v>
      </c>
      <c r="AA52" s="82"/>
      <c r="AB52" s="82"/>
    </row>
    <row r="53" spans="1:28" x14ac:dyDescent="0.25">
      <c r="A53" s="34">
        <f t="shared" si="11"/>
        <v>44</v>
      </c>
      <c r="B53" s="3"/>
      <c r="C53" s="14"/>
      <c r="D53" s="8" t="s">
        <v>282</v>
      </c>
      <c r="E53" s="8" t="s">
        <v>283</v>
      </c>
      <c r="F53" s="9" t="s">
        <v>284</v>
      </c>
      <c r="G53" s="4"/>
      <c r="H53" s="4"/>
      <c r="I53" s="4"/>
      <c r="J53" s="4"/>
      <c r="K53" s="4"/>
      <c r="L53" s="4"/>
      <c r="M53" s="4"/>
      <c r="N53" s="50"/>
      <c r="O53" s="12"/>
      <c r="P53" s="12"/>
      <c r="Q53" s="49" t="str">
        <f t="shared" si="9"/>
        <v/>
      </c>
      <c r="R53" s="49" t="str">
        <f t="shared" si="10"/>
        <v/>
      </c>
      <c r="S53" s="44"/>
      <c r="T53" s="44"/>
      <c r="U53" s="79">
        <v>7078499317</v>
      </c>
      <c r="V53" s="5" t="s">
        <v>285</v>
      </c>
      <c r="W53" s="35">
        <f t="shared" si="12"/>
        <v>1</v>
      </c>
      <c r="X53" s="35" t="str">
        <f t="shared" si="13"/>
        <v/>
      </c>
      <c r="Y53" s="35" t="str">
        <f t="shared" si="7"/>
        <v/>
      </c>
      <c r="Z53" s="35">
        <f t="shared" si="8"/>
        <v>1</v>
      </c>
      <c r="AA53" s="82"/>
      <c r="AB53" s="82"/>
    </row>
    <row r="54" spans="1:28" x14ac:dyDescent="0.25">
      <c r="A54" s="34">
        <f t="shared" si="11"/>
        <v>45</v>
      </c>
      <c r="B54" s="14"/>
      <c r="C54" s="14"/>
      <c r="D54" s="8" t="s">
        <v>499</v>
      </c>
      <c r="E54" s="8" t="s">
        <v>18</v>
      </c>
      <c r="F54" s="9" t="s">
        <v>529</v>
      </c>
      <c r="G54" s="10"/>
      <c r="H54" s="11"/>
      <c r="I54" s="11"/>
      <c r="J54" s="11"/>
      <c r="K54" s="11"/>
      <c r="L54" s="11"/>
      <c r="M54" s="11"/>
      <c r="N54" s="50"/>
      <c r="O54" s="53"/>
      <c r="P54" s="36"/>
      <c r="Q54" s="49" t="str">
        <f t="shared" si="9"/>
        <v/>
      </c>
      <c r="R54" s="49" t="str">
        <f t="shared" si="10"/>
        <v/>
      </c>
      <c r="S54" s="44"/>
      <c r="T54" s="38"/>
      <c r="U54" s="79">
        <v>7073225806</v>
      </c>
      <c r="V54" s="60" t="s">
        <v>571</v>
      </c>
      <c r="W54" s="35">
        <f t="shared" si="12"/>
        <v>1</v>
      </c>
      <c r="X54" s="35" t="str">
        <f t="shared" si="13"/>
        <v/>
      </c>
      <c r="Y54" s="35" t="str">
        <f t="shared" si="7"/>
        <v/>
      </c>
      <c r="Z54" s="35">
        <f t="shared" si="8"/>
        <v>1</v>
      </c>
      <c r="AA54" s="82"/>
      <c r="AB54" s="82"/>
    </row>
    <row r="55" spans="1:28" x14ac:dyDescent="0.25">
      <c r="A55" s="34">
        <f t="shared" si="11"/>
        <v>46</v>
      </c>
      <c r="B55" s="14"/>
      <c r="C55" s="14"/>
      <c r="D55" s="1" t="s">
        <v>57</v>
      </c>
      <c r="E55" s="1" t="s">
        <v>58</v>
      </c>
      <c r="F55" s="2" t="s">
        <v>234</v>
      </c>
      <c r="G55" s="3"/>
      <c r="H55" s="3"/>
      <c r="I55" s="3"/>
      <c r="J55" s="4"/>
      <c r="K55" s="4"/>
      <c r="L55" s="4"/>
      <c r="M55" s="4"/>
      <c r="N55" s="50"/>
      <c r="O55" s="12"/>
      <c r="P55" s="36"/>
      <c r="Q55" s="49" t="str">
        <f t="shared" si="9"/>
        <v/>
      </c>
      <c r="R55" s="49" t="str">
        <f t="shared" si="10"/>
        <v/>
      </c>
      <c r="S55" s="44"/>
      <c r="T55" s="38"/>
      <c r="U55" s="79" t="s">
        <v>635</v>
      </c>
      <c r="V55" s="5" t="s">
        <v>447</v>
      </c>
      <c r="W55" s="35">
        <f t="shared" si="12"/>
        <v>1</v>
      </c>
      <c r="X55" s="35" t="str">
        <f t="shared" si="13"/>
        <v/>
      </c>
      <c r="Y55" s="35" t="str">
        <f t="shared" si="7"/>
        <v/>
      </c>
      <c r="Z55" s="35">
        <f t="shared" si="8"/>
        <v>1</v>
      </c>
      <c r="AA55" s="82"/>
      <c r="AB55" s="82"/>
    </row>
    <row r="56" spans="1:28" x14ac:dyDescent="0.25">
      <c r="A56" s="34">
        <f t="shared" si="11"/>
        <v>47</v>
      </c>
      <c r="B56" s="3"/>
      <c r="C56" s="14"/>
      <c r="D56" s="8" t="s">
        <v>480</v>
      </c>
      <c r="E56" s="8" t="s">
        <v>177</v>
      </c>
      <c r="F56" s="9" t="s">
        <v>481</v>
      </c>
      <c r="G56" s="3"/>
      <c r="H56" s="3"/>
      <c r="I56" s="3"/>
      <c r="J56" s="4"/>
      <c r="K56" s="4"/>
      <c r="L56" s="4"/>
      <c r="M56" s="4"/>
      <c r="N56" s="50"/>
      <c r="O56" s="12"/>
      <c r="P56" s="12"/>
      <c r="Q56" s="49" t="str">
        <f t="shared" si="9"/>
        <v/>
      </c>
      <c r="R56" s="49" t="str">
        <f t="shared" si="10"/>
        <v/>
      </c>
      <c r="S56" s="44"/>
      <c r="T56" s="44"/>
      <c r="U56" s="86" t="s">
        <v>572</v>
      </c>
      <c r="V56" s="5" t="s">
        <v>482</v>
      </c>
      <c r="W56" s="35">
        <f t="shared" si="12"/>
        <v>1</v>
      </c>
      <c r="X56" s="35" t="str">
        <f t="shared" si="13"/>
        <v/>
      </c>
      <c r="Y56" s="35" t="str">
        <f t="shared" si="7"/>
        <v/>
      </c>
      <c r="Z56" s="35">
        <f t="shared" si="8"/>
        <v>1</v>
      </c>
      <c r="AA56" s="82"/>
      <c r="AB56" s="82"/>
    </row>
    <row r="57" spans="1:28" x14ac:dyDescent="0.25">
      <c r="A57" s="34">
        <f t="shared" si="11"/>
        <v>48</v>
      </c>
      <c r="B57" s="14"/>
      <c r="C57" s="14"/>
      <c r="D57" s="8" t="s">
        <v>493</v>
      </c>
      <c r="E57" s="8" t="s">
        <v>67</v>
      </c>
      <c r="F57" s="9" t="s">
        <v>494</v>
      </c>
      <c r="G57" s="10"/>
      <c r="H57" s="11"/>
      <c r="I57" s="11"/>
      <c r="J57" s="11"/>
      <c r="K57" s="11"/>
      <c r="L57" s="11"/>
      <c r="M57" s="11"/>
      <c r="N57" s="50"/>
      <c r="O57" s="53"/>
      <c r="P57" s="36"/>
      <c r="Q57" s="49" t="str">
        <f t="shared" si="9"/>
        <v/>
      </c>
      <c r="R57" s="49" t="str">
        <f t="shared" si="10"/>
        <v/>
      </c>
      <c r="S57" s="38"/>
      <c r="T57" s="38"/>
      <c r="U57" s="79"/>
      <c r="V57" s="5"/>
      <c r="W57" s="35">
        <f t="shared" si="12"/>
        <v>1</v>
      </c>
      <c r="X57" s="35" t="str">
        <f t="shared" si="13"/>
        <v/>
      </c>
      <c r="Y57" s="35" t="str">
        <f t="shared" si="7"/>
        <v/>
      </c>
      <c r="Z57" s="35" t="str">
        <f t="shared" si="8"/>
        <v/>
      </c>
      <c r="AA57" s="82"/>
      <c r="AB57" s="82"/>
    </row>
    <row r="58" spans="1:28" x14ac:dyDescent="0.25">
      <c r="A58" s="34">
        <f t="shared" si="11"/>
        <v>49</v>
      </c>
      <c r="B58" s="14"/>
      <c r="C58" s="14"/>
      <c r="D58" s="8" t="s">
        <v>500</v>
      </c>
      <c r="E58" s="8" t="s">
        <v>562</v>
      </c>
      <c r="F58" s="9" t="s">
        <v>563</v>
      </c>
      <c r="G58" s="10"/>
      <c r="H58" s="11"/>
      <c r="I58" s="11"/>
      <c r="J58" s="11"/>
      <c r="K58" s="11"/>
      <c r="L58" s="11"/>
      <c r="M58" s="11"/>
      <c r="N58" s="50"/>
      <c r="O58" s="53"/>
      <c r="P58" s="36"/>
      <c r="Q58" s="49" t="str">
        <f t="shared" si="9"/>
        <v/>
      </c>
      <c r="R58" s="49" t="str">
        <f t="shared" si="10"/>
        <v/>
      </c>
      <c r="S58" s="38"/>
      <c r="T58" s="38"/>
      <c r="U58" s="79"/>
      <c r="V58" s="60" t="s">
        <v>573</v>
      </c>
      <c r="W58" s="35">
        <f t="shared" si="12"/>
        <v>1</v>
      </c>
      <c r="X58" s="35" t="str">
        <f t="shared" si="13"/>
        <v/>
      </c>
      <c r="Y58" s="35" t="str">
        <f t="shared" si="7"/>
        <v/>
      </c>
      <c r="Z58" s="35">
        <f t="shared" si="8"/>
        <v>1</v>
      </c>
      <c r="AA58" s="82"/>
      <c r="AB58" s="82"/>
    </row>
    <row r="59" spans="1:28" x14ac:dyDescent="0.25">
      <c r="A59" s="34">
        <f t="shared" si="11"/>
        <v>50</v>
      </c>
      <c r="B59" s="14"/>
      <c r="C59" s="14"/>
      <c r="D59" s="8" t="s">
        <v>501</v>
      </c>
      <c r="E59" s="8" t="s">
        <v>547</v>
      </c>
      <c r="F59" s="9" t="s">
        <v>531</v>
      </c>
      <c r="G59" s="10"/>
      <c r="H59" s="11"/>
      <c r="I59" s="11"/>
      <c r="J59" s="11"/>
      <c r="K59" s="11"/>
      <c r="L59" s="11"/>
      <c r="M59" s="11"/>
      <c r="N59" s="50"/>
      <c r="O59" s="53"/>
      <c r="P59" s="36"/>
      <c r="Q59" s="49" t="str">
        <f t="shared" si="9"/>
        <v/>
      </c>
      <c r="R59" s="49" t="str">
        <f t="shared" si="10"/>
        <v/>
      </c>
      <c r="S59" s="44"/>
      <c r="T59" s="38"/>
      <c r="U59" s="77">
        <v>4152058885</v>
      </c>
      <c r="V59" s="60" t="s">
        <v>574</v>
      </c>
      <c r="W59" s="35">
        <f t="shared" si="12"/>
        <v>1</v>
      </c>
      <c r="X59" s="35" t="str">
        <f t="shared" si="13"/>
        <v/>
      </c>
      <c r="Y59" s="35" t="str">
        <f t="shared" si="7"/>
        <v/>
      </c>
      <c r="Z59" s="35">
        <f t="shared" si="8"/>
        <v>1</v>
      </c>
      <c r="AA59" s="82"/>
      <c r="AB59" s="82"/>
    </row>
    <row r="60" spans="1:28" x14ac:dyDescent="0.25">
      <c r="A60" s="34">
        <f t="shared" si="11"/>
        <v>51</v>
      </c>
      <c r="B60" s="14"/>
      <c r="C60" s="14"/>
      <c r="D60" s="8" t="s">
        <v>502</v>
      </c>
      <c r="E60" s="8" t="s">
        <v>547</v>
      </c>
      <c r="F60" s="73" t="s">
        <v>564</v>
      </c>
      <c r="G60" s="10"/>
      <c r="H60" s="11"/>
      <c r="I60" s="11"/>
      <c r="J60" s="11"/>
      <c r="K60" s="11"/>
      <c r="L60" s="11"/>
      <c r="M60" s="11"/>
      <c r="N60" s="50"/>
      <c r="O60" s="53"/>
      <c r="P60" s="36"/>
      <c r="Q60" s="49" t="str">
        <f t="shared" si="9"/>
        <v/>
      </c>
      <c r="R60" s="49" t="str">
        <f t="shared" si="10"/>
        <v/>
      </c>
      <c r="S60" s="38"/>
      <c r="T60" s="38"/>
      <c r="U60" s="77">
        <v>4152052574</v>
      </c>
      <c r="V60" s="5"/>
      <c r="W60" s="35">
        <f t="shared" si="12"/>
        <v>1</v>
      </c>
      <c r="X60" s="35" t="str">
        <f t="shared" si="13"/>
        <v/>
      </c>
      <c r="Y60" s="35" t="str">
        <f t="shared" si="7"/>
        <v/>
      </c>
      <c r="Z60" s="35" t="str">
        <f t="shared" si="8"/>
        <v/>
      </c>
      <c r="AA60" s="82"/>
      <c r="AB60" s="82"/>
    </row>
    <row r="61" spans="1:28" x14ac:dyDescent="0.25">
      <c r="A61" s="34">
        <f t="shared" si="11"/>
        <v>52</v>
      </c>
      <c r="B61" s="14"/>
      <c r="C61" s="14"/>
      <c r="D61" s="8" t="s">
        <v>134</v>
      </c>
      <c r="E61" s="1" t="s">
        <v>5</v>
      </c>
      <c r="F61" s="9" t="s">
        <v>252</v>
      </c>
      <c r="G61" s="10"/>
      <c r="H61" s="11"/>
      <c r="I61" s="11"/>
      <c r="J61" s="11"/>
      <c r="K61" s="11"/>
      <c r="L61" s="11"/>
      <c r="M61" s="11"/>
      <c r="N61" s="50"/>
      <c r="O61" s="53"/>
      <c r="P61" s="36"/>
      <c r="Q61" s="49" t="str">
        <f t="shared" si="9"/>
        <v/>
      </c>
      <c r="R61" s="49" t="str">
        <f t="shared" si="10"/>
        <v/>
      </c>
      <c r="S61" s="38"/>
      <c r="T61" s="38"/>
      <c r="U61" s="77">
        <v>7073467425</v>
      </c>
      <c r="V61" s="5" t="s">
        <v>420</v>
      </c>
      <c r="W61" s="35">
        <f t="shared" si="12"/>
        <v>1</v>
      </c>
      <c r="X61" s="35" t="str">
        <f t="shared" si="13"/>
        <v/>
      </c>
      <c r="Y61" s="35" t="str">
        <f t="shared" si="7"/>
        <v/>
      </c>
      <c r="Z61" s="35">
        <f t="shared" si="8"/>
        <v>1</v>
      </c>
      <c r="AA61" s="82"/>
      <c r="AB61" s="82"/>
    </row>
    <row r="62" spans="1:28" x14ac:dyDescent="0.25">
      <c r="A62" s="34">
        <f t="shared" si="11"/>
        <v>53</v>
      </c>
      <c r="B62" s="3"/>
      <c r="C62" s="14"/>
      <c r="D62" s="8" t="s">
        <v>174</v>
      </c>
      <c r="E62" s="8" t="s">
        <v>175</v>
      </c>
      <c r="F62" s="74" t="s">
        <v>279</v>
      </c>
      <c r="G62" s="3"/>
      <c r="H62" s="3"/>
      <c r="I62" s="3"/>
      <c r="J62" s="4"/>
      <c r="K62" s="4"/>
      <c r="L62" s="4"/>
      <c r="M62" s="4"/>
      <c r="N62" s="50"/>
      <c r="O62" s="12"/>
      <c r="P62" s="12"/>
      <c r="Q62" s="49" t="str">
        <f t="shared" ref="Q62:Q93" si="14">IF(O62="c",(70+G62*10+H62*10+I62*20+J62*50),"")</f>
        <v/>
      </c>
      <c r="R62" s="49" t="str">
        <f t="shared" ref="R62:R93" si="15">IF(O62="$",(70+G62*10+H62*10+I62*20+J62*50),"")</f>
        <v/>
      </c>
      <c r="S62" s="44"/>
      <c r="T62" s="44"/>
      <c r="U62" s="79"/>
      <c r="V62" s="5" t="s">
        <v>421</v>
      </c>
      <c r="W62" s="35">
        <f t="shared" si="12"/>
        <v>1</v>
      </c>
      <c r="X62" s="35" t="str">
        <f t="shared" si="13"/>
        <v/>
      </c>
      <c r="Y62" s="35" t="str">
        <f t="shared" si="7"/>
        <v/>
      </c>
      <c r="Z62" s="35">
        <f t="shared" si="8"/>
        <v>1</v>
      </c>
      <c r="AA62" s="82"/>
      <c r="AB62" s="82"/>
    </row>
    <row r="63" spans="1:28" x14ac:dyDescent="0.25">
      <c r="A63" s="34">
        <f t="shared" si="11"/>
        <v>54</v>
      </c>
      <c r="B63" s="3"/>
      <c r="C63" s="14"/>
      <c r="D63" s="1" t="s">
        <v>66</v>
      </c>
      <c r="E63" s="1" t="s">
        <v>313</v>
      </c>
      <c r="F63" s="2" t="s">
        <v>253</v>
      </c>
      <c r="G63" s="3"/>
      <c r="H63" s="3"/>
      <c r="I63" s="3"/>
      <c r="J63" s="4"/>
      <c r="K63" s="4"/>
      <c r="L63" s="4"/>
      <c r="M63" s="4"/>
      <c r="N63" s="50"/>
      <c r="O63" s="12"/>
      <c r="P63" s="12"/>
      <c r="Q63" s="49" t="str">
        <f t="shared" si="14"/>
        <v/>
      </c>
      <c r="R63" s="49" t="str">
        <f t="shared" si="15"/>
        <v/>
      </c>
      <c r="S63" s="44"/>
      <c r="T63" s="44"/>
      <c r="U63" s="79" t="s">
        <v>575</v>
      </c>
      <c r="V63" s="60" t="s">
        <v>576</v>
      </c>
      <c r="W63" s="35">
        <f t="shared" si="12"/>
        <v>1</v>
      </c>
      <c r="X63" s="35" t="str">
        <f t="shared" si="13"/>
        <v/>
      </c>
      <c r="Y63" s="35" t="str">
        <f t="shared" si="7"/>
        <v/>
      </c>
      <c r="Z63" s="35">
        <f t="shared" si="8"/>
        <v>1</v>
      </c>
      <c r="AA63" s="82"/>
      <c r="AB63" s="82"/>
    </row>
    <row r="64" spans="1:28" x14ac:dyDescent="0.25">
      <c r="A64" s="34">
        <f t="shared" si="11"/>
        <v>55</v>
      </c>
      <c r="B64" s="3"/>
      <c r="C64" s="14"/>
      <c r="D64" s="5" t="s">
        <v>74</v>
      </c>
      <c r="E64" s="1" t="s">
        <v>75</v>
      </c>
      <c r="F64" s="2" t="s">
        <v>231</v>
      </c>
      <c r="G64" s="10"/>
      <c r="H64" s="11"/>
      <c r="I64" s="11"/>
      <c r="J64" s="11"/>
      <c r="K64" s="11"/>
      <c r="L64" s="11"/>
      <c r="M64" s="11"/>
      <c r="N64" s="50"/>
      <c r="O64" s="53"/>
      <c r="P64" s="36"/>
      <c r="Q64" s="49" t="str">
        <f t="shared" si="14"/>
        <v/>
      </c>
      <c r="R64" s="49" t="str">
        <f t="shared" si="15"/>
        <v/>
      </c>
      <c r="S64" s="44"/>
      <c r="T64" s="38"/>
      <c r="U64" s="79"/>
      <c r="V64" s="60" t="s">
        <v>577</v>
      </c>
      <c r="W64" s="35">
        <f t="shared" si="12"/>
        <v>1</v>
      </c>
      <c r="X64" s="35" t="str">
        <f t="shared" si="13"/>
        <v/>
      </c>
      <c r="Y64" s="35" t="str">
        <f t="shared" si="7"/>
        <v/>
      </c>
      <c r="Z64" s="35">
        <f t="shared" si="8"/>
        <v>1</v>
      </c>
      <c r="AA64" s="82"/>
      <c r="AB64" s="82"/>
    </row>
    <row r="65" spans="1:28" x14ac:dyDescent="0.25">
      <c r="A65" s="34">
        <f t="shared" si="11"/>
        <v>56</v>
      </c>
      <c r="B65" s="14"/>
      <c r="C65" s="14"/>
      <c r="D65" s="1" t="s">
        <v>17</v>
      </c>
      <c r="E65" s="1" t="s">
        <v>18</v>
      </c>
      <c r="F65" s="2" t="s">
        <v>254</v>
      </c>
      <c r="G65" s="10"/>
      <c r="H65" s="11"/>
      <c r="I65" s="11"/>
      <c r="J65" s="11"/>
      <c r="K65" s="11"/>
      <c r="L65" s="11"/>
      <c r="M65" s="11"/>
      <c r="N65" s="50"/>
      <c r="O65" s="53"/>
      <c r="P65" s="36"/>
      <c r="Q65" s="49" t="str">
        <f t="shared" si="14"/>
        <v/>
      </c>
      <c r="R65" s="49" t="str">
        <f t="shared" si="15"/>
        <v/>
      </c>
      <c r="S65" s="38"/>
      <c r="T65" s="38"/>
      <c r="U65" s="81">
        <v>9166997163</v>
      </c>
      <c r="V65" s="5" t="s">
        <v>296</v>
      </c>
      <c r="W65" s="35">
        <f t="shared" si="12"/>
        <v>1</v>
      </c>
      <c r="X65" s="35" t="str">
        <f t="shared" si="13"/>
        <v/>
      </c>
      <c r="Y65" s="35" t="str">
        <f t="shared" si="7"/>
        <v/>
      </c>
      <c r="Z65" s="35">
        <f t="shared" si="8"/>
        <v>1</v>
      </c>
      <c r="AA65" s="82"/>
      <c r="AB65" s="82"/>
    </row>
    <row r="66" spans="1:28" x14ac:dyDescent="0.25">
      <c r="A66" s="34">
        <f t="shared" si="11"/>
        <v>57</v>
      </c>
      <c r="B66" s="14"/>
      <c r="C66" s="14"/>
      <c r="D66" s="8" t="s">
        <v>157</v>
      </c>
      <c r="E66" s="8" t="s">
        <v>144</v>
      </c>
      <c r="F66" s="9" t="s">
        <v>235</v>
      </c>
      <c r="G66" s="10"/>
      <c r="H66" s="11"/>
      <c r="I66" s="11"/>
      <c r="J66" s="11"/>
      <c r="K66" s="11"/>
      <c r="L66" s="11"/>
      <c r="M66" s="11"/>
      <c r="N66" s="50"/>
      <c r="O66" s="53"/>
      <c r="P66" s="36"/>
      <c r="Q66" s="49" t="str">
        <f t="shared" si="14"/>
        <v/>
      </c>
      <c r="R66" s="49" t="str">
        <f t="shared" si="15"/>
        <v/>
      </c>
      <c r="S66" s="38"/>
      <c r="T66" s="38"/>
      <c r="U66" s="81">
        <v>9166997163</v>
      </c>
      <c r="V66" s="5" t="s">
        <v>188</v>
      </c>
      <c r="W66" s="35">
        <f t="shared" si="12"/>
        <v>1</v>
      </c>
      <c r="X66" s="35" t="str">
        <f t="shared" si="13"/>
        <v/>
      </c>
      <c r="Y66" s="35" t="str">
        <f t="shared" si="7"/>
        <v/>
      </c>
      <c r="Z66" s="35">
        <f t="shared" si="8"/>
        <v>1</v>
      </c>
      <c r="AA66" s="82"/>
      <c r="AB66" s="82"/>
    </row>
    <row r="67" spans="1:28" x14ac:dyDescent="0.25">
      <c r="A67" s="34">
        <f t="shared" si="11"/>
        <v>58</v>
      </c>
      <c r="B67" s="14"/>
      <c r="C67" s="14"/>
      <c r="D67" s="1" t="s">
        <v>55</v>
      </c>
      <c r="E67" s="1" t="s">
        <v>56</v>
      </c>
      <c r="F67" s="2" t="s">
        <v>227</v>
      </c>
      <c r="G67" s="10"/>
      <c r="H67" s="11"/>
      <c r="I67" s="11"/>
      <c r="J67" s="11"/>
      <c r="K67" s="11"/>
      <c r="L67" s="11"/>
      <c r="M67" s="11"/>
      <c r="N67" s="50"/>
      <c r="O67" s="53"/>
      <c r="P67" s="36"/>
      <c r="Q67" s="49" t="str">
        <f t="shared" si="14"/>
        <v/>
      </c>
      <c r="R67" s="49" t="str">
        <f t="shared" si="15"/>
        <v/>
      </c>
      <c r="S67" s="38"/>
      <c r="T67" s="38"/>
      <c r="U67" s="81">
        <v>5104613953</v>
      </c>
      <c r="V67" s="5" t="s">
        <v>570</v>
      </c>
      <c r="W67" s="35">
        <f t="shared" si="12"/>
        <v>1</v>
      </c>
      <c r="X67" s="35" t="str">
        <f t="shared" si="13"/>
        <v/>
      </c>
      <c r="Y67" s="35" t="str">
        <f t="shared" si="7"/>
        <v/>
      </c>
      <c r="Z67" s="35">
        <f t="shared" si="8"/>
        <v>1</v>
      </c>
      <c r="AA67" s="82"/>
      <c r="AB67" s="82"/>
    </row>
    <row r="68" spans="1:28" x14ac:dyDescent="0.25">
      <c r="A68" s="34">
        <f t="shared" si="11"/>
        <v>59</v>
      </c>
      <c r="B68" s="14"/>
      <c r="C68" s="14"/>
      <c r="D68" s="8" t="s">
        <v>139</v>
      </c>
      <c r="E68" s="8" t="s">
        <v>46</v>
      </c>
      <c r="F68" s="9" t="s">
        <v>565</v>
      </c>
      <c r="G68" s="10"/>
      <c r="H68" s="11"/>
      <c r="I68" s="11"/>
      <c r="J68" s="11"/>
      <c r="K68" s="11"/>
      <c r="L68" s="11"/>
      <c r="M68" s="11"/>
      <c r="N68" s="50"/>
      <c r="O68" s="53"/>
      <c r="P68" s="36"/>
      <c r="Q68" s="49" t="str">
        <f t="shared" si="14"/>
        <v/>
      </c>
      <c r="R68" s="49" t="str">
        <f t="shared" si="15"/>
        <v/>
      </c>
      <c r="S68" s="38"/>
      <c r="T68" s="38"/>
      <c r="U68" s="79"/>
      <c r="V68" s="5" t="s">
        <v>185</v>
      </c>
      <c r="W68" s="35">
        <f t="shared" si="12"/>
        <v>1</v>
      </c>
      <c r="X68" s="35" t="str">
        <f t="shared" si="13"/>
        <v/>
      </c>
      <c r="Y68" s="35" t="str">
        <f t="shared" si="7"/>
        <v/>
      </c>
      <c r="Z68" s="35">
        <f t="shared" si="8"/>
        <v>1</v>
      </c>
      <c r="AA68" s="82"/>
      <c r="AB68" s="82"/>
    </row>
    <row r="69" spans="1:28" x14ac:dyDescent="0.25">
      <c r="A69" s="34">
        <f t="shared" si="11"/>
        <v>60</v>
      </c>
      <c r="B69" s="14"/>
      <c r="C69" s="14"/>
      <c r="D69" s="8" t="s">
        <v>140</v>
      </c>
      <c r="E69" s="8" t="s">
        <v>141</v>
      </c>
      <c r="F69" s="9" t="s">
        <v>255</v>
      </c>
      <c r="G69" s="10"/>
      <c r="H69" s="11"/>
      <c r="I69" s="11"/>
      <c r="J69" s="11"/>
      <c r="K69" s="11"/>
      <c r="L69" s="11"/>
      <c r="M69" s="11"/>
      <c r="N69" s="50"/>
      <c r="O69" s="53"/>
      <c r="P69" s="36"/>
      <c r="Q69" s="49" t="str">
        <f t="shared" si="14"/>
        <v/>
      </c>
      <c r="R69" s="49" t="str">
        <f t="shared" si="15"/>
        <v/>
      </c>
      <c r="S69" s="38"/>
      <c r="T69" s="38"/>
      <c r="U69" s="88" t="s">
        <v>578</v>
      </c>
      <c r="V69" s="5" t="s">
        <v>412</v>
      </c>
      <c r="W69" s="35">
        <f t="shared" si="12"/>
        <v>1</v>
      </c>
      <c r="X69" s="35" t="str">
        <f t="shared" si="13"/>
        <v/>
      </c>
      <c r="Y69" s="35" t="str">
        <f t="shared" si="7"/>
        <v/>
      </c>
      <c r="Z69" s="35">
        <f t="shared" si="8"/>
        <v>1</v>
      </c>
      <c r="AA69" s="82"/>
      <c r="AB69" s="82"/>
    </row>
    <row r="70" spans="1:28" x14ac:dyDescent="0.25">
      <c r="A70" s="34">
        <f t="shared" si="11"/>
        <v>61</v>
      </c>
      <c r="B70" s="3"/>
      <c r="C70" s="14"/>
      <c r="D70" s="8" t="s">
        <v>362</v>
      </c>
      <c r="E70" s="8" t="s">
        <v>363</v>
      </c>
      <c r="F70" s="9" t="s">
        <v>364</v>
      </c>
      <c r="G70" s="10"/>
      <c r="H70" s="11"/>
      <c r="I70" s="11"/>
      <c r="J70" s="11"/>
      <c r="K70" s="11"/>
      <c r="L70" s="11"/>
      <c r="M70" s="11"/>
      <c r="N70" s="50"/>
      <c r="O70" s="12"/>
      <c r="P70" s="12"/>
      <c r="Q70" s="49" t="str">
        <f t="shared" si="14"/>
        <v/>
      </c>
      <c r="R70" s="49" t="str">
        <f t="shared" si="15"/>
        <v/>
      </c>
      <c r="S70" s="44"/>
      <c r="T70" s="44"/>
      <c r="U70" s="79"/>
      <c r="V70" s="5" t="s">
        <v>422</v>
      </c>
      <c r="W70" s="35">
        <f t="shared" si="12"/>
        <v>1</v>
      </c>
      <c r="X70" s="35"/>
      <c r="Y70" s="35" t="str">
        <f t="shared" si="7"/>
        <v/>
      </c>
      <c r="Z70" s="35">
        <f t="shared" si="8"/>
        <v>1</v>
      </c>
      <c r="AA70" s="82"/>
      <c r="AB70" s="82"/>
    </row>
    <row r="71" spans="1:28" x14ac:dyDescent="0.25">
      <c r="A71" s="34">
        <f t="shared" si="11"/>
        <v>62</v>
      </c>
      <c r="B71" s="14"/>
      <c r="C71" s="14"/>
      <c r="D71" s="1" t="s">
        <v>90</v>
      </c>
      <c r="E71" s="1" t="s">
        <v>91</v>
      </c>
      <c r="F71" s="2" t="s">
        <v>256</v>
      </c>
      <c r="G71" s="10"/>
      <c r="H71" s="11"/>
      <c r="I71" s="11"/>
      <c r="J71" s="11"/>
      <c r="K71" s="11"/>
      <c r="L71" s="11"/>
      <c r="M71" s="11"/>
      <c r="N71" s="50"/>
      <c r="O71" s="53"/>
      <c r="P71" s="36"/>
      <c r="Q71" s="49" t="str">
        <f t="shared" si="14"/>
        <v/>
      </c>
      <c r="R71" s="49" t="str">
        <f t="shared" si="15"/>
        <v/>
      </c>
      <c r="S71" s="44"/>
      <c r="T71" s="38"/>
      <c r="U71" s="77"/>
      <c r="V71" s="5" t="s">
        <v>448</v>
      </c>
      <c r="W71" s="35">
        <f t="shared" si="12"/>
        <v>1</v>
      </c>
      <c r="X71" s="35" t="str">
        <f t="shared" ref="X71:X134" si="16">IF(T71&lt;&gt;"",1,"")</f>
        <v/>
      </c>
      <c r="Y71" s="35" t="str">
        <f t="shared" si="7"/>
        <v/>
      </c>
      <c r="Z71" s="35">
        <f t="shared" si="8"/>
        <v>1</v>
      </c>
      <c r="AA71" s="82"/>
      <c r="AB71" s="82"/>
    </row>
    <row r="72" spans="1:28" x14ac:dyDescent="0.25">
      <c r="A72" s="34">
        <f t="shared" si="11"/>
        <v>63</v>
      </c>
      <c r="B72" s="14"/>
      <c r="C72" s="14"/>
      <c r="D72" s="8" t="s">
        <v>129</v>
      </c>
      <c r="E72" s="8" t="s">
        <v>130</v>
      </c>
      <c r="F72" s="9" t="s">
        <v>207</v>
      </c>
      <c r="G72" s="10"/>
      <c r="H72" s="11"/>
      <c r="I72" s="11"/>
      <c r="J72" s="11"/>
      <c r="K72" s="11"/>
      <c r="L72" s="11"/>
      <c r="M72" s="11"/>
      <c r="N72" s="50"/>
      <c r="O72" s="53"/>
      <c r="P72" s="36"/>
      <c r="Q72" s="49" t="str">
        <f t="shared" si="14"/>
        <v/>
      </c>
      <c r="R72" s="49" t="str">
        <f t="shared" si="15"/>
        <v/>
      </c>
      <c r="S72" s="44"/>
      <c r="T72" s="38"/>
      <c r="U72" s="79">
        <v>9253604907</v>
      </c>
      <c r="V72" s="5" t="s">
        <v>165</v>
      </c>
      <c r="W72" s="35">
        <f t="shared" si="12"/>
        <v>1</v>
      </c>
      <c r="X72" s="35" t="str">
        <f t="shared" si="16"/>
        <v/>
      </c>
      <c r="Y72" s="35" t="str">
        <f t="shared" si="7"/>
        <v/>
      </c>
      <c r="Z72" s="35">
        <f t="shared" si="8"/>
        <v>1</v>
      </c>
      <c r="AA72" s="82"/>
      <c r="AB72" s="82"/>
    </row>
    <row r="73" spans="1:28" x14ac:dyDescent="0.25">
      <c r="A73" s="34">
        <f t="shared" si="11"/>
        <v>64</v>
      </c>
      <c r="B73" s="14"/>
      <c r="C73" s="14"/>
      <c r="D73" s="8" t="s">
        <v>489</v>
      </c>
      <c r="E73" s="8" t="s">
        <v>18</v>
      </c>
      <c r="F73" s="9" t="s">
        <v>488</v>
      </c>
      <c r="G73" s="10"/>
      <c r="H73" s="11"/>
      <c r="I73" s="11"/>
      <c r="J73" s="11"/>
      <c r="K73" s="11"/>
      <c r="L73" s="11"/>
      <c r="M73" s="11"/>
      <c r="N73" s="50"/>
      <c r="O73" s="53"/>
      <c r="P73" s="36"/>
      <c r="Q73" s="49" t="str">
        <f t="shared" si="14"/>
        <v/>
      </c>
      <c r="R73" s="49" t="str">
        <f t="shared" si="15"/>
        <v/>
      </c>
      <c r="S73" s="44"/>
      <c r="T73" s="38"/>
      <c r="U73" s="79"/>
      <c r="V73" s="5"/>
      <c r="W73" s="35">
        <f t="shared" si="12"/>
        <v>1</v>
      </c>
      <c r="X73" s="35" t="str">
        <f t="shared" si="16"/>
        <v/>
      </c>
      <c r="Y73" s="35" t="str">
        <f t="shared" si="7"/>
        <v/>
      </c>
      <c r="Z73" s="35" t="str">
        <f t="shared" si="8"/>
        <v/>
      </c>
      <c r="AA73" s="82"/>
      <c r="AB73" s="82"/>
    </row>
    <row r="74" spans="1:28" x14ac:dyDescent="0.25">
      <c r="A74" s="34">
        <f t="shared" ref="A74:A105" si="17">+A73+1</f>
        <v>65</v>
      </c>
      <c r="B74" s="14"/>
      <c r="C74" s="14"/>
      <c r="D74" s="8" t="s">
        <v>143</v>
      </c>
      <c r="E74" s="8" t="s">
        <v>144</v>
      </c>
      <c r="F74" s="9" t="s">
        <v>228</v>
      </c>
      <c r="G74" s="10"/>
      <c r="H74" s="11"/>
      <c r="I74" s="11"/>
      <c r="J74" s="11"/>
      <c r="K74" s="11"/>
      <c r="L74" s="11"/>
      <c r="M74" s="11"/>
      <c r="N74" s="50"/>
      <c r="O74" s="53"/>
      <c r="P74" s="36"/>
      <c r="Q74" s="49" t="str">
        <f t="shared" si="14"/>
        <v/>
      </c>
      <c r="R74" s="49" t="str">
        <f t="shared" si="15"/>
        <v/>
      </c>
      <c r="S74" s="44"/>
      <c r="T74" s="38"/>
      <c r="U74" s="79">
        <v>5305180274</v>
      </c>
      <c r="V74" s="5" t="s">
        <v>184</v>
      </c>
      <c r="W74" s="35">
        <f t="shared" ref="W74:W105" si="18">IF(D74&lt;&gt;"",1,"")</f>
        <v>1</v>
      </c>
      <c r="X74" s="35" t="str">
        <f t="shared" si="16"/>
        <v/>
      </c>
      <c r="Y74" s="35" t="str">
        <f t="shared" ref="Y74:Y137" si="19">IF(M74=1,IF($B74=1,1,""),"")</f>
        <v/>
      </c>
      <c r="Z74" s="35">
        <f t="shared" si="8"/>
        <v>1</v>
      </c>
      <c r="AA74" s="82"/>
      <c r="AB74" s="82"/>
    </row>
    <row r="75" spans="1:28" x14ac:dyDescent="0.25">
      <c r="A75" s="34">
        <f t="shared" si="17"/>
        <v>66</v>
      </c>
      <c r="B75" s="14"/>
      <c r="C75" s="14"/>
      <c r="D75" s="1" t="s">
        <v>72</v>
      </c>
      <c r="E75" s="1" t="s">
        <v>73</v>
      </c>
      <c r="F75" s="2" t="s">
        <v>257</v>
      </c>
      <c r="G75" s="10"/>
      <c r="H75" s="11"/>
      <c r="I75" s="11"/>
      <c r="J75" s="11"/>
      <c r="K75" s="11"/>
      <c r="L75" s="11"/>
      <c r="M75" s="11"/>
      <c r="N75" s="50"/>
      <c r="O75" s="53"/>
      <c r="P75" s="36"/>
      <c r="Q75" s="49" t="str">
        <f t="shared" si="14"/>
        <v/>
      </c>
      <c r="R75" s="49" t="str">
        <f t="shared" si="15"/>
        <v/>
      </c>
      <c r="S75" s="44"/>
      <c r="T75" s="38"/>
      <c r="U75" s="79"/>
      <c r="V75" s="5" t="s">
        <v>406</v>
      </c>
      <c r="W75" s="35">
        <f t="shared" si="18"/>
        <v>1</v>
      </c>
      <c r="X75" s="35" t="str">
        <f t="shared" si="16"/>
        <v/>
      </c>
      <c r="Y75" s="35" t="str">
        <f t="shared" si="19"/>
        <v/>
      </c>
      <c r="Z75" s="35">
        <f t="shared" ref="Z75:Z138" si="20">IF(V75&lt;&gt;"",1,"")</f>
        <v>1</v>
      </c>
      <c r="AA75" s="82"/>
      <c r="AB75" s="82"/>
    </row>
    <row r="76" spans="1:28" x14ac:dyDescent="0.25">
      <c r="A76" s="34">
        <f t="shared" si="17"/>
        <v>67</v>
      </c>
      <c r="B76" s="3"/>
      <c r="C76" s="14"/>
      <c r="D76" s="8" t="s">
        <v>183</v>
      </c>
      <c r="E76" s="8" t="s">
        <v>16</v>
      </c>
      <c r="F76" s="9" t="s">
        <v>229</v>
      </c>
      <c r="G76" s="3"/>
      <c r="H76" s="3"/>
      <c r="I76" s="3"/>
      <c r="J76" s="4"/>
      <c r="K76" s="4"/>
      <c r="L76" s="4"/>
      <c r="M76" s="4"/>
      <c r="N76" s="50"/>
      <c r="O76" s="12"/>
      <c r="P76" s="12"/>
      <c r="Q76" s="49" t="str">
        <f t="shared" si="14"/>
        <v/>
      </c>
      <c r="R76" s="49" t="str">
        <f t="shared" si="15"/>
        <v/>
      </c>
      <c r="S76" s="44"/>
      <c r="T76" s="44"/>
      <c r="U76" s="79"/>
      <c r="V76" s="5" t="s">
        <v>287</v>
      </c>
      <c r="W76" s="35">
        <f t="shared" si="18"/>
        <v>1</v>
      </c>
      <c r="X76" s="35" t="str">
        <f t="shared" si="16"/>
        <v/>
      </c>
      <c r="Y76" s="35" t="str">
        <f t="shared" si="19"/>
        <v/>
      </c>
      <c r="Z76" s="35">
        <f t="shared" si="20"/>
        <v>1</v>
      </c>
      <c r="AA76" s="82"/>
      <c r="AB76" s="82"/>
    </row>
    <row r="77" spans="1:28" x14ac:dyDescent="0.25">
      <c r="A77" s="34">
        <f t="shared" si="17"/>
        <v>68</v>
      </c>
      <c r="B77" s="3"/>
      <c r="C77" s="14"/>
      <c r="D77" s="8" t="s">
        <v>303</v>
      </c>
      <c r="E77" s="8" t="s">
        <v>22</v>
      </c>
      <c r="F77" s="9" t="s">
        <v>304</v>
      </c>
      <c r="G77" s="3"/>
      <c r="H77" s="3"/>
      <c r="I77" s="3"/>
      <c r="J77" s="4"/>
      <c r="K77" s="4"/>
      <c r="L77" s="4"/>
      <c r="M77" s="4"/>
      <c r="N77" s="50"/>
      <c r="O77" s="12"/>
      <c r="P77" s="12"/>
      <c r="Q77" s="49" t="str">
        <f t="shared" si="14"/>
        <v/>
      </c>
      <c r="R77" s="49" t="str">
        <f t="shared" si="15"/>
        <v/>
      </c>
      <c r="S77" s="44"/>
      <c r="T77" s="44"/>
      <c r="U77" s="79"/>
      <c r="V77" s="5" t="s">
        <v>570</v>
      </c>
      <c r="W77" s="35">
        <f t="shared" si="18"/>
        <v>1</v>
      </c>
      <c r="X77" s="35" t="str">
        <f t="shared" si="16"/>
        <v/>
      </c>
      <c r="Y77" s="35" t="str">
        <f t="shared" si="19"/>
        <v/>
      </c>
      <c r="Z77" s="35">
        <f t="shared" si="20"/>
        <v>1</v>
      </c>
      <c r="AA77" s="82"/>
      <c r="AB77" s="82"/>
    </row>
    <row r="78" spans="1:28" x14ac:dyDescent="0.25">
      <c r="A78" s="34">
        <f t="shared" si="17"/>
        <v>69</v>
      </c>
      <c r="B78" s="3"/>
      <c r="C78" s="14"/>
      <c r="D78" s="8" t="s">
        <v>136</v>
      </c>
      <c r="E78" s="8" t="s">
        <v>137</v>
      </c>
      <c r="F78" s="9" t="s">
        <v>258</v>
      </c>
      <c r="G78" s="3"/>
      <c r="H78" s="3"/>
      <c r="I78" s="3"/>
      <c r="J78" s="4"/>
      <c r="K78" s="4"/>
      <c r="L78" s="4"/>
      <c r="M78" s="4"/>
      <c r="N78" s="50"/>
      <c r="O78" s="12"/>
      <c r="P78" s="12"/>
      <c r="Q78" s="49" t="str">
        <f t="shared" si="14"/>
        <v/>
      </c>
      <c r="R78" s="49" t="str">
        <f t="shared" si="15"/>
        <v/>
      </c>
      <c r="S78" s="44"/>
      <c r="T78" s="59"/>
      <c r="U78" s="89" t="s">
        <v>579</v>
      </c>
      <c r="V78" s="5" t="s">
        <v>450</v>
      </c>
      <c r="W78" s="35">
        <f t="shared" si="18"/>
        <v>1</v>
      </c>
      <c r="X78" s="35" t="str">
        <f t="shared" si="16"/>
        <v/>
      </c>
      <c r="Y78" s="35" t="str">
        <f t="shared" si="19"/>
        <v/>
      </c>
      <c r="Z78" s="35">
        <f t="shared" si="20"/>
        <v>1</v>
      </c>
      <c r="AA78" s="82"/>
      <c r="AB78" s="82"/>
    </row>
    <row r="79" spans="1:28" x14ac:dyDescent="0.25">
      <c r="A79" s="34">
        <f t="shared" si="17"/>
        <v>70</v>
      </c>
      <c r="B79" s="14"/>
      <c r="C79" s="14"/>
      <c r="D79" s="8" t="s">
        <v>390</v>
      </c>
      <c r="E79" s="8" t="s">
        <v>9</v>
      </c>
      <c r="F79" s="9" t="s">
        <v>391</v>
      </c>
      <c r="G79" s="10"/>
      <c r="H79" s="11"/>
      <c r="I79" s="11"/>
      <c r="J79" s="11"/>
      <c r="K79" s="11"/>
      <c r="L79" s="11"/>
      <c r="M79" s="11"/>
      <c r="N79" s="50"/>
      <c r="O79" s="53"/>
      <c r="P79" s="36"/>
      <c r="Q79" s="49" t="str">
        <f t="shared" si="14"/>
        <v/>
      </c>
      <c r="R79" s="49" t="str">
        <f t="shared" si="15"/>
        <v/>
      </c>
      <c r="S79" s="44"/>
      <c r="T79" s="38"/>
      <c r="U79" s="79"/>
      <c r="V79" s="5" t="s">
        <v>423</v>
      </c>
      <c r="W79" s="35">
        <f t="shared" si="18"/>
        <v>1</v>
      </c>
      <c r="X79" s="35" t="str">
        <f t="shared" si="16"/>
        <v/>
      </c>
      <c r="Y79" s="35" t="str">
        <f t="shared" si="19"/>
        <v/>
      </c>
      <c r="Z79" s="35">
        <f t="shared" si="20"/>
        <v>1</v>
      </c>
      <c r="AA79" s="82"/>
      <c r="AB79" s="82"/>
    </row>
    <row r="80" spans="1:28" x14ac:dyDescent="0.25">
      <c r="A80" s="34">
        <f t="shared" si="17"/>
        <v>71</v>
      </c>
      <c r="B80" s="14"/>
      <c r="C80" s="14"/>
      <c r="D80" s="8" t="s">
        <v>503</v>
      </c>
      <c r="E80" s="8" t="s">
        <v>26</v>
      </c>
      <c r="F80" s="9" t="s">
        <v>532</v>
      </c>
      <c r="G80" s="10"/>
      <c r="H80" s="11"/>
      <c r="I80" s="11"/>
      <c r="J80" s="11"/>
      <c r="K80" s="11"/>
      <c r="L80" s="11"/>
      <c r="M80" s="11"/>
      <c r="N80" s="50"/>
      <c r="O80" s="53"/>
      <c r="P80" s="36"/>
      <c r="Q80" s="49" t="str">
        <f t="shared" si="14"/>
        <v/>
      </c>
      <c r="R80" s="49" t="str">
        <f t="shared" si="15"/>
        <v/>
      </c>
      <c r="S80" s="44"/>
      <c r="T80" s="38"/>
      <c r="U80" s="77"/>
      <c r="V80" s="60" t="s">
        <v>581</v>
      </c>
      <c r="W80" s="35">
        <f t="shared" si="18"/>
        <v>1</v>
      </c>
      <c r="X80" s="35" t="str">
        <f t="shared" si="16"/>
        <v/>
      </c>
      <c r="Y80" s="35" t="str">
        <f t="shared" si="19"/>
        <v/>
      </c>
      <c r="Z80" s="35">
        <f t="shared" si="20"/>
        <v>1</v>
      </c>
      <c r="AA80" s="82"/>
      <c r="AB80" s="82"/>
    </row>
    <row r="81" spans="1:28" x14ac:dyDescent="0.25">
      <c r="A81" s="34">
        <f t="shared" si="17"/>
        <v>72</v>
      </c>
      <c r="B81" s="14"/>
      <c r="C81" s="14"/>
      <c r="D81" s="1" t="s">
        <v>36</v>
      </c>
      <c r="E81" s="1" t="s">
        <v>37</v>
      </c>
      <c r="F81" s="2" t="s">
        <v>224</v>
      </c>
      <c r="G81" s="10"/>
      <c r="H81" s="11"/>
      <c r="I81" s="11"/>
      <c r="J81" s="11"/>
      <c r="K81" s="11"/>
      <c r="L81" s="11"/>
      <c r="M81" s="11"/>
      <c r="N81" s="50"/>
      <c r="O81" s="53"/>
      <c r="P81" s="36"/>
      <c r="Q81" s="49" t="str">
        <f t="shared" si="14"/>
        <v/>
      </c>
      <c r="R81" s="49" t="str">
        <f t="shared" si="15"/>
        <v/>
      </c>
      <c r="S81" s="44"/>
      <c r="T81" s="38"/>
      <c r="U81" s="88" t="s">
        <v>580</v>
      </c>
      <c r="V81" s="60" t="s">
        <v>582</v>
      </c>
      <c r="W81" s="35">
        <f t="shared" si="18"/>
        <v>1</v>
      </c>
      <c r="X81" s="35" t="str">
        <f t="shared" si="16"/>
        <v/>
      </c>
      <c r="Y81" s="35" t="str">
        <f t="shared" si="19"/>
        <v/>
      </c>
      <c r="Z81" s="35">
        <f t="shared" si="20"/>
        <v>1</v>
      </c>
      <c r="AA81" s="82"/>
      <c r="AB81" s="82"/>
    </row>
    <row r="82" spans="1:28" x14ac:dyDescent="0.25">
      <c r="A82" s="34">
        <f t="shared" si="17"/>
        <v>73</v>
      </c>
      <c r="B82" s="14"/>
      <c r="C82" s="14"/>
      <c r="D82" s="1" t="s">
        <v>11</v>
      </c>
      <c r="E82" s="1" t="s">
        <v>12</v>
      </c>
      <c r="F82" s="2" t="s">
        <v>259</v>
      </c>
      <c r="G82" s="10"/>
      <c r="H82" s="11"/>
      <c r="I82" s="11"/>
      <c r="J82" s="11"/>
      <c r="K82" s="11"/>
      <c r="L82" s="11"/>
      <c r="M82" s="11"/>
      <c r="N82" s="50"/>
      <c r="O82" s="53"/>
      <c r="P82" s="36"/>
      <c r="Q82" s="49" t="str">
        <f t="shared" si="14"/>
        <v/>
      </c>
      <c r="R82" s="49" t="str">
        <f t="shared" si="15"/>
        <v/>
      </c>
      <c r="S82" s="44"/>
      <c r="T82" s="38"/>
      <c r="U82" s="81">
        <v>4084722020</v>
      </c>
      <c r="V82" s="5"/>
      <c r="W82" s="35">
        <f t="shared" si="18"/>
        <v>1</v>
      </c>
      <c r="X82" s="35" t="str">
        <f t="shared" si="16"/>
        <v/>
      </c>
      <c r="Y82" s="35" t="str">
        <f t="shared" si="19"/>
        <v/>
      </c>
      <c r="Z82" s="35" t="str">
        <f t="shared" si="20"/>
        <v/>
      </c>
      <c r="AA82" s="82"/>
      <c r="AB82" s="82"/>
    </row>
    <row r="83" spans="1:28" x14ac:dyDescent="0.25">
      <c r="A83" s="34">
        <f t="shared" si="17"/>
        <v>74</v>
      </c>
      <c r="B83" s="14"/>
      <c r="C83" s="14"/>
      <c r="D83" s="8" t="s">
        <v>169</v>
      </c>
      <c r="E83" s="8" t="s">
        <v>170</v>
      </c>
      <c r="F83" s="9" t="s">
        <v>278</v>
      </c>
      <c r="G83" s="10"/>
      <c r="H83" s="11"/>
      <c r="I83" s="11"/>
      <c r="J83" s="11"/>
      <c r="K83" s="11"/>
      <c r="L83" s="11"/>
      <c r="M83" s="11"/>
      <c r="N83" s="50"/>
      <c r="O83" s="53"/>
      <c r="P83" s="36"/>
      <c r="Q83" s="49" t="str">
        <f t="shared" si="14"/>
        <v/>
      </c>
      <c r="R83" s="49" t="str">
        <f t="shared" si="15"/>
        <v/>
      </c>
      <c r="S83" s="44"/>
      <c r="T83" s="38"/>
      <c r="U83" s="79"/>
      <c r="V83" s="5" t="s">
        <v>186</v>
      </c>
      <c r="W83" s="35">
        <f t="shared" si="18"/>
        <v>1</v>
      </c>
      <c r="X83" s="35" t="str">
        <f t="shared" si="16"/>
        <v/>
      </c>
      <c r="Y83" s="35" t="str">
        <f t="shared" si="19"/>
        <v/>
      </c>
      <c r="Z83" s="35">
        <f t="shared" si="20"/>
        <v>1</v>
      </c>
      <c r="AA83" s="82"/>
      <c r="AB83" s="82"/>
    </row>
    <row r="84" spans="1:28" x14ac:dyDescent="0.25">
      <c r="A84" s="34">
        <f t="shared" si="17"/>
        <v>75</v>
      </c>
      <c r="B84" s="14"/>
      <c r="C84" s="14"/>
      <c r="D84" s="1" t="s">
        <v>31</v>
      </c>
      <c r="E84" s="1" t="s">
        <v>32</v>
      </c>
      <c r="F84" s="2" t="s">
        <v>217</v>
      </c>
      <c r="G84" s="10"/>
      <c r="H84" s="11"/>
      <c r="I84" s="11"/>
      <c r="J84" s="11"/>
      <c r="K84" s="11"/>
      <c r="L84" s="11"/>
      <c r="M84" s="11"/>
      <c r="N84" s="50"/>
      <c r="O84" s="53"/>
      <c r="P84" s="36"/>
      <c r="Q84" s="49" t="str">
        <f t="shared" si="14"/>
        <v/>
      </c>
      <c r="R84" s="49" t="str">
        <f t="shared" si="15"/>
        <v/>
      </c>
      <c r="S84" s="44"/>
      <c r="T84" s="38"/>
      <c r="U84" s="81"/>
      <c r="V84" s="5" t="s">
        <v>337</v>
      </c>
      <c r="W84" s="35">
        <f t="shared" si="18"/>
        <v>1</v>
      </c>
      <c r="X84" s="35" t="str">
        <f t="shared" si="16"/>
        <v/>
      </c>
      <c r="Y84" s="35" t="str">
        <f t="shared" si="19"/>
        <v/>
      </c>
      <c r="Z84" s="35">
        <f t="shared" si="20"/>
        <v>1</v>
      </c>
      <c r="AA84" s="82"/>
      <c r="AB84" s="82"/>
    </row>
    <row r="85" spans="1:28" x14ac:dyDescent="0.25">
      <c r="A85" s="34">
        <f t="shared" si="17"/>
        <v>76</v>
      </c>
      <c r="B85" s="3"/>
      <c r="C85" s="14"/>
      <c r="D85" s="8" t="s">
        <v>504</v>
      </c>
      <c r="E85" s="8" t="s">
        <v>383</v>
      </c>
      <c r="F85" s="9" t="s">
        <v>533</v>
      </c>
      <c r="G85" s="4"/>
      <c r="H85" s="4"/>
      <c r="I85" s="4"/>
      <c r="J85" s="4"/>
      <c r="K85" s="4"/>
      <c r="L85" s="4"/>
      <c r="M85" s="4"/>
      <c r="N85" s="50"/>
      <c r="O85" s="12"/>
      <c r="P85" s="12"/>
      <c r="Q85" s="49" t="str">
        <f t="shared" si="14"/>
        <v/>
      </c>
      <c r="R85" s="49" t="str">
        <f t="shared" si="15"/>
        <v/>
      </c>
      <c r="S85" s="44"/>
      <c r="T85" s="44"/>
      <c r="U85" s="79">
        <v>9254579513</v>
      </c>
      <c r="V85" s="60" t="s">
        <v>583</v>
      </c>
      <c r="W85" s="35">
        <f t="shared" si="18"/>
        <v>1</v>
      </c>
      <c r="X85" s="35" t="str">
        <f t="shared" si="16"/>
        <v/>
      </c>
      <c r="Y85" s="35" t="str">
        <f t="shared" si="19"/>
        <v/>
      </c>
      <c r="Z85" s="35">
        <f t="shared" si="20"/>
        <v>1</v>
      </c>
      <c r="AA85" s="82"/>
      <c r="AB85" s="82"/>
    </row>
    <row r="86" spans="1:28" x14ac:dyDescent="0.25">
      <c r="A86" s="34">
        <f t="shared" si="17"/>
        <v>77</v>
      </c>
      <c r="B86" s="14"/>
      <c r="C86" s="14"/>
      <c r="D86" s="1" t="s">
        <v>49</v>
      </c>
      <c r="E86" s="1" t="s">
        <v>50</v>
      </c>
      <c r="F86" s="2" t="s">
        <v>226</v>
      </c>
      <c r="G86" s="10"/>
      <c r="H86" s="11"/>
      <c r="I86" s="11"/>
      <c r="J86" s="11"/>
      <c r="K86" s="11"/>
      <c r="L86" s="11"/>
      <c r="M86" s="11"/>
      <c r="N86" s="50"/>
      <c r="O86" s="53"/>
      <c r="P86" s="36"/>
      <c r="Q86" s="49" t="str">
        <f t="shared" si="14"/>
        <v/>
      </c>
      <c r="R86" s="49" t="str">
        <f t="shared" si="15"/>
        <v/>
      </c>
      <c r="S86" s="44"/>
      <c r="T86" s="38"/>
      <c r="U86" s="81"/>
      <c r="V86" s="5"/>
      <c r="W86" s="35">
        <f t="shared" si="18"/>
        <v>1</v>
      </c>
      <c r="X86" s="35" t="str">
        <f t="shared" si="16"/>
        <v/>
      </c>
      <c r="Y86" s="35" t="str">
        <f t="shared" si="19"/>
        <v/>
      </c>
      <c r="Z86" s="35" t="str">
        <f t="shared" si="20"/>
        <v/>
      </c>
      <c r="AA86" s="82"/>
      <c r="AB86" s="82"/>
    </row>
    <row r="87" spans="1:28" x14ac:dyDescent="0.25">
      <c r="A87" s="34">
        <f t="shared" si="17"/>
        <v>78</v>
      </c>
      <c r="B87" s="3"/>
      <c r="C87" s="14"/>
      <c r="D87" s="8" t="s">
        <v>319</v>
      </c>
      <c r="E87" s="8" t="s">
        <v>320</v>
      </c>
      <c r="F87" s="9" t="s">
        <v>321</v>
      </c>
      <c r="G87" s="3"/>
      <c r="H87" s="3"/>
      <c r="I87" s="3"/>
      <c r="J87" s="4"/>
      <c r="K87" s="4"/>
      <c r="L87" s="4"/>
      <c r="M87" s="4"/>
      <c r="N87" s="50"/>
      <c r="O87" s="12"/>
      <c r="P87" s="12"/>
      <c r="Q87" s="49" t="str">
        <f t="shared" si="14"/>
        <v/>
      </c>
      <c r="R87" s="49" t="str">
        <f t="shared" si="15"/>
        <v/>
      </c>
      <c r="S87" s="44"/>
      <c r="T87" s="44"/>
      <c r="U87" s="79"/>
      <c r="V87" s="5" t="s">
        <v>335</v>
      </c>
      <c r="W87" s="35">
        <f t="shared" si="18"/>
        <v>1</v>
      </c>
      <c r="X87" s="35" t="str">
        <f t="shared" si="16"/>
        <v/>
      </c>
      <c r="Y87" s="35" t="str">
        <f t="shared" si="19"/>
        <v/>
      </c>
      <c r="Z87" s="35">
        <f t="shared" si="20"/>
        <v>1</v>
      </c>
      <c r="AA87" s="82"/>
      <c r="AB87" s="82"/>
    </row>
    <row r="88" spans="1:28" x14ac:dyDescent="0.25">
      <c r="A88" s="34">
        <f t="shared" si="17"/>
        <v>79</v>
      </c>
      <c r="B88" s="3"/>
      <c r="C88" s="14"/>
      <c r="D88" s="8" t="s">
        <v>166</v>
      </c>
      <c r="E88" s="8" t="s">
        <v>167</v>
      </c>
      <c r="F88" s="9" t="s">
        <v>260</v>
      </c>
      <c r="G88" s="3"/>
      <c r="H88" s="3"/>
      <c r="I88" s="3"/>
      <c r="J88" s="4"/>
      <c r="K88" s="4"/>
      <c r="L88" s="4"/>
      <c r="M88" s="4"/>
      <c r="N88" s="50"/>
      <c r="O88" s="12"/>
      <c r="P88" s="12"/>
      <c r="Q88" s="49" t="str">
        <f t="shared" si="14"/>
        <v/>
      </c>
      <c r="R88" s="49" t="str">
        <f t="shared" si="15"/>
        <v/>
      </c>
      <c r="S88" s="44"/>
      <c r="T88" s="59"/>
      <c r="U88" s="79"/>
      <c r="V88" s="5" t="s">
        <v>168</v>
      </c>
      <c r="W88" s="35">
        <f t="shared" si="18"/>
        <v>1</v>
      </c>
      <c r="X88" s="35" t="str">
        <f t="shared" si="16"/>
        <v/>
      </c>
      <c r="Y88" s="35" t="str">
        <f t="shared" si="19"/>
        <v/>
      </c>
      <c r="Z88" s="35">
        <f t="shared" si="20"/>
        <v>1</v>
      </c>
      <c r="AA88" s="82"/>
      <c r="AB88" s="82"/>
    </row>
    <row r="89" spans="1:28" x14ac:dyDescent="0.25">
      <c r="A89" s="34">
        <f t="shared" si="17"/>
        <v>80</v>
      </c>
      <c r="B89" s="14"/>
      <c r="C89" s="14"/>
      <c r="D89" s="1" t="s">
        <v>42</v>
      </c>
      <c r="E89" s="1" t="s">
        <v>43</v>
      </c>
      <c r="F89" s="2" t="s">
        <v>244</v>
      </c>
      <c r="G89" s="10"/>
      <c r="H89" s="11"/>
      <c r="I89" s="11"/>
      <c r="J89" s="11"/>
      <c r="K89" s="11"/>
      <c r="L89" s="11"/>
      <c r="M89" s="11"/>
      <c r="N89" s="50"/>
      <c r="O89" s="53"/>
      <c r="P89" s="36"/>
      <c r="Q89" s="49" t="str">
        <f t="shared" si="14"/>
        <v/>
      </c>
      <c r="R89" s="49" t="str">
        <f t="shared" si="15"/>
        <v/>
      </c>
      <c r="S89" s="44"/>
      <c r="T89" s="38"/>
      <c r="U89" s="81"/>
      <c r="V89" s="5" t="s">
        <v>288</v>
      </c>
      <c r="W89" s="35">
        <f t="shared" si="18"/>
        <v>1</v>
      </c>
      <c r="X89" s="35" t="str">
        <f t="shared" si="16"/>
        <v/>
      </c>
      <c r="Y89" s="35" t="str">
        <f t="shared" si="19"/>
        <v/>
      </c>
      <c r="Z89" s="35">
        <f t="shared" si="20"/>
        <v>1</v>
      </c>
      <c r="AA89" s="82"/>
      <c r="AB89" s="82"/>
    </row>
    <row r="90" spans="1:28" x14ac:dyDescent="0.25">
      <c r="A90" s="34">
        <f t="shared" si="17"/>
        <v>81</v>
      </c>
      <c r="B90" s="3"/>
      <c r="C90" s="14"/>
      <c r="D90" s="8" t="s">
        <v>158</v>
      </c>
      <c r="E90" s="8" t="s">
        <v>159</v>
      </c>
      <c r="F90" s="9" t="s">
        <v>204</v>
      </c>
      <c r="G90" s="3"/>
      <c r="H90" s="3"/>
      <c r="I90" s="3"/>
      <c r="J90" s="4"/>
      <c r="K90" s="4"/>
      <c r="L90" s="4"/>
      <c r="M90" s="4"/>
      <c r="N90" s="50"/>
      <c r="O90" s="12"/>
      <c r="P90" s="12"/>
      <c r="Q90" s="49" t="str">
        <f t="shared" si="14"/>
        <v/>
      </c>
      <c r="R90" s="49" t="str">
        <f t="shared" si="15"/>
        <v/>
      </c>
      <c r="S90" s="44"/>
      <c r="T90" s="44"/>
      <c r="U90" s="79"/>
      <c r="V90" s="5"/>
      <c r="W90" s="35">
        <f t="shared" si="18"/>
        <v>1</v>
      </c>
      <c r="X90" s="35" t="str">
        <f t="shared" si="16"/>
        <v/>
      </c>
      <c r="Y90" s="35" t="str">
        <f t="shared" si="19"/>
        <v/>
      </c>
      <c r="Z90" s="35" t="str">
        <f t="shared" si="20"/>
        <v/>
      </c>
      <c r="AA90" s="82"/>
      <c r="AB90" s="82"/>
    </row>
    <row r="91" spans="1:28" x14ac:dyDescent="0.25">
      <c r="A91" s="34">
        <f t="shared" si="17"/>
        <v>82</v>
      </c>
      <c r="B91" s="14"/>
      <c r="C91" s="14"/>
      <c r="D91" s="8" t="s">
        <v>378</v>
      </c>
      <c r="E91" s="8" t="s">
        <v>379</v>
      </c>
      <c r="F91" s="9" t="s">
        <v>380</v>
      </c>
      <c r="G91" s="10"/>
      <c r="H91" s="11"/>
      <c r="I91" s="11"/>
      <c r="J91" s="11"/>
      <c r="K91" s="11"/>
      <c r="L91" s="11"/>
      <c r="M91" s="11"/>
      <c r="N91" s="50"/>
      <c r="O91" s="53"/>
      <c r="P91" s="36"/>
      <c r="Q91" s="49" t="str">
        <f t="shared" si="14"/>
        <v/>
      </c>
      <c r="R91" s="49" t="str">
        <f t="shared" si="15"/>
        <v/>
      </c>
      <c r="S91" s="44"/>
      <c r="T91" s="38"/>
      <c r="U91" s="79">
        <v>5106819675</v>
      </c>
      <c r="V91" s="60" t="s">
        <v>584</v>
      </c>
      <c r="W91" s="35">
        <f t="shared" si="18"/>
        <v>1</v>
      </c>
      <c r="X91" s="35" t="str">
        <f t="shared" si="16"/>
        <v/>
      </c>
      <c r="Y91" s="35" t="str">
        <f t="shared" si="19"/>
        <v/>
      </c>
      <c r="Z91" s="35">
        <f t="shared" si="20"/>
        <v>1</v>
      </c>
      <c r="AA91" s="82"/>
      <c r="AB91" s="82"/>
    </row>
    <row r="92" spans="1:28" x14ac:dyDescent="0.25">
      <c r="A92" s="34">
        <f t="shared" si="17"/>
        <v>83</v>
      </c>
      <c r="B92" s="3"/>
      <c r="C92" s="14"/>
      <c r="D92" s="8" t="s">
        <v>153</v>
      </c>
      <c r="E92" s="8" t="s">
        <v>154</v>
      </c>
      <c r="F92" s="9" t="s">
        <v>261</v>
      </c>
      <c r="G92" s="3"/>
      <c r="H92" s="3"/>
      <c r="I92" s="3"/>
      <c r="J92" s="4"/>
      <c r="K92" s="4"/>
      <c r="L92" s="4"/>
      <c r="M92" s="4"/>
      <c r="N92" s="50"/>
      <c r="O92" s="12"/>
      <c r="P92" s="12"/>
      <c r="Q92" s="49" t="str">
        <f t="shared" si="14"/>
        <v/>
      </c>
      <c r="R92" s="49" t="str">
        <f t="shared" si="15"/>
        <v/>
      </c>
      <c r="S92" s="44"/>
      <c r="T92" s="44"/>
      <c r="U92" s="90" t="s">
        <v>636</v>
      </c>
      <c r="V92" s="5" t="s">
        <v>424</v>
      </c>
      <c r="W92" s="35">
        <f t="shared" si="18"/>
        <v>1</v>
      </c>
      <c r="X92" s="35" t="str">
        <f t="shared" si="16"/>
        <v/>
      </c>
      <c r="Y92" s="35" t="str">
        <f t="shared" si="19"/>
        <v/>
      </c>
      <c r="Z92" s="35">
        <f t="shared" si="20"/>
        <v>1</v>
      </c>
      <c r="AA92" s="82"/>
      <c r="AB92" s="82"/>
    </row>
    <row r="93" spans="1:28" x14ac:dyDescent="0.25">
      <c r="A93" s="34">
        <f t="shared" si="17"/>
        <v>84</v>
      </c>
      <c r="B93" s="14"/>
      <c r="C93" s="14"/>
      <c r="D93" s="1" t="s">
        <v>316</v>
      </c>
      <c r="E93" s="5" t="s">
        <v>318</v>
      </c>
      <c r="F93" s="2" t="s">
        <v>317</v>
      </c>
      <c r="G93" s="10"/>
      <c r="H93" s="11"/>
      <c r="I93" s="11"/>
      <c r="J93" s="11"/>
      <c r="K93" s="11"/>
      <c r="L93" s="11"/>
      <c r="M93" s="11"/>
      <c r="N93" s="50"/>
      <c r="O93" s="53"/>
      <c r="P93" s="36"/>
      <c r="Q93" s="49" t="str">
        <f t="shared" si="14"/>
        <v/>
      </c>
      <c r="R93" s="49" t="str">
        <f t="shared" si="15"/>
        <v/>
      </c>
      <c r="S93" s="44"/>
      <c r="T93" s="38"/>
      <c r="U93" s="79"/>
      <c r="V93" s="5" t="s">
        <v>377</v>
      </c>
      <c r="W93" s="35">
        <f t="shared" si="18"/>
        <v>1</v>
      </c>
      <c r="X93" s="35" t="str">
        <f t="shared" si="16"/>
        <v/>
      </c>
      <c r="Y93" s="35" t="str">
        <f t="shared" si="19"/>
        <v/>
      </c>
      <c r="Z93" s="35">
        <f t="shared" si="20"/>
        <v>1</v>
      </c>
      <c r="AA93" s="82"/>
      <c r="AB93" s="82"/>
    </row>
    <row r="94" spans="1:28" x14ac:dyDescent="0.25">
      <c r="A94" s="34">
        <f t="shared" si="17"/>
        <v>85</v>
      </c>
      <c r="B94" s="14"/>
      <c r="C94" s="14"/>
      <c r="D94" s="1" t="s">
        <v>152</v>
      </c>
      <c r="E94" s="1" t="s">
        <v>54</v>
      </c>
      <c r="F94" s="2" t="s">
        <v>262</v>
      </c>
      <c r="G94" s="10"/>
      <c r="H94" s="11"/>
      <c r="I94" s="11"/>
      <c r="J94" s="11"/>
      <c r="K94" s="11"/>
      <c r="L94" s="11"/>
      <c r="M94" s="11"/>
      <c r="N94" s="50"/>
      <c r="O94" s="53"/>
      <c r="P94" s="36"/>
      <c r="Q94" s="49" t="str">
        <f t="shared" ref="Q94:Q125" si="21">IF(O94="c",(70+G94*10+H94*10+I94*20+J94*50),"")</f>
        <v/>
      </c>
      <c r="R94" s="49" t="str">
        <f t="shared" ref="R94:R125" si="22">IF(O94="$",(70+G94*10+H94*10+I94*20+J94*50),"")</f>
        <v/>
      </c>
      <c r="S94" s="44"/>
      <c r="T94" s="38"/>
      <c r="U94" s="81"/>
      <c r="V94" s="5" t="s">
        <v>451</v>
      </c>
      <c r="W94" s="35">
        <f t="shared" si="18"/>
        <v>1</v>
      </c>
      <c r="X94" s="35" t="str">
        <f t="shared" si="16"/>
        <v/>
      </c>
      <c r="Y94" s="35" t="str">
        <f t="shared" si="19"/>
        <v/>
      </c>
      <c r="Z94" s="35">
        <f t="shared" si="20"/>
        <v>1</v>
      </c>
      <c r="AA94" s="82"/>
      <c r="AB94" s="82"/>
    </row>
    <row r="95" spans="1:28" x14ac:dyDescent="0.25">
      <c r="A95" s="34">
        <f t="shared" si="17"/>
        <v>86</v>
      </c>
      <c r="B95" s="3"/>
      <c r="C95" s="14"/>
      <c r="D95" s="1" t="s">
        <v>25</v>
      </c>
      <c r="E95" s="1" t="s">
        <v>26</v>
      </c>
      <c r="F95" s="2" t="s">
        <v>280</v>
      </c>
      <c r="G95" s="3"/>
      <c r="H95" s="3"/>
      <c r="I95" s="3"/>
      <c r="J95" s="4"/>
      <c r="K95" s="4"/>
      <c r="L95" s="4"/>
      <c r="M95" s="4"/>
      <c r="N95" s="50"/>
      <c r="O95" s="12"/>
      <c r="P95" s="12"/>
      <c r="Q95" s="49" t="str">
        <f t="shared" si="21"/>
        <v/>
      </c>
      <c r="R95" s="49" t="str">
        <f t="shared" si="22"/>
        <v/>
      </c>
      <c r="S95" s="44"/>
      <c r="T95" s="44"/>
      <c r="U95" s="81"/>
      <c r="V95" s="5" t="s">
        <v>122</v>
      </c>
      <c r="W95" s="35">
        <f t="shared" si="18"/>
        <v>1</v>
      </c>
      <c r="X95" s="35" t="str">
        <f t="shared" si="16"/>
        <v/>
      </c>
      <c r="Y95" s="35" t="str">
        <f t="shared" si="19"/>
        <v/>
      </c>
      <c r="Z95" s="35">
        <f t="shared" si="20"/>
        <v>1</v>
      </c>
      <c r="AA95" s="82"/>
      <c r="AB95" s="82"/>
    </row>
    <row r="96" spans="1:28" x14ac:dyDescent="0.25">
      <c r="A96" s="34">
        <f t="shared" si="17"/>
        <v>87</v>
      </c>
      <c r="B96" s="14"/>
      <c r="C96" s="14"/>
      <c r="D96" s="8" t="s">
        <v>118</v>
      </c>
      <c r="E96" s="8" t="s">
        <v>119</v>
      </c>
      <c r="F96" s="9" t="s">
        <v>209</v>
      </c>
      <c r="G96" s="10"/>
      <c r="H96" s="11"/>
      <c r="I96" s="11"/>
      <c r="J96" s="11"/>
      <c r="K96" s="11"/>
      <c r="L96" s="11"/>
      <c r="M96" s="11"/>
      <c r="N96" s="50"/>
      <c r="O96" s="53"/>
      <c r="P96" s="12"/>
      <c r="Q96" s="49" t="str">
        <f t="shared" si="21"/>
        <v/>
      </c>
      <c r="R96" s="49" t="str">
        <f t="shared" si="22"/>
        <v/>
      </c>
      <c r="S96" s="44"/>
      <c r="T96" s="38"/>
      <c r="U96" s="79" t="s">
        <v>637</v>
      </c>
      <c r="V96" s="5" t="s">
        <v>123</v>
      </c>
      <c r="W96" s="35">
        <f t="shared" si="18"/>
        <v>1</v>
      </c>
      <c r="X96" s="35" t="str">
        <f t="shared" si="16"/>
        <v/>
      </c>
      <c r="Y96" s="35" t="str">
        <f t="shared" si="19"/>
        <v/>
      </c>
      <c r="Z96" s="35">
        <f t="shared" si="20"/>
        <v>1</v>
      </c>
      <c r="AA96" s="82"/>
      <c r="AB96" s="82"/>
    </row>
    <row r="97" spans="1:28" x14ac:dyDescent="0.25">
      <c r="A97" s="34">
        <f t="shared" si="17"/>
        <v>88</v>
      </c>
      <c r="B97" s="14"/>
      <c r="C97" s="14"/>
      <c r="D97" s="8" t="s">
        <v>176</v>
      </c>
      <c r="E97" s="8" t="s">
        <v>177</v>
      </c>
      <c r="F97" s="9" t="s">
        <v>220</v>
      </c>
      <c r="G97" s="10"/>
      <c r="H97" s="11"/>
      <c r="I97" s="11"/>
      <c r="J97" s="11"/>
      <c r="K97" s="11"/>
      <c r="L97" s="11"/>
      <c r="M97" s="11"/>
      <c r="N97" s="50"/>
      <c r="O97" s="53"/>
      <c r="P97" s="12"/>
      <c r="Q97" s="49" t="str">
        <f t="shared" si="21"/>
        <v/>
      </c>
      <c r="R97" s="49" t="str">
        <f t="shared" si="22"/>
        <v/>
      </c>
      <c r="S97" s="44"/>
      <c r="T97" s="38"/>
      <c r="U97" s="79"/>
      <c r="V97" s="5"/>
      <c r="W97" s="35">
        <f t="shared" si="18"/>
        <v>1</v>
      </c>
      <c r="X97" s="35" t="str">
        <f t="shared" si="16"/>
        <v/>
      </c>
      <c r="Y97" s="35" t="str">
        <f t="shared" si="19"/>
        <v/>
      </c>
      <c r="Z97" s="35" t="str">
        <f t="shared" si="20"/>
        <v/>
      </c>
      <c r="AA97" s="82"/>
      <c r="AB97" s="82"/>
    </row>
    <row r="98" spans="1:28" x14ac:dyDescent="0.25">
      <c r="A98" s="34">
        <f t="shared" si="17"/>
        <v>89</v>
      </c>
      <c r="B98" s="14"/>
      <c r="C98" s="14"/>
      <c r="D98" s="8" t="s">
        <v>492</v>
      </c>
      <c r="E98" s="8" t="s">
        <v>471</v>
      </c>
      <c r="F98" s="9" t="s">
        <v>472</v>
      </c>
      <c r="G98" s="10"/>
      <c r="H98" s="11"/>
      <c r="I98" s="11"/>
      <c r="J98" s="11"/>
      <c r="K98" s="11"/>
      <c r="L98" s="11"/>
      <c r="M98" s="11"/>
      <c r="N98" s="50"/>
      <c r="O98" s="53"/>
      <c r="P98" s="36"/>
      <c r="Q98" s="49" t="str">
        <f t="shared" si="21"/>
        <v/>
      </c>
      <c r="R98" s="49" t="str">
        <f t="shared" si="22"/>
        <v/>
      </c>
      <c r="S98" s="44"/>
      <c r="T98" s="38"/>
      <c r="U98" s="79"/>
      <c r="V98" s="5" t="s">
        <v>473</v>
      </c>
      <c r="W98" s="35">
        <f t="shared" si="18"/>
        <v>1</v>
      </c>
      <c r="X98" s="35" t="str">
        <f t="shared" si="16"/>
        <v/>
      </c>
      <c r="Y98" s="35" t="str">
        <f t="shared" si="19"/>
        <v/>
      </c>
      <c r="Z98" s="35">
        <f t="shared" si="20"/>
        <v>1</v>
      </c>
      <c r="AA98" s="82"/>
      <c r="AB98" s="82"/>
    </row>
    <row r="99" spans="1:28" x14ac:dyDescent="0.25">
      <c r="A99" s="34">
        <f t="shared" si="17"/>
        <v>90</v>
      </c>
      <c r="B99" s="3"/>
      <c r="C99" s="14"/>
      <c r="D99" s="1" t="s">
        <v>21</v>
      </c>
      <c r="E99" s="1" t="s">
        <v>22</v>
      </c>
      <c r="F99" s="2" t="s">
        <v>263</v>
      </c>
      <c r="G99" s="10"/>
      <c r="H99" s="11"/>
      <c r="I99" s="11"/>
      <c r="J99" s="11"/>
      <c r="K99" s="11"/>
      <c r="L99" s="11"/>
      <c r="M99" s="11"/>
      <c r="N99" s="50"/>
      <c r="O99" s="53"/>
      <c r="P99" s="36"/>
      <c r="Q99" s="49" t="str">
        <f t="shared" si="21"/>
        <v/>
      </c>
      <c r="R99" s="49" t="str">
        <f t="shared" si="22"/>
        <v/>
      </c>
      <c r="S99" s="44"/>
      <c r="T99" s="38"/>
      <c r="U99" s="81"/>
      <c r="V99" s="5" t="s">
        <v>452</v>
      </c>
      <c r="W99" s="35">
        <f t="shared" si="18"/>
        <v>1</v>
      </c>
      <c r="X99" s="35" t="str">
        <f t="shared" si="16"/>
        <v/>
      </c>
      <c r="Y99" s="35" t="str">
        <f t="shared" si="19"/>
        <v/>
      </c>
      <c r="Z99" s="35">
        <f t="shared" si="20"/>
        <v>1</v>
      </c>
      <c r="AA99" s="82"/>
      <c r="AB99" s="82"/>
    </row>
    <row r="100" spans="1:28" x14ac:dyDescent="0.25">
      <c r="A100" s="34">
        <f t="shared" si="17"/>
        <v>91</v>
      </c>
      <c r="B100" s="3"/>
      <c r="C100" s="14"/>
      <c r="D100" s="1" t="s">
        <v>145</v>
      </c>
      <c r="E100" s="1" t="s">
        <v>146</v>
      </c>
      <c r="F100" s="2" t="s">
        <v>202</v>
      </c>
      <c r="G100" s="3"/>
      <c r="H100" s="3"/>
      <c r="I100" s="3"/>
      <c r="J100" s="4"/>
      <c r="K100" s="4"/>
      <c r="L100" s="4"/>
      <c r="M100" s="4"/>
      <c r="N100" s="50"/>
      <c r="O100" s="12"/>
      <c r="P100" s="12"/>
      <c r="Q100" s="49" t="str">
        <f t="shared" si="21"/>
        <v/>
      </c>
      <c r="R100" s="49" t="str">
        <f t="shared" si="22"/>
        <v/>
      </c>
      <c r="S100" s="44"/>
      <c r="T100" s="44"/>
      <c r="U100" s="79"/>
      <c r="V100" s="5" t="s">
        <v>193</v>
      </c>
      <c r="W100" s="35">
        <f t="shared" si="18"/>
        <v>1</v>
      </c>
      <c r="X100" s="35" t="str">
        <f t="shared" si="16"/>
        <v/>
      </c>
      <c r="Y100" s="35" t="str">
        <f t="shared" si="19"/>
        <v/>
      </c>
      <c r="Z100" s="35">
        <f t="shared" si="20"/>
        <v>1</v>
      </c>
      <c r="AA100" s="82"/>
      <c r="AB100" s="82"/>
    </row>
    <row r="101" spans="1:28" x14ac:dyDescent="0.25">
      <c r="A101" s="34">
        <f t="shared" si="17"/>
        <v>92</v>
      </c>
      <c r="B101" s="3"/>
      <c r="C101" s="14"/>
      <c r="D101" s="8" t="s">
        <v>314</v>
      </c>
      <c r="E101" s="8" t="s">
        <v>148</v>
      </c>
      <c r="F101" s="9" t="s">
        <v>315</v>
      </c>
      <c r="G101" s="3"/>
      <c r="H101" s="3"/>
      <c r="I101" s="3"/>
      <c r="J101" s="4"/>
      <c r="K101" s="4"/>
      <c r="L101" s="4"/>
      <c r="M101" s="4"/>
      <c r="N101" s="50"/>
      <c r="O101" s="12"/>
      <c r="P101" s="12"/>
      <c r="Q101" s="49" t="str">
        <f t="shared" si="21"/>
        <v/>
      </c>
      <c r="R101" s="49" t="str">
        <f t="shared" si="22"/>
        <v/>
      </c>
      <c r="S101" s="44"/>
      <c r="T101" s="44"/>
      <c r="U101" s="79"/>
      <c r="V101" s="5" t="s">
        <v>441</v>
      </c>
      <c r="W101" s="35">
        <f t="shared" si="18"/>
        <v>1</v>
      </c>
      <c r="X101" s="35" t="str">
        <f t="shared" si="16"/>
        <v/>
      </c>
      <c r="Y101" s="35" t="str">
        <f t="shared" si="19"/>
        <v/>
      </c>
      <c r="Z101" s="35">
        <f t="shared" si="20"/>
        <v>1</v>
      </c>
      <c r="AA101" s="82"/>
      <c r="AB101" s="82"/>
    </row>
    <row r="102" spans="1:28" x14ac:dyDescent="0.25">
      <c r="A102" s="34">
        <f t="shared" si="17"/>
        <v>93</v>
      </c>
      <c r="B102" s="14"/>
      <c r="C102" s="14"/>
      <c r="D102" s="8" t="s">
        <v>540</v>
      </c>
      <c r="E102" s="8" t="s">
        <v>126</v>
      </c>
      <c r="F102" s="9" t="s">
        <v>541</v>
      </c>
      <c r="G102" s="10"/>
      <c r="H102" s="11"/>
      <c r="I102" s="11"/>
      <c r="J102" s="11"/>
      <c r="K102" s="11"/>
      <c r="L102" s="11"/>
      <c r="M102" s="11"/>
      <c r="N102" s="50"/>
      <c r="O102" s="53"/>
      <c r="P102" s="36"/>
      <c r="Q102" s="49" t="str">
        <f t="shared" si="21"/>
        <v/>
      </c>
      <c r="R102" s="49" t="str">
        <f t="shared" si="22"/>
        <v/>
      </c>
      <c r="S102" s="44"/>
      <c r="T102" s="38"/>
      <c r="U102" s="79" t="s">
        <v>638</v>
      </c>
      <c r="V102" s="60" t="s">
        <v>586</v>
      </c>
      <c r="W102" s="35">
        <f t="shared" si="18"/>
        <v>1</v>
      </c>
      <c r="X102" s="35" t="str">
        <f t="shared" si="16"/>
        <v/>
      </c>
      <c r="Y102" s="35" t="str">
        <f t="shared" si="19"/>
        <v/>
      </c>
      <c r="Z102" s="35">
        <f t="shared" si="20"/>
        <v>1</v>
      </c>
      <c r="AA102" s="82"/>
      <c r="AB102" s="82"/>
    </row>
    <row r="103" spans="1:28" x14ac:dyDescent="0.25">
      <c r="A103" s="34">
        <f t="shared" si="17"/>
        <v>94</v>
      </c>
      <c r="B103" s="3"/>
      <c r="C103" s="14"/>
      <c r="D103" s="8" t="s">
        <v>542</v>
      </c>
      <c r="E103" s="8" t="s">
        <v>126</v>
      </c>
      <c r="F103" s="9" t="s">
        <v>543</v>
      </c>
      <c r="G103" s="3"/>
      <c r="H103" s="3"/>
      <c r="I103" s="3"/>
      <c r="J103" s="4"/>
      <c r="K103" s="4"/>
      <c r="L103" s="4"/>
      <c r="M103" s="4"/>
      <c r="N103" s="50"/>
      <c r="O103" s="12"/>
      <c r="P103" s="12"/>
      <c r="Q103" s="49" t="str">
        <f t="shared" si="21"/>
        <v/>
      </c>
      <c r="R103" s="49" t="str">
        <f t="shared" si="22"/>
        <v/>
      </c>
      <c r="S103" s="44"/>
      <c r="T103" s="44"/>
      <c r="U103" s="88" t="s">
        <v>585</v>
      </c>
      <c r="V103" s="60" t="s">
        <v>587</v>
      </c>
      <c r="W103" s="35">
        <f t="shared" si="18"/>
        <v>1</v>
      </c>
      <c r="X103" s="35" t="str">
        <f t="shared" si="16"/>
        <v/>
      </c>
      <c r="Y103" s="35" t="str">
        <f t="shared" si="19"/>
        <v/>
      </c>
      <c r="Z103" s="35">
        <f t="shared" si="20"/>
        <v>1</v>
      </c>
      <c r="AA103" s="82"/>
      <c r="AB103" s="82"/>
    </row>
    <row r="104" spans="1:28" x14ac:dyDescent="0.25">
      <c r="A104" s="34">
        <f t="shared" si="17"/>
        <v>95</v>
      </c>
      <c r="B104" s="14"/>
      <c r="C104" s="14"/>
      <c r="D104" s="8" t="s">
        <v>172</v>
      </c>
      <c r="E104" s="8" t="s">
        <v>39</v>
      </c>
      <c r="F104" s="9" t="s">
        <v>219</v>
      </c>
      <c r="G104" s="10"/>
      <c r="H104" s="11"/>
      <c r="I104" s="11"/>
      <c r="J104" s="11"/>
      <c r="K104" s="11"/>
      <c r="L104" s="11"/>
      <c r="M104" s="11"/>
      <c r="N104" s="50"/>
      <c r="O104" s="53"/>
      <c r="P104" s="36"/>
      <c r="Q104" s="49" t="str">
        <f t="shared" si="21"/>
        <v/>
      </c>
      <c r="R104" s="49" t="str">
        <f t="shared" si="22"/>
        <v/>
      </c>
      <c r="S104" s="44"/>
      <c r="T104" s="38"/>
      <c r="U104" s="88" t="s">
        <v>585</v>
      </c>
      <c r="V104" s="5" t="s">
        <v>173</v>
      </c>
      <c r="W104" s="35">
        <f t="shared" si="18"/>
        <v>1</v>
      </c>
      <c r="X104" s="35" t="str">
        <f t="shared" si="16"/>
        <v/>
      </c>
      <c r="Y104" s="35" t="str">
        <f t="shared" si="19"/>
        <v/>
      </c>
      <c r="Z104" s="35">
        <f t="shared" si="20"/>
        <v>1</v>
      </c>
      <c r="AA104" s="82"/>
      <c r="AB104" s="82"/>
    </row>
    <row r="105" spans="1:28" x14ac:dyDescent="0.25">
      <c r="A105" s="34">
        <f t="shared" si="17"/>
        <v>96</v>
      </c>
      <c r="B105" s="14"/>
      <c r="C105" s="14"/>
      <c r="D105" s="8" t="s">
        <v>544</v>
      </c>
      <c r="E105" s="8" t="s">
        <v>545</v>
      </c>
      <c r="F105" s="9" t="s">
        <v>546</v>
      </c>
      <c r="G105" s="10"/>
      <c r="H105" s="11"/>
      <c r="I105" s="11"/>
      <c r="J105" s="11"/>
      <c r="K105" s="11"/>
      <c r="L105" s="11"/>
      <c r="M105" s="11"/>
      <c r="N105" s="50"/>
      <c r="O105" s="53"/>
      <c r="P105" s="36"/>
      <c r="Q105" s="49" t="str">
        <f t="shared" si="21"/>
        <v/>
      </c>
      <c r="R105" s="49" t="str">
        <f t="shared" si="22"/>
        <v/>
      </c>
      <c r="S105" s="44"/>
      <c r="T105" s="38"/>
      <c r="U105" s="88" t="s">
        <v>639</v>
      </c>
      <c r="V105" s="7" t="s">
        <v>589</v>
      </c>
      <c r="W105" s="35">
        <f t="shared" si="18"/>
        <v>1</v>
      </c>
      <c r="X105" s="35" t="str">
        <f t="shared" si="16"/>
        <v/>
      </c>
      <c r="Y105" s="35" t="str">
        <f t="shared" si="19"/>
        <v/>
      </c>
      <c r="Z105" s="35">
        <f t="shared" si="20"/>
        <v>1</v>
      </c>
      <c r="AA105" s="82"/>
      <c r="AB105" s="82"/>
    </row>
    <row r="106" spans="1:28" x14ac:dyDescent="0.25">
      <c r="A106" s="34">
        <f t="shared" ref="A106:A137" si="23">+A105+1</f>
        <v>97</v>
      </c>
      <c r="B106" s="14"/>
      <c r="C106" s="14"/>
      <c r="D106" s="8" t="s">
        <v>329</v>
      </c>
      <c r="E106" s="8" t="s">
        <v>5</v>
      </c>
      <c r="F106" s="9" t="s">
        <v>330</v>
      </c>
      <c r="G106" s="10"/>
      <c r="H106" s="11"/>
      <c r="I106" s="11"/>
      <c r="J106" s="11"/>
      <c r="K106" s="11"/>
      <c r="L106" s="11"/>
      <c r="M106" s="11"/>
      <c r="N106" s="50"/>
      <c r="O106" s="53"/>
      <c r="P106" s="36"/>
      <c r="Q106" s="49" t="str">
        <f t="shared" si="21"/>
        <v/>
      </c>
      <c r="R106" s="49" t="str">
        <f t="shared" si="22"/>
        <v/>
      </c>
      <c r="S106" s="44"/>
      <c r="T106" s="38"/>
      <c r="U106" s="79"/>
      <c r="V106" s="7" t="s">
        <v>591</v>
      </c>
      <c r="W106" s="35">
        <f t="shared" ref="W106:W137" si="24">IF(D106&lt;&gt;"",1,"")</f>
        <v>1</v>
      </c>
      <c r="X106" s="35" t="str">
        <f t="shared" si="16"/>
        <v/>
      </c>
      <c r="Y106" s="35" t="str">
        <f t="shared" si="19"/>
        <v/>
      </c>
      <c r="Z106" s="35">
        <f t="shared" si="20"/>
        <v>1</v>
      </c>
      <c r="AA106" s="82"/>
      <c r="AB106" s="82"/>
    </row>
    <row r="107" spans="1:28" x14ac:dyDescent="0.25">
      <c r="A107" s="34">
        <f t="shared" si="23"/>
        <v>98</v>
      </c>
      <c r="B107" s="14"/>
      <c r="C107" s="14"/>
      <c r="D107" s="1" t="s">
        <v>40</v>
      </c>
      <c r="E107" s="1" t="s">
        <v>41</v>
      </c>
      <c r="F107" s="2" t="s">
        <v>264</v>
      </c>
      <c r="G107" s="10"/>
      <c r="H107" s="11"/>
      <c r="I107" s="11"/>
      <c r="J107" s="11"/>
      <c r="K107" s="11"/>
      <c r="L107" s="11"/>
      <c r="M107" s="11"/>
      <c r="N107" s="50"/>
      <c r="O107" s="53"/>
      <c r="P107" s="36"/>
      <c r="Q107" s="49" t="str">
        <f t="shared" si="21"/>
        <v/>
      </c>
      <c r="R107" s="49" t="str">
        <f t="shared" si="22"/>
        <v/>
      </c>
      <c r="S107" s="44"/>
      <c r="T107" s="38"/>
      <c r="U107" s="86" t="s">
        <v>588</v>
      </c>
      <c r="V107" s="5"/>
      <c r="W107" s="35">
        <f t="shared" si="24"/>
        <v>1</v>
      </c>
      <c r="X107" s="35" t="str">
        <f t="shared" si="16"/>
        <v/>
      </c>
      <c r="Y107" s="35" t="str">
        <f t="shared" si="19"/>
        <v/>
      </c>
      <c r="Z107" s="35" t="str">
        <f t="shared" si="20"/>
        <v/>
      </c>
      <c r="AA107" s="82"/>
      <c r="AB107" s="82"/>
    </row>
    <row r="108" spans="1:28" x14ac:dyDescent="0.25">
      <c r="A108" s="34">
        <f t="shared" si="23"/>
        <v>99</v>
      </c>
      <c r="B108" s="14"/>
      <c r="C108" s="14"/>
      <c r="D108" s="8" t="s">
        <v>413</v>
      </c>
      <c r="E108" s="8" t="s">
        <v>414</v>
      </c>
      <c r="F108" s="9" t="s">
        <v>415</v>
      </c>
      <c r="G108" s="10"/>
      <c r="H108" s="11"/>
      <c r="I108" s="11"/>
      <c r="J108" s="11"/>
      <c r="K108" s="11"/>
      <c r="L108" s="11"/>
      <c r="M108" s="11"/>
      <c r="N108" s="50"/>
      <c r="O108" s="53"/>
      <c r="P108" s="36"/>
      <c r="Q108" s="49" t="str">
        <f t="shared" si="21"/>
        <v/>
      </c>
      <c r="R108" s="49" t="str">
        <f t="shared" si="22"/>
        <v/>
      </c>
      <c r="S108" s="44"/>
      <c r="T108" s="38"/>
      <c r="U108" s="79" t="s">
        <v>590</v>
      </c>
      <c r="V108" s="5" t="s">
        <v>425</v>
      </c>
      <c r="W108" s="35">
        <f t="shared" si="24"/>
        <v>1</v>
      </c>
      <c r="X108" s="35" t="str">
        <f t="shared" si="16"/>
        <v/>
      </c>
      <c r="Y108" s="35" t="str">
        <f t="shared" si="19"/>
        <v/>
      </c>
      <c r="Z108" s="35">
        <f t="shared" si="20"/>
        <v>1</v>
      </c>
      <c r="AA108" s="82"/>
      <c r="AB108" s="82"/>
    </row>
    <row r="109" spans="1:28" x14ac:dyDescent="0.25">
      <c r="A109" s="34">
        <f t="shared" si="23"/>
        <v>100</v>
      </c>
      <c r="B109" s="14"/>
      <c r="C109" s="14"/>
      <c r="D109" s="1" t="s">
        <v>77</v>
      </c>
      <c r="E109" s="1" t="s">
        <v>5</v>
      </c>
      <c r="F109" s="2" t="s">
        <v>566</v>
      </c>
      <c r="G109" s="10"/>
      <c r="H109" s="11"/>
      <c r="I109" s="11"/>
      <c r="J109" s="11"/>
      <c r="K109" s="11"/>
      <c r="L109" s="11"/>
      <c r="M109" s="11"/>
      <c r="N109" s="50"/>
      <c r="O109" s="53"/>
      <c r="P109" s="36"/>
      <c r="Q109" s="49" t="str">
        <f t="shared" si="21"/>
        <v/>
      </c>
      <c r="R109" s="49" t="str">
        <f t="shared" si="22"/>
        <v/>
      </c>
      <c r="S109" s="44"/>
      <c r="T109" s="38"/>
      <c r="U109" s="79"/>
      <c r="V109" s="5" t="s">
        <v>426</v>
      </c>
      <c r="W109" s="35">
        <f t="shared" si="24"/>
        <v>1</v>
      </c>
      <c r="X109" s="35" t="str">
        <f t="shared" si="16"/>
        <v/>
      </c>
      <c r="Y109" s="35" t="str">
        <f t="shared" si="19"/>
        <v/>
      </c>
      <c r="Z109" s="35">
        <f t="shared" si="20"/>
        <v>1</v>
      </c>
      <c r="AA109" s="82"/>
      <c r="AB109" s="82"/>
    </row>
    <row r="110" spans="1:28" x14ac:dyDescent="0.25">
      <c r="A110" s="34">
        <f t="shared" si="23"/>
        <v>101</v>
      </c>
      <c r="B110" s="14"/>
      <c r="C110" s="14"/>
      <c r="D110" s="8" t="s">
        <v>365</v>
      </c>
      <c r="E110" s="8" t="s">
        <v>366</v>
      </c>
      <c r="F110" s="9" t="s">
        <v>367</v>
      </c>
      <c r="G110" s="10"/>
      <c r="H110" s="10"/>
      <c r="I110" s="10"/>
      <c r="J110" s="10"/>
      <c r="K110" s="11"/>
      <c r="L110" s="11"/>
      <c r="M110" s="11"/>
      <c r="N110" s="50"/>
      <c r="O110" s="53"/>
      <c r="P110" s="36"/>
      <c r="Q110" s="49" t="str">
        <f t="shared" si="21"/>
        <v/>
      </c>
      <c r="R110" s="49" t="str">
        <f t="shared" si="22"/>
        <v/>
      </c>
      <c r="S110" s="44"/>
      <c r="T110" s="38"/>
      <c r="U110" s="81">
        <v>7072242345</v>
      </c>
      <c r="V110" s="5" t="s">
        <v>453</v>
      </c>
      <c r="W110" s="35">
        <f t="shared" si="24"/>
        <v>1</v>
      </c>
      <c r="X110" s="35" t="str">
        <f t="shared" si="16"/>
        <v/>
      </c>
      <c r="Y110" s="35" t="str">
        <f t="shared" si="19"/>
        <v/>
      </c>
      <c r="Z110" s="35">
        <f t="shared" si="20"/>
        <v>1</v>
      </c>
      <c r="AA110" s="82"/>
      <c r="AB110" s="82"/>
    </row>
    <row r="111" spans="1:28" x14ac:dyDescent="0.25">
      <c r="A111" s="34">
        <f t="shared" si="23"/>
        <v>102</v>
      </c>
      <c r="B111" s="14"/>
      <c r="C111" s="14"/>
      <c r="D111" s="1" t="s">
        <v>35</v>
      </c>
      <c r="E111" s="1" t="s">
        <v>26</v>
      </c>
      <c r="F111" s="2" t="s">
        <v>232</v>
      </c>
      <c r="G111" s="10"/>
      <c r="H111" s="11"/>
      <c r="I111" s="11"/>
      <c r="J111" s="11"/>
      <c r="K111" s="11"/>
      <c r="L111" s="11"/>
      <c r="M111" s="11"/>
      <c r="N111" s="50"/>
      <c r="O111" s="53"/>
      <c r="P111" s="36"/>
      <c r="Q111" s="49" t="str">
        <f t="shared" si="21"/>
        <v/>
      </c>
      <c r="R111" s="49" t="str">
        <f t="shared" si="22"/>
        <v/>
      </c>
      <c r="S111" s="44"/>
      <c r="T111" s="38"/>
      <c r="U111" s="79"/>
      <c r="V111" s="5" t="s">
        <v>454</v>
      </c>
      <c r="W111" s="35">
        <f t="shared" si="24"/>
        <v>1</v>
      </c>
      <c r="X111" s="35" t="str">
        <f t="shared" si="16"/>
        <v/>
      </c>
      <c r="Y111" s="35" t="str">
        <f t="shared" si="19"/>
        <v/>
      </c>
      <c r="Z111" s="35">
        <f t="shared" si="20"/>
        <v>1</v>
      </c>
      <c r="AA111" s="82"/>
      <c r="AB111" s="82"/>
    </row>
    <row r="112" spans="1:28" x14ac:dyDescent="0.25">
      <c r="A112" s="34">
        <f t="shared" si="23"/>
        <v>103</v>
      </c>
      <c r="B112" s="14"/>
      <c r="C112" s="14"/>
      <c r="D112" s="8" t="s">
        <v>476</v>
      </c>
      <c r="E112" s="8" t="s">
        <v>34</v>
      </c>
      <c r="F112" s="9" t="s">
        <v>477</v>
      </c>
      <c r="G112" s="10"/>
      <c r="H112" s="11"/>
      <c r="I112" s="11"/>
      <c r="J112" s="11"/>
      <c r="K112" s="11"/>
      <c r="L112" s="11"/>
      <c r="M112" s="11"/>
      <c r="N112" s="50"/>
      <c r="O112" s="53"/>
      <c r="P112" s="12"/>
      <c r="Q112" s="49" t="str">
        <f t="shared" si="21"/>
        <v/>
      </c>
      <c r="R112" s="49" t="str">
        <f t="shared" si="22"/>
        <v/>
      </c>
      <c r="S112" s="44"/>
      <c r="T112" s="38"/>
      <c r="U112" s="81"/>
      <c r="V112" s="5" t="s">
        <v>478</v>
      </c>
      <c r="W112" s="35">
        <f t="shared" si="24"/>
        <v>1</v>
      </c>
      <c r="X112" s="35" t="str">
        <f t="shared" si="16"/>
        <v/>
      </c>
      <c r="Y112" s="35" t="str">
        <f t="shared" si="19"/>
        <v/>
      </c>
      <c r="Z112" s="35">
        <f t="shared" si="20"/>
        <v>1</v>
      </c>
      <c r="AA112" s="82"/>
      <c r="AB112" s="82"/>
    </row>
    <row r="113" spans="1:28" x14ac:dyDescent="0.25">
      <c r="A113" s="34">
        <f t="shared" si="23"/>
        <v>104</v>
      </c>
      <c r="B113" s="3"/>
      <c r="C113" s="14"/>
      <c r="D113" s="8" t="s">
        <v>438</v>
      </c>
      <c r="E113" s="8" t="s">
        <v>439</v>
      </c>
      <c r="F113" s="9"/>
      <c r="G113" s="3"/>
      <c r="H113" s="3"/>
      <c r="I113" s="3"/>
      <c r="J113" s="4"/>
      <c r="K113" s="4"/>
      <c r="L113" s="4"/>
      <c r="M113" s="4"/>
      <c r="N113" s="50"/>
      <c r="O113" s="12"/>
      <c r="P113" s="12"/>
      <c r="Q113" s="49" t="str">
        <f t="shared" si="21"/>
        <v/>
      </c>
      <c r="R113" s="49" t="str">
        <f t="shared" si="22"/>
        <v/>
      </c>
      <c r="S113" s="44"/>
      <c r="T113" s="44"/>
      <c r="U113" s="79"/>
      <c r="V113" s="5" t="s">
        <v>440</v>
      </c>
      <c r="W113" s="35">
        <f t="shared" si="24"/>
        <v>1</v>
      </c>
      <c r="X113" s="35" t="str">
        <f t="shared" si="16"/>
        <v/>
      </c>
      <c r="Y113" s="35" t="str">
        <f t="shared" si="19"/>
        <v/>
      </c>
      <c r="Z113" s="35">
        <f t="shared" si="20"/>
        <v>1</v>
      </c>
      <c r="AA113" s="82"/>
      <c r="AB113" s="82"/>
    </row>
    <row r="114" spans="1:28" x14ac:dyDescent="0.25">
      <c r="A114" s="34">
        <f t="shared" si="23"/>
        <v>105</v>
      </c>
      <c r="B114" s="14"/>
      <c r="C114" s="14"/>
      <c r="D114" s="1" t="s">
        <v>85</v>
      </c>
      <c r="E114" s="1" t="s">
        <v>86</v>
      </c>
      <c r="F114" s="2" t="s">
        <v>213</v>
      </c>
      <c r="G114" s="10"/>
      <c r="H114" s="11"/>
      <c r="I114" s="11"/>
      <c r="J114" s="11"/>
      <c r="K114" s="11"/>
      <c r="L114" s="11"/>
      <c r="M114" s="11"/>
      <c r="N114" s="50"/>
      <c r="O114" s="53"/>
      <c r="P114" s="12"/>
      <c r="Q114" s="49" t="str">
        <f t="shared" si="21"/>
        <v/>
      </c>
      <c r="R114" s="49" t="str">
        <f t="shared" si="22"/>
        <v/>
      </c>
      <c r="S114" s="44"/>
      <c r="T114" s="38"/>
      <c r="U114" s="79"/>
      <c r="V114" s="5" t="s">
        <v>163</v>
      </c>
      <c r="W114" s="35">
        <f t="shared" si="24"/>
        <v>1</v>
      </c>
      <c r="X114" s="35" t="str">
        <f t="shared" si="16"/>
        <v/>
      </c>
      <c r="Y114" s="35" t="str">
        <f t="shared" si="19"/>
        <v/>
      </c>
      <c r="Z114" s="35">
        <f t="shared" si="20"/>
        <v>1</v>
      </c>
      <c r="AA114" s="82"/>
      <c r="AB114" s="82"/>
    </row>
    <row r="115" spans="1:28" x14ac:dyDescent="0.25">
      <c r="A115" s="34">
        <f t="shared" si="23"/>
        <v>106</v>
      </c>
      <c r="B115" s="14"/>
      <c r="C115" s="14"/>
      <c r="D115" s="8" t="s">
        <v>465</v>
      </c>
      <c r="E115" s="8" t="s">
        <v>9</v>
      </c>
      <c r="F115" s="9" t="s">
        <v>466</v>
      </c>
      <c r="G115" s="10"/>
      <c r="H115" s="11"/>
      <c r="I115" s="11"/>
      <c r="J115" s="11"/>
      <c r="K115" s="11"/>
      <c r="L115" s="11"/>
      <c r="M115" s="11"/>
      <c r="N115" s="50"/>
      <c r="O115" s="53"/>
      <c r="P115" s="36"/>
      <c r="Q115" s="49" t="str">
        <f t="shared" si="21"/>
        <v/>
      </c>
      <c r="R115" s="49" t="str">
        <f t="shared" si="22"/>
        <v/>
      </c>
      <c r="S115" s="44"/>
      <c r="T115" s="38"/>
      <c r="U115" s="81"/>
      <c r="V115" s="5" t="s">
        <v>467</v>
      </c>
      <c r="W115" s="35">
        <f t="shared" si="24"/>
        <v>1</v>
      </c>
      <c r="X115" s="35" t="str">
        <f t="shared" si="16"/>
        <v/>
      </c>
      <c r="Y115" s="35" t="str">
        <f t="shared" si="19"/>
        <v/>
      </c>
      <c r="Z115" s="35">
        <f t="shared" si="20"/>
        <v>1</v>
      </c>
      <c r="AA115" s="82"/>
      <c r="AB115" s="82"/>
    </row>
    <row r="116" spans="1:28" x14ac:dyDescent="0.25">
      <c r="A116" s="34">
        <f t="shared" si="23"/>
        <v>107</v>
      </c>
      <c r="B116" s="14"/>
      <c r="C116" s="14"/>
      <c r="D116" s="8" t="s">
        <v>197</v>
      </c>
      <c r="E116" s="8" t="s">
        <v>144</v>
      </c>
      <c r="F116" s="9" t="s">
        <v>243</v>
      </c>
      <c r="G116" s="10"/>
      <c r="H116" s="11"/>
      <c r="I116" s="11"/>
      <c r="J116" s="11"/>
      <c r="K116" s="11"/>
      <c r="L116" s="11"/>
      <c r="M116" s="11"/>
      <c r="N116" s="50"/>
      <c r="O116" s="53"/>
      <c r="P116" s="36"/>
      <c r="Q116" s="49" t="str">
        <f t="shared" si="21"/>
        <v/>
      </c>
      <c r="R116" s="49" t="str">
        <f t="shared" si="22"/>
        <v/>
      </c>
      <c r="S116" s="44"/>
      <c r="T116" s="38"/>
      <c r="U116" s="79"/>
      <c r="V116" s="5" t="s">
        <v>455</v>
      </c>
      <c r="W116" s="35">
        <f t="shared" si="24"/>
        <v>1</v>
      </c>
      <c r="X116" s="35" t="str">
        <f t="shared" si="16"/>
        <v/>
      </c>
      <c r="Y116" s="35" t="str">
        <f t="shared" si="19"/>
        <v/>
      </c>
      <c r="Z116" s="35">
        <f t="shared" si="20"/>
        <v>1</v>
      </c>
      <c r="AA116" s="82"/>
      <c r="AB116" s="82"/>
    </row>
    <row r="117" spans="1:28" x14ac:dyDescent="0.25">
      <c r="A117" s="34">
        <f t="shared" si="23"/>
        <v>108</v>
      </c>
      <c r="B117" s="14"/>
      <c r="C117" s="14"/>
      <c r="D117" s="1" t="s">
        <v>491</v>
      </c>
      <c r="E117" s="1" t="s">
        <v>5</v>
      </c>
      <c r="F117" s="2" t="s">
        <v>265</v>
      </c>
      <c r="G117" s="10"/>
      <c r="H117" s="11"/>
      <c r="I117" s="11"/>
      <c r="J117" s="11"/>
      <c r="K117" s="11"/>
      <c r="L117" s="11"/>
      <c r="M117" s="11"/>
      <c r="N117" s="50"/>
      <c r="O117" s="53"/>
      <c r="P117" s="36"/>
      <c r="Q117" s="49" t="str">
        <f t="shared" si="21"/>
        <v/>
      </c>
      <c r="R117" s="49" t="str">
        <f t="shared" si="22"/>
        <v/>
      </c>
      <c r="S117" s="38"/>
      <c r="T117" s="38"/>
      <c r="U117" s="79" t="s">
        <v>640</v>
      </c>
      <c r="V117" s="5" t="s">
        <v>487</v>
      </c>
      <c r="W117" s="35">
        <f t="shared" si="24"/>
        <v>1</v>
      </c>
      <c r="X117" s="35" t="str">
        <f t="shared" si="16"/>
        <v/>
      </c>
      <c r="Y117" s="35" t="str">
        <f t="shared" si="19"/>
        <v/>
      </c>
      <c r="Z117" s="35">
        <f t="shared" si="20"/>
        <v>1</v>
      </c>
      <c r="AA117" s="82"/>
      <c r="AB117" s="82"/>
    </row>
    <row r="118" spans="1:28" x14ac:dyDescent="0.25">
      <c r="A118" s="34">
        <f t="shared" si="23"/>
        <v>109</v>
      </c>
      <c r="B118" s="3"/>
      <c r="C118" s="14"/>
      <c r="D118" s="8" t="s">
        <v>436</v>
      </c>
      <c r="E118" s="67" t="s">
        <v>126</v>
      </c>
      <c r="F118" s="9"/>
      <c r="G118" s="3"/>
      <c r="H118" s="3"/>
      <c r="I118" s="3"/>
      <c r="J118" s="4"/>
      <c r="K118" s="4"/>
      <c r="L118" s="4"/>
      <c r="M118" s="4"/>
      <c r="N118" s="50"/>
      <c r="O118" s="12"/>
      <c r="P118" s="12"/>
      <c r="Q118" s="49" t="str">
        <f t="shared" si="21"/>
        <v/>
      </c>
      <c r="R118" s="49" t="str">
        <f t="shared" si="22"/>
        <v/>
      </c>
      <c r="S118" s="44"/>
      <c r="T118" s="44"/>
      <c r="U118" s="86" t="s">
        <v>592</v>
      </c>
      <c r="V118" s="5" t="s">
        <v>437</v>
      </c>
      <c r="W118" s="35">
        <f t="shared" si="24"/>
        <v>1</v>
      </c>
      <c r="X118" s="35" t="str">
        <f t="shared" si="16"/>
        <v/>
      </c>
      <c r="Y118" s="35" t="str">
        <f t="shared" si="19"/>
        <v/>
      </c>
      <c r="Z118" s="35">
        <f t="shared" si="20"/>
        <v>1</v>
      </c>
      <c r="AA118" s="82"/>
      <c r="AB118" s="82"/>
    </row>
    <row r="119" spans="1:28" x14ac:dyDescent="0.25">
      <c r="A119" s="34">
        <f t="shared" si="23"/>
        <v>110</v>
      </c>
      <c r="B119" s="14"/>
      <c r="C119" s="14"/>
      <c r="D119" s="1" t="s">
        <v>28</v>
      </c>
      <c r="E119" s="1" t="s">
        <v>29</v>
      </c>
      <c r="F119" s="2" t="s">
        <v>218</v>
      </c>
      <c r="G119" s="10"/>
      <c r="H119" s="11"/>
      <c r="I119" s="11"/>
      <c r="J119" s="11"/>
      <c r="K119" s="11"/>
      <c r="L119" s="11"/>
      <c r="M119" s="11"/>
      <c r="N119" s="50"/>
      <c r="O119" s="53"/>
      <c r="P119" s="36"/>
      <c r="Q119" s="49" t="str">
        <f t="shared" si="21"/>
        <v/>
      </c>
      <c r="R119" s="49" t="str">
        <f t="shared" si="22"/>
        <v/>
      </c>
      <c r="S119" s="44"/>
      <c r="T119" s="38"/>
      <c r="U119" s="86" t="s">
        <v>641</v>
      </c>
      <c r="V119" s="5" t="s">
        <v>171</v>
      </c>
      <c r="W119" s="35">
        <f t="shared" si="24"/>
        <v>1</v>
      </c>
      <c r="X119" s="35" t="str">
        <f t="shared" si="16"/>
        <v/>
      </c>
      <c r="Y119" s="35" t="str">
        <f t="shared" si="19"/>
        <v/>
      </c>
      <c r="Z119" s="35">
        <f t="shared" si="20"/>
        <v>1</v>
      </c>
      <c r="AA119" s="82"/>
      <c r="AB119" s="82"/>
    </row>
    <row r="120" spans="1:28" x14ac:dyDescent="0.25">
      <c r="A120" s="34">
        <f t="shared" si="23"/>
        <v>111</v>
      </c>
      <c r="B120" s="3"/>
      <c r="C120" s="14"/>
      <c r="D120" s="8" t="s">
        <v>505</v>
      </c>
      <c r="E120" s="8" t="s">
        <v>58</v>
      </c>
      <c r="F120" s="9" t="s">
        <v>506</v>
      </c>
      <c r="G120" s="3"/>
      <c r="H120" s="3"/>
      <c r="I120" s="3"/>
      <c r="J120" s="4"/>
      <c r="K120" s="4"/>
      <c r="L120" s="4"/>
      <c r="M120" s="4"/>
      <c r="N120" s="50"/>
      <c r="O120" s="12"/>
      <c r="P120" s="12"/>
      <c r="Q120" s="49" t="str">
        <f t="shared" si="21"/>
        <v/>
      </c>
      <c r="R120" s="49" t="str">
        <f t="shared" si="22"/>
        <v/>
      </c>
      <c r="S120" s="44"/>
      <c r="T120" s="44"/>
      <c r="U120" s="79">
        <v>3109037285</v>
      </c>
      <c r="V120" s="5"/>
      <c r="W120" s="35">
        <f t="shared" si="24"/>
        <v>1</v>
      </c>
      <c r="X120" s="35" t="str">
        <f t="shared" si="16"/>
        <v/>
      </c>
      <c r="Y120" s="35" t="str">
        <f t="shared" si="19"/>
        <v/>
      </c>
      <c r="Z120" s="35" t="str">
        <f t="shared" si="20"/>
        <v/>
      </c>
      <c r="AA120" s="82"/>
      <c r="AB120" s="82"/>
    </row>
    <row r="121" spans="1:28" x14ac:dyDescent="0.25">
      <c r="A121" s="34">
        <f t="shared" si="23"/>
        <v>112</v>
      </c>
      <c r="B121" s="3"/>
      <c r="C121" s="14"/>
      <c r="D121" s="1" t="s">
        <v>179</v>
      </c>
      <c r="E121" s="1" t="s">
        <v>14</v>
      </c>
      <c r="F121" s="2" t="s">
        <v>221</v>
      </c>
      <c r="G121" s="3"/>
      <c r="H121" s="3"/>
      <c r="I121" s="3"/>
      <c r="J121" s="4"/>
      <c r="K121" s="4"/>
      <c r="L121" s="4"/>
      <c r="M121" s="4"/>
      <c r="N121" s="50"/>
      <c r="O121" s="12"/>
      <c r="P121" s="12"/>
      <c r="Q121" s="49" t="str">
        <f t="shared" si="21"/>
        <v/>
      </c>
      <c r="R121" s="49" t="str">
        <f t="shared" si="22"/>
        <v/>
      </c>
      <c r="S121" s="44"/>
      <c r="T121" s="44"/>
      <c r="U121" s="81"/>
      <c r="V121" s="5" t="s">
        <v>178</v>
      </c>
      <c r="W121" s="35">
        <f t="shared" si="24"/>
        <v>1</v>
      </c>
      <c r="X121" s="35" t="str">
        <f t="shared" si="16"/>
        <v/>
      </c>
      <c r="Y121" s="35" t="str">
        <f t="shared" si="19"/>
        <v/>
      </c>
      <c r="Z121" s="35">
        <f t="shared" si="20"/>
        <v>1</v>
      </c>
      <c r="AA121" s="82"/>
      <c r="AB121" s="82"/>
    </row>
    <row r="122" spans="1:28" x14ac:dyDescent="0.25">
      <c r="A122" s="34">
        <f t="shared" si="23"/>
        <v>113</v>
      </c>
      <c r="B122" s="14"/>
      <c r="C122" s="14"/>
      <c r="D122" s="8" t="s">
        <v>399</v>
      </c>
      <c r="E122" s="8" t="s">
        <v>400</v>
      </c>
      <c r="F122" s="9" t="s">
        <v>401</v>
      </c>
      <c r="G122" s="10"/>
      <c r="H122" s="11"/>
      <c r="I122" s="11"/>
      <c r="J122" s="11"/>
      <c r="K122" s="11"/>
      <c r="L122" s="11"/>
      <c r="M122" s="11"/>
      <c r="N122" s="50"/>
      <c r="O122" s="53"/>
      <c r="P122" s="36"/>
      <c r="Q122" s="49" t="str">
        <f t="shared" si="21"/>
        <v/>
      </c>
      <c r="R122" s="49" t="str">
        <f t="shared" si="22"/>
        <v/>
      </c>
      <c r="S122" s="44"/>
      <c r="T122" s="38"/>
      <c r="U122" s="79">
        <v>8057047967</v>
      </c>
      <c r="V122" s="5"/>
      <c r="W122" s="35">
        <f t="shared" si="24"/>
        <v>1</v>
      </c>
      <c r="X122" s="35" t="str">
        <f t="shared" si="16"/>
        <v/>
      </c>
      <c r="Y122" s="35" t="str">
        <f t="shared" si="19"/>
        <v/>
      </c>
      <c r="Z122" s="35" t="str">
        <f t="shared" si="20"/>
        <v/>
      </c>
      <c r="AA122" s="82"/>
      <c r="AB122" s="82"/>
    </row>
    <row r="123" spans="1:28" x14ac:dyDescent="0.25">
      <c r="A123" s="34">
        <f t="shared" si="23"/>
        <v>114</v>
      </c>
      <c r="B123" s="14"/>
      <c r="C123" s="14"/>
      <c r="D123" s="1" t="s">
        <v>19</v>
      </c>
      <c r="E123" s="1" t="s">
        <v>18</v>
      </c>
      <c r="F123" s="2" t="s">
        <v>266</v>
      </c>
      <c r="G123" s="10"/>
      <c r="H123" s="11"/>
      <c r="I123" s="11"/>
      <c r="J123" s="11"/>
      <c r="K123" s="11"/>
      <c r="L123" s="11"/>
      <c r="M123" s="11"/>
      <c r="N123" s="50"/>
      <c r="O123" s="53"/>
      <c r="P123" s="36"/>
      <c r="Q123" s="49" t="str">
        <f t="shared" si="21"/>
        <v/>
      </c>
      <c r="R123" s="49" t="str">
        <f t="shared" si="22"/>
        <v/>
      </c>
      <c r="S123" s="44"/>
      <c r="T123" s="38"/>
      <c r="U123" s="81"/>
      <c r="V123" s="5" t="s">
        <v>427</v>
      </c>
      <c r="W123" s="35">
        <f t="shared" si="24"/>
        <v>1</v>
      </c>
      <c r="X123" s="35" t="str">
        <f t="shared" si="16"/>
        <v/>
      </c>
      <c r="Y123" s="35" t="str">
        <f t="shared" si="19"/>
        <v/>
      </c>
      <c r="Z123" s="35">
        <f t="shared" si="20"/>
        <v>1</v>
      </c>
      <c r="AA123" s="82"/>
      <c r="AB123" s="82"/>
    </row>
    <row r="124" spans="1:28" x14ac:dyDescent="0.25">
      <c r="A124" s="34">
        <f t="shared" si="23"/>
        <v>115</v>
      </c>
      <c r="B124" s="3"/>
      <c r="C124" s="14"/>
      <c r="D124" s="8" t="s">
        <v>369</v>
      </c>
      <c r="E124" s="8" t="s">
        <v>370</v>
      </c>
      <c r="F124" s="9" t="s">
        <v>371</v>
      </c>
      <c r="G124" s="3"/>
      <c r="H124" s="3"/>
      <c r="I124" s="3"/>
      <c r="J124" s="4"/>
      <c r="K124" s="4"/>
      <c r="L124" s="4"/>
      <c r="M124" s="4"/>
      <c r="N124" s="50"/>
      <c r="O124" s="12"/>
      <c r="P124" s="12"/>
      <c r="Q124" s="49" t="str">
        <f t="shared" si="21"/>
        <v/>
      </c>
      <c r="R124" s="49" t="str">
        <f t="shared" si="22"/>
        <v/>
      </c>
      <c r="S124" s="44"/>
      <c r="T124" s="44"/>
      <c r="U124" s="79"/>
      <c r="V124" s="5" t="s">
        <v>409</v>
      </c>
      <c r="W124" s="35">
        <f t="shared" si="24"/>
        <v>1</v>
      </c>
      <c r="X124" s="35" t="str">
        <f t="shared" si="16"/>
        <v/>
      </c>
      <c r="Y124" s="35" t="str">
        <f t="shared" si="19"/>
        <v/>
      </c>
      <c r="Z124" s="35">
        <f t="shared" si="20"/>
        <v>1</v>
      </c>
      <c r="AA124" s="82"/>
      <c r="AB124" s="82"/>
    </row>
    <row r="125" spans="1:28" x14ac:dyDescent="0.25">
      <c r="A125" s="34">
        <f t="shared" si="23"/>
        <v>116</v>
      </c>
      <c r="B125" s="14"/>
      <c r="C125" s="14"/>
      <c r="D125" s="8" t="s">
        <v>404</v>
      </c>
      <c r="E125" s="8" t="s">
        <v>339</v>
      </c>
      <c r="F125" s="9" t="s">
        <v>405</v>
      </c>
      <c r="G125" s="10"/>
      <c r="H125" s="11"/>
      <c r="I125" s="11"/>
      <c r="J125" s="11"/>
      <c r="K125" s="11"/>
      <c r="L125" s="11"/>
      <c r="M125" s="11"/>
      <c r="N125" s="50"/>
      <c r="O125" s="53"/>
      <c r="P125" s="12"/>
      <c r="Q125" s="49" t="str">
        <f t="shared" si="21"/>
        <v/>
      </c>
      <c r="R125" s="49" t="str">
        <f t="shared" si="22"/>
        <v/>
      </c>
      <c r="S125" s="44"/>
      <c r="T125" s="38"/>
      <c r="U125" s="81"/>
      <c r="V125" s="5" t="s">
        <v>428</v>
      </c>
      <c r="W125" s="35">
        <f t="shared" si="24"/>
        <v>1</v>
      </c>
      <c r="X125" s="35" t="str">
        <f t="shared" si="16"/>
        <v/>
      </c>
      <c r="Y125" s="35" t="str">
        <f t="shared" si="19"/>
        <v/>
      </c>
      <c r="Z125" s="35">
        <f t="shared" si="20"/>
        <v>1</v>
      </c>
      <c r="AA125" s="82"/>
      <c r="AB125" s="82"/>
    </row>
    <row r="126" spans="1:28" x14ac:dyDescent="0.25">
      <c r="A126" s="34">
        <f t="shared" si="23"/>
        <v>117</v>
      </c>
      <c r="B126" s="14"/>
      <c r="C126" s="14"/>
      <c r="D126" s="8" t="s">
        <v>195</v>
      </c>
      <c r="E126" s="8" t="s">
        <v>18</v>
      </c>
      <c r="F126" s="9" t="s">
        <v>242</v>
      </c>
      <c r="G126" s="10"/>
      <c r="H126" s="11"/>
      <c r="I126" s="11"/>
      <c r="J126" s="11"/>
      <c r="K126" s="11"/>
      <c r="L126" s="11"/>
      <c r="M126" s="11"/>
      <c r="N126" s="50"/>
      <c r="O126" s="53"/>
      <c r="P126" s="36"/>
      <c r="Q126" s="49" t="str">
        <f t="shared" ref="Q126:Q157" si="25">IF(O126="c",(70+G126*10+H126*10+I126*20+J126*50),"")</f>
        <v/>
      </c>
      <c r="R126" s="49" t="str">
        <f t="shared" ref="R126:R157" si="26">IF(O126="$",(70+G126*10+H126*10+I126*20+J126*50),"")</f>
        <v/>
      </c>
      <c r="S126" s="44"/>
      <c r="T126" s="38"/>
      <c r="U126" s="79"/>
      <c r="V126" s="5" t="s">
        <v>196</v>
      </c>
      <c r="W126" s="35">
        <f t="shared" si="24"/>
        <v>1</v>
      </c>
      <c r="X126" s="35" t="str">
        <f t="shared" si="16"/>
        <v/>
      </c>
      <c r="Y126" s="35" t="str">
        <f t="shared" si="19"/>
        <v/>
      </c>
      <c r="Z126" s="35">
        <f t="shared" si="20"/>
        <v>1</v>
      </c>
      <c r="AA126" s="82"/>
      <c r="AB126" s="82"/>
    </row>
    <row r="127" spans="1:28" x14ac:dyDescent="0.25">
      <c r="A127" s="34">
        <f t="shared" si="23"/>
        <v>118</v>
      </c>
      <c r="B127" s="14"/>
      <c r="C127" s="14"/>
      <c r="D127" s="8" t="s">
        <v>341</v>
      </c>
      <c r="E127" s="8" t="s">
        <v>67</v>
      </c>
      <c r="F127" s="9" t="s">
        <v>342</v>
      </c>
      <c r="G127" s="10"/>
      <c r="H127" s="11"/>
      <c r="I127" s="11"/>
      <c r="J127" s="11"/>
      <c r="K127" s="11"/>
      <c r="L127" s="11"/>
      <c r="M127" s="11"/>
      <c r="N127" s="50"/>
      <c r="O127" s="53"/>
      <c r="P127" s="36"/>
      <c r="Q127" s="49" t="str">
        <f t="shared" si="25"/>
        <v/>
      </c>
      <c r="R127" s="49" t="str">
        <f t="shared" si="26"/>
        <v/>
      </c>
      <c r="S127" s="44"/>
      <c r="T127" s="38"/>
      <c r="U127" s="79"/>
      <c r="V127" s="5" t="s">
        <v>344</v>
      </c>
      <c r="W127" s="35">
        <f t="shared" si="24"/>
        <v>1</v>
      </c>
      <c r="X127" s="35" t="str">
        <f t="shared" si="16"/>
        <v/>
      </c>
      <c r="Y127" s="35" t="str">
        <f t="shared" si="19"/>
        <v/>
      </c>
      <c r="Z127" s="35">
        <f t="shared" si="20"/>
        <v>1</v>
      </c>
      <c r="AA127" s="82"/>
      <c r="AB127" s="82"/>
    </row>
    <row r="128" spans="1:28" x14ac:dyDescent="0.25">
      <c r="A128" s="34">
        <f t="shared" si="23"/>
        <v>119</v>
      </c>
      <c r="B128" s="3"/>
      <c r="C128" s="14"/>
      <c r="D128" s="8" t="s">
        <v>161</v>
      </c>
      <c r="E128" s="8" t="s">
        <v>162</v>
      </c>
      <c r="F128" s="9" t="s">
        <v>267</v>
      </c>
      <c r="G128" s="3"/>
      <c r="H128" s="3"/>
      <c r="I128" s="3"/>
      <c r="J128" s="4"/>
      <c r="K128" s="4"/>
      <c r="L128" s="4"/>
      <c r="M128" s="4"/>
      <c r="N128" s="50"/>
      <c r="O128" s="12"/>
      <c r="P128" s="12"/>
      <c r="Q128" s="49" t="str">
        <f t="shared" si="25"/>
        <v/>
      </c>
      <c r="R128" s="49" t="str">
        <f t="shared" si="26"/>
        <v/>
      </c>
      <c r="S128" s="44"/>
      <c r="T128" s="44"/>
      <c r="U128" s="79"/>
      <c r="V128" s="5"/>
      <c r="W128" s="35">
        <f t="shared" si="24"/>
        <v>1</v>
      </c>
      <c r="X128" s="35" t="str">
        <f t="shared" si="16"/>
        <v/>
      </c>
      <c r="Y128" s="35" t="str">
        <f t="shared" si="19"/>
        <v/>
      </c>
      <c r="Z128" s="35" t="str">
        <f t="shared" si="20"/>
        <v/>
      </c>
      <c r="AA128" s="82"/>
      <c r="AB128" s="82"/>
    </row>
    <row r="129" spans="1:28" x14ac:dyDescent="0.25">
      <c r="A129" s="34">
        <f t="shared" si="23"/>
        <v>120</v>
      </c>
      <c r="B129" s="3"/>
      <c r="C129" s="14"/>
      <c r="D129" s="1" t="s">
        <v>27</v>
      </c>
      <c r="E129" s="1" t="s">
        <v>5</v>
      </c>
      <c r="F129" s="2" t="s">
        <v>268</v>
      </c>
      <c r="G129" s="3"/>
      <c r="H129" s="3"/>
      <c r="I129" s="3"/>
      <c r="J129" s="4"/>
      <c r="K129" s="4"/>
      <c r="L129" s="4"/>
      <c r="M129" s="4"/>
      <c r="N129" s="50"/>
      <c r="O129" s="12"/>
      <c r="P129" s="12"/>
      <c r="Q129" s="49" t="str">
        <f t="shared" si="25"/>
        <v/>
      </c>
      <c r="R129" s="49" t="str">
        <f t="shared" si="26"/>
        <v/>
      </c>
      <c r="S129" s="44"/>
      <c r="T129" s="44"/>
      <c r="U129" s="79"/>
      <c r="V129" s="60" t="s">
        <v>593</v>
      </c>
      <c r="W129" s="35">
        <f t="shared" si="24"/>
        <v>1</v>
      </c>
      <c r="X129" s="35" t="str">
        <f t="shared" si="16"/>
        <v/>
      </c>
      <c r="Y129" s="35" t="str">
        <f t="shared" si="19"/>
        <v/>
      </c>
      <c r="Z129" s="35">
        <f t="shared" si="20"/>
        <v>1</v>
      </c>
      <c r="AA129" s="82"/>
      <c r="AB129" s="82"/>
    </row>
    <row r="130" spans="1:28" x14ac:dyDescent="0.25">
      <c r="A130" s="34">
        <f t="shared" si="23"/>
        <v>121</v>
      </c>
      <c r="B130" s="14"/>
      <c r="C130" s="14"/>
      <c r="D130" s="8" t="s">
        <v>311</v>
      </c>
      <c r="E130" s="8" t="s">
        <v>313</v>
      </c>
      <c r="F130" s="9" t="s">
        <v>312</v>
      </c>
      <c r="G130" s="10"/>
      <c r="H130" s="10"/>
      <c r="I130" s="10"/>
      <c r="J130" s="10"/>
      <c r="K130" s="11"/>
      <c r="L130" s="11"/>
      <c r="M130" s="11"/>
      <c r="N130" s="50"/>
      <c r="O130" s="53"/>
      <c r="P130" s="12"/>
      <c r="Q130" s="49" t="str">
        <f t="shared" si="25"/>
        <v/>
      </c>
      <c r="R130" s="49" t="str">
        <f t="shared" si="26"/>
        <v/>
      </c>
      <c r="S130" s="44"/>
      <c r="T130" s="38"/>
      <c r="U130" s="81">
        <v>5105046905</v>
      </c>
      <c r="V130" s="5" t="s">
        <v>336</v>
      </c>
      <c r="W130" s="35">
        <f t="shared" si="24"/>
        <v>1</v>
      </c>
      <c r="X130" s="35" t="str">
        <f t="shared" si="16"/>
        <v/>
      </c>
      <c r="Y130" s="35" t="str">
        <f t="shared" si="19"/>
        <v/>
      </c>
      <c r="Z130" s="35">
        <f t="shared" si="20"/>
        <v>1</v>
      </c>
      <c r="AA130" s="82"/>
      <c r="AB130" s="82"/>
    </row>
    <row r="131" spans="1:28" x14ac:dyDescent="0.25">
      <c r="A131" s="34">
        <f t="shared" si="23"/>
        <v>122</v>
      </c>
      <c r="B131" s="14"/>
      <c r="C131" s="14"/>
      <c r="D131" s="1" t="s">
        <v>59</v>
      </c>
      <c r="E131" s="1" t="s">
        <v>60</v>
      </c>
      <c r="F131" s="2" t="s">
        <v>286</v>
      </c>
      <c r="G131" s="10"/>
      <c r="H131" s="11"/>
      <c r="I131" s="11"/>
      <c r="J131" s="11"/>
      <c r="K131" s="11"/>
      <c r="L131" s="11"/>
      <c r="M131" s="11"/>
      <c r="N131" s="50"/>
      <c r="O131" s="53"/>
      <c r="P131" s="36"/>
      <c r="Q131" s="49" t="str">
        <f t="shared" si="25"/>
        <v/>
      </c>
      <c r="R131" s="49" t="str">
        <f t="shared" si="26"/>
        <v/>
      </c>
      <c r="S131" s="44"/>
      <c r="T131" s="38"/>
      <c r="U131" s="86" t="s">
        <v>594</v>
      </c>
      <c r="V131" s="5" t="s">
        <v>289</v>
      </c>
      <c r="W131" s="35">
        <f t="shared" si="24"/>
        <v>1</v>
      </c>
      <c r="X131" s="35" t="str">
        <f t="shared" si="16"/>
        <v/>
      </c>
      <c r="Y131" s="35" t="str">
        <f t="shared" si="19"/>
        <v/>
      </c>
      <c r="Z131" s="35">
        <f t="shared" si="20"/>
        <v>1</v>
      </c>
      <c r="AA131" s="82"/>
      <c r="AB131" s="82"/>
    </row>
    <row r="132" spans="1:28" x14ac:dyDescent="0.25">
      <c r="A132" s="34">
        <f t="shared" si="23"/>
        <v>123</v>
      </c>
      <c r="B132" s="14"/>
      <c r="C132" s="14"/>
      <c r="D132" s="1" t="s">
        <v>151</v>
      </c>
      <c r="E132" s="1" t="s">
        <v>54</v>
      </c>
      <c r="F132" s="2" t="s">
        <v>269</v>
      </c>
      <c r="G132" s="10"/>
      <c r="H132" s="11"/>
      <c r="I132" s="11"/>
      <c r="J132" s="11"/>
      <c r="K132" s="11"/>
      <c r="L132" s="11"/>
      <c r="M132" s="11"/>
      <c r="N132" s="50"/>
      <c r="O132" s="53"/>
      <c r="P132" s="36"/>
      <c r="Q132" s="49" t="str">
        <f t="shared" si="25"/>
        <v/>
      </c>
      <c r="R132" s="49" t="str">
        <f t="shared" si="26"/>
        <v/>
      </c>
      <c r="S132" s="44"/>
      <c r="T132" s="38"/>
      <c r="U132" s="86">
        <v>5104902134</v>
      </c>
      <c r="V132" s="5" t="s">
        <v>456</v>
      </c>
      <c r="W132" s="35">
        <f t="shared" si="24"/>
        <v>1</v>
      </c>
      <c r="X132" s="35" t="str">
        <f t="shared" si="16"/>
        <v/>
      </c>
      <c r="Y132" s="35" t="str">
        <f t="shared" si="19"/>
        <v/>
      </c>
      <c r="Z132" s="35">
        <f t="shared" si="20"/>
        <v>1</v>
      </c>
      <c r="AA132" s="82"/>
      <c r="AB132" s="82"/>
    </row>
    <row r="133" spans="1:28" x14ac:dyDescent="0.25">
      <c r="A133" s="34">
        <f t="shared" si="23"/>
        <v>124</v>
      </c>
      <c r="B133" s="3"/>
      <c r="C133" s="14"/>
      <c r="D133" s="1" t="s">
        <v>92</v>
      </c>
      <c r="E133" s="1" t="s">
        <v>93</v>
      </c>
      <c r="F133" s="2" t="s">
        <v>270</v>
      </c>
      <c r="G133" s="3"/>
      <c r="H133" s="3"/>
      <c r="I133" s="3"/>
      <c r="J133" s="4"/>
      <c r="K133" s="4"/>
      <c r="L133" s="4"/>
      <c r="M133" s="4"/>
      <c r="N133" s="50"/>
      <c r="O133" s="12"/>
      <c r="P133" s="12"/>
      <c r="Q133" s="49" t="str">
        <f t="shared" si="25"/>
        <v/>
      </c>
      <c r="R133" s="49" t="str">
        <f t="shared" si="26"/>
        <v/>
      </c>
      <c r="S133" s="44"/>
      <c r="T133" s="44"/>
      <c r="U133" s="81">
        <v>9167697400</v>
      </c>
      <c r="V133" s="5" t="s">
        <v>457</v>
      </c>
      <c r="W133" s="35">
        <f t="shared" si="24"/>
        <v>1</v>
      </c>
      <c r="X133" s="35" t="str">
        <f t="shared" si="16"/>
        <v/>
      </c>
      <c r="Y133" s="35" t="str">
        <f t="shared" si="19"/>
        <v/>
      </c>
      <c r="Z133" s="35">
        <f t="shared" si="20"/>
        <v>1</v>
      </c>
      <c r="AA133" s="82"/>
      <c r="AB133" s="82"/>
    </row>
    <row r="134" spans="1:28" x14ac:dyDescent="0.25">
      <c r="A134" s="34">
        <f t="shared" si="23"/>
        <v>125</v>
      </c>
      <c r="B134" s="14"/>
      <c r="C134" s="14"/>
      <c r="D134" s="8" t="s">
        <v>297</v>
      </c>
      <c r="E134" s="8" t="s">
        <v>298</v>
      </c>
      <c r="F134" s="9" t="s">
        <v>299</v>
      </c>
      <c r="G134" s="10"/>
      <c r="H134" s="10"/>
      <c r="I134" s="10"/>
      <c r="J134" s="10"/>
      <c r="K134" s="11"/>
      <c r="L134" s="11"/>
      <c r="M134" s="11"/>
      <c r="N134" s="50"/>
      <c r="O134" s="53"/>
      <c r="P134" s="12"/>
      <c r="Q134" s="49" t="str">
        <f t="shared" si="25"/>
        <v/>
      </c>
      <c r="R134" s="49" t="str">
        <f t="shared" si="26"/>
        <v/>
      </c>
      <c r="S134" s="44"/>
      <c r="T134" s="38"/>
      <c r="U134" s="87"/>
      <c r="V134" s="60" t="s">
        <v>595</v>
      </c>
      <c r="W134" s="35">
        <f t="shared" si="24"/>
        <v>1</v>
      </c>
      <c r="X134" s="35" t="str">
        <f t="shared" si="16"/>
        <v/>
      </c>
      <c r="Y134" s="35" t="str">
        <f t="shared" si="19"/>
        <v/>
      </c>
      <c r="Z134" s="35">
        <f t="shared" si="20"/>
        <v>1</v>
      </c>
      <c r="AA134" s="82"/>
      <c r="AB134" s="82"/>
    </row>
    <row r="135" spans="1:28" x14ac:dyDescent="0.25">
      <c r="A135" s="34">
        <f t="shared" si="23"/>
        <v>126</v>
      </c>
      <c r="B135" s="14"/>
      <c r="C135" s="14"/>
      <c r="D135" s="8" t="s">
        <v>155</v>
      </c>
      <c r="E135" s="8" t="s">
        <v>156</v>
      </c>
      <c r="F135" s="9" t="s">
        <v>205</v>
      </c>
      <c r="G135" s="10"/>
      <c r="H135" s="11"/>
      <c r="I135" s="11"/>
      <c r="J135" s="11"/>
      <c r="K135" s="11"/>
      <c r="L135" s="11"/>
      <c r="M135" s="11"/>
      <c r="N135" s="50"/>
      <c r="O135" s="53"/>
      <c r="P135" s="36"/>
      <c r="Q135" s="49" t="str">
        <f t="shared" si="25"/>
        <v/>
      </c>
      <c r="R135" s="49" t="str">
        <f t="shared" si="26"/>
        <v/>
      </c>
      <c r="S135" s="44"/>
      <c r="T135" s="38"/>
      <c r="U135" s="79">
        <v>5302194729</v>
      </c>
      <c r="V135" s="5" t="s">
        <v>458</v>
      </c>
      <c r="W135" s="35">
        <f t="shared" si="24"/>
        <v>1</v>
      </c>
      <c r="X135" s="35" t="str">
        <f t="shared" ref="X135:X198" si="27">IF(T135&lt;&gt;"",1,"")</f>
        <v/>
      </c>
      <c r="Y135" s="35" t="str">
        <f t="shared" si="19"/>
        <v/>
      </c>
      <c r="Z135" s="35">
        <f t="shared" si="20"/>
        <v>1</v>
      </c>
      <c r="AA135" s="82"/>
      <c r="AB135" s="82"/>
    </row>
    <row r="136" spans="1:28" x14ac:dyDescent="0.25">
      <c r="A136" s="34">
        <f t="shared" si="23"/>
        <v>127</v>
      </c>
      <c r="B136" s="14"/>
      <c r="C136" s="14"/>
      <c r="D136" s="8" t="s">
        <v>138</v>
      </c>
      <c r="E136" s="8" t="s">
        <v>7</v>
      </c>
      <c r="F136" s="9" t="s">
        <v>241</v>
      </c>
      <c r="G136" s="10"/>
      <c r="H136" s="10"/>
      <c r="I136" s="10"/>
      <c r="J136" s="10"/>
      <c r="K136" s="11"/>
      <c r="L136" s="11"/>
      <c r="M136" s="11"/>
      <c r="N136" s="50"/>
      <c r="O136" s="53"/>
      <c r="P136" s="36"/>
      <c r="Q136" s="49" t="str">
        <f t="shared" si="25"/>
        <v/>
      </c>
      <c r="R136" s="49" t="str">
        <f t="shared" si="26"/>
        <v/>
      </c>
      <c r="S136" s="44"/>
      <c r="T136" s="38"/>
      <c r="U136" s="79" t="s">
        <v>642</v>
      </c>
      <c r="V136" s="5"/>
      <c r="W136" s="35">
        <f t="shared" si="24"/>
        <v>1</v>
      </c>
      <c r="X136" s="35" t="str">
        <f t="shared" si="27"/>
        <v/>
      </c>
      <c r="Y136" s="35" t="str">
        <f t="shared" si="19"/>
        <v/>
      </c>
      <c r="Z136" s="35" t="str">
        <f t="shared" si="20"/>
        <v/>
      </c>
      <c r="AA136" s="82"/>
      <c r="AB136" s="82"/>
    </row>
    <row r="137" spans="1:28" x14ac:dyDescent="0.25">
      <c r="A137" s="34">
        <f t="shared" si="23"/>
        <v>128</v>
      </c>
      <c r="B137" s="14"/>
      <c r="C137" s="14"/>
      <c r="D137" s="8" t="s">
        <v>410</v>
      </c>
      <c r="E137" s="8" t="s">
        <v>48</v>
      </c>
      <c r="F137" s="9" t="s">
        <v>411</v>
      </c>
      <c r="G137" s="10"/>
      <c r="H137" s="11"/>
      <c r="I137" s="11"/>
      <c r="J137" s="11"/>
      <c r="K137" s="11"/>
      <c r="L137" s="11"/>
      <c r="M137" s="11"/>
      <c r="N137" s="50"/>
      <c r="O137" s="53"/>
      <c r="P137" s="36"/>
      <c r="Q137" s="49" t="str">
        <f t="shared" si="25"/>
        <v/>
      </c>
      <c r="R137" s="49" t="str">
        <f t="shared" si="26"/>
        <v/>
      </c>
      <c r="S137" s="44"/>
      <c r="T137" s="38"/>
      <c r="U137" s="79"/>
      <c r="V137" s="5" t="s">
        <v>429</v>
      </c>
      <c r="W137" s="35">
        <f t="shared" si="24"/>
        <v>1</v>
      </c>
      <c r="X137" s="35" t="str">
        <f t="shared" si="27"/>
        <v/>
      </c>
      <c r="Y137" s="35" t="str">
        <f t="shared" si="19"/>
        <v/>
      </c>
      <c r="Z137" s="35">
        <f t="shared" si="20"/>
        <v>1</v>
      </c>
      <c r="AA137" s="82"/>
      <c r="AB137" s="82"/>
    </row>
    <row r="138" spans="1:28" x14ac:dyDescent="0.25">
      <c r="A138" s="34">
        <f t="shared" ref="A138:A169" si="28">+A137+1</f>
        <v>129</v>
      </c>
      <c r="B138" s="14"/>
      <c r="C138" s="14"/>
      <c r="D138" s="1" t="s">
        <v>47</v>
      </c>
      <c r="E138" s="1" t="s">
        <v>48</v>
      </c>
      <c r="F138" s="2" t="s">
        <v>237</v>
      </c>
      <c r="G138" s="10"/>
      <c r="H138" s="11"/>
      <c r="I138" s="11"/>
      <c r="J138" s="11"/>
      <c r="K138" s="11"/>
      <c r="L138" s="11"/>
      <c r="M138" s="11"/>
      <c r="N138" s="50"/>
      <c r="O138" s="53"/>
      <c r="P138" s="12"/>
      <c r="Q138" s="49" t="str">
        <f t="shared" si="25"/>
        <v/>
      </c>
      <c r="R138" s="49" t="str">
        <f t="shared" si="26"/>
        <v/>
      </c>
      <c r="S138" s="44"/>
      <c r="T138" s="38"/>
      <c r="U138" s="79">
        <v>7075991826</v>
      </c>
      <c r="V138" s="7" t="s">
        <v>596</v>
      </c>
      <c r="W138" s="35">
        <f t="shared" ref="W138:W169" si="29">IF(D138&lt;&gt;"",1,"")</f>
        <v>1</v>
      </c>
      <c r="X138" s="35" t="str">
        <f t="shared" si="27"/>
        <v/>
      </c>
      <c r="Y138" s="35" t="str">
        <f t="shared" ref="Y138:Y201" si="30">IF(M138=1,IF($B138=1,1,""),"")</f>
        <v/>
      </c>
      <c r="Z138" s="35">
        <f t="shared" si="20"/>
        <v>1</v>
      </c>
      <c r="AA138" s="82"/>
      <c r="AB138" s="82"/>
    </row>
    <row r="139" spans="1:28" ht="15.75" x14ac:dyDescent="0.25">
      <c r="A139" s="34">
        <f t="shared" si="28"/>
        <v>130</v>
      </c>
      <c r="B139" s="3"/>
      <c r="C139" s="14"/>
      <c r="D139" s="56" t="s">
        <v>125</v>
      </c>
      <c r="E139" s="56" t="s">
        <v>126</v>
      </c>
      <c r="F139" s="9"/>
      <c r="G139" s="3"/>
      <c r="H139" s="3"/>
      <c r="I139" s="3"/>
      <c r="J139" s="4"/>
      <c r="K139" s="4"/>
      <c r="L139" s="4"/>
      <c r="M139" s="4"/>
      <c r="N139" s="50"/>
      <c r="O139" s="12"/>
      <c r="P139" s="12"/>
      <c r="Q139" s="49" t="str">
        <f t="shared" si="25"/>
        <v/>
      </c>
      <c r="R139" s="49" t="str">
        <f t="shared" si="26"/>
        <v/>
      </c>
      <c r="S139" s="44"/>
      <c r="T139" s="59"/>
      <c r="U139" s="81">
        <v>7075994605</v>
      </c>
      <c r="V139" s="5" t="s">
        <v>127</v>
      </c>
      <c r="W139" s="35">
        <f t="shared" si="29"/>
        <v>1</v>
      </c>
      <c r="X139" s="35" t="str">
        <f t="shared" si="27"/>
        <v/>
      </c>
      <c r="Y139" s="35" t="str">
        <f t="shared" si="30"/>
        <v/>
      </c>
      <c r="Z139" s="35">
        <f t="shared" ref="Z139:Z202" si="31">IF(V139&lt;&gt;"",1,"")</f>
        <v>1</v>
      </c>
      <c r="AA139" s="82"/>
      <c r="AB139" s="82"/>
    </row>
    <row r="140" spans="1:28" x14ac:dyDescent="0.25">
      <c r="A140" s="34">
        <f t="shared" si="28"/>
        <v>131</v>
      </c>
      <c r="B140" s="14"/>
      <c r="C140" s="14"/>
      <c r="D140" s="8" t="s">
        <v>508</v>
      </c>
      <c r="E140" s="8" t="s">
        <v>534</v>
      </c>
      <c r="F140" s="9" t="s">
        <v>507</v>
      </c>
      <c r="G140" s="10"/>
      <c r="H140" s="11"/>
      <c r="I140" s="11"/>
      <c r="J140" s="11"/>
      <c r="K140" s="11"/>
      <c r="L140" s="11"/>
      <c r="M140" s="11"/>
      <c r="N140" s="50"/>
      <c r="O140" s="53"/>
      <c r="P140" s="36"/>
      <c r="Q140" s="49" t="str">
        <f t="shared" si="25"/>
        <v/>
      </c>
      <c r="R140" s="49" t="str">
        <f t="shared" si="26"/>
        <v/>
      </c>
      <c r="S140" s="44"/>
      <c r="T140" s="38"/>
      <c r="U140" s="79"/>
      <c r="V140" s="60" t="s">
        <v>597</v>
      </c>
      <c r="W140" s="35">
        <f t="shared" si="29"/>
        <v>1</v>
      </c>
      <c r="X140" s="35" t="str">
        <f t="shared" si="27"/>
        <v/>
      </c>
      <c r="Y140" s="35" t="str">
        <f t="shared" si="30"/>
        <v/>
      </c>
      <c r="Z140" s="35">
        <f t="shared" si="31"/>
        <v>1</v>
      </c>
      <c r="AA140" s="82"/>
      <c r="AB140" s="82"/>
    </row>
    <row r="141" spans="1:28" ht="15.75" x14ac:dyDescent="0.25">
      <c r="A141" s="34">
        <f t="shared" si="28"/>
        <v>132</v>
      </c>
      <c r="B141" s="14"/>
      <c r="C141" s="14"/>
      <c r="D141" s="56" t="s">
        <v>133</v>
      </c>
      <c r="E141" s="56" t="s">
        <v>7</v>
      </c>
      <c r="F141" s="9" t="s">
        <v>271</v>
      </c>
      <c r="G141" s="10"/>
      <c r="H141" s="11"/>
      <c r="I141" s="11"/>
      <c r="J141" s="11"/>
      <c r="K141" s="11"/>
      <c r="L141" s="11"/>
      <c r="M141" s="11"/>
      <c r="N141" s="50"/>
      <c r="O141" s="53"/>
      <c r="P141" s="36"/>
      <c r="Q141" s="49" t="str">
        <f t="shared" si="25"/>
        <v/>
      </c>
      <c r="R141" s="49" t="str">
        <f t="shared" si="26"/>
        <v/>
      </c>
      <c r="S141" s="44"/>
      <c r="T141" s="38"/>
      <c r="U141" s="79">
        <v>7073490481</v>
      </c>
      <c r="V141" s="5" t="s">
        <v>459</v>
      </c>
      <c r="W141" s="35">
        <f t="shared" si="29"/>
        <v>1</v>
      </c>
      <c r="X141" s="35" t="str">
        <f t="shared" si="27"/>
        <v/>
      </c>
      <c r="Y141" s="35" t="str">
        <f t="shared" si="30"/>
        <v/>
      </c>
      <c r="Z141" s="35">
        <f t="shared" si="31"/>
        <v>1</v>
      </c>
      <c r="AA141" s="82"/>
      <c r="AB141" s="82"/>
    </row>
    <row r="142" spans="1:28" x14ac:dyDescent="0.25">
      <c r="A142" s="34">
        <f t="shared" si="28"/>
        <v>133</v>
      </c>
      <c r="B142" s="3"/>
      <c r="C142" s="14"/>
      <c r="D142" s="8" t="s">
        <v>509</v>
      </c>
      <c r="E142" s="8" t="s">
        <v>535</v>
      </c>
      <c r="F142" s="9" t="s">
        <v>567</v>
      </c>
      <c r="G142" s="3"/>
      <c r="H142" s="3"/>
      <c r="I142" s="3"/>
      <c r="J142" s="4"/>
      <c r="K142" s="4"/>
      <c r="L142" s="4"/>
      <c r="M142" s="4"/>
      <c r="N142" s="50"/>
      <c r="O142" s="12"/>
      <c r="P142" s="12"/>
      <c r="Q142" s="49" t="str">
        <f t="shared" si="25"/>
        <v/>
      </c>
      <c r="R142" s="49" t="str">
        <f t="shared" si="26"/>
        <v/>
      </c>
      <c r="S142" s="44"/>
      <c r="T142" s="44"/>
      <c r="U142" s="79"/>
      <c r="V142" s="60" t="s">
        <v>598</v>
      </c>
      <c r="W142" s="35">
        <f t="shared" si="29"/>
        <v>1</v>
      </c>
      <c r="X142" s="35" t="str">
        <f t="shared" si="27"/>
        <v/>
      </c>
      <c r="Y142" s="35" t="str">
        <f t="shared" si="30"/>
        <v/>
      </c>
      <c r="Z142" s="35">
        <f t="shared" si="31"/>
        <v>1</v>
      </c>
      <c r="AA142" s="82"/>
      <c r="AB142" s="82"/>
    </row>
    <row r="143" spans="1:28" x14ac:dyDescent="0.25">
      <c r="A143" s="34">
        <f t="shared" si="28"/>
        <v>134</v>
      </c>
      <c r="B143" s="14"/>
      <c r="C143" s="14"/>
      <c r="D143" s="8" t="s">
        <v>549</v>
      </c>
      <c r="E143" s="8" t="s">
        <v>568</v>
      </c>
      <c r="F143" s="9" t="s">
        <v>551</v>
      </c>
      <c r="G143" s="10"/>
      <c r="H143" s="11"/>
      <c r="I143" s="11"/>
      <c r="J143" s="11"/>
      <c r="K143" s="11"/>
      <c r="L143" s="11"/>
      <c r="M143" s="11"/>
      <c r="N143" s="50"/>
      <c r="O143" s="53"/>
      <c r="P143" s="36"/>
      <c r="Q143" s="49" t="str">
        <f t="shared" si="25"/>
        <v/>
      </c>
      <c r="R143" s="49" t="str">
        <f t="shared" si="26"/>
        <v/>
      </c>
      <c r="S143" s="44"/>
      <c r="T143" s="38"/>
      <c r="U143" s="79">
        <v>2093653232</v>
      </c>
      <c r="V143" s="60" t="s">
        <v>599</v>
      </c>
      <c r="W143" s="35">
        <f t="shared" si="29"/>
        <v>1</v>
      </c>
      <c r="X143" s="35" t="str">
        <f t="shared" si="27"/>
        <v/>
      </c>
      <c r="Y143" s="35" t="str">
        <f t="shared" si="30"/>
        <v/>
      </c>
      <c r="Z143" s="35">
        <f t="shared" si="31"/>
        <v>1</v>
      </c>
      <c r="AA143" s="82"/>
      <c r="AB143" s="82"/>
    </row>
    <row r="144" spans="1:28" x14ac:dyDescent="0.25">
      <c r="A144" s="34">
        <f t="shared" si="28"/>
        <v>135</v>
      </c>
      <c r="B144" s="14"/>
      <c r="C144" s="14"/>
      <c r="D144" s="8" t="s">
        <v>510</v>
      </c>
      <c r="E144" s="8" t="s">
        <v>5</v>
      </c>
      <c r="F144" s="9" t="s">
        <v>511</v>
      </c>
      <c r="G144" s="10"/>
      <c r="H144" s="11"/>
      <c r="I144" s="11"/>
      <c r="J144" s="11"/>
      <c r="K144" s="11"/>
      <c r="L144" s="11"/>
      <c r="M144" s="11"/>
      <c r="N144" s="50"/>
      <c r="O144" s="53"/>
      <c r="P144" s="36"/>
      <c r="Q144" s="49" t="str">
        <f t="shared" si="25"/>
        <v/>
      </c>
      <c r="R144" s="49" t="str">
        <f t="shared" si="26"/>
        <v/>
      </c>
      <c r="S144" s="44"/>
      <c r="T144" s="38"/>
      <c r="U144" s="79">
        <v>7076641532</v>
      </c>
      <c r="V144" s="5" t="s">
        <v>601</v>
      </c>
      <c r="W144" s="35">
        <f t="shared" si="29"/>
        <v>1</v>
      </c>
      <c r="X144" s="35" t="str">
        <f t="shared" si="27"/>
        <v/>
      </c>
      <c r="Y144" s="35" t="str">
        <f t="shared" si="30"/>
        <v/>
      </c>
      <c r="Z144" s="35">
        <f t="shared" si="31"/>
        <v>1</v>
      </c>
      <c r="AA144" s="82"/>
      <c r="AB144" s="82"/>
    </row>
    <row r="145" spans="1:28" x14ac:dyDescent="0.25">
      <c r="A145" s="34">
        <f t="shared" si="28"/>
        <v>136</v>
      </c>
      <c r="B145" s="3"/>
      <c r="C145" s="14"/>
      <c r="D145" s="1" t="s">
        <v>81</v>
      </c>
      <c r="E145" s="1" t="s">
        <v>30</v>
      </c>
      <c r="F145" s="2" t="s">
        <v>281</v>
      </c>
      <c r="G145" s="3"/>
      <c r="H145" s="3"/>
      <c r="I145" s="3"/>
      <c r="J145" s="4"/>
      <c r="K145" s="4"/>
      <c r="L145" s="4"/>
      <c r="M145" s="4"/>
      <c r="N145" s="50"/>
      <c r="O145" s="12"/>
      <c r="P145" s="12"/>
      <c r="Q145" s="49" t="str">
        <f t="shared" si="25"/>
        <v/>
      </c>
      <c r="R145" s="49" t="str">
        <f t="shared" si="26"/>
        <v/>
      </c>
      <c r="S145" s="44"/>
      <c r="T145" s="44"/>
      <c r="U145" s="86" t="s">
        <v>600</v>
      </c>
      <c r="V145" s="5" t="s">
        <v>192</v>
      </c>
      <c r="W145" s="35">
        <f t="shared" si="29"/>
        <v>1</v>
      </c>
      <c r="X145" s="35" t="str">
        <f t="shared" si="27"/>
        <v/>
      </c>
      <c r="Y145" s="35" t="str">
        <f t="shared" si="30"/>
        <v/>
      </c>
      <c r="Z145" s="35">
        <f t="shared" si="31"/>
        <v>1</v>
      </c>
      <c r="AA145" s="82"/>
      <c r="AB145" s="82"/>
    </row>
    <row r="146" spans="1:28" x14ac:dyDescent="0.25">
      <c r="A146" s="34">
        <f t="shared" si="28"/>
        <v>137</v>
      </c>
      <c r="B146" s="14"/>
      <c r="C146" s="14"/>
      <c r="D146" s="8" t="s">
        <v>483</v>
      </c>
      <c r="E146" s="8" t="s">
        <v>485</v>
      </c>
      <c r="F146" s="9" t="s">
        <v>484</v>
      </c>
      <c r="G146" s="10"/>
      <c r="H146" s="11"/>
      <c r="I146" s="11"/>
      <c r="J146" s="11"/>
      <c r="K146" s="11"/>
      <c r="L146" s="11"/>
      <c r="M146" s="11"/>
      <c r="N146" s="50"/>
      <c r="O146" s="53"/>
      <c r="P146" s="36"/>
      <c r="Q146" s="49" t="str">
        <f t="shared" si="25"/>
        <v/>
      </c>
      <c r="R146" s="49" t="str">
        <f t="shared" si="26"/>
        <v/>
      </c>
      <c r="S146" s="44"/>
      <c r="T146" s="38"/>
      <c r="U146" s="86">
        <v>4155096753</v>
      </c>
      <c r="V146" s="5" t="s">
        <v>486</v>
      </c>
      <c r="W146" s="35">
        <f t="shared" si="29"/>
        <v>1</v>
      </c>
      <c r="X146" s="35" t="str">
        <f t="shared" si="27"/>
        <v/>
      </c>
      <c r="Y146" s="35" t="str">
        <f t="shared" si="30"/>
        <v/>
      </c>
      <c r="Z146" s="35">
        <f t="shared" si="31"/>
        <v>1</v>
      </c>
      <c r="AA146" s="82"/>
      <c r="AB146" s="82"/>
    </row>
    <row r="147" spans="1:28" x14ac:dyDescent="0.25">
      <c r="A147" s="34">
        <f t="shared" si="28"/>
        <v>138</v>
      </c>
      <c r="B147" s="14"/>
      <c r="C147" s="14"/>
      <c r="D147" s="8" t="s">
        <v>403</v>
      </c>
      <c r="E147" s="8" t="s">
        <v>126</v>
      </c>
      <c r="F147" s="9"/>
      <c r="G147" s="10"/>
      <c r="H147" s="11"/>
      <c r="I147" s="11"/>
      <c r="J147" s="11"/>
      <c r="K147" s="11"/>
      <c r="L147" s="11"/>
      <c r="M147" s="11"/>
      <c r="N147" s="50"/>
      <c r="O147" s="53"/>
      <c r="P147" s="36"/>
      <c r="Q147" s="49" t="str">
        <f t="shared" si="25"/>
        <v/>
      </c>
      <c r="R147" s="49" t="str">
        <f t="shared" si="26"/>
        <v/>
      </c>
      <c r="S147" s="44"/>
      <c r="T147" s="38"/>
      <c r="U147" s="81"/>
      <c r="V147" s="5" t="s">
        <v>402</v>
      </c>
      <c r="W147" s="35">
        <f t="shared" si="29"/>
        <v>1</v>
      </c>
      <c r="X147" s="35" t="str">
        <f t="shared" si="27"/>
        <v/>
      </c>
      <c r="Y147" s="35" t="str">
        <f t="shared" si="30"/>
        <v/>
      </c>
      <c r="Z147" s="35">
        <f t="shared" si="31"/>
        <v>1</v>
      </c>
      <c r="AA147" s="82"/>
      <c r="AB147" s="82"/>
    </row>
    <row r="148" spans="1:28" x14ac:dyDescent="0.25">
      <c r="A148" s="34">
        <f t="shared" si="28"/>
        <v>139</v>
      </c>
      <c r="B148" s="14"/>
      <c r="C148" s="14"/>
      <c r="D148" s="8" t="s">
        <v>512</v>
      </c>
      <c r="E148" s="8" t="s">
        <v>5</v>
      </c>
      <c r="F148" s="9" t="s">
        <v>513</v>
      </c>
      <c r="G148" s="10"/>
      <c r="H148" s="11"/>
      <c r="I148" s="11"/>
      <c r="J148" s="11"/>
      <c r="K148" s="11"/>
      <c r="L148" s="11"/>
      <c r="M148" s="11"/>
      <c r="N148" s="50"/>
      <c r="O148" s="53"/>
      <c r="P148" s="36"/>
      <c r="Q148" s="49" t="str">
        <f t="shared" si="25"/>
        <v/>
      </c>
      <c r="R148" s="49" t="str">
        <f t="shared" si="26"/>
        <v/>
      </c>
      <c r="S148" s="44"/>
      <c r="T148" s="38"/>
      <c r="U148" s="79"/>
      <c r="V148" s="60" t="s">
        <v>602</v>
      </c>
      <c r="W148" s="35">
        <f t="shared" si="29"/>
        <v>1</v>
      </c>
      <c r="X148" s="35" t="str">
        <f t="shared" si="27"/>
        <v/>
      </c>
      <c r="Y148" s="35" t="str">
        <f t="shared" si="30"/>
        <v/>
      </c>
      <c r="Z148" s="35">
        <f t="shared" si="31"/>
        <v>1</v>
      </c>
      <c r="AA148" s="82"/>
      <c r="AB148" s="82"/>
    </row>
    <row r="149" spans="1:28" x14ac:dyDescent="0.25">
      <c r="A149" s="34">
        <f t="shared" si="28"/>
        <v>140</v>
      </c>
      <c r="B149" s="3"/>
      <c r="C149" s="14"/>
      <c r="D149" s="8" t="s">
        <v>135</v>
      </c>
      <c r="E149" s="8" t="s">
        <v>30</v>
      </c>
      <c r="F149" s="9" t="s">
        <v>230</v>
      </c>
      <c r="G149" s="3"/>
      <c r="H149" s="3"/>
      <c r="I149" s="3"/>
      <c r="J149" s="4"/>
      <c r="K149" s="4"/>
      <c r="L149" s="4"/>
      <c r="M149" s="4"/>
      <c r="N149" s="50"/>
      <c r="O149" s="12"/>
      <c r="P149" s="12"/>
      <c r="Q149" s="49" t="str">
        <f t="shared" si="25"/>
        <v/>
      </c>
      <c r="R149" s="49" t="str">
        <f t="shared" si="26"/>
        <v/>
      </c>
      <c r="S149" s="44"/>
      <c r="T149" s="44"/>
      <c r="U149" s="79"/>
      <c r="V149" s="5" t="s">
        <v>430</v>
      </c>
      <c r="W149" s="35">
        <f t="shared" si="29"/>
        <v>1</v>
      </c>
      <c r="X149" s="35" t="str">
        <f t="shared" si="27"/>
        <v/>
      </c>
      <c r="Y149" s="35" t="str">
        <f t="shared" si="30"/>
        <v/>
      </c>
      <c r="Z149" s="35">
        <f t="shared" si="31"/>
        <v>1</v>
      </c>
      <c r="AA149" s="82"/>
      <c r="AB149" s="82"/>
    </row>
    <row r="150" spans="1:28" x14ac:dyDescent="0.25">
      <c r="A150" s="34">
        <f t="shared" si="28"/>
        <v>141</v>
      </c>
      <c r="B150" s="3"/>
      <c r="C150" s="14"/>
      <c r="D150" s="1" t="s">
        <v>62</v>
      </c>
      <c r="E150" s="1" t="s">
        <v>18</v>
      </c>
      <c r="F150" s="2" t="s">
        <v>272</v>
      </c>
      <c r="G150" s="3"/>
      <c r="H150" s="3"/>
      <c r="I150" s="3"/>
      <c r="J150" s="4"/>
      <c r="K150" s="4"/>
      <c r="L150" s="4"/>
      <c r="M150" s="4"/>
      <c r="N150" s="50"/>
      <c r="O150" s="12"/>
      <c r="P150" s="12"/>
      <c r="Q150" s="49" t="str">
        <f t="shared" si="25"/>
        <v/>
      </c>
      <c r="R150" s="49" t="str">
        <f t="shared" si="26"/>
        <v/>
      </c>
      <c r="S150" s="44"/>
      <c r="T150" s="44"/>
      <c r="U150" s="79">
        <v>5303666465</v>
      </c>
      <c r="V150" s="5" t="s">
        <v>460</v>
      </c>
      <c r="W150" s="35">
        <f t="shared" si="29"/>
        <v>1</v>
      </c>
      <c r="X150" s="35" t="str">
        <f t="shared" si="27"/>
        <v/>
      </c>
      <c r="Y150" s="35" t="str">
        <f t="shared" si="30"/>
        <v/>
      </c>
      <c r="Z150" s="35">
        <f t="shared" si="31"/>
        <v>1</v>
      </c>
      <c r="AA150" s="82"/>
      <c r="AB150" s="82"/>
    </row>
    <row r="151" spans="1:28" x14ac:dyDescent="0.25">
      <c r="A151" s="34">
        <f t="shared" si="28"/>
        <v>142</v>
      </c>
      <c r="B151" s="3"/>
      <c r="C151" s="14"/>
      <c r="D151" s="1" t="s">
        <v>44</v>
      </c>
      <c r="E151" s="1" t="s">
        <v>5</v>
      </c>
      <c r="F151" s="2" t="s">
        <v>239</v>
      </c>
      <c r="G151" s="3"/>
      <c r="H151" s="3"/>
      <c r="I151" s="3"/>
      <c r="J151" s="4"/>
      <c r="K151" s="4"/>
      <c r="L151" s="4"/>
      <c r="M151" s="4"/>
      <c r="N151" s="50"/>
      <c r="O151" s="12"/>
      <c r="P151" s="12"/>
      <c r="Q151" s="49" t="str">
        <f t="shared" si="25"/>
        <v/>
      </c>
      <c r="R151" s="49" t="str">
        <f t="shared" si="26"/>
        <v/>
      </c>
      <c r="S151" s="44"/>
      <c r="T151" s="44"/>
      <c r="U151" s="79"/>
      <c r="V151" s="5" t="s">
        <v>431</v>
      </c>
      <c r="W151" s="35">
        <f t="shared" si="29"/>
        <v>1</v>
      </c>
      <c r="X151" s="35" t="str">
        <f t="shared" si="27"/>
        <v/>
      </c>
      <c r="Y151" s="35" t="str">
        <f t="shared" si="30"/>
        <v/>
      </c>
      <c r="Z151" s="35">
        <f t="shared" si="31"/>
        <v>1</v>
      </c>
      <c r="AA151" s="82"/>
      <c r="AB151" s="82"/>
    </row>
    <row r="152" spans="1:28" x14ac:dyDescent="0.25">
      <c r="A152" s="34">
        <f t="shared" si="28"/>
        <v>143</v>
      </c>
      <c r="B152" s="14"/>
      <c r="C152" s="14"/>
      <c r="D152" s="1" t="s">
        <v>71</v>
      </c>
      <c r="E152" s="1" t="s">
        <v>5</v>
      </c>
      <c r="F152" s="2" t="s">
        <v>240</v>
      </c>
      <c r="G152" s="10"/>
      <c r="H152" s="11"/>
      <c r="I152" s="11"/>
      <c r="J152" s="11"/>
      <c r="K152" s="11"/>
      <c r="L152" s="11"/>
      <c r="M152" s="11"/>
      <c r="N152" s="50"/>
      <c r="O152" s="53"/>
      <c r="P152" s="36"/>
      <c r="Q152" s="49" t="str">
        <f t="shared" si="25"/>
        <v/>
      </c>
      <c r="R152" s="49" t="str">
        <f t="shared" si="26"/>
        <v/>
      </c>
      <c r="S152" s="44"/>
      <c r="T152" s="38"/>
      <c r="U152" s="87"/>
      <c r="V152" s="5" t="s">
        <v>432</v>
      </c>
      <c r="W152" s="35">
        <f t="shared" si="29"/>
        <v>1</v>
      </c>
      <c r="X152" s="35" t="str">
        <f t="shared" si="27"/>
        <v/>
      </c>
      <c r="Y152" s="35" t="str">
        <f t="shared" si="30"/>
        <v/>
      </c>
      <c r="Z152" s="35">
        <f t="shared" si="31"/>
        <v>1</v>
      </c>
      <c r="AA152" s="82"/>
      <c r="AB152" s="82"/>
    </row>
    <row r="153" spans="1:28" x14ac:dyDescent="0.25">
      <c r="A153" s="34">
        <f t="shared" si="28"/>
        <v>144</v>
      </c>
      <c r="B153" s="3"/>
      <c r="C153" s="14"/>
      <c r="D153" s="1" t="s">
        <v>87</v>
      </c>
      <c r="E153" s="1" t="s">
        <v>88</v>
      </c>
      <c r="F153" s="2" t="s">
        <v>206</v>
      </c>
      <c r="G153" s="4"/>
      <c r="H153" s="4"/>
      <c r="I153" s="4"/>
      <c r="J153" s="4"/>
      <c r="K153" s="4"/>
      <c r="L153" s="4"/>
      <c r="M153" s="4"/>
      <c r="N153" s="50"/>
      <c r="O153" s="12"/>
      <c r="P153" s="12"/>
      <c r="Q153" s="49" t="str">
        <f t="shared" si="25"/>
        <v/>
      </c>
      <c r="R153" s="49" t="str">
        <f t="shared" si="26"/>
        <v/>
      </c>
      <c r="S153" s="44"/>
      <c r="T153" s="44"/>
      <c r="U153" s="81">
        <v>7072524331</v>
      </c>
      <c r="V153" s="5" t="s">
        <v>433</v>
      </c>
      <c r="W153" s="35">
        <f t="shared" si="29"/>
        <v>1</v>
      </c>
      <c r="X153" s="35" t="str">
        <f t="shared" si="27"/>
        <v/>
      </c>
      <c r="Y153" s="35" t="str">
        <f t="shared" si="30"/>
        <v/>
      </c>
      <c r="Z153" s="35">
        <f t="shared" si="31"/>
        <v>1</v>
      </c>
      <c r="AA153" s="82"/>
      <c r="AB153" s="82"/>
    </row>
    <row r="154" spans="1:28" x14ac:dyDescent="0.25">
      <c r="A154" s="34">
        <f t="shared" si="28"/>
        <v>145</v>
      </c>
      <c r="B154" s="14"/>
      <c r="C154" s="14"/>
      <c r="D154" s="8" t="s">
        <v>300</v>
      </c>
      <c r="E154" s="8" t="s">
        <v>301</v>
      </c>
      <c r="F154" s="9" t="s">
        <v>302</v>
      </c>
      <c r="G154" s="10"/>
      <c r="H154" s="11"/>
      <c r="I154" s="11"/>
      <c r="J154" s="11"/>
      <c r="K154" s="11"/>
      <c r="L154" s="11"/>
      <c r="M154" s="11"/>
      <c r="N154" s="50"/>
      <c r="O154" s="53"/>
      <c r="P154" s="36"/>
      <c r="Q154" s="49" t="str">
        <f t="shared" si="25"/>
        <v/>
      </c>
      <c r="R154" s="49" t="str">
        <f t="shared" si="26"/>
        <v/>
      </c>
      <c r="S154" s="44"/>
      <c r="T154" s="38"/>
      <c r="U154" s="81" t="s">
        <v>603</v>
      </c>
      <c r="V154" s="5" t="s">
        <v>461</v>
      </c>
      <c r="W154" s="35">
        <f t="shared" si="29"/>
        <v>1</v>
      </c>
      <c r="X154" s="35" t="str">
        <f t="shared" si="27"/>
        <v/>
      </c>
      <c r="Y154" s="35" t="str">
        <f t="shared" si="30"/>
        <v/>
      </c>
      <c r="Z154" s="35">
        <f t="shared" si="31"/>
        <v>1</v>
      </c>
      <c r="AA154" s="82"/>
      <c r="AB154" s="82"/>
    </row>
    <row r="155" spans="1:28" x14ac:dyDescent="0.25">
      <c r="A155" s="34">
        <f t="shared" si="28"/>
        <v>146</v>
      </c>
      <c r="B155" s="14"/>
      <c r="C155" s="14"/>
      <c r="D155" s="1" t="s">
        <v>116</v>
      </c>
      <c r="E155" s="1" t="s">
        <v>117</v>
      </c>
      <c r="F155" s="2" t="s">
        <v>211</v>
      </c>
      <c r="G155" s="10"/>
      <c r="H155" s="11"/>
      <c r="I155" s="11"/>
      <c r="J155" s="11"/>
      <c r="K155" s="11"/>
      <c r="L155" s="11"/>
      <c r="M155" s="11"/>
      <c r="N155" s="50"/>
      <c r="O155" s="53"/>
      <c r="P155" s="36"/>
      <c r="Q155" s="49" t="str">
        <f t="shared" si="25"/>
        <v/>
      </c>
      <c r="R155" s="49" t="str">
        <f t="shared" si="26"/>
        <v/>
      </c>
      <c r="S155" s="44"/>
      <c r="T155" s="38"/>
      <c r="U155" s="81"/>
      <c r="V155" s="5" t="s">
        <v>124</v>
      </c>
      <c r="W155" s="35">
        <f t="shared" si="29"/>
        <v>1</v>
      </c>
      <c r="X155" s="35" t="str">
        <f t="shared" si="27"/>
        <v/>
      </c>
      <c r="Y155" s="35" t="str">
        <f t="shared" si="30"/>
        <v/>
      </c>
      <c r="Z155" s="35">
        <f t="shared" si="31"/>
        <v>1</v>
      </c>
      <c r="AA155" s="82"/>
      <c r="AB155" s="82"/>
    </row>
    <row r="156" spans="1:28" x14ac:dyDescent="0.25">
      <c r="A156" s="34">
        <f t="shared" si="28"/>
        <v>147</v>
      </c>
      <c r="B156" s="14"/>
      <c r="C156" s="14"/>
      <c r="D156" s="8" t="s">
        <v>385</v>
      </c>
      <c r="E156" s="8" t="s">
        <v>175</v>
      </c>
      <c r="F156" s="9" t="s">
        <v>386</v>
      </c>
      <c r="G156" s="10"/>
      <c r="H156" s="11"/>
      <c r="I156" s="11"/>
      <c r="J156" s="11"/>
      <c r="K156" s="11"/>
      <c r="L156" s="11"/>
      <c r="M156" s="11"/>
      <c r="N156" s="50"/>
      <c r="O156" s="53"/>
      <c r="P156" s="36"/>
      <c r="Q156" s="49" t="str">
        <f t="shared" si="25"/>
        <v/>
      </c>
      <c r="R156" s="49" t="str">
        <f t="shared" si="26"/>
        <v/>
      </c>
      <c r="S156" s="44"/>
      <c r="T156" s="38"/>
      <c r="U156" s="81" t="s">
        <v>643</v>
      </c>
      <c r="V156" s="5" t="s">
        <v>434</v>
      </c>
      <c r="W156" s="35">
        <f t="shared" si="29"/>
        <v>1</v>
      </c>
      <c r="X156" s="35" t="str">
        <f t="shared" si="27"/>
        <v/>
      </c>
      <c r="Y156" s="35" t="str">
        <f t="shared" si="30"/>
        <v/>
      </c>
      <c r="Z156" s="35">
        <f t="shared" si="31"/>
        <v>1</v>
      </c>
      <c r="AA156" s="82"/>
      <c r="AB156" s="82"/>
    </row>
    <row r="157" spans="1:28" x14ac:dyDescent="0.25">
      <c r="A157" s="34">
        <f t="shared" si="28"/>
        <v>148</v>
      </c>
      <c r="B157" s="14"/>
      <c r="C157" s="14"/>
      <c r="D157" s="1" t="s">
        <v>80</v>
      </c>
      <c r="E157" s="1" t="s">
        <v>82</v>
      </c>
      <c r="F157" s="2" t="s">
        <v>273</v>
      </c>
      <c r="G157" s="10"/>
      <c r="H157" s="11"/>
      <c r="I157" s="11"/>
      <c r="J157" s="11"/>
      <c r="K157" s="11"/>
      <c r="L157" s="11"/>
      <c r="M157" s="11"/>
      <c r="N157" s="50"/>
      <c r="O157" s="53"/>
      <c r="P157" s="36"/>
      <c r="Q157" s="49" t="str">
        <f t="shared" si="25"/>
        <v/>
      </c>
      <c r="R157" s="49" t="str">
        <f t="shared" si="26"/>
        <v/>
      </c>
      <c r="S157" s="44"/>
      <c r="T157" s="38"/>
      <c r="U157" s="79" t="s">
        <v>644</v>
      </c>
      <c r="V157" s="5" t="s">
        <v>407</v>
      </c>
      <c r="W157" s="35">
        <f t="shared" si="29"/>
        <v>1</v>
      </c>
      <c r="X157" s="35" t="str">
        <f t="shared" si="27"/>
        <v/>
      </c>
      <c r="Y157" s="35" t="str">
        <f t="shared" si="30"/>
        <v/>
      </c>
      <c r="Z157" s="35">
        <f t="shared" si="31"/>
        <v>1</v>
      </c>
      <c r="AA157" s="82"/>
      <c r="AB157" s="82"/>
    </row>
    <row r="158" spans="1:28" x14ac:dyDescent="0.25">
      <c r="A158" s="34">
        <f t="shared" si="28"/>
        <v>149</v>
      </c>
      <c r="B158" s="3"/>
      <c r="C158" s="14"/>
      <c r="D158" s="8" t="s">
        <v>514</v>
      </c>
      <c r="E158" s="8" t="s">
        <v>22</v>
      </c>
      <c r="F158" s="9" t="s">
        <v>515</v>
      </c>
      <c r="G158" s="10"/>
      <c r="H158" s="11"/>
      <c r="I158" s="11"/>
      <c r="J158" s="11"/>
      <c r="K158" s="11"/>
      <c r="L158" s="11"/>
      <c r="M158" s="11"/>
      <c r="N158" s="50"/>
      <c r="O158" s="53"/>
      <c r="P158" s="36"/>
      <c r="Q158" s="49" t="str">
        <f t="shared" ref="Q158:Q186" si="32">IF(O158="c",(70+G158*10+H158*10+I158*20+J158*50),"")</f>
        <v/>
      </c>
      <c r="R158" s="49" t="str">
        <f t="shared" ref="R158:R186" si="33">IF(O158="$",(70+G158*10+H158*10+I158*20+J158*50),"")</f>
        <v/>
      </c>
      <c r="S158" s="44"/>
      <c r="T158" s="38"/>
      <c r="U158" s="79"/>
      <c r="V158" s="7" t="s">
        <v>605</v>
      </c>
      <c r="W158" s="35">
        <f t="shared" si="29"/>
        <v>1</v>
      </c>
      <c r="X158" s="35" t="str">
        <f t="shared" si="27"/>
        <v/>
      </c>
      <c r="Y158" s="35" t="str">
        <f t="shared" si="30"/>
        <v/>
      </c>
      <c r="Z158" s="35">
        <f t="shared" si="31"/>
        <v>1</v>
      </c>
      <c r="AA158" s="82"/>
      <c r="AB158" s="82"/>
    </row>
    <row r="159" spans="1:28" x14ac:dyDescent="0.25">
      <c r="A159" s="34">
        <f t="shared" si="28"/>
        <v>150</v>
      </c>
      <c r="B159" s="14"/>
      <c r="C159" s="14"/>
      <c r="D159" s="8" t="s">
        <v>305</v>
      </c>
      <c r="E159" s="8" t="s">
        <v>67</v>
      </c>
      <c r="F159" s="9" t="s">
        <v>353</v>
      </c>
      <c r="G159" s="10"/>
      <c r="H159" s="11"/>
      <c r="I159" s="11"/>
      <c r="J159" s="11"/>
      <c r="K159" s="11"/>
      <c r="L159" s="11"/>
      <c r="M159" s="11"/>
      <c r="N159" s="50"/>
      <c r="O159" s="53"/>
      <c r="P159" s="36"/>
      <c r="Q159" s="49" t="str">
        <f t="shared" si="32"/>
        <v/>
      </c>
      <c r="R159" s="49" t="str">
        <f t="shared" si="33"/>
        <v/>
      </c>
      <c r="S159" s="44"/>
      <c r="T159" s="38"/>
      <c r="U159" s="79"/>
      <c r="V159" s="5"/>
      <c r="W159" s="35">
        <f t="shared" si="29"/>
        <v>1</v>
      </c>
      <c r="X159" s="35" t="str">
        <f t="shared" si="27"/>
        <v/>
      </c>
      <c r="Y159" s="35" t="str">
        <f t="shared" si="30"/>
        <v/>
      </c>
      <c r="Z159" s="35" t="str">
        <f t="shared" si="31"/>
        <v/>
      </c>
      <c r="AA159" s="82"/>
      <c r="AB159" s="82"/>
    </row>
    <row r="160" spans="1:28" x14ac:dyDescent="0.25">
      <c r="A160" s="34">
        <f t="shared" si="28"/>
        <v>151</v>
      </c>
      <c r="B160" s="3"/>
      <c r="C160" s="14"/>
      <c r="D160" s="8" t="s">
        <v>347</v>
      </c>
      <c r="E160" s="8" t="s">
        <v>348</v>
      </c>
      <c r="F160" s="9" t="s">
        <v>349</v>
      </c>
      <c r="G160" s="3"/>
      <c r="H160" s="3"/>
      <c r="I160" s="3"/>
      <c r="J160" s="4"/>
      <c r="K160" s="4"/>
      <c r="L160" s="4"/>
      <c r="M160" s="4"/>
      <c r="N160" s="50"/>
      <c r="O160" s="12"/>
      <c r="P160" s="12"/>
      <c r="Q160" s="49" t="str">
        <f t="shared" si="32"/>
        <v/>
      </c>
      <c r="R160" s="49" t="str">
        <f t="shared" si="33"/>
        <v/>
      </c>
      <c r="S160" s="44"/>
      <c r="T160" s="59"/>
      <c r="U160" s="86" t="s">
        <v>604</v>
      </c>
      <c r="V160" s="5"/>
      <c r="W160" s="35">
        <f t="shared" si="29"/>
        <v>1</v>
      </c>
      <c r="X160" s="35" t="str">
        <f t="shared" si="27"/>
        <v/>
      </c>
      <c r="Y160" s="35" t="str">
        <f t="shared" si="30"/>
        <v/>
      </c>
      <c r="Z160" s="35" t="str">
        <f t="shared" si="31"/>
        <v/>
      </c>
      <c r="AA160" s="82"/>
      <c r="AB160" s="82"/>
    </row>
    <row r="161" spans="1:28" x14ac:dyDescent="0.25">
      <c r="A161" s="34">
        <f t="shared" si="28"/>
        <v>152</v>
      </c>
      <c r="B161" s="3"/>
      <c r="C161" s="14"/>
      <c r="D161" s="8" t="s">
        <v>382</v>
      </c>
      <c r="E161" s="8" t="s">
        <v>383</v>
      </c>
      <c r="F161" s="9" t="s">
        <v>384</v>
      </c>
      <c r="G161" s="3"/>
      <c r="H161" s="3"/>
      <c r="I161" s="3"/>
      <c r="J161" s="4"/>
      <c r="K161" s="4"/>
      <c r="L161" s="4"/>
      <c r="M161" s="4"/>
      <c r="N161" s="50"/>
      <c r="O161" s="12"/>
      <c r="P161" s="12"/>
      <c r="Q161" s="49" t="str">
        <f t="shared" si="32"/>
        <v/>
      </c>
      <c r="R161" s="49" t="str">
        <f t="shared" si="33"/>
        <v/>
      </c>
      <c r="S161" s="44"/>
      <c r="T161" s="44"/>
      <c r="U161" s="79"/>
      <c r="V161" s="5" t="s">
        <v>435</v>
      </c>
      <c r="W161" s="35">
        <f t="shared" si="29"/>
        <v>1</v>
      </c>
      <c r="X161" s="35" t="str">
        <f t="shared" si="27"/>
        <v/>
      </c>
      <c r="Y161" s="35" t="str">
        <f t="shared" si="30"/>
        <v/>
      </c>
      <c r="Z161" s="35">
        <f t="shared" si="31"/>
        <v>1</v>
      </c>
      <c r="AA161" s="82"/>
      <c r="AB161" s="82"/>
    </row>
    <row r="162" spans="1:28" x14ac:dyDescent="0.25">
      <c r="A162" s="34">
        <f t="shared" si="28"/>
        <v>153</v>
      </c>
      <c r="B162" s="14"/>
      <c r="C162" s="14"/>
      <c r="D162" s="8" t="s">
        <v>516</v>
      </c>
      <c r="E162" s="8" t="s">
        <v>534</v>
      </c>
      <c r="F162" s="9" t="s">
        <v>517</v>
      </c>
      <c r="G162" s="10"/>
      <c r="H162" s="11"/>
      <c r="I162" s="11"/>
      <c r="J162" s="11"/>
      <c r="K162" s="11"/>
      <c r="L162" s="11"/>
      <c r="M162" s="11"/>
      <c r="N162" s="50"/>
      <c r="O162" s="53"/>
      <c r="P162" s="36"/>
      <c r="Q162" s="49" t="str">
        <f t="shared" si="32"/>
        <v/>
      </c>
      <c r="R162" s="49" t="str">
        <f t="shared" si="33"/>
        <v/>
      </c>
      <c r="S162" s="44"/>
      <c r="T162" s="38"/>
      <c r="U162" s="79"/>
      <c r="V162" s="5" t="s">
        <v>570</v>
      </c>
      <c r="W162" s="35">
        <f t="shared" si="29"/>
        <v>1</v>
      </c>
      <c r="X162" s="35" t="str">
        <f t="shared" si="27"/>
        <v/>
      </c>
      <c r="Y162" s="35" t="str">
        <f t="shared" si="30"/>
        <v/>
      </c>
      <c r="Z162" s="35">
        <f t="shared" si="31"/>
        <v>1</v>
      </c>
      <c r="AA162" s="82"/>
      <c r="AB162" s="82"/>
    </row>
    <row r="163" spans="1:28" x14ac:dyDescent="0.25">
      <c r="A163" s="34">
        <f t="shared" si="28"/>
        <v>154</v>
      </c>
      <c r="B163" s="14"/>
      <c r="C163" s="14"/>
      <c r="D163" s="8" t="s">
        <v>131</v>
      </c>
      <c r="E163" s="8" t="s">
        <v>132</v>
      </c>
      <c r="F163" s="9" t="s">
        <v>274</v>
      </c>
      <c r="G163" s="10"/>
      <c r="H163" s="11"/>
      <c r="I163" s="11"/>
      <c r="J163" s="11"/>
      <c r="K163" s="11"/>
      <c r="L163" s="11"/>
      <c r="M163" s="11"/>
      <c r="N163" s="50"/>
      <c r="O163" s="53"/>
      <c r="P163" s="36"/>
      <c r="Q163" s="49" t="str">
        <f t="shared" si="32"/>
        <v/>
      </c>
      <c r="R163" s="49" t="str">
        <f t="shared" si="33"/>
        <v/>
      </c>
      <c r="S163" s="44"/>
      <c r="T163" s="38"/>
      <c r="U163" s="79" t="s">
        <v>645</v>
      </c>
      <c r="V163" s="5" t="s">
        <v>462</v>
      </c>
      <c r="W163" s="35">
        <f t="shared" si="29"/>
        <v>1</v>
      </c>
      <c r="X163" s="35" t="str">
        <f t="shared" si="27"/>
        <v/>
      </c>
      <c r="Y163" s="35" t="str">
        <f t="shared" si="30"/>
        <v/>
      </c>
      <c r="Z163" s="35">
        <f t="shared" si="31"/>
        <v>1</v>
      </c>
      <c r="AA163" s="82"/>
      <c r="AB163" s="82"/>
    </row>
    <row r="164" spans="1:28" x14ac:dyDescent="0.25">
      <c r="A164" s="34">
        <f t="shared" si="28"/>
        <v>155</v>
      </c>
      <c r="B164" s="3"/>
      <c r="C164" s="14"/>
      <c r="D164" s="8" t="s">
        <v>518</v>
      </c>
      <c r="E164" s="8" t="s">
        <v>18</v>
      </c>
      <c r="F164" s="9" t="s">
        <v>536</v>
      </c>
      <c r="G164" s="3"/>
      <c r="H164" s="3"/>
      <c r="I164" s="3"/>
      <c r="J164" s="4"/>
      <c r="K164" s="4"/>
      <c r="L164" s="4"/>
      <c r="M164" s="4"/>
      <c r="N164" s="50"/>
      <c r="O164" s="12"/>
      <c r="P164" s="12"/>
      <c r="Q164" s="49" t="str">
        <f t="shared" si="32"/>
        <v/>
      </c>
      <c r="R164" s="49" t="str">
        <f t="shared" si="33"/>
        <v/>
      </c>
      <c r="S164" s="44"/>
      <c r="T164" s="44"/>
      <c r="U164" s="79">
        <v>7075087889</v>
      </c>
      <c r="V164" s="60" t="s">
        <v>606</v>
      </c>
      <c r="W164" s="35">
        <f t="shared" si="29"/>
        <v>1</v>
      </c>
      <c r="X164" s="35" t="str">
        <f t="shared" si="27"/>
        <v/>
      </c>
      <c r="Y164" s="35" t="str">
        <f t="shared" si="30"/>
        <v/>
      </c>
      <c r="Z164" s="35">
        <f t="shared" si="31"/>
        <v>1</v>
      </c>
      <c r="AA164" s="82"/>
      <c r="AB164" s="82"/>
    </row>
    <row r="165" spans="1:28" x14ac:dyDescent="0.25">
      <c r="A165" s="34">
        <f t="shared" si="28"/>
        <v>156</v>
      </c>
      <c r="B165" s="14"/>
      <c r="C165" s="14"/>
      <c r="D165" s="1" t="s">
        <v>23</v>
      </c>
      <c r="E165" s="1" t="s">
        <v>22</v>
      </c>
      <c r="F165" s="2" t="s">
        <v>275</v>
      </c>
      <c r="G165" s="10"/>
      <c r="H165" s="10"/>
      <c r="I165" s="10"/>
      <c r="J165" s="10"/>
      <c r="K165" s="11"/>
      <c r="L165" s="11"/>
      <c r="M165" s="11"/>
      <c r="N165" s="50"/>
      <c r="O165" s="53"/>
      <c r="P165" s="36"/>
      <c r="Q165" s="49" t="str">
        <f t="shared" si="32"/>
        <v/>
      </c>
      <c r="R165" s="49" t="str">
        <f t="shared" si="33"/>
        <v/>
      </c>
      <c r="S165" s="44"/>
      <c r="T165" s="38"/>
      <c r="U165" s="79"/>
      <c r="V165" s="5" t="s">
        <v>452</v>
      </c>
      <c r="W165" s="35">
        <f t="shared" si="29"/>
        <v>1</v>
      </c>
      <c r="X165" s="35" t="str">
        <f t="shared" si="27"/>
        <v/>
      </c>
      <c r="Y165" s="35" t="str">
        <f t="shared" si="30"/>
        <v/>
      </c>
      <c r="Z165" s="35">
        <f t="shared" si="31"/>
        <v>1</v>
      </c>
      <c r="AA165" s="82"/>
      <c r="AB165" s="82"/>
    </row>
    <row r="166" spans="1:28" x14ac:dyDescent="0.25">
      <c r="A166" s="34">
        <f t="shared" si="28"/>
        <v>157</v>
      </c>
      <c r="B166" s="14"/>
      <c r="C166" s="14"/>
      <c r="D166" s="8" t="s">
        <v>291</v>
      </c>
      <c r="E166" s="8" t="s">
        <v>26</v>
      </c>
      <c r="F166" s="9" t="s">
        <v>292</v>
      </c>
      <c r="G166" s="10"/>
      <c r="H166" s="11"/>
      <c r="I166" s="11"/>
      <c r="J166" s="11"/>
      <c r="K166" s="11"/>
      <c r="L166" s="11"/>
      <c r="M166" s="11"/>
      <c r="N166" s="50"/>
      <c r="O166" s="53"/>
      <c r="P166" s="36"/>
      <c r="Q166" s="49" t="str">
        <f t="shared" si="32"/>
        <v/>
      </c>
      <c r="R166" s="49" t="str">
        <f t="shared" si="33"/>
        <v/>
      </c>
      <c r="S166" s="44"/>
      <c r="T166" s="38"/>
      <c r="U166" s="79">
        <v>7075290228</v>
      </c>
      <c r="V166" s="5" t="s">
        <v>463</v>
      </c>
      <c r="W166" s="35">
        <f t="shared" si="29"/>
        <v>1</v>
      </c>
      <c r="X166" s="35" t="str">
        <f t="shared" si="27"/>
        <v/>
      </c>
      <c r="Y166" s="35" t="str">
        <f t="shared" si="30"/>
        <v/>
      </c>
      <c r="Z166" s="35">
        <f t="shared" si="31"/>
        <v>1</v>
      </c>
      <c r="AA166" s="82"/>
      <c r="AB166" s="82"/>
    </row>
    <row r="167" spans="1:28" x14ac:dyDescent="0.25">
      <c r="A167" s="34">
        <f t="shared" si="28"/>
        <v>158</v>
      </c>
      <c r="B167" s="3"/>
      <c r="C167" s="14"/>
      <c r="D167" s="8" t="s">
        <v>468</v>
      </c>
      <c r="E167" s="8" t="s">
        <v>298</v>
      </c>
      <c r="F167" s="9" t="s">
        <v>470</v>
      </c>
      <c r="G167" s="3"/>
      <c r="H167" s="3"/>
      <c r="I167" s="3"/>
      <c r="J167" s="4"/>
      <c r="K167" s="4"/>
      <c r="L167" s="4"/>
      <c r="M167" s="4"/>
      <c r="N167" s="50"/>
      <c r="O167" s="12"/>
      <c r="P167" s="12"/>
      <c r="Q167" s="49" t="str">
        <f t="shared" si="32"/>
        <v/>
      </c>
      <c r="R167" s="49" t="str">
        <f t="shared" si="33"/>
        <v/>
      </c>
      <c r="S167" s="44"/>
      <c r="T167" s="44"/>
      <c r="U167" s="87"/>
      <c r="V167" s="5" t="s">
        <v>469</v>
      </c>
      <c r="W167" s="35">
        <f t="shared" si="29"/>
        <v>1</v>
      </c>
      <c r="X167" s="35" t="str">
        <f t="shared" si="27"/>
        <v/>
      </c>
      <c r="Y167" s="35" t="str">
        <f t="shared" si="30"/>
        <v/>
      </c>
      <c r="Z167" s="35">
        <f t="shared" si="31"/>
        <v>1</v>
      </c>
      <c r="AA167" s="82"/>
      <c r="AB167" s="82"/>
    </row>
    <row r="168" spans="1:28" x14ac:dyDescent="0.25">
      <c r="A168" s="34">
        <f t="shared" si="28"/>
        <v>159</v>
      </c>
      <c r="B168" s="14"/>
      <c r="C168" s="14"/>
      <c r="D168" s="8" t="s">
        <v>147</v>
      </c>
      <c r="E168" s="8" t="s">
        <v>148</v>
      </c>
      <c r="F168" s="9" t="s">
        <v>276</v>
      </c>
      <c r="G168" s="10"/>
      <c r="H168" s="11"/>
      <c r="I168" s="11"/>
      <c r="J168" s="11"/>
      <c r="K168" s="11"/>
      <c r="L168" s="11"/>
      <c r="M168" s="11"/>
      <c r="N168" s="50"/>
      <c r="O168" s="53"/>
      <c r="P168" s="36"/>
      <c r="Q168" s="49" t="str">
        <f t="shared" si="32"/>
        <v/>
      </c>
      <c r="R168" s="49" t="str">
        <f t="shared" si="33"/>
        <v/>
      </c>
      <c r="S168" s="44"/>
      <c r="T168" s="38"/>
      <c r="U168" s="79"/>
      <c r="V168" s="5"/>
      <c r="W168" s="35">
        <f t="shared" si="29"/>
        <v>1</v>
      </c>
      <c r="X168" s="35" t="str">
        <f t="shared" si="27"/>
        <v/>
      </c>
      <c r="Y168" s="35" t="str">
        <f t="shared" si="30"/>
        <v/>
      </c>
      <c r="Z168" s="35" t="str">
        <f t="shared" si="31"/>
        <v/>
      </c>
      <c r="AA168" s="82"/>
      <c r="AB168" s="82"/>
    </row>
    <row r="169" spans="1:28" x14ac:dyDescent="0.25">
      <c r="A169" s="34">
        <f t="shared" si="28"/>
        <v>160</v>
      </c>
      <c r="B169" s="14"/>
      <c r="C169" s="14"/>
      <c r="D169" s="8" t="s">
        <v>519</v>
      </c>
      <c r="E169" s="8" t="s">
        <v>5</v>
      </c>
      <c r="F169" s="9" t="s">
        <v>520</v>
      </c>
      <c r="G169" s="10"/>
      <c r="H169" s="11"/>
      <c r="I169" s="11"/>
      <c r="J169" s="11"/>
      <c r="K169" s="11"/>
      <c r="L169" s="11"/>
      <c r="M169" s="11"/>
      <c r="N169" s="50"/>
      <c r="O169" s="53"/>
      <c r="P169" s="36"/>
      <c r="Q169" s="49" t="str">
        <f t="shared" si="32"/>
        <v/>
      </c>
      <c r="R169" s="49" t="str">
        <f t="shared" si="33"/>
        <v/>
      </c>
      <c r="S169" s="44"/>
      <c r="T169" s="38"/>
      <c r="U169" s="79"/>
      <c r="V169" s="60" t="s">
        <v>607</v>
      </c>
      <c r="W169" s="35">
        <f t="shared" si="29"/>
        <v>1</v>
      </c>
      <c r="X169" s="35" t="str">
        <f t="shared" si="27"/>
        <v/>
      </c>
      <c r="Y169" s="35" t="str">
        <f t="shared" si="30"/>
        <v/>
      </c>
      <c r="Z169" s="35">
        <f t="shared" si="31"/>
        <v>1</v>
      </c>
      <c r="AA169" s="82"/>
      <c r="AB169" s="82"/>
    </row>
    <row r="170" spans="1:28" x14ac:dyDescent="0.25">
      <c r="A170" s="34">
        <f t="shared" ref="A170:A186" si="34">+A169+1</f>
        <v>161</v>
      </c>
      <c r="B170" s="14"/>
      <c r="C170" s="14"/>
      <c r="D170" s="8" t="s">
        <v>521</v>
      </c>
      <c r="E170" s="8" t="s">
        <v>537</v>
      </c>
      <c r="F170" s="9" t="s">
        <v>522</v>
      </c>
      <c r="G170" s="10"/>
      <c r="H170" s="11"/>
      <c r="I170" s="11"/>
      <c r="J170" s="11"/>
      <c r="K170" s="11"/>
      <c r="L170" s="11"/>
      <c r="M170" s="11"/>
      <c r="N170" s="50"/>
      <c r="O170" s="53"/>
      <c r="P170" s="36"/>
      <c r="Q170" s="49" t="str">
        <f t="shared" si="32"/>
        <v/>
      </c>
      <c r="R170" s="49" t="str">
        <f t="shared" si="33"/>
        <v/>
      </c>
      <c r="S170" s="44"/>
      <c r="T170" s="38"/>
      <c r="U170" s="79" t="s">
        <v>646</v>
      </c>
      <c r="V170" s="60" t="s">
        <v>608</v>
      </c>
      <c r="W170" s="35">
        <f t="shared" ref="W170:W183" si="35">IF(D170&lt;&gt;"",1,"")</f>
        <v>1</v>
      </c>
      <c r="X170" s="35" t="str">
        <f t="shared" si="27"/>
        <v/>
      </c>
      <c r="Y170" s="35" t="str">
        <f t="shared" si="30"/>
        <v/>
      </c>
      <c r="Z170" s="35">
        <f t="shared" si="31"/>
        <v>1</v>
      </c>
      <c r="AA170" s="82"/>
      <c r="AB170" s="82"/>
    </row>
    <row r="171" spans="1:28" x14ac:dyDescent="0.25">
      <c r="A171" s="34">
        <f t="shared" si="34"/>
        <v>162</v>
      </c>
      <c r="B171" s="3"/>
      <c r="C171" s="14"/>
      <c r="D171" s="8" t="s">
        <v>375</v>
      </c>
      <c r="E171" s="8" t="s">
        <v>373</v>
      </c>
      <c r="F171" s="9" t="s">
        <v>376</v>
      </c>
      <c r="G171" s="3"/>
      <c r="H171" s="3"/>
      <c r="I171" s="3"/>
      <c r="J171" s="4"/>
      <c r="K171" s="4"/>
      <c r="L171" s="4"/>
      <c r="M171" s="4"/>
      <c r="N171" s="50"/>
      <c r="O171" s="12"/>
      <c r="P171" s="12"/>
      <c r="Q171" s="49" t="str">
        <f t="shared" si="32"/>
        <v/>
      </c>
      <c r="R171" s="49" t="str">
        <f t="shared" si="33"/>
        <v/>
      </c>
      <c r="S171" s="44"/>
      <c r="T171" s="59"/>
      <c r="U171" s="79">
        <v>7078150886</v>
      </c>
      <c r="V171" s="5"/>
      <c r="W171" s="35">
        <f t="shared" si="35"/>
        <v>1</v>
      </c>
      <c r="X171" s="35" t="str">
        <f t="shared" si="27"/>
        <v/>
      </c>
      <c r="Y171" s="35" t="str">
        <f t="shared" si="30"/>
        <v/>
      </c>
      <c r="Z171" s="35" t="str">
        <f t="shared" si="31"/>
        <v/>
      </c>
      <c r="AA171" s="82"/>
      <c r="AB171" s="82"/>
    </row>
    <row r="172" spans="1:28" x14ac:dyDescent="0.25">
      <c r="A172" s="34">
        <f t="shared" si="34"/>
        <v>163</v>
      </c>
      <c r="B172" s="3"/>
      <c r="C172" s="14"/>
      <c r="D172" s="8" t="s">
        <v>372</v>
      </c>
      <c r="E172" s="8" t="s">
        <v>373</v>
      </c>
      <c r="F172" s="9" t="s">
        <v>374</v>
      </c>
      <c r="G172" s="3"/>
      <c r="H172" s="3"/>
      <c r="I172" s="3"/>
      <c r="J172" s="4"/>
      <c r="K172" s="4"/>
      <c r="L172" s="4"/>
      <c r="M172" s="4"/>
      <c r="N172" s="50"/>
      <c r="O172" s="12"/>
      <c r="P172" s="12"/>
      <c r="Q172" s="49" t="str">
        <f t="shared" si="32"/>
        <v/>
      </c>
      <c r="R172" s="49" t="str">
        <f t="shared" si="33"/>
        <v/>
      </c>
      <c r="S172" s="44"/>
      <c r="T172" s="44"/>
      <c r="U172" s="79">
        <v>5106764872</v>
      </c>
      <c r="V172" s="5" t="s">
        <v>464</v>
      </c>
      <c r="W172" s="35">
        <f t="shared" si="35"/>
        <v>1</v>
      </c>
      <c r="X172" s="35" t="str">
        <f t="shared" si="27"/>
        <v/>
      </c>
      <c r="Y172" s="35" t="str">
        <f t="shared" si="30"/>
        <v/>
      </c>
      <c r="Z172" s="35">
        <f t="shared" si="31"/>
        <v>1</v>
      </c>
      <c r="AA172" s="82"/>
      <c r="AB172" s="82"/>
    </row>
    <row r="173" spans="1:28" x14ac:dyDescent="0.25">
      <c r="A173" s="34">
        <f t="shared" si="34"/>
        <v>164</v>
      </c>
      <c r="B173" s="14"/>
      <c r="C173" s="14"/>
      <c r="D173" s="7"/>
      <c r="E173" s="7"/>
      <c r="F173" s="7"/>
      <c r="G173" s="10"/>
      <c r="H173" s="11"/>
      <c r="I173" s="11"/>
      <c r="J173" s="11"/>
      <c r="K173" s="11"/>
      <c r="L173" s="11"/>
      <c r="M173" s="11"/>
      <c r="N173" s="50"/>
      <c r="O173" s="53"/>
      <c r="P173" s="36"/>
      <c r="Q173" s="49" t="str">
        <f t="shared" si="32"/>
        <v/>
      </c>
      <c r="R173" s="49" t="str">
        <f t="shared" si="33"/>
        <v/>
      </c>
      <c r="S173" s="44"/>
      <c r="T173" s="38"/>
      <c r="U173" s="79"/>
      <c r="V173" s="7"/>
      <c r="W173" s="35" t="str">
        <f t="shared" si="35"/>
        <v/>
      </c>
      <c r="X173" s="35" t="str">
        <f t="shared" si="27"/>
        <v/>
      </c>
      <c r="Y173" s="35" t="str">
        <f t="shared" si="30"/>
        <v/>
      </c>
      <c r="Z173" s="35" t="str">
        <f t="shared" si="31"/>
        <v/>
      </c>
      <c r="AA173" s="82"/>
      <c r="AB173" s="82"/>
    </row>
    <row r="174" spans="1:28" x14ac:dyDescent="0.25">
      <c r="A174" s="34">
        <f t="shared" si="34"/>
        <v>165</v>
      </c>
      <c r="B174" s="14"/>
      <c r="C174" s="14"/>
      <c r="D174" s="7"/>
      <c r="E174" s="7"/>
      <c r="F174" s="7"/>
      <c r="G174" s="10"/>
      <c r="H174" s="10"/>
      <c r="I174" s="10"/>
      <c r="J174" s="10"/>
      <c r="K174" s="11"/>
      <c r="L174" s="11"/>
      <c r="M174" s="11"/>
      <c r="N174" s="50"/>
      <c r="O174" s="53"/>
      <c r="P174" s="12"/>
      <c r="Q174" s="49" t="str">
        <f t="shared" si="32"/>
        <v/>
      </c>
      <c r="R174" s="49" t="str">
        <f t="shared" si="33"/>
        <v/>
      </c>
      <c r="S174" s="44"/>
      <c r="T174" s="38"/>
      <c r="U174" s="86" t="s">
        <v>609</v>
      </c>
      <c r="V174" s="7"/>
      <c r="W174" s="35" t="str">
        <f t="shared" si="35"/>
        <v/>
      </c>
      <c r="X174" s="35" t="str">
        <f t="shared" si="27"/>
        <v/>
      </c>
      <c r="Y174" s="35" t="str">
        <f t="shared" si="30"/>
        <v/>
      </c>
      <c r="Z174" s="35" t="str">
        <f t="shared" si="31"/>
        <v/>
      </c>
      <c r="AA174" s="82"/>
      <c r="AB174" s="82"/>
    </row>
    <row r="175" spans="1:28" x14ac:dyDescent="0.25">
      <c r="A175" s="34">
        <f t="shared" si="34"/>
        <v>166</v>
      </c>
      <c r="B175" s="14"/>
      <c r="C175" s="14"/>
      <c r="D175" s="7"/>
      <c r="E175" s="7"/>
      <c r="F175" s="7"/>
      <c r="G175" s="10"/>
      <c r="H175" s="11"/>
      <c r="I175" s="11"/>
      <c r="J175" s="11"/>
      <c r="K175" s="11"/>
      <c r="L175" s="11"/>
      <c r="M175" s="11"/>
      <c r="N175" s="50"/>
      <c r="O175" s="53"/>
      <c r="P175" s="36"/>
      <c r="Q175" s="49" t="str">
        <f t="shared" si="32"/>
        <v/>
      </c>
      <c r="R175" s="49" t="str">
        <f t="shared" si="33"/>
        <v/>
      </c>
      <c r="S175" s="44"/>
      <c r="T175" s="38"/>
      <c r="U175" s="86">
        <v>5103661378</v>
      </c>
      <c r="V175" s="7"/>
      <c r="W175" s="35" t="str">
        <f t="shared" si="35"/>
        <v/>
      </c>
      <c r="X175" s="35" t="str">
        <f t="shared" si="27"/>
        <v/>
      </c>
      <c r="Y175" s="35" t="str">
        <f t="shared" si="30"/>
        <v/>
      </c>
      <c r="Z175" s="35" t="str">
        <f t="shared" si="31"/>
        <v/>
      </c>
      <c r="AA175" s="82"/>
      <c r="AB175" s="82"/>
    </row>
    <row r="176" spans="1:28" x14ac:dyDescent="0.25">
      <c r="A176" s="34">
        <f t="shared" si="34"/>
        <v>167</v>
      </c>
      <c r="B176" s="14"/>
      <c r="C176" s="14"/>
      <c r="D176" s="7"/>
      <c r="E176" s="7"/>
      <c r="F176" s="7"/>
      <c r="G176" s="10"/>
      <c r="H176" s="11"/>
      <c r="I176" s="11"/>
      <c r="J176" s="11"/>
      <c r="K176" s="11"/>
      <c r="L176" s="11"/>
      <c r="M176" s="11"/>
      <c r="N176" s="50"/>
      <c r="O176" s="53"/>
      <c r="P176" s="36"/>
      <c r="Q176" s="49" t="str">
        <f t="shared" si="32"/>
        <v/>
      </c>
      <c r="R176" s="49" t="str">
        <f t="shared" si="33"/>
        <v/>
      </c>
      <c r="S176" s="44"/>
      <c r="T176" s="38"/>
      <c r="U176" s="82"/>
      <c r="V176" s="7"/>
      <c r="W176" s="35" t="str">
        <f t="shared" si="35"/>
        <v/>
      </c>
      <c r="X176" s="35" t="str">
        <f t="shared" si="27"/>
        <v/>
      </c>
      <c r="Y176" s="35" t="str">
        <f t="shared" si="30"/>
        <v/>
      </c>
      <c r="Z176" s="35" t="str">
        <f t="shared" si="31"/>
        <v/>
      </c>
      <c r="AA176" s="82"/>
      <c r="AB176" s="82"/>
    </row>
    <row r="177" spans="1:28" x14ac:dyDescent="0.25">
      <c r="A177" s="34">
        <f t="shared" si="34"/>
        <v>168</v>
      </c>
      <c r="B177" s="14"/>
      <c r="C177" s="14"/>
      <c r="D177" s="7"/>
      <c r="E177" s="7"/>
      <c r="F177" s="7"/>
      <c r="G177" s="10"/>
      <c r="H177" s="11"/>
      <c r="I177" s="11"/>
      <c r="J177" s="11"/>
      <c r="K177" s="11"/>
      <c r="L177" s="11"/>
      <c r="M177" s="11"/>
      <c r="N177" s="50"/>
      <c r="O177" s="53"/>
      <c r="P177" s="12"/>
      <c r="Q177" s="49" t="str">
        <f t="shared" si="32"/>
        <v/>
      </c>
      <c r="R177" s="49" t="str">
        <f t="shared" si="33"/>
        <v/>
      </c>
      <c r="S177" s="44"/>
      <c r="T177" s="38"/>
      <c r="U177" s="82"/>
      <c r="V177" s="7"/>
      <c r="W177" s="35" t="str">
        <f t="shared" si="35"/>
        <v/>
      </c>
      <c r="X177" s="35" t="str">
        <f t="shared" si="27"/>
        <v/>
      </c>
      <c r="Y177" s="35" t="str">
        <f t="shared" si="30"/>
        <v/>
      </c>
      <c r="Z177" s="35" t="str">
        <f t="shared" si="31"/>
        <v/>
      </c>
      <c r="AA177" s="82"/>
      <c r="AB177" s="82"/>
    </row>
    <row r="178" spans="1:28" x14ac:dyDescent="0.25">
      <c r="A178" s="34">
        <f t="shared" si="34"/>
        <v>169</v>
      </c>
      <c r="B178" s="14"/>
      <c r="C178" s="14"/>
      <c r="D178" s="7"/>
      <c r="E178" s="7"/>
      <c r="F178" s="7"/>
      <c r="G178" s="10"/>
      <c r="H178" s="11"/>
      <c r="I178" s="11"/>
      <c r="J178" s="11"/>
      <c r="K178" s="11"/>
      <c r="L178" s="11"/>
      <c r="M178" s="11"/>
      <c r="N178" s="50"/>
      <c r="O178" s="53"/>
      <c r="P178" s="36"/>
      <c r="Q178" s="49" t="str">
        <f t="shared" si="32"/>
        <v/>
      </c>
      <c r="R178" s="49" t="str">
        <f t="shared" si="33"/>
        <v/>
      </c>
      <c r="S178" s="44"/>
      <c r="T178" s="38"/>
      <c r="U178" s="82"/>
      <c r="V178" s="7"/>
      <c r="W178" s="35" t="str">
        <f t="shared" si="35"/>
        <v/>
      </c>
      <c r="X178" s="35" t="str">
        <f t="shared" si="27"/>
        <v/>
      </c>
      <c r="Y178" s="35" t="str">
        <f t="shared" si="30"/>
        <v/>
      </c>
      <c r="Z178" s="35" t="str">
        <f t="shared" si="31"/>
        <v/>
      </c>
      <c r="AA178" s="82"/>
      <c r="AB178" s="82"/>
    </row>
    <row r="179" spans="1:28" x14ac:dyDescent="0.25">
      <c r="A179" s="34">
        <f t="shared" si="34"/>
        <v>170</v>
      </c>
      <c r="B179" s="14"/>
      <c r="C179" s="14"/>
      <c r="D179" s="7"/>
      <c r="E179" s="7"/>
      <c r="F179" s="7"/>
      <c r="G179" s="10"/>
      <c r="H179" s="11"/>
      <c r="I179" s="11"/>
      <c r="J179" s="11"/>
      <c r="K179" s="11"/>
      <c r="L179" s="11"/>
      <c r="M179" s="11"/>
      <c r="N179" s="50"/>
      <c r="O179" s="53"/>
      <c r="P179" s="36"/>
      <c r="Q179" s="49" t="str">
        <f t="shared" si="32"/>
        <v/>
      </c>
      <c r="R179" s="49" t="str">
        <f t="shared" si="33"/>
        <v/>
      </c>
      <c r="S179" s="44"/>
      <c r="T179" s="38"/>
      <c r="U179" s="82"/>
      <c r="V179" s="7"/>
      <c r="W179" s="35" t="str">
        <f t="shared" si="35"/>
        <v/>
      </c>
      <c r="X179" s="35" t="str">
        <f t="shared" si="27"/>
        <v/>
      </c>
      <c r="Y179" s="35" t="str">
        <f t="shared" si="30"/>
        <v/>
      </c>
      <c r="Z179" s="35" t="str">
        <f t="shared" si="31"/>
        <v/>
      </c>
      <c r="AA179" s="82"/>
      <c r="AB179" s="82"/>
    </row>
    <row r="180" spans="1:28" x14ac:dyDescent="0.25">
      <c r="A180" s="34">
        <f t="shared" si="34"/>
        <v>171</v>
      </c>
      <c r="B180" s="14"/>
      <c r="C180" s="14"/>
      <c r="D180" s="7"/>
      <c r="E180" s="7"/>
      <c r="F180" s="7"/>
      <c r="G180" s="10"/>
      <c r="H180" s="11"/>
      <c r="I180" s="11"/>
      <c r="J180" s="11"/>
      <c r="K180" s="11"/>
      <c r="L180" s="11"/>
      <c r="M180" s="11"/>
      <c r="N180" s="50"/>
      <c r="O180" s="53"/>
      <c r="P180" s="36"/>
      <c r="Q180" s="49" t="str">
        <f t="shared" si="32"/>
        <v/>
      </c>
      <c r="R180" s="49" t="str">
        <f t="shared" si="33"/>
        <v/>
      </c>
      <c r="S180" s="44"/>
      <c r="T180" s="38"/>
      <c r="U180" s="82"/>
      <c r="V180" s="7"/>
      <c r="W180" s="35" t="str">
        <f t="shared" si="35"/>
        <v/>
      </c>
      <c r="X180" s="35" t="str">
        <f t="shared" si="27"/>
        <v/>
      </c>
      <c r="Y180" s="35" t="str">
        <f t="shared" si="30"/>
        <v/>
      </c>
      <c r="Z180" s="35" t="str">
        <f t="shared" si="31"/>
        <v/>
      </c>
      <c r="AA180" s="82"/>
      <c r="AB180" s="82"/>
    </row>
    <row r="181" spans="1:28" x14ac:dyDescent="0.25">
      <c r="A181" s="34">
        <f t="shared" si="34"/>
        <v>172</v>
      </c>
      <c r="B181" s="14"/>
      <c r="C181" s="14"/>
      <c r="D181" s="7"/>
      <c r="E181" s="7"/>
      <c r="F181" s="7"/>
      <c r="G181" s="10"/>
      <c r="H181" s="11"/>
      <c r="I181" s="11"/>
      <c r="J181" s="11"/>
      <c r="K181" s="11"/>
      <c r="L181" s="11"/>
      <c r="M181" s="11"/>
      <c r="N181" s="50"/>
      <c r="O181" s="53"/>
      <c r="P181" s="36"/>
      <c r="Q181" s="49" t="str">
        <f t="shared" si="32"/>
        <v/>
      </c>
      <c r="R181" s="49" t="str">
        <f t="shared" si="33"/>
        <v/>
      </c>
      <c r="S181" s="44"/>
      <c r="T181" s="38"/>
      <c r="U181" s="82"/>
      <c r="V181" s="7"/>
      <c r="W181" s="35" t="str">
        <f t="shared" si="35"/>
        <v/>
      </c>
      <c r="X181" s="35" t="str">
        <f t="shared" si="27"/>
        <v/>
      </c>
      <c r="Y181" s="35" t="str">
        <f t="shared" si="30"/>
        <v/>
      </c>
      <c r="Z181" s="35" t="str">
        <f t="shared" si="31"/>
        <v/>
      </c>
      <c r="AA181" s="82"/>
      <c r="AB181" s="82"/>
    </row>
    <row r="182" spans="1:28" x14ac:dyDescent="0.25">
      <c r="A182" s="34">
        <f t="shared" si="34"/>
        <v>173</v>
      </c>
      <c r="B182" s="3"/>
      <c r="C182" s="14"/>
      <c r="D182" s="7"/>
      <c r="E182" s="7"/>
      <c r="F182" s="7"/>
      <c r="G182" s="3"/>
      <c r="H182" s="3"/>
      <c r="I182" s="3"/>
      <c r="J182" s="4"/>
      <c r="K182" s="4"/>
      <c r="L182" s="4"/>
      <c r="M182" s="4"/>
      <c r="N182" s="50"/>
      <c r="O182" s="12"/>
      <c r="P182" s="12"/>
      <c r="Q182" s="49" t="str">
        <f t="shared" si="32"/>
        <v/>
      </c>
      <c r="R182" s="49" t="str">
        <f t="shared" si="33"/>
        <v/>
      </c>
      <c r="S182" s="44"/>
      <c r="T182" s="59"/>
      <c r="U182" s="82"/>
      <c r="V182" s="7"/>
      <c r="W182" s="35" t="str">
        <f t="shared" si="35"/>
        <v/>
      </c>
      <c r="X182" s="35" t="str">
        <f t="shared" si="27"/>
        <v/>
      </c>
      <c r="Y182" s="35" t="str">
        <f t="shared" si="30"/>
        <v/>
      </c>
      <c r="Z182" s="35" t="str">
        <f t="shared" si="31"/>
        <v/>
      </c>
      <c r="AA182" s="82"/>
      <c r="AB182" s="82"/>
    </row>
    <row r="183" spans="1:28" x14ac:dyDescent="0.25">
      <c r="A183" s="34">
        <f t="shared" si="34"/>
        <v>174</v>
      </c>
      <c r="B183" s="3"/>
      <c r="C183" s="14"/>
      <c r="D183" s="7"/>
      <c r="E183" s="7"/>
      <c r="F183" s="7"/>
      <c r="G183" s="10"/>
      <c r="H183" s="11"/>
      <c r="I183" s="11"/>
      <c r="J183" s="11"/>
      <c r="K183" s="11"/>
      <c r="L183" s="11"/>
      <c r="M183" s="11"/>
      <c r="N183" s="50"/>
      <c r="O183" s="53"/>
      <c r="P183" s="12"/>
      <c r="Q183" s="49" t="str">
        <f t="shared" si="32"/>
        <v/>
      </c>
      <c r="R183" s="49" t="str">
        <f t="shared" si="33"/>
        <v/>
      </c>
      <c r="S183" s="44"/>
      <c r="T183" s="38"/>
      <c r="U183" s="82"/>
      <c r="V183" s="7"/>
      <c r="W183" s="35" t="str">
        <f t="shared" si="35"/>
        <v/>
      </c>
      <c r="X183" s="35" t="str">
        <f t="shared" si="27"/>
        <v/>
      </c>
      <c r="Y183" s="35" t="str">
        <f t="shared" si="30"/>
        <v/>
      </c>
      <c r="Z183" s="35" t="str">
        <f t="shared" si="31"/>
        <v/>
      </c>
      <c r="AA183" s="82"/>
      <c r="AB183" s="82"/>
    </row>
    <row r="184" spans="1:28" x14ac:dyDescent="0.25">
      <c r="A184" s="34">
        <f t="shared" si="34"/>
        <v>175</v>
      </c>
      <c r="B184" s="14"/>
      <c r="C184" s="14"/>
      <c r="D184" s="7"/>
      <c r="E184" s="7"/>
      <c r="F184" s="7"/>
      <c r="G184" s="10"/>
      <c r="H184" s="11"/>
      <c r="I184" s="11"/>
      <c r="J184" s="11"/>
      <c r="K184" s="11"/>
      <c r="L184" s="11"/>
      <c r="M184" s="11"/>
      <c r="N184" s="50"/>
      <c r="O184" s="53"/>
      <c r="P184" s="36"/>
      <c r="Q184" s="49" t="str">
        <f t="shared" si="32"/>
        <v/>
      </c>
      <c r="R184" s="49" t="str">
        <f t="shared" si="33"/>
        <v/>
      </c>
      <c r="S184" s="44"/>
      <c r="T184" s="38"/>
      <c r="U184" s="82"/>
      <c r="V184" s="7"/>
      <c r="W184" s="35"/>
      <c r="X184" s="35" t="str">
        <f t="shared" si="27"/>
        <v/>
      </c>
      <c r="Y184" s="35" t="str">
        <f t="shared" si="30"/>
        <v/>
      </c>
      <c r="Z184" s="35" t="str">
        <f t="shared" si="31"/>
        <v/>
      </c>
      <c r="AA184" s="82"/>
      <c r="AB184" s="82"/>
    </row>
    <row r="185" spans="1:28" x14ac:dyDescent="0.25">
      <c r="A185" s="34">
        <f t="shared" si="34"/>
        <v>176</v>
      </c>
      <c r="B185" s="3"/>
      <c r="C185" s="14"/>
      <c r="D185" s="7"/>
      <c r="E185" s="7"/>
      <c r="F185" s="7"/>
      <c r="G185" s="10"/>
      <c r="H185" s="11"/>
      <c r="I185" s="11"/>
      <c r="J185" s="11"/>
      <c r="K185" s="11"/>
      <c r="L185" s="11"/>
      <c r="M185" s="11"/>
      <c r="N185" s="50"/>
      <c r="O185" s="53"/>
      <c r="P185" s="36"/>
      <c r="Q185" s="49" t="str">
        <f t="shared" si="32"/>
        <v/>
      </c>
      <c r="R185" s="49" t="str">
        <f t="shared" si="33"/>
        <v/>
      </c>
      <c r="S185" s="44"/>
      <c r="T185" s="38"/>
      <c r="U185" s="82"/>
      <c r="V185" s="7"/>
      <c r="W185" s="35" t="str">
        <f>IF(D184&lt;&gt;"",1,"")</f>
        <v/>
      </c>
      <c r="X185" s="35" t="str">
        <f t="shared" si="27"/>
        <v/>
      </c>
      <c r="Y185" s="35" t="str">
        <f t="shared" si="30"/>
        <v/>
      </c>
      <c r="Z185" s="35" t="str">
        <f t="shared" si="31"/>
        <v/>
      </c>
      <c r="AA185" s="82"/>
      <c r="AB185" s="82"/>
    </row>
    <row r="186" spans="1:28" x14ac:dyDescent="0.25">
      <c r="A186" s="34">
        <f t="shared" si="34"/>
        <v>177</v>
      </c>
      <c r="B186" s="3"/>
      <c r="C186" s="14"/>
      <c r="D186" s="7"/>
      <c r="E186" s="7"/>
      <c r="F186" s="7"/>
      <c r="G186" s="3"/>
      <c r="H186" s="3"/>
      <c r="I186" s="3"/>
      <c r="J186" s="4"/>
      <c r="K186" s="4"/>
      <c r="L186" s="4"/>
      <c r="M186" s="4"/>
      <c r="N186" s="50"/>
      <c r="O186" s="12"/>
      <c r="P186" s="12"/>
      <c r="Q186" s="49" t="str">
        <f t="shared" si="32"/>
        <v/>
      </c>
      <c r="R186" s="49" t="str">
        <f t="shared" si="33"/>
        <v/>
      </c>
      <c r="S186" s="44"/>
      <c r="T186" s="44"/>
      <c r="U186" s="82"/>
      <c r="V186" s="7"/>
      <c r="W186" s="35" t="str">
        <f t="shared" ref="W186:W217" si="36">IF(D186&lt;&gt;"",1,"")</f>
        <v/>
      </c>
      <c r="X186" s="35" t="str">
        <f t="shared" si="27"/>
        <v/>
      </c>
      <c r="Y186" s="35" t="str">
        <f t="shared" si="30"/>
        <v/>
      </c>
      <c r="Z186" s="35" t="str">
        <f t="shared" si="31"/>
        <v/>
      </c>
      <c r="AA186" s="82"/>
      <c r="AB186" s="82"/>
    </row>
    <row r="187" spans="1:28" x14ac:dyDescent="0.25">
      <c r="A187" s="34">
        <f>+A186+1</f>
        <v>178</v>
      </c>
      <c r="B187" s="3"/>
      <c r="C187" s="14"/>
      <c r="D187" s="7"/>
      <c r="E187" s="7"/>
      <c r="F187" s="7"/>
      <c r="G187" s="3"/>
      <c r="H187" s="3"/>
      <c r="I187" s="3"/>
      <c r="J187" s="4"/>
      <c r="K187" s="3"/>
      <c r="L187" s="3"/>
      <c r="M187" s="4"/>
      <c r="N187" s="50"/>
      <c r="O187" s="12"/>
      <c r="P187" s="12"/>
      <c r="Q187" s="49" t="str">
        <f>IF(O187="c",+N187,"")</f>
        <v/>
      </c>
      <c r="R187" s="49" t="str">
        <f>IF($O187="$",+$N187,"")</f>
        <v/>
      </c>
      <c r="S187" s="44"/>
      <c r="T187" s="44"/>
      <c r="U187" s="82"/>
      <c r="V187" s="7"/>
      <c r="W187" s="35" t="str">
        <f t="shared" si="36"/>
        <v/>
      </c>
      <c r="X187" s="35" t="str">
        <f t="shared" si="27"/>
        <v/>
      </c>
      <c r="Y187" s="35" t="str">
        <f t="shared" si="30"/>
        <v/>
      </c>
      <c r="Z187" s="35" t="str">
        <f t="shared" si="31"/>
        <v/>
      </c>
      <c r="AA187" s="82"/>
      <c r="AB187" s="82"/>
    </row>
    <row r="188" spans="1:28" x14ac:dyDescent="0.25">
      <c r="A188" s="34">
        <f>+A187+1</f>
        <v>179</v>
      </c>
      <c r="B188" s="3"/>
      <c r="C188" s="14"/>
      <c r="D188" s="7"/>
      <c r="E188" s="7"/>
      <c r="F188" s="7"/>
      <c r="G188" s="10"/>
      <c r="H188" s="11"/>
      <c r="I188" s="11"/>
      <c r="J188" s="11"/>
      <c r="K188" s="11"/>
      <c r="L188" s="11"/>
      <c r="M188" s="11"/>
      <c r="N188" s="50"/>
      <c r="O188" s="53"/>
      <c r="P188" s="36"/>
      <c r="Q188" s="49" t="str">
        <f>IF(O188="c",+N188,"")</f>
        <v/>
      </c>
      <c r="R188" s="49" t="str">
        <f>IF($O188="$",+$N188,"")</f>
        <v/>
      </c>
      <c r="S188" s="44"/>
      <c r="T188" s="38"/>
      <c r="U188" s="82"/>
      <c r="V188" s="7"/>
      <c r="W188" s="35" t="str">
        <f t="shared" si="36"/>
        <v/>
      </c>
      <c r="X188" s="35" t="str">
        <f t="shared" si="27"/>
        <v/>
      </c>
      <c r="Y188" s="35" t="str">
        <f t="shared" si="30"/>
        <v/>
      </c>
      <c r="Z188" s="35" t="str">
        <f t="shared" si="31"/>
        <v/>
      </c>
      <c r="AA188" s="82"/>
      <c r="AB188" s="82"/>
    </row>
    <row r="189" spans="1:28" x14ac:dyDescent="0.25">
      <c r="A189" s="34">
        <f>+A188+1</f>
        <v>180</v>
      </c>
      <c r="B189" s="3"/>
      <c r="C189" s="14"/>
      <c r="D189" s="7"/>
      <c r="E189" s="7"/>
      <c r="F189" s="7"/>
      <c r="G189" s="10"/>
      <c r="H189" s="11"/>
      <c r="I189" s="11"/>
      <c r="J189" s="11"/>
      <c r="K189" s="11"/>
      <c r="L189" s="11"/>
      <c r="M189" s="11"/>
      <c r="N189" s="50"/>
      <c r="O189" s="53"/>
      <c r="P189" s="36"/>
      <c r="Q189" s="49" t="str">
        <f>IF(O189="c",+N189,"")</f>
        <v/>
      </c>
      <c r="R189" s="49" t="str">
        <f>IF($O189="$",+$N189,"")</f>
        <v/>
      </c>
      <c r="S189" s="44"/>
      <c r="T189" s="38"/>
      <c r="U189" s="82"/>
      <c r="V189" s="7"/>
      <c r="W189" s="35" t="str">
        <f t="shared" si="36"/>
        <v/>
      </c>
      <c r="X189" s="35" t="str">
        <f t="shared" si="27"/>
        <v/>
      </c>
      <c r="Y189" s="35" t="str">
        <f t="shared" si="30"/>
        <v/>
      </c>
      <c r="Z189" s="35" t="str">
        <f t="shared" si="31"/>
        <v/>
      </c>
      <c r="AA189" s="82"/>
      <c r="AB189" s="82"/>
    </row>
    <row r="190" spans="1:28" x14ac:dyDescent="0.25">
      <c r="A190" s="34">
        <f t="shared" ref="A190:A203" si="37">+A189+1</f>
        <v>181</v>
      </c>
      <c r="B190" s="14"/>
      <c r="C190" s="14"/>
      <c r="D190" s="7"/>
      <c r="E190" s="7"/>
      <c r="F190" s="7"/>
      <c r="G190" s="10"/>
      <c r="H190" s="11"/>
      <c r="I190" s="11"/>
      <c r="J190" s="11"/>
      <c r="K190" s="11"/>
      <c r="L190" s="11"/>
      <c r="M190" s="11"/>
      <c r="N190" s="50"/>
      <c r="O190" s="53"/>
      <c r="P190" s="36"/>
      <c r="Q190" s="49" t="str">
        <f t="shared" ref="Q190:Q209" si="38">IF(O190="c",+N190,"")</f>
        <v/>
      </c>
      <c r="R190" s="33"/>
      <c r="S190" s="38"/>
      <c r="T190" s="38"/>
      <c r="U190" s="82"/>
      <c r="V190" s="7"/>
      <c r="W190" s="35" t="str">
        <f t="shared" si="36"/>
        <v/>
      </c>
      <c r="X190" s="35" t="str">
        <f t="shared" si="27"/>
        <v/>
      </c>
      <c r="Y190" s="35" t="str">
        <f t="shared" si="30"/>
        <v/>
      </c>
      <c r="Z190" s="35" t="str">
        <f t="shared" si="31"/>
        <v/>
      </c>
      <c r="AA190" s="82"/>
      <c r="AB190" s="82"/>
    </row>
    <row r="191" spans="1:28" x14ac:dyDescent="0.25">
      <c r="A191" s="34">
        <f t="shared" si="37"/>
        <v>182</v>
      </c>
      <c r="B191" s="14"/>
      <c r="C191" s="14"/>
      <c r="D191" s="7"/>
      <c r="E191" s="7"/>
      <c r="F191" s="7"/>
      <c r="G191" s="10"/>
      <c r="H191" s="11"/>
      <c r="I191" s="11"/>
      <c r="J191" s="11"/>
      <c r="K191" s="11"/>
      <c r="L191" s="11"/>
      <c r="M191" s="11"/>
      <c r="N191" s="50"/>
      <c r="O191" s="53"/>
      <c r="P191" s="36"/>
      <c r="Q191" s="49" t="str">
        <f t="shared" si="38"/>
        <v/>
      </c>
      <c r="R191" s="33"/>
      <c r="S191" s="38"/>
      <c r="T191" s="38"/>
      <c r="U191" s="82"/>
      <c r="V191" s="7"/>
      <c r="W191" s="35" t="str">
        <f t="shared" si="36"/>
        <v/>
      </c>
      <c r="X191" s="35" t="str">
        <f t="shared" si="27"/>
        <v/>
      </c>
      <c r="Y191" s="35" t="str">
        <f t="shared" si="30"/>
        <v/>
      </c>
      <c r="Z191" s="35" t="str">
        <f t="shared" si="31"/>
        <v/>
      </c>
      <c r="AA191" s="82"/>
      <c r="AB191" s="82"/>
    </row>
    <row r="192" spans="1:28" x14ac:dyDescent="0.25">
      <c r="A192" s="34">
        <f t="shared" si="37"/>
        <v>183</v>
      </c>
      <c r="B192" s="14"/>
      <c r="C192" s="14"/>
      <c r="D192" s="7"/>
      <c r="E192" s="7"/>
      <c r="F192" s="7"/>
      <c r="G192" s="10"/>
      <c r="H192" s="11"/>
      <c r="I192" s="11"/>
      <c r="J192" s="11"/>
      <c r="K192" s="11"/>
      <c r="L192" s="11"/>
      <c r="M192" s="11"/>
      <c r="N192" s="50"/>
      <c r="O192" s="53"/>
      <c r="P192" s="36"/>
      <c r="Q192" s="49" t="str">
        <f t="shared" si="38"/>
        <v/>
      </c>
      <c r="R192" s="33"/>
      <c r="S192" s="38"/>
      <c r="T192" s="38"/>
      <c r="U192" s="82"/>
      <c r="V192" s="7"/>
      <c r="W192" s="35" t="str">
        <f t="shared" si="36"/>
        <v/>
      </c>
      <c r="X192" s="35" t="str">
        <f t="shared" si="27"/>
        <v/>
      </c>
      <c r="Y192" s="35" t="str">
        <f t="shared" si="30"/>
        <v/>
      </c>
      <c r="Z192" s="35" t="str">
        <f t="shared" si="31"/>
        <v/>
      </c>
      <c r="AA192" s="82"/>
      <c r="AB192" s="82"/>
    </row>
    <row r="193" spans="1:28" x14ac:dyDescent="0.25">
      <c r="A193" s="34">
        <f t="shared" si="37"/>
        <v>184</v>
      </c>
      <c r="B193" s="14"/>
      <c r="C193" s="14"/>
      <c r="D193" s="7"/>
      <c r="E193" s="7"/>
      <c r="F193" s="7"/>
      <c r="G193" s="10"/>
      <c r="H193" s="11"/>
      <c r="I193" s="11"/>
      <c r="J193" s="11"/>
      <c r="K193" s="11"/>
      <c r="L193" s="11"/>
      <c r="M193" s="11"/>
      <c r="N193" s="50"/>
      <c r="O193" s="53"/>
      <c r="P193" s="36"/>
      <c r="Q193" s="49" t="str">
        <f t="shared" si="38"/>
        <v/>
      </c>
      <c r="R193" s="33"/>
      <c r="S193" s="38"/>
      <c r="T193" s="38"/>
      <c r="U193" s="82"/>
      <c r="V193" s="7"/>
      <c r="W193" s="35" t="str">
        <f t="shared" si="36"/>
        <v/>
      </c>
      <c r="X193" s="35" t="str">
        <f t="shared" si="27"/>
        <v/>
      </c>
      <c r="Y193" s="35" t="str">
        <f t="shared" si="30"/>
        <v/>
      </c>
      <c r="Z193" s="35" t="str">
        <f t="shared" si="31"/>
        <v/>
      </c>
      <c r="AA193" s="82"/>
      <c r="AB193" s="82"/>
    </row>
    <row r="194" spans="1:28" x14ac:dyDescent="0.25">
      <c r="A194" s="34">
        <f t="shared" si="37"/>
        <v>185</v>
      </c>
      <c r="B194" s="14"/>
      <c r="C194" s="14"/>
      <c r="D194" s="7"/>
      <c r="E194" s="7"/>
      <c r="F194" s="7"/>
      <c r="G194" s="10"/>
      <c r="H194" s="11"/>
      <c r="I194" s="11"/>
      <c r="J194" s="11"/>
      <c r="K194" s="11"/>
      <c r="L194" s="11"/>
      <c r="M194" s="11"/>
      <c r="N194" s="50"/>
      <c r="O194" s="53"/>
      <c r="P194" s="36"/>
      <c r="Q194" s="49" t="str">
        <f t="shared" si="38"/>
        <v/>
      </c>
      <c r="R194" s="33"/>
      <c r="S194" s="38"/>
      <c r="T194" s="38"/>
      <c r="U194" s="82"/>
      <c r="V194" s="7"/>
      <c r="W194" s="35" t="str">
        <f t="shared" si="36"/>
        <v/>
      </c>
      <c r="X194" s="35" t="str">
        <f t="shared" si="27"/>
        <v/>
      </c>
      <c r="Y194" s="35" t="str">
        <f t="shared" si="30"/>
        <v/>
      </c>
      <c r="Z194" s="35" t="str">
        <f t="shared" si="31"/>
        <v/>
      </c>
      <c r="AA194" s="82"/>
      <c r="AB194" s="82"/>
    </row>
    <row r="195" spans="1:28" x14ac:dyDescent="0.25">
      <c r="A195" s="34">
        <f t="shared" si="37"/>
        <v>186</v>
      </c>
      <c r="B195" s="14"/>
      <c r="C195" s="14"/>
      <c r="D195" s="7"/>
      <c r="E195" s="7"/>
      <c r="F195" s="7"/>
      <c r="G195" s="10"/>
      <c r="H195" s="11"/>
      <c r="I195" s="11"/>
      <c r="J195" s="11"/>
      <c r="K195" s="11"/>
      <c r="L195" s="11"/>
      <c r="M195" s="11"/>
      <c r="N195" s="50"/>
      <c r="O195" s="53"/>
      <c r="P195" s="36"/>
      <c r="Q195" s="49" t="str">
        <f t="shared" si="38"/>
        <v/>
      </c>
      <c r="R195" s="33"/>
      <c r="S195" s="38"/>
      <c r="T195" s="38"/>
      <c r="U195" s="82"/>
      <c r="V195" s="7"/>
      <c r="W195" s="35" t="str">
        <f t="shared" si="36"/>
        <v/>
      </c>
      <c r="X195" s="35" t="str">
        <f t="shared" si="27"/>
        <v/>
      </c>
      <c r="Y195" s="35" t="str">
        <f t="shared" si="30"/>
        <v/>
      </c>
      <c r="Z195" s="35" t="str">
        <f t="shared" si="31"/>
        <v/>
      </c>
      <c r="AA195" s="82"/>
      <c r="AB195" s="82"/>
    </row>
    <row r="196" spans="1:28" x14ac:dyDescent="0.25">
      <c r="A196" s="34">
        <f t="shared" si="37"/>
        <v>187</v>
      </c>
      <c r="B196" s="14"/>
      <c r="C196" s="14"/>
      <c r="D196" s="7"/>
      <c r="E196" s="7"/>
      <c r="F196" s="7"/>
      <c r="G196" s="10"/>
      <c r="H196" s="11"/>
      <c r="I196" s="11"/>
      <c r="J196" s="11"/>
      <c r="K196" s="11"/>
      <c r="L196" s="11"/>
      <c r="M196" s="11"/>
      <c r="N196" s="50"/>
      <c r="O196" s="53"/>
      <c r="P196" s="36"/>
      <c r="Q196" s="49" t="str">
        <f t="shared" si="38"/>
        <v/>
      </c>
      <c r="R196" s="33"/>
      <c r="S196" s="38"/>
      <c r="T196" s="38"/>
      <c r="U196" s="82"/>
      <c r="V196" s="7"/>
      <c r="W196" s="35" t="str">
        <f t="shared" si="36"/>
        <v/>
      </c>
      <c r="X196" s="35" t="str">
        <f t="shared" si="27"/>
        <v/>
      </c>
      <c r="Y196" s="35" t="str">
        <f t="shared" si="30"/>
        <v/>
      </c>
      <c r="Z196" s="35" t="str">
        <f t="shared" si="31"/>
        <v/>
      </c>
      <c r="AA196" s="82"/>
      <c r="AB196" s="82"/>
    </row>
    <row r="197" spans="1:28" x14ac:dyDescent="0.25">
      <c r="A197" s="34">
        <f t="shared" si="37"/>
        <v>188</v>
      </c>
      <c r="B197" s="14"/>
      <c r="C197" s="14"/>
      <c r="D197" s="7"/>
      <c r="E197" s="7"/>
      <c r="F197" s="7"/>
      <c r="G197" s="10"/>
      <c r="H197" s="11"/>
      <c r="I197" s="11"/>
      <c r="J197" s="11"/>
      <c r="K197" s="11"/>
      <c r="L197" s="11"/>
      <c r="M197" s="11"/>
      <c r="N197" s="50"/>
      <c r="O197" s="53"/>
      <c r="P197" s="36"/>
      <c r="Q197" s="49" t="str">
        <f t="shared" si="38"/>
        <v/>
      </c>
      <c r="R197" s="33"/>
      <c r="S197" s="38"/>
      <c r="T197" s="38"/>
      <c r="U197" s="82"/>
      <c r="V197" s="7"/>
      <c r="W197" s="35" t="str">
        <f t="shared" si="36"/>
        <v/>
      </c>
      <c r="X197" s="35" t="str">
        <f t="shared" si="27"/>
        <v/>
      </c>
      <c r="Y197" s="35" t="str">
        <f t="shared" si="30"/>
        <v/>
      </c>
      <c r="Z197" s="35" t="str">
        <f t="shared" si="31"/>
        <v/>
      </c>
      <c r="AA197" s="82"/>
      <c r="AB197" s="82"/>
    </row>
    <row r="198" spans="1:28" x14ac:dyDescent="0.25">
      <c r="A198" s="34">
        <f t="shared" si="37"/>
        <v>189</v>
      </c>
      <c r="B198" s="14"/>
      <c r="C198" s="14"/>
      <c r="D198" s="7"/>
      <c r="E198" s="7"/>
      <c r="F198" s="7"/>
      <c r="G198" s="10"/>
      <c r="H198" s="11"/>
      <c r="I198" s="11"/>
      <c r="J198" s="11"/>
      <c r="K198" s="11"/>
      <c r="L198" s="11"/>
      <c r="M198" s="11"/>
      <c r="N198" s="50"/>
      <c r="O198" s="53"/>
      <c r="P198" s="36"/>
      <c r="Q198" s="49" t="str">
        <f t="shared" si="38"/>
        <v/>
      </c>
      <c r="R198" s="33"/>
      <c r="S198" s="38"/>
      <c r="T198" s="38"/>
      <c r="U198" s="82"/>
      <c r="V198" s="7"/>
      <c r="W198" s="35" t="str">
        <f t="shared" si="36"/>
        <v/>
      </c>
      <c r="X198" s="35" t="str">
        <f t="shared" si="27"/>
        <v/>
      </c>
      <c r="Y198" s="35" t="str">
        <f t="shared" si="30"/>
        <v/>
      </c>
      <c r="Z198" s="35" t="str">
        <f t="shared" si="31"/>
        <v/>
      </c>
      <c r="AA198" s="82"/>
      <c r="AB198" s="82"/>
    </row>
    <row r="199" spans="1:28" x14ac:dyDescent="0.25">
      <c r="A199" s="34">
        <f t="shared" si="37"/>
        <v>190</v>
      </c>
      <c r="B199" s="14"/>
      <c r="C199" s="14"/>
      <c r="D199" s="7"/>
      <c r="E199" s="7"/>
      <c r="F199" s="7"/>
      <c r="G199" s="10"/>
      <c r="H199" s="11"/>
      <c r="I199" s="11"/>
      <c r="J199" s="11"/>
      <c r="K199" s="11"/>
      <c r="L199" s="11"/>
      <c r="M199" s="11"/>
      <c r="N199" s="50"/>
      <c r="O199" s="53"/>
      <c r="P199" s="36"/>
      <c r="Q199" s="49" t="str">
        <f t="shared" si="38"/>
        <v/>
      </c>
      <c r="R199" s="33"/>
      <c r="S199" s="38"/>
      <c r="T199" s="38"/>
      <c r="U199" s="82"/>
      <c r="V199" s="7"/>
      <c r="W199" s="35" t="str">
        <f t="shared" si="36"/>
        <v/>
      </c>
      <c r="X199" s="35" t="str">
        <f t="shared" ref="X199:X262" si="39">IF(T199&lt;&gt;"",1,"")</f>
        <v/>
      </c>
      <c r="Y199" s="35" t="str">
        <f t="shared" si="30"/>
        <v/>
      </c>
      <c r="Z199" s="35" t="str">
        <f t="shared" si="31"/>
        <v/>
      </c>
      <c r="AA199" s="82"/>
      <c r="AB199" s="82"/>
    </row>
    <row r="200" spans="1:28" x14ac:dyDescent="0.25">
      <c r="A200" s="34">
        <f t="shared" si="37"/>
        <v>191</v>
      </c>
      <c r="B200" s="14"/>
      <c r="C200" s="14"/>
      <c r="D200" s="7"/>
      <c r="E200" s="7"/>
      <c r="F200" s="7"/>
      <c r="G200" s="10"/>
      <c r="H200" s="11"/>
      <c r="I200" s="11"/>
      <c r="J200" s="11"/>
      <c r="K200" s="11"/>
      <c r="L200" s="11"/>
      <c r="M200" s="11"/>
      <c r="N200" s="50"/>
      <c r="O200" s="53"/>
      <c r="P200" s="36"/>
      <c r="Q200" s="49" t="str">
        <f t="shared" si="38"/>
        <v/>
      </c>
      <c r="R200" s="33"/>
      <c r="S200" s="38"/>
      <c r="T200" s="38"/>
      <c r="U200" s="82"/>
      <c r="V200" s="7"/>
      <c r="W200" s="35" t="str">
        <f t="shared" si="36"/>
        <v/>
      </c>
      <c r="X200" s="35" t="str">
        <f t="shared" si="39"/>
        <v/>
      </c>
      <c r="Y200" s="35" t="str">
        <f t="shared" si="30"/>
        <v/>
      </c>
      <c r="Z200" s="35" t="str">
        <f t="shared" si="31"/>
        <v/>
      </c>
      <c r="AA200" s="82"/>
      <c r="AB200" s="82"/>
    </row>
    <row r="201" spans="1:28" x14ac:dyDescent="0.25">
      <c r="A201" s="34">
        <f t="shared" si="37"/>
        <v>192</v>
      </c>
      <c r="B201" s="14"/>
      <c r="C201" s="14"/>
      <c r="D201" s="7"/>
      <c r="E201" s="7"/>
      <c r="F201" s="7"/>
      <c r="G201" s="10"/>
      <c r="H201" s="11"/>
      <c r="I201" s="11"/>
      <c r="J201" s="11"/>
      <c r="K201" s="11"/>
      <c r="L201" s="11"/>
      <c r="M201" s="11"/>
      <c r="N201" s="50"/>
      <c r="O201" s="53"/>
      <c r="P201" s="36"/>
      <c r="Q201" s="49" t="str">
        <f t="shared" si="38"/>
        <v/>
      </c>
      <c r="R201" s="33"/>
      <c r="S201" s="38"/>
      <c r="T201" s="38"/>
      <c r="U201" s="82"/>
      <c r="V201" s="7"/>
      <c r="W201" s="35" t="str">
        <f t="shared" si="36"/>
        <v/>
      </c>
      <c r="X201" s="35" t="str">
        <f t="shared" si="39"/>
        <v/>
      </c>
      <c r="Y201" s="35" t="str">
        <f t="shared" si="30"/>
        <v/>
      </c>
      <c r="Z201" s="35" t="str">
        <f t="shared" si="31"/>
        <v/>
      </c>
      <c r="AA201" s="82"/>
      <c r="AB201" s="82"/>
    </row>
    <row r="202" spans="1:28" x14ac:dyDescent="0.25">
      <c r="A202" s="34">
        <f t="shared" si="37"/>
        <v>193</v>
      </c>
      <c r="B202" s="14"/>
      <c r="C202" s="14"/>
      <c r="D202" s="7"/>
      <c r="E202" s="7"/>
      <c r="F202" s="7"/>
      <c r="G202" s="10"/>
      <c r="H202" s="11"/>
      <c r="I202" s="11"/>
      <c r="J202" s="11"/>
      <c r="K202" s="11"/>
      <c r="L202" s="11"/>
      <c r="M202" s="11"/>
      <c r="N202" s="50"/>
      <c r="O202" s="53"/>
      <c r="P202" s="36"/>
      <c r="Q202" s="49" t="str">
        <f t="shared" si="38"/>
        <v/>
      </c>
      <c r="R202" s="33"/>
      <c r="S202" s="38"/>
      <c r="T202" s="38"/>
      <c r="U202" s="82"/>
      <c r="V202" s="7"/>
      <c r="W202" s="35" t="str">
        <f t="shared" si="36"/>
        <v/>
      </c>
      <c r="X202" s="35" t="str">
        <f t="shared" si="39"/>
        <v/>
      </c>
      <c r="Y202" s="35" t="str">
        <f t="shared" ref="Y202:Y265" si="40">IF(M202=1,IF($B202=1,1,""),"")</f>
        <v/>
      </c>
      <c r="Z202" s="35" t="str">
        <f t="shared" si="31"/>
        <v/>
      </c>
      <c r="AA202" s="82"/>
      <c r="AB202" s="82"/>
    </row>
    <row r="203" spans="1:28" x14ac:dyDescent="0.25">
      <c r="A203" s="34">
        <f t="shared" si="37"/>
        <v>194</v>
      </c>
      <c r="B203" s="14"/>
      <c r="C203" s="14"/>
      <c r="D203" s="7"/>
      <c r="E203" s="7"/>
      <c r="F203" s="7"/>
      <c r="G203" s="10"/>
      <c r="H203" s="11"/>
      <c r="I203" s="11"/>
      <c r="J203" s="11"/>
      <c r="K203" s="11"/>
      <c r="L203" s="11"/>
      <c r="M203" s="11"/>
      <c r="N203" s="50"/>
      <c r="O203" s="53"/>
      <c r="P203" s="36"/>
      <c r="Q203" s="49" t="str">
        <f t="shared" si="38"/>
        <v/>
      </c>
      <c r="R203" s="33"/>
      <c r="S203" s="38"/>
      <c r="T203" s="38"/>
      <c r="U203" s="82"/>
      <c r="V203" s="7"/>
      <c r="W203" s="35" t="str">
        <f t="shared" si="36"/>
        <v/>
      </c>
      <c r="X203" s="35" t="str">
        <f t="shared" si="39"/>
        <v/>
      </c>
      <c r="Y203" s="35" t="str">
        <f t="shared" si="40"/>
        <v/>
      </c>
      <c r="Z203" s="35" t="str">
        <f t="shared" ref="Z203:Z266" si="41">IF(V203&lt;&gt;"",1,"")</f>
        <v/>
      </c>
      <c r="AA203" s="82"/>
      <c r="AB203" s="82"/>
    </row>
    <row r="204" spans="1:28" x14ac:dyDescent="0.25">
      <c r="A204" s="34">
        <f t="shared" ref="A204:A267" si="42">+A203+1</f>
        <v>195</v>
      </c>
      <c r="B204" s="14"/>
      <c r="C204" s="14"/>
      <c r="D204" s="7"/>
      <c r="E204" s="7"/>
      <c r="F204" s="7"/>
      <c r="G204" s="10"/>
      <c r="H204" s="11"/>
      <c r="I204" s="11"/>
      <c r="J204" s="11"/>
      <c r="K204" s="11"/>
      <c r="L204" s="11"/>
      <c r="M204" s="11"/>
      <c r="N204" s="50"/>
      <c r="O204" s="53"/>
      <c r="P204" s="36"/>
      <c r="Q204" s="49" t="str">
        <f t="shared" si="38"/>
        <v/>
      </c>
      <c r="R204" s="33"/>
      <c r="S204" s="38"/>
      <c r="T204" s="38"/>
      <c r="U204" s="82"/>
      <c r="V204" s="7"/>
      <c r="W204" s="35" t="str">
        <f t="shared" si="36"/>
        <v/>
      </c>
      <c r="X204" s="35" t="str">
        <f t="shared" si="39"/>
        <v/>
      </c>
      <c r="Y204" s="35" t="str">
        <f t="shared" si="40"/>
        <v/>
      </c>
      <c r="Z204" s="35" t="str">
        <f t="shared" si="41"/>
        <v/>
      </c>
      <c r="AA204" s="82"/>
      <c r="AB204" s="82"/>
    </row>
    <row r="205" spans="1:28" x14ac:dyDescent="0.25">
      <c r="A205" s="34">
        <f t="shared" si="42"/>
        <v>196</v>
      </c>
      <c r="B205" s="14"/>
      <c r="C205" s="14"/>
      <c r="D205" s="7"/>
      <c r="E205" s="7"/>
      <c r="F205" s="7"/>
      <c r="G205" s="10"/>
      <c r="H205" s="11"/>
      <c r="I205" s="11"/>
      <c r="J205" s="11"/>
      <c r="K205" s="11"/>
      <c r="L205" s="11"/>
      <c r="M205" s="11"/>
      <c r="N205" s="50"/>
      <c r="O205" s="53"/>
      <c r="P205" s="36"/>
      <c r="Q205" s="49" t="str">
        <f t="shared" si="38"/>
        <v/>
      </c>
      <c r="R205" s="33"/>
      <c r="S205" s="38"/>
      <c r="T205" s="38"/>
      <c r="U205" s="82"/>
      <c r="V205" s="7"/>
      <c r="W205" s="35" t="str">
        <f t="shared" si="36"/>
        <v/>
      </c>
      <c r="X205" s="35" t="str">
        <f t="shared" si="39"/>
        <v/>
      </c>
      <c r="Y205" s="35" t="str">
        <f t="shared" si="40"/>
        <v/>
      </c>
      <c r="Z205" s="35" t="str">
        <f t="shared" si="41"/>
        <v/>
      </c>
      <c r="AA205" s="82"/>
      <c r="AB205" s="82"/>
    </row>
    <row r="206" spans="1:28" x14ac:dyDescent="0.25">
      <c r="A206" s="34">
        <f t="shared" si="42"/>
        <v>197</v>
      </c>
      <c r="B206" s="14"/>
      <c r="C206" s="14"/>
      <c r="D206" s="7"/>
      <c r="E206" s="7"/>
      <c r="F206" s="7"/>
      <c r="G206" s="10"/>
      <c r="H206" s="11"/>
      <c r="I206" s="11"/>
      <c r="J206" s="11"/>
      <c r="K206" s="11"/>
      <c r="L206" s="11"/>
      <c r="M206" s="11"/>
      <c r="N206" s="50"/>
      <c r="O206" s="53"/>
      <c r="P206" s="36"/>
      <c r="Q206" s="49" t="str">
        <f t="shared" si="38"/>
        <v/>
      </c>
      <c r="R206" s="33"/>
      <c r="S206" s="38"/>
      <c r="T206" s="38"/>
      <c r="U206" s="82"/>
      <c r="V206" s="7"/>
      <c r="W206" s="35" t="str">
        <f t="shared" si="36"/>
        <v/>
      </c>
      <c r="X206" s="35" t="str">
        <f t="shared" si="39"/>
        <v/>
      </c>
      <c r="Y206" s="35" t="str">
        <f t="shared" si="40"/>
        <v/>
      </c>
      <c r="Z206" s="35" t="str">
        <f t="shared" si="41"/>
        <v/>
      </c>
      <c r="AA206" s="82"/>
      <c r="AB206" s="82"/>
    </row>
    <row r="207" spans="1:28" x14ac:dyDescent="0.25">
      <c r="A207" s="34">
        <f t="shared" si="42"/>
        <v>198</v>
      </c>
      <c r="B207" s="14"/>
      <c r="C207" s="14"/>
      <c r="D207" s="7"/>
      <c r="E207" s="7"/>
      <c r="F207" s="7"/>
      <c r="G207" s="10"/>
      <c r="H207" s="11"/>
      <c r="I207" s="11"/>
      <c r="J207" s="11"/>
      <c r="K207" s="11"/>
      <c r="L207" s="11"/>
      <c r="M207" s="11"/>
      <c r="N207" s="50"/>
      <c r="O207" s="53"/>
      <c r="P207" s="36"/>
      <c r="Q207" s="49" t="str">
        <f t="shared" si="38"/>
        <v/>
      </c>
      <c r="R207" s="33"/>
      <c r="S207" s="38"/>
      <c r="T207" s="38"/>
      <c r="U207" s="82"/>
      <c r="V207" s="7"/>
      <c r="W207" s="35" t="str">
        <f t="shared" si="36"/>
        <v/>
      </c>
      <c r="X207" s="35" t="str">
        <f t="shared" si="39"/>
        <v/>
      </c>
      <c r="Y207" s="35" t="str">
        <f t="shared" si="40"/>
        <v/>
      </c>
      <c r="Z207" s="35" t="str">
        <f t="shared" si="41"/>
        <v/>
      </c>
      <c r="AA207" s="82"/>
      <c r="AB207" s="82"/>
    </row>
    <row r="208" spans="1:28" x14ac:dyDescent="0.25">
      <c r="A208" s="34">
        <f t="shared" si="42"/>
        <v>199</v>
      </c>
      <c r="B208" s="14"/>
      <c r="C208" s="14"/>
      <c r="D208" s="7"/>
      <c r="E208" s="7"/>
      <c r="F208" s="7"/>
      <c r="G208" s="10"/>
      <c r="H208" s="11"/>
      <c r="I208" s="11"/>
      <c r="J208" s="11"/>
      <c r="K208" s="11"/>
      <c r="L208" s="11"/>
      <c r="M208" s="11"/>
      <c r="N208" s="50"/>
      <c r="O208" s="53"/>
      <c r="P208" s="36"/>
      <c r="Q208" s="49" t="str">
        <f t="shared" si="38"/>
        <v/>
      </c>
      <c r="R208" s="33"/>
      <c r="S208" s="38"/>
      <c r="T208" s="38"/>
      <c r="U208" s="82"/>
      <c r="V208" s="7"/>
      <c r="W208" s="35" t="str">
        <f t="shared" si="36"/>
        <v/>
      </c>
      <c r="X208" s="35" t="str">
        <f t="shared" si="39"/>
        <v/>
      </c>
      <c r="Y208" s="35" t="str">
        <f t="shared" si="40"/>
        <v/>
      </c>
      <c r="Z208" s="35" t="str">
        <f t="shared" si="41"/>
        <v/>
      </c>
      <c r="AA208" s="82"/>
      <c r="AB208" s="82"/>
    </row>
    <row r="209" spans="1:28" x14ac:dyDescent="0.25">
      <c r="A209" s="34">
        <f t="shared" si="42"/>
        <v>200</v>
      </c>
      <c r="B209" s="14"/>
      <c r="C209" s="14"/>
      <c r="D209" s="7"/>
      <c r="E209" s="7"/>
      <c r="F209" s="7"/>
      <c r="G209" s="10"/>
      <c r="H209" s="11"/>
      <c r="I209" s="11"/>
      <c r="J209" s="11"/>
      <c r="K209" s="11"/>
      <c r="L209" s="11"/>
      <c r="M209" s="11"/>
      <c r="N209" s="50"/>
      <c r="O209" s="53"/>
      <c r="P209" s="36"/>
      <c r="Q209" s="49" t="str">
        <f t="shared" si="38"/>
        <v/>
      </c>
      <c r="R209" s="33"/>
      <c r="S209" s="38"/>
      <c r="T209" s="38"/>
      <c r="U209" s="82"/>
      <c r="V209" s="7"/>
      <c r="W209" s="35" t="str">
        <f t="shared" si="36"/>
        <v/>
      </c>
      <c r="X209" s="35" t="str">
        <f t="shared" si="39"/>
        <v/>
      </c>
      <c r="Y209" s="35" t="str">
        <f t="shared" si="40"/>
        <v/>
      </c>
      <c r="Z209" s="35" t="str">
        <f t="shared" si="41"/>
        <v/>
      </c>
      <c r="AA209" s="82"/>
      <c r="AB209" s="82"/>
    </row>
    <row r="210" spans="1:28" x14ac:dyDescent="0.25">
      <c r="A210" s="34">
        <f t="shared" si="42"/>
        <v>201</v>
      </c>
      <c r="B210" s="14"/>
      <c r="C210" s="14"/>
      <c r="D210" s="7"/>
      <c r="E210" s="7"/>
      <c r="F210" s="7"/>
      <c r="G210" s="10"/>
      <c r="H210" s="11"/>
      <c r="I210" s="11"/>
      <c r="J210" s="11"/>
      <c r="K210" s="11"/>
      <c r="L210" s="11"/>
      <c r="M210" s="11"/>
      <c r="N210" s="50"/>
      <c r="O210" s="53"/>
      <c r="P210" s="36"/>
      <c r="Q210" s="49" t="str">
        <f t="shared" ref="Q210:Q273" si="43">IF(O210="c",+N210,"")</f>
        <v/>
      </c>
      <c r="R210" s="33"/>
      <c r="S210" s="38"/>
      <c r="T210" s="38"/>
      <c r="U210" s="82"/>
      <c r="V210" s="7"/>
      <c r="W210" s="35" t="str">
        <f t="shared" si="36"/>
        <v/>
      </c>
      <c r="X210" s="35" t="str">
        <f t="shared" si="39"/>
        <v/>
      </c>
      <c r="Y210" s="35" t="str">
        <f t="shared" si="40"/>
        <v/>
      </c>
      <c r="Z210" s="35" t="str">
        <f t="shared" si="41"/>
        <v/>
      </c>
      <c r="AA210" s="82"/>
      <c r="AB210" s="82"/>
    </row>
    <row r="211" spans="1:28" x14ac:dyDescent="0.25">
      <c r="A211" s="34">
        <f t="shared" si="42"/>
        <v>202</v>
      </c>
      <c r="B211" s="14"/>
      <c r="C211" s="14"/>
      <c r="D211" s="7"/>
      <c r="E211" s="7"/>
      <c r="F211" s="7"/>
      <c r="G211" s="10"/>
      <c r="H211" s="11"/>
      <c r="I211" s="11"/>
      <c r="J211" s="11"/>
      <c r="K211" s="11"/>
      <c r="L211" s="11"/>
      <c r="M211" s="11"/>
      <c r="N211" s="50"/>
      <c r="O211" s="53"/>
      <c r="P211" s="36"/>
      <c r="Q211" s="49" t="str">
        <f t="shared" si="43"/>
        <v/>
      </c>
      <c r="R211" s="33"/>
      <c r="S211" s="38"/>
      <c r="T211" s="38"/>
      <c r="U211" s="82"/>
      <c r="V211" s="7"/>
      <c r="W211" s="35" t="str">
        <f t="shared" si="36"/>
        <v/>
      </c>
      <c r="X211" s="35" t="str">
        <f t="shared" si="39"/>
        <v/>
      </c>
      <c r="Y211" s="35" t="str">
        <f t="shared" si="40"/>
        <v/>
      </c>
      <c r="Z211" s="35" t="str">
        <f t="shared" si="41"/>
        <v/>
      </c>
      <c r="AA211" s="82"/>
      <c r="AB211" s="82"/>
    </row>
    <row r="212" spans="1:28" x14ac:dyDescent="0.25">
      <c r="A212" s="34">
        <f t="shared" si="42"/>
        <v>203</v>
      </c>
      <c r="B212" s="14"/>
      <c r="C212" s="14"/>
      <c r="D212" s="7"/>
      <c r="E212" s="7"/>
      <c r="F212" s="7"/>
      <c r="G212" s="10"/>
      <c r="H212" s="11"/>
      <c r="I212" s="11"/>
      <c r="J212" s="11"/>
      <c r="K212" s="11"/>
      <c r="L212" s="11"/>
      <c r="M212" s="11"/>
      <c r="N212" s="50"/>
      <c r="O212" s="53"/>
      <c r="P212" s="36"/>
      <c r="Q212" s="49" t="str">
        <f t="shared" si="43"/>
        <v/>
      </c>
      <c r="R212" s="33"/>
      <c r="S212" s="38"/>
      <c r="T212" s="38"/>
      <c r="U212" s="82"/>
      <c r="V212" s="7"/>
      <c r="W212" s="35" t="str">
        <f t="shared" si="36"/>
        <v/>
      </c>
      <c r="X212" s="35" t="str">
        <f t="shared" si="39"/>
        <v/>
      </c>
      <c r="Y212" s="35" t="str">
        <f t="shared" si="40"/>
        <v/>
      </c>
      <c r="Z212" s="35" t="str">
        <f t="shared" si="41"/>
        <v/>
      </c>
      <c r="AA212" s="82"/>
      <c r="AB212" s="82"/>
    </row>
    <row r="213" spans="1:28" x14ac:dyDescent="0.25">
      <c r="A213" s="34">
        <f t="shared" si="42"/>
        <v>204</v>
      </c>
      <c r="B213" s="14"/>
      <c r="C213" s="14"/>
      <c r="D213" s="7"/>
      <c r="E213" s="7"/>
      <c r="F213" s="7"/>
      <c r="G213" s="10"/>
      <c r="H213" s="11"/>
      <c r="I213" s="11"/>
      <c r="J213" s="11"/>
      <c r="K213" s="11"/>
      <c r="L213" s="11"/>
      <c r="M213" s="11"/>
      <c r="N213" s="50"/>
      <c r="O213" s="53"/>
      <c r="P213" s="36"/>
      <c r="Q213" s="49" t="str">
        <f t="shared" si="43"/>
        <v/>
      </c>
      <c r="R213" s="33"/>
      <c r="S213" s="38"/>
      <c r="T213" s="38"/>
      <c r="U213" s="82"/>
      <c r="V213" s="7"/>
      <c r="W213" s="35" t="str">
        <f t="shared" si="36"/>
        <v/>
      </c>
      <c r="X213" s="35" t="str">
        <f t="shared" si="39"/>
        <v/>
      </c>
      <c r="Y213" s="35" t="str">
        <f t="shared" si="40"/>
        <v/>
      </c>
      <c r="Z213" s="35" t="str">
        <f t="shared" si="41"/>
        <v/>
      </c>
      <c r="AA213" s="82"/>
      <c r="AB213" s="82"/>
    </row>
    <row r="214" spans="1:28" x14ac:dyDescent="0.25">
      <c r="A214" s="34">
        <f t="shared" si="42"/>
        <v>205</v>
      </c>
      <c r="B214" s="14"/>
      <c r="C214" s="14"/>
      <c r="D214" s="7"/>
      <c r="E214" s="7"/>
      <c r="F214" s="7"/>
      <c r="G214" s="10"/>
      <c r="H214" s="11"/>
      <c r="I214" s="11"/>
      <c r="J214" s="11"/>
      <c r="K214" s="11"/>
      <c r="L214" s="11"/>
      <c r="M214" s="11"/>
      <c r="N214" s="50"/>
      <c r="O214" s="53"/>
      <c r="P214" s="36"/>
      <c r="Q214" s="49" t="str">
        <f t="shared" si="43"/>
        <v/>
      </c>
      <c r="R214" s="33"/>
      <c r="S214" s="38"/>
      <c r="T214" s="38"/>
      <c r="U214" s="82"/>
      <c r="V214" s="7"/>
      <c r="W214" s="35" t="str">
        <f t="shared" si="36"/>
        <v/>
      </c>
      <c r="X214" s="35" t="str">
        <f t="shared" si="39"/>
        <v/>
      </c>
      <c r="Y214" s="35" t="str">
        <f t="shared" si="40"/>
        <v/>
      </c>
      <c r="Z214" s="35" t="str">
        <f t="shared" si="41"/>
        <v/>
      </c>
      <c r="AA214" s="82"/>
      <c r="AB214" s="82"/>
    </row>
    <row r="215" spans="1:28" x14ac:dyDescent="0.25">
      <c r="A215" s="34">
        <f t="shared" si="42"/>
        <v>206</v>
      </c>
      <c r="B215" s="14"/>
      <c r="C215" s="14"/>
      <c r="D215" s="7"/>
      <c r="E215" s="7"/>
      <c r="F215" s="7"/>
      <c r="G215" s="10"/>
      <c r="H215" s="11"/>
      <c r="I215" s="11"/>
      <c r="J215" s="11"/>
      <c r="K215" s="11"/>
      <c r="L215" s="11"/>
      <c r="M215" s="11"/>
      <c r="N215" s="50"/>
      <c r="O215" s="53"/>
      <c r="P215" s="36"/>
      <c r="Q215" s="49" t="str">
        <f t="shared" si="43"/>
        <v/>
      </c>
      <c r="R215" s="33"/>
      <c r="S215" s="38"/>
      <c r="T215" s="38"/>
      <c r="U215" s="82"/>
      <c r="V215" s="7"/>
      <c r="W215" s="35" t="str">
        <f t="shared" si="36"/>
        <v/>
      </c>
      <c r="X215" s="35" t="str">
        <f t="shared" si="39"/>
        <v/>
      </c>
      <c r="Y215" s="35" t="str">
        <f t="shared" si="40"/>
        <v/>
      </c>
      <c r="Z215" s="35" t="str">
        <f t="shared" si="41"/>
        <v/>
      </c>
      <c r="AA215" s="82"/>
      <c r="AB215" s="82"/>
    </row>
    <row r="216" spans="1:28" x14ac:dyDescent="0.25">
      <c r="A216" s="34">
        <f t="shared" si="42"/>
        <v>207</v>
      </c>
      <c r="B216" s="14"/>
      <c r="C216" s="14"/>
      <c r="D216" s="7"/>
      <c r="E216" s="7"/>
      <c r="F216" s="7"/>
      <c r="G216" s="10"/>
      <c r="H216" s="11"/>
      <c r="I216" s="11"/>
      <c r="J216" s="11"/>
      <c r="K216" s="11"/>
      <c r="L216" s="11"/>
      <c r="M216" s="11"/>
      <c r="N216" s="50"/>
      <c r="O216" s="53"/>
      <c r="P216" s="36"/>
      <c r="Q216" s="49" t="str">
        <f t="shared" si="43"/>
        <v/>
      </c>
      <c r="R216" s="33"/>
      <c r="S216" s="38"/>
      <c r="T216" s="38"/>
      <c r="U216" s="82"/>
      <c r="V216" s="7"/>
      <c r="W216" s="35" t="str">
        <f t="shared" si="36"/>
        <v/>
      </c>
      <c r="X216" s="35" t="str">
        <f t="shared" si="39"/>
        <v/>
      </c>
      <c r="Y216" s="35" t="str">
        <f t="shared" si="40"/>
        <v/>
      </c>
      <c r="Z216" s="35" t="str">
        <f t="shared" si="41"/>
        <v/>
      </c>
      <c r="AA216" s="82"/>
      <c r="AB216" s="82"/>
    </row>
    <row r="217" spans="1:28" x14ac:dyDescent="0.25">
      <c r="A217" s="34">
        <f t="shared" si="42"/>
        <v>208</v>
      </c>
      <c r="B217" s="14"/>
      <c r="C217" s="14"/>
      <c r="D217" s="7"/>
      <c r="E217" s="7"/>
      <c r="F217" s="7"/>
      <c r="G217" s="10"/>
      <c r="H217" s="11"/>
      <c r="I217" s="11"/>
      <c r="J217" s="11"/>
      <c r="K217" s="11"/>
      <c r="L217" s="11"/>
      <c r="M217" s="11"/>
      <c r="N217" s="50"/>
      <c r="O217" s="53"/>
      <c r="P217" s="36"/>
      <c r="Q217" s="49" t="str">
        <f t="shared" si="43"/>
        <v/>
      </c>
      <c r="R217" s="33"/>
      <c r="S217" s="38"/>
      <c r="T217" s="38"/>
      <c r="U217" s="82"/>
      <c r="V217" s="7"/>
      <c r="W217" s="35" t="str">
        <f t="shared" si="36"/>
        <v/>
      </c>
      <c r="X217" s="35" t="str">
        <f t="shared" si="39"/>
        <v/>
      </c>
      <c r="Y217" s="35" t="str">
        <f t="shared" si="40"/>
        <v/>
      </c>
      <c r="Z217" s="35" t="str">
        <f t="shared" si="41"/>
        <v/>
      </c>
      <c r="AA217" s="82"/>
      <c r="AB217" s="82"/>
    </row>
    <row r="218" spans="1:28" x14ac:dyDescent="0.25">
      <c r="A218" s="34">
        <f t="shared" si="42"/>
        <v>209</v>
      </c>
      <c r="B218" s="14"/>
      <c r="C218" s="14"/>
      <c r="D218" s="7"/>
      <c r="E218" s="7"/>
      <c r="F218" s="7"/>
      <c r="G218" s="10"/>
      <c r="H218" s="11"/>
      <c r="I218" s="11"/>
      <c r="J218" s="11"/>
      <c r="K218" s="11"/>
      <c r="L218" s="11"/>
      <c r="M218" s="11"/>
      <c r="N218" s="50"/>
      <c r="O218" s="53"/>
      <c r="P218" s="36"/>
      <c r="Q218" s="49" t="str">
        <f t="shared" si="43"/>
        <v/>
      </c>
      <c r="R218" s="33"/>
      <c r="S218" s="38"/>
      <c r="T218" s="38"/>
      <c r="U218" s="82"/>
      <c r="V218" s="7"/>
      <c r="W218" s="35" t="str">
        <f t="shared" ref="W218:W249" si="44">IF(D218&lt;&gt;"",1,"")</f>
        <v/>
      </c>
      <c r="X218" s="35" t="str">
        <f t="shared" si="39"/>
        <v/>
      </c>
      <c r="Y218" s="35" t="str">
        <f t="shared" si="40"/>
        <v/>
      </c>
      <c r="Z218" s="35" t="str">
        <f t="shared" si="41"/>
        <v/>
      </c>
      <c r="AA218" s="82"/>
      <c r="AB218" s="82"/>
    </row>
    <row r="219" spans="1:28" x14ac:dyDescent="0.25">
      <c r="A219" s="34">
        <f t="shared" si="42"/>
        <v>210</v>
      </c>
      <c r="B219" s="14"/>
      <c r="C219" s="14"/>
      <c r="D219" s="7"/>
      <c r="E219" s="7"/>
      <c r="F219" s="7"/>
      <c r="G219" s="10"/>
      <c r="H219" s="11"/>
      <c r="I219" s="11"/>
      <c r="J219" s="11"/>
      <c r="K219" s="11"/>
      <c r="L219" s="11"/>
      <c r="M219" s="11"/>
      <c r="N219" s="50"/>
      <c r="O219" s="53"/>
      <c r="P219" s="36"/>
      <c r="Q219" s="49" t="str">
        <f t="shared" si="43"/>
        <v/>
      </c>
      <c r="R219" s="33"/>
      <c r="S219" s="38"/>
      <c r="T219" s="38"/>
      <c r="U219" s="82"/>
      <c r="V219" s="7"/>
      <c r="W219" s="35" t="str">
        <f t="shared" si="44"/>
        <v/>
      </c>
      <c r="X219" s="35" t="str">
        <f t="shared" si="39"/>
        <v/>
      </c>
      <c r="Y219" s="35" t="str">
        <f t="shared" si="40"/>
        <v/>
      </c>
      <c r="Z219" s="35" t="str">
        <f t="shared" si="41"/>
        <v/>
      </c>
      <c r="AA219" s="82"/>
      <c r="AB219" s="82"/>
    </row>
    <row r="220" spans="1:28" x14ac:dyDescent="0.25">
      <c r="A220" s="34">
        <f t="shared" si="42"/>
        <v>211</v>
      </c>
      <c r="B220" s="14"/>
      <c r="C220" s="14"/>
      <c r="D220" s="7"/>
      <c r="E220" s="7"/>
      <c r="F220" s="7"/>
      <c r="G220" s="10"/>
      <c r="H220" s="11"/>
      <c r="I220" s="11"/>
      <c r="J220" s="11"/>
      <c r="K220" s="11"/>
      <c r="L220" s="11"/>
      <c r="M220" s="11"/>
      <c r="N220" s="50"/>
      <c r="O220" s="53"/>
      <c r="P220" s="36"/>
      <c r="Q220" s="49" t="str">
        <f t="shared" si="43"/>
        <v/>
      </c>
      <c r="R220" s="33"/>
      <c r="S220" s="38"/>
      <c r="T220" s="38"/>
      <c r="U220" s="82"/>
      <c r="V220" s="7"/>
      <c r="W220" s="35" t="str">
        <f t="shared" si="44"/>
        <v/>
      </c>
      <c r="X220" s="35" t="str">
        <f t="shared" si="39"/>
        <v/>
      </c>
      <c r="Y220" s="35" t="str">
        <f t="shared" si="40"/>
        <v/>
      </c>
      <c r="Z220" s="35" t="str">
        <f t="shared" si="41"/>
        <v/>
      </c>
      <c r="AA220" s="82"/>
      <c r="AB220" s="82"/>
    </row>
    <row r="221" spans="1:28" x14ac:dyDescent="0.25">
      <c r="A221" s="34">
        <f t="shared" si="42"/>
        <v>212</v>
      </c>
      <c r="B221" s="14"/>
      <c r="C221" s="14"/>
      <c r="D221" s="7"/>
      <c r="E221" s="7"/>
      <c r="F221" s="7"/>
      <c r="G221" s="10"/>
      <c r="H221" s="11"/>
      <c r="I221" s="11"/>
      <c r="J221" s="11"/>
      <c r="K221" s="11"/>
      <c r="L221" s="11"/>
      <c r="M221" s="11"/>
      <c r="N221" s="50"/>
      <c r="O221" s="53"/>
      <c r="P221" s="36"/>
      <c r="Q221" s="49" t="str">
        <f t="shared" si="43"/>
        <v/>
      </c>
      <c r="R221" s="33"/>
      <c r="S221" s="38"/>
      <c r="T221" s="38"/>
      <c r="U221" s="82"/>
      <c r="V221" s="7"/>
      <c r="W221" s="35" t="str">
        <f t="shared" si="44"/>
        <v/>
      </c>
      <c r="X221" s="35" t="str">
        <f t="shared" si="39"/>
        <v/>
      </c>
      <c r="Y221" s="35" t="str">
        <f t="shared" si="40"/>
        <v/>
      </c>
      <c r="Z221" s="35" t="str">
        <f t="shared" si="41"/>
        <v/>
      </c>
      <c r="AA221" s="82"/>
      <c r="AB221" s="82"/>
    </row>
    <row r="222" spans="1:28" x14ac:dyDescent="0.25">
      <c r="A222" s="34">
        <f t="shared" si="42"/>
        <v>213</v>
      </c>
      <c r="B222" s="14"/>
      <c r="C222" s="14"/>
      <c r="D222" s="7"/>
      <c r="E222" s="7"/>
      <c r="F222" s="7"/>
      <c r="G222" s="10"/>
      <c r="H222" s="11"/>
      <c r="I222" s="11"/>
      <c r="J222" s="11"/>
      <c r="K222" s="11"/>
      <c r="L222" s="11"/>
      <c r="M222" s="11"/>
      <c r="N222" s="50"/>
      <c r="O222" s="53"/>
      <c r="P222" s="36"/>
      <c r="Q222" s="49" t="str">
        <f t="shared" si="43"/>
        <v/>
      </c>
      <c r="R222" s="33"/>
      <c r="S222" s="38"/>
      <c r="T222" s="38"/>
      <c r="U222" s="82"/>
      <c r="V222" s="7"/>
      <c r="W222" s="35" t="str">
        <f t="shared" si="44"/>
        <v/>
      </c>
      <c r="X222" s="35" t="str">
        <f t="shared" si="39"/>
        <v/>
      </c>
      <c r="Y222" s="35" t="str">
        <f t="shared" si="40"/>
        <v/>
      </c>
      <c r="Z222" s="35" t="str">
        <f t="shared" si="41"/>
        <v/>
      </c>
      <c r="AA222" s="82"/>
      <c r="AB222" s="82"/>
    </row>
    <row r="223" spans="1:28" x14ac:dyDescent="0.25">
      <c r="A223" s="34">
        <f t="shared" si="42"/>
        <v>214</v>
      </c>
      <c r="B223" s="14"/>
      <c r="C223" s="14"/>
      <c r="D223" s="7"/>
      <c r="E223" s="7"/>
      <c r="F223" s="7"/>
      <c r="G223" s="10"/>
      <c r="H223" s="11"/>
      <c r="I223" s="11"/>
      <c r="J223" s="11"/>
      <c r="K223" s="11"/>
      <c r="L223" s="11"/>
      <c r="M223" s="11"/>
      <c r="N223" s="50"/>
      <c r="O223" s="53"/>
      <c r="P223" s="36"/>
      <c r="Q223" s="49" t="str">
        <f t="shared" si="43"/>
        <v/>
      </c>
      <c r="R223" s="33"/>
      <c r="S223" s="38"/>
      <c r="T223" s="38"/>
      <c r="U223" s="82"/>
      <c r="V223" s="7"/>
      <c r="W223" s="35" t="str">
        <f t="shared" si="44"/>
        <v/>
      </c>
      <c r="X223" s="35" t="str">
        <f t="shared" si="39"/>
        <v/>
      </c>
      <c r="Y223" s="35" t="str">
        <f t="shared" si="40"/>
        <v/>
      </c>
      <c r="Z223" s="35" t="str">
        <f t="shared" si="41"/>
        <v/>
      </c>
      <c r="AA223" s="82"/>
      <c r="AB223" s="82"/>
    </row>
    <row r="224" spans="1:28" x14ac:dyDescent="0.25">
      <c r="A224" s="34">
        <f t="shared" si="42"/>
        <v>215</v>
      </c>
      <c r="B224" s="14"/>
      <c r="C224" s="14"/>
      <c r="D224" s="7"/>
      <c r="E224" s="7"/>
      <c r="F224" s="7"/>
      <c r="G224" s="10"/>
      <c r="H224" s="11"/>
      <c r="I224" s="11"/>
      <c r="J224" s="11"/>
      <c r="K224" s="11"/>
      <c r="L224" s="11"/>
      <c r="M224" s="11"/>
      <c r="N224" s="50"/>
      <c r="O224" s="53"/>
      <c r="P224" s="36"/>
      <c r="Q224" s="49" t="str">
        <f t="shared" si="43"/>
        <v/>
      </c>
      <c r="R224" s="33"/>
      <c r="S224" s="38"/>
      <c r="T224" s="38"/>
      <c r="U224" s="82"/>
      <c r="V224" s="7"/>
      <c r="W224" s="35" t="str">
        <f t="shared" si="44"/>
        <v/>
      </c>
      <c r="X224" s="35" t="str">
        <f t="shared" si="39"/>
        <v/>
      </c>
      <c r="Y224" s="35" t="str">
        <f t="shared" si="40"/>
        <v/>
      </c>
      <c r="Z224" s="35" t="str">
        <f t="shared" si="41"/>
        <v/>
      </c>
      <c r="AA224" s="82"/>
      <c r="AB224" s="82"/>
    </row>
    <row r="225" spans="1:28" x14ac:dyDescent="0.25">
      <c r="A225" s="34">
        <f t="shared" si="42"/>
        <v>216</v>
      </c>
      <c r="B225" s="14"/>
      <c r="C225" s="14"/>
      <c r="D225" s="7"/>
      <c r="E225" s="7"/>
      <c r="F225" s="7"/>
      <c r="G225" s="10"/>
      <c r="H225" s="11"/>
      <c r="I225" s="11"/>
      <c r="J225" s="11"/>
      <c r="K225" s="11"/>
      <c r="L225" s="11"/>
      <c r="M225" s="11"/>
      <c r="N225" s="50"/>
      <c r="O225" s="53"/>
      <c r="P225" s="36"/>
      <c r="Q225" s="49" t="str">
        <f t="shared" si="43"/>
        <v/>
      </c>
      <c r="R225" s="33"/>
      <c r="S225" s="38"/>
      <c r="T225" s="38"/>
      <c r="U225" s="82"/>
      <c r="V225" s="7"/>
      <c r="W225" s="35" t="str">
        <f t="shared" si="44"/>
        <v/>
      </c>
      <c r="X225" s="35" t="str">
        <f t="shared" si="39"/>
        <v/>
      </c>
      <c r="Y225" s="35" t="str">
        <f t="shared" si="40"/>
        <v/>
      </c>
      <c r="Z225" s="35" t="str">
        <f t="shared" si="41"/>
        <v/>
      </c>
      <c r="AA225" s="82"/>
      <c r="AB225" s="82"/>
    </row>
    <row r="226" spans="1:28" x14ac:dyDescent="0.25">
      <c r="A226" s="34">
        <f t="shared" si="42"/>
        <v>217</v>
      </c>
      <c r="B226" s="14"/>
      <c r="C226" s="14"/>
      <c r="D226" s="7"/>
      <c r="E226" s="7"/>
      <c r="F226" s="7"/>
      <c r="G226" s="10"/>
      <c r="H226" s="11"/>
      <c r="I226" s="11"/>
      <c r="J226" s="11"/>
      <c r="K226" s="11"/>
      <c r="L226" s="11"/>
      <c r="M226" s="11"/>
      <c r="N226" s="50"/>
      <c r="O226" s="53"/>
      <c r="P226" s="36"/>
      <c r="Q226" s="49" t="str">
        <f t="shared" si="43"/>
        <v/>
      </c>
      <c r="R226" s="33"/>
      <c r="S226" s="38"/>
      <c r="T226" s="38"/>
      <c r="U226" s="82"/>
      <c r="V226" s="7"/>
      <c r="W226" s="35" t="str">
        <f t="shared" si="44"/>
        <v/>
      </c>
      <c r="X226" s="35" t="str">
        <f t="shared" si="39"/>
        <v/>
      </c>
      <c r="Y226" s="35" t="str">
        <f t="shared" si="40"/>
        <v/>
      </c>
      <c r="Z226" s="35" t="str">
        <f t="shared" si="41"/>
        <v/>
      </c>
      <c r="AA226" s="82"/>
      <c r="AB226" s="82"/>
    </row>
    <row r="227" spans="1:28" x14ac:dyDescent="0.25">
      <c r="A227" s="34">
        <f t="shared" si="42"/>
        <v>218</v>
      </c>
      <c r="B227" s="14"/>
      <c r="C227" s="14"/>
      <c r="D227" s="7"/>
      <c r="E227" s="7"/>
      <c r="F227" s="7"/>
      <c r="G227" s="10"/>
      <c r="H227" s="11"/>
      <c r="I227" s="11"/>
      <c r="J227" s="11"/>
      <c r="K227" s="11"/>
      <c r="L227" s="11"/>
      <c r="M227" s="11"/>
      <c r="N227" s="50"/>
      <c r="O227" s="53"/>
      <c r="P227" s="36"/>
      <c r="Q227" s="49" t="str">
        <f t="shared" si="43"/>
        <v/>
      </c>
      <c r="R227" s="33"/>
      <c r="S227" s="38"/>
      <c r="T227" s="38"/>
      <c r="U227" s="82"/>
      <c r="V227" s="7"/>
      <c r="W227" s="35" t="str">
        <f t="shared" si="44"/>
        <v/>
      </c>
      <c r="X227" s="35" t="str">
        <f t="shared" si="39"/>
        <v/>
      </c>
      <c r="Y227" s="35" t="str">
        <f t="shared" si="40"/>
        <v/>
      </c>
      <c r="Z227" s="35" t="str">
        <f t="shared" si="41"/>
        <v/>
      </c>
      <c r="AA227" s="82"/>
      <c r="AB227" s="82"/>
    </row>
    <row r="228" spans="1:28" x14ac:dyDescent="0.25">
      <c r="A228" s="34">
        <f t="shared" si="42"/>
        <v>219</v>
      </c>
      <c r="B228" s="14"/>
      <c r="C228" s="14"/>
      <c r="D228" s="7"/>
      <c r="E228" s="7"/>
      <c r="F228" s="7"/>
      <c r="G228" s="10"/>
      <c r="H228" s="11"/>
      <c r="I228" s="11"/>
      <c r="J228" s="11"/>
      <c r="K228" s="11"/>
      <c r="L228" s="11"/>
      <c r="M228" s="11"/>
      <c r="N228" s="50"/>
      <c r="O228" s="53"/>
      <c r="P228" s="36"/>
      <c r="Q228" s="49" t="str">
        <f t="shared" si="43"/>
        <v/>
      </c>
      <c r="R228" s="33"/>
      <c r="S228" s="38"/>
      <c r="T228" s="38"/>
      <c r="U228" s="82"/>
      <c r="V228" s="7"/>
      <c r="W228" s="35" t="str">
        <f t="shared" si="44"/>
        <v/>
      </c>
      <c r="X228" s="35" t="str">
        <f t="shared" si="39"/>
        <v/>
      </c>
      <c r="Y228" s="35" t="str">
        <f t="shared" si="40"/>
        <v/>
      </c>
      <c r="Z228" s="35" t="str">
        <f t="shared" si="41"/>
        <v/>
      </c>
      <c r="AA228" s="82"/>
      <c r="AB228" s="82"/>
    </row>
    <row r="229" spans="1:28" x14ac:dyDescent="0.25">
      <c r="A229" s="34">
        <f t="shared" si="42"/>
        <v>220</v>
      </c>
      <c r="B229" s="14"/>
      <c r="C229" s="14"/>
      <c r="D229" s="7"/>
      <c r="E229" s="7"/>
      <c r="F229" s="7"/>
      <c r="G229" s="10"/>
      <c r="H229" s="11"/>
      <c r="I229" s="11"/>
      <c r="J229" s="11"/>
      <c r="K229" s="11"/>
      <c r="L229" s="11"/>
      <c r="M229" s="11"/>
      <c r="N229" s="50"/>
      <c r="O229" s="53"/>
      <c r="P229" s="36"/>
      <c r="Q229" s="49" t="str">
        <f t="shared" si="43"/>
        <v/>
      </c>
      <c r="R229" s="33"/>
      <c r="S229" s="38"/>
      <c r="T229" s="38"/>
      <c r="U229" s="82"/>
      <c r="V229" s="7"/>
      <c r="W229" s="35" t="str">
        <f t="shared" si="44"/>
        <v/>
      </c>
      <c r="X229" s="35" t="str">
        <f t="shared" si="39"/>
        <v/>
      </c>
      <c r="Y229" s="35" t="str">
        <f t="shared" si="40"/>
        <v/>
      </c>
      <c r="Z229" s="35" t="str">
        <f t="shared" si="41"/>
        <v/>
      </c>
      <c r="AA229" s="82"/>
      <c r="AB229" s="82"/>
    </row>
    <row r="230" spans="1:28" x14ac:dyDescent="0.25">
      <c r="A230" s="34">
        <f t="shared" si="42"/>
        <v>221</v>
      </c>
      <c r="B230" s="14"/>
      <c r="C230" s="14"/>
      <c r="D230" s="7"/>
      <c r="E230" s="7"/>
      <c r="F230" s="7"/>
      <c r="G230" s="10"/>
      <c r="H230" s="11"/>
      <c r="I230" s="11"/>
      <c r="J230" s="11"/>
      <c r="K230" s="11"/>
      <c r="L230" s="11"/>
      <c r="M230" s="11"/>
      <c r="N230" s="50"/>
      <c r="O230" s="53"/>
      <c r="P230" s="36"/>
      <c r="Q230" s="49" t="str">
        <f t="shared" si="43"/>
        <v/>
      </c>
      <c r="R230" s="33"/>
      <c r="S230" s="38"/>
      <c r="T230" s="38"/>
      <c r="U230" s="82"/>
      <c r="V230" s="7"/>
      <c r="W230" s="35" t="str">
        <f t="shared" si="44"/>
        <v/>
      </c>
      <c r="X230" s="35" t="str">
        <f t="shared" si="39"/>
        <v/>
      </c>
      <c r="Y230" s="35" t="str">
        <f t="shared" si="40"/>
        <v/>
      </c>
      <c r="Z230" s="35" t="str">
        <f t="shared" si="41"/>
        <v/>
      </c>
      <c r="AA230" s="82"/>
      <c r="AB230" s="82"/>
    </row>
    <row r="231" spans="1:28" x14ac:dyDescent="0.25">
      <c r="A231" s="34">
        <f t="shared" si="42"/>
        <v>222</v>
      </c>
      <c r="B231" s="14"/>
      <c r="C231" s="14"/>
      <c r="D231" s="7"/>
      <c r="E231" s="7"/>
      <c r="F231" s="7"/>
      <c r="G231" s="10"/>
      <c r="H231" s="11"/>
      <c r="I231" s="11"/>
      <c r="J231" s="11"/>
      <c r="K231" s="11"/>
      <c r="L231" s="11"/>
      <c r="M231" s="11"/>
      <c r="N231" s="50"/>
      <c r="O231" s="53"/>
      <c r="P231" s="36"/>
      <c r="Q231" s="49" t="str">
        <f t="shared" si="43"/>
        <v/>
      </c>
      <c r="R231" s="33"/>
      <c r="S231" s="38"/>
      <c r="T231" s="38"/>
      <c r="U231" s="82"/>
      <c r="V231" s="7"/>
      <c r="W231" s="35" t="str">
        <f t="shared" si="44"/>
        <v/>
      </c>
      <c r="X231" s="35" t="str">
        <f t="shared" si="39"/>
        <v/>
      </c>
      <c r="Y231" s="35" t="str">
        <f t="shared" si="40"/>
        <v/>
      </c>
      <c r="Z231" s="35" t="str">
        <f t="shared" si="41"/>
        <v/>
      </c>
      <c r="AA231" s="82"/>
      <c r="AB231" s="82"/>
    </row>
    <row r="232" spans="1:28" x14ac:dyDescent="0.25">
      <c r="A232" s="34">
        <f t="shared" si="42"/>
        <v>223</v>
      </c>
      <c r="B232" s="14"/>
      <c r="C232" s="14"/>
      <c r="D232" s="7"/>
      <c r="E232" s="7"/>
      <c r="F232" s="7"/>
      <c r="G232" s="10"/>
      <c r="H232" s="11"/>
      <c r="I232" s="11"/>
      <c r="J232" s="11"/>
      <c r="K232" s="11"/>
      <c r="L232" s="11"/>
      <c r="M232" s="11"/>
      <c r="N232" s="50"/>
      <c r="O232" s="53"/>
      <c r="P232" s="36"/>
      <c r="Q232" s="49" t="str">
        <f t="shared" si="43"/>
        <v/>
      </c>
      <c r="R232" s="33"/>
      <c r="S232" s="38"/>
      <c r="T232" s="38"/>
      <c r="U232" s="82"/>
      <c r="V232" s="7"/>
      <c r="W232" s="35" t="str">
        <f t="shared" si="44"/>
        <v/>
      </c>
      <c r="X232" s="35" t="str">
        <f t="shared" si="39"/>
        <v/>
      </c>
      <c r="Y232" s="35" t="str">
        <f t="shared" si="40"/>
        <v/>
      </c>
      <c r="Z232" s="35" t="str">
        <f t="shared" si="41"/>
        <v/>
      </c>
      <c r="AA232" s="82"/>
      <c r="AB232" s="82"/>
    </row>
    <row r="233" spans="1:28" x14ac:dyDescent="0.25">
      <c r="A233" s="34">
        <f t="shared" si="42"/>
        <v>224</v>
      </c>
      <c r="B233" s="14"/>
      <c r="C233" s="14"/>
      <c r="D233" s="7"/>
      <c r="E233" s="7"/>
      <c r="F233" s="7"/>
      <c r="G233" s="10"/>
      <c r="H233" s="11"/>
      <c r="I233" s="11"/>
      <c r="J233" s="11"/>
      <c r="K233" s="11"/>
      <c r="L233" s="11"/>
      <c r="M233" s="11"/>
      <c r="N233" s="50"/>
      <c r="O233" s="53"/>
      <c r="P233" s="36"/>
      <c r="Q233" s="49" t="str">
        <f t="shared" si="43"/>
        <v/>
      </c>
      <c r="R233" s="33"/>
      <c r="S233" s="38"/>
      <c r="T233" s="38"/>
      <c r="U233" s="82"/>
      <c r="V233" s="7"/>
      <c r="W233" s="35" t="str">
        <f t="shared" si="44"/>
        <v/>
      </c>
      <c r="X233" s="35" t="str">
        <f t="shared" si="39"/>
        <v/>
      </c>
      <c r="Y233" s="35" t="str">
        <f t="shared" si="40"/>
        <v/>
      </c>
      <c r="Z233" s="35" t="str">
        <f t="shared" si="41"/>
        <v/>
      </c>
      <c r="AA233" s="82"/>
      <c r="AB233" s="82"/>
    </row>
    <row r="234" spans="1:28" x14ac:dyDescent="0.25">
      <c r="A234" s="34">
        <f t="shared" si="42"/>
        <v>225</v>
      </c>
      <c r="B234" s="14"/>
      <c r="C234" s="14"/>
      <c r="D234" s="7"/>
      <c r="E234" s="7"/>
      <c r="F234" s="7"/>
      <c r="G234" s="10"/>
      <c r="H234" s="11"/>
      <c r="I234" s="11"/>
      <c r="J234" s="11"/>
      <c r="K234" s="11"/>
      <c r="L234" s="11"/>
      <c r="M234" s="11"/>
      <c r="N234" s="50"/>
      <c r="O234" s="53"/>
      <c r="P234" s="36"/>
      <c r="Q234" s="49" t="str">
        <f t="shared" si="43"/>
        <v/>
      </c>
      <c r="R234" s="33"/>
      <c r="S234" s="38"/>
      <c r="T234" s="38"/>
      <c r="U234" s="82"/>
      <c r="V234" s="7"/>
      <c r="W234" s="35" t="str">
        <f t="shared" si="44"/>
        <v/>
      </c>
      <c r="X234" s="35" t="str">
        <f t="shared" si="39"/>
        <v/>
      </c>
      <c r="Y234" s="35" t="str">
        <f t="shared" si="40"/>
        <v/>
      </c>
      <c r="Z234" s="35" t="str">
        <f t="shared" si="41"/>
        <v/>
      </c>
      <c r="AA234" s="82"/>
      <c r="AB234" s="82"/>
    </row>
    <row r="235" spans="1:28" x14ac:dyDescent="0.25">
      <c r="A235" s="34">
        <f t="shared" si="42"/>
        <v>226</v>
      </c>
      <c r="B235" s="14"/>
      <c r="C235" s="14"/>
      <c r="D235" s="7"/>
      <c r="E235" s="7"/>
      <c r="F235" s="7"/>
      <c r="G235" s="10"/>
      <c r="H235" s="11"/>
      <c r="I235" s="11"/>
      <c r="J235" s="11"/>
      <c r="K235" s="11"/>
      <c r="L235" s="11"/>
      <c r="M235" s="11"/>
      <c r="N235" s="50"/>
      <c r="O235" s="53"/>
      <c r="P235" s="36"/>
      <c r="Q235" s="49" t="str">
        <f t="shared" si="43"/>
        <v/>
      </c>
      <c r="R235" s="33"/>
      <c r="S235" s="38"/>
      <c r="T235" s="38"/>
      <c r="U235" s="82"/>
      <c r="V235" s="7"/>
      <c r="W235" s="35" t="str">
        <f t="shared" si="44"/>
        <v/>
      </c>
      <c r="X235" s="35" t="str">
        <f t="shared" si="39"/>
        <v/>
      </c>
      <c r="Y235" s="35" t="str">
        <f t="shared" si="40"/>
        <v/>
      </c>
      <c r="Z235" s="35" t="str">
        <f t="shared" si="41"/>
        <v/>
      </c>
      <c r="AA235" s="82"/>
      <c r="AB235" s="82"/>
    </row>
    <row r="236" spans="1:28" x14ac:dyDescent="0.25">
      <c r="A236" s="34">
        <f t="shared" si="42"/>
        <v>227</v>
      </c>
      <c r="B236" s="14"/>
      <c r="C236" s="14"/>
      <c r="D236" s="7"/>
      <c r="E236" s="7"/>
      <c r="F236" s="7"/>
      <c r="G236" s="10"/>
      <c r="H236" s="11"/>
      <c r="I236" s="11"/>
      <c r="J236" s="11"/>
      <c r="K236" s="11"/>
      <c r="L236" s="11"/>
      <c r="M236" s="11"/>
      <c r="N236" s="50"/>
      <c r="O236" s="53"/>
      <c r="P236" s="36"/>
      <c r="Q236" s="49" t="str">
        <f t="shared" si="43"/>
        <v/>
      </c>
      <c r="R236" s="33"/>
      <c r="S236" s="38"/>
      <c r="T236" s="38"/>
      <c r="U236" s="82"/>
      <c r="V236" s="7"/>
      <c r="W236" s="35" t="str">
        <f t="shared" si="44"/>
        <v/>
      </c>
      <c r="X236" s="35" t="str">
        <f t="shared" si="39"/>
        <v/>
      </c>
      <c r="Y236" s="35" t="str">
        <f t="shared" si="40"/>
        <v/>
      </c>
      <c r="Z236" s="35" t="str">
        <f t="shared" si="41"/>
        <v/>
      </c>
      <c r="AA236" s="82"/>
      <c r="AB236" s="82"/>
    </row>
    <row r="237" spans="1:28" x14ac:dyDescent="0.25">
      <c r="A237" s="34">
        <f t="shared" si="42"/>
        <v>228</v>
      </c>
      <c r="B237" s="14"/>
      <c r="C237" s="14"/>
      <c r="D237" s="7"/>
      <c r="E237" s="7"/>
      <c r="F237" s="7"/>
      <c r="G237" s="10"/>
      <c r="H237" s="11"/>
      <c r="I237" s="11"/>
      <c r="J237" s="11"/>
      <c r="K237" s="11"/>
      <c r="L237" s="11"/>
      <c r="M237" s="11"/>
      <c r="N237" s="50"/>
      <c r="O237" s="53"/>
      <c r="P237" s="36"/>
      <c r="Q237" s="49" t="str">
        <f t="shared" si="43"/>
        <v/>
      </c>
      <c r="R237" s="33"/>
      <c r="S237" s="38"/>
      <c r="T237" s="38"/>
      <c r="U237" s="82"/>
      <c r="V237" s="7"/>
      <c r="W237" s="35" t="str">
        <f t="shared" si="44"/>
        <v/>
      </c>
      <c r="X237" s="35" t="str">
        <f t="shared" si="39"/>
        <v/>
      </c>
      <c r="Y237" s="35" t="str">
        <f t="shared" si="40"/>
        <v/>
      </c>
      <c r="Z237" s="35" t="str">
        <f t="shared" si="41"/>
        <v/>
      </c>
      <c r="AA237" s="82"/>
      <c r="AB237" s="82"/>
    </row>
    <row r="238" spans="1:28" x14ac:dyDescent="0.25">
      <c r="A238" s="34">
        <f t="shared" si="42"/>
        <v>229</v>
      </c>
      <c r="B238" s="14"/>
      <c r="C238" s="14"/>
      <c r="D238" s="7"/>
      <c r="E238" s="7"/>
      <c r="F238" s="7"/>
      <c r="G238" s="10"/>
      <c r="H238" s="11"/>
      <c r="I238" s="11"/>
      <c r="J238" s="11"/>
      <c r="K238" s="11"/>
      <c r="L238" s="11"/>
      <c r="M238" s="11"/>
      <c r="N238" s="50"/>
      <c r="O238" s="53"/>
      <c r="P238" s="36"/>
      <c r="Q238" s="49" t="str">
        <f t="shared" si="43"/>
        <v/>
      </c>
      <c r="R238" s="33"/>
      <c r="S238" s="38"/>
      <c r="T238" s="38"/>
      <c r="U238" s="82"/>
      <c r="V238" s="7"/>
      <c r="W238" s="35" t="str">
        <f t="shared" si="44"/>
        <v/>
      </c>
      <c r="X238" s="35" t="str">
        <f t="shared" si="39"/>
        <v/>
      </c>
      <c r="Y238" s="35" t="str">
        <f t="shared" si="40"/>
        <v/>
      </c>
      <c r="Z238" s="35" t="str">
        <f t="shared" si="41"/>
        <v/>
      </c>
      <c r="AA238" s="82"/>
      <c r="AB238" s="82"/>
    </row>
    <row r="239" spans="1:28" x14ac:dyDescent="0.25">
      <c r="A239" s="34">
        <f t="shared" si="42"/>
        <v>230</v>
      </c>
      <c r="B239" s="14"/>
      <c r="C239" s="14"/>
      <c r="D239" s="7"/>
      <c r="E239" s="7"/>
      <c r="F239" s="7"/>
      <c r="G239" s="10"/>
      <c r="H239" s="11"/>
      <c r="I239" s="11"/>
      <c r="J239" s="11"/>
      <c r="K239" s="11"/>
      <c r="L239" s="11"/>
      <c r="M239" s="11"/>
      <c r="N239" s="50"/>
      <c r="O239" s="53"/>
      <c r="P239" s="36"/>
      <c r="Q239" s="49" t="str">
        <f t="shared" si="43"/>
        <v/>
      </c>
      <c r="R239" s="33"/>
      <c r="S239" s="38"/>
      <c r="T239" s="38"/>
      <c r="U239" s="82"/>
      <c r="V239" s="7"/>
      <c r="W239" s="35" t="str">
        <f t="shared" si="44"/>
        <v/>
      </c>
      <c r="X239" s="35" t="str">
        <f t="shared" si="39"/>
        <v/>
      </c>
      <c r="Y239" s="35" t="str">
        <f t="shared" si="40"/>
        <v/>
      </c>
      <c r="Z239" s="35" t="str">
        <f t="shared" si="41"/>
        <v/>
      </c>
      <c r="AA239" s="82"/>
      <c r="AB239" s="82"/>
    </row>
    <row r="240" spans="1:28" x14ac:dyDescent="0.25">
      <c r="A240" s="34">
        <f t="shared" si="42"/>
        <v>231</v>
      </c>
      <c r="B240" s="14"/>
      <c r="C240" s="14"/>
      <c r="D240" s="7"/>
      <c r="E240" s="7"/>
      <c r="F240" s="7"/>
      <c r="G240" s="10"/>
      <c r="H240" s="11"/>
      <c r="I240" s="11"/>
      <c r="J240" s="11"/>
      <c r="K240" s="11"/>
      <c r="L240" s="11"/>
      <c r="M240" s="11"/>
      <c r="N240" s="50"/>
      <c r="O240" s="53"/>
      <c r="P240" s="36"/>
      <c r="Q240" s="49" t="str">
        <f t="shared" si="43"/>
        <v/>
      </c>
      <c r="R240" s="33"/>
      <c r="S240" s="38"/>
      <c r="T240" s="38"/>
      <c r="U240" s="82"/>
      <c r="V240" s="7"/>
      <c r="W240" s="35" t="str">
        <f t="shared" si="44"/>
        <v/>
      </c>
      <c r="X240" s="35" t="str">
        <f t="shared" si="39"/>
        <v/>
      </c>
      <c r="Y240" s="35" t="str">
        <f t="shared" si="40"/>
        <v/>
      </c>
      <c r="Z240" s="35" t="str">
        <f t="shared" si="41"/>
        <v/>
      </c>
      <c r="AA240" s="82"/>
      <c r="AB240" s="82"/>
    </row>
    <row r="241" spans="1:28" x14ac:dyDescent="0.25">
      <c r="A241" s="34">
        <f t="shared" si="42"/>
        <v>232</v>
      </c>
      <c r="B241" s="14"/>
      <c r="C241" s="14"/>
      <c r="D241" s="7"/>
      <c r="E241" s="7"/>
      <c r="F241" s="7"/>
      <c r="G241" s="10"/>
      <c r="H241" s="11"/>
      <c r="I241" s="11"/>
      <c r="J241" s="11"/>
      <c r="K241" s="11"/>
      <c r="L241" s="11"/>
      <c r="M241" s="11"/>
      <c r="N241" s="50"/>
      <c r="O241" s="53"/>
      <c r="P241" s="36"/>
      <c r="Q241" s="49" t="str">
        <f t="shared" si="43"/>
        <v/>
      </c>
      <c r="R241" s="33"/>
      <c r="S241" s="38"/>
      <c r="T241" s="38"/>
      <c r="U241" s="82"/>
      <c r="V241" s="7"/>
      <c r="W241" s="35" t="str">
        <f t="shared" si="44"/>
        <v/>
      </c>
      <c r="X241" s="35" t="str">
        <f t="shared" si="39"/>
        <v/>
      </c>
      <c r="Y241" s="35" t="str">
        <f t="shared" si="40"/>
        <v/>
      </c>
      <c r="Z241" s="35" t="str">
        <f t="shared" si="41"/>
        <v/>
      </c>
      <c r="AA241" s="82"/>
      <c r="AB241" s="82"/>
    </row>
    <row r="242" spans="1:28" x14ac:dyDescent="0.25">
      <c r="A242" s="34">
        <f t="shared" si="42"/>
        <v>233</v>
      </c>
      <c r="B242" s="14"/>
      <c r="C242" s="14"/>
      <c r="D242" s="7"/>
      <c r="E242" s="7"/>
      <c r="F242" s="7"/>
      <c r="G242" s="10"/>
      <c r="H242" s="11"/>
      <c r="I242" s="11"/>
      <c r="J242" s="11"/>
      <c r="K242" s="11"/>
      <c r="L242" s="11"/>
      <c r="M242" s="11"/>
      <c r="N242" s="50"/>
      <c r="O242" s="53"/>
      <c r="P242" s="36"/>
      <c r="Q242" s="49" t="str">
        <f t="shared" si="43"/>
        <v/>
      </c>
      <c r="R242" s="33"/>
      <c r="S242" s="38"/>
      <c r="T242" s="38"/>
      <c r="U242" s="82"/>
      <c r="V242" s="7"/>
      <c r="W242" s="35" t="str">
        <f t="shared" si="44"/>
        <v/>
      </c>
      <c r="X242" s="35" t="str">
        <f t="shared" si="39"/>
        <v/>
      </c>
      <c r="Y242" s="35" t="str">
        <f t="shared" si="40"/>
        <v/>
      </c>
      <c r="Z242" s="35" t="str">
        <f t="shared" si="41"/>
        <v/>
      </c>
      <c r="AA242" s="82"/>
      <c r="AB242" s="82"/>
    </row>
    <row r="243" spans="1:28" x14ac:dyDescent="0.25">
      <c r="A243" s="34">
        <f t="shared" si="42"/>
        <v>234</v>
      </c>
      <c r="B243" s="14"/>
      <c r="C243" s="14"/>
      <c r="D243" s="7"/>
      <c r="E243" s="7"/>
      <c r="F243" s="7"/>
      <c r="G243" s="10"/>
      <c r="H243" s="11"/>
      <c r="I243" s="11"/>
      <c r="J243" s="11"/>
      <c r="K243" s="11"/>
      <c r="L243" s="11"/>
      <c r="M243" s="11"/>
      <c r="N243" s="50"/>
      <c r="O243" s="53"/>
      <c r="P243" s="36"/>
      <c r="Q243" s="49" t="str">
        <f t="shared" si="43"/>
        <v/>
      </c>
      <c r="R243" s="33"/>
      <c r="S243" s="38"/>
      <c r="T243" s="38"/>
      <c r="U243" s="82"/>
      <c r="V243" s="7"/>
      <c r="W243" s="35" t="str">
        <f t="shared" si="44"/>
        <v/>
      </c>
      <c r="X243" s="35" t="str">
        <f t="shared" si="39"/>
        <v/>
      </c>
      <c r="Y243" s="35" t="str">
        <f t="shared" si="40"/>
        <v/>
      </c>
      <c r="Z243" s="35" t="str">
        <f t="shared" si="41"/>
        <v/>
      </c>
      <c r="AA243" s="82"/>
      <c r="AB243" s="82"/>
    </row>
    <row r="244" spans="1:28" x14ac:dyDescent="0.25">
      <c r="A244" s="34">
        <f t="shared" si="42"/>
        <v>235</v>
      </c>
      <c r="B244" s="14"/>
      <c r="C244" s="14"/>
      <c r="D244" s="7"/>
      <c r="E244" s="7"/>
      <c r="F244" s="7"/>
      <c r="G244" s="10"/>
      <c r="H244" s="11"/>
      <c r="I244" s="11"/>
      <c r="J244" s="11"/>
      <c r="K244" s="11"/>
      <c r="L244" s="11"/>
      <c r="M244" s="11"/>
      <c r="N244" s="50"/>
      <c r="O244" s="53"/>
      <c r="P244" s="36"/>
      <c r="Q244" s="49" t="str">
        <f t="shared" si="43"/>
        <v/>
      </c>
      <c r="R244" s="33"/>
      <c r="S244" s="38"/>
      <c r="T244" s="38"/>
      <c r="U244" s="82"/>
      <c r="V244" s="7"/>
      <c r="W244" s="35" t="str">
        <f t="shared" si="44"/>
        <v/>
      </c>
      <c r="X244" s="35" t="str">
        <f t="shared" si="39"/>
        <v/>
      </c>
      <c r="Y244" s="35" t="str">
        <f t="shared" si="40"/>
        <v/>
      </c>
      <c r="Z244" s="35" t="str">
        <f t="shared" si="41"/>
        <v/>
      </c>
      <c r="AA244" s="82"/>
      <c r="AB244" s="82"/>
    </row>
    <row r="245" spans="1:28" x14ac:dyDescent="0.25">
      <c r="A245" s="34">
        <f t="shared" si="42"/>
        <v>236</v>
      </c>
      <c r="B245" s="14"/>
      <c r="C245" s="14"/>
      <c r="D245" s="7"/>
      <c r="E245" s="7"/>
      <c r="F245" s="7"/>
      <c r="G245" s="10"/>
      <c r="H245" s="11"/>
      <c r="I245" s="11"/>
      <c r="J245" s="11"/>
      <c r="K245" s="11"/>
      <c r="L245" s="11"/>
      <c r="M245" s="11"/>
      <c r="N245" s="50"/>
      <c r="O245" s="53"/>
      <c r="P245" s="36"/>
      <c r="Q245" s="49" t="str">
        <f t="shared" si="43"/>
        <v/>
      </c>
      <c r="R245" s="33"/>
      <c r="S245" s="38"/>
      <c r="T245" s="38"/>
      <c r="U245" s="82"/>
      <c r="V245" s="7"/>
      <c r="W245" s="35" t="str">
        <f t="shared" si="44"/>
        <v/>
      </c>
      <c r="X245" s="35" t="str">
        <f t="shared" si="39"/>
        <v/>
      </c>
      <c r="Y245" s="35" t="str">
        <f t="shared" si="40"/>
        <v/>
      </c>
      <c r="Z245" s="35" t="str">
        <f t="shared" si="41"/>
        <v/>
      </c>
      <c r="AA245" s="82"/>
      <c r="AB245" s="82"/>
    </row>
    <row r="246" spans="1:28" x14ac:dyDescent="0.25">
      <c r="A246" s="34">
        <f t="shared" si="42"/>
        <v>237</v>
      </c>
      <c r="B246" s="14"/>
      <c r="C246" s="14"/>
      <c r="D246" s="7"/>
      <c r="E246" s="7"/>
      <c r="F246" s="7"/>
      <c r="G246" s="10"/>
      <c r="H246" s="11"/>
      <c r="I246" s="11"/>
      <c r="J246" s="11"/>
      <c r="K246" s="11"/>
      <c r="L246" s="11"/>
      <c r="M246" s="11"/>
      <c r="N246" s="50"/>
      <c r="O246" s="53"/>
      <c r="P246" s="36"/>
      <c r="Q246" s="49" t="str">
        <f t="shared" si="43"/>
        <v/>
      </c>
      <c r="R246" s="33"/>
      <c r="S246" s="38"/>
      <c r="T246" s="38"/>
      <c r="U246" s="82"/>
      <c r="V246" s="7"/>
      <c r="W246" s="35" t="str">
        <f t="shared" si="44"/>
        <v/>
      </c>
      <c r="X246" s="35" t="str">
        <f t="shared" si="39"/>
        <v/>
      </c>
      <c r="Y246" s="35" t="str">
        <f t="shared" si="40"/>
        <v/>
      </c>
      <c r="Z246" s="35" t="str">
        <f t="shared" si="41"/>
        <v/>
      </c>
      <c r="AA246" s="82"/>
      <c r="AB246" s="82"/>
    </row>
    <row r="247" spans="1:28" x14ac:dyDescent="0.25">
      <c r="A247" s="34">
        <f t="shared" si="42"/>
        <v>238</v>
      </c>
      <c r="B247" s="14"/>
      <c r="C247" s="14"/>
      <c r="D247" s="7"/>
      <c r="E247" s="7"/>
      <c r="F247" s="7"/>
      <c r="G247" s="10"/>
      <c r="H247" s="11"/>
      <c r="I247" s="11"/>
      <c r="J247" s="11"/>
      <c r="K247" s="11"/>
      <c r="L247" s="11"/>
      <c r="M247" s="11"/>
      <c r="N247" s="50"/>
      <c r="O247" s="53"/>
      <c r="P247" s="36"/>
      <c r="Q247" s="49" t="str">
        <f t="shared" si="43"/>
        <v/>
      </c>
      <c r="R247" s="33"/>
      <c r="S247" s="38"/>
      <c r="T247" s="38"/>
      <c r="U247" s="82"/>
      <c r="V247" s="7"/>
      <c r="W247" s="35" t="str">
        <f t="shared" si="44"/>
        <v/>
      </c>
      <c r="X247" s="35" t="str">
        <f t="shared" si="39"/>
        <v/>
      </c>
      <c r="Y247" s="35" t="str">
        <f t="shared" si="40"/>
        <v/>
      </c>
      <c r="Z247" s="35" t="str">
        <f t="shared" si="41"/>
        <v/>
      </c>
      <c r="AA247" s="82"/>
      <c r="AB247" s="82"/>
    </row>
    <row r="248" spans="1:28" x14ac:dyDescent="0.25">
      <c r="A248" s="34">
        <f t="shared" si="42"/>
        <v>239</v>
      </c>
      <c r="B248" s="14"/>
      <c r="C248" s="14"/>
      <c r="D248" s="7"/>
      <c r="E248" s="7"/>
      <c r="F248" s="7"/>
      <c r="G248" s="10"/>
      <c r="H248" s="11"/>
      <c r="I248" s="11"/>
      <c r="J248" s="11"/>
      <c r="K248" s="11"/>
      <c r="L248" s="11"/>
      <c r="M248" s="11"/>
      <c r="N248" s="50"/>
      <c r="O248" s="53"/>
      <c r="P248" s="36"/>
      <c r="Q248" s="49" t="str">
        <f t="shared" si="43"/>
        <v/>
      </c>
      <c r="R248" s="33"/>
      <c r="S248" s="38"/>
      <c r="T248" s="38"/>
      <c r="U248" s="82"/>
      <c r="V248" s="7"/>
      <c r="W248" s="35" t="str">
        <f t="shared" si="44"/>
        <v/>
      </c>
      <c r="X248" s="35" t="str">
        <f t="shared" si="39"/>
        <v/>
      </c>
      <c r="Y248" s="35" t="str">
        <f t="shared" si="40"/>
        <v/>
      </c>
      <c r="Z248" s="35" t="str">
        <f t="shared" si="41"/>
        <v/>
      </c>
      <c r="AA248" s="82"/>
      <c r="AB248" s="82"/>
    </row>
    <row r="249" spans="1:28" x14ac:dyDescent="0.25">
      <c r="A249" s="34">
        <f t="shared" si="42"/>
        <v>240</v>
      </c>
      <c r="B249" s="14"/>
      <c r="C249" s="14"/>
      <c r="D249" s="7"/>
      <c r="E249" s="7"/>
      <c r="F249" s="7"/>
      <c r="G249" s="10"/>
      <c r="H249" s="11"/>
      <c r="I249" s="11"/>
      <c r="J249" s="11"/>
      <c r="K249" s="11"/>
      <c r="L249" s="11"/>
      <c r="M249" s="11"/>
      <c r="N249" s="50"/>
      <c r="O249" s="53"/>
      <c r="P249" s="36"/>
      <c r="Q249" s="49" t="str">
        <f t="shared" si="43"/>
        <v/>
      </c>
      <c r="R249" s="33"/>
      <c r="S249" s="38"/>
      <c r="T249" s="38"/>
      <c r="U249" s="82"/>
      <c r="V249" s="7"/>
      <c r="W249" s="35" t="str">
        <f t="shared" si="44"/>
        <v/>
      </c>
      <c r="X249" s="35" t="str">
        <f t="shared" si="39"/>
        <v/>
      </c>
      <c r="Y249" s="35" t="str">
        <f t="shared" si="40"/>
        <v/>
      </c>
      <c r="Z249" s="35" t="str">
        <f t="shared" si="41"/>
        <v/>
      </c>
      <c r="AA249" s="82"/>
      <c r="AB249" s="82"/>
    </row>
    <row r="250" spans="1:28" x14ac:dyDescent="0.25">
      <c r="A250" s="34">
        <f t="shared" si="42"/>
        <v>241</v>
      </c>
      <c r="B250" s="14"/>
      <c r="C250" s="14"/>
      <c r="D250" s="7"/>
      <c r="E250" s="7"/>
      <c r="F250" s="7"/>
      <c r="G250" s="10"/>
      <c r="H250" s="11"/>
      <c r="I250" s="11"/>
      <c r="J250" s="11"/>
      <c r="K250" s="11"/>
      <c r="L250" s="11"/>
      <c r="M250" s="11"/>
      <c r="N250" s="50"/>
      <c r="O250" s="53"/>
      <c r="P250" s="36"/>
      <c r="Q250" s="49" t="str">
        <f t="shared" si="43"/>
        <v/>
      </c>
      <c r="R250" s="33"/>
      <c r="S250" s="38"/>
      <c r="T250" s="38"/>
      <c r="U250" s="82"/>
      <c r="V250" s="7"/>
      <c r="W250" s="35" t="str">
        <f t="shared" ref="W250:W281" si="45">IF(D250&lt;&gt;"",1,"")</f>
        <v/>
      </c>
      <c r="X250" s="35" t="str">
        <f t="shared" si="39"/>
        <v/>
      </c>
      <c r="Y250" s="35" t="str">
        <f t="shared" si="40"/>
        <v/>
      </c>
      <c r="Z250" s="35" t="str">
        <f t="shared" si="41"/>
        <v/>
      </c>
      <c r="AA250" s="82"/>
      <c r="AB250" s="82"/>
    </row>
    <row r="251" spans="1:28" x14ac:dyDescent="0.25">
      <c r="A251" s="34">
        <f t="shared" si="42"/>
        <v>242</v>
      </c>
      <c r="B251" s="14"/>
      <c r="C251" s="14"/>
      <c r="D251" s="7"/>
      <c r="E251" s="7"/>
      <c r="F251" s="7"/>
      <c r="G251" s="10"/>
      <c r="H251" s="11"/>
      <c r="I251" s="11"/>
      <c r="J251" s="11"/>
      <c r="K251" s="11"/>
      <c r="L251" s="11"/>
      <c r="M251" s="11"/>
      <c r="N251" s="50"/>
      <c r="O251" s="53"/>
      <c r="P251" s="36"/>
      <c r="Q251" s="49" t="str">
        <f t="shared" si="43"/>
        <v/>
      </c>
      <c r="R251" s="33"/>
      <c r="S251" s="38"/>
      <c r="T251" s="38"/>
      <c r="U251" s="82"/>
      <c r="V251" s="7"/>
      <c r="W251" s="35" t="str">
        <f t="shared" si="45"/>
        <v/>
      </c>
      <c r="X251" s="35" t="str">
        <f t="shared" si="39"/>
        <v/>
      </c>
      <c r="Y251" s="35" t="str">
        <f t="shared" si="40"/>
        <v/>
      </c>
      <c r="Z251" s="35" t="str">
        <f t="shared" si="41"/>
        <v/>
      </c>
      <c r="AA251" s="82"/>
      <c r="AB251" s="82"/>
    </row>
    <row r="252" spans="1:28" x14ac:dyDescent="0.25">
      <c r="A252" s="34">
        <f t="shared" si="42"/>
        <v>243</v>
      </c>
      <c r="B252" s="14"/>
      <c r="C252" s="14"/>
      <c r="D252" s="7"/>
      <c r="E252" s="7"/>
      <c r="F252" s="7"/>
      <c r="G252" s="10"/>
      <c r="H252" s="11"/>
      <c r="I252" s="11"/>
      <c r="J252" s="11"/>
      <c r="K252" s="11"/>
      <c r="L252" s="11"/>
      <c r="M252" s="11"/>
      <c r="N252" s="50"/>
      <c r="O252" s="53"/>
      <c r="P252" s="36"/>
      <c r="Q252" s="49" t="str">
        <f t="shared" si="43"/>
        <v/>
      </c>
      <c r="R252" s="33"/>
      <c r="S252" s="38"/>
      <c r="T252" s="38"/>
      <c r="U252" s="82"/>
      <c r="V252" s="7"/>
      <c r="W252" s="35" t="str">
        <f t="shared" si="45"/>
        <v/>
      </c>
      <c r="X252" s="35" t="str">
        <f t="shared" si="39"/>
        <v/>
      </c>
      <c r="Y252" s="35" t="str">
        <f t="shared" si="40"/>
        <v/>
      </c>
      <c r="Z252" s="35" t="str">
        <f t="shared" si="41"/>
        <v/>
      </c>
      <c r="AA252" s="82"/>
      <c r="AB252" s="82"/>
    </row>
    <row r="253" spans="1:28" x14ac:dyDescent="0.25">
      <c r="A253" s="34">
        <f t="shared" si="42"/>
        <v>244</v>
      </c>
      <c r="B253" s="14"/>
      <c r="C253" s="14"/>
      <c r="D253" s="7"/>
      <c r="E253" s="7"/>
      <c r="F253" s="7"/>
      <c r="G253" s="10"/>
      <c r="H253" s="11"/>
      <c r="I253" s="11"/>
      <c r="J253" s="11"/>
      <c r="K253" s="11"/>
      <c r="L253" s="11"/>
      <c r="M253" s="11"/>
      <c r="N253" s="50"/>
      <c r="O253" s="53"/>
      <c r="P253" s="36"/>
      <c r="Q253" s="49" t="str">
        <f t="shared" si="43"/>
        <v/>
      </c>
      <c r="R253" s="33"/>
      <c r="S253" s="38"/>
      <c r="T253" s="38"/>
      <c r="U253" s="82"/>
      <c r="V253" s="7"/>
      <c r="W253" s="35" t="str">
        <f t="shared" si="45"/>
        <v/>
      </c>
      <c r="X253" s="35" t="str">
        <f t="shared" si="39"/>
        <v/>
      </c>
      <c r="Y253" s="35" t="str">
        <f t="shared" si="40"/>
        <v/>
      </c>
      <c r="Z253" s="35" t="str">
        <f t="shared" si="41"/>
        <v/>
      </c>
      <c r="AA253" s="82"/>
      <c r="AB253" s="82"/>
    </row>
    <row r="254" spans="1:28" x14ac:dyDescent="0.25">
      <c r="A254" s="34">
        <f t="shared" si="42"/>
        <v>245</v>
      </c>
      <c r="B254" s="14"/>
      <c r="C254" s="14"/>
      <c r="D254" s="7"/>
      <c r="E254" s="7"/>
      <c r="F254" s="7"/>
      <c r="G254" s="10"/>
      <c r="H254" s="11"/>
      <c r="I254" s="11"/>
      <c r="J254" s="11"/>
      <c r="K254" s="11"/>
      <c r="L254" s="11"/>
      <c r="M254" s="11"/>
      <c r="N254" s="50"/>
      <c r="O254" s="53"/>
      <c r="P254" s="36"/>
      <c r="Q254" s="49" t="str">
        <f t="shared" si="43"/>
        <v/>
      </c>
      <c r="R254" s="33"/>
      <c r="S254" s="38"/>
      <c r="T254" s="38"/>
      <c r="U254" s="82"/>
      <c r="V254" s="7"/>
      <c r="W254" s="35" t="str">
        <f t="shared" si="45"/>
        <v/>
      </c>
      <c r="X254" s="35" t="str">
        <f t="shared" si="39"/>
        <v/>
      </c>
      <c r="Y254" s="35" t="str">
        <f t="shared" si="40"/>
        <v/>
      </c>
      <c r="Z254" s="35" t="str">
        <f t="shared" si="41"/>
        <v/>
      </c>
      <c r="AA254" s="82"/>
      <c r="AB254" s="82"/>
    </row>
    <row r="255" spans="1:28" x14ac:dyDescent="0.25">
      <c r="A255" s="34">
        <f t="shared" si="42"/>
        <v>246</v>
      </c>
      <c r="B255" s="14"/>
      <c r="C255" s="14"/>
      <c r="D255" s="7"/>
      <c r="E255" s="7"/>
      <c r="F255" s="7"/>
      <c r="G255" s="10"/>
      <c r="H255" s="11"/>
      <c r="I255" s="11"/>
      <c r="J255" s="11"/>
      <c r="K255" s="11"/>
      <c r="L255" s="11"/>
      <c r="M255" s="11"/>
      <c r="N255" s="50"/>
      <c r="O255" s="53"/>
      <c r="P255" s="36"/>
      <c r="Q255" s="49" t="str">
        <f t="shared" si="43"/>
        <v/>
      </c>
      <c r="R255" s="33"/>
      <c r="S255" s="38"/>
      <c r="T255" s="38"/>
      <c r="U255" s="82"/>
      <c r="V255" s="7"/>
      <c r="W255" s="35" t="str">
        <f t="shared" si="45"/>
        <v/>
      </c>
      <c r="X255" s="35" t="str">
        <f t="shared" si="39"/>
        <v/>
      </c>
      <c r="Y255" s="35" t="str">
        <f t="shared" si="40"/>
        <v/>
      </c>
      <c r="Z255" s="35" t="str">
        <f t="shared" si="41"/>
        <v/>
      </c>
      <c r="AA255" s="82"/>
      <c r="AB255" s="82"/>
    </row>
    <row r="256" spans="1:28" x14ac:dyDescent="0.25">
      <c r="A256" s="34">
        <f t="shared" si="42"/>
        <v>247</v>
      </c>
      <c r="B256" s="14"/>
      <c r="C256" s="14"/>
      <c r="D256" s="7"/>
      <c r="E256" s="7"/>
      <c r="F256" s="7"/>
      <c r="G256" s="10"/>
      <c r="H256" s="11"/>
      <c r="I256" s="11"/>
      <c r="J256" s="11"/>
      <c r="K256" s="11"/>
      <c r="L256" s="11"/>
      <c r="M256" s="11"/>
      <c r="N256" s="50"/>
      <c r="O256" s="53"/>
      <c r="P256" s="36"/>
      <c r="Q256" s="49" t="str">
        <f t="shared" si="43"/>
        <v/>
      </c>
      <c r="R256" s="33"/>
      <c r="S256" s="38"/>
      <c r="T256" s="38"/>
      <c r="U256" s="82"/>
      <c r="V256" s="7"/>
      <c r="W256" s="35" t="str">
        <f t="shared" si="45"/>
        <v/>
      </c>
      <c r="X256" s="35" t="str">
        <f t="shared" si="39"/>
        <v/>
      </c>
      <c r="Y256" s="35" t="str">
        <f t="shared" si="40"/>
        <v/>
      </c>
      <c r="Z256" s="35" t="str">
        <f t="shared" si="41"/>
        <v/>
      </c>
      <c r="AA256" s="82"/>
      <c r="AB256" s="82"/>
    </row>
    <row r="257" spans="1:28" x14ac:dyDescent="0.25">
      <c r="A257" s="34">
        <f t="shared" si="42"/>
        <v>248</v>
      </c>
      <c r="B257" s="14"/>
      <c r="C257" s="14"/>
      <c r="D257" s="7"/>
      <c r="E257" s="7"/>
      <c r="F257" s="7"/>
      <c r="G257" s="10"/>
      <c r="H257" s="11"/>
      <c r="I257" s="11"/>
      <c r="J257" s="11"/>
      <c r="K257" s="11"/>
      <c r="L257" s="11"/>
      <c r="M257" s="11"/>
      <c r="N257" s="50"/>
      <c r="O257" s="53"/>
      <c r="P257" s="36"/>
      <c r="Q257" s="49" t="str">
        <f t="shared" si="43"/>
        <v/>
      </c>
      <c r="R257" s="33"/>
      <c r="S257" s="38"/>
      <c r="T257" s="38"/>
      <c r="U257" s="82"/>
      <c r="V257" s="7"/>
      <c r="W257" s="35" t="str">
        <f t="shared" si="45"/>
        <v/>
      </c>
      <c r="X257" s="35" t="str">
        <f t="shared" si="39"/>
        <v/>
      </c>
      <c r="Y257" s="35" t="str">
        <f t="shared" si="40"/>
        <v/>
      </c>
      <c r="Z257" s="35" t="str">
        <f t="shared" si="41"/>
        <v/>
      </c>
      <c r="AA257" s="82"/>
      <c r="AB257" s="82"/>
    </row>
    <row r="258" spans="1:28" x14ac:dyDescent="0.25">
      <c r="A258" s="34">
        <f t="shared" si="42"/>
        <v>249</v>
      </c>
      <c r="B258" s="14"/>
      <c r="C258" s="14"/>
      <c r="D258" s="7"/>
      <c r="E258" s="7"/>
      <c r="F258" s="7"/>
      <c r="G258" s="10"/>
      <c r="H258" s="11"/>
      <c r="I258" s="11"/>
      <c r="J258" s="11"/>
      <c r="K258" s="11"/>
      <c r="L258" s="11"/>
      <c r="M258" s="11"/>
      <c r="N258" s="50"/>
      <c r="O258" s="53"/>
      <c r="P258" s="36"/>
      <c r="Q258" s="49" t="str">
        <f t="shared" si="43"/>
        <v/>
      </c>
      <c r="R258" s="33"/>
      <c r="S258" s="38"/>
      <c r="T258" s="38"/>
      <c r="U258" s="82"/>
      <c r="V258" s="7"/>
      <c r="W258" s="35" t="str">
        <f t="shared" si="45"/>
        <v/>
      </c>
      <c r="X258" s="35" t="str">
        <f t="shared" si="39"/>
        <v/>
      </c>
      <c r="Y258" s="35" t="str">
        <f t="shared" si="40"/>
        <v/>
      </c>
      <c r="Z258" s="35" t="str">
        <f t="shared" si="41"/>
        <v/>
      </c>
      <c r="AA258" s="82"/>
      <c r="AB258" s="82"/>
    </row>
    <row r="259" spans="1:28" x14ac:dyDescent="0.25">
      <c r="A259" s="34">
        <f t="shared" si="42"/>
        <v>250</v>
      </c>
      <c r="B259" s="14"/>
      <c r="C259" s="14"/>
      <c r="D259" s="7"/>
      <c r="E259" s="7"/>
      <c r="F259" s="7"/>
      <c r="G259" s="10"/>
      <c r="H259" s="11"/>
      <c r="I259" s="11"/>
      <c r="J259" s="11"/>
      <c r="K259" s="11"/>
      <c r="L259" s="11"/>
      <c r="M259" s="11"/>
      <c r="N259" s="50"/>
      <c r="O259" s="53"/>
      <c r="P259" s="36"/>
      <c r="Q259" s="49" t="str">
        <f t="shared" si="43"/>
        <v/>
      </c>
      <c r="R259" s="33"/>
      <c r="S259" s="38"/>
      <c r="T259" s="38"/>
      <c r="U259" s="82"/>
      <c r="V259" s="7"/>
      <c r="W259" s="35" t="str">
        <f t="shared" si="45"/>
        <v/>
      </c>
      <c r="X259" s="35" t="str">
        <f t="shared" si="39"/>
        <v/>
      </c>
      <c r="Y259" s="35" t="str">
        <f t="shared" si="40"/>
        <v/>
      </c>
      <c r="Z259" s="35" t="str">
        <f t="shared" si="41"/>
        <v/>
      </c>
      <c r="AA259" s="82"/>
      <c r="AB259" s="82"/>
    </row>
    <row r="260" spans="1:28" x14ac:dyDescent="0.25">
      <c r="A260" s="34">
        <f t="shared" si="42"/>
        <v>251</v>
      </c>
      <c r="B260" s="14"/>
      <c r="C260" s="14"/>
      <c r="D260" s="7"/>
      <c r="E260" s="7"/>
      <c r="F260" s="7"/>
      <c r="G260" s="10"/>
      <c r="H260" s="11"/>
      <c r="I260" s="11"/>
      <c r="J260" s="11"/>
      <c r="K260" s="11"/>
      <c r="L260" s="11"/>
      <c r="M260" s="11"/>
      <c r="N260" s="50"/>
      <c r="O260" s="53"/>
      <c r="P260" s="36"/>
      <c r="Q260" s="49" t="str">
        <f t="shared" si="43"/>
        <v/>
      </c>
      <c r="R260" s="33"/>
      <c r="S260" s="38"/>
      <c r="T260" s="38"/>
      <c r="U260" s="82"/>
      <c r="V260" s="7"/>
      <c r="W260" s="35" t="str">
        <f t="shared" si="45"/>
        <v/>
      </c>
      <c r="X260" s="35" t="str">
        <f t="shared" si="39"/>
        <v/>
      </c>
      <c r="Y260" s="35" t="str">
        <f t="shared" si="40"/>
        <v/>
      </c>
      <c r="Z260" s="35" t="str">
        <f t="shared" si="41"/>
        <v/>
      </c>
      <c r="AA260" s="82"/>
      <c r="AB260" s="82"/>
    </row>
    <row r="261" spans="1:28" x14ac:dyDescent="0.25">
      <c r="A261" s="34">
        <f t="shared" si="42"/>
        <v>252</v>
      </c>
      <c r="B261" s="14"/>
      <c r="C261" s="14"/>
      <c r="D261" s="7"/>
      <c r="E261" s="7"/>
      <c r="F261" s="7"/>
      <c r="G261" s="10"/>
      <c r="H261" s="11"/>
      <c r="I261" s="11"/>
      <c r="J261" s="11"/>
      <c r="K261" s="11"/>
      <c r="L261" s="11"/>
      <c r="M261" s="11"/>
      <c r="N261" s="50"/>
      <c r="O261" s="53"/>
      <c r="P261" s="36"/>
      <c r="Q261" s="49" t="str">
        <f t="shared" si="43"/>
        <v/>
      </c>
      <c r="R261" s="33"/>
      <c r="S261" s="38"/>
      <c r="T261" s="38"/>
      <c r="U261" s="82"/>
      <c r="V261" s="7"/>
      <c r="W261" s="35" t="str">
        <f t="shared" si="45"/>
        <v/>
      </c>
      <c r="X261" s="35" t="str">
        <f t="shared" si="39"/>
        <v/>
      </c>
      <c r="Y261" s="35" t="str">
        <f t="shared" si="40"/>
        <v/>
      </c>
      <c r="Z261" s="35" t="str">
        <f t="shared" si="41"/>
        <v/>
      </c>
      <c r="AA261" s="82"/>
      <c r="AB261" s="82"/>
    </row>
    <row r="262" spans="1:28" x14ac:dyDescent="0.25">
      <c r="A262" s="34">
        <f t="shared" si="42"/>
        <v>253</v>
      </c>
      <c r="B262" s="14"/>
      <c r="C262" s="14"/>
      <c r="D262" s="7"/>
      <c r="E262" s="7"/>
      <c r="F262" s="7"/>
      <c r="G262" s="10"/>
      <c r="H262" s="11"/>
      <c r="I262" s="11"/>
      <c r="J262" s="11"/>
      <c r="K262" s="11"/>
      <c r="L262" s="11"/>
      <c r="M262" s="11"/>
      <c r="N262" s="50"/>
      <c r="O262" s="53"/>
      <c r="P262" s="36"/>
      <c r="Q262" s="49" t="str">
        <f t="shared" si="43"/>
        <v/>
      </c>
      <c r="R262" s="33"/>
      <c r="S262" s="38"/>
      <c r="T262" s="38"/>
      <c r="U262" s="82"/>
      <c r="V262" s="7"/>
      <c r="W262" s="35" t="str">
        <f t="shared" si="45"/>
        <v/>
      </c>
      <c r="X262" s="35" t="str">
        <f t="shared" si="39"/>
        <v/>
      </c>
      <c r="Y262" s="35" t="str">
        <f t="shared" si="40"/>
        <v/>
      </c>
      <c r="Z262" s="35" t="str">
        <f t="shared" si="41"/>
        <v/>
      </c>
      <c r="AA262" s="82"/>
      <c r="AB262" s="82"/>
    </row>
    <row r="263" spans="1:28" x14ac:dyDescent="0.25">
      <c r="A263" s="34">
        <f t="shared" si="42"/>
        <v>254</v>
      </c>
      <c r="B263" s="14"/>
      <c r="C263" s="14"/>
      <c r="D263" s="7"/>
      <c r="E263" s="7"/>
      <c r="F263" s="7"/>
      <c r="G263" s="10"/>
      <c r="H263" s="11"/>
      <c r="I263" s="11"/>
      <c r="J263" s="11"/>
      <c r="K263" s="11"/>
      <c r="L263" s="11"/>
      <c r="M263" s="11"/>
      <c r="N263" s="50"/>
      <c r="O263" s="53"/>
      <c r="P263" s="36"/>
      <c r="Q263" s="49" t="str">
        <f t="shared" si="43"/>
        <v/>
      </c>
      <c r="R263" s="33"/>
      <c r="S263" s="38"/>
      <c r="T263" s="38"/>
      <c r="U263" s="82"/>
      <c r="V263" s="7"/>
      <c r="W263" s="35" t="str">
        <f t="shared" si="45"/>
        <v/>
      </c>
      <c r="X263" s="35" t="str">
        <f t="shared" ref="X263:X311" si="46">IF(T263&lt;&gt;"",1,"")</f>
        <v/>
      </c>
      <c r="Y263" s="35" t="str">
        <f t="shared" si="40"/>
        <v/>
      </c>
      <c r="Z263" s="35" t="str">
        <f t="shared" si="41"/>
        <v/>
      </c>
      <c r="AA263" s="82"/>
      <c r="AB263" s="82"/>
    </row>
    <row r="264" spans="1:28" x14ac:dyDescent="0.25">
      <c r="A264" s="34">
        <f t="shared" si="42"/>
        <v>255</v>
      </c>
      <c r="B264" s="14"/>
      <c r="C264" s="14"/>
      <c r="D264" s="7"/>
      <c r="E264" s="7"/>
      <c r="F264" s="7"/>
      <c r="G264" s="10"/>
      <c r="H264" s="11"/>
      <c r="I264" s="11"/>
      <c r="J264" s="11"/>
      <c r="K264" s="11"/>
      <c r="L264" s="11"/>
      <c r="M264" s="11"/>
      <c r="N264" s="50"/>
      <c r="O264" s="53"/>
      <c r="P264" s="36"/>
      <c r="Q264" s="49" t="str">
        <f t="shared" si="43"/>
        <v/>
      </c>
      <c r="R264" s="33"/>
      <c r="S264" s="38"/>
      <c r="T264" s="38"/>
      <c r="U264" s="82"/>
      <c r="V264" s="7"/>
      <c r="W264" s="35" t="str">
        <f t="shared" si="45"/>
        <v/>
      </c>
      <c r="X264" s="35" t="str">
        <f t="shared" si="46"/>
        <v/>
      </c>
      <c r="Y264" s="35" t="str">
        <f t="shared" si="40"/>
        <v/>
      </c>
      <c r="Z264" s="35" t="str">
        <f t="shared" si="41"/>
        <v/>
      </c>
      <c r="AA264" s="82"/>
      <c r="AB264" s="82"/>
    </row>
    <row r="265" spans="1:28" x14ac:dyDescent="0.25">
      <c r="A265" s="34">
        <f t="shared" si="42"/>
        <v>256</v>
      </c>
      <c r="B265" s="14"/>
      <c r="C265" s="14"/>
      <c r="D265" s="7"/>
      <c r="E265" s="7"/>
      <c r="F265" s="7"/>
      <c r="G265" s="10"/>
      <c r="H265" s="11"/>
      <c r="I265" s="11"/>
      <c r="J265" s="11"/>
      <c r="K265" s="11"/>
      <c r="L265" s="11"/>
      <c r="M265" s="11"/>
      <c r="N265" s="50"/>
      <c r="O265" s="53"/>
      <c r="P265" s="36"/>
      <c r="Q265" s="49" t="str">
        <f t="shared" si="43"/>
        <v/>
      </c>
      <c r="R265" s="33"/>
      <c r="S265" s="38"/>
      <c r="T265" s="38"/>
      <c r="U265" s="82"/>
      <c r="V265" s="7"/>
      <c r="W265" s="35" t="str">
        <f t="shared" si="45"/>
        <v/>
      </c>
      <c r="X265" s="35" t="str">
        <f t="shared" si="46"/>
        <v/>
      </c>
      <c r="Y265" s="35" t="str">
        <f t="shared" si="40"/>
        <v/>
      </c>
      <c r="Z265" s="35" t="str">
        <f t="shared" si="41"/>
        <v/>
      </c>
      <c r="AA265" s="82"/>
      <c r="AB265" s="82"/>
    </row>
    <row r="266" spans="1:28" x14ac:dyDescent="0.25">
      <c r="A266" s="34">
        <f t="shared" si="42"/>
        <v>257</v>
      </c>
      <c r="B266" s="14"/>
      <c r="C266" s="14"/>
      <c r="D266" s="7"/>
      <c r="E266" s="7"/>
      <c r="F266" s="7"/>
      <c r="G266" s="10"/>
      <c r="H266" s="11"/>
      <c r="I266" s="11"/>
      <c r="J266" s="11"/>
      <c r="K266" s="11"/>
      <c r="L266" s="11"/>
      <c r="M266" s="11"/>
      <c r="N266" s="50"/>
      <c r="O266" s="53"/>
      <c r="P266" s="36"/>
      <c r="Q266" s="49" t="str">
        <f t="shared" si="43"/>
        <v/>
      </c>
      <c r="R266" s="33"/>
      <c r="S266" s="38"/>
      <c r="T266" s="38"/>
      <c r="U266" s="82"/>
      <c r="V266" s="7"/>
      <c r="W266" s="35" t="str">
        <f t="shared" si="45"/>
        <v/>
      </c>
      <c r="X266" s="35" t="str">
        <f t="shared" si="46"/>
        <v/>
      </c>
      <c r="Y266" s="35" t="str">
        <f t="shared" ref="Y266:Y311" si="47">IF(M266=1,IF($B266=1,1,""),"")</f>
        <v/>
      </c>
      <c r="Z266" s="35" t="str">
        <f t="shared" si="41"/>
        <v/>
      </c>
      <c r="AA266" s="82"/>
      <c r="AB266" s="82"/>
    </row>
    <row r="267" spans="1:28" x14ac:dyDescent="0.25">
      <c r="A267" s="34">
        <f t="shared" si="42"/>
        <v>258</v>
      </c>
      <c r="B267" s="14"/>
      <c r="C267" s="14"/>
      <c r="D267" s="7"/>
      <c r="E267" s="7"/>
      <c r="F267" s="7"/>
      <c r="G267" s="10"/>
      <c r="H267" s="11"/>
      <c r="I267" s="11"/>
      <c r="J267" s="11"/>
      <c r="K267" s="11"/>
      <c r="L267" s="11"/>
      <c r="M267" s="11"/>
      <c r="N267" s="50"/>
      <c r="O267" s="53"/>
      <c r="P267" s="36"/>
      <c r="Q267" s="49" t="str">
        <f t="shared" si="43"/>
        <v/>
      </c>
      <c r="R267" s="33"/>
      <c r="S267" s="38"/>
      <c r="T267" s="38"/>
      <c r="U267" s="82"/>
      <c r="V267" s="7"/>
      <c r="W267" s="35" t="str">
        <f t="shared" si="45"/>
        <v/>
      </c>
      <c r="X267" s="35" t="str">
        <f t="shared" si="46"/>
        <v/>
      </c>
      <c r="Y267" s="35" t="str">
        <f t="shared" si="47"/>
        <v/>
      </c>
      <c r="Z267" s="35" t="str">
        <f t="shared" ref="Z267:Z330" si="48">IF(V267&lt;&gt;"",1,"")</f>
        <v/>
      </c>
      <c r="AA267" s="82"/>
      <c r="AB267" s="82"/>
    </row>
    <row r="268" spans="1:28" x14ac:dyDescent="0.25">
      <c r="A268" s="34">
        <f t="shared" ref="A268:A331" si="49">+A267+1</f>
        <v>259</v>
      </c>
      <c r="B268" s="14"/>
      <c r="C268" s="14"/>
      <c r="D268" s="7"/>
      <c r="E268" s="7"/>
      <c r="F268" s="7"/>
      <c r="G268" s="10"/>
      <c r="H268" s="11"/>
      <c r="I268" s="11"/>
      <c r="J268" s="11"/>
      <c r="K268" s="11"/>
      <c r="L268" s="11"/>
      <c r="M268" s="11"/>
      <c r="N268" s="50"/>
      <c r="O268" s="53"/>
      <c r="P268" s="36"/>
      <c r="Q268" s="49" t="str">
        <f t="shared" si="43"/>
        <v/>
      </c>
      <c r="R268" s="33"/>
      <c r="S268" s="38"/>
      <c r="T268" s="38"/>
      <c r="U268" s="82"/>
      <c r="V268" s="7"/>
      <c r="W268" s="35" t="str">
        <f t="shared" si="45"/>
        <v/>
      </c>
      <c r="X268" s="35" t="str">
        <f t="shared" si="46"/>
        <v/>
      </c>
      <c r="Y268" s="35" t="str">
        <f t="shared" si="47"/>
        <v/>
      </c>
      <c r="Z268" s="35" t="str">
        <f t="shared" si="48"/>
        <v/>
      </c>
      <c r="AA268" s="82"/>
      <c r="AB268" s="82"/>
    </row>
    <row r="269" spans="1:28" x14ac:dyDescent="0.25">
      <c r="A269" s="34">
        <f t="shared" si="49"/>
        <v>260</v>
      </c>
      <c r="B269" s="14"/>
      <c r="C269" s="14"/>
      <c r="D269" s="7"/>
      <c r="E269" s="7"/>
      <c r="F269" s="7"/>
      <c r="G269" s="10"/>
      <c r="H269" s="11"/>
      <c r="I269" s="11"/>
      <c r="J269" s="11"/>
      <c r="K269" s="11"/>
      <c r="L269" s="11"/>
      <c r="M269" s="11"/>
      <c r="N269" s="50"/>
      <c r="O269" s="53"/>
      <c r="P269" s="36"/>
      <c r="Q269" s="49" t="str">
        <f t="shared" si="43"/>
        <v/>
      </c>
      <c r="R269" s="33"/>
      <c r="S269" s="38"/>
      <c r="T269" s="38"/>
      <c r="U269" s="82"/>
      <c r="V269" s="7"/>
      <c r="W269" s="35" t="str">
        <f t="shared" si="45"/>
        <v/>
      </c>
      <c r="X269" s="35" t="str">
        <f t="shared" si="46"/>
        <v/>
      </c>
      <c r="Y269" s="35" t="str">
        <f t="shared" si="47"/>
        <v/>
      </c>
      <c r="Z269" s="35" t="str">
        <f t="shared" si="48"/>
        <v/>
      </c>
      <c r="AA269" s="82"/>
      <c r="AB269" s="82"/>
    </row>
    <row r="270" spans="1:28" x14ac:dyDescent="0.25">
      <c r="A270" s="34">
        <f t="shared" si="49"/>
        <v>261</v>
      </c>
      <c r="B270" s="14"/>
      <c r="C270" s="14"/>
      <c r="D270" s="7"/>
      <c r="E270" s="7"/>
      <c r="F270" s="7"/>
      <c r="G270" s="10"/>
      <c r="H270" s="11"/>
      <c r="I270" s="11"/>
      <c r="J270" s="11"/>
      <c r="K270" s="11"/>
      <c r="L270" s="11"/>
      <c r="M270" s="11"/>
      <c r="N270" s="50"/>
      <c r="O270" s="53"/>
      <c r="P270" s="36"/>
      <c r="Q270" s="49" t="str">
        <f t="shared" si="43"/>
        <v/>
      </c>
      <c r="R270" s="33"/>
      <c r="S270" s="38"/>
      <c r="T270" s="38"/>
      <c r="U270" s="82"/>
      <c r="V270" s="7"/>
      <c r="W270" s="35" t="str">
        <f t="shared" si="45"/>
        <v/>
      </c>
      <c r="X270" s="35" t="str">
        <f t="shared" si="46"/>
        <v/>
      </c>
      <c r="Y270" s="35" t="str">
        <f t="shared" si="47"/>
        <v/>
      </c>
      <c r="Z270" s="35" t="str">
        <f t="shared" si="48"/>
        <v/>
      </c>
      <c r="AA270" s="82"/>
      <c r="AB270" s="82"/>
    </row>
    <row r="271" spans="1:28" x14ac:dyDescent="0.25">
      <c r="A271" s="34">
        <f t="shared" si="49"/>
        <v>262</v>
      </c>
      <c r="B271" s="14"/>
      <c r="C271" s="14"/>
      <c r="D271" s="7"/>
      <c r="E271" s="7"/>
      <c r="F271" s="7"/>
      <c r="G271" s="10"/>
      <c r="H271" s="11"/>
      <c r="I271" s="11"/>
      <c r="J271" s="11"/>
      <c r="K271" s="11"/>
      <c r="L271" s="11"/>
      <c r="M271" s="11"/>
      <c r="N271" s="50"/>
      <c r="O271" s="53"/>
      <c r="P271" s="36"/>
      <c r="Q271" s="49" t="str">
        <f t="shared" si="43"/>
        <v/>
      </c>
      <c r="R271" s="33"/>
      <c r="S271" s="38"/>
      <c r="T271" s="38"/>
      <c r="U271" s="82"/>
      <c r="V271" s="7"/>
      <c r="W271" s="35" t="str">
        <f t="shared" si="45"/>
        <v/>
      </c>
      <c r="X271" s="35" t="str">
        <f t="shared" si="46"/>
        <v/>
      </c>
      <c r="Y271" s="35" t="str">
        <f t="shared" si="47"/>
        <v/>
      </c>
      <c r="Z271" s="35" t="str">
        <f t="shared" si="48"/>
        <v/>
      </c>
      <c r="AA271" s="82"/>
      <c r="AB271" s="82"/>
    </row>
    <row r="272" spans="1:28" x14ac:dyDescent="0.25">
      <c r="A272" s="34">
        <f t="shared" si="49"/>
        <v>263</v>
      </c>
      <c r="B272" s="14"/>
      <c r="C272" s="14"/>
      <c r="D272" s="7"/>
      <c r="E272" s="7"/>
      <c r="F272" s="7"/>
      <c r="G272" s="10"/>
      <c r="H272" s="11"/>
      <c r="I272" s="11"/>
      <c r="J272" s="11"/>
      <c r="K272" s="11"/>
      <c r="L272" s="11"/>
      <c r="M272" s="11"/>
      <c r="N272" s="50"/>
      <c r="O272" s="53"/>
      <c r="P272" s="36"/>
      <c r="Q272" s="49" t="str">
        <f t="shared" si="43"/>
        <v/>
      </c>
      <c r="R272" s="33"/>
      <c r="S272" s="38"/>
      <c r="T272" s="38"/>
      <c r="U272" s="82"/>
      <c r="V272" s="7"/>
      <c r="W272" s="35" t="str">
        <f t="shared" si="45"/>
        <v/>
      </c>
      <c r="X272" s="35" t="str">
        <f t="shared" si="46"/>
        <v/>
      </c>
      <c r="Y272" s="35" t="str">
        <f t="shared" si="47"/>
        <v/>
      </c>
      <c r="Z272" s="35" t="str">
        <f t="shared" si="48"/>
        <v/>
      </c>
      <c r="AA272" s="82"/>
      <c r="AB272" s="82"/>
    </row>
    <row r="273" spans="1:28" x14ac:dyDescent="0.25">
      <c r="A273" s="34">
        <f t="shared" si="49"/>
        <v>264</v>
      </c>
      <c r="B273" s="14"/>
      <c r="C273" s="14"/>
      <c r="D273" s="7"/>
      <c r="E273" s="7"/>
      <c r="F273" s="7"/>
      <c r="G273" s="10"/>
      <c r="H273" s="11"/>
      <c r="I273" s="11"/>
      <c r="J273" s="11"/>
      <c r="K273" s="11"/>
      <c r="L273" s="11"/>
      <c r="M273" s="11"/>
      <c r="N273" s="50"/>
      <c r="O273" s="53"/>
      <c r="P273" s="36"/>
      <c r="Q273" s="49" t="str">
        <f t="shared" si="43"/>
        <v/>
      </c>
      <c r="R273" s="33"/>
      <c r="S273" s="38"/>
      <c r="T273" s="38"/>
      <c r="U273" s="82"/>
      <c r="V273" s="7"/>
      <c r="W273" s="35" t="str">
        <f t="shared" si="45"/>
        <v/>
      </c>
      <c r="X273" s="35" t="str">
        <f t="shared" si="46"/>
        <v/>
      </c>
      <c r="Y273" s="35" t="str">
        <f t="shared" si="47"/>
        <v/>
      </c>
      <c r="Z273" s="35" t="str">
        <f t="shared" si="48"/>
        <v/>
      </c>
      <c r="AA273" s="82"/>
      <c r="AB273" s="82"/>
    </row>
    <row r="274" spans="1:28" x14ac:dyDescent="0.25">
      <c r="A274" s="34">
        <f t="shared" si="49"/>
        <v>265</v>
      </c>
      <c r="B274" s="14"/>
      <c r="C274" s="14"/>
      <c r="D274" s="7"/>
      <c r="E274" s="7"/>
      <c r="F274" s="7"/>
      <c r="G274" s="10"/>
      <c r="H274" s="11"/>
      <c r="I274" s="11"/>
      <c r="J274" s="11"/>
      <c r="K274" s="11"/>
      <c r="L274" s="11"/>
      <c r="M274" s="11"/>
      <c r="N274" s="50"/>
      <c r="O274" s="53"/>
      <c r="P274" s="36"/>
      <c r="Q274" s="49" t="str">
        <f t="shared" ref="Q274:Q294" si="50">IF(O274="c",+N274,"")</f>
        <v/>
      </c>
      <c r="R274" s="33"/>
      <c r="S274" s="38"/>
      <c r="T274" s="38"/>
      <c r="U274" s="82"/>
      <c r="V274" s="7"/>
      <c r="W274" s="35" t="str">
        <f t="shared" si="45"/>
        <v/>
      </c>
      <c r="X274" s="35" t="str">
        <f t="shared" si="46"/>
        <v/>
      </c>
      <c r="Y274" s="35" t="str">
        <f t="shared" si="47"/>
        <v/>
      </c>
      <c r="Z274" s="35" t="str">
        <f t="shared" si="48"/>
        <v/>
      </c>
      <c r="AA274" s="82"/>
      <c r="AB274" s="82"/>
    </row>
    <row r="275" spans="1:28" x14ac:dyDescent="0.25">
      <c r="A275" s="34">
        <f t="shared" si="49"/>
        <v>266</v>
      </c>
      <c r="B275" s="14"/>
      <c r="C275" s="14"/>
      <c r="D275" s="7"/>
      <c r="E275" s="7"/>
      <c r="F275" s="7"/>
      <c r="G275" s="10"/>
      <c r="H275" s="11"/>
      <c r="I275" s="11"/>
      <c r="J275" s="11"/>
      <c r="K275" s="11"/>
      <c r="L275" s="11"/>
      <c r="M275" s="11"/>
      <c r="N275" s="50"/>
      <c r="O275" s="53"/>
      <c r="P275" s="36"/>
      <c r="Q275" s="49" t="str">
        <f t="shared" si="50"/>
        <v/>
      </c>
      <c r="R275" s="33"/>
      <c r="S275" s="38"/>
      <c r="T275" s="38"/>
      <c r="U275" s="82"/>
      <c r="V275" s="7"/>
      <c r="W275" s="35" t="str">
        <f t="shared" si="45"/>
        <v/>
      </c>
      <c r="X275" s="35" t="str">
        <f t="shared" si="46"/>
        <v/>
      </c>
      <c r="Y275" s="35" t="str">
        <f t="shared" si="47"/>
        <v/>
      </c>
      <c r="Z275" s="35" t="str">
        <f t="shared" si="48"/>
        <v/>
      </c>
      <c r="AA275" s="82"/>
      <c r="AB275" s="82"/>
    </row>
    <row r="276" spans="1:28" x14ac:dyDescent="0.25">
      <c r="A276" s="34">
        <f t="shared" si="49"/>
        <v>267</v>
      </c>
      <c r="B276" s="14"/>
      <c r="C276" s="14"/>
      <c r="D276" s="7"/>
      <c r="E276" s="7"/>
      <c r="F276" s="7"/>
      <c r="G276" s="10"/>
      <c r="H276" s="11"/>
      <c r="I276" s="11"/>
      <c r="J276" s="11"/>
      <c r="K276" s="11"/>
      <c r="L276" s="11"/>
      <c r="M276" s="11"/>
      <c r="N276" s="50"/>
      <c r="O276" s="53"/>
      <c r="P276" s="36"/>
      <c r="Q276" s="49" t="str">
        <f t="shared" si="50"/>
        <v/>
      </c>
      <c r="R276" s="33"/>
      <c r="S276" s="38"/>
      <c r="T276" s="38"/>
      <c r="U276" s="82"/>
      <c r="V276" s="7"/>
      <c r="W276" s="35" t="str">
        <f t="shared" si="45"/>
        <v/>
      </c>
      <c r="X276" s="35" t="str">
        <f t="shared" si="46"/>
        <v/>
      </c>
      <c r="Y276" s="35" t="str">
        <f t="shared" si="47"/>
        <v/>
      </c>
      <c r="Z276" s="35" t="str">
        <f t="shared" si="48"/>
        <v/>
      </c>
      <c r="AA276" s="82"/>
      <c r="AB276" s="82"/>
    </row>
    <row r="277" spans="1:28" x14ac:dyDescent="0.25">
      <c r="A277" s="34">
        <f t="shared" si="49"/>
        <v>268</v>
      </c>
      <c r="B277" s="14"/>
      <c r="C277" s="14"/>
      <c r="D277" s="7"/>
      <c r="E277" s="7"/>
      <c r="F277" s="7"/>
      <c r="G277" s="10"/>
      <c r="H277" s="11"/>
      <c r="I277" s="11"/>
      <c r="J277" s="11"/>
      <c r="K277" s="11"/>
      <c r="L277" s="11"/>
      <c r="M277" s="11"/>
      <c r="N277" s="50"/>
      <c r="O277" s="53"/>
      <c r="P277" s="36"/>
      <c r="Q277" s="49" t="str">
        <f t="shared" si="50"/>
        <v/>
      </c>
      <c r="R277" s="33"/>
      <c r="S277" s="38"/>
      <c r="T277" s="38"/>
      <c r="U277" s="82"/>
      <c r="V277" s="7"/>
      <c r="W277" s="35" t="str">
        <f t="shared" si="45"/>
        <v/>
      </c>
      <c r="X277" s="35" t="str">
        <f t="shared" si="46"/>
        <v/>
      </c>
      <c r="Y277" s="35" t="str">
        <f t="shared" si="47"/>
        <v/>
      </c>
      <c r="Z277" s="35" t="str">
        <f t="shared" si="48"/>
        <v/>
      </c>
      <c r="AA277" s="82"/>
      <c r="AB277" s="82"/>
    </row>
    <row r="278" spans="1:28" x14ac:dyDescent="0.25">
      <c r="A278" s="34">
        <f t="shared" si="49"/>
        <v>269</v>
      </c>
      <c r="B278" s="14"/>
      <c r="C278" s="14"/>
      <c r="D278" s="7"/>
      <c r="E278" s="7"/>
      <c r="F278" s="7"/>
      <c r="G278" s="10"/>
      <c r="H278" s="11"/>
      <c r="I278" s="11"/>
      <c r="J278" s="11"/>
      <c r="K278" s="11"/>
      <c r="L278" s="11"/>
      <c r="M278" s="11"/>
      <c r="N278" s="50"/>
      <c r="O278" s="53"/>
      <c r="P278" s="36"/>
      <c r="Q278" s="49" t="str">
        <f t="shared" si="50"/>
        <v/>
      </c>
      <c r="R278" s="33"/>
      <c r="S278" s="38"/>
      <c r="T278" s="38"/>
      <c r="U278" s="82"/>
      <c r="V278" s="7"/>
      <c r="W278" s="35" t="str">
        <f t="shared" si="45"/>
        <v/>
      </c>
      <c r="X278" s="35" t="str">
        <f t="shared" si="46"/>
        <v/>
      </c>
      <c r="Y278" s="35" t="str">
        <f t="shared" si="47"/>
        <v/>
      </c>
      <c r="Z278" s="35" t="str">
        <f t="shared" si="48"/>
        <v/>
      </c>
      <c r="AA278" s="82"/>
      <c r="AB278" s="82"/>
    </row>
    <row r="279" spans="1:28" x14ac:dyDescent="0.25">
      <c r="A279" s="34">
        <f t="shared" si="49"/>
        <v>270</v>
      </c>
      <c r="B279" s="14"/>
      <c r="C279" s="14"/>
      <c r="D279" s="7"/>
      <c r="E279" s="7"/>
      <c r="F279" s="7"/>
      <c r="G279" s="10"/>
      <c r="H279" s="11"/>
      <c r="I279" s="11"/>
      <c r="J279" s="11"/>
      <c r="K279" s="11"/>
      <c r="L279" s="11"/>
      <c r="M279" s="11"/>
      <c r="N279" s="50"/>
      <c r="O279" s="53"/>
      <c r="P279" s="36"/>
      <c r="Q279" s="49" t="str">
        <f t="shared" si="50"/>
        <v/>
      </c>
      <c r="R279" s="33"/>
      <c r="S279" s="38"/>
      <c r="T279" s="38"/>
      <c r="U279" s="82"/>
      <c r="V279" s="7"/>
      <c r="W279" s="35" t="str">
        <f t="shared" si="45"/>
        <v/>
      </c>
      <c r="X279" s="35" t="str">
        <f t="shared" si="46"/>
        <v/>
      </c>
      <c r="Y279" s="35" t="str">
        <f t="shared" si="47"/>
        <v/>
      </c>
      <c r="Z279" s="35" t="str">
        <f t="shared" si="48"/>
        <v/>
      </c>
      <c r="AA279" s="82"/>
      <c r="AB279" s="82"/>
    </row>
    <row r="280" spans="1:28" x14ac:dyDescent="0.25">
      <c r="A280" s="34">
        <f t="shared" si="49"/>
        <v>271</v>
      </c>
      <c r="B280" s="14"/>
      <c r="C280" s="14"/>
      <c r="D280" s="7"/>
      <c r="E280" s="7"/>
      <c r="F280" s="7"/>
      <c r="G280" s="10"/>
      <c r="H280" s="11"/>
      <c r="I280" s="11"/>
      <c r="J280" s="11"/>
      <c r="K280" s="11"/>
      <c r="L280" s="11"/>
      <c r="M280" s="11"/>
      <c r="N280" s="50"/>
      <c r="O280" s="53"/>
      <c r="P280" s="36"/>
      <c r="Q280" s="49" t="str">
        <f t="shared" si="50"/>
        <v/>
      </c>
      <c r="R280" s="33"/>
      <c r="S280" s="38"/>
      <c r="T280" s="38"/>
      <c r="U280" s="82"/>
      <c r="V280" s="7"/>
      <c r="W280" s="35" t="str">
        <f t="shared" si="45"/>
        <v/>
      </c>
      <c r="X280" s="35" t="str">
        <f t="shared" si="46"/>
        <v/>
      </c>
      <c r="Y280" s="35" t="str">
        <f t="shared" si="47"/>
        <v/>
      </c>
      <c r="Z280" s="35" t="str">
        <f t="shared" si="48"/>
        <v/>
      </c>
      <c r="AA280" s="82"/>
      <c r="AB280" s="82"/>
    </row>
    <row r="281" spans="1:28" x14ac:dyDescent="0.25">
      <c r="A281" s="34">
        <f t="shared" si="49"/>
        <v>272</v>
      </c>
      <c r="B281" s="14"/>
      <c r="C281" s="14"/>
      <c r="D281" s="7"/>
      <c r="E281" s="7"/>
      <c r="F281" s="7"/>
      <c r="G281" s="10"/>
      <c r="H281" s="11"/>
      <c r="I281" s="11"/>
      <c r="J281" s="11"/>
      <c r="K281" s="11"/>
      <c r="L281" s="11"/>
      <c r="M281" s="11"/>
      <c r="N281" s="50"/>
      <c r="O281" s="53"/>
      <c r="P281" s="36"/>
      <c r="Q281" s="49" t="str">
        <f t="shared" si="50"/>
        <v/>
      </c>
      <c r="R281" s="33"/>
      <c r="S281" s="38"/>
      <c r="T281" s="38"/>
      <c r="U281" s="82"/>
      <c r="V281" s="7"/>
      <c r="W281" s="35" t="str">
        <f t="shared" si="45"/>
        <v/>
      </c>
      <c r="X281" s="35" t="str">
        <f t="shared" si="46"/>
        <v/>
      </c>
      <c r="Y281" s="35" t="str">
        <f t="shared" si="47"/>
        <v/>
      </c>
      <c r="Z281" s="35" t="str">
        <f t="shared" si="48"/>
        <v/>
      </c>
      <c r="AA281" s="82"/>
      <c r="AB281" s="82"/>
    </row>
    <row r="282" spans="1:28" x14ac:dyDescent="0.25">
      <c r="A282" s="34">
        <f t="shared" si="49"/>
        <v>273</v>
      </c>
      <c r="B282" s="14"/>
      <c r="C282" s="14"/>
      <c r="D282" s="7"/>
      <c r="E282" s="7"/>
      <c r="F282" s="7"/>
      <c r="G282" s="10"/>
      <c r="H282" s="11"/>
      <c r="I282" s="11"/>
      <c r="J282" s="11"/>
      <c r="K282" s="11"/>
      <c r="L282" s="11"/>
      <c r="M282" s="11"/>
      <c r="N282" s="50"/>
      <c r="O282" s="53"/>
      <c r="P282" s="36"/>
      <c r="Q282" s="49" t="str">
        <f t="shared" si="50"/>
        <v/>
      </c>
      <c r="R282" s="33"/>
      <c r="S282" s="38"/>
      <c r="T282" s="38"/>
      <c r="U282" s="82"/>
      <c r="V282" s="7"/>
      <c r="W282" s="35" t="str">
        <f t="shared" ref="W282:W311" si="51">IF(D282&lt;&gt;"",1,"")</f>
        <v/>
      </c>
      <c r="X282" s="35" t="str">
        <f t="shared" si="46"/>
        <v/>
      </c>
      <c r="Y282" s="35" t="str">
        <f t="shared" si="47"/>
        <v/>
      </c>
      <c r="Z282" s="35" t="str">
        <f t="shared" si="48"/>
        <v/>
      </c>
      <c r="AA282" s="82"/>
      <c r="AB282" s="82"/>
    </row>
    <row r="283" spans="1:28" x14ac:dyDescent="0.25">
      <c r="A283" s="34">
        <f t="shared" si="49"/>
        <v>274</v>
      </c>
      <c r="B283" s="14"/>
      <c r="C283" s="14"/>
      <c r="D283" s="7"/>
      <c r="E283" s="7"/>
      <c r="F283" s="7"/>
      <c r="G283" s="10"/>
      <c r="H283" s="11"/>
      <c r="I283" s="11"/>
      <c r="J283" s="11"/>
      <c r="K283" s="11"/>
      <c r="L283" s="11"/>
      <c r="M283" s="11"/>
      <c r="N283" s="50"/>
      <c r="O283" s="53"/>
      <c r="P283" s="36"/>
      <c r="Q283" s="49" t="str">
        <f t="shared" si="50"/>
        <v/>
      </c>
      <c r="R283" s="33"/>
      <c r="S283" s="38"/>
      <c r="T283" s="38"/>
      <c r="U283" s="82"/>
      <c r="V283" s="7"/>
      <c r="W283" s="35" t="str">
        <f t="shared" si="51"/>
        <v/>
      </c>
      <c r="X283" s="35" t="str">
        <f t="shared" si="46"/>
        <v/>
      </c>
      <c r="Y283" s="35" t="str">
        <f t="shared" si="47"/>
        <v/>
      </c>
      <c r="Z283" s="35" t="str">
        <f t="shared" si="48"/>
        <v/>
      </c>
      <c r="AA283" s="82"/>
      <c r="AB283" s="82"/>
    </row>
    <row r="284" spans="1:28" x14ac:dyDescent="0.25">
      <c r="A284" s="34">
        <f t="shared" si="49"/>
        <v>275</v>
      </c>
      <c r="B284" s="14"/>
      <c r="C284" s="14"/>
      <c r="D284" s="7"/>
      <c r="E284" s="7"/>
      <c r="F284" s="7"/>
      <c r="G284" s="10"/>
      <c r="H284" s="11"/>
      <c r="I284" s="11"/>
      <c r="J284" s="11"/>
      <c r="K284" s="11"/>
      <c r="L284" s="11"/>
      <c r="M284" s="11"/>
      <c r="N284" s="50"/>
      <c r="O284" s="53"/>
      <c r="P284" s="36"/>
      <c r="Q284" s="49" t="str">
        <f t="shared" si="50"/>
        <v/>
      </c>
      <c r="R284" s="33"/>
      <c r="S284" s="38"/>
      <c r="T284" s="38"/>
      <c r="U284" s="82"/>
      <c r="V284" s="7"/>
      <c r="W284" s="35" t="str">
        <f t="shared" si="51"/>
        <v/>
      </c>
      <c r="X284" s="35" t="str">
        <f t="shared" si="46"/>
        <v/>
      </c>
      <c r="Y284" s="35" t="str">
        <f t="shared" si="47"/>
        <v/>
      </c>
      <c r="Z284" s="35" t="str">
        <f t="shared" si="48"/>
        <v/>
      </c>
      <c r="AA284" s="82"/>
      <c r="AB284" s="82"/>
    </row>
    <row r="285" spans="1:28" x14ac:dyDescent="0.25">
      <c r="A285" s="34">
        <f t="shared" si="49"/>
        <v>276</v>
      </c>
      <c r="B285" s="14"/>
      <c r="C285" s="14"/>
      <c r="D285" s="7"/>
      <c r="E285" s="7"/>
      <c r="F285" s="7"/>
      <c r="G285" s="10"/>
      <c r="H285" s="11"/>
      <c r="I285" s="11"/>
      <c r="J285" s="11"/>
      <c r="K285" s="11"/>
      <c r="L285" s="11"/>
      <c r="M285" s="11"/>
      <c r="N285" s="50"/>
      <c r="O285" s="53"/>
      <c r="P285" s="36"/>
      <c r="Q285" s="49" t="str">
        <f t="shared" si="50"/>
        <v/>
      </c>
      <c r="R285" s="33"/>
      <c r="S285" s="38"/>
      <c r="T285" s="38"/>
      <c r="U285" s="82"/>
      <c r="V285" s="7"/>
      <c r="W285" s="35" t="str">
        <f t="shared" si="51"/>
        <v/>
      </c>
      <c r="X285" s="35" t="str">
        <f t="shared" si="46"/>
        <v/>
      </c>
      <c r="Y285" s="35" t="str">
        <f t="shared" si="47"/>
        <v/>
      </c>
      <c r="Z285" s="35" t="str">
        <f t="shared" si="48"/>
        <v/>
      </c>
      <c r="AA285" s="82"/>
      <c r="AB285" s="82"/>
    </row>
    <row r="286" spans="1:28" x14ac:dyDescent="0.25">
      <c r="A286" s="34">
        <f t="shared" si="49"/>
        <v>277</v>
      </c>
      <c r="B286" s="14"/>
      <c r="C286" s="14"/>
      <c r="D286" s="7"/>
      <c r="E286" s="7"/>
      <c r="F286" s="7"/>
      <c r="G286" s="10"/>
      <c r="H286" s="11"/>
      <c r="I286" s="11"/>
      <c r="J286" s="11"/>
      <c r="K286" s="11"/>
      <c r="L286" s="11"/>
      <c r="M286" s="11"/>
      <c r="N286" s="50"/>
      <c r="O286" s="53"/>
      <c r="P286" s="36"/>
      <c r="Q286" s="49" t="str">
        <f t="shared" si="50"/>
        <v/>
      </c>
      <c r="R286" s="33"/>
      <c r="S286" s="38"/>
      <c r="T286" s="38"/>
      <c r="U286" s="82"/>
      <c r="V286" s="7"/>
      <c r="W286" s="35" t="str">
        <f t="shared" si="51"/>
        <v/>
      </c>
      <c r="X286" s="35" t="str">
        <f t="shared" si="46"/>
        <v/>
      </c>
      <c r="Y286" s="35" t="str">
        <f t="shared" si="47"/>
        <v/>
      </c>
      <c r="Z286" s="35" t="str">
        <f t="shared" si="48"/>
        <v/>
      </c>
      <c r="AA286" s="82"/>
      <c r="AB286" s="82"/>
    </row>
    <row r="287" spans="1:28" x14ac:dyDescent="0.25">
      <c r="A287" s="34">
        <f t="shared" si="49"/>
        <v>278</v>
      </c>
      <c r="B287" s="14"/>
      <c r="C287" s="14"/>
      <c r="D287" s="7"/>
      <c r="E287" s="7"/>
      <c r="F287" s="7"/>
      <c r="G287" s="10"/>
      <c r="H287" s="11"/>
      <c r="I287" s="11"/>
      <c r="J287" s="11"/>
      <c r="K287" s="11"/>
      <c r="L287" s="11"/>
      <c r="M287" s="11"/>
      <c r="N287" s="50"/>
      <c r="O287" s="53"/>
      <c r="P287" s="36"/>
      <c r="Q287" s="49" t="str">
        <f t="shared" si="50"/>
        <v/>
      </c>
      <c r="R287" s="33"/>
      <c r="S287" s="38"/>
      <c r="T287" s="38"/>
      <c r="U287" s="82"/>
      <c r="V287" s="7"/>
      <c r="W287" s="35" t="str">
        <f t="shared" si="51"/>
        <v/>
      </c>
      <c r="X287" s="35" t="str">
        <f t="shared" si="46"/>
        <v/>
      </c>
      <c r="Y287" s="35" t="str">
        <f t="shared" si="47"/>
        <v/>
      </c>
      <c r="Z287" s="35" t="str">
        <f t="shared" si="48"/>
        <v/>
      </c>
      <c r="AA287" s="82"/>
      <c r="AB287" s="82"/>
    </row>
    <row r="288" spans="1:28" x14ac:dyDescent="0.25">
      <c r="A288" s="34">
        <f t="shared" si="49"/>
        <v>279</v>
      </c>
      <c r="B288" s="14"/>
      <c r="C288" s="14"/>
      <c r="D288" s="7"/>
      <c r="E288" s="7"/>
      <c r="F288" s="7"/>
      <c r="G288" s="10"/>
      <c r="H288" s="11"/>
      <c r="I288" s="11"/>
      <c r="J288" s="11"/>
      <c r="K288" s="11"/>
      <c r="L288" s="11"/>
      <c r="M288" s="11"/>
      <c r="N288" s="50"/>
      <c r="O288" s="53"/>
      <c r="P288" s="36"/>
      <c r="Q288" s="49" t="str">
        <f t="shared" si="50"/>
        <v/>
      </c>
      <c r="R288" s="33"/>
      <c r="S288" s="38"/>
      <c r="T288" s="38"/>
      <c r="U288" s="82"/>
      <c r="V288" s="7"/>
      <c r="W288" s="35" t="str">
        <f t="shared" si="51"/>
        <v/>
      </c>
      <c r="X288" s="35" t="str">
        <f t="shared" si="46"/>
        <v/>
      </c>
      <c r="Y288" s="35" t="str">
        <f t="shared" si="47"/>
        <v/>
      </c>
      <c r="Z288" s="35" t="str">
        <f t="shared" si="48"/>
        <v/>
      </c>
      <c r="AA288" s="82"/>
      <c r="AB288" s="82"/>
    </row>
    <row r="289" spans="1:28" x14ac:dyDescent="0.25">
      <c r="A289" s="34">
        <f t="shared" si="49"/>
        <v>280</v>
      </c>
      <c r="B289" s="14"/>
      <c r="C289" s="14"/>
      <c r="D289" s="7"/>
      <c r="E289" s="7"/>
      <c r="F289" s="7"/>
      <c r="G289" s="10"/>
      <c r="H289" s="11"/>
      <c r="I289" s="11"/>
      <c r="J289" s="11"/>
      <c r="K289" s="11"/>
      <c r="L289" s="11"/>
      <c r="M289" s="11"/>
      <c r="N289" s="50"/>
      <c r="O289" s="53"/>
      <c r="P289" s="36"/>
      <c r="Q289" s="49" t="str">
        <f t="shared" si="50"/>
        <v/>
      </c>
      <c r="R289" s="33"/>
      <c r="S289" s="38"/>
      <c r="T289" s="38"/>
      <c r="U289" s="82"/>
      <c r="V289" s="7"/>
      <c r="W289" s="35" t="str">
        <f t="shared" si="51"/>
        <v/>
      </c>
      <c r="X289" s="35" t="str">
        <f t="shared" si="46"/>
        <v/>
      </c>
      <c r="Y289" s="35" t="str">
        <f t="shared" si="47"/>
        <v/>
      </c>
      <c r="Z289" s="35" t="str">
        <f t="shared" si="48"/>
        <v/>
      </c>
      <c r="AA289" s="82"/>
      <c r="AB289" s="82"/>
    </row>
    <row r="290" spans="1:28" x14ac:dyDescent="0.25">
      <c r="A290" s="34">
        <f t="shared" si="49"/>
        <v>281</v>
      </c>
      <c r="B290" s="14"/>
      <c r="C290" s="14"/>
      <c r="D290" s="7"/>
      <c r="E290" s="7"/>
      <c r="F290" s="7"/>
      <c r="G290" s="10"/>
      <c r="H290" s="11"/>
      <c r="I290" s="11"/>
      <c r="J290" s="11"/>
      <c r="K290" s="11"/>
      <c r="L290" s="11"/>
      <c r="M290" s="11"/>
      <c r="N290" s="50"/>
      <c r="O290" s="53"/>
      <c r="P290" s="36"/>
      <c r="Q290" s="49" t="str">
        <f t="shared" si="50"/>
        <v/>
      </c>
      <c r="R290" s="33"/>
      <c r="S290" s="38"/>
      <c r="T290" s="38"/>
      <c r="U290" s="82"/>
      <c r="V290" s="7"/>
      <c r="W290" s="35" t="str">
        <f t="shared" si="51"/>
        <v/>
      </c>
      <c r="X290" s="35" t="str">
        <f t="shared" si="46"/>
        <v/>
      </c>
      <c r="Y290" s="35" t="str">
        <f t="shared" si="47"/>
        <v/>
      </c>
      <c r="Z290" s="35" t="str">
        <f t="shared" si="48"/>
        <v/>
      </c>
      <c r="AA290" s="82"/>
      <c r="AB290" s="82"/>
    </row>
    <row r="291" spans="1:28" x14ac:dyDescent="0.25">
      <c r="A291" s="34">
        <f t="shared" si="49"/>
        <v>282</v>
      </c>
      <c r="B291" s="14"/>
      <c r="C291" s="14"/>
      <c r="D291" s="7"/>
      <c r="E291" s="7"/>
      <c r="F291" s="7"/>
      <c r="G291" s="10"/>
      <c r="H291" s="11"/>
      <c r="I291" s="11"/>
      <c r="J291" s="11"/>
      <c r="K291" s="11"/>
      <c r="L291" s="11"/>
      <c r="M291" s="11"/>
      <c r="N291" s="50"/>
      <c r="O291" s="53"/>
      <c r="P291" s="36"/>
      <c r="Q291" s="49" t="str">
        <f t="shared" si="50"/>
        <v/>
      </c>
      <c r="R291" s="33"/>
      <c r="S291" s="38"/>
      <c r="T291" s="38"/>
      <c r="U291" s="82"/>
      <c r="V291" s="7"/>
      <c r="W291" s="35" t="str">
        <f t="shared" si="51"/>
        <v/>
      </c>
      <c r="X291" s="35" t="str">
        <f t="shared" si="46"/>
        <v/>
      </c>
      <c r="Y291" s="35" t="str">
        <f t="shared" si="47"/>
        <v/>
      </c>
      <c r="Z291" s="35" t="str">
        <f t="shared" si="48"/>
        <v/>
      </c>
      <c r="AA291" s="82"/>
      <c r="AB291" s="82"/>
    </row>
    <row r="292" spans="1:28" x14ac:dyDescent="0.25">
      <c r="A292" s="34">
        <f t="shared" si="49"/>
        <v>283</v>
      </c>
      <c r="B292" s="14"/>
      <c r="C292" s="14"/>
      <c r="D292" s="7"/>
      <c r="E292" s="7"/>
      <c r="F292" s="7"/>
      <c r="G292" s="10"/>
      <c r="H292" s="11"/>
      <c r="I292" s="11"/>
      <c r="J292" s="11"/>
      <c r="K292" s="11"/>
      <c r="L292" s="11"/>
      <c r="M292" s="11"/>
      <c r="N292" s="50"/>
      <c r="O292" s="53"/>
      <c r="P292" s="36"/>
      <c r="Q292" s="49" t="str">
        <f t="shared" si="50"/>
        <v/>
      </c>
      <c r="R292" s="33"/>
      <c r="S292" s="38"/>
      <c r="T292" s="38"/>
      <c r="U292" s="82"/>
      <c r="V292" s="7"/>
      <c r="W292" s="35" t="str">
        <f t="shared" si="51"/>
        <v/>
      </c>
      <c r="X292" s="35" t="str">
        <f t="shared" si="46"/>
        <v/>
      </c>
      <c r="Y292" s="35" t="str">
        <f t="shared" si="47"/>
        <v/>
      </c>
      <c r="Z292" s="35" t="str">
        <f t="shared" si="48"/>
        <v/>
      </c>
      <c r="AA292" s="82"/>
      <c r="AB292" s="82"/>
    </row>
    <row r="293" spans="1:28" x14ac:dyDescent="0.25">
      <c r="A293" s="34">
        <f t="shared" si="49"/>
        <v>284</v>
      </c>
      <c r="B293" s="14"/>
      <c r="C293" s="14"/>
      <c r="D293" s="7"/>
      <c r="E293" s="7"/>
      <c r="F293" s="7"/>
      <c r="G293" s="10"/>
      <c r="H293" s="11"/>
      <c r="I293" s="11"/>
      <c r="J293" s="11"/>
      <c r="K293" s="11"/>
      <c r="L293" s="11"/>
      <c r="M293" s="11"/>
      <c r="N293" s="50"/>
      <c r="O293" s="53"/>
      <c r="P293" s="36"/>
      <c r="Q293" s="49" t="str">
        <f t="shared" si="50"/>
        <v/>
      </c>
      <c r="R293" s="33"/>
      <c r="S293" s="38"/>
      <c r="T293" s="38"/>
      <c r="U293" s="82"/>
      <c r="V293" s="7"/>
      <c r="W293" s="35" t="str">
        <f t="shared" si="51"/>
        <v/>
      </c>
      <c r="X293" s="35" t="str">
        <f t="shared" si="46"/>
        <v/>
      </c>
      <c r="Y293" s="35" t="str">
        <f t="shared" si="47"/>
        <v/>
      </c>
      <c r="Z293" s="35" t="str">
        <f t="shared" si="48"/>
        <v/>
      </c>
      <c r="AA293" s="82"/>
      <c r="AB293" s="82"/>
    </row>
    <row r="294" spans="1:28" x14ac:dyDescent="0.25">
      <c r="A294" s="34">
        <f t="shared" si="49"/>
        <v>285</v>
      </c>
      <c r="B294" s="14"/>
      <c r="C294" s="14"/>
      <c r="D294" s="7"/>
      <c r="E294" s="7"/>
      <c r="F294" s="7"/>
      <c r="G294" s="10"/>
      <c r="H294" s="11"/>
      <c r="I294" s="11"/>
      <c r="J294" s="11"/>
      <c r="K294" s="11"/>
      <c r="L294" s="11"/>
      <c r="M294" s="11"/>
      <c r="N294" s="50"/>
      <c r="O294" s="53"/>
      <c r="P294" s="36"/>
      <c r="Q294" s="49" t="str">
        <f t="shared" si="50"/>
        <v/>
      </c>
      <c r="R294" s="33"/>
      <c r="S294" s="38"/>
      <c r="T294" s="38"/>
      <c r="U294" s="82"/>
      <c r="V294" s="7"/>
      <c r="W294" s="35" t="str">
        <f t="shared" si="51"/>
        <v/>
      </c>
      <c r="X294" s="35" t="str">
        <f t="shared" si="46"/>
        <v/>
      </c>
      <c r="Y294" s="35" t="str">
        <f t="shared" si="47"/>
        <v/>
      </c>
      <c r="Z294" s="35" t="str">
        <f t="shared" si="48"/>
        <v/>
      </c>
      <c r="AA294" s="82"/>
      <c r="AB294" s="82"/>
    </row>
    <row r="295" spans="1:28" x14ac:dyDescent="0.25">
      <c r="A295" s="34">
        <f t="shared" si="49"/>
        <v>286</v>
      </c>
      <c r="B295" s="14"/>
      <c r="C295" s="14"/>
      <c r="D295" s="7"/>
      <c r="E295" s="7"/>
      <c r="F295" s="7"/>
      <c r="G295" s="10"/>
      <c r="H295" s="11"/>
      <c r="I295" s="11"/>
      <c r="J295" s="11"/>
      <c r="K295" s="11"/>
      <c r="L295" s="11"/>
      <c r="M295" s="11"/>
      <c r="N295" s="50"/>
      <c r="O295" s="53"/>
      <c r="P295" s="36"/>
      <c r="Q295" s="49" t="str">
        <f t="shared" ref="Q295:Q309" si="52">IF(O295="c",+N295,"")</f>
        <v/>
      </c>
      <c r="R295" s="33"/>
      <c r="S295" s="38"/>
      <c r="T295" s="38"/>
      <c r="U295" s="82"/>
      <c r="V295" s="7"/>
      <c r="W295" s="35" t="str">
        <f t="shared" si="51"/>
        <v/>
      </c>
      <c r="X295" s="35" t="str">
        <f t="shared" si="46"/>
        <v/>
      </c>
      <c r="Y295" s="35" t="str">
        <f t="shared" si="47"/>
        <v/>
      </c>
      <c r="Z295" s="35" t="str">
        <f t="shared" si="48"/>
        <v/>
      </c>
      <c r="AA295" s="82"/>
      <c r="AB295" s="82"/>
    </row>
    <row r="296" spans="1:28" x14ac:dyDescent="0.25">
      <c r="A296" s="34">
        <f t="shared" si="49"/>
        <v>287</v>
      </c>
      <c r="B296" s="14"/>
      <c r="C296" s="14"/>
      <c r="D296" s="7"/>
      <c r="E296" s="7"/>
      <c r="F296" s="7"/>
      <c r="G296" s="10"/>
      <c r="H296" s="11"/>
      <c r="I296" s="11"/>
      <c r="J296" s="11"/>
      <c r="K296" s="11"/>
      <c r="L296" s="11"/>
      <c r="M296" s="11"/>
      <c r="N296" s="50"/>
      <c r="O296" s="53"/>
      <c r="P296" s="36"/>
      <c r="Q296" s="49" t="str">
        <f t="shared" si="52"/>
        <v/>
      </c>
      <c r="R296" s="33"/>
      <c r="S296" s="38"/>
      <c r="T296" s="38"/>
      <c r="U296" s="82"/>
      <c r="V296" s="7"/>
      <c r="W296" s="35" t="str">
        <f t="shared" si="51"/>
        <v/>
      </c>
      <c r="X296" s="35" t="str">
        <f t="shared" si="46"/>
        <v/>
      </c>
      <c r="Y296" s="35" t="str">
        <f t="shared" si="47"/>
        <v/>
      </c>
      <c r="Z296" s="35" t="str">
        <f t="shared" si="48"/>
        <v/>
      </c>
      <c r="AA296" s="82"/>
      <c r="AB296" s="82"/>
    </row>
    <row r="297" spans="1:28" x14ac:dyDescent="0.25">
      <c r="A297" s="34">
        <f t="shared" si="49"/>
        <v>288</v>
      </c>
      <c r="B297" s="14"/>
      <c r="C297" s="14"/>
      <c r="D297" s="7"/>
      <c r="E297" s="7"/>
      <c r="F297" s="7"/>
      <c r="G297" s="10"/>
      <c r="H297" s="11"/>
      <c r="I297" s="11"/>
      <c r="J297" s="11"/>
      <c r="K297" s="11"/>
      <c r="L297" s="11"/>
      <c r="M297" s="11"/>
      <c r="N297" s="50"/>
      <c r="O297" s="53"/>
      <c r="P297" s="36"/>
      <c r="Q297" s="49" t="str">
        <f t="shared" si="52"/>
        <v/>
      </c>
      <c r="R297" s="33"/>
      <c r="S297" s="38"/>
      <c r="T297" s="38"/>
      <c r="U297" s="82"/>
      <c r="V297" s="7"/>
      <c r="W297" s="35" t="str">
        <f t="shared" si="51"/>
        <v/>
      </c>
      <c r="X297" s="35" t="str">
        <f t="shared" si="46"/>
        <v/>
      </c>
      <c r="Y297" s="35" t="str">
        <f t="shared" si="47"/>
        <v/>
      </c>
      <c r="Z297" s="35" t="str">
        <f t="shared" si="48"/>
        <v/>
      </c>
      <c r="AA297" s="82"/>
      <c r="AB297" s="82"/>
    </row>
    <row r="298" spans="1:28" x14ac:dyDescent="0.25">
      <c r="A298" s="34">
        <f t="shared" si="49"/>
        <v>289</v>
      </c>
      <c r="B298" s="14"/>
      <c r="C298" s="14"/>
      <c r="D298" s="7"/>
      <c r="E298" s="7"/>
      <c r="F298" s="7"/>
      <c r="G298" s="10"/>
      <c r="H298" s="11"/>
      <c r="I298" s="11"/>
      <c r="J298" s="11"/>
      <c r="K298" s="11"/>
      <c r="L298" s="11"/>
      <c r="M298" s="11"/>
      <c r="N298" s="50"/>
      <c r="O298" s="53"/>
      <c r="P298" s="36"/>
      <c r="Q298" s="49" t="str">
        <f t="shared" si="52"/>
        <v/>
      </c>
      <c r="R298" s="33"/>
      <c r="S298" s="38"/>
      <c r="T298" s="38"/>
      <c r="U298" s="82"/>
      <c r="V298" s="7"/>
      <c r="W298" s="35" t="str">
        <f t="shared" si="51"/>
        <v/>
      </c>
      <c r="X298" s="35" t="str">
        <f t="shared" si="46"/>
        <v/>
      </c>
      <c r="Y298" s="35" t="str">
        <f t="shared" si="47"/>
        <v/>
      </c>
      <c r="Z298" s="35" t="str">
        <f t="shared" si="48"/>
        <v/>
      </c>
      <c r="AA298" s="82"/>
      <c r="AB298" s="82"/>
    </row>
    <row r="299" spans="1:28" x14ac:dyDescent="0.25">
      <c r="A299" s="34">
        <f t="shared" si="49"/>
        <v>290</v>
      </c>
      <c r="B299" s="14"/>
      <c r="C299" s="14"/>
      <c r="D299" s="7"/>
      <c r="E299" s="7"/>
      <c r="F299" s="7"/>
      <c r="G299" s="10"/>
      <c r="H299" s="11"/>
      <c r="I299" s="11"/>
      <c r="J299" s="11"/>
      <c r="K299" s="11"/>
      <c r="L299" s="11"/>
      <c r="M299" s="11"/>
      <c r="N299" s="50"/>
      <c r="O299" s="53"/>
      <c r="P299" s="36"/>
      <c r="Q299" s="49" t="str">
        <f t="shared" si="52"/>
        <v/>
      </c>
      <c r="R299" s="33"/>
      <c r="S299" s="38"/>
      <c r="T299" s="38"/>
      <c r="U299" s="82"/>
      <c r="V299" s="7"/>
      <c r="W299" s="35" t="str">
        <f t="shared" si="51"/>
        <v/>
      </c>
      <c r="X299" s="35" t="str">
        <f t="shared" si="46"/>
        <v/>
      </c>
      <c r="Y299" s="35" t="str">
        <f t="shared" si="47"/>
        <v/>
      </c>
      <c r="Z299" s="35" t="str">
        <f t="shared" si="48"/>
        <v/>
      </c>
      <c r="AA299" s="82"/>
      <c r="AB299" s="82"/>
    </row>
    <row r="300" spans="1:28" x14ac:dyDescent="0.25">
      <c r="A300" s="34">
        <f t="shared" si="49"/>
        <v>291</v>
      </c>
      <c r="B300" s="14"/>
      <c r="C300" s="14"/>
      <c r="D300" s="7"/>
      <c r="E300" s="7"/>
      <c r="F300" s="7"/>
      <c r="G300" s="10"/>
      <c r="H300" s="11"/>
      <c r="I300" s="11"/>
      <c r="J300" s="11"/>
      <c r="K300" s="11"/>
      <c r="L300" s="11"/>
      <c r="M300" s="11"/>
      <c r="N300" s="50"/>
      <c r="O300" s="53"/>
      <c r="P300" s="36"/>
      <c r="Q300" s="49" t="str">
        <f t="shared" si="52"/>
        <v/>
      </c>
      <c r="R300" s="33"/>
      <c r="S300" s="38"/>
      <c r="T300" s="38"/>
      <c r="U300" s="82"/>
      <c r="V300" s="7"/>
      <c r="W300" s="35" t="str">
        <f t="shared" si="51"/>
        <v/>
      </c>
      <c r="X300" s="35" t="str">
        <f t="shared" si="46"/>
        <v/>
      </c>
      <c r="Y300" s="35" t="str">
        <f t="shared" si="47"/>
        <v/>
      </c>
      <c r="Z300" s="35" t="str">
        <f t="shared" si="48"/>
        <v/>
      </c>
      <c r="AA300" s="82"/>
      <c r="AB300" s="82"/>
    </row>
    <row r="301" spans="1:28" x14ac:dyDescent="0.25">
      <c r="A301" s="34">
        <f t="shared" si="49"/>
        <v>292</v>
      </c>
      <c r="B301" s="14"/>
      <c r="C301" s="14"/>
      <c r="D301" s="7"/>
      <c r="E301" s="7"/>
      <c r="F301" s="7"/>
      <c r="G301" s="10"/>
      <c r="H301" s="11"/>
      <c r="I301" s="11"/>
      <c r="J301" s="11"/>
      <c r="K301" s="11"/>
      <c r="L301" s="11"/>
      <c r="M301" s="11"/>
      <c r="N301" s="50"/>
      <c r="O301" s="53"/>
      <c r="P301" s="36"/>
      <c r="Q301" s="49" t="str">
        <f t="shared" si="52"/>
        <v/>
      </c>
      <c r="R301" s="33"/>
      <c r="S301" s="38"/>
      <c r="T301" s="38"/>
      <c r="U301" s="82"/>
      <c r="V301" s="7"/>
      <c r="W301" s="35" t="str">
        <f t="shared" si="51"/>
        <v/>
      </c>
      <c r="X301" s="35" t="str">
        <f t="shared" si="46"/>
        <v/>
      </c>
      <c r="Y301" s="35" t="str">
        <f t="shared" si="47"/>
        <v/>
      </c>
      <c r="Z301" s="35" t="str">
        <f t="shared" si="48"/>
        <v/>
      </c>
      <c r="AA301" s="82"/>
      <c r="AB301" s="82"/>
    </row>
    <row r="302" spans="1:28" x14ac:dyDescent="0.25">
      <c r="A302" s="34">
        <f t="shared" si="49"/>
        <v>293</v>
      </c>
      <c r="B302" s="14"/>
      <c r="C302" s="14"/>
      <c r="D302" s="7"/>
      <c r="E302" s="7"/>
      <c r="F302" s="7"/>
      <c r="G302" s="10"/>
      <c r="H302" s="11"/>
      <c r="I302" s="11"/>
      <c r="J302" s="11"/>
      <c r="K302" s="11"/>
      <c r="L302" s="11"/>
      <c r="M302" s="11"/>
      <c r="N302" s="50"/>
      <c r="O302" s="53"/>
      <c r="P302" s="36"/>
      <c r="Q302" s="49" t="str">
        <f t="shared" si="52"/>
        <v/>
      </c>
      <c r="R302" s="33"/>
      <c r="S302" s="38"/>
      <c r="T302" s="38"/>
      <c r="U302" s="82"/>
      <c r="V302" s="7"/>
      <c r="W302" s="35" t="str">
        <f t="shared" si="51"/>
        <v/>
      </c>
      <c r="X302" s="35" t="str">
        <f t="shared" si="46"/>
        <v/>
      </c>
      <c r="Y302" s="35" t="str">
        <f t="shared" si="47"/>
        <v/>
      </c>
      <c r="Z302" s="35" t="str">
        <f t="shared" si="48"/>
        <v/>
      </c>
      <c r="AA302" s="82"/>
      <c r="AB302" s="82"/>
    </row>
    <row r="303" spans="1:28" x14ac:dyDescent="0.25">
      <c r="A303" s="34">
        <f t="shared" si="49"/>
        <v>294</v>
      </c>
      <c r="B303" s="14"/>
      <c r="C303" s="14"/>
      <c r="D303" s="7"/>
      <c r="E303" s="7"/>
      <c r="F303" s="7"/>
      <c r="G303" s="10"/>
      <c r="H303" s="11"/>
      <c r="I303" s="11"/>
      <c r="J303" s="11"/>
      <c r="K303" s="11"/>
      <c r="L303" s="11"/>
      <c r="M303" s="11"/>
      <c r="N303" s="50"/>
      <c r="O303" s="53"/>
      <c r="P303" s="36"/>
      <c r="Q303" s="49" t="str">
        <f t="shared" si="52"/>
        <v/>
      </c>
      <c r="R303" s="33"/>
      <c r="S303" s="38"/>
      <c r="T303" s="38"/>
      <c r="U303" s="82"/>
      <c r="V303" s="7"/>
      <c r="W303" s="35" t="str">
        <f t="shared" si="51"/>
        <v/>
      </c>
      <c r="X303" s="35" t="str">
        <f t="shared" si="46"/>
        <v/>
      </c>
      <c r="Y303" s="35" t="str">
        <f t="shared" si="47"/>
        <v/>
      </c>
      <c r="Z303" s="35" t="str">
        <f t="shared" si="48"/>
        <v/>
      </c>
      <c r="AA303" s="82"/>
      <c r="AB303" s="82"/>
    </row>
    <row r="304" spans="1:28" x14ac:dyDescent="0.25">
      <c r="A304" s="34">
        <f t="shared" si="49"/>
        <v>295</v>
      </c>
      <c r="B304" s="14"/>
      <c r="C304" s="14"/>
      <c r="D304" s="7"/>
      <c r="E304" s="7"/>
      <c r="F304" s="7"/>
      <c r="G304" s="10"/>
      <c r="H304" s="11"/>
      <c r="I304" s="11"/>
      <c r="J304" s="11"/>
      <c r="K304" s="11"/>
      <c r="L304" s="11"/>
      <c r="M304" s="11"/>
      <c r="N304" s="50"/>
      <c r="O304" s="53"/>
      <c r="P304" s="36"/>
      <c r="Q304" s="49" t="str">
        <f t="shared" si="52"/>
        <v/>
      </c>
      <c r="R304" s="33"/>
      <c r="S304" s="38"/>
      <c r="T304" s="38"/>
      <c r="U304" s="82"/>
      <c r="V304" s="7"/>
      <c r="W304" s="35" t="str">
        <f t="shared" si="51"/>
        <v/>
      </c>
      <c r="X304" s="35" t="str">
        <f t="shared" si="46"/>
        <v/>
      </c>
      <c r="Y304" s="35" t="str">
        <f t="shared" si="47"/>
        <v/>
      </c>
      <c r="Z304" s="35" t="str">
        <f t="shared" si="48"/>
        <v/>
      </c>
      <c r="AA304" s="82"/>
      <c r="AB304" s="82"/>
    </row>
    <row r="305" spans="1:28" x14ac:dyDescent="0.25">
      <c r="A305" s="34">
        <f t="shared" si="49"/>
        <v>296</v>
      </c>
      <c r="B305" s="14"/>
      <c r="C305" s="14"/>
      <c r="D305" s="7"/>
      <c r="E305" s="7"/>
      <c r="F305" s="7"/>
      <c r="G305" s="10"/>
      <c r="H305" s="11"/>
      <c r="I305" s="11"/>
      <c r="J305" s="11"/>
      <c r="K305" s="11"/>
      <c r="L305" s="11"/>
      <c r="M305" s="11"/>
      <c r="N305" s="50"/>
      <c r="O305" s="53"/>
      <c r="P305" s="36"/>
      <c r="Q305" s="49" t="str">
        <f t="shared" si="52"/>
        <v/>
      </c>
      <c r="R305" s="33"/>
      <c r="S305" s="38"/>
      <c r="T305" s="38"/>
      <c r="U305" s="82"/>
      <c r="V305" s="7"/>
      <c r="W305" s="35" t="str">
        <f t="shared" si="51"/>
        <v/>
      </c>
      <c r="X305" s="35" t="str">
        <f t="shared" si="46"/>
        <v/>
      </c>
      <c r="Y305" s="35" t="str">
        <f t="shared" si="47"/>
        <v/>
      </c>
      <c r="Z305" s="35" t="str">
        <f t="shared" si="48"/>
        <v/>
      </c>
      <c r="AA305" s="82"/>
      <c r="AB305" s="82"/>
    </row>
    <row r="306" spans="1:28" x14ac:dyDescent="0.25">
      <c r="A306" s="34">
        <f t="shared" si="49"/>
        <v>297</v>
      </c>
      <c r="B306" s="14"/>
      <c r="C306" s="14"/>
      <c r="D306" s="7"/>
      <c r="E306" s="7"/>
      <c r="F306" s="7"/>
      <c r="G306" s="10"/>
      <c r="H306" s="11"/>
      <c r="I306" s="11"/>
      <c r="J306" s="11"/>
      <c r="K306" s="11"/>
      <c r="L306" s="11"/>
      <c r="M306" s="11"/>
      <c r="N306" s="50"/>
      <c r="O306" s="53"/>
      <c r="P306" s="36"/>
      <c r="Q306" s="49" t="str">
        <f t="shared" si="52"/>
        <v/>
      </c>
      <c r="R306" s="33"/>
      <c r="S306" s="38"/>
      <c r="T306" s="38"/>
      <c r="U306" s="82"/>
      <c r="V306" s="7"/>
      <c r="W306" s="35" t="str">
        <f t="shared" si="51"/>
        <v/>
      </c>
      <c r="X306" s="35" t="str">
        <f t="shared" si="46"/>
        <v/>
      </c>
      <c r="Y306" s="35" t="str">
        <f t="shared" si="47"/>
        <v/>
      </c>
      <c r="Z306" s="35" t="str">
        <f t="shared" si="48"/>
        <v/>
      </c>
      <c r="AA306" s="82"/>
      <c r="AB306" s="82"/>
    </row>
    <row r="307" spans="1:28" x14ac:dyDescent="0.25">
      <c r="A307" s="34">
        <f t="shared" si="49"/>
        <v>298</v>
      </c>
      <c r="B307" s="14"/>
      <c r="C307" s="14"/>
      <c r="D307" s="7"/>
      <c r="E307" s="7"/>
      <c r="F307" s="7"/>
      <c r="G307" s="10"/>
      <c r="H307" s="11"/>
      <c r="I307" s="11"/>
      <c r="J307" s="11"/>
      <c r="K307" s="11"/>
      <c r="L307" s="11"/>
      <c r="M307" s="11"/>
      <c r="N307" s="50"/>
      <c r="O307" s="53"/>
      <c r="P307" s="36"/>
      <c r="Q307" s="49" t="str">
        <f t="shared" si="52"/>
        <v/>
      </c>
      <c r="R307" s="33"/>
      <c r="S307" s="38"/>
      <c r="T307" s="38"/>
      <c r="U307" s="82"/>
      <c r="V307" s="7"/>
      <c r="W307" s="35" t="str">
        <f t="shared" si="51"/>
        <v/>
      </c>
      <c r="X307" s="35" t="str">
        <f t="shared" si="46"/>
        <v/>
      </c>
      <c r="Y307" s="35" t="str">
        <f t="shared" si="47"/>
        <v/>
      </c>
      <c r="Z307" s="35" t="str">
        <f t="shared" si="48"/>
        <v/>
      </c>
      <c r="AA307" s="82"/>
      <c r="AB307" s="82"/>
    </row>
    <row r="308" spans="1:28" x14ac:dyDescent="0.25">
      <c r="A308" s="34">
        <f t="shared" si="49"/>
        <v>299</v>
      </c>
      <c r="B308" s="14"/>
      <c r="C308" s="14"/>
      <c r="D308" s="7"/>
      <c r="E308" s="7"/>
      <c r="F308" s="7"/>
      <c r="G308" s="10"/>
      <c r="H308" s="11"/>
      <c r="I308" s="11"/>
      <c r="J308" s="11"/>
      <c r="K308" s="11"/>
      <c r="L308" s="11"/>
      <c r="M308" s="11"/>
      <c r="N308" s="50"/>
      <c r="O308" s="53"/>
      <c r="P308" s="36"/>
      <c r="Q308" s="49" t="str">
        <f t="shared" si="52"/>
        <v/>
      </c>
      <c r="R308" s="33"/>
      <c r="S308" s="38"/>
      <c r="T308" s="38"/>
      <c r="U308" s="82"/>
      <c r="V308" s="7"/>
      <c r="W308" s="35" t="str">
        <f t="shared" si="51"/>
        <v/>
      </c>
      <c r="X308" s="35" t="str">
        <f t="shared" si="46"/>
        <v/>
      </c>
      <c r="Y308" s="35" t="str">
        <f t="shared" si="47"/>
        <v/>
      </c>
      <c r="Z308" s="35" t="str">
        <f t="shared" si="48"/>
        <v/>
      </c>
      <c r="AA308" s="82"/>
      <c r="AB308" s="82"/>
    </row>
    <row r="309" spans="1:28" x14ac:dyDescent="0.25">
      <c r="A309" s="34">
        <f t="shared" si="49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0"/>
      <c r="O309" s="53"/>
      <c r="P309" s="36"/>
      <c r="Q309" s="49" t="str">
        <f t="shared" si="52"/>
        <v/>
      </c>
      <c r="R309" s="33"/>
      <c r="S309" s="38"/>
      <c r="T309" s="38"/>
      <c r="U309" s="82"/>
      <c r="V309" s="5"/>
      <c r="W309" s="35" t="str">
        <f t="shared" si="51"/>
        <v/>
      </c>
      <c r="X309" s="35" t="str">
        <f t="shared" si="46"/>
        <v/>
      </c>
      <c r="Y309" s="35" t="str">
        <f t="shared" si="47"/>
        <v/>
      </c>
      <c r="Z309" s="35" t="str">
        <f t="shared" si="48"/>
        <v/>
      </c>
      <c r="AA309" s="82"/>
      <c r="AB309" s="82"/>
    </row>
    <row r="310" spans="1:28" x14ac:dyDescent="0.25">
      <c r="A310" s="34">
        <f t="shared" si="49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0"/>
      <c r="O310" s="53"/>
      <c r="P310" s="36"/>
      <c r="Q310" s="49" t="str">
        <f>IF(O310="c",+N310,"")</f>
        <v/>
      </c>
      <c r="R310" s="33"/>
      <c r="S310" s="38"/>
      <c r="T310" s="38"/>
      <c r="U310" s="82"/>
      <c r="V310" s="5"/>
      <c r="W310" s="35" t="str">
        <f t="shared" si="51"/>
        <v/>
      </c>
      <c r="X310" s="35" t="str">
        <f t="shared" si="46"/>
        <v/>
      </c>
      <c r="Y310" s="35" t="str">
        <f t="shared" si="47"/>
        <v/>
      </c>
      <c r="Z310" s="35" t="str">
        <f t="shared" si="48"/>
        <v/>
      </c>
      <c r="AA310" s="82"/>
      <c r="AB310" s="82"/>
    </row>
    <row r="311" spans="1:28" x14ac:dyDescent="0.25">
      <c r="A311" s="34">
        <f t="shared" si="49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0"/>
      <c r="O311" s="53"/>
      <c r="P311" s="36"/>
      <c r="Q311" s="49" t="str">
        <f>IF(O311="c",+N311,"")</f>
        <v/>
      </c>
      <c r="R311" s="33"/>
      <c r="S311" s="38"/>
      <c r="T311" s="38"/>
      <c r="U311" s="82"/>
      <c r="V311" s="5"/>
      <c r="W311" s="35" t="str">
        <f t="shared" si="51"/>
        <v/>
      </c>
      <c r="X311" s="35" t="str">
        <f t="shared" si="46"/>
        <v/>
      </c>
      <c r="Y311" s="35" t="str">
        <f t="shared" si="47"/>
        <v/>
      </c>
      <c r="Z311" s="35" t="str">
        <f t="shared" si="48"/>
        <v/>
      </c>
      <c r="AA311" s="82"/>
      <c r="AB311" s="82"/>
    </row>
    <row r="312" spans="1:28" x14ac:dyDescent="0.25">
      <c r="A312" s="34">
        <f t="shared" si="49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0"/>
      <c r="O312" s="53"/>
      <c r="P312" s="36"/>
      <c r="Q312" s="49" t="str">
        <f t="shared" ref="Q312:Q375" si="53">IF(O312="c",+N312,"")</f>
        <v/>
      </c>
      <c r="R312" s="33"/>
      <c r="S312" s="38"/>
      <c r="T312" s="38"/>
      <c r="U312" s="82"/>
      <c r="V312" s="5"/>
      <c r="W312" s="85"/>
      <c r="X312" s="82"/>
      <c r="Y312" s="82"/>
      <c r="Z312" s="35" t="str">
        <f t="shared" si="48"/>
        <v/>
      </c>
      <c r="AA312" s="82"/>
      <c r="AB312" s="82"/>
    </row>
    <row r="313" spans="1:28" x14ac:dyDescent="0.25">
      <c r="A313" s="34">
        <f t="shared" si="49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0"/>
      <c r="O313" s="53"/>
      <c r="P313" s="36"/>
      <c r="Q313" s="49" t="str">
        <f t="shared" si="53"/>
        <v/>
      </c>
      <c r="R313" s="33"/>
      <c r="S313" s="38"/>
      <c r="T313" s="38"/>
      <c r="U313" s="82"/>
      <c r="V313" s="5"/>
      <c r="W313" s="85"/>
      <c r="X313" s="82"/>
      <c r="Y313" s="82"/>
      <c r="Z313" s="35" t="str">
        <f t="shared" si="48"/>
        <v/>
      </c>
      <c r="AA313" s="82"/>
      <c r="AB313" s="82"/>
    </row>
    <row r="314" spans="1:28" x14ac:dyDescent="0.25">
      <c r="A314" s="34">
        <f t="shared" si="49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0"/>
      <c r="O314" s="53"/>
      <c r="P314" s="36"/>
      <c r="Q314" s="49" t="str">
        <f t="shared" si="53"/>
        <v/>
      </c>
      <c r="R314" s="33"/>
      <c r="S314" s="38"/>
      <c r="T314" s="38"/>
      <c r="U314" s="82"/>
      <c r="V314" s="5"/>
      <c r="W314" s="85"/>
      <c r="X314" s="82"/>
      <c r="Y314" s="82"/>
      <c r="Z314" s="35" t="str">
        <f t="shared" si="48"/>
        <v/>
      </c>
      <c r="AA314" s="82"/>
      <c r="AB314" s="82"/>
    </row>
    <row r="315" spans="1:28" x14ac:dyDescent="0.25">
      <c r="A315" s="34">
        <f t="shared" si="49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0"/>
      <c r="O315" s="53"/>
      <c r="P315" s="36"/>
      <c r="Q315" s="49" t="str">
        <f t="shared" si="53"/>
        <v/>
      </c>
      <c r="R315" s="33"/>
      <c r="S315" s="38"/>
      <c r="T315" s="38"/>
      <c r="U315" s="82"/>
      <c r="V315" s="5"/>
      <c r="W315" s="85"/>
      <c r="X315" s="82"/>
      <c r="Y315" s="82"/>
      <c r="Z315" s="35" t="str">
        <f t="shared" si="48"/>
        <v/>
      </c>
      <c r="AA315" s="82"/>
      <c r="AB315" s="82"/>
    </row>
    <row r="316" spans="1:28" x14ac:dyDescent="0.25">
      <c r="A316" s="34">
        <f t="shared" si="49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0"/>
      <c r="O316" s="53"/>
      <c r="P316" s="36"/>
      <c r="Q316" s="49" t="str">
        <f t="shared" si="53"/>
        <v/>
      </c>
      <c r="R316" s="33"/>
      <c r="S316" s="38"/>
      <c r="T316" s="38"/>
      <c r="U316" s="82"/>
      <c r="V316" s="5"/>
      <c r="W316" s="85"/>
      <c r="X316" s="82"/>
      <c r="Y316" s="82"/>
      <c r="Z316" s="35" t="str">
        <f t="shared" si="48"/>
        <v/>
      </c>
      <c r="AA316" s="82"/>
      <c r="AB316" s="82"/>
    </row>
    <row r="317" spans="1:28" x14ac:dyDescent="0.25">
      <c r="A317" s="34">
        <f t="shared" si="49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0"/>
      <c r="O317" s="53"/>
      <c r="P317" s="36"/>
      <c r="Q317" s="49" t="str">
        <f t="shared" si="53"/>
        <v/>
      </c>
      <c r="R317" s="33"/>
      <c r="S317" s="38"/>
      <c r="T317" s="38"/>
      <c r="U317" s="82"/>
      <c r="V317" s="5"/>
      <c r="W317" s="85"/>
      <c r="X317" s="82"/>
      <c r="Y317" s="82"/>
      <c r="Z317" s="35" t="str">
        <f t="shared" si="48"/>
        <v/>
      </c>
      <c r="AA317" s="82"/>
      <c r="AB317" s="82"/>
    </row>
    <row r="318" spans="1:28" x14ac:dyDescent="0.25">
      <c r="A318" s="34">
        <f t="shared" si="49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0"/>
      <c r="O318" s="53"/>
      <c r="P318" s="36"/>
      <c r="Q318" s="49" t="str">
        <f t="shared" si="53"/>
        <v/>
      </c>
      <c r="R318" s="33"/>
      <c r="S318" s="38"/>
      <c r="T318" s="38"/>
      <c r="U318" s="82"/>
      <c r="V318" s="5"/>
      <c r="W318" s="85"/>
      <c r="X318" s="82"/>
      <c r="Y318" s="82"/>
      <c r="Z318" s="35" t="str">
        <f t="shared" si="48"/>
        <v/>
      </c>
      <c r="AA318" s="82"/>
      <c r="AB318" s="82"/>
    </row>
    <row r="319" spans="1:28" x14ac:dyDescent="0.25">
      <c r="A319" s="34">
        <f t="shared" si="49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0"/>
      <c r="O319" s="53"/>
      <c r="P319" s="36"/>
      <c r="Q319" s="49" t="str">
        <f t="shared" si="53"/>
        <v/>
      </c>
      <c r="R319" s="33"/>
      <c r="S319" s="38"/>
      <c r="T319" s="38"/>
      <c r="U319" s="82"/>
      <c r="V319" s="5"/>
      <c r="W319" s="85"/>
      <c r="X319" s="82"/>
      <c r="Y319" s="82"/>
      <c r="Z319" s="35" t="str">
        <f t="shared" si="48"/>
        <v/>
      </c>
      <c r="AA319" s="82"/>
      <c r="AB319" s="82"/>
    </row>
    <row r="320" spans="1:28" x14ac:dyDescent="0.25">
      <c r="A320" s="34">
        <f t="shared" si="49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0"/>
      <c r="O320" s="53"/>
      <c r="P320" s="36"/>
      <c r="Q320" s="49" t="str">
        <f t="shared" si="53"/>
        <v/>
      </c>
      <c r="R320" s="33"/>
      <c r="S320" s="38"/>
      <c r="T320" s="38"/>
      <c r="U320" s="82"/>
      <c r="V320" s="5"/>
      <c r="W320" s="85"/>
      <c r="X320" s="82"/>
      <c r="Y320" s="82"/>
      <c r="Z320" s="35" t="str">
        <f t="shared" si="48"/>
        <v/>
      </c>
      <c r="AA320" s="82"/>
      <c r="AB320" s="82"/>
    </row>
    <row r="321" spans="1:28" x14ac:dyDescent="0.25">
      <c r="A321" s="34">
        <f t="shared" si="49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0"/>
      <c r="O321" s="53"/>
      <c r="P321" s="36"/>
      <c r="Q321" s="49" t="str">
        <f t="shared" si="53"/>
        <v/>
      </c>
      <c r="R321" s="33"/>
      <c r="S321" s="38"/>
      <c r="T321" s="38"/>
      <c r="U321" s="82"/>
      <c r="V321" s="5"/>
      <c r="W321" s="85"/>
      <c r="X321" s="82"/>
      <c r="Y321" s="82"/>
      <c r="Z321" s="35" t="str">
        <f t="shared" si="48"/>
        <v/>
      </c>
      <c r="AA321" s="82"/>
      <c r="AB321" s="82"/>
    </row>
    <row r="322" spans="1:28" x14ac:dyDescent="0.25">
      <c r="A322" s="34">
        <f t="shared" si="49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0"/>
      <c r="O322" s="53"/>
      <c r="P322" s="36"/>
      <c r="Q322" s="49" t="str">
        <f t="shared" si="53"/>
        <v/>
      </c>
      <c r="R322" s="33"/>
      <c r="S322" s="38"/>
      <c r="T322" s="38"/>
      <c r="U322" s="82"/>
      <c r="V322" s="5"/>
      <c r="W322" s="85"/>
      <c r="X322" s="82"/>
      <c r="Y322" s="82"/>
      <c r="Z322" s="35" t="str">
        <f t="shared" si="48"/>
        <v/>
      </c>
      <c r="AA322" s="82"/>
      <c r="AB322" s="82"/>
    </row>
    <row r="323" spans="1:28" x14ac:dyDescent="0.25">
      <c r="A323" s="34">
        <f t="shared" si="49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0"/>
      <c r="O323" s="53"/>
      <c r="P323" s="36"/>
      <c r="Q323" s="49" t="str">
        <f t="shared" si="53"/>
        <v/>
      </c>
      <c r="R323" s="33"/>
      <c r="S323" s="38"/>
      <c r="T323" s="38"/>
      <c r="U323" s="82"/>
      <c r="V323" s="5"/>
      <c r="W323" s="85"/>
      <c r="X323" s="82"/>
      <c r="Y323" s="82"/>
      <c r="Z323" s="35" t="str">
        <f t="shared" si="48"/>
        <v/>
      </c>
      <c r="AA323" s="82"/>
      <c r="AB323" s="82"/>
    </row>
    <row r="324" spans="1:28" x14ac:dyDescent="0.25">
      <c r="A324" s="34">
        <f t="shared" si="49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0"/>
      <c r="O324" s="53"/>
      <c r="P324" s="36"/>
      <c r="Q324" s="49" t="str">
        <f t="shared" si="53"/>
        <v/>
      </c>
      <c r="R324" s="33"/>
      <c r="S324" s="38"/>
      <c r="T324" s="38"/>
      <c r="U324" s="82"/>
      <c r="V324" s="5"/>
      <c r="W324" s="85"/>
      <c r="X324" s="82"/>
      <c r="Y324" s="82"/>
      <c r="Z324" s="35" t="str">
        <f t="shared" si="48"/>
        <v/>
      </c>
      <c r="AA324" s="82"/>
      <c r="AB324" s="82"/>
    </row>
    <row r="325" spans="1:28" x14ac:dyDescent="0.25">
      <c r="A325" s="34">
        <f t="shared" si="49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0"/>
      <c r="O325" s="53"/>
      <c r="P325" s="36"/>
      <c r="Q325" s="49" t="str">
        <f t="shared" si="53"/>
        <v/>
      </c>
      <c r="R325" s="33"/>
      <c r="S325" s="38"/>
      <c r="T325" s="38"/>
      <c r="U325" s="82"/>
      <c r="V325" s="5"/>
      <c r="W325" s="85"/>
      <c r="X325" s="82"/>
      <c r="Y325" s="82"/>
      <c r="Z325" s="35" t="str">
        <f t="shared" si="48"/>
        <v/>
      </c>
      <c r="AA325" s="82"/>
      <c r="AB325" s="82"/>
    </row>
    <row r="326" spans="1:28" x14ac:dyDescent="0.25">
      <c r="A326" s="34">
        <f t="shared" si="49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0"/>
      <c r="O326" s="53"/>
      <c r="P326" s="36"/>
      <c r="Q326" s="49" t="str">
        <f t="shared" si="53"/>
        <v/>
      </c>
      <c r="R326" s="33"/>
      <c r="S326" s="38"/>
      <c r="T326" s="38"/>
      <c r="U326" s="82"/>
      <c r="V326" s="5"/>
      <c r="W326" s="85"/>
      <c r="X326" s="82"/>
      <c r="Y326" s="82"/>
      <c r="Z326" s="35" t="str">
        <f t="shared" si="48"/>
        <v/>
      </c>
      <c r="AA326" s="82"/>
      <c r="AB326" s="82"/>
    </row>
    <row r="327" spans="1:28" x14ac:dyDescent="0.25">
      <c r="A327" s="34">
        <f t="shared" si="49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0"/>
      <c r="O327" s="53"/>
      <c r="P327" s="36"/>
      <c r="Q327" s="49" t="str">
        <f t="shared" si="53"/>
        <v/>
      </c>
      <c r="R327" s="33"/>
      <c r="S327" s="38"/>
      <c r="T327" s="38"/>
      <c r="U327" s="82"/>
      <c r="V327" s="5"/>
      <c r="W327" s="85"/>
      <c r="X327" s="82"/>
      <c r="Y327" s="82"/>
      <c r="Z327" s="35" t="str">
        <f t="shared" si="48"/>
        <v/>
      </c>
      <c r="AA327" s="82"/>
      <c r="AB327" s="82"/>
    </row>
    <row r="328" spans="1:28" x14ac:dyDescent="0.25">
      <c r="A328" s="34">
        <f t="shared" si="49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0"/>
      <c r="O328" s="53"/>
      <c r="P328" s="36"/>
      <c r="Q328" s="49" t="str">
        <f t="shared" si="53"/>
        <v/>
      </c>
      <c r="R328" s="33"/>
      <c r="S328" s="38"/>
      <c r="T328" s="38"/>
      <c r="U328" s="82"/>
      <c r="V328" s="5"/>
      <c r="W328" s="85"/>
      <c r="X328" s="82"/>
      <c r="Y328" s="82"/>
      <c r="Z328" s="35" t="str">
        <f t="shared" si="48"/>
        <v/>
      </c>
      <c r="AA328" s="82"/>
      <c r="AB328" s="82"/>
    </row>
    <row r="329" spans="1:28" x14ac:dyDescent="0.25">
      <c r="A329" s="34">
        <f t="shared" si="49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0"/>
      <c r="O329" s="53"/>
      <c r="P329" s="36"/>
      <c r="Q329" s="49" t="str">
        <f t="shared" si="53"/>
        <v/>
      </c>
      <c r="R329" s="33"/>
      <c r="S329" s="38"/>
      <c r="T329" s="38"/>
      <c r="U329" s="82"/>
      <c r="V329" s="5"/>
      <c r="W329" s="85"/>
      <c r="X329" s="82"/>
      <c r="Y329" s="82"/>
      <c r="Z329" s="35" t="str">
        <f t="shared" si="48"/>
        <v/>
      </c>
      <c r="AA329" s="82"/>
      <c r="AB329" s="82"/>
    </row>
    <row r="330" spans="1:28" x14ac:dyDescent="0.25">
      <c r="A330" s="34">
        <f t="shared" si="49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0"/>
      <c r="O330" s="53"/>
      <c r="P330" s="36"/>
      <c r="Q330" s="49" t="str">
        <f t="shared" si="53"/>
        <v/>
      </c>
      <c r="R330" s="33"/>
      <c r="S330" s="38"/>
      <c r="T330" s="38"/>
      <c r="U330" s="82"/>
      <c r="V330" s="5"/>
      <c r="W330" s="85"/>
      <c r="X330" s="82"/>
      <c r="Y330" s="82"/>
      <c r="Z330" s="35" t="str">
        <f t="shared" si="48"/>
        <v/>
      </c>
      <c r="AA330" s="82"/>
      <c r="AB330" s="82"/>
    </row>
    <row r="331" spans="1:28" x14ac:dyDescent="0.25">
      <c r="A331" s="34">
        <f t="shared" si="49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0"/>
      <c r="O331" s="53"/>
      <c r="P331" s="36"/>
      <c r="Q331" s="49" t="str">
        <f t="shared" si="53"/>
        <v/>
      </c>
      <c r="R331" s="33"/>
      <c r="S331" s="38"/>
      <c r="T331" s="38"/>
      <c r="U331" s="82"/>
      <c r="V331" s="5"/>
      <c r="W331" s="85"/>
      <c r="X331" s="82"/>
      <c r="Y331" s="82"/>
      <c r="Z331" s="35" t="str">
        <f t="shared" ref="Z331:Z394" si="54">IF(V331&lt;&gt;"",1,"")</f>
        <v/>
      </c>
      <c r="AA331" s="82"/>
      <c r="AB331" s="82"/>
    </row>
    <row r="332" spans="1:28" x14ac:dyDescent="0.25">
      <c r="A332" s="34">
        <f t="shared" ref="A332:A395" si="55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0"/>
      <c r="O332" s="53"/>
      <c r="P332" s="36"/>
      <c r="Q332" s="49" t="str">
        <f t="shared" si="53"/>
        <v/>
      </c>
      <c r="R332" s="33"/>
      <c r="S332" s="38"/>
      <c r="T332" s="38"/>
      <c r="U332" s="82"/>
      <c r="V332" s="5"/>
      <c r="W332" s="85"/>
      <c r="X332" s="82"/>
      <c r="Y332" s="82"/>
      <c r="Z332" s="35" t="str">
        <f t="shared" si="54"/>
        <v/>
      </c>
      <c r="AA332" s="82"/>
      <c r="AB332" s="82"/>
    </row>
    <row r="333" spans="1:28" x14ac:dyDescent="0.25">
      <c r="A333" s="34">
        <f t="shared" si="55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0"/>
      <c r="O333" s="53"/>
      <c r="P333" s="36"/>
      <c r="Q333" s="49" t="str">
        <f t="shared" si="53"/>
        <v/>
      </c>
      <c r="R333" s="33"/>
      <c r="S333" s="38"/>
      <c r="T333" s="38"/>
      <c r="U333" s="82"/>
      <c r="V333" s="5"/>
      <c r="W333" s="85"/>
      <c r="X333" s="82"/>
      <c r="Y333" s="82"/>
      <c r="Z333" s="35" t="str">
        <f t="shared" si="54"/>
        <v/>
      </c>
      <c r="AA333" s="82"/>
      <c r="AB333" s="82"/>
    </row>
    <row r="334" spans="1:28" x14ac:dyDescent="0.25">
      <c r="A334" s="34">
        <f t="shared" si="55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0"/>
      <c r="O334" s="53"/>
      <c r="P334" s="36"/>
      <c r="Q334" s="49" t="str">
        <f t="shared" si="53"/>
        <v/>
      </c>
      <c r="R334" s="33"/>
      <c r="S334" s="38"/>
      <c r="T334" s="38"/>
      <c r="U334" s="82"/>
      <c r="V334" s="5"/>
      <c r="W334" s="85"/>
      <c r="X334" s="82"/>
      <c r="Y334" s="82"/>
      <c r="Z334" s="35" t="str">
        <f t="shared" si="54"/>
        <v/>
      </c>
      <c r="AA334" s="82"/>
      <c r="AB334" s="82"/>
    </row>
    <row r="335" spans="1:28" x14ac:dyDescent="0.25">
      <c r="A335" s="34">
        <f t="shared" si="55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0"/>
      <c r="O335" s="53"/>
      <c r="P335" s="36"/>
      <c r="Q335" s="49" t="str">
        <f t="shared" si="53"/>
        <v/>
      </c>
      <c r="R335" s="33"/>
      <c r="S335" s="38"/>
      <c r="T335" s="38"/>
      <c r="U335" s="82"/>
      <c r="V335" s="5"/>
      <c r="W335" s="85"/>
      <c r="X335" s="82"/>
      <c r="Y335" s="82"/>
      <c r="Z335" s="35" t="str">
        <f t="shared" si="54"/>
        <v/>
      </c>
      <c r="AA335" s="82"/>
      <c r="AB335" s="82"/>
    </row>
    <row r="336" spans="1:28" x14ac:dyDescent="0.25">
      <c r="A336" s="34">
        <f t="shared" si="55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0"/>
      <c r="O336" s="53"/>
      <c r="P336" s="36"/>
      <c r="Q336" s="49" t="str">
        <f t="shared" si="53"/>
        <v/>
      </c>
      <c r="R336" s="33"/>
      <c r="S336" s="38"/>
      <c r="T336" s="38"/>
      <c r="U336" s="82"/>
      <c r="V336" s="5"/>
      <c r="W336" s="85"/>
      <c r="X336" s="82"/>
      <c r="Y336" s="82"/>
      <c r="Z336" s="35" t="str">
        <f t="shared" si="54"/>
        <v/>
      </c>
      <c r="AA336" s="82"/>
      <c r="AB336" s="82"/>
    </row>
    <row r="337" spans="1:28" x14ac:dyDescent="0.25">
      <c r="A337" s="34">
        <f t="shared" si="55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0"/>
      <c r="O337" s="53"/>
      <c r="P337" s="36"/>
      <c r="Q337" s="49" t="str">
        <f t="shared" si="53"/>
        <v/>
      </c>
      <c r="R337" s="33"/>
      <c r="S337" s="38"/>
      <c r="T337" s="38"/>
      <c r="U337" s="82"/>
      <c r="V337" s="5"/>
      <c r="W337" s="85"/>
      <c r="X337" s="82"/>
      <c r="Y337" s="82"/>
      <c r="Z337" s="35" t="str">
        <f t="shared" si="54"/>
        <v/>
      </c>
      <c r="AA337" s="82"/>
      <c r="AB337" s="82"/>
    </row>
    <row r="338" spans="1:28" x14ac:dyDescent="0.25">
      <c r="A338" s="34">
        <f t="shared" si="55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0"/>
      <c r="O338" s="53"/>
      <c r="P338" s="36"/>
      <c r="Q338" s="49" t="str">
        <f t="shared" si="53"/>
        <v/>
      </c>
      <c r="R338" s="33"/>
      <c r="S338" s="38"/>
      <c r="T338" s="38"/>
      <c r="U338" s="82"/>
      <c r="V338" s="5"/>
      <c r="W338" s="85"/>
      <c r="X338" s="82"/>
      <c r="Y338" s="82"/>
      <c r="Z338" s="35" t="str">
        <f t="shared" si="54"/>
        <v/>
      </c>
      <c r="AA338" s="82"/>
      <c r="AB338" s="82"/>
    </row>
    <row r="339" spans="1:28" x14ac:dyDescent="0.25">
      <c r="A339" s="34">
        <f t="shared" si="55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0"/>
      <c r="O339" s="53"/>
      <c r="P339" s="36"/>
      <c r="Q339" s="49" t="str">
        <f t="shared" si="53"/>
        <v/>
      </c>
      <c r="R339" s="33"/>
      <c r="S339" s="38"/>
      <c r="T339" s="38"/>
      <c r="U339" s="82"/>
      <c r="V339" s="5"/>
      <c r="W339" s="85"/>
      <c r="X339" s="82"/>
      <c r="Y339" s="82"/>
      <c r="Z339" s="35" t="str">
        <f t="shared" si="54"/>
        <v/>
      </c>
      <c r="AA339" s="82"/>
      <c r="AB339" s="82"/>
    </row>
    <row r="340" spans="1:28" x14ac:dyDescent="0.25">
      <c r="A340" s="34">
        <f t="shared" si="55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0"/>
      <c r="O340" s="53"/>
      <c r="P340" s="36"/>
      <c r="Q340" s="49" t="str">
        <f t="shared" si="53"/>
        <v/>
      </c>
      <c r="R340" s="33"/>
      <c r="S340" s="38"/>
      <c r="T340" s="38"/>
      <c r="U340" s="82"/>
      <c r="V340" s="5"/>
      <c r="W340" s="85"/>
      <c r="X340" s="82"/>
      <c r="Y340" s="82"/>
      <c r="Z340" s="35" t="str">
        <f t="shared" si="54"/>
        <v/>
      </c>
      <c r="AA340" s="82"/>
      <c r="AB340" s="82"/>
    </row>
    <row r="341" spans="1:28" x14ac:dyDescent="0.25">
      <c r="A341" s="34">
        <f t="shared" si="55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0"/>
      <c r="O341" s="53"/>
      <c r="P341" s="36"/>
      <c r="Q341" s="49" t="str">
        <f t="shared" si="53"/>
        <v/>
      </c>
      <c r="R341" s="33"/>
      <c r="S341" s="38"/>
      <c r="T341" s="38"/>
      <c r="U341" s="82"/>
      <c r="V341" s="5"/>
      <c r="W341" s="85"/>
      <c r="X341" s="82"/>
      <c r="Y341" s="82"/>
      <c r="Z341" s="35" t="str">
        <f t="shared" si="54"/>
        <v/>
      </c>
      <c r="AA341" s="82"/>
      <c r="AB341" s="82"/>
    </row>
    <row r="342" spans="1:28" x14ac:dyDescent="0.25">
      <c r="A342" s="34">
        <f t="shared" si="55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0"/>
      <c r="O342" s="53"/>
      <c r="P342" s="36"/>
      <c r="Q342" s="49" t="str">
        <f t="shared" si="53"/>
        <v/>
      </c>
      <c r="R342" s="33"/>
      <c r="S342" s="38"/>
      <c r="T342" s="38"/>
      <c r="U342" s="82"/>
      <c r="V342" s="5"/>
      <c r="W342" s="85"/>
      <c r="X342" s="82"/>
      <c r="Y342" s="82"/>
      <c r="Z342" s="35" t="str">
        <f t="shared" si="54"/>
        <v/>
      </c>
      <c r="AA342" s="82"/>
      <c r="AB342" s="82"/>
    </row>
    <row r="343" spans="1:28" x14ac:dyDescent="0.25">
      <c r="A343" s="34">
        <f t="shared" si="55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0"/>
      <c r="O343" s="53"/>
      <c r="P343" s="36"/>
      <c r="Q343" s="49" t="str">
        <f t="shared" si="53"/>
        <v/>
      </c>
      <c r="R343" s="33"/>
      <c r="S343" s="38"/>
      <c r="T343" s="38"/>
      <c r="U343" s="82"/>
      <c r="V343" s="5"/>
      <c r="W343" s="85"/>
      <c r="X343" s="82"/>
      <c r="Y343" s="82"/>
      <c r="Z343" s="35" t="str">
        <f t="shared" si="54"/>
        <v/>
      </c>
      <c r="AA343" s="82"/>
      <c r="AB343" s="82"/>
    </row>
    <row r="344" spans="1:28" x14ac:dyDescent="0.25">
      <c r="A344" s="34">
        <f t="shared" si="55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0"/>
      <c r="O344" s="53"/>
      <c r="P344" s="36"/>
      <c r="Q344" s="49" t="str">
        <f t="shared" si="53"/>
        <v/>
      </c>
      <c r="R344" s="33"/>
      <c r="S344" s="38"/>
      <c r="T344" s="38"/>
      <c r="U344" s="82"/>
      <c r="V344" s="5"/>
      <c r="W344" s="85"/>
      <c r="X344" s="82"/>
      <c r="Y344" s="82"/>
      <c r="Z344" s="35" t="str">
        <f t="shared" si="54"/>
        <v/>
      </c>
      <c r="AA344" s="82"/>
      <c r="AB344" s="82"/>
    </row>
    <row r="345" spans="1:28" x14ac:dyDescent="0.25">
      <c r="A345" s="34">
        <f t="shared" si="55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0"/>
      <c r="O345" s="53"/>
      <c r="P345" s="36"/>
      <c r="Q345" s="49" t="str">
        <f t="shared" si="53"/>
        <v/>
      </c>
      <c r="R345" s="33"/>
      <c r="S345" s="38"/>
      <c r="T345" s="38"/>
      <c r="U345" s="82"/>
      <c r="V345" s="5"/>
      <c r="W345" s="85"/>
      <c r="X345" s="82"/>
      <c r="Y345" s="82"/>
      <c r="Z345" s="35" t="str">
        <f t="shared" si="54"/>
        <v/>
      </c>
      <c r="AA345" s="82"/>
      <c r="AB345" s="82"/>
    </row>
    <row r="346" spans="1:28" x14ac:dyDescent="0.25">
      <c r="A346" s="34">
        <f t="shared" si="55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0"/>
      <c r="O346" s="53"/>
      <c r="P346" s="36"/>
      <c r="Q346" s="49" t="str">
        <f t="shared" si="53"/>
        <v/>
      </c>
      <c r="R346" s="33"/>
      <c r="S346" s="38"/>
      <c r="T346" s="38"/>
      <c r="U346" s="82"/>
      <c r="V346" s="5"/>
      <c r="W346" s="85"/>
      <c r="X346" s="82"/>
      <c r="Y346" s="82"/>
      <c r="Z346" s="35" t="str">
        <f t="shared" si="54"/>
        <v/>
      </c>
      <c r="AA346" s="82"/>
      <c r="AB346" s="82"/>
    </row>
    <row r="347" spans="1:28" x14ac:dyDescent="0.25">
      <c r="A347" s="34">
        <f t="shared" si="55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0"/>
      <c r="O347" s="53"/>
      <c r="P347" s="36"/>
      <c r="Q347" s="49" t="str">
        <f t="shared" si="53"/>
        <v/>
      </c>
      <c r="R347" s="33"/>
      <c r="S347" s="38"/>
      <c r="T347" s="38"/>
      <c r="U347" s="82"/>
      <c r="V347" s="5"/>
      <c r="W347" s="85"/>
      <c r="X347" s="82"/>
      <c r="Y347" s="82"/>
      <c r="Z347" s="35" t="str">
        <f t="shared" si="54"/>
        <v/>
      </c>
      <c r="AA347" s="82"/>
      <c r="AB347" s="82"/>
    </row>
    <row r="348" spans="1:28" x14ac:dyDescent="0.25">
      <c r="A348" s="34">
        <f t="shared" si="55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0"/>
      <c r="O348" s="53"/>
      <c r="P348" s="36"/>
      <c r="Q348" s="49" t="str">
        <f t="shared" si="53"/>
        <v/>
      </c>
      <c r="R348" s="33"/>
      <c r="S348" s="38"/>
      <c r="T348" s="38"/>
      <c r="U348" s="82"/>
      <c r="V348" s="5"/>
      <c r="W348" s="85"/>
      <c r="X348" s="82"/>
      <c r="Y348" s="82"/>
      <c r="Z348" s="35" t="str">
        <f t="shared" si="54"/>
        <v/>
      </c>
      <c r="AA348" s="82"/>
      <c r="AB348" s="82"/>
    </row>
    <row r="349" spans="1:28" x14ac:dyDescent="0.25">
      <c r="A349" s="34">
        <f t="shared" si="55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0"/>
      <c r="O349" s="53"/>
      <c r="P349" s="36"/>
      <c r="Q349" s="49" t="str">
        <f t="shared" si="53"/>
        <v/>
      </c>
      <c r="R349" s="33"/>
      <c r="S349" s="38"/>
      <c r="T349" s="38"/>
      <c r="U349" s="82"/>
      <c r="V349" s="5"/>
      <c r="W349" s="85"/>
      <c r="X349" s="82"/>
      <c r="Y349" s="82"/>
      <c r="Z349" s="35" t="str">
        <f t="shared" si="54"/>
        <v/>
      </c>
      <c r="AA349" s="82"/>
      <c r="AB349" s="82"/>
    </row>
    <row r="350" spans="1:28" x14ac:dyDescent="0.25">
      <c r="A350" s="34">
        <f t="shared" si="55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0"/>
      <c r="O350" s="53"/>
      <c r="P350" s="36"/>
      <c r="Q350" s="49" t="str">
        <f t="shared" si="53"/>
        <v/>
      </c>
      <c r="R350" s="33"/>
      <c r="S350" s="38"/>
      <c r="T350" s="38"/>
      <c r="U350" s="82"/>
      <c r="V350" s="5"/>
      <c r="W350" s="85"/>
      <c r="X350" s="82"/>
      <c r="Y350" s="82"/>
      <c r="Z350" s="35" t="str">
        <f t="shared" si="54"/>
        <v/>
      </c>
      <c r="AA350" s="82"/>
      <c r="AB350" s="82"/>
    </row>
    <row r="351" spans="1:28" x14ac:dyDescent="0.25">
      <c r="A351" s="34">
        <f t="shared" si="55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0"/>
      <c r="O351" s="53"/>
      <c r="P351" s="36"/>
      <c r="Q351" s="49" t="str">
        <f t="shared" si="53"/>
        <v/>
      </c>
      <c r="R351" s="33"/>
      <c r="S351" s="38"/>
      <c r="T351" s="38"/>
      <c r="U351" s="82"/>
      <c r="V351" s="5"/>
      <c r="W351" s="85"/>
      <c r="X351" s="82"/>
      <c r="Y351" s="82"/>
      <c r="Z351" s="35" t="str">
        <f t="shared" si="54"/>
        <v/>
      </c>
      <c r="AA351" s="82"/>
      <c r="AB351" s="82"/>
    </row>
    <row r="352" spans="1:28" x14ac:dyDescent="0.25">
      <c r="A352" s="34">
        <f t="shared" si="55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0"/>
      <c r="O352" s="53"/>
      <c r="P352" s="36"/>
      <c r="Q352" s="49" t="str">
        <f t="shared" si="53"/>
        <v/>
      </c>
      <c r="R352" s="33"/>
      <c r="S352" s="38"/>
      <c r="T352" s="38"/>
      <c r="U352" s="82"/>
      <c r="V352" s="5"/>
      <c r="W352" s="85"/>
      <c r="X352" s="82"/>
      <c r="Y352" s="82"/>
      <c r="Z352" s="35" t="str">
        <f t="shared" si="54"/>
        <v/>
      </c>
      <c r="AA352" s="82"/>
      <c r="AB352" s="82"/>
    </row>
    <row r="353" spans="1:28" x14ac:dyDescent="0.25">
      <c r="A353" s="34">
        <f t="shared" si="55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0"/>
      <c r="O353" s="53"/>
      <c r="P353" s="36"/>
      <c r="Q353" s="49" t="str">
        <f t="shared" si="53"/>
        <v/>
      </c>
      <c r="R353" s="33"/>
      <c r="S353" s="38"/>
      <c r="T353" s="38"/>
      <c r="U353" s="82"/>
      <c r="V353" s="5"/>
      <c r="W353" s="85"/>
      <c r="X353" s="82"/>
      <c r="Y353" s="82"/>
      <c r="Z353" s="35" t="str">
        <f t="shared" si="54"/>
        <v/>
      </c>
      <c r="AA353" s="82"/>
      <c r="AB353" s="82"/>
    </row>
    <row r="354" spans="1:28" x14ac:dyDescent="0.25">
      <c r="A354" s="34">
        <f t="shared" si="55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0"/>
      <c r="O354" s="53"/>
      <c r="P354" s="36"/>
      <c r="Q354" s="49" t="str">
        <f t="shared" si="53"/>
        <v/>
      </c>
      <c r="R354" s="33"/>
      <c r="S354" s="38"/>
      <c r="T354" s="38"/>
      <c r="U354" s="82"/>
      <c r="V354" s="5"/>
      <c r="W354" s="85"/>
      <c r="X354" s="82"/>
      <c r="Y354" s="82"/>
      <c r="Z354" s="35" t="str">
        <f t="shared" si="54"/>
        <v/>
      </c>
      <c r="AA354" s="82"/>
      <c r="AB354" s="82"/>
    </row>
    <row r="355" spans="1:28" x14ac:dyDescent="0.25">
      <c r="A355" s="34">
        <f t="shared" si="55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0"/>
      <c r="O355" s="53"/>
      <c r="P355" s="36"/>
      <c r="Q355" s="49" t="str">
        <f t="shared" si="53"/>
        <v/>
      </c>
      <c r="R355" s="33"/>
      <c r="S355" s="38"/>
      <c r="T355" s="38"/>
      <c r="U355" s="82"/>
      <c r="V355" s="5"/>
      <c r="W355" s="85"/>
      <c r="X355" s="82"/>
      <c r="Y355" s="82"/>
      <c r="Z355" s="35" t="str">
        <f t="shared" si="54"/>
        <v/>
      </c>
      <c r="AA355" s="82"/>
      <c r="AB355" s="82"/>
    </row>
    <row r="356" spans="1:28" x14ac:dyDescent="0.25">
      <c r="A356" s="34">
        <f t="shared" si="55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0"/>
      <c r="O356" s="53"/>
      <c r="P356" s="36"/>
      <c r="Q356" s="49" t="str">
        <f t="shared" si="53"/>
        <v/>
      </c>
      <c r="R356" s="33"/>
      <c r="S356" s="38"/>
      <c r="T356" s="38"/>
      <c r="U356" s="82"/>
      <c r="V356" s="5"/>
      <c r="W356" s="85"/>
      <c r="X356" s="82"/>
      <c r="Y356" s="82"/>
      <c r="Z356" s="35" t="str">
        <f t="shared" si="54"/>
        <v/>
      </c>
      <c r="AA356" s="82"/>
      <c r="AB356" s="82"/>
    </row>
    <row r="357" spans="1:28" x14ac:dyDescent="0.25">
      <c r="A357" s="34">
        <f t="shared" si="55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0"/>
      <c r="O357" s="53"/>
      <c r="P357" s="36"/>
      <c r="Q357" s="49" t="str">
        <f t="shared" si="53"/>
        <v/>
      </c>
      <c r="R357" s="33"/>
      <c r="S357" s="38"/>
      <c r="T357" s="38"/>
      <c r="U357" s="82"/>
      <c r="V357" s="5"/>
      <c r="W357" s="85"/>
      <c r="X357" s="82"/>
      <c r="Y357" s="82"/>
      <c r="Z357" s="35" t="str">
        <f t="shared" si="54"/>
        <v/>
      </c>
      <c r="AA357" s="82"/>
      <c r="AB357" s="82"/>
    </row>
    <row r="358" spans="1:28" x14ac:dyDescent="0.25">
      <c r="A358" s="34">
        <f t="shared" si="55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0"/>
      <c r="O358" s="53"/>
      <c r="P358" s="36"/>
      <c r="Q358" s="49" t="str">
        <f t="shared" si="53"/>
        <v/>
      </c>
      <c r="R358" s="33"/>
      <c r="S358" s="38"/>
      <c r="T358" s="38"/>
      <c r="U358" s="82"/>
      <c r="V358" s="5"/>
      <c r="W358" s="85"/>
      <c r="X358" s="82"/>
      <c r="Y358" s="82"/>
      <c r="Z358" s="35" t="str">
        <f t="shared" si="54"/>
        <v/>
      </c>
      <c r="AA358" s="82"/>
      <c r="AB358" s="82"/>
    </row>
    <row r="359" spans="1:28" x14ac:dyDescent="0.25">
      <c r="A359" s="34">
        <f t="shared" si="55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0"/>
      <c r="O359" s="53"/>
      <c r="P359" s="36"/>
      <c r="Q359" s="49" t="str">
        <f t="shared" si="53"/>
        <v/>
      </c>
      <c r="R359" s="33"/>
      <c r="S359" s="38"/>
      <c r="T359" s="38"/>
      <c r="U359" s="82"/>
      <c r="V359" s="5"/>
      <c r="W359" s="85"/>
      <c r="X359" s="82"/>
      <c r="Y359" s="82"/>
      <c r="Z359" s="35" t="str">
        <f t="shared" si="54"/>
        <v/>
      </c>
      <c r="AA359" s="82"/>
      <c r="AB359" s="82"/>
    </row>
    <row r="360" spans="1:28" x14ac:dyDescent="0.25">
      <c r="A360" s="34">
        <f t="shared" si="55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0"/>
      <c r="O360" s="53"/>
      <c r="P360" s="36"/>
      <c r="Q360" s="49" t="str">
        <f t="shared" si="53"/>
        <v/>
      </c>
      <c r="R360" s="33"/>
      <c r="S360" s="38"/>
      <c r="T360" s="38"/>
      <c r="U360" s="82"/>
      <c r="V360" s="5"/>
      <c r="W360" s="85"/>
      <c r="X360" s="82"/>
      <c r="Y360" s="82"/>
      <c r="Z360" s="35" t="str">
        <f t="shared" si="54"/>
        <v/>
      </c>
      <c r="AA360" s="82"/>
      <c r="AB360" s="82"/>
    </row>
    <row r="361" spans="1:28" x14ac:dyDescent="0.25">
      <c r="A361" s="34">
        <f t="shared" si="55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0"/>
      <c r="O361" s="53"/>
      <c r="P361" s="36"/>
      <c r="Q361" s="49" t="str">
        <f t="shared" si="53"/>
        <v/>
      </c>
      <c r="R361" s="33"/>
      <c r="S361" s="38"/>
      <c r="T361" s="38"/>
      <c r="U361" s="82"/>
      <c r="V361" s="5"/>
      <c r="W361" s="85"/>
      <c r="X361" s="82"/>
      <c r="Y361" s="82"/>
      <c r="Z361" s="35" t="str">
        <f t="shared" si="54"/>
        <v/>
      </c>
      <c r="AA361" s="82"/>
      <c r="AB361" s="82"/>
    </row>
    <row r="362" spans="1:28" x14ac:dyDescent="0.25">
      <c r="A362" s="34">
        <f t="shared" si="55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0"/>
      <c r="O362" s="53"/>
      <c r="P362" s="36"/>
      <c r="Q362" s="49" t="str">
        <f t="shared" si="53"/>
        <v/>
      </c>
      <c r="R362" s="33"/>
      <c r="S362" s="38"/>
      <c r="T362" s="38"/>
      <c r="U362" s="82"/>
      <c r="V362" s="5"/>
      <c r="W362" s="85"/>
      <c r="X362" s="82"/>
      <c r="Y362" s="82"/>
      <c r="Z362" s="35" t="str">
        <f t="shared" si="54"/>
        <v/>
      </c>
      <c r="AA362" s="82"/>
      <c r="AB362" s="82"/>
    </row>
    <row r="363" spans="1:28" x14ac:dyDescent="0.25">
      <c r="A363" s="34">
        <f t="shared" si="55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0"/>
      <c r="O363" s="53"/>
      <c r="P363" s="36"/>
      <c r="Q363" s="49" t="str">
        <f t="shared" si="53"/>
        <v/>
      </c>
      <c r="R363" s="33"/>
      <c r="S363" s="38"/>
      <c r="T363" s="38"/>
      <c r="U363" s="82"/>
      <c r="V363" s="5"/>
      <c r="W363" s="85"/>
      <c r="X363" s="82"/>
      <c r="Y363" s="82"/>
      <c r="Z363" s="35" t="str">
        <f t="shared" si="54"/>
        <v/>
      </c>
      <c r="AA363" s="82"/>
      <c r="AB363" s="82"/>
    </row>
    <row r="364" spans="1:28" x14ac:dyDescent="0.25">
      <c r="A364" s="34">
        <f t="shared" si="55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0"/>
      <c r="O364" s="53"/>
      <c r="P364" s="36"/>
      <c r="Q364" s="49" t="str">
        <f t="shared" si="53"/>
        <v/>
      </c>
      <c r="R364" s="33"/>
      <c r="S364" s="38"/>
      <c r="T364" s="38"/>
      <c r="U364" s="82"/>
      <c r="V364" s="5"/>
      <c r="W364" s="85"/>
      <c r="X364" s="82"/>
      <c r="Y364" s="82"/>
      <c r="Z364" s="35" t="str">
        <f t="shared" si="54"/>
        <v/>
      </c>
      <c r="AA364" s="82"/>
      <c r="AB364" s="82"/>
    </row>
    <row r="365" spans="1:28" x14ac:dyDescent="0.25">
      <c r="A365" s="34">
        <f t="shared" si="55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0"/>
      <c r="O365" s="53"/>
      <c r="P365" s="36"/>
      <c r="Q365" s="49" t="str">
        <f t="shared" si="53"/>
        <v/>
      </c>
      <c r="R365" s="33"/>
      <c r="S365" s="38"/>
      <c r="T365" s="38"/>
      <c r="U365" s="82"/>
      <c r="V365" s="5"/>
      <c r="W365" s="85"/>
      <c r="X365" s="82"/>
      <c r="Y365" s="82"/>
      <c r="Z365" s="35" t="str">
        <f t="shared" si="54"/>
        <v/>
      </c>
      <c r="AA365" s="82"/>
      <c r="AB365" s="82"/>
    </row>
    <row r="366" spans="1:28" x14ac:dyDescent="0.25">
      <c r="A366" s="34">
        <f t="shared" si="55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0"/>
      <c r="O366" s="53"/>
      <c r="P366" s="36"/>
      <c r="Q366" s="49" t="str">
        <f t="shared" si="53"/>
        <v/>
      </c>
      <c r="R366" s="33"/>
      <c r="S366" s="38"/>
      <c r="T366" s="38"/>
      <c r="U366" s="82"/>
      <c r="V366" s="5"/>
      <c r="W366" s="85"/>
      <c r="X366" s="82"/>
      <c r="Y366" s="82"/>
      <c r="Z366" s="35" t="str">
        <f t="shared" si="54"/>
        <v/>
      </c>
      <c r="AA366" s="82"/>
      <c r="AB366" s="82"/>
    </row>
    <row r="367" spans="1:28" x14ac:dyDescent="0.25">
      <c r="A367" s="34">
        <f t="shared" si="55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0"/>
      <c r="O367" s="53"/>
      <c r="P367" s="36"/>
      <c r="Q367" s="49" t="str">
        <f t="shared" si="53"/>
        <v/>
      </c>
      <c r="R367" s="33"/>
      <c r="S367" s="38"/>
      <c r="T367" s="38"/>
      <c r="U367" s="82"/>
      <c r="V367" s="5"/>
      <c r="W367" s="85"/>
      <c r="X367" s="82"/>
      <c r="Y367" s="82"/>
      <c r="Z367" s="35" t="str">
        <f t="shared" si="54"/>
        <v/>
      </c>
      <c r="AA367" s="82"/>
      <c r="AB367" s="82"/>
    </row>
    <row r="368" spans="1:28" x14ac:dyDescent="0.25">
      <c r="A368" s="34">
        <f t="shared" si="55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0"/>
      <c r="O368" s="53"/>
      <c r="P368" s="36"/>
      <c r="Q368" s="49" t="str">
        <f t="shared" si="53"/>
        <v/>
      </c>
      <c r="R368" s="33"/>
      <c r="S368" s="38"/>
      <c r="T368" s="38"/>
      <c r="U368" s="82"/>
      <c r="V368" s="5"/>
      <c r="W368" s="85"/>
      <c r="X368" s="82"/>
      <c r="Y368" s="82"/>
      <c r="Z368" s="35" t="str">
        <f t="shared" si="54"/>
        <v/>
      </c>
      <c r="AA368" s="82"/>
      <c r="AB368" s="82"/>
    </row>
    <row r="369" spans="1:28" x14ac:dyDescent="0.25">
      <c r="A369" s="34">
        <f t="shared" si="55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0"/>
      <c r="O369" s="53"/>
      <c r="P369" s="36"/>
      <c r="Q369" s="49" t="str">
        <f t="shared" si="53"/>
        <v/>
      </c>
      <c r="R369" s="33"/>
      <c r="S369" s="38"/>
      <c r="T369" s="38"/>
      <c r="U369" s="82"/>
      <c r="V369" s="5"/>
      <c r="W369" s="85"/>
      <c r="X369" s="82"/>
      <c r="Y369" s="82"/>
      <c r="Z369" s="35" t="str">
        <f t="shared" si="54"/>
        <v/>
      </c>
      <c r="AA369" s="82"/>
      <c r="AB369" s="82"/>
    </row>
    <row r="370" spans="1:28" x14ac:dyDescent="0.25">
      <c r="A370" s="34">
        <f t="shared" si="55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0"/>
      <c r="O370" s="53"/>
      <c r="P370" s="36"/>
      <c r="Q370" s="49" t="str">
        <f t="shared" si="53"/>
        <v/>
      </c>
      <c r="R370" s="33"/>
      <c r="S370" s="38"/>
      <c r="T370" s="38"/>
      <c r="U370" s="82"/>
      <c r="V370" s="5"/>
      <c r="W370" s="85"/>
      <c r="X370" s="82"/>
      <c r="Y370" s="82"/>
      <c r="Z370" s="35" t="str">
        <f t="shared" si="54"/>
        <v/>
      </c>
      <c r="AA370" s="82"/>
      <c r="AB370" s="82"/>
    </row>
    <row r="371" spans="1:28" x14ac:dyDescent="0.25">
      <c r="A371" s="34">
        <f t="shared" si="55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0"/>
      <c r="O371" s="53"/>
      <c r="P371" s="36"/>
      <c r="Q371" s="49" t="str">
        <f t="shared" si="53"/>
        <v/>
      </c>
      <c r="R371" s="33"/>
      <c r="S371" s="38"/>
      <c r="T371" s="38"/>
      <c r="U371" s="82"/>
      <c r="V371" s="5"/>
      <c r="W371" s="85"/>
      <c r="X371" s="82"/>
      <c r="Y371" s="82"/>
      <c r="Z371" s="35" t="str">
        <f t="shared" si="54"/>
        <v/>
      </c>
      <c r="AA371" s="82"/>
      <c r="AB371" s="82"/>
    </row>
    <row r="372" spans="1:28" x14ac:dyDescent="0.25">
      <c r="A372" s="34">
        <f t="shared" si="55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0"/>
      <c r="O372" s="53"/>
      <c r="P372" s="36"/>
      <c r="Q372" s="49" t="str">
        <f t="shared" si="53"/>
        <v/>
      </c>
      <c r="R372" s="33"/>
      <c r="S372" s="38"/>
      <c r="T372" s="38"/>
      <c r="U372" s="82"/>
      <c r="V372" s="5"/>
      <c r="W372" s="85"/>
      <c r="X372" s="82"/>
      <c r="Y372" s="82"/>
      <c r="Z372" s="35" t="str">
        <f t="shared" si="54"/>
        <v/>
      </c>
      <c r="AA372" s="82"/>
      <c r="AB372" s="82"/>
    </row>
    <row r="373" spans="1:28" x14ac:dyDescent="0.25">
      <c r="A373" s="34">
        <f t="shared" si="55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0"/>
      <c r="O373" s="53"/>
      <c r="P373" s="36"/>
      <c r="Q373" s="49" t="str">
        <f t="shared" si="53"/>
        <v/>
      </c>
      <c r="R373" s="33"/>
      <c r="S373" s="38"/>
      <c r="T373" s="38"/>
      <c r="U373" s="82"/>
      <c r="V373" s="5"/>
      <c r="W373" s="85"/>
      <c r="X373" s="82"/>
      <c r="Y373" s="82"/>
      <c r="Z373" s="35" t="str">
        <f t="shared" si="54"/>
        <v/>
      </c>
      <c r="AA373" s="82"/>
      <c r="AB373" s="82"/>
    </row>
    <row r="374" spans="1:28" x14ac:dyDescent="0.25">
      <c r="A374" s="34">
        <f t="shared" si="55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0"/>
      <c r="O374" s="53"/>
      <c r="P374" s="36"/>
      <c r="Q374" s="49" t="str">
        <f t="shared" si="53"/>
        <v/>
      </c>
      <c r="R374" s="33"/>
      <c r="S374" s="38"/>
      <c r="T374" s="38"/>
      <c r="U374" s="82"/>
      <c r="V374" s="5"/>
      <c r="W374" s="85"/>
      <c r="X374" s="82"/>
      <c r="Y374" s="82"/>
      <c r="Z374" s="35" t="str">
        <f t="shared" si="54"/>
        <v/>
      </c>
      <c r="AA374" s="82"/>
      <c r="AB374" s="82"/>
    </row>
    <row r="375" spans="1:28" x14ac:dyDescent="0.25">
      <c r="A375" s="34">
        <f t="shared" si="55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0"/>
      <c r="O375" s="53"/>
      <c r="P375" s="36"/>
      <c r="Q375" s="49" t="str">
        <f t="shared" si="53"/>
        <v/>
      </c>
      <c r="R375" s="33"/>
      <c r="S375" s="38"/>
      <c r="T375" s="38"/>
      <c r="U375" s="82"/>
      <c r="V375" s="5"/>
      <c r="W375" s="85"/>
      <c r="X375" s="82"/>
      <c r="Y375" s="82"/>
      <c r="Z375" s="35" t="str">
        <f t="shared" si="54"/>
        <v/>
      </c>
      <c r="AA375" s="82"/>
      <c r="AB375" s="82"/>
    </row>
    <row r="376" spans="1:28" x14ac:dyDescent="0.25">
      <c r="A376" s="34">
        <f t="shared" si="55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0"/>
      <c r="O376" s="53"/>
      <c r="P376" s="36"/>
      <c r="Q376" s="49" t="str">
        <f t="shared" ref="Q376:Q409" si="56">IF(O376="c",+N376,"")</f>
        <v/>
      </c>
      <c r="R376" s="33"/>
      <c r="S376" s="38"/>
      <c r="T376" s="38"/>
      <c r="U376" s="82"/>
      <c r="V376" s="5"/>
      <c r="W376" s="85"/>
      <c r="X376" s="82"/>
      <c r="Y376" s="82"/>
      <c r="Z376" s="35" t="str">
        <f t="shared" si="54"/>
        <v/>
      </c>
      <c r="AA376" s="82"/>
      <c r="AB376" s="82"/>
    </row>
    <row r="377" spans="1:28" x14ac:dyDescent="0.25">
      <c r="A377" s="34">
        <f t="shared" si="55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0"/>
      <c r="O377" s="53"/>
      <c r="P377" s="36"/>
      <c r="Q377" s="49" t="str">
        <f t="shared" si="56"/>
        <v/>
      </c>
      <c r="R377" s="33"/>
      <c r="S377" s="38"/>
      <c r="T377" s="38"/>
      <c r="U377" s="82"/>
      <c r="V377" s="5"/>
      <c r="W377" s="85"/>
      <c r="X377" s="82"/>
      <c r="Y377" s="82"/>
      <c r="Z377" s="35" t="str">
        <f t="shared" si="54"/>
        <v/>
      </c>
      <c r="AA377" s="82"/>
      <c r="AB377" s="82"/>
    </row>
    <row r="378" spans="1:28" x14ac:dyDescent="0.25">
      <c r="A378" s="34">
        <f t="shared" si="55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0"/>
      <c r="O378" s="53"/>
      <c r="P378" s="36"/>
      <c r="Q378" s="49" t="str">
        <f t="shared" si="56"/>
        <v/>
      </c>
      <c r="R378" s="33"/>
      <c r="S378" s="38"/>
      <c r="T378" s="38"/>
      <c r="U378" s="82"/>
      <c r="V378" s="5"/>
      <c r="W378" s="85"/>
      <c r="X378" s="82"/>
      <c r="Y378" s="82"/>
      <c r="Z378" s="35" t="str">
        <f t="shared" si="54"/>
        <v/>
      </c>
      <c r="AA378" s="82"/>
      <c r="AB378" s="82"/>
    </row>
    <row r="379" spans="1:28" x14ac:dyDescent="0.25">
      <c r="A379" s="34">
        <f t="shared" si="55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0"/>
      <c r="O379" s="53"/>
      <c r="P379" s="36"/>
      <c r="Q379" s="49" t="str">
        <f t="shared" si="56"/>
        <v/>
      </c>
      <c r="R379" s="33"/>
      <c r="S379" s="38"/>
      <c r="T379" s="38"/>
      <c r="U379" s="82"/>
      <c r="V379" s="5"/>
      <c r="W379" s="85"/>
      <c r="X379" s="82"/>
      <c r="Y379" s="82"/>
      <c r="Z379" s="35" t="str">
        <f t="shared" si="54"/>
        <v/>
      </c>
      <c r="AA379" s="82"/>
      <c r="AB379" s="82"/>
    </row>
    <row r="380" spans="1:28" x14ac:dyDescent="0.25">
      <c r="A380" s="34">
        <f t="shared" si="55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0"/>
      <c r="O380" s="53"/>
      <c r="P380" s="36"/>
      <c r="Q380" s="49" t="str">
        <f t="shared" si="56"/>
        <v/>
      </c>
      <c r="R380" s="33"/>
      <c r="S380" s="38"/>
      <c r="T380" s="38"/>
      <c r="U380" s="82"/>
      <c r="V380" s="5"/>
      <c r="W380" s="85"/>
      <c r="X380" s="82"/>
      <c r="Y380" s="82"/>
      <c r="Z380" s="35" t="str">
        <f t="shared" si="54"/>
        <v/>
      </c>
      <c r="AA380" s="82"/>
      <c r="AB380" s="82"/>
    </row>
    <row r="381" spans="1:28" x14ac:dyDescent="0.25">
      <c r="A381" s="34">
        <f t="shared" si="55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0"/>
      <c r="O381" s="53"/>
      <c r="P381" s="36"/>
      <c r="Q381" s="49" t="str">
        <f t="shared" si="56"/>
        <v/>
      </c>
      <c r="R381" s="33"/>
      <c r="S381" s="38"/>
      <c r="T381" s="38"/>
      <c r="U381" s="82"/>
      <c r="V381" s="5"/>
      <c r="W381" s="85"/>
      <c r="X381" s="82"/>
      <c r="Y381" s="82"/>
      <c r="Z381" s="35" t="str">
        <f t="shared" si="54"/>
        <v/>
      </c>
      <c r="AA381" s="82"/>
      <c r="AB381" s="82"/>
    </row>
    <row r="382" spans="1:28" x14ac:dyDescent="0.25">
      <c r="A382" s="34">
        <f t="shared" si="55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0"/>
      <c r="O382" s="53"/>
      <c r="P382" s="36"/>
      <c r="Q382" s="49" t="str">
        <f t="shared" si="56"/>
        <v/>
      </c>
      <c r="R382" s="33"/>
      <c r="S382" s="38"/>
      <c r="T382" s="38"/>
      <c r="U382" s="82"/>
      <c r="V382" s="5"/>
      <c r="W382" s="85"/>
      <c r="X382" s="82"/>
      <c r="Y382" s="82"/>
      <c r="Z382" s="35" t="str">
        <f t="shared" si="54"/>
        <v/>
      </c>
      <c r="AA382" s="82"/>
      <c r="AB382" s="82"/>
    </row>
    <row r="383" spans="1:28" x14ac:dyDescent="0.25">
      <c r="A383" s="34">
        <f t="shared" si="55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0"/>
      <c r="O383" s="53"/>
      <c r="P383" s="36"/>
      <c r="Q383" s="49" t="str">
        <f t="shared" si="56"/>
        <v/>
      </c>
      <c r="R383" s="33"/>
      <c r="S383" s="38"/>
      <c r="T383" s="38"/>
      <c r="U383" s="82"/>
      <c r="V383" s="5"/>
      <c r="W383" s="85"/>
      <c r="X383" s="82"/>
      <c r="Y383" s="82"/>
      <c r="Z383" s="35" t="str">
        <f t="shared" si="54"/>
        <v/>
      </c>
      <c r="AA383" s="82"/>
      <c r="AB383" s="82"/>
    </row>
    <row r="384" spans="1:28" x14ac:dyDescent="0.25">
      <c r="A384" s="34">
        <f t="shared" si="55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0"/>
      <c r="O384" s="53"/>
      <c r="P384" s="36"/>
      <c r="Q384" s="49" t="str">
        <f t="shared" si="56"/>
        <v/>
      </c>
      <c r="R384" s="33"/>
      <c r="S384" s="38"/>
      <c r="T384" s="38"/>
      <c r="U384" s="82"/>
      <c r="V384" s="5"/>
      <c r="W384" s="85"/>
      <c r="X384" s="82"/>
      <c r="Y384" s="82"/>
      <c r="Z384" s="35" t="str">
        <f t="shared" si="54"/>
        <v/>
      </c>
      <c r="AA384" s="82"/>
      <c r="AB384" s="82"/>
    </row>
    <row r="385" spans="1:28" x14ac:dyDescent="0.25">
      <c r="A385" s="34">
        <f t="shared" si="55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0"/>
      <c r="O385" s="53"/>
      <c r="P385" s="36"/>
      <c r="Q385" s="49" t="str">
        <f t="shared" si="56"/>
        <v/>
      </c>
      <c r="R385" s="33"/>
      <c r="S385" s="38"/>
      <c r="T385" s="38"/>
      <c r="U385" s="82"/>
      <c r="V385" s="5"/>
      <c r="W385" s="85"/>
      <c r="X385" s="82"/>
      <c r="Y385" s="82"/>
      <c r="Z385" s="35" t="str">
        <f t="shared" si="54"/>
        <v/>
      </c>
      <c r="AA385" s="82"/>
      <c r="AB385" s="82"/>
    </row>
    <row r="386" spans="1:28" x14ac:dyDescent="0.25">
      <c r="A386" s="34">
        <f t="shared" si="55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0"/>
      <c r="O386" s="53"/>
      <c r="P386" s="36"/>
      <c r="Q386" s="49" t="str">
        <f t="shared" si="56"/>
        <v/>
      </c>
      <c r="R386" s="33"/>
      <c r="S386" s="38"/>
      <c r="T386" s="38"/>
      <c r="U386" s="82"/>
      <c r="V386" s="5"/>
      <c r="W386" s="85"/>
      <c r="X386" s="82"/>
      <c r="Y386" s="82"/>
      <c r="Z386" s="35" t="str">
        <f t="shared" si="54"/>
        <v/>
      </c>
      <c r="AA386" s="82"/>
      <c r="AB386" s="82"/>
    </row>
    <row r="387" spans="1:28" x14ac:dyDescent="0.25">
      <c r="A387" s="34">
        <f t="shared" si="55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0"/>
      <c r="O387" s="53"/>
      <c r="P387" s="36"/>
      <c r="Q387" s="49" t="str">
        <f t="shared" si="56"/>
        <v/>
      </c>
      <c r="R387" s="33"/>
      <c r="S387" s="38"/>
      <c r="T387" s="38"/>
      <c r="U387" s="82"/>
      <c r="V387" s="5"/>
      <c r="W387" s="85"/>
      <c r="X387" s="82"/>
      <c r="Y387" s="82"/>
      <c r="Z387" s="35" t="str">
        <f t="shared" si="54"/>
        <v/>
      </c>
      <c r="AA387" s="82"/>
      <c r="AB387" s="82"/>
    </row>
    <row r="388" spans="1:28" x14ac:dyDescent="0.25">
      <c r="A388" s="34">
        <f t="shared" si="55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0"/>
      <c r="O388" s="53"/>
      <c r="P388" s="36"/>
      <c r="Q388" s="49" t="str">
        <f t="shared" si="56"/>
        <v/>
      </c>
      <c r="R388" s="33"/>
      <c r="S388" s="38"/>
      <c r="T388" s="38"/>
      <c r="U388" s="82"/>
      <c r="V388" s="5"/>
      <c r="W388" s="85"/>
      <c r="X388" s="82"/>
      <c r="Y388" s="82"/>
      <c r="Z388" s="35" t="str">
        <f t="shared" si="54"/>
        <v/>
      </c>
      <c r="AA388" s="82"/>
      <c r="AB388" s="82"/>
    </row>
    <row r="389" spans="1:28" x14ac:dyDescent="0.25">
      <c r="A389" s="34">
        <f t="shared" si="55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0"/>
      <c r="O389" s="53"/>
      <c r="P389" s="36"/>
      <c r="Q389" s="49" t="str">
        <f t="shared" si="56"/>
        <v/>
      </c>
      <c r="R389" s="33"/>
      <c r="S389" s="38"/>
      <c r="T389" s="38"/>
      <c r="U389" s="82"/>
      <c r="V389" s="5"/>
      <c r="W389" s="85"/>
      <c r="X389" s="82"/>
      <c r="Y389" s="82"/>
      <c r="Z389" s="35" t="str">
        <f t="shared" si="54"/>
        <v/>
      </c>
      <c r="AA389" s="82"/>
      <c r="AB389" s="82"/>
    </row>
    <row r="390" spans="1:28" x14ac:dyDescent="0.25">
      <c r="A390" s="34">
        <f t="shared" si="55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0"/>
      <c r="O390" s="53"/>
      <c r="P390" s="36"/>
      <c r="Q390" s="49" t="str">
        <f t="shared" si="56"/>
        <v/>
      </c>
      <c r="R390" s="33"/>
      <c r="S390" s="38"/>
      <c r="T390" s="38"/>
      <c r="U390" s="82"/>
      <c r="V390" s="5"/>
      <c r="W390" s="85"/>
      <c r="X390" s="82"/>
      <c r="Y390" s="82"/>
      <c r="Z390" s="35" t="str">
        <f t="shared" si="54"/>
        <v/>
      </c>
      <c r="AA390" s="82"/>
      <c r="AB390" s="82"/>
    </row>
    <row r="391" spans="1:28" x14ac:dyDescent="0.25">
      <c r="A391" s="34">
        <f t="shared" si="55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0"/>
      <c r="O391" s="53"/>
      <c r="P391" s="36"/>
      <c r="Q391" s="49" t="str">
        <f t="shared" si="56"/>
        <v/>
      </c>
      <c r="R391" s="33"/>
      <c r="S391" s="38"/>
      <c r="T391" s="38"/>
      <c r="U391" s="82"/>
      <c r="V391" s="5"/>
      <c r="W391" s="85"/>
      <c r="X391" s="82"/>
      <c r="Y391" s="82"/>
      <c r="Z391" s="35" t="str">
        <f t="shared" si="54"/>
        <v/>
      </c>
      <c r="AA391" s="82"/>
      <c r="AB391" s="82"/>
    </row>
    <row r="392" spans="1:28" x14ac:dyDescent="0.25">
      <c r="A392" s="34">
        <f t="shared" si="55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0"/>
      <c r="O392" s="53"/>
      <c r="P392" s="36"/>
      <c r="Q392" s="49" t="str">
        <f t="shared" si="56"/>
        <v/>
      </c>
      <c r="R392" s="33"/>
      <c r="S392" s="38"/>
      <c r="T392" s="38"/>
      <c r="U392" s="82"/>
      <c r="V392" s="5"/>
      <c r="W392" s="85"/>
      <c r="X392" s="82"/>
      <c r="Y392" s="82"/>
      <c r="Z392" s="35" t="str">
        <f t="shared" si="54"/>
        <v/>
      </c>
      <c r="AA392" s="82"/>
      <c r="AB392" s="82"/>
    </row>
    <row r="393" spans="1:28" x14ac:dyDescent="0.25">
      <c r="A393" s="34">
        <f t="shared" si="55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0"/>
      <c r="O393" s="53"/>
      <c r="P393" s="36"/>
      <c r="Q393" s="49" t="str">
        <f t="shared" si="56"/>
        <v/>
      </c>
      <c r="R393" s="33"/>
      <c r="S393" s="38"/>
      <c r="T393" s="38"/>
      <c r="U393" s="82"/>
      <c r="V393" s="5"/>
      <c r="W393" s="85"/>
      <c r="X393" s="82"/>
      <c r="Y393" s="82"/>
      <c r="Z393" s="35" t="str">
        <f t="shared" si="54"/>
        <v/>
      </c>
      <c r="AA393" s="82"/>
      <c r="AB393" s="82"/>
    </row>
    <row r="394" spans="1:28" x14ac:dyDescent="0.25">
      <c r="A394" s="34">
        <f t="shared" si="55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0"/>
      <c r="O394" s="53"/>
      <c r="P394" s="36"/>
      <c r="Q394" s="49" t="str">
        <f t="shared" si="56"/>
        <v/>
      </c>
      <c r="R394" s="33"/>
      <c r="S394" s="38"/>
      <c r="T394" s="38"/>
      <c r="U394" s="82"/>
      <c r="V394" s="5"/>
      <c r="W394" s="85"/>
      <c r="X394" s="82"/>
      <c r="Y394" s="82"/>
      <c r="Z394" s="35" t="str">
        <f t="shared" si="54"/>
        <v/>
      </c>
      <c r="AA394" s="82"/>
      <c r="AB394" s="82"/>
    </row>
    <row r="395" spans="1:28" x14ac:dyDescent="0.25">
      <c r="A395" s="34">
        <f t="shared" si="55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0"/>
      <c r="O395" s="53"/>
      <c r="P395" s="36"/>
      <c r="Q395" s="49" t="str">
        <f t="shared" si="56"/>
        <v/>
      </c>
      <c r="R395" s="33"/>
      <c r="S395" s="38"/>
      <c r="T395" s="38"/>
      <c r="U395" s="82"/>
      <c r="V395" s="5"/>
      <c r="W395" s="85"/>
      <c r="X395" s="82"/>
      <c r="Y395" s="82"/>
      <c r="Z395" s="35" t="str">
        <f t="shared" ref="Z395:Z409" si="57">IF(V395&lt;&gt;"",1,"")</f>
        <v/>
      </c>
      <c r="AA395" s="82"/>
      <c r="AB395" s="82"/>
    </row>
    <row r="396" spans="1:28" x14ac:dyDescent="0.25">
      <c r="A396" s="34">
        <f t="shared" ref="A396:A409" si="58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0"/>
      <c r="O396" s="53"/>
      <c r="P396" s="36"/>
      <c r="Q396" s="49" t="str">
        <f t="shared" si="56"/>
        <v/>
      </c>
      <c r="R396" s="33"/>
      <c r="S396" s="38"/>
      <c r="T396" s="38"/>
      <c r="U396" s="82"/>
      <c r="V396" s="5"/>
      <c r="W396" s="85"/>
      <c r="X396" s="82"/>
      <c r="Y396" s="82"/>
      <c r="Z396" s="35" t="str">
        <f t="shared" si="57"/>
        <v/>
      </c>
      <c r="AA396" s="82"/>
      <c r="AB396" s="82"/>
    </row>
    <row r="397" spans="1:28" x14ac:dyDescent="0.25">
      <c r="A397" s="34">
        <f t="shared" si="58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0"/>
      <c r="O397" s="53"/>
      <c r="P397" s="36"/>
      <c r="Q397" s="49" t="str">
        <f t="shared" si="56"/>
        <v/>
      </c>
      <c r="R397" s="33"/>
      <c r="S397" s="38"/>
      <c r="T397" s="38"/>
      <c r="U397" s="82"/>
      <c r="V397" s="5"/>
      <c r="W397" s="85"/>
      <c r="X397" s="82"/>
      <c r="Y397" s="82"/>
      <c r="Z397" s="35" t="str">
        <f t="shared" si="57"/>
        <v/>
      </c>
      <c r="AA397" s="82"/>
      <c r="AB397" s="82"/>
    </row>
    <row r="398" spans="1:28" x14ac:dyDescent="0.25">
      <c r="A398" s="34">
        <f t="shared" si="58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0"/>
      <c r="O398" s="53"/>
      <c r="P398" s="36"/>
      <c r="Q398" s="49" t="str">
        <f t="shared" si="56"/>
        <v/>
      </c>
      <c r="R398" s="33"/>
      <c r="S398" s="38"/>
      <c r="T398" s="38"/>
      <c r="U398" s="82"/>
      <c r="V398" s="5"/>
      <c r="W398" s="85"/>
      <c r="X398" s="82"/>
      <c r="Y398" s="82"/>
      <c r="Z398" s="35" t="str">
        <f t="shared" si="57"/>
        <v/>
      </c>
      <c r="AA398" s="82"/>
      <c r="AB398" s="82"/>
    </row>
    <row r="399" spans="1:28" x14ac:dyDescent="0.25">
      <c r="A399" s="34">
        <f t="shared" si="58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0"/>
      <c r="O399" s="53"/>
      <c r="P399" s="36"/>
      <c r="Q399" s="49" t="str">
        <f t="shared" si="56"/>
        <v/>
      </c>
      <c r="R399" s="33"/>
      <c r="S399" s="38"/>
      <c r="T399" s="38"/>
      <c r="U399" s="82"/>
      <c r="V399" s="5"/>
      <c r="W399" s="85"/>
      <c r="X399" s="82"/>
      <c r="Y399" s="82"/>
      <c r="Z399" s="35" t="str">
        <f t="shared" si="57"/>
        <v/>
      </c>
      <c r="AA399" s="82"/>
      <c r="AB399" s="82"/>
    </row>
    <row r="400" spans="1:28" x14ac:dyDescent="0.25">
      <c r="A400" s="34">
        <f t="shared" si="58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0"/>
      <c r="O400" s="53"/>
      <c r="P400" s="36"/>
      <c r="Q400" s="49" t="str">
        <f t="shared" si="56"/>
        <v/>
      </c>
      <c r="R400" s="33"/>
      <c r="S400" s="38"/>
      <c r="T400" s="38"/>
      <c r="U400" s="82"/>
      <c r="V400" s="5"/>
      <c r="W400" s="85"/>
      <c r="X400" s="82"/>
      <c r="Y400" s="82"/>
      <c r="Z400" s="35" t="str">
        <f t="shared" si="57"/>
        <v/>
      </c>
      <c r="AA400" s="82"/>
      <c r="AB400" s="82"/>
    </row>
    <row r="401" spans="1:28" x14ac:dyDescent="0.25">
      <c r="A401" s="34">
        <f t="shared" si="58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0"/>
      <c r="O401" s="53"/>
      <c r="P401" s="36"/>
      <c r="Q401" s="49" t="str">
        <f t="shared" si="56"/>
        <v/>
      </c>
      <c r="R401" s="33"/>
      <c r="S401" s="38"/>
      <c r="T401" s="38"/>
      <c r="U401" s="82"/>
      <c r="V401" s="5"/>
      <c r="W401" s="85"/>
      <c r="X401" s="82"/>
      <c r="Y401" s="82"/>
      <c r="Z401" s="35" t="str">
        <f t="shared" si="57"/>
        <v/>
      </c>
      <c r="AA401" s="82"/>
      <c r="AB401" s="82"/>
    </row>
    <row r="402" spans="1:28" x14ac:dyDescent="0.25">
      <c r="A402" s="34">
        <f t="shared" si="58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0"/>
      <c r="O402" s="53"/>
      <c r="P402" s="36"/>
      <c r="Q402" s="49" t="str">
        <f t="shared" si="56"/>
        <v/>
      </c>
      <c r="R402" s="33"/>
      <c r="S402" s="38"/>
      <c r="T402" s="38"/>
      <c r="U402" s="82"/>
      <c r="V402" s="5"/>
      <c r="W402" s="85"/>
      <c r="X402" s="82"/>
      <c r="Y402" s="82"/>
      <c r="Z402" s="35" t="str">
        <f t="shared" si="57"/>
        <v/>
      </c>
      <c r="AA402" s="82"/>
      <c r="AB402" s="82"/>
    </row>
    <row r="403" spans="1:28" x14ac:dyDescent="0.25">
      <c r="A403" s="34">
        <f t="shared" si="58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0"/>
      <c r="O403" s="53"/>
      <c r="P403" s="36"/>
      <c r="Q403" s="49" t="str">
        <f t="shared" si="56"/>
        <v/>
      </c>
      <c r="R403" s="33"/>
      <c r="S403" s="38"/>
      <c r="T403" s="38"/>
      <c r="U403" s="82"/>
      <c r="V403" s="5"/>
      <c r="W403" s="85"/>
      <c r="X403" s="82"/>
      <c r="Y403" s="82"/>
      <c r="Z403" s="35" t="str">
        <f t="shared" si="57"/>
        <v/>
      </c>
      <c r="AA403" s="82"/>
      <c r="AB403" s="82"/>
    </row>
    <row r="404" spans="1:28" x14ac:dyDescent="0.25">
      <c r="A404" s="34">
        <f t="shared" si="58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0"/>
      <c r="O404" s="53"/>
      <c r="P404" s="36"/>
      <c r="Q404" s="49" t="str">
        <f t="shared" si="56"/>
        <v/>
      </c>
      <c r="R404" s="33"/>
      <c r="S404" s="38"/>
      <c r="T404" s="38"/>
      <c r="U404" s="82"/>
      <c r="V404" s="5"/>
      <c r="W404" s="85"/>
      <c r="X404" s="82"/>
      <c r="Y404" s="82"/>
      <c r="Z404" s="35" t="str">
        <f t="shared" si="57"/>
        <v/>
      </c>
      <c r="AA404" s="82"/>
      <c r="AB404" s="82"/>
    </row>
    <row r="405" spans="1:28" x14ac:dyDescent="0.25">
      <c r="A405" s="34">
        <f t="shared" si="58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0"/>
      <c r="O405" s="53"/>
      <c r="P405" s="36"/>
      <c r="Q405" s="49" t="str">
        <f t="shared" si="56"/>
        <v/>
      </c>
      <c r="R405" s="33"/>
      <c r="S405" s="38"/>
      <c r="T405" s="38"/>
      <c r="U405" s="82"/>
      <c r="V405" s="5"/>
      <c r="W405" s="85"/>
      <c r="X405" s="82"/>
      <c r="Y405" s="82"/>
      <c r="Z405" s="35" t="str">
        <f t="shared" si="57"/>
        <v/>
      </c>
      <c r="AA405" s="82"/>
      <c r="AB405" s="82"/>
    </row>
    <row r="406" spans="1:28" x14ac:dyDescent="0.25">
      <c r="A406" s="34">
        <f t="shared" si="58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0"/>
      <c r="O406" s="53"/>
      <c r="P406" s="36"/>
      <c r="Q406" s="49" t="str">
        <f t="shared" si="56"/>
        <v/>
      </c>
      <c r="R406" s="33"/>
      <c r="S406" s="38"/>
      <c r="T406" s="38"/>
      <c r="U406" s="82"/>
      <c r="V406" s="5"/>
      <c r="W406" s="85"/>
      <c r="X406" s="82"/>
      <c r="Y406" s="82"/>
      <c r="Z406" s="35" t="str">
        <f t="shared" si="57"/>
        <v/>
      </c>
      <c r="AA406" s="82"/>
      <c r="AB406" s="82"/>
    </row>
    <row r="407" spans="1:28" x14ac:dyDescent="0.25">
      <c r="A407" s="34">
        <f t="shared" si="58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0"/>
      <c r="O407" s="53"/>
      <c r="P407" s="36"/>
      <c r="Q407" s="49" t="str">
        <f t="shared" si="56"/>
        <v/>
      </c>
      <c r="R407" s="33"/>
      <c r="S407" s="38"/>
      <c r="T407" s="38"/>
      <c r="U407" s="82"/>
      <c r="V407" s="5"/>
      <c r="W407" s="85"/>
      <c r="X407" s="82"/>
      <c r="Y407" s="82"/>
      <c r="Z407" s="35" t="str">
        <f t="shared" si="57"/>
        <v/>
      </c>
      <c r="AA407" s="82"/>
      <c r="AB407" s="82"/>
    </row>
    <row r="408" spans="1:28" x14ac:dyDescent="0.25">
      <c r="A408" s="34">
        <f t="shared" si="58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0"/>
      <c r="O408" s="53"/>
      <c r="P408" s="36"/>
      <c r="Q408" s="49" t="str">
        <f t="shared" si="56"/>
        <v/>
      </c>
      <c r="R408" s="33"/>
      <c r="S408" s="38"/>
      <c r="T408" s="38"/>
      <c r="U408" s="82"/>
      <c r="V408" s="5"/>
      <c r="W408" s="85"/>
      <c r="X408" s="82"/>
      <c r="Y408" s="82"/>
      <c r="Z408" s="35" t="str">
        <f t="shared" si="57"/>
        <v/>
      </c>
      <c r="AA408" s="82"/>
      <c r="AB408" s="82"/>
    </row>
    <row r="409" spans="1:28" x14ac:dyDescent="0.25">
      <c r="A409" s="34">
        <f t="shared" si="58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0"/>
      <c r="O409" s="53"/>
      <c r="P409" s="36"/>
      <c r="Q409" s="49" t="str">
        <f t="shared" si="56"/>
        <v/>
      </c>
      <c r="R409" s="33"/>
      <c r="S409" s="38"/>
      <c r="T409" s="38"/>
      <c r="U409" s="82"/>
      <c r="V409" s="5"/>
      <c r="W409" s="85"/>
      <c r="X409" s="82"/>
      <c r="Y409" s="82"/>
      <c r="Z409" s="35" t="str">
        <f t="shared" si="57"/>
        <v/>
      </c>
      <c r="AA409" s="82"/>
      <c r="AB409" s="82"/>
    </row>
    <row r="410" spans="1:28" x14ac:dyDescent="0.25">
      <c r="A410" s="48"/>
    </row>
    <row r="411" spans="1:28" x14ac:dyDescent="0.25">
      <c r="A411" s="48"/>
    </row>
    <row r="412" spans="1:28" x14ac:dyDescent="0.25">
      <c r="A412" s="48"/>
    </row>
    <row r="413" spans="1:28" x14ac:dyDescent="0.25">
      <c r="A413" s="48"/>
    </row>
  </sheetData>
  <sheetProtection selectLockedCells="1"/>
  <sortState xmlns:xlrd2="http://schemas.microsoft.com/office/spreadsheetml/2017/richdata2" ref="A10:V186">
    <sortCondition ref="B10:B186"/>
    <sortCondition ref="D10:D186"/>
  </sortState>
  <dataConsolidate/>
  <mergeCells count="3">
    <mergeCell ref="B3:D3"/>
    <mergeCell ref="D7:E7"/>
    <mergeCell ref="D8:E8"/>
  </mergeCells>
  <hyperlinks>
    <hyperlink ref="V58" r:id="rId1" xr:uid="{00000000-0004-0000-0000-000000000000}"/>
    <hyperlink ref="V143" r:id="rId2" xr:uid="{00000000-0004-0000-0000-000001000000}"/>
    <hyperlink ref="V14" r:id="rId3" xr:uid="{00000000-0004-0000-0000-000002000000}"/>
    <hyperlink ref="V17" r:id="rId4" xr:uid="{00000000-0004-0000-0000-000003000000}"/>
    <hyperlink ref="V20" r:id="rId5" xr:uid="{00000000-0004-0000-0000-000004000000}"/>
    <hyperlink ref="V39" r:id="rId6" xr:uid="{00000000-0004-0000-0000-000005000000}"/>
    <hyperlink ref="V54" r:id="rId7" xr:uid="{00000000-0004-0000-0000-000006000000}"/>
    <hyperlink ref="V59" r:id="rId8" xr:uid="{00000000-0004-0000-0000-000007000000}"/>
    <hyperlink ref="V63" r:id="rId9" xr:uid="{00000000-0004-0000-0000-000008000000}"/>
    <hyperlink ref="V64" r:id="rId10" xr:uid="{00000000-0004-0000-0000-000009000000}"/>
    <hyperlink ref="V80" r:id="rId11" xr:uid="{00000000-0004-0000-0000-00000A000000}"/>
    <hyperlink ref="V81" r:id="rId12" xr:uid="{00000000-0004-0000-0000-00000B000000}"/>
    <hyperlink ref="V85" r:id="rId13" xr:uid="{00000000-0004-0000-0000-00000C000000}"/>
    <hyperlink ref="V91" r:id="rId14" xr:uid="{00000000-0004-0000-0000-00000D000000}"/>
    <hyperlink ref="V129" r:id="rId15" xr:uid="{00000000-0004-0000-0000-00000E000000}"/>
    <hyperlink ref="V134" r:id="rId16" xr:uid="{00000000-0004-0000-0000-00000F000000}"/>
    <hyperlink ref="V140" r:id="rId17" xr:uid="{00000000-0004-0000-0000-000010000000}"/>
    <hyperlink ref="V142" r:id="rId18" xr:uid="{00000000-0004-0000-0000-000011000000}"/>
    <hyperlink ref="V148" r:id="rId19" xr:uid="{00000000-0004-0000-0000-000012000000}"/>
    <hyperlink ref="V164" r:id="rId20" xr:uid="{00000000-0004-0000-0000-000013000000}"/>
    <hyperlink ref="V169" r:id="rId21" xr:uid="{00000000-0004-0000-0000-000014000000}"/>
    <hyperlink ref="V170" r:id="rId22" xr:uid="{00000000-0004-0000-0000-000015000000}"/>
    <hyperlink ref="V102" r:id="rId23" xr:uid="{00000000-0004-0000-0000-000016000000}"/>
    <hyperlink ref="V103" r:id="rId24" xr:uid="{00000000-0004-0000-0000-000017000000}"/>
  </hyperlinks>
  <pageMargins left="0.25" right="0.25" top="0.75" bottom="0.75" header="0.3" footer="0.3"/>
  <pageSetup orientation="landscape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Navigation">
              <controlPr defaultSize="0" print="0" autoFill="0" autoPict="0" macro="[1]!NewStartup_Click">
                <anchor moveWithCells="1" sizeWithCells="1">
                  <from>
                    <xdr:col>0</xdr:col>
                    <xdr:colOff>180975</xdr:colOff>
                    <xdr:row>3</xdr:row>
                    <xdr:rowOff>114300</xdr:rowOff>
                  </from>
                  <to>
                    <xdr:col>2</xdr:col>
                    <xdr:colOff>323850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NextOperation">
              <controlPr defaultSize="0" print="0" autoFill="0" autoPict="0" macro="[0]!Sheet1.NextOperation_Click">
                <anchor moveWithCells="1" sizeWithCells="1">
                  <from>
                    <xdr:col>14</xdr:col>
                    <xdr:colOff>504825</xdr:colOff>
                    <xdr:row>3</xdr:row>
                    <xdr:rowOff>95250</xdr:rowOff>
                  </from>
                  <to>
                    <xdr:col>17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WhereAmI">
              <controlPr defaultSize="0" print="0" autoFill="0" autoPict="0" macro="[0]!ThisWorkbook.WhereAmI_Click">
                <anchor moveWithCells="1" sizeWithCells="1">
                  <from>
                    <xdr:col>17</xdr:col>
                    <xdr:colOff>438150</xdr:colOff>
                    <xdr:row>3</xdr:row>
                    <xdr:rowOff>95250</xdr:rowOff>
                  </from>
                  <to>
                    <xdr:col>19</xdr:col>
                    <xdr:colOff>495300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ClearPrelimSheet">
              <controlPr defaultSize="0" print="0" autoFill="0" autoPict="0" macro="[1]!PrelimReg_N">
                <anchor moveWithCells="1" sizeWithCells="1">
                  <from>
                    <xdr:col>17</xdr:col>
                    <xdr:colOff>438150</xdr:colOff>
                    <xdr:row>1</xdr:row>
                    <xdr:rowOff>0</xdr:rowOff>
                  </from>
                  <to>
                    <xdr:col>19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CreatePlayerLabels">
              <controlPr defaultSize="0" print="0" autoFill="0" autoPict="0" macro="[1]!Macro3">
                <anchor moveWithCells="1" sizeWithCells="1">
                  <from>
                    <xdr:col>21</xdr:col>
                    <xdr:colOff>390525</xdr:colOff>
                    <xdr:row>3</xdr:row>
                    <xdr:rowOff>95250</xdr:rowOff>
                  </from>
                  <to>
                    <xdr:col>21</xdr:col>
                    <xdr:colOff>1362075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CreatePoolLabels">
              <controlPr defaultSize="0" print="0" autoFill="0" autoPict="0" macro="[1]!MainQPoolLabels">
                <anchor moveWithCells="1" sizeWithCells="1">
                  <from>
                    <xdr:col>21</xdr:col>
                    <xdr:colOff>390525</xdr:colOff>
                    <xdr:row>5</xdr:row>
                    <xdr:rowOff>171450</xdr:rowOff>
                  </from>
                  <to>
                    <xdr:col>21</xdr:col>
                    <xdr:colOff>1362075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MoveEnteredToRoster">
              <controlPr defaultSize="0" print="0" autoFill="0" autoPict="0" macro="[1]!Macro2">
                <anchor moveWithCells="1" sizeWithCells="1">
                  <from>
                    <xdr:col>21</xdr:col>
                    <xdr:colOff>390525</xdr:colOff>
                    <xdr:row>1</xdr:row>
                    <xdr:rowOff>0</xdr:rowOff>
                  </from>
                  <to>
                    <xdr:col>21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SortEnteredAlpha">
              <controlPr defaultSize="0" print="0" autoFill="0" autoPict="0" macro="[1]!SortEnteredAlpha_Click">
                <anchor moveWithCells="1" sizeWithCells="1">
                  <from>
                    <xdr:col>25</xdr:col>
                    <xdr:colOff>0</xdr:colOff>
                    <xdr:row>1</xdr:row>
                    <xdr:rowOff>0</xdr:rowOff>
                  </from>
                  <to>
                    <xdr:col>25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6" name="SortEnteredAlpha">
              <controlPr defaultSize="0" print="0" autoFill="0" autoPict="0" macro="[1]!SortEnteredAlpha_Click">
                <anchor moveWithCells="1" sizeWithCells="1">
                  <from>
                    <xdr:col>20</xdr:col>
                    <xdr:colOff>85725</xdr:colOff>
                    <xdr:row>1</xdr:row>
                    <xdr:rowOff>57150</xdr:rowOff>
                  </from>
                  <to>
                    <xdr:col>20</xdr:col>
                    <xdr:colOff>1181100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7" name="SortEnteredUnpaid">
              <controlPr defaultSize="0" print="0" autoFill="0" autoPict="0" macro="[0]!SortEnteredUnpaid_Click">
                <anchor moveWithCells="1" sizeWithCells="1">
                  <from>
                    <xdr:col>20</xdr:col>
                    <xdr:colOff>85725</xdr:colOff>
                    <xdr:row>3</xdr:row>
                    <xdr:rowOff>152400</xdr:rowOff>
                  </from>
                  <to>
                    <xdr:col>20</xdr:col>
                    <xdr:colOff>1171575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111</v>
      </c>
    </row>
    <row r="7" spans="1:14" ht="21" x14ac:dyDescent="0.35">
      <c r="A7" s="45" t="s">
        <v>110</v>
      </c>
    </row>
    <row r="8" spans="1:14" x14ac:dyDescent="0.25">
      <c r="K8" s="70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96</v>
      </c>
      <c r="E9" s="26" t="s">
        <v>97</v>
      </c>
      <c r="F9" s="26" t="s">
        <v>98</v>
      </c>
      <c r="G9" s="26" t="s">
        <v>99</v>
      </c>
      <c r="H9" s="42" t="s">
        <v>3</v>
      </c>
      <c r="I9" s="42" t="s">
        <v>95</v>
      </c>
      <c r="J9" s="42" t="s">
        <v>4</v>
      </c>
      <c r="K9" s="58" t="s">
        <v>107</v>
      </c>
      <c r="L9" s="66" t="s">
        <v>109</v>
      </c>
    </row>
    <row r="10" spans="1:14" x14ac:dyDescent="0.25">
      <c r="A10" s="8" t="s">
        <v>33</v>
      </c>
      <c r="B10" s="8" t="s">
        <v>34</v>
      </c>
      <c r="C10" s="9" t="s">
        <v>245</v>
      </c>
      <c r="D10" s="10">
        <v>1</v>
      </c>
      <c r="E10" s="11"/>
      <c r="F10" s="11"/>
      <c r="G10" s="11"/>
      <c r="H10" s="11"/>
      <c r="I10" s="11"/>
      <c r="J10" s="11">
        <v>1</v>
      </c>
      <c r="K10" s="65">
        <f t="shared" ref="K10:K30" si="0">IF(J10=1,(70+D10*10+E10*10+F10*20+G10*50),"")</f>
        <v>80</v>
      </c>
      <c r="L10" s="7"/>
    </row>
    <row r="11" spans="1:14" x14ac:dyDescent="0.25">
      <c r="A11" s="8" t="s">
        <v>523</v>
      </c>
      <c r="B11" s="8" t="s">
        <v>339</v>
      </c>
      <c r="C11" s="9" t="s">
        <v>524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65">
        <f t="shared" si="0"/>
        <v>110</v>
      </c>
      <c r="L11" s="7"/>
    </row>
    <row r="12" spans="1:14" x14ac:dyDescent="0.25">
      <c r="A12" s="8" t="s">
        <v>498</v>
      </c>
      <c r="B12" s="8"/>
      <c r="C12" s="9" t="s">
        <v>528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65">
        <f t="shared" si="0"/>
        <v>90</v>
      </c>
      <c r="L12" s="7"/>
    </row>
    <row r="13" spans="1:14" x14ac:dyDescent="0.25">
      <c r="A13" s="1" t="s">
        <v>13</v>
      </c>
      <c r="B13" s="1" t="s">
        <v>14</v>
      </c>
      <c r="C13" s="2" t="s">
        <v>210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65">
        <f t="shared" si="0"/>
        <v>160</v>
      </c>
      <c r="L13" s="7"/>
    </row>
    <row r="14" spans="1:14" x14ac:dyDescent="0.25">
      <c r="A14" s="8" t="s">
        <v>548</v>
      </c>
      <c r="B14" s="8" t="s">
        <v>538</v>
      </c>
      <c r="C14" s="9" t="s">
        <v>539</v>
      </c>
      <c r="D14" s="10">
        <v>1</v>
      </c>
      <c r="E14" s="11"/>
      <c r="F14" s="11"/>
      <c r="G14" s="11"/>
      <c r="H14" s="11"/>
      <c r="I14" s="11"/>
      <c r="J14" s="11">
        <v>1</v>
      </c>
      <c r="K14" s="65">
        <f t="shared" si="0"/>
        <v>80</v>
      </c>
      <c r="L14" s="7"/>
    </row>
    <row r="15" spans="1:14" x14ac:dyDescent="0.25">
      <c r="A15" s="1" t="s">
        <v>45</v>
      </c>
      <c r="B15" s="1" t="s">
        <v>46</v>
      </c>
      <c r="C15" s="2" t="s">
        <v>249</v>
      </c>
      <c r="D15" s="3"/>
      <c r="E15" s="3"/>
      <c r="F15" s="3"/>
      <c r="G15" s="4"/>
      <c r="H15" s="4"/>
      <c r="I15" s="4"/>
      <c r="J15" s="4">
        <v>1</v>
      </c>
      <c r="K15" s="65">
        <f t="shared" si="0"/>
        <v>70</v>
      </c>
      <c r="L15" s="7"/>
    </row>
    <row r="16" spans="1:14" x14ac:dyDescent="0.25">
      <c r="A16" s="1" t="s">
        <v>70</v>
      </c>
      <c r="B16" s="1" t="s">
        <v>18</v>
      </c>
      <c r="C16" s="2" t="s">
        <v>251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65">
        <f t="shared" si="0"/>
        <v>110</v>
      </c>
      <c r="L16" s="7"/>
    </row>
    <row r="17" spans="1:12" x14ac:dyDescent="0.25">
      <c r="A17" s="1" t="s">
        <v>68</v>
      </c>
      <c r="B17" s="1" t="s">
        <v>339</v>
      </c>
      <c r="C17" s="2" t="s">
        <v>208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65">
        <f t="shared" si="0"/>
        <v>100</v>
      </c>
      <c r="L17" s="7"/>
    </row>
    <row r="18" spans="1:12" x14ac:dyDescent="0.25">
      <c r="A18" s="1" t="s">
        <v>552</v>
      </c>
      <c r="B18" s="1" t="s">
        <v>5</v>
      </c>
      <c r="C18" s="2" t="s">
        <v>553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65">
        <f t="shared" si="0"/>
        <v>100</v>
      </c>
      <c r="L18" s="7"/>
    </row>
    <row r="19" spans="1:12" x14ac:dyDescent="0.25">
      <c r="A19" s="8" t="s">
        <v>500</v>
      </c>
      <c r="B19" s="8" t="s">
        <v>126</v>
      </c>
      <c r="C19" s="9" t="s">
        <v>530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65">
        <f t="shared" si="0"/>
        <v>160</v>
      </c>
      <c r="L19" s="7"/>
    </row>
    <row r="20" spans="1:12" x14ac:dyDescent="0.25">
      <c r="A20" s="1" t="s">
        <v>55</v>
      </c>
      <c r="B20" s="1" t="s">
        <v>56</v>
      </c>
      <c r="C20" s="2" t="s">
        <v>227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65">
        <f t="shared" si="0"/>
        <v>160</v>
      </c>
      <c r="L20" s="7"/>
    </row>
    <row r="21" spans="1:12" x14ac:dyDescent="0.25">
      <c r="A21" s="8" t="s">
        <v>362</v>
      </c>
      <c r="B21" s="8" t="s">
        <v>363</v>
      </c>
      <c r="C21" s="9" t="s">
        <v>364</v>
      </c>
      <c r="D21" s="10">
        <v>1</v>
      </c>
      <c r="E21" s="11"/>
      <c r="F21" s="11"/>
      <c r="G21" s="11"/>
      <c r="H21" s="11"/>
      <c r="I21" s="11"/>
      <c r="J21" s="11">
        <v>1</v>
      </c>
      <c r="K21" s="65">
        <f t="shared" si="0"/>
        <v>80</v>
      </c>
      <c r="L21" s="7"/>
    </row>
    <row r="22" spans="1:12" x14ac:dyDescent="0.25">
      <c r="A22" s="8" t="s">
        <v>303</v>
      </c>
      <c r="B22" s="8" t="s">
        <v>22</v>
      </c>
      <c r="C22" s="9" t="s">
        <v>304</v>
      </c>
      <c r="D22" s="10">
        <v>1</v>
      </c>
      <c r="E22" s="11"/>
      <c r="F22" s="11"/>
      <c r="G22" s="11"/>
      <c r="H22" s="11"/>
      <c r="I22" s="11"/>
      <c r="J22" s="11">
        <v>1</v>
      </c>
      <c r="K22" s="65">
        <f t="shared" si="0"/>
        <v>80</v>
      </c>
      <c r="L22" s="7"/>
    </row>
    <row r="23" spans="1:12" x14ac:dyDescent="0.25">
      <c r="A23" s="1" t="s">
        <v>540</v>
      </c>
      <c r="B23" s="1"/>
      <c r="C23" s="2" t="s">
        <v>541</v>
      </c>
      <c r="D23" s="3"/>
      <c r="E23" s="3"/>
      <c r="F23" s="3"/>
      <c r="G23" s="4"/>
      <c r="H23" s="4"/>
      <c r="I23" s="4"/>
      <c r="J23" s="4">
        <v>1</v>
      </c>
      <c r="K23" s="65">
        <f t="shared" si="0"/>
        <v>70</v>
      </c>
      <c r="L23" s="7"/>
    </row>
    <row r="24" spans="1:12" x14ac:dyDescent="0.25">
      <c r="A24" s="1" t="s">
        <v>542</v>
      </c>
      <c r="B24" s="1"/>
      <c r="C24" s="2" t="s">
        <v>543</v>
      </c>
      <c r="D24" s="3"/>
      <c r="E24" s="3"/>
      <c r="F24" s="3"/>
      <c r="G24" s="4"/>
      <c r="H24" s="4"/>
      <c r="I24" s="4"/>
      <c r="J24" s="4">
        <v>1</v>
      </c>
      <c r="K24" s="65">
        <f t="shared" si="0"/>
        <v>70</v>
      </c>
      <c r="L24" s="7"/>
    </row>
    <row r="25" spans="1:12" x14ac:dyDescent="0.25">
      <c r="A25" s="1" t="s">
        <v>544</v>
      </c>
      <c r="B25" s="1" t="s">
        <v>545</v>
      </c>
      <c r="C25" s="2" t="s">
        <v>546</v>
      </c>
      <c r="D25" s="3"/>
      <c r="E25" s="3"/>
      <c r="F25" s="3"/>
      <c r="G25" s="4"/>
      <c r="H25" s="4"/>
      <c r="I25" s="4"/>
      <c r="J25" s="4">
        <v>1</v>
      </c>
      <c r="K25" s="65">
        <f t="shared" si="0"/>
        <v>70</v>
      </c>
      <c r="L25" s="7"/>
    </row>
    <row r="26" spans="1:12" x14ac:dyDescent="0.25">
      <c r="A26" s="8" t="s">
        <v>311</v>
      </c>
      <c r="B26" s="8" t="s">
        <v>313</v>
      </c>
      <c r="C26" s="9" t="s">
        <v>312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65">
        <f t="shared" si="0"/>
        <v>160</v>
      </c>
      <c r="L26" s="7"/>
    </row>
    <row r="27" spans="1:12" x14ac:dyDescent="0.25">
      <c r="A27" s="1" t="s">
        <v>59</v>
      </c>
      <c r="B27" s="1" t="s">
        <v>60</v>
      </c>
      <c r="C27" s="2" t="s">
        <v>286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65">
        <f t="shared" si="0"/>
        <v>160</v>
      </c>
      <c r="L27" s="7"/>
    </row>
    <row r="28" spans="1:12" x14ac:dyDescent="0.25">
      <c r="A28" s="5" t="s">
        <v>549</v>
      </c>
      <c r="B28" s="5" t="s">
        <v>550</v>
      </c>
      <c r="C28" s="55" t="s">
        <v>551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65">
        <f t="shared" si="0"/>
        <v>90</v>
      </c>
      <c r="L28" s="7"/>
    </row>
    <row r="29" spans="1:12" x14ac:dyDescent="0.25">
      <c r="A29" s="8" t="s">
        <v>514</v>
      </c>
      <c r="B29" s="8" t="s">
        <v>22</v>
      </c>
      <c r="C29" s="9" t="s">
        <v>515</v>
      </c>
      <c r="D29" s="10">
        <v>1</v>
      </c>
      <c r="E29" s="11"/>
      <c r="F29" s="11"/>
      <c r="G29" s="11"/>
      <c r="H29" s="11"/>
      <c r="I29" s="11"/>
      <c r="J29" s="11">
        <v>1</v>
      </c>
      <c r="K29" s="65">
        <f t="shared" si="0"/>
        <v>80</v>
      </c>
      <c r="L29" s="7"/>
    </row>
    <row r="30" spans="1:12" x14ac:dyDescent="0.25">
      <c r="A30" s="8" t="s">
        <v>372</v>
      </c>
      <c r="B30" s="8" t="s">
        <v>373</v>
      </c>
      <c r="C30" s="9" t="s">
        <v>374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65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7" t="s">
        <v>150</v>
      </c>
    </row>
    <row r="7" spans="3:6" x14ac:dyDescent="0.25">
      <c r="C7" s="1" t="s">
        <v>68</v>
      </c>
      <c r="D7" s="1" t="s">
        <v>69</v>
      </c>
      <c r="E7" s="2" t="s">
        <v>208</v>
      </c>
      <c r="F7" s="44"/>
    </row>
    <row r="8" spans="3:6" x14ac:dyDescent="0.25">
      <c r="C8" s="1" t="s">
        <v>17</v>
      </c>
      <c r="D8" s="1" t="s">
        <v>18</v>
      </c>
      <c r="E8" s="2" t="s">
        <v>254</v>
      </c>
      <c r="F8" s="44"/>
    </row>
    <row r="9" spans="3:6" x14ac:dyDescent="0.25">
      <c r="C9" s="8" t="s">
        <v>311</v>
      </c>
      <c r="D9" s="8" t="s">
        <v>313</v>
      </c>
      <c r="E9" s="9" t="s">
        <v>312</v>
      </c>
      <c r="F9" s="44"/>
    </row>
    <row r="10" spans="3:6" x14ac:dyDescent="0.25">
      <c r="C10" s="1" t="s">
        <v>71</v>
      </c>
      <c r="D10" s="1" t="s">
        <v>5</v>
      </c>
      <c r="E10" s="2" t="s">
        <v>240</v>
      </c>
      <c r="F10" s="44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7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6" t="s">
        <v>113</v>
      </c>
    </row>
    <row r="2" spans="1:8" x14ac:dyDescent="0.25">
      <c r="A2" s="44">
        <v>1</v>
      </c>
      <c r="B2" s="1" t="s">
        <v>68</v>
      </c>
      <c r="D2" s="44">
        <v>46</v>
      </c>
      <c r="E2" s="8" t="s">
        <v>149</v>
      </c>
      <c r="G2" s="47"/>
      <c r="H2" s="6"/>
    </row>
    <row r="3" spans="1:8" x14ac:dyDescent="0.25">
      <c r="A3" s="44">
        <v>2</v>
      </c>
      <c r="B3" s="1" t="s">
        <v>142</v>
      </c>
      <c r="D3" s="44">
        <v>47</v>
      </c>
      <c r="E3" s="1" t="s">
        <v>63</v>
      </c>
      <c r="G3" s="47"/>
      <c r="H3" s="6"/>
    </row>
    <row r="4" spans="1:8" x14ac:dyDescent="0.25">
      <c r="A4" s="44">
        <v>3</v>
      </c>
      <c r="B4" s="8" t="s">
        <v>147</v>
      </c>
      <c r="D4" s="44">
        <v>48</v>
      </c>
      <c r="E4" s="8" t="s">
        <v>474</v>
      </c>
      <c r="G4" s="47"/>
      <c r="H4" s="6"/>
    </row>
    <row r="5" spans="1:8" x14ac:dyDescent="0.25">
      <c r="A5" s="44">
        <v>4</v>
      </c>
      <c r="B5" s="8" t="s">
        <v>492</v>
      </c>
      <c r="D5" s="44">
        <v>49</v>
      </c>
      <c r="E5" s="1" t="s">
        <v>24</v>
      </c>
      <c r="G5" s="47"/>
      <c r="H5" s="6"/>
    </row>
    <row r="6" spans="1:8" x14ac:dyDescent="0.25">
      <c r="A6" s="44">
        <v>5</v>
      </c>
      <c r="B6" s="8" t="s">
        <v>480</v>
      </c>
      <c r="D6" s="44">
        <v>50</v>
      </c>
      <c r="E6" s="8" t="s">
        <v>410</v>
      </c>
      <c r="G6" s="47"/>
      <c r="H6" s="6"/>
    </row>
    <row r="7" spans="1:8" x14ac:dyDescent="0.25">
      <c r="A7" s="44">
        <v>6</v>
      </c>
      <c r="B7" s="1" t="s">
        <v>72</v>
      </c>
      <c r="D7" s="44">
        <v>51</v>
      </c>
      <c r="E7" s="8" t="s">
        <v>322</v>
      </c>
      <c r="G7" s="47"/>
      <c r="H7" s="6"/>
    </row>
    <row r="8" spans="1:8" x14ac:dyDescent="0.25">
      <c r="A8" s="44">
        <v>7</v>
      </c>
      <c r="B8" s="8" t="s">
        <v>468</v>
      </c>
      <c r="D8" s="44">
        <v>52</v>
      </c>
      <c r="E8" s="67" t="s">
        <v>174</v>
      </c>
      <c r="G8" s="47"/>
      <c r="H8" s="6"/>
    </row>
    <row r="9" spans="1:8" x14ac:dyDescent="0.25">
      <c r="A9" s="44">
        <v>8</v>
      </c>
      <c r="B9" s="8" t="s">
        <v>139</v>
      </c>
      <c r="D9" s="44">
        <v>53</v>
      </c>
      <c r="E9" s="8" t="s">
        <v>436</v>
      </c>
      <c r="G9" s="47"/>
      <c r="H9" s="6"/>
    </row>
    <row r="10" spans="1:8" x14ac:dyDescent="0.25">
      <c r="A10" s="44">
        <v>9</v>
      </c>
      <c r="B10" s="1" t="s">
        <v>76</v>
      </c>
      <c r="D10" s="44">
        <v>54</v>
      </c>
      <c r="E10" s="8" t="s">
        <v>395</v>
      </c>
      <c r="G10" s="47"/>
      <c r="H10" s="6"/>
    </row>
    <row r="11" spans="1:8" x14ac:dyDescent="0.25">
      <c r="A11" s="44">
        <v>10</v>
      </c>
      <c r="B11" s="8" t="s">
        <v>385</v>
      </c>
      <c r="D11" s="44">
        <v>55</v>
      </c>
      <c r="E11" s="8" t="s">
        <v>153</v>
      </c>
      <c r="G11" s="47"/>
      <c r="H11" s="6"/>
    </row>
    <row r="12" spans="1:8" x14ac:dyDescent="0.25">
      <c r="A12" s="44">
        <v>11</v>
      </c>
      <c r="B12" s="1" t="s">
        <v>77</v>
      </c>
      <c r="D12" s="44">
        <v>56</v>
      </c>
      <c r="E12" s="8" t="s">
        <v>311</v>
      </c>
      <c r="G12" s="47"/>
      <c r="H12" s="6"/>
    </row>
    <row r="13" spans="1:8" x14ac:dyDescent="0.25">
      <c r="A13" s="44">
        <v>12</v>
      </c>
      <c r="B13" s="1" t="s">
        <v>15</v>
      </c>
      <c r="D13" s="44">
        <v>57</v>
      </c>
      <c r="E13" s="8" t="s">
        <v>129</v>
      </c>
      <c r="G13" s="47"/>
      <c r="H13" s="6"/>
    </row>
    <row r="14" spans="1:8" x14ac:dyDescent="0.25">
      <c r="A14" s="44">
        <v>13</v>
      </c>
      <c r="B14" s="1" t="s">
        <v>17</v>
      </c>
      <c r="D14" s="44">
        <v>58</v>
      </c>
      <c r="E14" s="1" t="s">
        <v>8</v>
      </c>
      <c r="G14" s="47"/>
      <c r="H14" s="6"/>
    </row>
    <row r="15" spans="1:8" x14ac:dyDescent="0.25">
      <c r="A15" s="44">
        <v>14</v>
      </c>
      <c r="B15" s="8" t="s">
        <v>157</v>
      </c>
      <c r="D15" s="44">
        <v>59</v>
      </c>
      <c r="E15" s="1" t="s">
        <v>28</v>
      </c>
      <c r="G15" s="47"/>
      <c r="H15" s="6"/>
    </row>
    <row r="16" spans="1:8" x14ac:dyDescent="0.25">
      <c r="A16" s="44">
        <v>15</v>
      </c>
      <c r="B16" s="8" t="s">
        <v>345</v>
      </c>
      <c r="D16" s="44">
        <v>60</v>
      </c>
      <c r="E16" s="8" t="s">
        <v>306</v>
      </c>
      <c r="G16" s="47"/>
      <c r="H16" s="6"/>
    </row>
    <row r="17" spans="1:8" x14ac:dyDescent="0.25">
      <c r="A17" s="44">
        <v>16</v>
      </c>
      <c r="B17" s="8" t="s">
        <v>341</v>
      </c>
      <c r="D17" s="44">
        <v>61</v>
      </c>
      <c r="E17" s="1" t="s">
        <v>491</v>
      </c>
      <c r="G17" s="47"/>
      <c r="H17" s="6"/>
    </row>
    <row r="18" spans="1:8" x14ac:dyDescent="0.25">
      <c r="A18" s="44">
        <v>17</v>
      </c>
      <c r="B18" s="1" t="s">
        <v>70</v>
      </c>
      <c r="D18" s="44">
        <v>62</v>
      </c>
      <c r="E18" s="8" t="s">
        <v>172</v>
      </c>
      <c r="G18" s="47"/>
      <c r="H18" s="6"/>
    </row>
    <row r="19" spans="1:8" x14ac:dyDescent="0.25">
      <c r="A19" s="44">
        <v>18</v>
      </c>
      <c r="B19" s="1" t="s">
        <v>6</v>
      </c>
      <c r="D19" s="44">
        <v>63</v>
      </c>
      <c r="E19" s="1" t="s">
        <v>53</v>
      </c>
      <c r="G19" s="47"/>
      <c r="H19" s="6"/>
    </row>
    <row r="20" spans="1:8" x14ac:dyDescent="0.25">
      <c r="A20" s="44">
        <v>19</v>
      </c>
      <c r="B20" s="1" t="s">
        <v>19</v>
      </c>
      <c r="D20" s="44">
        <v>64</v>
      </c>
      <c r="E20" s="8" t="s">
        <v>158</v>
      </c>
      <c r="G20" s="47"/>
      <c r="H20" s="6"/>
    </row>
    <row r="21" spans="1:8" x14ac:dyDescent="0.25">
      <c r="A21" s="44">
        <v>20</v>
      </c>
      <c r="B21" s="1" t="s">
        <v>49</v>
      </c>
      <c r="D21" s="44">
        <v>65</v>
      </c>
      <c r="E21" s="1" t="s">
        <v>45</v>
      </c>
      <c r="G21" s="47"/>
      <c r="H21" s="6"/>
    </row>
    <row r="22" spans="1:8" x14ac:dyDescent="0.25">
      <c r="A22" s="44">
        <v>21</v>
      </c>
      <c r="B22" s="1" t="s">
        <v>27</v>
      </c>
      <c r="D22" s="44">
        <v>66</v>
      </c>
      <c r="E22" s="1" t="s">
        <v>10</v>
      </c>
      <c r="G22" s="47"/>
      <c r="H22" s="6"/>
    </row>
    <row r="23" spans="1:8" x14ac:dyDescent="0.25">
      <c r="A23" s="44">
        <v>22</v>
      </c>
      <c r="B23" s="1" t="s">
        <v>47</v>
      </c>
      <c r="D23" s="44">
        <v>67</v>
      </c>
      <c r="E23" s="8" t="s">
        <v>183</v>
      </c>
      <c r="G23" s="47"/>
      <c r="H23" s="6"/>
    </row>
    <row r="24" spans="1:8" x14ac:dyDescent="0.25">
      <c r="A24" s="44">
        <v>23</v>
      </c>
      <c r="B24" s="8" t="s">
        <v>476</v>
      </c>
      <c r="D24" s="44">
        <v>68</v>
      </c>
      <c r="E24" s="8" t="s">
        <v>140</v>
      </c>
      <c r="G24" s="47"/>
      <c r="H24" s="6"/>
    </row>
    <row r="25" spans="1:8" x14ac:dyDescent="0.25">
      <c r="A25" s="44">
        <v>24</v>
      </c>
      <c r="B25" s="8" t="s">
        <v>134</v>
      </c>
      <c r="D25" s="44">
        <v>69</v>
      </c>
      <c r="E25" s="5" t="s">
        <v>74</v>
      </c>
      <c r="G25" s="47"/>
      <c r="H25" s="6"/>
    </row>
    <row r="26" spans="1:8" x14ac:dyDescent="0.25">
      <c r="A26" s="44">
        <v>25</v>
      </c>
      <c r="B26" s="8" t="s">
        <v>89</v>
      </c>
      <c r="D26" s="44">
        <v>70</v>
      </c>
      <c r="E26" s="8" t="s">
        <v>378</v>
      </c>
      <c r="G26" s="47"/>
      <c r="H26" s="6"/>
    </row>
    <row r="27" spans="1:8" x14ac:dyDescent="0.25">
      <c r="A27" s="44">
        <v>26</v>
      </c>
      <c r="B27" s="8" t="s">
        <v>475</v>
      </c>
      <c r="D27" s="47"/>
      <c r="E27" s="6"/>
      <c r="G27" s="47"/>
      <c r="H27" s="6"/>
    </row>
    <row r="28" spans="1:8" x14ac:dyDescent="0.25">
      <c r="A28" s="44">
        <v>27</v>
      </c>
      <c r="B28" s="1" t="s">
        <v>71</v>
      </c>
      <c r="D28" s="47"/>
      <c r="E28" s="6"/>
      <c r="G28" s="47"/>
      <c r="H28" s="6"/>
    </row>
    <row r="29" spans="1:8" x14ac:dyDescent="0.25">
      <c r="A29" s="44">
        <v>28</v>
      </c>
      <c r="B29" s="1" t="s">
        <v>80</v>
      </c>
      <c r="D29" s="47"/>
      <c r="E29" s="6"/>
      <c r="G29" s="47"/>
      <c r="H29" s="6"/>
    </row>
    <row r="30" spans="1:8" x14ac:dyDescent="0.25">
      <c r="A30" s="44">
        <v>29</v>
      </c>
      <c r="B30" s="8" t="s">
        <v>489</v>
      </c>
      <c r="D30" s="47"/>
      <c r="E30" s="6"/>
      <c r="G30" s="47"/>
      <c r="H30" s="6"/>
    </row>
    <row r="31" spans="1:8" x14ac:dyDescent="0.25">
      <c r="A31" s="44">
        <v>30</v>
      </c>
      <c r="B31" s="1" t="s">
        <v>13</v>
      </c>
      <c r="D31" s="47"/>
      <c r="E31" s="6"/>
      <c r="G31" s="47"/>
      <c r="H31" s="6"/>
    </row>
    <row r="32" spans="1:8" x14ac:dyDescent="0.25">
      <c r="A32" s="44">
        <v>31</v>
      </c>
      <c r="B32" s="8" t="s">
        <v>390</v>
      </c>
      <c r="D32" s="47"/>
      <c r="E32" s="6"/>
      <c r="G32" s="47"/>
      <c r="H32" s="6"/>
    </row>
    <row r="33" spans="1:8" x14ac:dyDescent="0.25">
      <c r="A33" s="44">
        <v>32</v>
      </c>
      <c r="B33" s="1" t="s">
        <v>61</v>
      </c>
      <c r="D33" s="47"/>
      <c r="E33" s="6"/>
      <c r="G33" s="47"/>
      <c r="H33" s="6"/>
    </row>
    <row r="34" spans="1:8" x14ac:dyDescent="0.25">
      <c r="A34" s="44">
        <v>33</v>
      </c>
      <c r="B34" s="1" t="s">
        <v>44</v>
      </c>
      <c r="D34" s="47"/>
      <c r="E34" s="6"/>
      <c r="G34" s="47"/>
      <c r="H34" s="6"/>
    </row>
    <row r="35" spans="1:8" x14ac:dyDescent="0.25">
      <c r="A35" s="44">
        <v>34</v>
      </c>
      <c r="B35" s="1" t="s">
        <v>85</v>
      </c>
      <c r="D35" s="47"/>
      <c r="E35" s="6"/>
      <c r="G35" s="47"/>
      <c r="H35" s="6"/>
    </row>
    <row r="36" spans="1:8" x14ac:dyDescent="0.25">
      <c r="A36" s="44">
        <v>35</v>
      </c>
      <c r="B36" s="1" t="s">
        <v>59</v>
      </c>
      <c r="D36" s="47"/>
      <c r="E36" s="6"/>
      <c r="G36" s="47"/>
      <c r="H36" s="6"/>
    </row>
    <row r="37" spans="1:8" x14ac:dyDescent="0.25">
      <c r="A37" s="44">
        <v>36</v>
      </c>
      <c r="B37" s="8" t="s">
        <v>143</v>
      </c>
      <c r="D37" s="47"/>
      <c r="E37" s="6"/>
      <c r="G37" s="47"/>
      <c r="H37" s="6"/>
    </row>
    <row r="38" spans="1:8" x14ac:dyDescent="0.25">
      <c r="A38" s="44">
        <v>37</v>
      </c>
      <c r="B38" s="1" t="s">
        <v>36</v>
      </c>
      <c r="D38" s="47"/>
      <c r="E38" s="6"/>
      <c r="G38" s="47"/>
      <c r="H38" s="6"/>
    </row>
    <row r="39" spans="1:8" x14ac:dyDescent="0.25">
      <c r="A39" s="44">
        <v>38</v>
      </c>
      <c r="B39" s="8" t="s">
        <v>465</v>
      </c>
      <c r="D39" s="47"/>
      <c r="E39" s="6"/>
      <c r="G39" s="47"/>
      <c r="H39" s="6"/>
    </row>
    <row r="40" spans="1:8" x14ac:dyDescent="0.25">
      <c r="A40" s="44">
        <v>39</v>
      </c>
      <c r="B40" s="8" t="s">
        <v>483</v>
      </c>
      <c r="D40" s="47"/>
      <c r="E40" s="6"/>
      <c r="G40" s="47"/>
      <c r="H40" s="6"/>
    </row>
    <row r="41" spans="1:8" x14ac:dyDescent="0.25">
      <c r="A41" s="44">
        <v>40</v>
      </c>
      <c r="B41" s="1" t="s">
        <v>145</v>
      </c>
      <c r="D41" s="47"/>
      <c r="E41" s="6"/>
      <c r="G41" s="47"/>
      <c r="H41" s="6"/>
    </row>
    <row r="42" spans="1:8" x14ac:dyDescent="0.25">
      <c r="A42" s="44">
        <v>41</v>
      </c>
      <c r="B42" s="8" t="s">
        <v>135</v>
      </c>
      <c r="D42" s="47"/>
      <c r="E42" s="6"/>
      <c r="G42" s="47"/>
      <c r="H42" s="6"/>
    </row>
    <row r="43" spans="1:8" x14ac:dyDescent="0.25">
      <c r="A43" s="44">
        <v>42</v>
      </c>
      <c r="B43" s="8" t="s">
        <v>118</v>
      </c>
      <c r="D43" s="47"/>
      <c r="E43" s="6"/>
      <c r="G43" s="47"/>
      <c r="H43" s="6"/>
    </row>
    <row r="44" spans="1:8" x14ac:dyDescent="0.25">
      <c r="A44" s="44">
        <v>43</v>
      </c>
      <c r="B44" s="8" t="s">
        <v>493</v>
      </c>
      <c r="D44" s="47"/>
      <c r="E44" s="6"/>
      <c r="G44" s="47"/>
      <c r="H44" s="6"/>
    </row>
    <row r="45" spans="1:8" x14ac:dyDescent="0.25">
      <c r="A45" s="44">
        <v>44</v>
      </c>
      <c r="B45" s="8" t="s">
        <v>338</v>
      </c>
      <c r="D45" s="47"/>
      <c r="E45" s="6"/>
      <c r="G45" s="47"/>
      <c r="H45" s="6"/>
    </row>
    <row r="46" spans="1:8" x14ac:dyDescent="0.25">
      <c r="A46" s="44">
        <v>45</v>
      </c>
      <c r="B46" s="8" t="s">
        <v>357</v>
      </c>
      <c r="D46" s="47"/>
      <c r="E46" s="6"/>
      <c r="G46" s="47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H46"/>
  <sheetViews>
    <sheetView topLeftCell="A23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6" t="s">
        <v>112</v>
      </c>
    </row>
    <row r="2" spans="1:8" x14ac:dyDescent="0.25">
      <c r="A2" s="44"/>
      <c r="B2" s="8" t="s">
        <v>33</v>
      </c>
      <c r="D2" s="38"/>
      <c r="E2" s="8" t="s">
        <v>508</v>
      </c>
      <c r="H2" s="6"/>
    </row>
    <row r="3" spans="1:8" x14ac:dyDescent="0.25">
      <c r="A3" s="44"/>
      <c r="B3" s="8" t="s">
        <v>495</v>
      </c>
      <c r="D3" s="38"/>
      <c r="E3" s="8" t="s">
        <v>509</v>
      </c>
      <c r="H3" s="6"/>
    </row>
    <row r="4" spans="1:8" x14ac:dyDescent="0.25">
      <c r="A4" s="44"/>
      <c r="B4" s="1" t="s">
        <v>15</v>
      </c>
      <c r="D4" s="38"/>
      <c r="E4" s="8" t="s">
        <v>510</v>
      </c>
      <c r="H4" s="6"/>
    </row>
    <row r="5" spans="1:8" x14ac:dyDescent="0.25">
      <c r="A5" s="44"/>
      <c r="B5" s="8" t="s">
        <v>496</v>
      </c>
      <c r="D5" s="38"/>
      <c r="E5" s="8" t="s">
        <v>512</v>
      </c>
      <c r="H5" s="6"/>
    </row>
    <row r="6" spans="1:8" x14ac:dyDescent="0.25">
      <c r="A6" s="44"/>
      <c r="B6" s="8" t="s">
        <v>497</v>
      </c>
      <c r="D6" s="44"/>
      <c r="E6" s="1" t="s">
        <v>44</v>
      </c>
      <c r="H6" s="6"/>
    </row>
    <row r="7" spans="1:8" x14ac:dyDescent="0.25">
      <c r="A7" s="44"/>
      <c r="B7" s="8" t="s">
        <v>338</v>
      </c>
      <c r="D7" s="44"/>
      <c r="E7" s="1" t="s">
        <v>71</v>
      </c>
      <c r="H7" s="6"/>
    </row>
    <row r="8" spans="1:8" x14ac:dyDescent="0.25">
      <c r="A8" s="38"/>
      <c r="B8" s="8" t="s">
        <v>523</v>
      </c>
      <c r="D8" s="44"/>
      <c r="E8" s="69" t="s">
        <v>80</v>
      </c>
      <c r="H8" s="6"/>
    </row>
    <row r="9" spans="1:8" x14ac:dyDescent="0.25">
      <c r="A9" s="44"/>
      <c r="B9" s="8" t="s">
        <v>498</v>
      </c>
      <c r="D9" s="38"/>
      <c r="E9" s="8" t="s">
        <v>514</v>
      </c>
      <c r="H9" s="6"/>
    </row>
    <row r="10" spans="1:8" x14ac:dyDescent="0.25">
      <c r="A10" s="44"/>
      <c r="B10" s="8" t="s">
        <v>160</v>
      </c>
      <c r="D10" s="38"/>
      <c r="E10" s="8" t="s">
        <v>516</v>
      </c>
      <c r="H10" s="6"/>
    </row>
    <row r="11" spans="1:8" x14ac:dyDescent="0.25">
      <c r="A11" s="44"/>
      <c r="B11" s="1" t="s">
        <v>13</v>
      </c>
      <c r="D11" s="38"/>
      <c r="E11" s="8" t="s">
        <v>518</v>
      </c>
      <c r="H11" s="6"/>
    </row>
    <row r="12" spans="1:8" x14ac:dyDescent="0.25">
      <c r="A12" s="44"/>
      <c r="B12" s="1" t="s">
        <v>63</v>
      </c>
      <c r="D12" s="38"/>
      <c r="E12" s="8" t="s">
        <v>519</v>
      </c>
      <c r="H12" s="6"/>
    </row>
    <row r="13" spans="1:8" x14ac:dyDescent="0.25">
      <c r="A13" s="44"/>
      <c r="B13" s="8" t="s">
        <v>548</v>
      </c>
      <c r="D13" s="38"/>
      <c r="E13" s="8" t="s">
        <v>521</v>
      </c>
      <c r="H13" s="6"/>
    </row>
    <row r="14" spans="1:8" x14ac:dyDescent="0.25">
      <c r="A14" s="44"/>
      <c r="B14" s="1" t="s">
        <v>8</v>
      </c>
      <c r="D14" s="44"/>
      <c r="E14" s="8" t="s">
        <v>372</v>
      </c>
      <c r="H14" s="6"/>
    </row>
    <row r="15" spans="1:8" x14ac:dyDescent="0.25">
      <c r="A15" s="44"/>
      <c r="B15" s="1" t="s">
        <v>45</v>
      </c>
      <c r="H15" s="6"/>
    </row>
    <row r="16" spans="1:8" x14ac:dyDescent="0.25">
      <c r="A16" s="44"/>
      <c r="B16" s="8" t="s">
        <v>149</v>
      </c>
      <c r="H16" s="6"/>
    </row>
    <row r="17" spans="1:8" x14ac:dyDescent="0.25">
      <c r="A17" s="44"/>
      <c r="B17" s="1" t="s">
        <v>70</v>
      </c>
      <c r="H17" s="6"/>
    </row>
    <row r="18" spans="1:8" x14ac:dyDescent="0.25">
      <c r="A18" s="44"/>
      <c r="B18" s="1" t="s">
        <v>68</v>
      </c>
      <c r="H18" s="6"/>
    </row>
    <row r="19" spans="1:8" x14ac:dyDescent="0.25">
      <c r="A19" s="38"/>
      <c r="B19" s="8" t="s">
        <v>180</v>
      </c>
      <c r="H19" s="6"/>
    </row>
    <row r="20" spans="1:8" x14ac:dyDescent="0.25">
      <c r="A20" s="38"/>
      <c r="B20" s="8" t="s">
        <v>499</v>
      </c>
      <c r="H20" s="6"/>
    </row>
    <row r="21" spans="1:8" x14ac:dyDescent="0.25">
      <c r="A21" s="38"/>
      <c r="B21" s="8" t="s">
        <v>500</v>
      </c>
      <c r="H21" s="6"/>
    </row>
    <row r="22" spans="1:8" x14ac:dyDescent="0.25">
      <c r="A22" s="38"/>
      <c r="B22" s="8" t="s">
        <v>501</v>
      </c>
      <c r="H22" s="6"/>
    </row>
    <row r="23" spans="1:8" x14ac:dyDescent="0.25">
      <c r="A23" s="38"/>
      <c r="B23" s="8" t="s">
        <v>502</v>
      </c>
      <c r="H23" s="6"/>
    </row>
    <row r="24" spans="1:8" x14ac:dyDescent="0.25">
      <c r="A24" s="44"/>
      <c r="B24" s="8" t="s">
        <v>134</v>
      </c>
      <c r="H24" s="6"/>
    </row>
    <row r="25" spans="1:8" x14ac:dyDescent="0.25">
      <c r="A25" s="44"/>
      <c r="B25" s="1" t="s">
        <v>66</v>
      </c>
      <c r="H25" s="6"/>
    </row>
    <row r="26" spans="1:8" x14ac:dyDescent="0.25">
      <c r="A26" s="44"/>
      <c r="B26" s="5" t="s">
        <v>74</v>
      </c>
      <c r="H26" s="6"/>
    </row>
    <row r="27" spans="1:8" x14ac:dyDescent="0.25">
      <c r="A27" s="44"/>
      <c r="B27" s="1" t="s">
        <v>17</v>
      </c>
      <c r="H27" s="6"/>
    </row>
    <row r="28" spans="1:8" x14ac:dyDescent="0.25">
      <c r="A28" s="44"/>
      <c r="B28" s="1" t="s">
        <v>55</v>
      </c>
      <c r="H28" s="6"/>
    </row>
    <row r="29" spans="1:8" x14ac:dyDescent="0.25">
      <c r="A29" s="44"/>
      <c r="B29" s="8" t="s">
        <v>139</v>
      </c>
      <c r="H29" s="6"/>
    </row>
    <row r="30" spans="1:8" x14ac:dyDescent="0.25">
      <c r="A30" s="44"/>
      <c r="B30" s="8" t="s">
        <v>129</v>
      </c>
      <c r="H30" s="6"/>
    </row>
    <row r="31" spans="1:8" x14ac:dyDescent="0.25">
      <c r="A31" s="44"/>
      <c r="B31" s="8" t="s">
        <v>303</v>
      </c>
      <c r="H31" s="6"/>
    </row>
    <row r="32" spans="1:8" x14ac:dyDescent="0.25">
      <c r="A32" s="44"/>
      <c r="B32" s="1" t="s">
        <v>36</v>
      </c>
      <c r="H32" s="6"/>
    </row>
    <row r="33" spans="1:8" x14ac:dyDescent="0.25">
      <c r="A33" s="38"/>
      <c r="B33" s="8" t="s">
        <v>504</v>
      </c>
      <c r="H33" s="6"/>
    </row>
    <row r="34" spans="1:8" x14ac:dyDescent="0.25">
      <c r="A34" s="44"/>
      <c r="B34" s="8" t="s">
        <v>378</v>
      </c>
      <c r="H34" s="6"/>
    </row>
    <row r="35" spans="1:8" x14ac:dyDescent="0.25">
      <c r="A35" s="44"/>
      <c r="B35" s="1" t="s">
        <v>540</v>
      </c>
      <c r="H35" s="6"/>
    </row>
    <row r="36" spans="1:8" x14ac:dyDescent="0.25">
      <c r="A36" s="44"/>
      <c r="B36" s="1" t="s">
        <v>542</v>
      </c>
      <c r="H36" s="6"/>
    </row>
    <row r="37" spans="1:8" x14ac:dyDescent="0.25">
      <c r="A37" s="44"/>
      <c r="B37" s="1" t="s">
        <v>544</v>
      </c>
      <c r="H37" s="6"/>
    </row>
    <row r="38" spans="1:8" x14ac:dyDescent="0.25">
      <c r="A38" s="44"/>
      <c r="B38" s="1" t="s">
        <v>77</v>
      </c>
      <c r="H38" s="6"/>
    </row>
    <row r="39" spans="1:8" x14ac:dyDescent="0.25">
      <c r="A39" s="44"/>
      <c r="B39" s="1" t="s">
        <v>491</v>
      </c>
      <c r="H39" s="6"/>
    </row>
    <row r="40" spans="1:8" x14ac:dyDescent="0.25">
      <c r="A40" s="38"/>
      <c r="B40" s="8" t="s">
        <v>505</v>
      </c>
      <c r="H40" s="6"/>
    </row>
    <row r="41" spans="1:8" x14ac:dyDescent="0.25">
      <c r="A41" s="44"/>
      <c r="B41" s="1" t="s">
        <v>27</v>
      </c>
      <c r="H41" s="6"/>
    </row>
    <row r="42" spans="1:8" x14ac:dyDescent="0.25">
      <c r="A42" s="44"/>
      <c r="B42" s="8" t="s">
        <v>311</v>
      </c>
      <c r="H42" s="6"/>
    </row>
    <row r="43" spans="1:8" x14ac:dyDescent="0.25">
      <c r="A43" s="44"/>
      <c r="B43" s="1" t="s">
        <v>59</v>
      </c>
      <c r="H43" s="6"/>
    </row>
    <row r="44" spans="1:8" x14ac:dyDescent="0.25">
      <c r="A44" s="44"/>
      <c r="B44" s="8" t="s">
        <v>297</v>
      </c>
      <c r="H44" s="6"/>
    </row>
    <row r="45" spans="1:8" x14ac:dyDescent="0.25">
      <c r="A45" s="44"/>
      <c r="B45" s="8" t="s">
        <v>410</v>
      </c>
      <c r="H45" s="6"/>
    </row>
    <row r="46" spans="1:8" x14ac:dyDescent="0.25">
      <c r="A46" s="44"/>
      <c r="B46" s="1" t="s">
        <v>47</v>
      </c>
      <c r="H46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410"/>
  <sheetViews>
    <sheetView workbookViewId="0">
      <selection activeCell="B10" sqref="B10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7" customFormat="1" ht="31.5" customHeight="1" x14ac:dyDescent="0.25">
      <c r="A1" s="71" t="s">
        <v>0</v>
      </c>
      <c r="B1" s="71" t="s">
        <v>1</v>
      </c>
      <c r="C1" s="71" t="s">
        <v>2</v>
      </c>
      <c r="D1" s="71" t="s">
        <v>554</v>
      </c>
      <c r="E1" s="71" t="s">
        <v>555</v>
      </c>
    </row>
    <row r="2" spans="1:5" x14ac:dyDescent="0.25">
      <c r="A2" s="8" t="s">
        <v>354</v>
      </c>
      <c r="B2" s="8" t="s">
        <v>355</v>
      </c>
      <c r="C2" s="9" t="s">
        <v>356</v>
      </c>
      <c r="D2" s="75"/>
      <c r="E2" s="5" t="s">
        <v>442</v>
      </c>
    </row>
    <row r="3" spans="1:5" x14ac:dyDescent="0.25">
      <c r="A3" s="1" t="s">
        <v>33</v>
      </c>
      <c r="B3" s="1" t="s">
        <v>34</v>
      </c>
      <c r="C3" s="2" t="s">
        <v>245</v>
      </c>
      <c r="D3" s="6" t="s">
        <v>610</v>
      </c>
      <c r="E3" s="5" t="s">
        <v>611</v>
      </c>
    </row>
    <row r="4" spans="1:5" x14ac:dyDescent="0.25">
      <c r="A4" s="8" t="s">
        <v>322</v>
      </c>
      <c r="B4" s="8" t="s">
        <v>323</v>
      </c>
      <c r="C4" s="9" t="s">
        <v>324</v>
      </c>
      <c r="D4" s="75"/>
      <c r="E4" s="8" t="s">
        <v>408</v>
      </c>
    </row>
    <row r="5" spans="1:5" x14ac:dyDescent="0.25">
      <c r="A5" s="1" t="s">
        <v>24</v>
      </c>
      <c r="B5" s="1" t="s">
        <v>556</v>
      </c>
      <c r="C5" s="2" t="s">
        <v>557</v>
      </c>
      <c r="D5" s="76"/>
      <c r="E5" s="64"/>
    </row>
    <row r="6" spans="1:5" x14ac:dyDescent="0.25">
      <c r="A6" s="8" t="s">
        <v>495</v>
      </c>
      <c r="B6" s="8" t="s">
        <v>558</v>
      </c>
      <c r="C6" s="9" t="s">
        <v>525</v>
      </c>
      <c r="D6" s="75">
        <v>9098875893</v>
      </c>
      <c r="E6" s="60" t="s">
        <v>612</v>
      </c>
    </row>
    <row r="7" spans="1:5" x14ac:dyDescent="0.25">
      <c r="A7" s="8" t="s">
        <v>345</v>
      </c>
      <c r="B7" s="8" t="s">
        <v>16</v>
      </c>
      <c r="C7" s="9" t="s">
        <v>346</v>
      </c>
      <c r="D7" s="75"/>
      <c r="E7" s="5" t="s">
        <v>416</v>
      </c>
    </row>
    <row r="8" spans="1:5" x14ac:dyDescent="0.25">
      <c r="A8" s="1" t="s">
        <v>15</v>
      </c>
      <c r="B8" s="1" t="s">
        <v>16</v>
      </c>
      <c r="C8" s="2" t="s">
        <v>212</v>
      </c>
      <c r="D8" s="80">
        <v>9168138609</v>
      </c>
      <c r="E8" s="5" t="s">
        <v>417</v>
      </c>
    </row>
    <row r="9" spans="1:5" x14ac:dyDescent="0.25">
      <c r="A9" s="8" t="s">
        <v>496</v>
      </c>
      <c r="B9" s="8" t="s">
        <v>117</v>
      </c>
      <c r="C9" s="9" t="s">
        <v>526</v>
      </c>
      <c r="D9" s="75">
        <v>5302775321</v>
      </c>
      <c r="E9" s="60" t="s">
        <v>613</v>
      </c>
    </row>
    <row r="10" spans="1:5" x14ac:dyDescent="0.25">
      <c r="A10" s="8" t="s">
        <v>395</v>
      </c>
      <c r="B10" s="8" t="s">
        <v>396</v>
      </c>
      <c r="C10" s="9" t="s">
        <v>397</v>
      </c>
      <c r="D10" s="79"/>
      <c r="E10" s="5" t="s">
        <v>398</v>
      </c>
    </row>
    <row r="11" spans="1:5" x14ac:dyDescent="0.25">
      <c r="A11" s="8" t="s">
        <v>350</v>
      </c>
      <c r="B11" s="8" t="s">
        <v>16</v>
      </c>
      <c r="C11" s="9" t="s">
        <v>351</v>
      </c>
      <c r="D11" s="79">
        <v>9162036636</v>
      </c>
      <c r="E11" s="5" t="s">
        <v>352</v>
      </c>
    </row>
    <row r="12" spans="1:5" x14ac:dyDescent="0.25">
      <c r="A12" s="1" t="s">
        <v>6</v>
      </c>
      <c r="B12" s="1" t="s">
        <v>7</v>
      </c>
      <c r="C12" s="2" t="s">
        <v>214</v>
      </c>
      <c r="D12" s="81">
        <v>7078430109</v>
      </c>
      <c r="E12" s="60" t="s">
        <v>614</v>
      </c>
    </row>
    <row r="13" spans="1:5" x14ac:dyDescent="0.25">
      <c r="A13" s="8" t="s">
        <v>497</v>
      </c>
      <c r="B13" s="8" t="s">
        <v>559</v>
      </c>
      <c r="C13" s="9" t="s">
        <v>527</v>
      </c>
      <c r="D13" s="79">
        <v>8054892161</v>
      </c>
      <c r="E13" s="7" t="s">
        <v>615</v>
      </c>
    </row>
    <row r="14" spans="1:5" x14ac:dyDescent="0.25">
      <c r="A14" s="8" t="s">
        <v>338</v>
      </c>
      <c r="B14" s="8" t="s">
        <v>339</v>
      </c>
      <c r="C14" s="9" t="s">
        <v>340</v>
      </c>
      <c r="D14" s="79">
        <v>9167055602</v>
      </c>
      <c r="E14" s="5" t="s">
        <v>343</v>
      </c>
    </row>
    <row r="15" spans="1:5" x14ac:dyDescent="0.25">
      <c r="A15" s="8" t="s">
        <v>560</v>
      </c>
      <c r="B15" s="8" t="s">
        <v>148</v>
      </c>
      <c r="C15" s="9" t="s">
        <v>528</v>
      </c>
      <c r="D15" s="6" t="s">
        <v>616</v>
      </c>
      <c r="E15" s="7" t="s">
        <v>617</v>
      </c>
    </row>
    <row r="16" spans="1:5" x14ac:dyDescent="0.25">
      <c r="A16" s="1" t="s">
        <v>51</v>
      </c>
      <c r="B16" s="1" t="s">
        <v>5</v>
      </c>
      <c r="C16" s="2" t="s">
        <v>215</v>
      </c>
      <c r="D16" s="81" t="s">
        <v>618</v>
      </c>
      <c r="E16" s="5" t="s">
        <v>443</v>
      </c>
    </row>
    <row r="17" spans="1:5" x14ac:dyDescent="0.25">
      <c r="A17" s="1" t="s">
        <v>52</v>
      </c>
      <c r="B17" s="1" t="s">
        <v>5</v>
      </c>
      <c r="C17" s="2" t="s">
        <v>216</v>
      </c>
      <c r="D17" s="81" t="s">
        <v>618</v>
      </c>
      <c r="E17" s="5" t="s">
        <v>443</v>
      </c>
    </row>
    <row r="18" spans="1:5" x14ac:dyDescent="0.25">
      <c r="A18" s="8" t="s">
        <v>189</v>
      </c>
      <c r="B18" s="8" t="s">
        <v>132</v>
      </c>
      <c r="C18" s="9" t="s">
        <v>236</v>
      </c>
      <c r="D18" s="79"/>
      <c r="E18" s="5" t="s">
        <v>190</v>
      </c>
    </row>
    <row r="19" spans="1:5" x14ac:dyDescent="0.25">
      <c r="A19" s="8" t="s">
        <v>160</v>
      </c>
      <c r="B19" s="1" t="s">
        <v>5</v>
      </c>
      <c r="C19" s="9" t="s">
        <v>246</v>
      </c>
      <c r="D19" s="79" t="s">
        <v>619</v>
      </c>
      <c r="E19" s="5" t="s">
        <v>620</v>
      </c>
    </row>
    <row r="20" spans="1:5" x14ac:dyDescent="0.25">
      <c r="A20" s="8" t="s">
        <v>333</v>
      </c>
      <c r="B20" s="8" t="s">
        <v>331</v>
      </c>
      <c r="C20" s="9" t="s">
        <v>334</v>
      </c>
      <c r="D20" s="79"/>
      <c r="E20" s="5" t="s">
        <v>444</v>
      </c>
    </row>
    <row r="21" spans="1:5" x14ac:dyDescent="0.25">
      <c r="A21" s="8" t="s">
        <v>392</v>
      </c>
      <c r="B21" s="8" t="s">
        <v>393</v>
      </c>
      <c r="C21" s="9" t="s">
        <v>248</v>
      </c>
      <c r="D21" s="79"/>
      <c r="E21" s="5" t="s">
        <v>394</v>
      </c>
    </row>
    <row r="22" spans="1:5" x14ac:dyDescent="0.25">
      <c r="A22" s="1" t="s">
        <v>13</v>
      </c>
      <c r="B22" s="1" t="s">
        <v>14</v>
      </c>
      <c r="C22" s="2" t="s">
        <v>210</v>
      </c>
      <c r="D22" s="81">
        <v>9253213485</v>
      </c>
      <c r="E22" s="5" t="s">
        <v>128</v>
      </c>
    </row>
    <row r="23" spans="1:5" x14ac:dyDescent="0.25">
      <c r="A23" s="8" t="s">
        <v>325</v>
      </c>
      <c r="B23" s="8" t="s">
        <v>37</v>
      </c>
      <c r="C23" s="9" t="s">
        <v>326</v>
      </c>
      <c r="D23" s="79"/>
      <c r="E23" s="5"/>
    </row>
    <row r="24" spans="1:5" x14ac:dyDescent="0.25">
      <c r="A24" s="8" t="s">
        <v>308</v>
      </c>
      <c r="B24" s="8" t="s">
        <v>48</v>
      </c>
      <c r="C24" s="9" t="s">
        <v>309</v>
      </c>
      <c r="D24" s="75"/>
      <c r="E24" s="5"/>
    </row>
    <row r="25" spans="1:5" x14ac:dyDescent="0.25">
      <c r="A25" s="8" t="s">
        <v>306</v>
      </c>
      <c r="B25" s="8" t="s">
        <v>48</v>
      </c>
      <c r="C25" s="9" t="s">
        <v>307</v>
      </c>
      <c r="D25" s="75"/>
      <c r="E25" s="60" t="s">
        <v>310</v>
      </c>
    </row>
    <row r="26" spans="1:5" x14ac:dyDescent="0.25">
      <c r="A26" s="1" t="s">
        <v>63</v>
      </c>
      <c r="B26" s="1" t="s">
        <v>18</v>
      </c>
      <c r="C26" s="2" t="s">
        <v>247</v>
      </c>
      <c r="D26" s="76">
        <v>9705539123</v>
      </c>
      <c r="E26" s="5" t="s">
        <v>570</v>
      </c>
    </row>
    <row r="27" spans="1:5" x14ac:dyDescent="0.25">
      <c r="A27" s="1" t="s">
        <v>38</v>
      </c>
      <c r="B27" s="1" t="s">
        <v>39</v>
      </c>
      <c r="C27" s="2" t="s">
        <v>225</v>
      </c>
      <c r="D27" s="76"/>
      <c r="E27" s="5" t="s">
        <v>181</v>
      </c>
    </row>
    <row r="28" spans="1:5" ht="15.75" x14ac:dyDescent="0.25">
      <c r="A28" s="1" t="s">
        <v>548</v>
      </c>
      <c r="B28" s="1" t="s">
        <v>538</v>
      </c>
      <c r="C28" s="72" t="s">
        <v>539</v>
      </c>
      <c r="D28" s="73" t="s">
        <v>621</v>
      </c>
      <c r="E28" s="7" t="s">
        <v>622</v>
      </c>
    </row>
    <row r="29" spans="1:5" x14ac:dyDescent="0.25">
      <c r="A29" s="8" t="s">
        <v>360</v>
      </c>
      <c r="B29" s="8" t="s">
        <v>86</v>
      </c>
      <c r="C29" s="9" t="s">
        <v>361</v>
      </c>
      <c r="D29" s="75"/>
      <c r="E29" s="5" t="s">
        <v>381</v>
      </c>
    </row>
    <row r="30" spans="1:5" x14ac:dyDescent="0.25">
      <c r="A30" s="1" t="s">
        <v>76</v>
      </c>
      <c r="B30" s="1" t="s">
        <v>67</v>
      </c>
      <c r="C30" s="2" t="s">
        <v>223</v>
      </c>
      <c r="D30" s="76"/>
      <c r="E30" s="5" t="s">
        <v>182</v>
      </c>
    </row>
    <row r="31" spans="1:5" x14ac:dyDescent="0.25">
      <c r="A31" s="1" t="s">
        <v>8</v>
      </c>
      <c r="B31" s="1" t="s">
        <v>37</v>
      </c>
      <c r="C31" s="2" t="s">
        <v>222</v>
      </c>
      <c r="D31" s="76">
        <v>7073175740</v>
      </c>
      <c r="E31" s="60" t="s">
        <v>623</v>
      </c>
    </row>
    <row r="32" spans="1:5" x14ac:dyDescent="0.25">
      <c r="A32" s="8" t="s">
        <v>327</v>
      </c>
      <c r="B32" s="8" t="s">
        <v>67</v>
      </c>
      <c r="C32" s="9" t="s">
        <v>328</v>
      </c>
      <c r="D32" s="75"/>
      <c r="E32" s="5" t="s">
        <v>445</v>
      </c>
    </row>
    <row r="33" spans="1:5" x14ac:dyDescent="0.25">
      <c r="A33" s="1" t="s">
        <v>45</v>
      </c>
      <c r="B33" s="1" t="s">
        <v>46</v>
      </c>
      <c r="C33" s="2" t="s">
        <v>249</v>
      </c>
      <c r="D33" s="76" t="s">
        <v>624</v>
      </c>
      <c r="E33" s="5" t="s">
        <v>418</v>
      </c>
    </row>
    <row r="34" spans="1:5" x14ac:dyDescent="0.25">
      <c r="A34" s="1" t="s">
        <v>83</v>
      </c>
      <c r="B34" s="1" t="s">
        <v>84</v>
      </c>
      <c r="C34" s="2" t="s">
        <v>238</v>
      </c>
      <c r="D34" s="76"/>
      <c r="E34" s="5" t="s">
        <v>194</v>
      </c>
    </row>
    <row r="35" spans="1:5" x14ac:dyDescent="0.25">
      <c r="A35" s="8" t="s">
        <v>357</v>
      </c>
      <c r="B35" s="8" t="s">
        <v>358</v>
      </c>
      <c r="C35" s="9" t="s">
        <v>359</v>
      </c>
      <c r="D35" s="75"/>
      <c r="E35" s="5" t="s">
        <v>479</v>
      </c>
    </row>
    <row r="36" spans="1:5" x14ac:dyDescent="0.25">
      <c r="A36" s="1" t="s">
        <v>64</v>
      </c>
      <c r="B36" s="1" t="s">
        <v>65</v>
      </c>
      <c r="C36" s="2" t="s">
        <v>277</v>
      </c>
      <c r="D36" s="76"/>
      <c r="E36" s="5" t="s">
        <v>446</v>
      </c>
    </row>
    <row r="37" spans="1:5" x14ac:dyDescent="0.25">
      <c r="A37" s="8" t="s">
        <v>149</v>
      </c>
      <c r="B37" s="8" t="s">
        <v>82</v>
      </c>
      <c r="C37" s="9" t="s">
        <v>250</v>
      </c>
      <c r="D37" s="75">
        <v>9165213208</v>
      </c>
      <c r="E37" s="5" t="s">
        <v>419</v>
      </c>
    </row>
    <row r="38" spans="1:5" x14ac:dyDescent="0.25">
      <c r="A38" s="8" t="s">
        <v>198</v>
      </c>
      <c r="B38" s="8" t="s">
        <v>200</v>
      </c>
      <c r="C38" s="9" t="s">
        <v>199</v>
      </c>
      <c r="D38" s="75"/>
      <c r="E38" s="5" t="s">
        <v>201</v>
      </c>
    </row>
    <row r="39" spans="1:5" x14ac:dyDescent="0.25">
      <c r="A39" s="1" t="s">
        <v>70</v>
      </c>
      <c r="B39" s="1" t="s">
        <v>18</v>
      </c>
      <c r="C39" s="2" t="s">
        <v>251</v>
      </c>
      <c r="D39" s="6" t="s">
        <v>625</v>
      </c>
      <c r="E39" s="5" t="s">
        <v>368</v>
      </c>
    </row>
    <row r="40" spans="1:5" x14ac:dyDescent="0.25">
      <c r="A40" s="1" t="s">
        <v>68</v>
      </c>
      <c r="B40" s="1" t="s">
        <v>16</v>
      </c>
      <c r="C40" s="2" t="s">
        <v>208</v>
      </c>
      <c r="D40" s="6" t="s">
        <v>626</v>
      </c>
      <c r="E40" s="5" t="s">
        <v>164</v>
      </c>
    </row>
    <row r="41" spans="1:5" x14ac:dyDescent="0.25">
      <c r="A41" s="8" t="s">
        <v>474</v>
      </c>
      <c r="B41" s="8" t="s">
        <v>331</v>
      </c>
      <c r="C41" s="9" t="s">
        <v>332</v>
      </c>
      <c r="D41" s="75"/>
      <c r="E41" s="5" t="s">
        <v>449</v>
      </c>
    </row>
    <row r="42" spans="1:5" x14ac:dyDescent="0.25">
      <c r="A42" s="1" t="s">
        <v>561</v>
      </c>
      <c r="B42" s="1" t="s">
        <v>18</v>
      </c>
      <c r="C42" s="2" t="s">
        <v>233</v>
      </c>
      <c r="D42" s="76" t="s">
        <v>569</v>
      </c>
      <c r="E42" s="5" t="s">
        <v>570</v>
      </c>
    </row>
    <row r="43" spans="1:5" x14ac:dyDescent="0.25">
      <c r="A43" s="8" t="s">
        <v>293</v>
      </c>
      <c r="B43" s="8" t="s">
        <v>294</v>
      </c>
      <c r="C43" s="9" t="s">
        <v>295</v>
      </c>
      <c r="D43" s="75"/>
      <c r="E43" s="5"/>
    </row>
    <row r="44" spans="1:5" x14ac:dyDescent="0.25">
      <c r="A44" s="8" t="s">
        <v>180</v>
      </c>
      <c r="B44" s="8" t="s">
        <v>18</v>
      </c>
      <c r="C44" s="9" t="s">
        <v>203</v>
      </c>
      <c r="D44" s="75">
        <v>7078499317</v>
      </c>
      <c r="E44" s="5" t="s">
        <v>187</v>
      </c>
    </row>
    <row r="45" spans="1:5" x14ac:dyDescent="0.25">
      <c r="A45" s="8" t="s">
        <v>282</v>
      </c>
      <c r="B45" s="8" t="s">
        <v>283</v>
      </c>
      <c r="C45" s="9" t="s">
        <v>284</v>
      </c>
      <c r="D45" s="75"/>
      <c r="E45" s="5" t="s">
        <v>285</v>
      </c>
    </row>
    <row r="46" spans="1:5" x14ac:dyDescent="0.25">
      <c r="A46" s="8" t="s">
        <v>499</v>
      </c>
      <c r="B46" s="8" t="s">
        <v>18</v>
      </c>
      <c r="C46" s="9" t="s">
        <v>529</v>
      </c>
      <c r="D46" s="75">
        <v>7073225806</v>
      </c>
      <c r="E46" s="60" t="s">
        <v>571</v>
      </c>
    </row>
    <row r="47" spans="1:5" x14ac:dyDescent="0.25">
      <c r="A47" s="1" t="s">
        <v>57</v>
      </c>
      <c r="B47" s="1" t="s">
        <v>58</v>
      </c>
      <c r="C47" s="2" t="s">
        <v>234</v>
      </c>
      <c r="D47" s="6" t="s">
        <v>572</v>
      </c>
      <c r="E47" s="5" t="s">
        <v>447</v>
      </c>
    </row>
    <row r="48" spans="1:5" x14ac:dyDescent="0.25">
      <c r="A48" s="8" t="s">
        <v>480</v>
      </c>
      <c r="B48" s="8" t="s">
        <v>177</v>
      </c>
      <c r="C48" s="9" t="s">
        <v>481</v>
      </c>
      <c r="D48" s="75"/>
      <c r="E48" s="5" t="s">
        <v>482</v>
      </c>
    </row>
    <row r="49" spans="1:5" x14ac:dyDescent="0.25">
      <c r="A49" s="8" t="s">
        <v>493</v>
      </c>
      <c r="B49" s="8" t="s">
        <v>67</v>
      </c>
      <c r="C49" s="9" t="s">
        <v>494</v>
      </c>
      <c r="D49" s="75"/>
      <c r="E49" s="5"/>
    </row>
    <row r="50" spans="1:5" x14ac:dyDescent="0.25">
      <c r="A50" s="8" t="s">
        <v>500</v>
      </c>
      <c r="B50" s="8" t="s">
        <v>562</v>
      </c>
      <c r="C50" s="9" t="s">
        <v>563</v>
      </c>
      <c r="D50" s="77">
        <v>4152058885</v>
      </c>
      <c r="E50" s="60" t="s">
        <v>573</v>
      </c>
    </row>
    <row r="51" spans="1:5" x14ac:dyDescent="0.25">
      <c r="A51" s="8" t="s">
        <v>501</v>
      </c>
      <c r="B51" s="8" t="s">
        <v>547</v>
      </c>
      <c r="C51" s="9" t="s">
        <v>531</v>
      </c>
      <c r="D51" s="77">
        <v>4152052574</v>
      </c>
      <c r="E51" s="60" t="s">
        <v>574</v>
      </c>
    </row>
    <row r="52" spans="1:5" x14ac:dyDescent="0.25">
      <c r="A52" s="8" t="s">
        <v>502</v>
      </c>
      <c r="B52" s="8" t="s">
        <v>547</v>
      </c>
      <c r="C52" s="73" t="s">
        <v>564</v>
      </c>
      <c r="D52" s="75"/>
      <c r="E52" s="5"/>
    </row>
    <row r="53" spans="1:5" x14ac:dyDescent="0.25">
      <c r="A53" s="8" t="s">
        <v>134</v>
      </c>
      <c r="B53" s="1" t="s">
        <v>5</v>
      </c>
      <c r="C53" s="9" t="s">
        <v>252</v>
      </c>
      <c r="D53" s="75" t="s">
        <v>575</v>
      </c>
      <c r="E53" s="5" t="s">
        <v>420</v>
      </c>
    </row>
    <row r="54" spans="1:5" x14ac:dyDescent="0.25">
      <c r="A54" s="8" t="s">
        <v>174</v>
      </c>
      <c r="B54" s="8" t="s">
        <v>175</v>
      </c>
      <c r="C54" s="74" t="s">
        <v>279</v>
      </c>
      <c r="D54" s="75"/>
      <c r="E54" s="5" t="s">
        <v>421</v>
      </c>
    </row>
    <row r="55" spans="1:5" x14ac:dyDescent="0.25">
      <c r="A55" s="1" t="s">
        <v>66</v>
      </c>
      <c r="B55" s="1" t="s">
        <v>313</v>
      </c>
      <c r="C55" s="2" t="s">
        <v>253</v>
      </c>
      <c r="D55" s="76">
        <v>9166997163</v>
      </c>
      <c r="E55" s="60" t="s">
        <v>576</v>
      </c>
    </row>
    <row r="56" spans="1:5" x14ac:dyDescent="0.25">
      <c r="A56" s="5" t="s">
        <v>74</v>
      </c>
      <c r="B56" s="1" t="s">
        <v>75</v>
      </c>
      <c r="C56" s="2" t="s">
        <v>231</v>
      </c>
      <c r="D56" s="76">
        <v>5104613953</v>
      </c>
      <c r="E56" s="60" t="s">
        <v>577</v>
      </c>
    </row>
    <row r="57" spans="1:5" x14ac:dyDescent="0.25">
      <c r="A57" s="1" t="s">
        <v>17</v>
      </c>
      <c r="B57" s="1" t="s">
        <v>18</v>
      </c>
      <c r="C57" s="2" t="s">
        <v>254</v>
      </c>
      <c r="D57" s="76">
        <v>7074848898</v>
      </c>
      <c r="E57" s="5" t="s">
        <v>296</v>
      </c>
    </row>
    <row r="58" spans="1:5" x14ac:dyDescent="0.25">
      <c r="A58" s="8" t="s">
        <v>157</v>
      </c>
      <c r="B58" s="8" t="s">
        <v>144</v>
      </c>
      <c r="C58" s="9" t="s">
        <v>235</v>
      </c>
      <c r="D58" s="75"/>
      <c r="E58" s="5" t="s">
        <v>188</v>
      </c>
    </row>
    <row r="59" spans="1:5" x14ac:dyDescent="0.25">
      <c r="A59" s="1" t="s">
        <v>55</v>
      </c>
      <c r="B59" s="1" t="s">
        <v>56</v>
      </c>
      <c r="C59" s="2" t="s">
        <v>227</v>
      </c>
      <c r="D59" s="73" t="s">
        <v>578</v>
      </c>
      <c r="E59" s="5" t="s">
        <v>570</v>
      </c>
    </row>
    <row r="60" spans="1:5" x14ac:dyDescent="0.25">
      <c r="A60" s="8" t="s">
        <v>139</v>
      </c>
      <c r="B60" s="8" t="s">
        <v>46</v>
      </c>
      <c r="C60" s="9" t="s">
        <v>565</v>
      </c>
      <c r="D60" s="75"/>
      <c r="E60" s="5" t="s">
        <v>185</v>
      </c>
    </row>
    <row r="61" spans="1:5" x14ac:dyDescent="0.25">
      <c r="A61" s="8" t="s">
        <v>140</v>
      </c>
      <c r="B61" s="8" t="s">
        <v>141</v>
      </c>
      <c r="C61" s="9" t="s">
        <v>255</v>
      </c>
      <c r="D61" s="77"/>
      <c r="E61" s="5" t="s">
        <v>412</v>
      </c>
    </row>
    <row r="62" spans="1:5" x14ac:dyDescent="0.25">
      <c r="A62" s="8" t="s">
        <v>362</v>
      </c>
      <c r="B62" s="8" t="s">
        <v>363</v>
      </c>
      <c r="C62" s="9" t="s">
        <v>364</v>
      </c>
      <c r="D62" s="75">
        <v>9253604907</v>
      </c>
      <c r="E62" s="5" t="s">
        <v>422</v>
      </c>
    </row>
    <row r="63" spans="1:5" x14ac:dyDescent="0.25">
      <c r="A63" s="1" t="s">
        <v>90</v>
      </c>
      <c r="B63" s="1" t="s">
        <v>91</v>
      </c>
      <c r="C63" s="2" t="s">
        <v>256</v>
      </c>
      <c r="D63" s="75"/>
      <c r="E63" s="5" t="s">
        <v>448</v>
      </c>
    </row>
    <row r="64" spans="1:5" x14ac:dyDescent="0.25">
      <c r="A64" s="8" t="s">
        <v>129</v>
      </c>
      <c r="B64" s="8" t="s">
        <v>130</v>
      </c>
      <c r="C64" s="9" t="s">
        <v>207</v>
      </c>
      <c r="D64" s="75">
        <v>5305180274</v>
      </c>
      <c r="E64" s="5" t="s">
        <v>165</v>
      </c>
    </row>
    <row r="65" spans="1:5" x14ac:dyDescent="0.25">
      <c r="A65" s="8" t="s">
        <v>489</v>
      </c>
      <c r="B65" s="8" t="s">
        <v>18</v>
      </c>
      <c r="C65" s="9" t="s">
        <v>488</v>
      </c>
      <c r="D65" s="75"/>
      <c r="E65" s="5"/>
    </row>
    <row r="66" spans="1:5" x14ac:dyDescent="0.25">
      <c r="A66" s="8" t="s">
        <v>143</v>
      </c>
      <c r="B66" s="8" t="s">
        <v>144</v>
      </c>
      <c r="C66" s="9" t="s">
        <v>228</v>
      </c>
      <c r="D66" s="75"/>
      <c r="E66" s="5" t="s">
        <v>184</v>
      </c>
    </row>
    <row r="67" spans="1:5" x14ac:dyDescent="0.25">
      <c r="A67" s="1" t="s">
        <v>72</v>
      </c>
      <c r="B67" s="1" t="s">
        <v>73</v>
      </c>
      <c r="C67" s="2" t="s">
        <v>257</v>
      </c>
      <c r="D67" s="76"/>
      <c r="E67" s="5" t="s">
        <v>406</v>
      </c>
    </row>
    <row r="68" spans="1:5" x14ac:dyDescent="0.25">
      <c r="A68" s="8" t="s">
        <v>183</v>
      </c>
      <c r="B68" s="8" t="s">
        <v>16</v>
      </c>
      <c r="C68" s="9" t="s">
        <v>229</v>
      </c>
      <c r="D68" s="75"/>
      <c r="E68" s="5" t="s">
        <v>287</v>
      </c>
    </row>
    <row r="69" spans="1:5" x14ac:dyDescent="0.25">
      <c r="A69" s="8" t="s">
        <v>303</v>
      </c>
      <c r="B69" s="8" t="s">
        <v>22</v>
      </c>
      <c r="C69" s="9" t="s">
        <v>304</v>
      </c>
      <c r="D69" s="7" t="s">
        <v>579</v>
      </c>
      <c r="E69" s="5" t="s">
        <v>570</v>
      </c>
    </row>
    <row r="70" spans="1:5" x14ac:dyDescent="0.25">
      <c r="A70" s="8" t="s">
        <v>136</v>
      </c>
      <c r="B70" s="8" t="s">
        <v>137</v>
      </c>
      <c r="C70" s="9" t="s">
        <v>258</v>
      </c>
      <c r="D70" s="75"/>
      <c r="E70" s="5" t="s">
        <v>450</v>
      </c>
    </row>
    <row r="71" spans="1:5" x14ac:dyDescent="0.25">
      <c r="A71" s="8" t="s">
        <v>390</v>
      </c>
      <c r="B71" s="8" t="s">
        <v>9</v>
      </c>
      <c r="C71" s="9" t="s">
        <v>391</v>
      </c>
      <c r="D71" s="77"/>
      <c r="E71" s="5" t="s">
        <v>423</v>
      </c>
    </row>
    <row r="72" spans="1:5" x14ac:dyDescent="0.25">
      <c r="A72" s="8" t="s">
        <v>503</v>
      </c>
      <c r="B72" s="8" t="s">
        <v>26</v>
      </c>
      <c r="C72" s="9" t="s">
        <v>532</v>
      </c>
      <c r="D72" s="73" t="s">
        <v>580</v>
      </c>
      <c r="E72" s="60" t="s">
        <v>581</v>
      </c>
    </row>
    <row r="73" spans="1:5" x14ac:dyDescent="0.25">
      <c r="A73" s="1" t="s">
        <v>36</v>
      </c>
      <c r="B73" s="1" t="s">
        <v>37</v>
      </c>
      <c r="C73" s="2" t="s">
        <v>224</v>
      </c>
      <c r="D73" s="76">
        <v>4084722020</v>
      </c>
      <c r="E73" s="60" t="s">
        <v>582</v>
      </c>
    </row>
    <row r="74" spans="1:5" x14ac:dyDescent="0.25">
      <c r="A74" s="1" t="s">
        <v>11</v>
      </c>
      <c r="B74" s="1" t="s">
        <v>12</v>
      </c>
      <c r="C74" s="2" t="s">
        <v>259</v>
      </c>
      <c r="D74" s="78"/>
      <c r="E74" s="5"/>
    </row>
    <row r="75" spans="1:5" x14ac:dyDescent="0.25">
      <c r="A75" s="8" t="s">
        <v>169</v>
      </c>
      <c r="B75" s="8" t="s">
        <v>170</v>
      </c>
      <c r="C75" s="9" t="s">
        <v>278</v>
      </c>
      <c r="D75" s="75"/>
      <c r="E75" s="5" t="s">
        <v>186</v>
      </c>
    </row>
    <row r="76" spans="1:5" x14ac:dyDescent="0.25">
      <c r="A76" s="1" t="s">
        <v>31</v>
      </c>
      <c r="B76" s="1" t="s">
        <v>32</v>
      </c>
      <c r="C76" s="2" t="s">
        <v>217</v>
      </c>
      <c r="D76" s="76"/>
      <c r="E76" s="5" t="s">
        <v>337</v>
      </c>
    </row>
    <row r="77" spans="1:5" x14ac:dyDescent="0.25">
      <c r="A77" s="8" t="s">
        <v>504</v>
      </c>
      <c r="B77" s="8" t="s">
        <v>383</v>
      </c>
      <c r="C77" s="9" t="s">
        <v>533</v>
      </c>
      <c r="D77" s="75">
        <v>9254579513</v>
      </c>
      <c r="E77" s="60" t="s">
        <v>583</v>
      </c>
    </row>
    <row r="78" spans="1:5" x14ac:dyDescent="0.25">
      <c r="A78" s="1" t="s">
        <v>49</v>
      </c>
      <c r="B78" s="1" t="s">
        <v>50</v>
      </c>
      <c r="C78" s="2" t="s">
        <v>226</v>
      </c>
      <c r="D78" s="76"/>
      <c r="E78" s="5"/>
    </row>
    <row r="79" spans="1:5" x14ac:dyDescent="0.25">
      <c r="A79" s="8" t="s">
        <v>319</v>
      </c>
      <c r="B79" s="8" t="s">
        <v>320</v>
      </c>
      <c r="C79" s="9" t="s">
        <v>321</v>
      </c>
      <c r="D79" s="75"/>
      <c r="E79" s="5" t="s">
        <v>335</v>
      </c>
    </row>
    <row r="80" spans="1:5" x14ac:dyDescent="0.25">
      <c r="A80" s="8" t="s">
        <v>166</v>
      </c>
      <c r="B80" s="8" t="s">
        <v>167</v>
      </c>
      <c r="C80" s="9" t="s">
        <v>260</v>
      </c>
      <c r="D80" s="75"/>
      <c r="E80" s="5" t="s">
        <v>168</v>
      </c>
    </row>
    <row r="81" spans="1:5" x14ac:dyDescent="0.25">
      <c r="A81" s="1" t="s">
        <v>42</v>
      </c>
      <c r="B81" s="1" t="s">
        <v>43</v>
      </c>
      <c r="C81" s="2" t="s">
        <v>244</v>
      </c>
      <c r="D81" s="76"/>
      <c r="E81" s="5" t="s">
        <v>288</v>
      </c>
    </row>
    <row r="82" spans="1:5" x14ac:dyDescent="0.25">
      <c r="A82" s="8" t="s">
        <v>158</v>
      </c>
      <c r="B82" s="8" t="s">
        <v>159</v>
      </c>
      <c r="C82" s="9" t="s">
        <v>204</v>
      </c>
      <c r="D82" s="75"/>
      <c r="E82" s="5"/>
    </row>
    <row r="83" spans="1:5" x14ac:dyDescent="0.25">
      <c r="A83" s="8" t="s">
        <v>378</v>
      </c>
      <c r="B83" s="8" t="s">
        <v>379</v>
      </c>
      <c r="C83" s="9" t="s">
        <v>380</v>
      </c>
      <c r="D83" s="75">
        <v>5106819675</v>
      </c>
      <c r="E83" s="60" t="s">
        <v>584</v>
      </c>
    </row>
    <row r="84" spans="1:5" x14ac:dyDescent="0.25">
      <c r="A84" s="8" t="s">
        <v>153</v>
      </c>
      <c r="B84" s="8" t="s">
        <v>154</v>
      </c>
      <c r="C84" s="9" t="s">
        <v>261</v>
      </c>
      <c r="D84" s="75"/>
      <c r="E84" s="5" t="s">
        <v>424</v>
      </c>
    </row>
    <row r="85" spans="1:5" x14ac:dyDescent="0.25">
      <c r="A85" s="1" t="s">
        <v>316</v>
      </c>
      <c r="B85" s="5" t="s">
        <v>318</v>
      </c>
      <c r="C85" s="2" t="s">
        <v>317</v>
      </c>
      <c r="D85" s="75"/>
      <c r="E85" s="5" t="s">
        <v>377</v>
      </c>
    </row>
    <row r="86" spans="1:5" x14ac:dyDescent="0.25">
      <c r="A86" s="1" t="s">
        <v>152</v>
      </c>
      <c r="B86" s="1" t="s">
        <v>54</v>
      </c>
      <c r="C86" s="2" t="s">
        <v>262</v>
      </c>
      <c r="D86" s="76"/>
      <c r="E86" s="5" t="s">
        <v>451</v>
      </c>
    </row>
    <row r="87" spans="1:5" x14ac:dyDescent="0.25">
      <c r="A87" s="1" t="s">
        <v>25</v>
      </c>
      <c r="B87" s="1" t="s">
        <v>26</v>
      </c>
      <c r="C87" s="2" t="s">
        <v>280</v>
      </c>
      <c r="D87" s="76"/>
      <c r="E87" s="5" t="s">
        <v>122</v>
      </c>
    </row>
    <row r="88" spans="1:5" x14ac:dyDescent="0.25">
      <c r="A88" s="8" t="s">
        <v>118</v>
      </c>
      <c r="B88" s="8" t="s">
        <v>119</v>
      </c>
      <c r="C88" s="9" t="s">
        <v>209</v>
      </c>
      <c r="D88" s="75"/>
      <c r="E88" s="5" t="s">
        <v>123</v>
      </c>
    </row>
    <row r="89" spans="1:5" x14ac:dyDescent="0.25">
      <c r="A89" s="8" t="s">
        <v>176</v>
      </c>
      <c r="B89" s="8" t="s">
        <v>177</v>
      </c>
      <c r="C89" s="9" t="s">
        <v>220</v>
      </c>
      <c r="D89" s="75"/>
      <c r="E89" s="5"/>
    </row>
    <row r="90" spans="1:5" x14ac:dyDescent="0.25">
      <c r="A90" s="8" t="s">
        <v>492</v>
      </c>
      <c r="B90" s="8" t="s">
        <v>471</v>
      </c>
      <c r="C90" s="9" t="s">
        <v>472</v>
      </c>
      <c r="D90" s="75"/>
      <c r="E90" s="5" t="s">
        <v>473</v>
      </c>
    </row>
    <row r="91" spans="1:5" x14ac:dyDescent="0.25">
      <c r="A91" s="1" t="s">
        <v>21</v>
      </c>
      <c r="B91" s="1" t="s">
        <v>22</v>
      </c>
      <c r="C91" s="2" t="s">
        <v>263</v>
      </c>
      <c r="D91" s="76"/>
      <c r="E91" s="5" t="s">
        <v>452</v>
      </c>
    </row>
    <row r="92" spans="1:5" x14ac:dyDescent="0.25">
      <c r="A92" s="1" t="s">
        <v>145</v>
      </c>
      <c r="B92" s="1" t="s">
        <v>146</v>
      </c>
      <c r="C92" s="2" t="s">
        <v>202</v>
      </c>
      <c r="D92" s="75"/>
      <c r="E92" s="5" t="s">
        <v>193</v>
      </c>
    </row>
    <row r="93" spans="1:5" x14ac:dyDescent="0.25">
      <c r="A93" s="8" t="s">
        <v>314</v>
      </c>
      <c r="B93" s="8" t="s">
        <v>148</v>
      </c>
      <c r="C93" s="9" t="s">
        <v>315</v>
      </c>
      <c r="D93" s="75"/>
      <c r="E93" s="5" t="s">
        <v>441</v>
      </c>
    </row>
    <row r="94" spans="1:5" x14ac:dyDescent="0.25">
      <c r="A94" s="8" t="s">
        <v>540</v>
      </c>
      <c r="B94" s="8" t="s">
        <v>126</v>
      </c>
      <c r="C94" s="9" t="s">
        <v>541</v>
      </c>
      <c r="D94" s="73" t="s">
        <v>585</v>
      </c>
      <c r="E94" s="60" t="s">
        <v>586</v>
      </c>
    </row>
    <row r="95" spans="1:5" x14ac:dyDescent="0.25">
      <c r="A95" s="8" t="s">
        <v>542</v>
      </c>
      <c r="B95" s="8" t="s">
        <v>126</v>
      </c>
      <c r="C95" s="9" t="s">
        <v>543</v>
      </c>
      <c r="D95" s="73" t="s">
        <v>585</v>
      </c>
      <c r="E95" s="60" t="s">
        <v>587</v>
      </c>
    </row>
    <row r="96" spans="1:5" x14ac:dyDescent="0.25">
      <c r="A96" s="8" t="s">
        <v>172</v>
      </c>
      <c r="B96" s="8" t="s">
        <v>39</v>
      </c>
      <c r="C96" s="9" t="s">
        <v>219</v>
      </c>
      <c r="D96" s="75"/>
      <c r="E96" s="5" t="s">
        <v>173</v>
      </c>
    </row>
    <row r="97" spans="1:5" x14ac:dyDescent="0.25">
      <c r="A97" s="8" t="s">
        <v>544</v>
      </c>
      <c r="B97" s="8" t="s">
        <v>545</v>
      </c>
      <c r="C97" s="9" t="s">
        <v>546</v>
      </c>
      <c r="D97" s="6" t="s">
        <v>588</v>
      </c>
      <c r="E97" s="7" t="s">
        <v>589</v>
      </c>
    </row>
    <row r="98" spans="1:5" x14ac:dyDescent="0.25">
      <c r="A98" s="8" t="s">
        <v>329</v>
      </c>
      <c r="B98" s="8" t="s">
        <v>5</v>
      </c>
      <c r="C98" s="9" t="s">
        <v>330</v>
      </c>
      <c r="D98" s="79" t="s">
        <v>590</v>
      </c>
      <c r="E98" s="7" t="s">
        <v>591</v>
      </c>
    </row>
    <row r="99" spans="1:5" x14ac:dyDescent="0.25">
      <c r="A99" s="1" t="s">
        <v>40</v>
      </c>
      <c r="B99" s="1" t="s">
        <v>41</v>
      </c>
      <c r="C99" s="2" t="s">
        <v>264</v>
      </c>
      <c r="D99" s="80"/>
      <c r="E99" s="5"/>
    </row>
    <row r="100" spans="1:5" x14ac:dyDescent="0.25">
      <c r="A100" s="8" t="s">
        <v>413</v>
      </c>
      <c r="B100" s="8" t="s">
        <v>414</v>
      </c>
      <c r="C100" s="9" t="s">
        <v>415</v>
      </c>
      <c r="D100" s="75"/>
      <c r="E100" s="5" t="s">
        <v>425</v>
      </c>
    </row>
    <row r="101" spans="1:5" x14ac:dyDescent="0.25">
      <c r="A101" s="1" t="s">
        <v>77</v>
      </c>
      <c r="B101" s="1" t="s">
        <v>5</v>
      </c>
      <c r="C101" s="2" t="s">
        <v>566</v>
      </c>
      <c r="D101" s="76">
        <v>7072242345</v>
      </c>
      <c r="E101" s="5" t="s">
        <v>426</v>
      </c>
    </row>
    <row r="102" spans="1:5" x14ac:dyDescent="0.25">
      <c r="A102" s="8" t="s">
        <v>365</v>
      </c>
      <c r="B102" s="8" t="s">
        <v>366</v>
      </c>
      <c r="C102" s="9" t="s">
        <v>367</v>
      </c>
      <c r="D102" s="75"/>
      <c r="E102" s="5" t="s">
        <v>453</v>
      </c>
    </row>
    <row r="103" spans="1:5" x14ac:dyDescent="0.25">
      <c r="A103" s="1" t="s">
        <v>35</v>
      </c>
      <c r="B103" s="1" t="s">
        <v>26</v>
      </c>
      <c r="C103" s="2" t="s">
        <v>232</v>
      </c>
      <c r="D103" s="76"/>
      <c r="E103" s="5" t="s">
        <v>454</v>
      </c>
    </row>
    <row r="104" spans="1:5" x14ac:dyDescent="0.25">
      <c r="A104" s="8" t="s">
        <v>476</v>
      </c>
      <c r="B104" s="8" t="s">
        <v>34</v>
      </c>
      <c r="C104" s="9" t="s">
        <v>477</v>
      </c>
      <c r="D104" s="75"/>
      <c r="E104" s="5" t="s">
        <v>478</v>
      </c>
    </row>
    <row r="105" spans="1:5" x14ac:dyDescent="0.25">
      <c r="A105" s="8" t="s">
        <v>438</v>
      </c>
      <c r="B105" s="8" t="s">
        <v>439</v>
      </c>
      <c r="C105" s="9"/>
      <c r="D105" s="75"/>
      <c r="E105" s="5" t="s">
        <v>440</v>
      </c>
    </row>
    <row r="106" spans="1:5" x14ac:dyDescent="0.25">
      <c r="A106" s="1" t="s">
        <v>85</v>
      </c>
      <c r="B106" s="1" t="s">
        <v>86</v>
      </c>
      <c r="C106" s="2" t="s">
        <v>213</v>
      </c>
      <c r="D106" s="76"/>
      <c r="E106" s="5" t="s">
        <v>163</v>
      </c>
    </row>
    <row r="107" spans="1:5" x14ac:dyDescent="0.25">
      <c r="A107" s="8" t="s">
        <v>465</v>
      </c>
      <c r="B107" s="8" t="s">
        <v>9</v>
      </c>
      <c r="C107" s="9" t="s">
        <v>466</v>
      </c>
      <c r="D107" s="75"/>
      <c r="E107" s="5" t="s">
        <v>467</v>
      </c>
    </row>
    <row r="108" spans="1:5" x14ac:dyDescent="0.25">
      <c r="A108" s="8" t="s">
        <v>197</v>
      </c>
      <c r="B108" s="8" t="s">
        <v>144</v>
      </c>
      <c r="C108" s="9" t="s">
        <v>243</v>
      </c>
      <c r="D108" s="75"/>
      <c r="E108" s="5" t="s">
        <v>455</v>
      </c>
    </row>
    <row r="109" spans="1:5" x14ac:dyDescent="0.25">
      <c r="A109" s="1" t="s">
        <v>491</v>
      </c>
      <c r="B109" s="1" t="s">
        <v>5</v>
      </c>
      <c r="C109" s="2" t="s">
        <v>265</v>
      </c>
      <c r="D109" s="6" t="s">
        <v>592</v>
      </c>
      <c r="E109" s="5" t="s">
        <v>487</v>
      </c>
    </row>
    <row r="110" spans="1:5" x14ac:dyDescent="0.25">
      <c r="A110" s="8" t="s">
        <v>436</v>
      </c>
      <c r="B110" s="67" t="s">
        <v>126</v>
      </c>
      <c r="C110" s="9"/>
      <c r="D110" s="75"/>
      <c r="E110" s="5" t="s">
        <v>437</v>
      </c>
    </row>
    <row r="111" spans="1:5" x14ac:dyDescent="0.25">
      <c r="A111" s="1" t="s">
        <v>28</v>
      </c>
      <c r="B111" s="1" t="s">
        <v>29</v>
      </c>
      <c r="C111" s="2" t="s">
        <v>218</v>
      </c>
      <c r="D111" s="76"/>
      <c r="E111" s="5" t="s">
        <v>171</v>
      </c>
    </row>
    <row r="112" spans="1:5" x14ac:dyDescent="0.25">
      <c r="A112" s="8" t="s">
        <v>505</v>
      </c>
      <c r="B112" s="8" t="s">
        <v>58</v>
      </c>
      <c r="C112" s="9" t="s">
        <v>506</v>
      </c>
      <c r="D112" s="75">
        <v>8057047967</v>
      </c>
      <c r="E112" s="5"/>
    </row>
    <row r="113" spans="1:5" x14ac:dyDescent="0.25">
      <c r="A113" s="1" t="s">
        <v>179</v>
      </c>
      <c r="B113" s="1" t="s">
        <v>14</v>
      </c>
      <c r="C113" s="2" t="s">
        <v>221</v>
      </c>
      <c r="D113" s="76"/>
      <c r="E113" s="5" t="s">
        <v>178</v>
      </c>
    </row>
    <row r="114" spans="1:5" x14ac:dyDescent="0.25">
      <c r="A114" s="8" t="s">
        <v>399</v>
      </c>
      <c r="B114" s="8" t="s">
        <v>400</v>
      </c>
      <c r="C114" s="9" t="s">
        <v>401</v>
      </c>
      <c r="D114" s="75"/>
      <c r="E114" s="5"/>
    </row>
    <row r="115" spans="1:5" x14ac:dyDescent="0.25">
      <c r="A115" s="1" t="s">
        <v>19</v>
      </c>
      <c r="B115" s="1" t="s">
        <v>18</v>
      </c>
      <c r="C115" s="2" t="s">
        <v>266</v>
      </c>
      <c r="D115" s="76"/>
      <c r="E115" s="5" t="s">
        <v>427</v>
      </c>
    </row>
    <row r="116" spans="1:5" x14ac:dyDescent="0.25">
      <c r="A116" s="8" t="s">
        <v>369</v>
      </c>
      <c r="B116" s="8" t="s">
        <v>370</v>
      </c>
      <c r="C116" s="9" t="s">
        <v>371</v>
      </c>
      <c r="D116" s="75"/>
      <c r="E116" s="5" t="s">
        <v>409</v>
      </c>
    </row>
    <row r="117" spans="1:5" x14ac:dyDescent="0.25">
      <c r="A117" s="8" t="s">
        <v>404</v>
      </c>
      <c r="B117" s="8" t="s">
        <v>339</v>
      </c>
      <c r="C117" s="9" t="s">
        <v>405</v>
      </c>
      <c r="D117" s="75"/>
      <c r="E117" s="5" t="s">
        <v>428</v>
      </c>
    </row>
    <row r="118" spans="1:5" x14ac:dyDescent="0.25">
      <c r="A118" s="8" t="s">
        <v>195</v>
      </c>
      <c r="B118" s="8" t="s">
        <v>18</v>
      </c>
      <c r="C118" s="9" t="s">
        <v>242</v>
      </c>
      <c r="D118" s="75"/>
      <c r="E118" s="5" t="s">
        <v>196</v>
      </c>
    </row>
    <row r="119" spans="1:5" x14ac:dyDescent="0.25">
      <c r="A119" s="8" t="s">
        <v>341</v>
      </c>
      <c r="B119" s="8" t="s">
        <v>67</v>
      </c>
      <c r="C119" s="9" t="s">
        <v>342</v>
      </c>
      <c r="D119" s="75"/>
      <c r="E119" s="5" t="s">
        <v>344</v>
      </c>
    </row>
    <row r="120" spans="1:5" x14ac:dyDescent="0.25">
      <c r="A120" s="8" t="s">
        <v>161</v>
      </c>
      <c r="B120" s="8" t="s">
        <v>162</v>
      </c>
      <c r="C120" s="9" t="s">
        <v>267</v>
      </c>
      <c r="D120" s="75"/>
      <c r="E120" s="5"/>
    </row>
    <row r="121" spans="1:5" x14ac:dyDescent="0.25">
      <c r="A121" s="1" t="s">
        <v>27</v>
      </c>
      <c r="B121" s="1" t="s">
        <v>5</v>
      </c>
      <c r="C121" s="2" t="s">
        <v>268</v>
      </c>
      <c r="D121" s="76">
        <v>5105046905</v>
      </c>
      <c r="E121" s="60" t="s">
        <v>593</v>
      </c>
    </row>
    <row r="122" spans="1:5" x14ac:dyDescent="0.25">
      <c r="A122" s="8" t="s">
        <v>311</v>
      </c>
      <c r="B122" s="8" t="s">
        <v>313</v>
      </c>
      <c r="C122" s="9" t="s">
        <v>312</v>
      </c>
      <c r="D122" s="6" t="s">
        <v>594</v>
      </c>
      <c r="E122" s="5" t="s">
        <v>336</v>
      </c>
    </row>
    <row r="123" spans="1:5" x14ac:dyDescent="0.25">
      <c r="A123" s="1" t="s">
        <v>59</v>
      </c>
      <c r="B123" s="1" t="s">
        <v>60</v>
      </c>
      <c r="C123" s="2" t="s">
        <v>286</v>
      </c>
      <c r="D123" s="76">
        <v>9167697400</v>
      </c>
      <c r="E123" s="5" t="s">
        <v>289</v>
      </c>
    </row>
    <row r="124" spans="1:5" x14ac:dyDescent="0.25">
      <c r="A124" s="1" t="s">
        <v>151</v>
      </c>
      <c r="B124" s="1" t="s">
        <v>54</v>
      </c>
      <c r="C124" s="2" t="s">
        <v>269</v>
      </c>
      <c r="D124" s="80"/>
      <c r="E124" s="5" t="s">
        <v>456</v>
      </c>
    </row>
    <row r="125" spans="1:5" x14ac:dyDescent="0.25">
      <c r="A125" s="1" t="s">
        <v>92</v>
      </c>
      <c r="B125" s="1" t="s">
        <v>93</v>
      </c>
      <c r="C125" s="2" t="s">
        <v>270</v>
      </c>
      <c r="D125" s="76"/>
      <c r="E125" s="5" t="s">
        <v>457</v>
      </c>
    </row>
    <row r="126" spans="1:5" x14ac:dyDescent="0.25">
      <c r="A126" s="8" t="s">
        <v>297</v>
      </c>
      <c r="B126" s="8" t="s">
        <v>298</v>
      </c>
      <c r="C126" s="9" t="s">
        <v>299</v>
      </c>
      <c r="D126" s="75">
        <v>5302194729</v>
      </c>
      <c r="E126" s="60" t="s">
        <v>595</v>
      </c>
    </row>
    <row r="127" spans="1:5" x14ac:dyDescent="0.25">
      <c r="A127" s="8" t="s">
        <v>155</v>
      </c>
      <c r="B127" s="8" t="s">
        <v>156</v>
      </c>
      <c r="C127" s="9" t="s">
        <v>205</v>
      </c>
      <c r="D127" s="75"/>
      <c r="E127" s="5" t="s">
        <v>458</v>
      </c>
    </row>
    <row r="128" spans="1:5" x14ac:dyDescent="0.25">
      <c r="A128" s="8" t="s">
        <v>138</v>
      </c>
      <c r="B128" s="8" t="s">
        <v>7</v>
      </c>
      <c r="C128" s="9" t="s">
        <v>241</v>
      </c>
      <c r="D128" s="75"/>
      <c r="E128" s="5"/>
    </row>
    <row r="129" spans="1:5" x14ac:dyDescent="0.25">
      <c r="A129" s="8" t="s">
        <v>410</v>
      </c>
      <c r="B129" s="8" t="s">
        <v>48</v>
      </c>
      <c r="C129" s="9" t="s">
        <v>411</v>
      </c>
      <c r="D129" s="75">
        <v>7075991826</v>
      </c>
      <c r="E129" s="5" t="s">
        <v>429</v>
      </c>
    </row>
    <row r="130" spans="1:5" x14ac:dyDescent="0.25">
      <c r="A130" s="1" t="s">
        <v>47</v>
      </c>
      <c r="B130" s="1" t="s">
        <v>48</v>
      </c>
      <c r="C130" s="2" t="s">
        <v>237</v>
      </c>
      <c r="D130" s="76">
        <v>7075994605</v>
      </c>
      <c r="E130" s="7" t="s">
        <v>596</v>
      </c>
    </row>
    <row r="131" spans="1:5" ht="15.75" x14ac:dyDescent="0.25">
      <c r="A131" s="56" t="s">
        <v>125</v>
      </c>
      <c r="B131" s="56" t="s">
        <v>126</v>
      </c>
      <c r="C131" s="9"/>
      <c r="D131" s="75"/>
      <c r="E131" s="5" t="s">
        <v>127</v>
      </c>
    </row>
    <row r="132" spans="1:5" x14ac:dyDescent="0.25">
      <c r="A132" s="8" t="s">
        <v>508</v>
      </c>
      <c r="B132" s="8" t="s">
        <v>534</v>
      </c>
      <c r="C132" s="9" t="s">
        <v>507</v>
      </c>
      <c r="D132" s="75">
        <v>7073490481</v>
      </c>
      <c r="E132" s="60" t="s">
        <v>597</v>
      </c>
    </row>
    <row r="133" spans="1:5" ht="15.75" x14ac:dyDescent="0.25">
      <c r="A133" s="56" t="s">
        <v>133</v>
      </c>
      <c r="B133" s="56" t="s">
        <v>7</v>
      </c>
      <c r="C133" s="9" t="s">
        <v>271</v>
      </c>
      <c r="D133" s="75"/>
      <c r="E133" s="5" t="s">
        <v>459</v>
      </c>
    </row>
    <row r="134" spans="1:5" x14ac:dyDescent="0.25">
      <c r="A134" s="8" t="s">
        <v>509</v>
      </c>
      <c r="B134" s="8" t="s">
        <v>535</v>
      </c>
      <c r="C134" s="9" t="s">
        <v>567</v>
      </c>
      <c r="D134" s="75">
        <v>2093653232</v>
      </c>
      <c r="E134" s="60" t="s">
        <v>598</v>
      </c>
    </row>
    <row r="135" spans="1:5" x14ac:dyDescent="0.25">
      <c r="A135" s="8" t="s">
        <v>549</v>
      </c>
      <c r="B135" s="8" t="s">
        <v>568</v>
      </c>
      <c r="C135" s="9" t="s">
        <v>551</v>
      </c>
      <c r="D135" s="75">
        <v>7076641532</v>
      </c>
      <c r="E135" s="60" t="s">
        <v>599</v>
      </c>
    </row>
    <row r="136" spans="1:5" x14ac:dyDescent="0.25">
      <c r="A136" s="8" t="s">
        <v>510</v>
      </c>
      <c r="B136" s="8" t="s">
        <v>5</v>
      </c>
      <c r="C136" s="9" t="s">
        <v>511</v>
      </c>
      <c r="D136" s="6" t="s">
        <v>600</v>
      </c>
      <c r="E136" s="5" t="s">
        <v>601</v>
      </c>
    </row>
    <row r="137" spans="1:5" x14ac:dyDescent="0.25">
      <c r="A137" s="1" t="s">
        <v>81</v>
      </c>
      <c r="B137" s="1" t="s">
        <v>30</v>
      </c>
      <c r="C137" s="2" t="s">
        <v>281</v>
      </c>
      <c r="D137" s="76"/>
      <c r="E137" s="5" t="s">
        <v>192</v>
      </c>
    </row>
    <row r="138" spans="1:5" x14ac:dyDescent="0.25">
      <c r="A138" s="8" t="s">
        <v>483</v>
      </c>
      <c r="B138" s="8" t="s">
        <v>485</v>
      </c>
      <c r="C138" s="9" t="s">
        <v>484</v>
      </c>
      <c r="D138" s="75"/>
      <c r="E138" s="5" t="s">
        <v>486</v>
      </c>
    </row>
    <row r="139" spans="1:5" x14ac:dyDescent="0.25">
      <c r="A139" s="8" t="s">
        <v>403</v>
      </c>
      <c r="B139" s="8" t="s">
        <v>126</v>
      </c>
      <c r="C139" s="9"/>
      <c r="D139" s="75"/>
      <c r="E139" s="5" t="s">
        <v>402</v>
      </c>
    </row>
    <row r="140" spans="1:5" x14ac:dyDescent="0.25">
      <c r="A140" s="8" t="s">
        <v>512</v>
      </c>
      <c r="B140" s="8" t="s">
        <v>5</v>
      </c>
      <c r="C140" s="9" t="s">
        <v>513</v>
      </c>
      <c r="D140" s="75">
        <v>5303666465</v>
      </c>
      <c r="E140" s="60" t="s">
        <v>602</v>
      </c>
    </row>
    <row r="141" spans="1:5" x14ac:dyDescent="0.25">
      <c r="A141" s="8" t="s">
        <v>135</v>
      </c>
      <c r="B141" s="8" t="s">
        <v>30</v>
      </c>
      <c r="C141" s="9" t="s">
        <v>230</v>
      </c>
      <c r="D141" s="75"/>
      <c r="E141" s="5" t="s">
        <v>430</v>
      </c>
    </row>
    <row r="142" spans="1:5" x14ac:dyDescent="0.25">
      <c r="A142" s="1" t="s">
        <v>62</v>
      </c>
      <c r="B142" s="1" t="s">
        <v>18</v>
      </c>
      <c r="C142" s="2" t="s">
        <v>272</v>
      </c>
      <c r="D142" s="80"/>
      <c r="E142" s="5" t="s">
        <v>460</v>
      </c>
    </row>
    <row r="143" spans="1:5" x14ac:dyDescent="0.25">
      <c r="A143" s="1" t="s">
        <v>44</v>
      </c>
      <c r="B143" s="1" t="s">
        <v>5</v>
      </c>
      <c r="C143" s="2" t="s">
        <v>239</v>
      </c>
      <c r="D143" s="76">
        <v>7072524331</v>
      </c>
      <c r="E143" s="5" t="s">
        <v>431</v>
      </c>
    </row>
    <row r="144" spans="1:5" x14ac:dyDescent="0.25">
      <c r="A144" s="1" t="s">
        <v>71</v>
      </c>
      <c r="B144" s="1" t="s">
        <v>5</v>
      </c>
      <c r="C144" s="2" t="s">
        <v>240</v>
      </c>
      <c r="D144" s="76" t="s">
        <v>603</v>
      </c>
      <c r="E144" s="5" t="s">
        <v>432</v>
      </c>
    </row>
    <row r="145" spans="1:5" x14ac:dyDescent="0.25">
      <c r="A145" s="1" t="s">
        <v>87</v>
      </c>
      <c r="B145" s="1" t="s">
        <v>88</v>
      </c>
      <c r="C145" s="2" t="s">
        <v>206</v>
      </c>
      <c r="D145" s="76"/>
      <c r="E145" s="5" t="s">
        <v>433</v>
      </c>
    </row>
    <row r="146" spans="1:5" x14ac:dyDescent="0.25">
      <c r="A146" s="8" t="s">
        <v>300</v>
      </c>
      <c r="B146" s="8" t="s">
        <v>301</v>
      </c>
      <c r="C146" s="9" t="s">
        <v>302</v>
      </c>
      <c r="D146" s="75"/>
      <c r="E146" s="5" t="s">
        <v>461</v>
      </c>
    </row>
    <row r="147" spans="1:5" x14ac:dyDescent="0.25">
      <c r="A147" s="1" t="s">
        <v>116</v>
      </c>
      <c r="B147" s="1" t="s">
        <v>117</v>
      </c>
      <c r="C147" s="2" t="s">
        <v>211</v>
      </c>
      <c r="D147" s="75"/>
      <c r="E147" s="5" t="s">
        <v>124</v>
      </c>
    </row>
    <row r="148" spans="1:5" x14ac:dyDescent="0.25">
      <c r="A148" s="8" t="s">
        <v>385</v>
      </c>
      <c r="B148" s="8" t="s">
        <v>175</v>
      </c>
      <c r="C148" s="9" t="s">
        <v>386</v>
      </c>
      <c r="D148" s="75"/>
      <c r="E148" s="5" t="s">
        <v>434</v>
      </c>
    </row>
    <row r="149" spans="1:5" x14ac:dyDescent="0.25">
      <c r="A149" s="1" t="s">
        <v>80</v>
      </c>
      <c r="B149" s="1" t="s">
        <v>82</v>
      </c>
      <c r="C149" s="2" t="s">
        <v>273</v>
      </c>
      <c r="D149" s="75"/>
      <c r="E149" s="5" t="s">
        <v>407</v>
      </c>
    </row>
    <row r="150" spans="1:5" x14ac:dyDescent="0.25">
      <c r="A150" s="8" t="s">
        <v>514</v>
      </c>
      <c r="B150" s="8" t="s">
        <v>22</v>
      </c>
      <c r="C150" s="9" t="s">
        <v>515</v>
      </c>
      <c r="D150" s="73" t="s">
        <v>604</v>
      </c>
      <c r="E150" s="7" t="s">
        <v>605</v>
      </c>
    </row>
    <row r="151" spans="1:5" x14ac:dyDescent="0.25">
      <c r="A151" s="8" t="s">
        <v>305</v>
      </c>
      <c r="B151" s="8" t="s">
        <v>67</v>
      </c>
      <c r="C151" s="9" t="s">
        <v>353</v>
      </c>
      <c r="D151" s="75"/>
      <c r="E151" s="5"/>
    </row>
    <row r="152" spans="1:5" x14ac:dyDescent="0.25">
      <c r="A152" s="8" t="s">
        <v>347</v>
      </c>
      <c r="B152" s="8" t="s">
        <v>348</v>
      </c>
      <c r="C152" s="9" t="s">
        <v>349</v>
      </c>
      <c r="D152" s="75"/>
      <c r="E152" s="5"/>
    </row>
    <row r="153" spans="1:5" x14ac:dyDescent="0.25">
      <c r="A153" s="8" t="s">
        <v>382</v>
      </c>
      <c r="B153" s="8" t="s">
        <v>383</v>
      </c>
      <c r="C153" s="9" t="s">
        <v>384</v>
      </c>
      <c r="D153" s="75"/>
      <c r="E153" s="5" t="s">
        <v>435</v>
      </c>
    </row>
    <row r="154" spans="1:5" x14ac:dyDescent="0.25">
      <c r="A154" s="8" t="s">
        <v>516</v>
      </c>
      <c r="B154" s="8" t="s">
        <v>534</v>
      </c>
      <c r="C154" s="9" t="s">
        <v>517</v>
      </c>
      <c r="D154" s="75">
        <v>7075087889</v>
      </c>
      <c r="E154" s="5" t="s">
        <v>570</v>
      </c>
    </row>
    <row r="155" spans="1:5" x14ac:dyDescent="0.25">
      <c r="A155" s="8" t="s">
        <v>131</v>
      </c>
      <c r="B155" s="8" t="s">
        <v>132</v>
      </c>
      <c r="C155" s="9" t="s">
        <v>274</v>
      </c>
      <c r="D155" s="75"/>
      <c r="E155" s="5" t="s">
        <v>462</v>
      </c>
    </row>
    <row r="156" spans="1:5" x14ac:dyDescent="0.25">
      <c r="A156" s="8" t="s">
        <v>518</v>
      </c>
      <c r="B156" s="8" t="s">
        <v>18</v>
      </c>
      <c r="C156" s="9" t="s">
        <v>536</v>
      </c>
      <c r="D156" s="75">
        <v>7075290228</v>
      </c>
      <c r="E156" s="60" t="s">
        <v>606</v>
      </c>
    </row>
    <row r="157" spans="1:5" x14ac:dyDescent="0.25">
      <c r="A157" s="1" t="s">
        <v>23</v>
      </c>
      <c r="B157" s="1" t="s">
        <v>22</v>
      </c>
      <c r="C157" s="2" t="s">
        <v>275</v>
      </c>
      <c r="D157" s="80"/>
      <c r="E157" s="5" t="s">
        <v>452</v>
      </c>
    </row>
    <row r="158" spans="1:5" x14ac:dyDescent="0.25">
      <c r="A158" s="8" t="s">
        <v>291</v>
      </c>
      <c r="B158" s="8" t="s">
        <v>26</v>
      </c>
      <c r="C158" s="9" t="s">
        <v>292</v>
      </c>
      <c r="D158" s="75"/>
      <c r="E158" s="5" t="s">
        <v>463</v>
      </c>
    </row>
    <row r="159" spans="1:5" x14ac:dyDescent="0.25">
      <c r="A159" s="8" t="s">
        <v>468</v>
      </c>
      <c r="B159" s="8" t="s">
        <v>298</v>
      </c>
      <c r="C159" s="9" t="s">
        <v>470</v>
      </c>
      <c r="D159" s="75"/>
      <c r="E159" s="5" t="s">
        <v>469</v>
      </c>
    </row>
    <row r="160" spans="1:5" x14ac:dyDescent="0.25">
      <c r="A160" s="8" t="s">
        <v>147</v>
      </c>
      <c r="B160" s="8" t="s">
        <v>148</v>
      </c>
      <c r="C160" s="9" t="s">
        <v>276</v>
      </c>
      <c r="D160" s="75"/>
      <c r="E160" s="5"/>
    </row>
    <row r="161" spans="1:5" x14ac:dyDescent="0.25">
      <c r="A161" s="8" t="s">
        <v>519</v>
      </c>
      <c r="B161" s="8" t="s">
        <v>5</v>
      </c>
      <c r="C161" s="9" t="s">
        <v>520</v>
      </c>
      <c r="D161" s="75">
        <v>7078150886</v>
      </c>
      <c r="E161" s="60" t="s">
        <v>607</v>
      </c>
    </row>
    <row r="162" spans="1:5" x14ac:dyDescent="0.25">
      <c r="A162" s="8" t="s">
        <v>521</v>
      </c>
      <c r="B162" s="8" t="s">
        <v>537</v>
      </c>
      <c r="C162" s="9" t="s">
        <v>522</v>
      </c>
      <c r="D162" s="75">
        <v>5106764872</v>
      </c>
      <c r="E162" s="60" t="s">
        <v>608</v>
      </c>
    </row>
    <row r="163" spans="1:5" x14ac:dyDescent="0.25">
      <c r="A163" s="8" t="s">
        <v>375</v>
      </c>
      <c r="B163" s="8" t="s">
        <v>373</v>
      </c>
      <c r="C163" s="9" t="s">
        <v>376</v>
      </c>
      <c r="D163" s="75"/>
      <c r="E163" s="5"/>
    </row>
    <row r="164" spans="1:5" x14ac:dyDescent="0.25">
      <c r="A164" s="8" t="s">
        <v>372</v>
      </c>
      <c r="B164" s="8" t="s">
        <v>373</v>
      </c>
      <c r="C164" s="9" t="s">
        <v>374</v>
      </c>
      <c r="D164" s="73" t="s">
        <v>609</v>
      </c>
      <c r="E164" s="5" t="s">
        <v>464</v>
      </c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</sheetData>
  <hyperlinks>
    <hyperlink ref="E50" r:id="rId1" xr:uid="{00000000-0004-0000-0500-000000000000}"/>
    <hyperlink ref="E135" r:id="rId2" xr:uid="{00000000-0004-0000-0500-000001000000}"/>
    <hyperlink ref="E6" r:id="rId3" xr:uid="{00000000-0004-0000-0500-000002000000}"/>
    <hyperlink ref="E9" r:id="rId4" xr:uid="{00000000-0004-0000-0500-000003000000}"/>
    <hyperlink ref="E12" r:id="rId5" xr:uid="{00000000-0004-0000-0500-000004000000}"/>
    <hyperlink ref="E31" r:id="rId6" xr:uid="{00000000-0004-0000-0500-000005000000}"/>
    <hyperlink ref="E46" r:id="rId7" xr:uid="{00000000-0004-0000-0500-000006000000}"/>
    <hyperlink ref="E51" r:id="rId8" xr:uid="{00000000-0004-0000-0500-000007000000}"/>
    <hyperlink ref="E55" r:id="rId9" xr:uid="{00000000-0004-0000-0500-000008000000}"/>
    <hyperlink ref="E56" r:id="rId10" xr:uid="{00000000-0004-0000-0500-000009000000}"/>
    <hyperlink ref="E72" r:id="rId11" xr:uid="{00000000-0004-0000-0500-00000A000000}"/>
    <hyperlink ref="E73" r:id="rId12" xr:uid="{00000000-0004-0000-0500-00000B000000}"/>
    <hyperlink ref="E77" r:id="rId13" xr:uid="{00000000-0004-0000-0500-00000C000000}"/>
    <hyperlink ref="E83" r:id="rId14" xr:uid="{00000000-0004-0000-0500-00000D000000}"/>
    <hyperlink ref="E121" r:id="rId15" xr:uid="{00000000-0004-0000-0500-00000E000000}"/>
    <hyperlink ref="E126" r:id="rId16" xr:uid="{00000000-0004-0000-0500-00000F000000}"/>
    <hyperlink ref="E132" r:id="rId17" xr:uid="{00000000-0004-0000-0500-000010000000}"/>
    <hyperlink ref="E134" r:id="rId18" xr:uid="{00000000-0004-0000-0500-000011000000}"/>
    <hyperlink ref="E140" r:id="rId19" xr:uid="{00000000-0004-0000-0500-000012000000}"/>
    <hyperlink ref="E156" r:id="rId20" xr:uid="{00000000-0004-0000-0500-000013000000}"/>
    <hyperlink ref="E161" r:id="rId21" xr:uid="{00000000-0004-0000-0500-000014000000}"/>
    <hyperlink ref="E162" r:id="rId22" xr:uid="{00000000-0004-0000-0500-000015000000}"/>
    <hyperlink ref="E94" r:id="rId23" xr:uid="{00000000-0004-0000-0500-000016000000}"/>
    <hyperlink ref="E95" r:id="rId24" xr:uid="{00000000-0004-0000-05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Entries</vt:lpstr>
      <vt:lpstr>UnPaid</vt:lpstr>
      <vt:lpstr>Anchors</vt:lpstr>
      <vt:lpstr>SeatingNumeric</vt:lpstr>
      <vt:lpstr>SeatingAlpha</vt:lpstr>
      <vt:lpstr>Contacts</vt:lpstr>
      <vt:lpstr>Anchors!Print_Area</vt:lpstr>
      <vt:lpstr>Entries!Print_Area</vt:lpstr>
      <vt:lpstr>UnPaid!Print_Area</vt:lpstr>
      <vt:lpstr>SortSpec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2022-12-10T05:21:19Z</cp:lastPrinted>
  <dcterms:created xsi:type="dcterms:W3CDTF">2014-07-30T14:06:58Z</dcterms:created>
  <dcterms:modified xsi:type="dcterms:W3CDTF">2023-05-10T23:21:18Z</dcterms:modified>
</cp:coreProperties>
</file>