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mptyTourneyApp\Tourney_2025_Version\"/>
    </mc:Choice>
  </mc:AlternateContent>
  <xr:revisionPtr revIDLastSave="0" documentId="13_ncr:1_{3BCB2A26-6E65-4398-A98C-A799688DD956}" xr6:coauthVersionLast="47" xr6:coauthVersionMax="47" xr10:uidLastSave="{00000000-0000-0000-0000-000000000000}"/>
  <bookViews>
    <workbookView xWindow="-28920" yWindow="-120" windowWidth="29040" windowHeight="15720" tabRatio="720" activeTab="3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<sst xmlns="http://schemas.openxmlformats.org/spreadsheetml/2006/main" count="270" uniqueCount="173">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</sst>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164" fontId="4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16" xfId="0" applyNumberFormat="1" applyFont="1" applyBorder="1" applyAlignment="1" applyProtection="1">
      <alignment horizontal="center"/>
      <protection locked="0"/>
    </xf>
    <xf numFmtId="169" fontId="19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zoomScaleNormal="100" workbookViewId="0">
      <selection activeCell="N9" sqref="N9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/>
      <c r="D4" s="163"/>
      <c r="E4" s="163"/>
      <c r="F4" s="163"/>
      <c r="G4" s="163"/>
      <c r="H4" s="163"/>
      <c r="J4" s="100"/>
      <c r="K4" s="100"/>
      <c r="L4" s="100"/>
      <c r="M4" s="100"/>
      <c r="N4" s="100"/>
      <c r="O4" s="100"/>
    </row>
    <row r="5" spans="1:15" ht="18.75" x14ac:dyDescent="0.3">
      <c r="A5" s="165" t="s">
        <v>113</v>
      </c>
      <c r="B5" s="165"/>
      <c r="C5" s="109"/>
      <c r="D5" s="25"/>
      <c r="E5" s="25"/>
      <c r="F5" s="25"/>
      <c r="G5" s="25"/>
      <c r="H5" s="25"/>
      <c r="J5" s="100"/>
      <c r="K5" s="100"/>
      <c r="L5" s="100"/>
      <c r="M5" s="100"/>
      <c r="N5" s="100"/>
      <c r="O5" s="100"/>
    </row>
    <row r="6" spans="1:15" ht="21" x14ac:dyDescent="0.35">
      <c r="A6" s="160" t="s">
        <v>105</v>
      </c>
      <c r="B6" s="160"/>
      <c r="C6" s="104"/>
      <c r="F6"/>
      <c r="I6" s="61"/>
      <c r="J6" s="100"/>
      <c r="K6" s="100"/>
      <c r="L6" s="100"/>
      <c r="M6" s="100"/>
      <c r="N6" s="100"/>
      <c r="O6" s="100"/>
    </row>
    <row r="7" spans="1:15" ht="18.75" customHeight="1" x14ac:dyDescent="0.3">
      <c r="A7" s="160" t="s">
        <v>106</v>
      </c>
      <c r="B7" s="160"/>
      <c r="C7" s="105"/>
      <c r="D7" s="22"/>
      <c r="E7" s="62"/>
      <c r="J7" s="100"/>
      <c r="K7" s="100"/>
      <c r="L7" s="100"/>
      <c r="M7" s="100"/>
      <c r="N7" s="100"/>
      <c r="O7" s="100"/>
    </row>
    <row r="8" spans="1:15" ht="18.75" customHeight="1" x14ac:dyDescent="0.3">
      <c r="A8" s="158" t="s">
        <v>107</v>
      </c>
      <c r="B8" s="158"/>
      <c r="C8" s="105"/>
      <c r="J8" s="100"/>
      <c r="K8" s="100"/>
      <c r="L8" s="100"/>
      <c r="M8" s="100"/>
      <c r="N8" s="100"/>
      <c r="O8" s="100"/>
    </row>
    <row r="9" spans="1:15" ht="18.75" customHeight="1" x14ac:dyDescent="0.25">
      <c r="A9" s="157" t="s">
        <v>119</v>
      </c>
      <c r="B9" s="157"/>
      <c r="C9" s="65">
        <f>FMFSummaryPlayerCount * FMFSummaryPerPlayer</f>
        <v>0</v>
      </c>
      <c r="D9" s="124"/>
      <c r="E9" s="124"/>
      <c r="F9" s="124"/>
      <c r="G9" s="124"/>
      <c r="H9" s="102"/>
      <c r="I9" s="102"/>
      <c r="J9" s="102"/>
      <c r="N9" s="103"/>
      <c r="O9" s="94"/>
    </row>
    <row r="10" spans="1:15" ht="21.75" customHeight="1" x14ac:dyDescent="0.3">
      <c r="A10" s="159" t="s">
        <v>159</v>
      </c>
      <c r="B10" s="159"/>
      <c r="C10" s="159"/>
      <c r="D10" s="105"/>
    </row>
    <row r="11" spans="1:15" ht="18.75" x14ac:dyDescent="0.3">
      <c r="A11" s="160" t="s">
        <v>118</v>
      </c>
      <c r="B11" s="160"/>
      <c r="C11" s="160"/>
      <c r="D11" s="105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6"/>
      <c r="D13" s="101"/>
      <c r="E13" s="101"/>
      <c r="F13" s="101"/>
      <c r="G13" s="101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2">
        <f>FMFSummaryTourneyName</f>
        <v>0</v>
      </c>
      <c r="C15" s="131"/>
      <c r="D15" s="131"/>
      <c r="E15" s="133">
        <f>FMFSummaryTourneyDate</f>
        <v>0</v>
      </c>
      <c r="F15" s="131"/>
      <c r="G15" s="164"/>
      <c r="H15" s="164"/>
    </row>
    <row r="16" spans="1:15" x14ac:dyDescent="0.25">
      <c r="A16" s="63">
        <f>FMFSummaryPlayerCount</f>
        <v>0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0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0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0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8">
        <f>SUM(A17:A20)</f>
        <v>0</v>
      </c>
      <c r="B21" s="174" t="s">
        <v>169</v>
      </c>
      <c r="C21" s="174"/>
      <c r="E21" s="11" t="s">
        <v>81</v>
      </c>
      <c r="F21" s="27">
        <f>FMFSummaryEntryFee*0.15</f>
        <v>0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8">
        <f>QUOTIENT(FMFSummaryPlayerCount,4)</f>
        <v>0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9" t="s">
        <v>167</v>
      </c>
      <c r="C25" s="23"/>
      <c r="D25" s="129" t="s">
        <v>166</v>
      </c>
      <c r="E25" s="50" t="s">
        <v>83</v>
      </c>
      <c r="H25" s="51"/>
    </row>
    <row r="26" spans="1:14" ht="18.75" x14ac:dyDescent="0.3">
      <c r="B26" s="126">
        <f>FMFSummaryAvailablePool</f>
        <v>0</v>
      </c>
      <c r="C26" s="130" t="s">
        <v>116</v>
      </c>
      <c r="D26" s="127">
        <f>SUM(D30:D206)</f>
        <v>0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51">
        <f>SUM(FMFSummaryAdjEntries)</f>
        <v>0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7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7"/>
    </row>
    <row r="30" spans="1:14" ht="15.75" thickBot="1" x14ac:dyDescent="0.3">
      <c r="A30" s="138">
        <v>1</v>
      </c>
      <c r="B30" s="139"/>
      <c r="C30" s="140"/>
      <c r="D30" s="141"/>
      <c r="E30" s="150"/>
      <c r="F30" s="141"/>
      <c r="G30" s="142">
        <v>1</v>
      </c>
      <c r="H30" s="21"/>
      <c r="J30" s="10"/>
    </row>
    <row r="31" spans="1:14" ht="15.75" thickBot="1" x14ac:dyDescent="0.3">
      <c r="A31" s="138">
        <v>2</v>
      </c>
      <c r="B31" s="139"/>
      <c r="C31" s="140"/>
      <c r="D31" s="141"/>
      <c r="E31" s="150"/>
      <c r="F31" s="141"/>
      <c r="G31" s="142">
        <v>2</v>
      </c>
      <c r="H31" s="21"/>
      <c r="J31" s="10"/>
    </row>
    <row r="32" spans="1:14" ht="15.75" thickBot="1" x14ac:dyDescent="0.3">
      <c r="A32" s="138">
        <v>3</v>
      </c>
      <c r="B32" s="143"/>
      <c r="C32" s="140"/>
      <c r="D32" s="141"/>
      <c r="E32" s="150"/>
      <c r="F32" s="141"/>
      <c r="G32" s="142" t="s">
        <v>170</v>
      </c>
      <c r="H32" s="21"/>
      <c r="J32" s="13"/>
    </row>
    <row r="33" spans="1:10" ht="15.75" thickBot="1" x14ac:dyDescent="0.3">
      <c r="A33" s="138">
        <v>4</v>
      </c>
      <c r="B33" s="143"/>
      <c r="C33" s="140"/>
      <c r="D33" s="141"/>
      <c r="E33" s="150"/>
      <c r="F33" s="141"/>
      <c r="G33" s="142" t="s">
        <v>170</v>
      </c>
      <c r="H33" s="21"/>
      <c r="J33" s="13"/>
    </row>
    <row r="34" spans="1:10" ht="15.75" thickBot="1" x14ac:dyDescent="0.3">
      <c r="A34" s="138">
        <v>5</v>
      </c>
      <c r="B34" s="139"/>
      <c r="C34" s="140"/>
      <c r="D34" s="141"/>
      <c r="E34" s="150"/>
      <c r="F34" s="141"/>
      <c r="G34" s="142" t="s">
        <v>171</v>
      </c>
      <c r="H34" s="21"/>
      <c r="J34" s="10"/>
    </row>
    <row r="35" spans="1:10" ht="15.75" thickBot="1" x14ac:dyDescent="0.3">
      <c r="A35" s="138">
        <v>6</v>
      </c>
      <c r="B35" s="139"/>
      <c r="C35" s="140"/>
      <c r="D35" s="141"/>
      <c r="E35" s="150"/>
      <c r="F35" s="141"/>
      <c r="G35" s="142" t="s">
        <v>171</v>
      </c>
      <c r="H35" s="21"/>
      <c r="J35" s="10"/>
    </row>
    <row r="36" spans="1:10" ht="15.75" thickBot="1" x14ac:dyDescent="0.3">
      <c r="A36" s="138">
        <v>7</v>
      </c>
      <c r="B36" s="139"/>
      <c r="C36" s="140"/>
      <c r="D36" s="141"/>
      <c r="E36" s="150"/>
      <c r="F36" s="141"/>
      <c r="G36" s="142" t="s">
        <v>171</v>
      </c>
      <c r="H36" s="21"/>
      <c r="J36" s="10"/>
    </row>
    <row r="37" spans="1:10" ht="15.75" thickBot="1" x14ac:dyDescent="0.3">
      <c r="A37" s="138">
        <v>8</v>
      </c>
      <c r="B37" s="139"/>
      <c r="C37" s="140"/>
      <c r="D37" s="141"/>
      <c r="E37" s="150"/>
      <c r="F37" s="141"/>
      <c r="G37" s="142" t="s">
        <v>171</v>
      </c>
      <c r="H37" s="21"/>
      <c r="J37" s="10"/>
    </row>
    <row r="38" spans="1:10" ht="15.75" thickBot="1" x14ac:dyDescent="0.3">
      <c r="A38" s="138">
        <v>9</v>
      </c>
      <c r="B38" s="139"/>
      <c r="C38" s="140"/>
      <c r="D38" s="141"/>
      <c r="E38" s="150"/>
      <c r="F38" s="141"/>
      <c r="G38" s="142" t="s">
        <v>172</v>
      </c>
      <c r="H38" s="21"/>
      <c r="J38" s="10"/>
    </row>
    <row r="39" spans="1:10" ht="15.75" thickBot="1" x14ac:dyDescent="0.3">
      <c r="A39" s="138">
        <v>10</v>
      </c>
      <c r="B39" s="139"/>
      <c r="C39" s="140"/>
      <c r="D39" s="141"/>
      <c r="E39" s="150"/>
      <c r="F39" s="141"/>
      <c r="G39" s="142" t="s">
        <v>172</v>
      </c>
      <c r="H39" s="21"/>
      <c r="J39" s="10"/>
    </row>
    <row r="40" spans="1:10" ht="15.75" thickBot="1" x14ac:dyDescent="0.3">
      <c r="A40" s="138">
        <v>11</v>
      </c>
      <c r="B40" s="139"/>
      <c r="C40" s="140"/>
      <c r="D40" s="141"/>
      <c r="E40" s="150"/>
      <c r="F40" s="141"/>
      <c r="G40" s="142" t="s">
        <v>172</v>
      </c>
      <c r="H40" s="21"/>
      <c r="J40" s="10"/>
    </row>
    <row r="41" spans="1:10" ht="15.75" thickBot="1" x14ac:dyDescent="0.3">
      <c r="A41" s="138">
        <v>12</v>
      </c>
      <c r="B41" s="139"/>
      <c r="C41" s="140"/>
      <c r="D41" s="141"/>
      <c r="E41" s="150"/>
      <c r="F41" s="141"/>
      <c r="G41" s="142" t="s">
        <v>172</v>
      </c>
      <c r="H41" s="21"/>
      <c r="J41" s="10"/>
    </row>
    <row r="42" spans="1:10" ht="15.75" thickBot="1" x14ac:dyDescent="0.3">
      <c r="A42" s="138">
        <v>13</v>
      </c>
      <c r="B42" s="139"/>
      <c r="C42" s="140"/>
      <c r="D42" s="141"/>
      <c r="E42" s="150"/>
      <c r="F42" s="141"/>
      <c r="G42" s="142" t="s">
        <v>172</v>
      </c>
      <c r="H42" s="21"/>
      <c r="J42" s="10"/>
    </row>
    <row r="43" spans="1:10" ht="15.75" thickBot="1" x14ac:dyDescent="0.3">
      <c r="A43" s="138">
        <v>14</v>
      </c>
      <c r="B43" s="139"/>
      <c r="C43" s="140"/>
      <c r="D43" s="141"/>
      <c r="E43" s="150"/>
      <c r="F43" s="141"/>
      <c r="G43" s="142" t="s">
        <v>172</v>
      </c>
      <c r="H43" s="21"/>
      <c r="J43" s="10"/>
    </row>
    <row r="44" spans="1:10" ht="15.75" thickBot="1" x14ac:dyDescent="0.3">
      <c r="A44" s="138">
        <v>15</v>
      </c>
      <c r="B44" s="139"/>
      <c r="C44" s="140"/>
      <c r="D44" s="141"/>
      <c r="E44" s="150"/>
      <c r="F44" s="141"/>
      <c r="G44" s="142" t="s">
        <v>172</v>
      </c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99"/>
      <c r="F49" s="98"/>
      <c r="G49" s="21"/>
      <c r="H49" s="21"/>
    </row>
    <row r="50" spans="1:8" x14ac:dyDescent="0.25">
      <c r="A50" s="20"/>
      <c r="B50" s="10"/>
      <c r="C50" s="30"/>
      <c r="D50" s="98"/>
      <c r="E50" s="99"/>
      <c r="F50" s="98"/>
      <c r="G50" s="21"/>
      <c r="H50" s="21"/>
    </row>
    <row r="51" spans="1:8" x14ac:dyDescent="0.25">
      <c r="A51" s="20"/>
      <c r="B51" s="10"/>
      <c r="C51" s="30"/>
      <c r="D51" s="98"/>
      <c r="E51" s="99"/>
      <c r="F51" s="98"/>
      <c r="G51" s="21"/>
      <c r="H51" s="21"/>
    </row>
    <row r="52" spans="1:8" x14ac:dyDescent="0.25">
      <c r="A52" s="20"/>
      <c r="B52" s="10"/>
      <c r="C52" s="30"/>
      <c r="D52" s="98"/>
      <c r="E52" s="99"/>
      <c r="F52" s="98"/>
      <c r="G52" s="21"/>
      <c r="H52" s="21"/>
    </row>
    <row r="53" spans="1:8" x14ac:dyDescent="0.25">
      <c r="A53" s="20"/>
      <c r="B53" s="10"/>
      <c r="C53" s="30"/>
      <c r="D53" s="98"/>
      <c r="E53" s="99"/>
      <c r="F53" s="98"/>
      <c r="G53" s="21"/>
      <c r="H53" s="21"/>
    </row>
    <row r="54" spans="1:8" x14ac:dyDescent="0.25">
      <c r="A54" s="20"/>
      <c r="B54" s="10"/>
      <c r="C54" s="30"/>
      <c r="D54" s="98"/>
      <c r="E54" s="99"/>
      <c r="F54" s="98"/>
      <c r="G54" s="21"/>
      <c r="H54" s="21"/>
    </row>
    <row r="55" spans="1:8" x14ac:dyDescent="0.25">
      <c r="A55" s="20"/>
      <c r="B55" s="10"/>
      <c r="C55" s="30"/>
      <c r="D55" s="98"/>
      <c r="E55" s="99"/>
      <c r="F55" s="98"/>
      <c r="G55" s="21"/>
      <c r="H55" s="21"/>
    </row>
    <row r="56" spans="1:8" x14ac:dyDescent="0.25">
      <c r="A56" s="20"/>
      <c r="B56" s="10"/>
      <c r="C56" s="30"/>
      <c r="D56" s="98"/>
      <c r="E56" s="99"/>
      <c r="F56" s="98"/>
      <c r="G56" s="21"/>
      <c r="H56" s="21"/>
    </row>
    <row r="57" spans="1:8" x14ac:dyDescent="0.25">
      <c r="A57" s="20"/>
      <c r="B57" s="10"/>
      <c r="C57" s="30"/>
      <c r="D57" s="98"/>
      <c r="E57" s="99"/>
      <c r="F57" s="98"/>
      <c r="G57" s="21"/>
      <c r="H57" s="21"/>
    </row>
    <row r="58" spans="1:8" x14ac:dyDescent="0.25">
      <c r="A58" s="20"/>
      <c r="B58" s="10"/>
      <c r="C58" s="30"/>
      <c r="D58" s="98"/>
      <c r="E58" s="99"/>
      <c r="F58" s="98"/>
      <c r="G58" s="21"/>
      <c r="H58" s="21"/>
    </row>
    <row r="59" spans="1:8" x14ac:dyDescent="0.25">
      <c r="A59" s="20"/>
      <c r="B59" s="10"/>
      <c r="C59" s="30"/>
      <c r="D59" s="98"/>
      <c r="E59" s="99"/>
      <c r="F59" s="98"/>
      <c r="G59" s="21"/>
      <c r="H59" s="21"/>
    </row>
    <row r="60" spans="1:8" x14ac:dyDescent="0.25">
      <c r="A60" s="20"/>
      <c r="B60" s="10"/>
      <c r="C60" s="30"/>
      <c r="D60" s="98"/>
      <c r="E60" s="99"/>
      <c r="F60" s="98"/>
      <c r="G60" s="21"/>
      <c r="H60" s="21"/>
    </row>
    <row r="61" spans="1:8" x14ac:dyDescent="0.25">
      <c r="A61" s="20"/>
      <c r="B61" s="10"/>
      <c r="C61" s="30"/>
      <c r="D61" s="98"/>
      <c r="E61" s="99"/>
      <c r="F61" s="98"/>
      <c r="G61" s="21"/>
      <c r="H61" s="21"/>
    </row>
    <row r="62" spans="1:8" x14ac:dyDescent="0.25">
      <c r="A62" s="20"/>
      <c r="B62" s="13"/>
      <c r="C62" s="30"/>
      <c r="D62" s="98"/>
      <c r="E62" s="99"/>
      <c r="F62" s="98"/>
      <c r="G62" s="21"/>
      <c r="H62" s="21"/>
    </row>
    <row r="63" spans="1:8" x14ac:dyDescent="0.25">
      <c r="A63" s="20"/>
      <c r="B63" s="13"/>
      <c r="C63" s="30"/>
      <c r="D63" s="98"/>
      <c r="E63" s="99"/>
      <c r="F63" s="98"/>
      <c r="G63" s="21"/>
      <c r="H63" s="21"/>
    </row>
    <row r="64" spans="1:8" x14ac:dyDescent="0.25">
      <c r="A64" s="20"/>
      <c r="B64" s="13"/>
      <c r="C64" s="30"/>
      <c r="D64" s="98"/>
      <c r="E64" s="99"/>
      <c r="F64" s="98"/>
      <c r="G64" s="21"/>
      <c r="H64" s="21"/>
    </row>
    <row r="65" spans="1:8" x14ac:dyDescent="0.25">
      <c r="A65" s="20"/>
      <c r="B65" s="13"/>
      <c r="C65" s="30"/>
      <c r="D65" s="98"/>
      <c r="E65" s="99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MainSummaryFinancialsComplete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C29" sqref="C29:D29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7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7"/>
    </row>
    <row r="12" spans="1:7" x14ac:dyDescent="0.25">
      <c r="A12" s="75"/>
      <c r="B12" s="76"/>
      <c r="C12" s="189"/>
      <c r="D12" s="189"/>
      <c r="E12" s="77"/>
      <c r="F12" s="77"/>
      <c r="G12" s="107"/>
    </row>
    <row r="13" spans="1:7" x14ac:dyDescent="0.25">
      <c r="A13" s="72"/>
      <c r="B13" s="73"/>
      <c r="C13" s="191"/>
      <c r="D13" s="191"/>
      <c r="E13" s="74"/>
      <c r="F13" s="74"/>
      <c r="G13" s="107"/>
    </row>
    <row r="14" spans="1:7" x14ac:dyDescent="0.25">
      <c r="A14" s="72"/>
      <c r="B14" s="73"/>
      <c r="C14" s="191"/>
      <c r="D14" s="191"/>
      <c r="E14" s="74"/>
      <c r="F14" s="74"/>
      <c r="G14" s="107"/>
    </row>
    <row r="15" spans="1:7" x14ac:dyDescent="0.25">
      <c r="A15" s="75"/>
      <c r="B15" s="76"/>
      <c r="C15" s="189"/>
      <c r="D15" s="190"/>
      <c r="E15" s="77"/>
      <c r="F15" s="77"/>
      <c r="G15" s="107"/>
    </row>
    <row r="16" spans="1:7" x14ac:dyDescent="0.25">
      <c r="A16" s="75"/>
      <c r="B16" s="76"/>
      <c r="C16" s="189"/>
      <c r="D16" s="189"/>
      <c r="E16" s="77"/>
      <c r="F16" s="77"/>
      <c r="G16" s="107"/>
    </row>
    <row r="17" spans="1:7" x14ac:dyDescent="0.25">
      <c r="A17" s="72"/>
      <c r="B17" s="73"/>
      <c r="C17" s="191"/>
      <c r="D17" s="191"/>
      <c r="E17" s="74"/>
      <c r="F17" s="74"/>
      <c r="G17" s="107"/>
    </row>
    <row r="18" spans="1:7" x14ac:dyDescent="0.25">
      <c r="A18" s="72"/>
      <c r="B18" s="73"/>
      <c r="C18" s="191"/>
      <c r="D18" s="191"/>
      <c r="E18" s="74"/>
      <c r="F18" s="74"/>
      <c r="G18" s="107"/>
    </row>
    <row r="19" spans="1:7" x14ac:dyDescent="0.25">
      <c r="A19" s="75"/>
      <c r="B19" s="76"/>
      <c r="C19" s="185"/>
      <c r="D19" s="185"/>
      <c r="E19" s="77"/>
      <c r="F19" s="77"/>
      <c r="G19" s="107"/>
    </row>
    <row r="20" spans="1:7" x14ac:dyDescent="0.25">
      <c r="A20" s="72"/>
      <c r="B20" s="73"/>
      <c r="C20" s="184"/>
      <c r="D20" s="184"/>
      <c r="E20" s="74"/>
      <c r="F20" s="74"/>
      <c r="G20" s="107"/>
    </row>
    <row r="21" spans="1:7" x14ac:dyDescent="0.25">
      <c r="A21" s="72"/>
      <c r="B21" s="73"/>
      <c r="C21" s="184"/>
      <c r="D21" s="184"/>
      <c r="E21" s="74"/>
      <c r="F21" s="74"/>
      <c r="G21" s="107"/>
    </row>
    <row r="22" spans="1:7" x14ac:dyDescent="0.25">
      <c r="A22" s="72"/>
      <c r="B22" s="73"/>
      <c r="C22" s="184"/>
      <c r="D22" s="184"/>
      <c r="E22" s="74"/>
      <c r="F22" s="74"/>
      <c r="G22" s="107"/>
    </row>
    <row r="23" spans="1:7" x14ac:dyDescent="0.25">
      <c r="A23" s="72"/>
      <c r="B23" s="73"/>
      <c r="C23" s="184"/>
      <c r="D23" s="184"/>
      <c r="E23" s="74"/>
      <c r="F23" s="74"/>
      <c r="G23" s="107"/>
    </row>
    <row r="24" spans="1:7" x14ac:dyDescent="0.25">
      <c r="A24" s="72"/>
      <c r="B24" s="73"/>
      <c r="C24" s="184"/>
      <c r="D24" s="184"/>
      <c r="E24" s="74"/>
      <c r="F24" s="74"/>
      <c r="G24" s="107"/>
    </row>
    <row r="25" spans="1:7" x14ac:dyDescent="0.25">
      <c r="A25" s="72"/>
      <c r="B25" s="73"/>
      <c r="C25" s="184"/>
      <c r="D25" s="184"/>
      <c r="E25" s="74"/>
      <c r="F25" s="74"/>
      <c r="G25" s="107"/>
    </row>
    <row r="26" spans="1:7" x14ac:dyDescent="0.25">
      <c r="A26" s="75"/>
      <c r="B26" s="76"/>
      <c r="C26" s="185"/>
      <c r="D26" s="185"/>
      <c r="E26" s="77"/>
      <c r="F26" s="77"/>
      <c r="G26" s="107"/>
    </row>
    <row r="27" spans="1:7" x14ac:dyDescent="0.25">
      <c r="A27" s="72"/>
      <c r="B27" s="73"/>
      <c r="C27" s="184"/>
      <c r="D27" s="184"/>
      <c r="E27" s="74"/>
      <c r="F27" s="74"/>
      <c r="G27" s="107"/>
    </row>
    <row r="28" spans="1:7" x14ac:dyDescent="0.25">
      <c r="A28" s="72"/>
      <c r="B28" s="73"/>
      <c r="C28" s="184"/>
      <c r="D28" s="184"/>
      <c r="E28" s="74"/>
      <c r="F28" s="74"/>
      <c r="G28" s="107"/>
    </row>
    <row r="29" spans="1:7" x14ac:dyDescent="0.25">
      <c r="A29" s="72"/>
      <c r="B29" s="73"/>
      <c r="C29" s="184"/>
      <c r="D29" s="184"/>
      <c r="E29" s="74"/>
      <c r="F29" s="74"/>
      <c r="G29" s="107"/>
    </row>
    <row r="30" spans="1:7" x14ac:dyDescent="0.25">
      <c r="A30" s="72"/>
      <c r="B30" s="73"/>
      <c r="C30" s="184"/>
      <c r="D30" s="184"/>
      <c r="E30" s="74"/>
      <c r="F30" s="74"/>
      <c r="G30" s="107"/>
    </row>
    <row r="31" spans="1:7" x14ac:dyDescent="0.25">
      <c r="A31" s="72"/>
      <c r="B31" s="73"/>
      <c r="C31" s="184"/>
      <c r="D31" s="184"/>
      <c r="E31" s="74"/>
      <c r="F31" s="74"/>
      <c r="G31" s="107"/>
    </row>
    <row r="32" spans="1:7" x14ac:dyDescent="0.25">
      <c r="A32" s="72"/>
      <c r="B32" s="73"/>
      <c r="C32" s="184"/>
      <c r="D32" s="184"/>
      <c r="E32" s="74"/>
      <c r="F32" s="74"/>
      <c r="G32" s="107"/>
    </row>
    <row r="33" spans="1:7" x14ac:dyDescent="0.25">
      <c r="A33" s="72"/>
      <c r="B33" s="73"/>
      <c r="C33" s="184"/>
      <c r="D33" s="184"/>
      <c r="E33" s="74"/>
      <c r="F33" s="74"/>
      <c r="G33" s="107"/>
    </row>
    <row r="34" spans="1:7" x14ac:dyDescent="0.25">
      <c r="A34" s="72"/>
      <c r="B34" s="73"/>
      <c r="C34" s="184"/>
      <c r="D34" s="184"/>
      <c r="E34" s="74"/>
      <c r="F34" s="74"/>
      <c r="G34" s="107"/>
    </row>
    <row r="35" spans="1:7" x14ac:dyDescent="0.25">
      <c r="A35" s="72"/>
      <c r="B35" s="73"/>
      <c r="C35" s="184"/>
      <c r="D35" s="184"/>
      <c r="E35" s="74"/>
      <c r="F35" s="74"/>
      <c r="G35" s="107"/>
    </row>
    <row r="36" spans="1:7" x14ac:dyDescent="0.25">
      <c r="A36" s="72"/>
      <c r="B36" s="73"/>
      <c r="C36" s="184"/>
      <c r="D36" s="184"/>
      <c r="E36" s="74"/>
      <c r="F36" s="74"/>
      <c r="G36" s="107"/>
    </row>
    <row r="37" spans="1:7" x14ac:dyDescent="0.25">
      <c r="A37" s="72"/>
      <c r="B37" s="73"/>
      <c r="C37" s="184"/>
      <c r="D37" s="184"/>
      <c r="E37" s="74"/>
      <c r="F37" s="74"/>
      <c r="G37" s="107"/>
    </row>
    <row r="38" spans="1:7" x14ac:dyDescent="0.25">
      <c r="A38" s="72"/>
      <c r="B38" s="73"/>
      <c r="C38" s="184"/>
      <c r="D38" s="184"/>
      <c r="E38" s="74"/>
      <c r="F38" s="74"/>
      <c r="G38" s="107"/>
    </row>
    <row r="39" spans="1:7" x14ac:dyDescent="0.25">
      <c r="A39" s="72"/>
      <c r="B39" s="73"/>
      <c r="C39" s="184"/>
      <c r="D39" s="184"/>
      <c r="E39" s="74"/>
      <c r="F39" s="74"/>
      <c r="G39" s="107"/>
    </row>
    <row r="40" spans="1:7" x14ac:dyDescent="0.25">
      <c r="A40" s="72"/>
      <c r="B40" s="73"/>
      <c r="C40" s="184"/>
      <c r="D40" s="184"/>
      <c r="E40" s="74"/>
      <c r="F40" s="74"/>
      <c r="G40" s="107"/>
    </row>
    <row r="41" spans="1:7" x14ac:dyDescent="0.25">
      <c r="A41" s="72"/>
      <c r="B41" s="73"/>
      <c r="C41" s="184"/>
      <c r="D41" s="184"/>
      <c r="E41" s="74"/>
      <c r="F41" s="74"/>
      <c r="G41" s="107"/>
    </row>
    <row r="42" spans="1:7" x14ac:dyDescent="0.25">
      <c r="A42" s="72"/>
      <c r="B42" s="73"/>
      <c r="C42" s="184"/>
      <c r="D42" s="184"/>
      <c r="E42" s="74"/>
      <c r="F42" s="74"/>
      <c r="G42" s="107"/>
    </row>
    <row r="43" spans="1:7" x14ac:dyDescent="0.25">
      <c r="A43" s="72"/>
      <c r="B43" s="73"/>
      <c r="C43" s="184"/>
      <c r="D43" s="184"/>
      <c r="E43" s="74"/>
      <c r="F43" s="74"/>
      <c r="G43" s="107"/>
    </row>
    <row r="44" spans="1:7" x14ac:dyDescent="0.25">
      <c r="A44" s="72"/>
      <c r="B44" s="73"/>
      <c r="C44" s="184"/>
      <c r="D44" s="184"/>
      <c r="E44" s="74"/>
      <c r="F44" s="74"/>
      <c r="G44" s="107"/>
    </row>
    <row r="45" spans="1:7" x14ac:dyDescent="0.25">
      <c r="A45" s="72"/>
      <c r="B45" s="73"/>
      <c r="C45" s="184"/>
      <c r="D45" s="184"/>
      <c r="E45" s="74"/>
      <c r="F45" s="74"/>
      <c r="G45" s="107"/>
    </row>
    <row r="46" spans="1:7" x14ac:dyDescent="0.25">
      <c r="A46" s="72"/>
      <c r="B46" s="73"/>
      <c r="C46" s="184"/>
      <c r="D46" s="184"/>
      <c r="E46" s="74"/>
      <c r="F46" s="74"/>
      <c r="G46" s="107"/>
    </row>
    <row r="47" spans="1:7" x14ac:dyDescent="0.25">
      <c r="A47" s="72"/>
      <c r="B47" s="73"/>
      <c r="C47" s="184"/>
      <c r="D47" s="184"/>
      <c r="E47" s="74"/>
      <c r="F47" s="74"/>
      <c r="G47" s="107"/>
    </row>
    <row r="48" spans="1:7" x14ac:dyDescent="0.25">
      <c r="A48" s="72"/>
      <c r="B48" s="73"/>
      <c r="C48" s="184"/>
      <c r="D48" s="184"/>
      <c r="E48" s="74"/>
      <c r="F48" s="74"/>
      <c r="G48" s="107"/>
    </row>
    <row r="49" spans="1:7" x14ac:dyDescent="0.25">
      <c r="A49" s="72"/>
      <c r="B49" s="73"/>
      <c r="C49" s="184"/>
      <c r="D49" s="184"/>
      <c r="E49" s="74"/>
      <c r="F49" s="74"/>
      <c r="G49" s="107"/>
    </row>
    <row r="50" spans="1:7" x14ac:dyDescent="0.25">
      <c r="A50" s="72"/>
      <c r="B50" s="73"/>
      <c r="C50" s="184"/>
      <c r="D50" s="184"/>
      <c r="E50" s="74"/>
      <c r="F50" s="74"/>
      <c r="G50" s="107"/>
    </row>
    <row r="51" spans="1:7" x14ac:dyDescent="0.25">
      <c r="A51" s="72"/>
      <c r="B51" s="73"/>
      <c r="C51" s="184"/>
      <c r="D51" s="184"/>
      <c r="E51" s="74"/>
      <c r="F51" s="74"/>
      <c r="G51" s="107"/>
    </row>
    <row r="52" spans="1:7" x14ac:dyDescent="0.25">
      <c r="A52" s="72"/>
      <c r="B52" s="73"/>
      <c r="C52" s="184"/>
      <c r="D52" s="184"/>
      <c r="E52" s="74"/>
      <c r="F52" s="74"/>
      <c r="G52" s="107"/>
    </row>
    <row r="53" spans="1:7" x14ac:dyDescent="0.25">
      <c r="A53" s="72"/>
      <c r="B53" s="73"/>
      <c r="C53" s="184"/>
      <c r="D53" s="184"/>
      <c r="E53" s="74"/>
      <c r="F53" s="74"/>
      <c r="G53" s="107"/>
    </row>
    <row r="54" spans="1:7" x14ac:dyDescent="0.25">
      <c r="A54" s="72"/>
      <c r="B54" s="73"/>
      <c r="C54" s="184"/>
      <c r="D54" s="184"/>
      <c r="E54" s="74"/>
      <c r="F54" s="74"/>
      <c r="G54" s="107"/>
    </row>
    <row r="55" spans="1:7" x14ac:dyDescent="0.25">
      <c r="A55" s="72"/>
      <c r="B55" s="73"/>
      <c r="C55" s="184"/>
      <c r="D55" s="184"/>
      <c r="E55" s="74"/>
      <c r="F55" s="74"/>
      <c r="G55" s="107"/>
    </row>
    <row r="56" spans="1:7" x14ac:dyDescent="0.25">
      <c r="A56" s="72"/>
      <c r="B56" s="73"/>
      <c r="C56" s="184"/>
      <c r="D56" s="184"/>
      <c r="E56" s="74"/>
      <c r="F56" s="74"/>
      <c r="G56" s="107"/>
    </row>
    <row r="57" spans="1:7" x14ac:dyDescent="0.25">
      <c r="A57" s="72"/>
      <c r="B57" s="73"/>
      <c r="C57" s="184"/>
      <c r="D57" s="184"/>
      <c r="E57" s="74"/>
      <c r="F57" s="74"/>
      <c r="G57" s="107"/>
    </row>
    <row r="58" spans="1:7" x14ac:dyDescent="0.25">
      <c r="A58" s="72"/>
      <c r="B58" s="73"/>
      <c r="C58" s="184"/>
      <c r="D58" s="184"/>
      <c r="E58" s="74"/>
      <c r="F58" s="74"/>
      <c r="G58" s="107"/>
    </row>
    <row r="59" spans="1:7" x14ac:dyDescent="0.25">
      <c r="A59" s="72"/>
      <c r="B59" s="73"/>
      <c r="C59" s="184"/>
      <c r="D59" s="184"/>
      <c r="E59" s="74"/>
      <c r="F59" s="74"/>
      <c r="G59" s="107"/>
    </row>
    <row r="60" spans="1:7" x14ac:dyDescent="0.25">
      <c r="A60" s="72"/>
      <c r="B60" s="73"/>
      <c r="C60" s="184"/>
      <c r="D60" s="184"/>
      <c r="E60" s="74"/>
      <c r="F60" s="74"/>
      <c r="G60" s="107"/>
    </row>
    <row r="61" spans="1:7" x14ac:dyDescent="0.25">
      <c r="A61" s="117"/>
      <c r="B61" s="118"/>
      <c r="C61" s="183"/>
      <c r="D61" s="183"/>
      <c r="E61" s="119"/>
      <c r="F61" s="119"/>
    </row>
    <row r="62" spans="1:7" x14ac:dyDescent="0.25">
      <c r="A62" s="117"/>
      <c r="B62" s="118"/>
      <c r="C62" s="183"/>
      <c r="D62" s="183"/>
      <c r="E62" s="119"/>
      <c r="F62" s="119"/>
    </row>
    <row r="63" spans="1:7" x14ac:dyDescent="0.25">
      <c r="A63" s="117"/>
      <c r="B63" s="118"/>
      <c r="C63" s="183"/>
      <c r="D63" s="183"/>
      <c r="E63" s="119"/>
      <c r="F63" s="119"/>
    </row>
    <row r="64" spans="1:7" x14ac:dyDescent="0.25">
      <c r="A64" s="117"/>
      <c r="B64" s="118"/>
      <c r="C64" s="183"/>
      <c r="D64" s="183"/>
      <c r="E64" s="119"/>
      <c r="F64" s="119"/>
    </row>
    <row r="65" spans="1:6" x14ac:dyDescent="0.25">
      <c r="A65" s="117"/>
      <c r="B65" s="118"/>
      <c r="C65" s="183"/>
      <c r="D65" s="183"/>
      <c r="E65" s="119"/>
      <c r="F65" s="119"/>
    </row>
    <row r="66" spans="1:6" x14ac:dyDescent="0.25">
      <c r="A66" s="117"/>
      <c r="B66" s="118"/>
      <c r="C66" s="183"/>
      <c r="D66" s="183"/>
      <c r="E66" s="119"/>
      <c r="F66" s="119"/>
    </row>
    <row r="67" spans="1:6" x14ac:dyDescent="0.25">
      <c r="A67" s="117"/>
      <c r="B67" s="118"/>
      <c r="C67" s="183"/>
      <c r="D67" s="183"/>
      <c r="E67" s="119"/>
      <c r="F67" s="119"/>
    </row>
    <row r="68" spans="1:6" x14ac:dyDescent="0.25">
      <c r="A68" s="117"/>
      <c r="B68" s="118"/>
      <c r="C68" s="183"/>
      <c r="D68" s="183"/>
      <c r="E68" s="119"/>
      <c r="F68" s="119"/>
    </row>
    <row r="69" spans="1:6" x14ac:dyDescent="0.25">
      <c r="A69" s="117"/>
      <c r="B69" s="118"/>
      <c r="C69" s="183"/>
      <c r="D69" s="183"/>
      <c r="E69" s="119"/>
      <c r="F69" s="119"/>
    </row>
    <row r="70" spans="1:6" x14ac:dyDescent="0.25">
      <c r="A70" s="117"/>
      <c r="B70" s="118"/>
      <c r="C70" s="183"/>
      <c r="D70" s="183"/>
      <c r="E70" s="119"/>
      <c r="F70" s="119"/>
    </row>
    <row r="71" spans="1:6" x14ac:dyDescent="0.25">
      <c r="A71" s="117"/>
      <c r="B71" s="118"/>
      <c r="C71" s="183"/>
      <c r="D71" s="183"/>
      <c r="E71" s="119"/>
      <c r="F71" s="119"/>
    </row>
    <row r="72" spans="1:6" x14ac:dyDescent="0.25">
      <c r="A72" s="117"/>
      <c r="B72" s="118"/>
      <c r="C72" s="183"/>
      <c r="D72" s="183"/>
      <c r="E72" s="119"/>
      <c r="F72" s="119"/>
    </row>
    <row r="73" spans="1:6" x14ac:dyDescent="0.25">
      <c r="A73" s="117"/>
      <c r="B73" s="118"/>
      <c r="C73" s="183"/>
      <c r="D73" s="183"/>
      <c r="E73" s="119"/>
      <c r="F73" s="119"/>
    </row>
    <row r="74" spans="1:6" x14ac:dyDescent="0.25">
      <c r="A74" s="117"/>
      <c r="B74" s="118"/>
      <c r="C74" s="183"/>
      <c r="D74" s="183"/>
      <c r="E74" s="119"/>
      <c r="F74" s="119"/>
    </row>
    <row r="75" spans="1:6" x14ac:dyDescent="0.25">
      <c r="A75" s="117"/>
      <c r="B75" s="118"/>
      <c r="C75" s="183"/>
      <c r="D75" s="183"/>
      <c r="E75" s="119"/>
      <c r="F75" s="119"/>
    </row>
    <row r="76" spans="1:6" x14ac:dyDescent="0.25">
      <c r="A76" s="117"/>
      <c r="B76" s="118"/>
      <c r="C76" s="183"/>
      <c r="D76" s="183"/>
      <c r="E76" s="119"/>
      <c r="F76" s="119"/>
    </row>
    <row r="77" spans="1:6" x14ac:dyDescent="0.25">
      <c r="A77" s="117"/>
      <c r="B77" s="118"/>
      <c r="C77" s="183"/>
      <c r="D77" s="183"/>
      <c r="E77" s="119"/>
      <c r="F77" s="119"/>
    </row>
    <row r="78" spans="1:6" x14ac:dyDescent="0.25">
      <c r="A78" s="117"/>
      <c r="B78" s="118"/>
      <c r="C78" s="183"/>
      <c r="D78" s="183"/>
      <c r="E78" s="119"/>
      <c r="F78" s="119"/>
    </row>
    <row r="79" spans="1:6" x14ac:dyDescent="0.25">
      <c r="A79" s="117"/>
      <c r="B79" s="118"/>
      <c r="C79" s="183"/>
      <c r="D79" s="183"/>
      <c r="E79" s="119"/>
      <c r="F79" s="119"/>
    </row>
    <row r="80" spans="1:6" x14ac:dyDescent="0.25">
      <c r="A80" s="117"/>
      <c r="B80" s="118"/>
      <c r="C80" s="183"/>
      <c r="D80" s="183"/>
      <c r="E80" s="119"/>
      <c r="F80" s="119"/>
    </row>
    <row r="81" spans="1:6" x14ac:dyDescent="0.25">
      <c r="A81" s="117"/>
      <c r="B81" s="118"/>
      <c r="C81" s="183"/>
      <c r="D81" s="183"/>
      <c r="E81" s="119"/>
      <c r="F81" s="119"/>
    </row>
    <row r="82" spans="1:6" x14ac:dyDescent="0.25">
      <c r="A82" s="117"/>
      <c r="B82" s="118"/>
      <c r="C82" s="183"/>
      <c r="D82" s="183"/>
      <c r="E82" s="119"/>
      <c r="F82" s="119"/>
    </row>
    <row r="83" spans="1:6" x14ac:dyDescent="0.25">
      <c r="A83" s="117"/>
      <c r="B83" s="118"/>
      <c r="C83" s="183"/>
      <c r="D83" s="183"/>
      <c r="E83" s="119"/>
      <c r="F83" s="119"/>
    </row>
    <row r="84" spans="1:6" x14ac:dyDescent="0.25">
      <c r="A84" s="117"/>
      <c r="B84" s="118"/>
      <c r="C84" s="183"/>
      <c r="D84" s="183"/>
      <c r="E84" s="119"/>
      <c r="F84" s="119"/>
    </row>
    <row r="85" spans="1:6" x14ac:dyDescent="0.25">
      <c r="A85" s="117"/>
      <c r="B85" s="118"/>
      <c r="C85" s="183"/>
      <c r="D85" s="183"/>
      <c r="E85" s="119"/>
      <c r="F85" s="119"/>
    </row>
    <row r="86" spans="1:6" x14ac:dyDescent="0.25">
      <c r="A86" s="117"/>
      <c r="B86" s="118"/>
      <c r="C86" s="183"/>
      <c r="D86" s="183"/>
      <c r="E86" s="119"/>
      <c r="F86" s="119"/>
    </row>
    <row r="87" spans="1:6" x14ac:dyDescent="0.25">
      <c r="A87" s="117"/>
      <c r="B87" s="118"/>
      <c r="C87" s="183"/>
      <c r="D87" s="183"/>
      <c r="E87" s="119"/>
      <c r="F87" s="119"/>
    </row>
    <row r="88" spans="1:6" x14ac:dyDescent="0.25">
      <c r="A88" s="117"/>
      <c r="B88" s="118"/>
      <c r="C88" s="183"/>
      <c r="D88" s="183"/>
      <c r="E88" s="119"/>
      <c r="F88" s="119"/>
    </row>
    <row r="89" spans="1:6" x14ac:dyDescent="0.25">
      <c r="A89" s="117"/>
      <c r="B89" s="118"/>
      <c r="C89" s="183"/>
      <c r="D89" s="183"/>
      <c r="E89" s="119"/>
      <c r="F89" s="119"/>
    </row>
    <row r="90" spans="1:6" x14ac:dyDescent="0.25">
      <c r="A90" s="117"/>
      <c r="B90" s="118"/>
      <c r="C90" s="183"/>
      <c r="D90" s="183"/>
      <c r="E90" s="119"/>
      <c r="F90" s="119"/>
    </row>
    <row r="91" spans="1:6" x14ac:dyDescent="0.25">
      <c r="A91" s="117"/>
      <c r="B91" s="118"/>
      <c r="C91" s="183"/>
      <c r="D91" s="183"/>
      <c r="E91" s="119"/>
      <c r="F91" s="119"/>
    </row>
    <row r="92" spans="1:6" x14ac:dyDescent="0.25">
      <c r="A92" s="117"/>
      <c r="B92" s="118"/>
      <c r="C92" s="183"/>
      <c r="D92" s="183"/>
      <c r="E92" s="119"/>
      <c r="F92" s="119"/>
    </row>
    <row r="93" spans="1:6" x14ac:dyDescent="0.25">
      <c r="A93" s="117"/>
      <c r="B93" s="118"/>
      <c r="C93" s="183"/>
      <c r="D93" s="183"/>
      <c r="E93" s="119"/>
      <c r="F93" s="119"/>
    </row>
    <row r="94" spans="1:6" x14ac:dyDescent="0.25">
      <c r="A94" s="117"/>
      <c r="B94" s="118"/>
      <c r="C94" s="183"/>
      <c r="D94" s="183"/>
      <c r="E94" s="119"/>
      <c r="F94" s="119"/>
    </row>
    <row r="95" spans="1:6" x14ac:dyDescent="0.25">
      <c r="A95" s="117"/>
      <c r="B95" s="118"/>
      <c r="C95" s="183"/>
      <c r="D95" s="183"/>
      <c r="E95" s="119"/>
      <c r="F95" s="119"/>
    </row>
    <row r="96" spans="1:6" x14ac:dyDescent="0.25">
      <c r="A96" s="117"/>
      <c r="B96" s="118"/>
      <c r="C96" s="183"/>
      <c r="D96" s="183"/>
      <c r="E96" s="119"/>
      <c r="F96" s="119"/>
    </row>
    <row r="97" spans="1:6" x14ac:dyDescent="0.25">
      <c r="A97" s="117"/>
      <c r="B97" s="118"/>
      <c r="C97" s="183"/>
      <c r="D97" s="183"/>
      <c r="E97" s="119"/>
      <c r="F97" s="119"/>
    </row>
    <row r="98" spans="1:6" x14ac:dyDescent="0.25">
      <c r="A98" s="117"/>
      <c r="B98" s="118"/>
      <c r="C98" s="183"/>
      <c r="D98" s="183"/>
      <c r="E98" s="119"/>
      <c r="F98" s="119"/>
    </row>
    <row r="99" spans="1:6" x14ac:dyDescent="0.25">
      <c r="A99" s="117"/>
      <c r="B99" s="118"/>
      <c r="C99" s="183"/>
      <c r="D99" s="183"/>
      <c r="E99" s="119"/>
      <c r="F99" s="119"/>
    </row>
    <row r="100" spans="1:6" x14ac:dyDescent="0.25">
      <c r="A100" s="117"/>
      <c r="B100" s="118"/>
      <c r="C100" s="183"/>
      <c r="D100" s="183"/>
      <c r="E100" s="119"/>
      <c r="F100" s="119"/>
    </row>
    <row r="101" spans="1:6" x14ac:dyDescent="0.25">
      <c r="A101" s="117"/>
      <c r="B101" s="118"/>
      <c r="C101" s="183"/>
      <c r="D101" s="183"/>
      <c r="E101" s="119"/>
      <c r="F101" s="119"/>
    </row>
    <row r="102" spans="1:6" x14ac:dyDescent="0.25">
      <c r="A102" s="117"/>
      <c r="B102" s="118"/>
      <c r="C102" s="183"/>
      <c r="D102" s="183"/>
      <c r="E102" s="119"/>
      <c r="F102" s="119"/>
    </row>
    <row r="103" spans="1:6" x14ac:dyDescent="0.25">
      <c r="A103" s="117"/>
      <c r="B103" s="118"/>
      <c r="C103" s="183"/>
      <c r="D103" s="183"/>
      <c r="E103" s="119"/>
      <c r="F103" s="119"/>
    </row>
    <row r="104" spans="1:6" x14ac:dyDescent="0.25">
      <c r="A104" s="117"/>
      <c r="B104" s="118"/>
      <c r="C104" s="183"/>
      <c r="D104" s="183"/>
      <c r="E104" s="119"/>
      <c r="F104" s="119"/>
    </row>
    <row r="105" spans="1:6" x14ac:dyDescent="0.25">
      <c r="A105" s="117"/>
      <c r="B105" s="118"/>
      <c r="C105" s="183"/>
      <c r="D105" s="183"/>
      <c r="E105" s="119"/>
      <c r="F105" s="119"/>
    </row>
    <row r="106" spans="1:6" x14ac:dyDescent="0.25">
      <c r="A106" s="117"/>
      <c r="B106" s="118"/>
      <c r="C106" s="183"/>
      <c r="D106" s="183"/>
      <c r="E106" s="119"/>
      <c r="F106" s="119"/>
    </row>
    <row r="107" spans="1:6" x14ac:dyDescent="0.25">
      <c r="A107" s="117"/>
      <c r="B107" s="118"/>
      <c r="C107" s="183"/>
      <c r="D107" s="183"/>
      <c r="E107" s="119"/>
      <c r="F107" s="119"/>
    </row>
    <row r="108" spans="1:6" x14ac:dyDescent="0.25">
      <c r="A108" s="117"/>
      <c r="B108" s="118"/>
      <c r="C108" s="183"/>
      <c r="D108" s="183"/>
      <c r="E108" s="119"/>
      <c r="F108" s="119"/>
    </row>
    <row r="109" spans="1:6" x14ac:dyDescent="0.25">
      <c r="A109" s="117"/>
      <c r="B109" s="118"/>
      <c r="C109" s="183"/>
      <c r="D109" s="183"/>
      <c r="E109" s="119"/>
      <c r="F109" s="119"/>
    </row>
    <row r="110" spans="1:6" x14ac:dyDescent="0.25">
      <c r="A110" s="117"/>
      <c r="B110" s="118"/>
      <c r="C110" s="183"/>
      <c r="D110" s="183"/>
      <c r="E110" s="119"/>
      <c r="F110" s="119"/>
    </row>
    <row r="111" spans="1:6" x14ac:dyDescent="0.25">
      <c r="A111" s="117"/>
      <c r="B111" s="118"/>
      <c r="C111" s="183"/>
      <c r="D111" s="183"/>
      <c r="E111" s="119"/>
      <c r="F111" s="119"/>
    </row>
    <row r="112" spans="1:6" x14ac:dyDescent="0.25">
      <c r="A112" s="117"/>
      <c r="B112" s="118"/>
      <c r="C112" s="183"/>
      <c r="D112" s="183"/>
      <c r="E112" s="119"/>
      <c r="F112" s="119"/>
    </row>
    <row r="113" spans="1:6" x14ac:dyDescent="0.25">
      <c r="A113" s="117"/>
      <c r="B113" s="118"/>
      <c r="C113" s="183"/>
      <c r="D113" s="183"/>
      <c r="E113" s="119"/>
      <c r="F113" s="119"/>
    </row>
    <row r="114" spans="1:6" x14ac:dyDescent="0.25">
      <c r="A114" s="117"/>
      <c r="B114" s="118"/>
      <c r="C114" s="183"/>
      <c r="D114" s="183"/>
      <c r="E114" s="119"/>
      <c r="F114" s="119"/>
    </row>
    <row r="115" spans="1:6" x14ac:dyDescent="0.25">
      <c r="A115" s="117"/>
      <c r="B115" s="118"/>
      <c r="C115" s="183"/>
      <c r="D115" s="183"/>
      <c r="E115" s="119"/>
      <c r="F115" s="119"/>
    </row>
    <row r="116" spans="1:6" x14ac:dyDescent="0.25">
      <c r="A116" s="117"/>
      <c r="B116" s="118"/>
      <c r="C116" s="183"/>
      <c r="D116" s="183"/>
      <c r="E116" s="119"/>
      <c r="F116" s="119"/>
    </row>
    <row r="117" spans="1:6" x14ac:dyDescent="0.25">
      <c r="A117" s="117"/>
      <c r="B117" s="118"/>
      <c r="C117" s="183"/>
      <c r="D117" s="183"/>
      <c r="E117" s="119"/>
      <c r="F117" s="119"/>
    </row>
    <row r="118" spans="1:6" x14ac:dyDescent="0.25">
      <c r="A118" s="117"/>
      <c r="B118" s="118"/>
      <c r="C118" s="183"/>
      <c r="D118" s="183"/>
      <c r="E118" s="119"/>
      <c r="F118" s="119"/>
    </row>
    <row r="119" spans="1:6" x14ac:dyDescent="0.25">
      <c r="A119" s="117"/>
      <c r="B119" s="118"/>
      <c r="C119" s="183"/>
      <c r="D119" s="183"/>
      <c r="E119" s="119"/>
      <c r="F119" s="119"/>
    </row>
    <row r="120" spans="1:6" x14ac:dyDescent="0.25">
      <c r="A120" s="117"/>
      <c r="B120" s="118"/>
      <c r="C120" s="183"/>
      <c r="D120" s="183"/>
      <c r="E120" s="119"/>
      <c r="F120" s="119"/>
    </row>
    <row r="121" spans="1:6" x14ac:dyDescent="0.25">
      <c r="A121" s="117"/>
      <c r="B121" s="118"/>
      <c r="C121" s="183"/>
      <c r="D121" s="183"/>
      <c r="E121" s="119"/>
      <c r="F121" s="119"/>
    </row>
    <row r="122" spans="1:6" x14ac:dyDescent="0.25">
      <c r="A122" s="117"/>
      <c r="B122" s="118"/>
      <c r="C122" s="183"/>
      <c r="D122" s="183"/>
      <c r="E122" s="119"/>
      <c r="F122" s="119"/>
    </row>
    <row r="123" spans="1:6" x14ac:dyDescent="0.25">
      <c r="A123" s="117"/>
      <c r="B123" s="118"/>
      <c r="C123" s="183"/>
      <c r="D123" s="183"/>
      <c r="E123" s="119"/>
      <c r="F123" s="119"/>
    </row>
    <row r="124" spans="1:6" x14ac:dyDescent="0.25">
      <c r="A124" s="117"/>
      <c r="B124" s="118"/>
      <c r="C124" s="183"/>
      <c r="D124" s="183"/>
      <c r="E124" s="119"/>
      <c r="F124" s="119"/>
    </row>
    <row r="125" spans="1:6" x14ac:dyDescent="0.25">
      <c r="A125" s="117"/>
      <c r="B125" s="118"/>
      <c r="C125" s="183"/>
      <c r="D125" s="183"/>
      <c r="E125" s="119"/>
      <c r="F125" s="119"/>
    </row>
    <row r="126" spans="1:6" x14ac:dyDescent="0.25">
      <c r="A126" s="117"/>
      <c r="B126" s="118"/>
      <c r="C126" s="183"/>
      <c r="D126" s="183"/>
      <c r="E126" s="119"/>
      <c r="F126" s="119"/>
    </row>
    <row r="127" spans="1:6" x14ac:dyDescent="0.25">
      <c r="A127" s="117"/>
      <c r="B127" s="118"/>
      <c r="C127" s="183"/>
      <c r="D127" s="183"/>
      <c r="E127" s="119"/>
      <c r="F127" s="119"/>
    </row>
    <row r="128" spans="1:6" x14ac:dyDescent="0.25">
      <c r="A128" s="117"/>
      <c r="B128" s="118"/>
      <c r="C128" s="183"/>
      <c r="D128" s="183"/>
      <c r="E128" s="119"/>
      <c r="F128" s="119"/>
    </row>
    <row r="129" spans="1:6" x14ac:dyDescent="0.25">
      <c r="A129" s="117"/>
      <c r="B129" s="118"/>
      <c r="C129" s="183"/>
      <c r="D129" s="183"/>
      <c r="E129" s="119"/>
      <c r="F129" s="119"/>
    </row>
    <row r="130" spans="1:6" x14ac:dyDescent="0.25">
      <c r="A130" s="117"/>
      <c r="B130" s="118"/>
      <c r="C130" s="183"/>
      <c r="D130" s="183"/>
      <c r="E130" s="119"/>
      <c r="F130" s="119"/>
    </row>
    <row r="131" spans="1:6" x14ac:dyDescent="0.25">
      <c r="A131" s="117"/>
      <c r="B131" s="118"/>
      <c r="C131" s="183"/>
      <c r="D131" s="183"/>
      <c r="E131" s="119"/>
      <c r="F131" s="119"/>
    </row>
    <row r="132" spans="1:6" x14ac:dyDescent="0.25">
      <c r="A132" s="117"/>
      <c r="B132" s="118"/>
      <c r="C132" s="183"/>
      <c r="D132" s="183"/>
      <c r="E132" s="119"/>
      <c r="F132" s="119"/>
    </row>
    <row r="133" spans="1:6" x14ac:dyDescent="0.25">
      <c r="A133" s="117"/>
      <c r="B133" s="118"/>
      <c r="C133" s="183"/>
      <c r="D133" s="183"/>
      <c r="E133" s="119"/>
      <c r="F133" s="119"/>
    </row>
    <row r="134" spans="1:6" x14ac:dyDescent="0.25">
      <c r="A134" s="117"/>
      <c r="B134" s="118"/>
      <c r="C134" s="183"/>
      <c r="D134" s="183"/>
      <c r="E134" s="119"/>
      <c r="F134" s="119"/>
    </row>
    <row r="135" spans="1:6" x14ac:dyDescent="0.25">
      <c r="A135" s="117"/>
      <c r="B135" s="118"/>
      <c r="C135" s="183"/>
      <c r="D135" s="183"/>
      <c r="E135" s="119"/>
      <c r="F135" s="119"/>
    </row>
    <row r="136" spans="1:6" x14ac:dyDescent="0.25">
      <c r="A136" s="117"/>
      <c r="B136" s="118"/>
      <c r="C136" s="183"/>
      <c r="D136" s="183"/>
      <c r="E136" s="119"/>
      <c r="F136" s="119"/>
    </row>
    <row r="137" spans="1:6" x14ac:dyDescent="0.25">
      <c r="A137" s="117"/>
      <c r="B137" s="118"/>
      <c r="C137" s="183"/>
      <c r="D137" s="183"/>
      <c r="E137" s="119"/>
      <c r="F137" s="119"/>
    </row>
    <row r="138" spans="1:6" x14ac:dyDescent="0.25">
      <c r="A138" s="117"/>
      <c r="B138" s="118"/>
      <c r="C138" s="183"/>
      <c r="D138" s="183"/>
      <c r="E138" s="119"/>
      <c r="F138" s="119"/>
    </row>
    <row r="139" spans="1:6" x14ac:dyDescent="0.25">
      <c r="A139" s="117"/>
      <c r="B139" s="118"/>
      <c r="C139" s="183"/>
      <c r="D139" s="183"/>
      <c r="E139" s="119"/>
      <c r="F139" s="119"/>
    </row>
    <row r="140" spans="1:6" x14ac:dyDescent="0.25">
      <c r="A140" s="117"/>
      <c r="B140" s="118"/>
      <c r="C140" s="183"/>
      <c r="D140" s="183"/>
      <c r="E140" s="119"/>
      <c r="F140" s="119"/>
    </row>
    <row r="141" spans="1:6" x14ac:dyDescent="0.25">
      <c r="A141" s="117"/>
      <c r="B141" s="118"/>
      <c r="C141" s="183"/>
      <c r="D141" s="183"/>
      <c r="E141" s="119"/>
      <c r="F141" s="119"/>
    </row>
    <row r="142" spans="1:6" x14ac:dyDescent="0.25">
      <c r="A142" s="117"/>
      <c r="B142" s="118"/>
      <c r="C142" s="183"/>
      <c r="D142" s="183"/>
      <c r="E142" s="119"/>
      <c r="F142" s="119"/>
    </row>
    <row r="143" spans="1:6" x14ac:dyDescent="0.25">
      <c r="A143" s="117"/>
      <c r="B143" s="118"/>
      <c r="C143" s="183"/>
      <c r="D143" s="183"/>
      <c r="E143" s="119"/>
      <c r="F143" s="119"/>
    </row>
    <row r="144" spans="1:6" x14ac:dyDescent="0.25">
      <c r="A144" s="117"/>
      <c r="B144" s="118"/>
      <c r="C144" s="183"/>
      <c r="D144" s="183"/>
      <c r="E144" s="119"/>
      <c r="F144" s="119"/>
    </row>
    <row r="145" spans="1:6" x14ac:dyDescent="0.25">
      <c r="A145" s="117"/>
      <c r="B145" s="118"/>
      <c r="C145" s="183"/>
      <c r="D145" s="183"/>
      <c r="E145" s="119"/>
      <c r="F145" s="119"/>
    </row>
    <row r="146" spans="1:6" x14ac:dyDescent="0.25">
      <c r="A146" s="117"/>
      <c r="B146" s="118"/>
      <c r="C146" s="183"/>
      <c r="D146" s="183"/>
      <c r="E146" s="119"/>
      <c r="F146" s="119"/>
    </row>
    <row r="147" spans="1:6" x14ac:dyDescent="0.25">
      <c r="A147" s="117"/>
      <c r="B147" s="118"/>
      <c r="C147" s="183"/>
      <c r="D147" s="183"/>
      <c r="E147" s="119"/>
      <c r="F147" s="119"/>
    </row>
    <row r="148" spans="1:6" x14ac:dyDescent="0.25">
      <c r="A148" s="117"/>
      <c r="B148" s="118"/>
      <c r="C148" s="183"/>
      <c r="D148" s="183"/>
      <c r="E148" s="119"/>
      <c r="F148" s="119"/>
    </row>
    <row r="149" spans="1:6" x14ac:dyDescent="0.25">
      <c r="A149" s="117"/>
      <c r="B149" s="118"/>
      <c r="C149" s="183"/>
      <c r="D149" s="183"/>
      <c r="E149" s="119"/>
      <c r="F149" s="119"/>
    </row>
    <row r="150" spans="1:6" x14ac:dyDescent="0.25">
      <c r="A150" s="117"/>
      <c r="B150" s="118"/>
      <c r="C150" s="183"/>
      <c r="D150" s="183"/>
      <c r="E150" s="119"/>
      <c r="F150" s="119"/>
    </row>
    <row r="151" spans="1:6" x14ac:dyDescent="0.25">
      <c r="A151" s="117"/>
      <c r="B151" s="118"/>
      <c r="C151" s="183"/>
      <c r="D151" s="183"/>
      <c r="E151" s="119"/>
      <c r="F151" s="119"/>
    </row>
    <row r="152" spans="1:6" x14ac:dyDescent="0.25">
      <c r="A152" s="117"/>
      <c r="B152" s="118"/>
      <c r="C152" s="183"/>
      <c r="D152" s="183"/>
      <c r="E152" s="119"/>
      <c r="F152" s="119"/>
    </row>
    <row r="153" spans="1:6" x14ac:dyDescent="0.25">
      <c r="A153" s="117"/>
      <c r="B153" s="118"/>
      <c r="C153" s="183"/>
      <c r="D153" s="183"/>
      <c r="E153" s="119"/>
      <c r="F153" s="119"/>
    </row>
    <row r="154" spans="1:6" x14ac:dyDescent="0.25">
      <c r="A154" s="117"/>
      <c r="B154" s="118"/>
      <c r="C154" s="183"/>
      <c r="D154" s="183"/>
      <c r="E154" s="119"/>
      <c r="F154" s="119"/>
    </row>
    <row r="155" spans="1:6" x14ac:dyDescent="0.25">
      <c r="A155" s="117"/>
      <c r="B155" s="118"/>
      <c r="C155" s="183"/>
      <c r="D155" s="183"/>
      <c r="E155" s="119"/>
      <c r="F155" s="119"/>
    </row>
    <row r="156" spans="1:6" x14ac:dyDescent="0.25">
      <c r="A156" s="117"/>
      <c r="B156" s="118"/>
      <c r="C156" s="183"/>
      <c r="D156" s="183"/>
      <c r="E156" s="119"/>
      <c r="F156" s="119"/>
    </row>
    <row r="157" spans="1:6" x14ac:dyDescent="0.25">
      <c r="A157" s="117"/>
      <c r="B157" s="118"/>
      <c r="C157" s="183"/>
      <c r="D157" s="183"/>
      <c r="E157" s="119"/>
      <c r="F157" s="119"/>
    </row>
    <row r="158" spans="1:6" x14ac:dyDescent="0.25">
      <c r="A158" s="117"/>
      <c r="B158" s="118"/>
      <c r="C158" s="183"/>
      <c r="D158" s="183"/>
      <c r="E158" s="119"/>
      <c r="F158" s="119"/>
    </row>
    <row r="159" spans="1:6" x14ac:dyDescent="0.25">
      <c r="A159" s="117"/>
      <c r="B159" s="118"/>
      <c r="C159" s="183"/>
      <c r="D159" s="183"/>
      <c r="E159" s="119"/>
      <c r="F159" s="119"/>
    </row>
    <row r="160" spans="1:6" x14ac:dyDescent="0.25">
      <c r="A160" s="117"/>
      <c r="B160" s="118"/>
      <c r="C160" s="183"/>
      <c r="D160" s="183"/>
      <c r="E160" s="119"/>
      <c r="F160" s="119"/>
    </row>
    <row r="161" spans="1:6" x14ac:dyDescent="0.25">
      <c r="A161" s="117"/>
      <c r="B161" s="118"/>
      <c r="C161" s="183"/>
      <c r="D161" s="183"/>
      <c r="E161" s="119"/>
      <c r="F161" s="119"/>
    </row>
    <row r="162" spans="1:6" x14ac:dyDescent="0.25">
      <c r="A162" s="117"/>
      <c r="B162" s="118"/>
      <c r="C162" s="183"/>
      <c r="D162" s="183"/>
      <c r="E162" s="119"/>
      <c r="F162" s="119"/>
    </row>
    <row r="163" spans="1:6" x14ac:dyDescent="0.25">
      <c r="A163" s="117"/>
      <c r="B163" s="118"/>
      <c r="C163" s="183"/>
      <c r="D163" s="183"/>
      <c r="E163" s="119"/>
      <c r="F163" s="119"/>
    </row>
    <row r="164" spans="1:6" x14ac:dyDescent="0.25">
      <c r="A164" s="117"/>
      <c r="B164" s="118"/>
      <c r="C164" s="183"/>
      <c r="D164" s="183"/>
      <c r="E164" s="119"/>
      <c r="F164" s="119"/>
    </row>
    <row r="165" spans="1:6" x14ac:dyDescent="0.25">
      <c r="A165" s="117"/>
      <c r="B165" s="118"/>
      <c r="C165" s="183"/>
      <c r="D165" s="183"/>
      <c r="E165" s="119"/>
      <c r="F165" s="119"/>
    </row>
    <row r="166" spans="1:6" x14ac:dyDescent="0.25">
      <c r="A166" s="117"/>
      <c r="B166" s="118"/>
      <c r="C166" s="183"/>
      <c r="D166" s="183"/>
      <c r="E166" s="119"/>
      <c r="F166" s="119"/>
    </row>
    <row r="167" spans="1:6" x14ac:dyDescent="0.25">
      <c r="A167" s="117"/>
      <c r="B167" s="118"/>
      <c r="C167" s="183"/>
      <c r="D167" s="183"/>
      <c r="E167" s="119"/>
      <c r="F167" s="119"/>
    </row>
    <row r="168" spans="1:6" x14ac:dyDescent="0.25">
      <c r="A168" s="117"/>
      <c r="B168" s="118"/>
      <c r="C168" s="183"/>
      <c r="D168" s="183"/>
      <c r="E168" s="119"/>
      <c r="F168" s="119"/>
    </row>
    <row r="169" spans="1:6" x14ac:dyDescent="0.25">
      <c r="A169" s="117"/>
      <c r="B169" s="118"/>
      <c r="C169" s="183"/>
      <c r="D169" s="183"/>
      <c r="E169" s="119"/>
      <c r="F169" s="119"/>
    </row>
    <row r="170" spans="1:6" x14ac:dyDescent="0.25">
      <c r="A170" s="117"/>
      <c r="B170" s="118"/>
      <c r="C170" s="183"/>
      <c r="D170" s="183"/>
      <c r="E170" s="119"/>
      <c r="F170" s="119"/>
    </row>
    <row r="171" spans="1:6" x14ac:dyDescent="0.25">
      <c r="A171" s="117"/>
      <c r="B171" s="118"/>
      <c r="C171" s="183"/>
      <c r="D171" s="183"/>
      <c r="E171" s="119"/>
      <c r="F171" s="119"/>
    </row>
    <row r="172" spans="1:6" x14ac:dyDescent="0.25">
      <c r="A172" s="117"/>
      <c r="B172" s="118"/>
      <c r="C172" s="183"/>
      <c r="D172" s="183"/>
      <c r="E172" s="119"/>
      <c r="F172" s="119"/>
    </row>
    <row r="173" spans="1:6" x14ac:dyDescent="0.25">
      <c r="A173" s="117"/>
      <c r="B173" s="118"/>
      <c r="C173" s="183"/>
      <c r="D173" s="183"/>
      <c r="E173" s="119"/>
      <c r="F173" s="119"/>
    </row>
    <row r="174" spans="1:6" x14ac:dyDescent="0.25">
      <c r="A174" s="117"/>
      <c r="B174" s="118"/>
      <c r="C174" s="183"/>
      <c r="D174" s="183"/>
      <c r="E174" s="119"/>
      <c r="F174" s="119"/>
    </row>
    <row r="175" spans="1:6" x14ac:dyDescent="0.25">
      <c r="A175" s="117"/>
      <c r="B175" s="118"/>
      <c r="C175" s="183"/>
      <c r="D175" s="183"/>
      <c r="E175" s="119"/>
      <c r="F175" s="119"/>
    </row>
    <row r="176" spans="1:6" x14ac:dyDescent="0.25">
      <c r="A176" s="117"/>
      <c r="B176" s="118"/>
      <c r="C176" s="183"/>
      <c r="D176" s="183"/>
      <c r="E176" s="119"/>
      <c r="F176" s="119"/>
    </row>
    <row r="177" spans="1:6" x14ac:dyDescent="0.25">
      <c r="A177" s="117"/>
      <c r="B177" s="118"/>
      <c r="C177" s="183"/>
      <c r="D177" s="183"/>
      <c r="E177" s="119"/>
      <c r="F177" s="119"/>
    </row>
    <row r="178" spans="1:6" x14ac:dyDescent="0.25">
      <c r="A178" s="117"/>
      <c r="B178" s="118"/>
      <c r="C178" s="183"/>
      <c r="D178" s="183"/>
      <c r="E178" s="119"/>
      <c r="F178" s="119"/>
    </row>
    <row r="179" spans="1:6" x14ac:dyDescent="0.25">
      <c r="A179" s="117"/>
      <c r="B179" s="118"/>
      <c r="C179" s="183"/>
      <c r="D179" s="183"/>
      <c r="E179" s="119"/>
      <c r="F179" s="119"/>
    </row>
    <row r="180" spans="1:6" x14ac:dyDescent="0.25">
      <c r="A180" s="117"/>
      <c r="B180" s="118"/>
      <c r="C180" s="183"/>
      <c r="D180" s="183"/>
      <c r="E180" s="119"/>
      <c r="F180" s="119"/>
    </row>
    <row r="181" spans="1:6" x14ac:dyDescent="0.25">
      <c r="A181" s="117"/>
      <c r="B181" s="118"/>
      <c r="C181" s="183"/>
      <c r="D181" s="183"/>
      <c r="E181" s="119"/>
      <c r="F181" s="119"/>
    </row>
    <row r="182" spans="1:6" x14ac:dyDescent="0.25">
      <c r="A182" s="117"/>
      <c r="B182" s="118"/>
      <c r="C182" s="183"/>
      <c r="D182" s="183"/>
      <c r="E182" s="119"/>
      <c r="F182" s="119"/>
    </row>
    <row r="183" spans="1:6" x14ac:dyDescent="0.25">
      <c r="A183" s="117"/>
      <c r="B183" s="118"/>
      <c r="C183" s="183"/>
      <c r="D183" s="183"/>
      <c r="E183" s="119"/>
      <c r="F183" s="119"/>
    </row>
    <row r="184" spans="1:6" x14ac:dyDescent="0.25">
      <c r="A184" s="117"/>
      <c r="B184" s="118"/>
      <c r="C184" s="183"/>
      <c r="D184" s="183"/>
      <c r="E184" s="119"/>
      <c r="F184" s="119"/>
    </row>
    <row r="185" spans="1:6" x14ac:dyDescent="0.25">
      <c r="A185" s="117"/>
      <c r="B185" s="118"/>
      <c r="C185" s="183"/>
      <c r="D185" s="183"/>
      <c r="E185" s="119"/>
      <c r="F185" s="119"/>
    </row>
    <row r="186" spans="1:6" x14ac:dyDescent="0.25">
      <c r="A186" s="117"/>
      <c r="B186" s="118"/>
      <c r="C186" s="183"/>
      <c r="D186" s="183"/>
      <c r="E186" s="119"/>
      <c r="F186" s="119"/>
    </row>
    <row r="187" spans="1:6" x14ac:dyDescent="0.25">
      <c r="A187" s="117"/>
      <c r="B187" s="118"/>
      <c r="C187" s="183"/>
      <c r="D187" s="183"/>
      <c r="E187" s="119"/>
      <c r="F187" s="119"/>
    </row>
    <row r="188" spans="1:6" x14ac:dyDescent="0.25">
      <c r="A188" s="117"/>
      <c r="B188" s="118"/>
      <c r="C188" s="183"/>
      <c r="D188" s="183"/>
      <c r="E188" s="119"/>
      <c r="F188" s="119"/>
    </row>
    <row r="189" spans="1:6" x14ac:dyDescent="0.25">
      <c r="A189" s="117"/>
      <c r="B189" s="118"/>
      <c r="C189" s="183"/>
      <c r="D189" s="183"/>
      <c r="E189" s="119"/>
      <c r="F189" s="119"/>
    </row>
    <row r="190" spans="1:6" x14ac:dyDescent="0.25">
      <c r="A190" s="117"/>
      <c r="B190" s="118"/>
      <c r="C190" s="183"/>
      <c r="D190" s="183"/>
      <c r="E190" s="119"/>
      <c r="F190" s="119"/>
    </row>
    <row r="191" spans="1:6" x14ac:dyDescent="0.25">
      <c r="A191" s="117"/>
      <c r="B191" s="118"/>
      <c r="C191" s="183"/>
      <c r="D191" s="183"/>
      <c r="E191" s="119"/>
      <c r="F191" s="119"/>
    </row>
    <row r="192" spans="1:6" x14ac:dyDescent="0.25">
      <c r="A192" s="117"/>
      <c r="B192" s="118"/>
      <c r="C192" s="183"/>
      <c r="D192" s="183"/>
      <c r="E192" s="119"/>
      <c r="F192" s="119"/>
    </row>
    <row r="193" spans="1:6" x14ac:dyDescent="0.25">
      <c r="A193" s="117"/>
      <c r="B193" s="118"/>
      <c r="C193" s="183"/>
      <c r="D193" s="183"/>
      <c r="E193" s="119"/>
      <c r="F193" s="119"/>
    </row>
    <row r="194" spans="1:6" x14ac:dyDescent="0.25">
      <c r="A194" s="117"/>
      <c r="B194" s="118"/>
      <c r="C194" s="183"/>
      <c r="D194" s="183"/>
      <c r="E194" s="119"/>
      <c r="F194" s="119"/>
    </row>
    <row r="195" spans="1:6" x14ac:dyDescent="0.25">
      <c r="A195" s="117"/>
      <c r="B195" s="118"/>
      <c r="C195" s="183"/>
      <c r="D195" s="183"/>
      <c r="E195" s="119"/>
      <c r="F195" s="119"/>
    </row>
    <row r="196" spans="1:6" x14ac:dyDescent="0.25">
      <c r="A196" s="117"/>
      <c r="B196" s="118"/>
      <c r="C196" s="183"/>
      <c r="D196" s="183"/>
      <c r="E196" s="119"/>
      <c r="F196" s="119"/>
    </row>
    <row r="197" spans="1:6" x14ac:dyDescent="0.25">
      <c r="A197" s="120"/>
      <c r="B197" s="121"/>
      <c r="C197" s="182"/>
      <c r="D197" s="182"/>
      <c r="E197" s="119"/>
      <c r="F197" s="119"/>
    </row>
    <row r="198" spans="1:6" x14ac:dyDescent="0.25">
      <c r="A198" s="120"/>
      <c r="B198" s="121"/>
      <c r="C198" s="182"/>
      <c r="D198" s="182"/>
      <c r="E198" s="119"/>
      <c r="F198" s="119"/>
    </row>
    <row r="199" spans="1:6" x14ac:dyDescent="0.25">
      <c r="A199" s="120"/>
      <c r="B199" s="121"/>
      <c r="C199" s="182"/>
      <c r="D199" s="182"/>
      <c r="E199" s="119"/>
      <c r="F199" s="119"/>
    </row>
    <row r="200" spans="1:6" x14ac:dyDescent="0.25">
      <c r="A200" s="120"/>
      <c r="B200" s="121"/>
      <c r="C200" s="182"/>
      <c r="D200" s="182"/>
      <c r="E200" s="119"/>
      <c r="F200" s="119"/>
    </row>
    <row r="201" spans="1:6" x14ac:dyDescent="0.25">
      <c r="A201" s="120"/>
      <c r="B201" s="121"/>
      <c r="C201" s="182"/>
      <c r="D201" s="182"/>
      <c r="E201" s="119"/>
      <c r="F201" s="119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C11" sqref="C11:E1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0</v>
      </c>
      <c r="B1" s="31" t="s">
        <v>156</v>
      </c>
      <c r="R1" s="2"/>
      <c r="U1" s="31"/>
    </row>
    <row r="2" spans="1:21" x14ac:dyDescent="0.25">
      <c r="A2"/>
      <c r="D2" s="125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6"/>
    </row>
    <row r="7" spans="1:21" x14ac:dyDescent="0.25">
      <c r="A7" s="28"/>
      <c r="B7" s="15"/>
      <c r="C7" s="15"/>
      <c r="F7" s="116"/>
      <c r="K7" s="108"/>
      <c r="L7" s="108"/>
      <c r="M7" s="108"/>
      <c r="N7" s="108"/>
      <c r="O7" s="108"/>
      <c r="P7" s="108"/>
    </row>
    <row r="8" spans="1:21" x14ac:dyDescent="0.25">
      <c r="A8" s="14">
        <f>FMFPlayerBenefitsTotal</f>
        <v>0</v>
      </c>
      <c r="B8" s="36" t="s">
        <v>126</v>
      </c>
      <c r="E8"/>
      <c r="F8" s="116"/>
      <c r="K8" s="108"/>
      <c r="L8" s="108"/>
      <c r="M8" s="108"/>
      <c r="N8" s="108"/>
      <c r="O8" s="108"/>
      <c r="P8" s="108"/>
    </row>
    <row r="9" spans="1:21" x14ac:dyDescent="0.25">
      <c r="A9" s="28"/>
      <c r="B9" s="15"/>
      <c r="C9" s="15"/>
      <c r="E9" s="2" t="s">
        <v>122</v>
      </c>
      <c r="F9" s="116"/>
      <c r="K9" s="108"/>
      <c r="L9" s="108"/>
      <c r="M9" s="108"/>
      <c r="N9" s="108"/>
      <c r="O9" s="108"/>
      <c r="P9" s="108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10" t="s">
        <v>121</v>
      </c>
      <c r="F10" s="114"/>
    </row>
    <row r="11" spans="1:21" x14ac:dyDescent="0.25">
      <c r="A11" s="79"/>
      <c r="B11" s="73"/>
      <c r="C11" s="73"/>
      <c r="D11" s="74"/>
      <c r="E11" s="111"/>
      <c r="F11" s="115"/>
      <c r="G11" s="71"/>
    </row>
    <row r="12" spans="1:21" x14ac:dyDescent="0.25">
      <c r="A12" s="81"/>
      <c r="B12" s="76"/>
      <c r="C12" s="76"/>
      <c r="D12" s="77"/>
      <c r="E12" s="111"/>
      <c r="F12" s="115"/>
      <c r="G12" s="71"/>
    </row>
    <row r="13" spans="1:21" x14ac:dyDescent="0.25">
      <c r="A13" s="79"/>
      <c r="B13" s="73"/>
      <c r="C13" s="73"/>
      <c r="D13" s="74"/>
      <c r="E13" s="111"/>
      <c r="F13" s="115"/>
      <c r="G13" s="71"/>
    </row>
    <row r="14" spans="1:21" x14ac:dyDescent="0.25">
      <c r="A14" s="79"/>
      <c r="B14" s="73"/>
      <c r="C14" s="73"/>
      <c r="D14" s="74"/>
      <c r="E14" s="111"/>
      <c r="F14" s="115"/>
    </row>
    <row r="15" spans="1:21" x14ac:dyDescent="0.25">
      <c r="A15" s="79"/>
      <c r="B15" s="73"/>
      <c r="C15" s="73"/>
      <c r="D15" s="74"/>
      <c r="E15" s="111"/>
      <c r="F15" s="115"/>
    </row>
    <row r="16" spans="1:21" x14ac:dyDescent="0.25">
      <c r="A16" s="79"/>
      <c r="B16" s="73"/>
      <c r="C16" s="73"/>
      <c r="D16" s="74"/>
      <c r="E16" s="111"/>
      <c r="F16" s="115"/>
    </row>
    <row r="17" spans="1:6" x14ac:dyDescent="0.25">
      <c r="A17" s="79"/>
      <c r="B17" s="73"/>
      <c r="C17" s="73"/>
      <c r="D17" s="74"/>
      <c r="E17" s="111"/>
      <c r="F17" s="115"/>
    </row>
    <row r="18" spans="1:6" x14ac:dyDescent="0.25">
      <c r="A18" s="79"/>
      <c r="B18" s="73"/>
      <c r="C18" s="73"/>
      <c r="D18" s="78"/>
      <c r="E18" s="111"/>
      <c r="F18" s="115"/>
    </row>
    <row r="19" spans="1:6" x14ac:dyDescent="0.25">
      <c r="A19" s="81"/>
      <c r="B19" s="76"/>
      <c r="C19" s="76"/>
      <c r="D19" s="77"/>
      <c r="E19" s="112"/>
      <c r="F19" s="115"/>
    </row>
    <row r="20" spans="1:6" x14ac:dyDescent="0.25">
      <c r="A20" s="79"/>
      <c r="B20" s="73"/>
      <c r="C20" s="73"/>
      <c r="D20" s="74"/>
      <c r="E20" s="111"/>
      <c r="F20" s="115"/>
    </row>
    <row r="21" spans="1:6" x14ac:dyDescent="0.25">
      <c r="A21" s="79"/>
      <c r="B21" s="73"/>
      <c r="C21" s="73"/>
      <c r="D21" s="74"/>
      <c r="E21" s="111"/>
      <c r="F21" s="115"/>
    </row>
    <row r="22" spans="1:6" x14ac:dyDescent="0.25">
      <c r="A22" s="79"/>
      <c r="B22" s="73"/>
      <c r="C22" s="73"/>
      <c r="D22" s="74"/>
      <c r="E22" s="111"/>
      <c r="F22" s="115"/>
    </row>
    <row r="23" spans="1:6" x14ac:dyDescent="0.25">
      <c r="A23" s="79"/>
      <c r="B23" s="73"/>
      <c r="C23" s="73"/>
      <c r="D23" s="74"/>
      <c r="E23" s="111"/>
      <c r="F23" s="115"/>
    </row>
    <row r="24" spans="1:6" x14ac:dyDescent="0.25">
      <c r="A24" s="79"/>
      <c r="B24" s="73"/>
      <c r="C24" s="73"/>
      <c r="D24" s="74"/>
      <c r="E24" s="111"/>
      <c r="F24" s="115"/>
    </row>
    <row r="25" spans="1:6" x14ac:dyDescent="0.25">
      <c r="A25" s="79"/>
      <c r="B25" s="73"/>
      <c r="C25" s="73"/>
      <c r="D25" s="74"/>
      <c r="E25" s="111"/>
      <c r="F25" s="115"/>
    </row>
    <row r="26" spans="1:6" x14ac:dyDescent="0.25">
      <c r="A26" s="79"/>
      <c r="B26" s="73"/>
      <c r="C26" s="73"/>
      <c r="D26" s="74"/>
      <c r="E26" s="111"/>
      <c r="F26" s="115"/>
    </row>
    <row r="27" spans="1:6" x14ac:dyDescent="0.25">
      <c r="A27" s="79"/>
      <c r="B27" s="73"/>
      <c r="C27" s="73"/>
      <c r="D27" s="74"/>
      <c r="E27" s="111"/>
      <c r="F27" s="115"/>
    </row>
    <row r="28" spans="1:6" x14ac:dyDescent="0.25">
      <c r="A28" s="79"/>
      <c r="B28" s="73"/>
      <c r="C28" s="73"/>
      <c r="D28" s="74"/>
      <c r="E28" s="111"/>
      <c r="F28" s="115"/>
    </row>
    <row r="29" spans="1:6" x14ac:dyDescent="0.25">
      <c r="A29" s="79"/>
      <c r="B29" s="73"/>
      <c r="C29" s="73"/>
      <c r="D29" s="74"/>
      <c r="E29" s="111"/>
      <c r="F29" s="115"/>
    </row>
    <row r="30" spans="1:6" x14ac:dyDescent="0.25">
      <c r="A30" s="79"/>
      <c r="B30" s="73"/>
      <c r="C30" s="73"/>
      <c r="D30" s="74"/>
      <c r="E30" s="111"/>
      <c r="F30" s="115"/>
    </row>
    <row r="31" spans="1:6" x14ac:dyDescent="0.25">
      <c r="A31" s="79"/>
      <c r="B31" s="73"/>
      <c r="C31" s="73"/>
      <c r="D31" s="74"/>
      <c r="E31" s="111"/>
      <c r="F31" s="115"/>
    </row>
    <row r="32" spans="1:6" x14ac:dyDescent="0.25">
      <c r="A32" s="82"/>
      <c r="B32" s="83"/>
      <c r="C32" s="83"/>
      <c r="D32" s="84"/>
      <c r="E32" s="111"/>
      <c r="F32" s="115"/>
    </row>
    <row r="33" spans="1:6" x14ac:dyDescent="0.25">
      <c r="A33" s="79"/>
      <c r="B33" s="73"/>
      <c r="C33" s="73"/>
      <c r="D33" s="74"/>
      <c r="E33" s="111"/>
      <c r="F33" s="115"/>
    </row>
    <row r="34" spans="1:6" x14ac:dyDescent="0.25">
      <c r="A34" s="79"/>
      <c r="B34" s="73"/>
      <c r="C34" s="73"/>
      <c r="D34" s="74"/>
      <c r="E34" s="111"/>
      <c r="F34" s="115"/>
    </row>
    <row r="35" spans="1:6" x14ac:dyDescent="0.25">
      <c r="A35" s="79"/>
      <c r="B35" s="73"/>
      <c r="C35" s="73"/>
      <c r="D35" s="74"/>
      <c r="E35" s="111"/>
      <c r="F35" s="115"/>
    </row>
    <row r="36" spans="1:6" x14ac:dyDescent="0.25">
      <c r="A36" s="79"/>
      <c r="B36" s="73"/>
      <c r="C36" s="73"/>
      <c r="D36" s="74"/>
      <c r="E36" s="111"/>
      <c r="F36" s="115"/>
    </row>
    <row r="37" spans="1:6" x14ac:dyDescent="0.25">
      <c r="A37" s="79"/>
      <c r="B37" s="73"/>
      <c r="C37" s="73"/>
      <c r="D37" s="74"/>
      <c r="E37" s="111"/>
      <c r="F37" s="115"/>
    </row>
    <row r="38" spans="1:6" x14ac:dyDescent="0.25">
      <c r="A38" s="79"/>
      <c r="B38" s="73"/>
      <c r="C38" s="73"/>
      <c r="D38" s="74"/>
      <c r="E38" s="111"/>
      <c r="F38" s="115"/>
    </row>
    <row r="39" spans="1:6" x14ac:dyDescent="0.25">
      <c r="A39" s="79"/>
      <c r="B39" s="73"/>
      <c r="C39" s="73"/>
      <c r="D39" s="74"/>
      <c r="E39" s="111"/>
      <c r="F39" s="115"/>
    </row>
    <row r="40" spans="1:6" x14ac:dyDescent="0.25">
      <c r="A40" s="79"/>
      <c r="B40" s="73"/>
      <c r="C40" s="73"/>
      <c r="D40" s="74"/>
      <c r="E40" s="111"/>
      <c r="F40" s="115"/>
    </row>
    <row r="41" spans="1:6" x14ac:dyDescent="0.25">
      <c r="A41" s="79"/>
      <c r="B41" s="73"/>
      <c r="C41" s="73"/>
      <c r="D41" s="74"/>
      <c r="E41" s="111"/>
      <c r="F41" s="115"/>
    </row>
    <row r="42" spans="1:6" x14ac:dyDescent="0.25">
      <c r="A42" s="79"/>
      <c r="B42" s="73"/>
      <c r="C42" s="73"/>
      <c r="D42" s="74"/>
      <c r="E42" s="111"/>
      <c r="F42" s="115"/>
    </row>
    <row r="43" spans="1:6" x14ac:dyDescent="0.25">
      <c r="A43" s="79"/>
      <c r="B43" s="73"/>
      <c r="C43" s="73"/>
      <c r="D43" s="74"/>
      <c r="E43" s="111"/>
      <c r="F43" s="115"/>
    </row>
    <row r="44" spans="1:6" x14ac:dyDescent="0.25">
      <c r="A44" s="79"/>
      <c r="B44" s="73"/>
      <c r="C44" s="73"/>
      <c r="D44" s="74"/>
      <c r="E44" s="111"/>
      <c r="F44" s="115"/>
    </row>
    <row r="45" spans="1:6" x14ac:dyDescent="0.25">
      <c r="A45" s="79"/>
      <c r="B45" s="73"/>
      <c r="C45" s="73"/>
      <c r="D45" s="74"/>
      <c r="E45" s="111"/>
      <c r="F45" s="115"/>
    </row>
    <row r="46" spans="1:6" x14ac:dyDescent="0.25">
      <c r="A46" s="79"/>
      <c r="B46" s="73"/>
      <c r="C46" s="73"/>
      <c r="D46" s="74"/>
      <c r="E46" s="111"/>
      <c r="F46" s="115"/>
    </row>
    <row r="47" spans="1:6" x14ac:dyDescent="0.25">
      <c r="A47" s="79"/>
      <c r="B47" s="73"/>
      <c r="C47" s="73"/>
      <c r="D47" s="74"/>
      <c r="E47" s="111"/>
      <c r="F47" s="115"/>
    </row>
    <row r="48" spans="1:6" x14ac:dyDescent="0.25">
      <c r="A48" s="79"/>
      <c r="B48" s="73"/>
      <c r="C48" s="73"/>
      <c r="D48" s="74"/>
      <c r="E48" s="111"/>
      <c r="F48" s="115"/>
    </row>
    <row r="49" spans="1:6" x14ac:dyDescent="0.25">
      <c r="A49" s="79"/>
      <c r="B49" s="73"/>
      <c r="C49" s="73"/>
      <c r="D49" s="74"/>
      <c r="E49" s="111"/>
      <c r="F49" s="115"/>
    </row>
    <row r="50" spans="1:6" x14ac:dyDescent="0.25">
      <c r="A50" s="81"/>
      <c r="B50" s="76"/>
      <c r="C50" s="76"/>
      <c r="D50" s="77"/>
      <c r="E50" s="111"/>
      <c r="F50" s="115"/>
    </row>
    <row r="51" spans="1:6" x14ac:dyDescent="0.25">
      <c r="A51" s="79"/>
      <c r="B51" s="73"/>
      <c r="C51" s="73"/>
      <c r="D51" s="74"/>
      <c r="E51" s="111"/>
      <c r="F51" s="115"/>
    </row>
    <row r="52" spans="1:6" x14ac:dyDescent="0.25">
      <c r="A52" s="79"/>
      <c r="B52" s="73"/>
      <c r="C52" s="73"/>
      <c r="D52" s="74"/>
      <c r="E52" s="111"/>
      <c r="F52" s="115"/>
    </row>
    <row r="53" spans="1:6" x14ac:dyDescent="0.25">
      <c r="A53" s="79"/>
      <c r="B53" s="73"/>
      <c r="C53" s="73"/>
      <c r="D53" s="74"/>
      <c r="E53" s="111"/>
      <c r="F53" s="115"/>
    </row>
    <row r="54" spans="1:6" x14ac:dyDescent="0.25">
      <c r="A54" s="79"/>
      <c r="B54" s="73"/>
      <c r="C54" s="73"/>
      <c r="D54" s="74"/>
      <c r="E54" s="111"/>
      <c r="F54" s="115"/>
    </row>
    <row r="55" spans="1:6" x14ac:dyDescent="0.25">
      <c r="A55" s="79"/>
      <c r="B55" s="73"/>
      <c r="C55" s="73"/>
      <c r="D55" s="74"/>
      <c r="E55" s="111"/>
      <c r="F55" s="115"/>
    </row>
    <row r="56" spans="1:6" x14ac:dyDescent="0.25">
      <c r="A56" s="79"/>
      <c r="B56" s="73"/>
      <c r="C56" s="73"/>
      <c r="D56" s="74"/>
      <c r="E56" s="80"/>
      <c r="F56" s="115"/>
    </row>
    <row r="57" spans="1:6" x14ac:dyDescent="0.25">
      <c r="A57" s="122"/>
      <c r="B57" s="118"/>
      <c r="C57" s="118"/>
      <c r="D57" s="119"/>
      <c r="E57" s="123"/>
      <c r="F57" s="113"/>
    </row>
    <row r="58" spans="1:6" x14ac:dyDescent="0.25">
      <c r="A58" s="122"/>
      <c r="B58" s="118"/>
      <c r="C58" s="118"/>
      <c r="D58" s="119"/>
      <c r="E58" s="123"/>
      <c r="F58" s="113"/>
    </row>
    <row r="59" spans="1:6" x14ac:dyDescent="0.25">
      <c r="A59" s="122"/>
      <c r="B59" s="118"/>
      <c r="C59" s="118"/>
      <c r="D59" s="119"/>
      <c r="E59" s="123"/>
      <c r="F59" s="113"/>
    </row>
    <row r="60" spans="1:6" x14ac:dyDescent="0.25">
      <c r="A60" s="122"/>
      <c r="B60" s="118"/>
      <c r="C60" s="118"/>
      <c r="D60" s="119"/>
      <c r="E60" s="123"/>
      <c r="F60" s="113"/>
    </row>
    <row r="61" spans="1:6" x14ac:dyDescent="0.25">
      <c r="A61" s="122"/>
      <c r="B61" s="118"/>
      <c r="C61" s="118"/>
      <c r="D61" s="119"/>
      <c r="E61" s="123"/>
      <c r="F61" s="113"/>
    </row>
    <row r="62" spans="1:6" x14ac:dyDescent="0.25">
      <c r="A62" s="122"/>
      <c r="B62" s="118"/>
      <c r="C62" s="118"/>
      <c r="D62" s="119"/>
      <c r="E62" s="123"/>
      <c r="F62" s="113"/>
    </row>
    <row r="63" spans="1:6" x14ac:dyDescent="0.25">
      <c r="A63" s="122"/>
      <c r="B63" s="118"/>
      <c r="C63" s="118"/>
      <c r="D63" s="119"/>
      <c r="E63" s="123"/>
      <c r="F63" s="113"/>
    </row>
    <row r="64" spans="1:6" x14ac:dyDescent="0.25">
      <c r="A64" s="122"/>
      <c r="B64" s="118"/>
      <c r="C64" s="118"/>
      <c r="D64" s="119"/>
      <c r="E64" s="123"/>
      <c r="F64" s="113"/>
    </row>
    <row r="65" spans="1:6" x14ac:dyDescent="0.25">
      <c r="A65" s="122"/>
      <c r="B65" s="118"/>
      <c r="C65" s="118"/>
      <c r="D65" s="119"/>
      <c r="E65" s="123"/>
      <c r="F65" s="113"/>
    </row>
    <row r="66" spans="1:6" x14ac:dyDescent="0.25">
      <c r="A66" s="122"/>
      <c r="B66" s="118"/>
      <c r="C66" s="118"/>
      <c r="D66" s="119"/>
      <c r="E66" s="123"/>
      <c r="F66" s="113"/>
    </row>
    <row r="67" spans="1:6" x14ac:dyDescent="0.25">
      <c r="A67" s="122"/>
      <c r="B67" s="118"/>
      <c r="C67" s="118"/>
      <c r="D67" s="119"/>
      <c r="E67" s="123"/>
      <c r="F67" s="113"/>
    </row>
    <row r="68" spans="1:6" x14ac:dyDescent="0.25">
      <c r="A68" s="122"/>
      <c r="B68" s="118"/>
      <c r="C68" s="118"/>
      <c r="D68" s="119"/>
      <c r="E68" s="123"/>
      <c r="F68" s="113"/>
    </row>
    <row r="69" spans="1:6" x14ac:dyDescent="0.25">
      <c r="A69" s="122"/>
      <c r="B69" s="118"/>
      <c r="C69" s="118"/>
      <c r="D69" s="119"/>
      <c r="E69" s="123"/>
      <c r="F69" s="113"/>
    </row>
    <row r="70" spans="1:6" x14ac:dyDescent="0.25">
      <c r="A70" s="122"/>
      <c r="B70" s="118"/>
      <c r="C70" s="118"/>
      <c r="D70" s="119"/>
      <c r="E70" s="123"/>
      <c r="F70" s="113"/>
    </row>
    <row r="71" spans="1:6" x14ac:dyDescent="0.25">
      <c r="A71" s="122"/>
      <c r="B71" s="118"/>
      <c r="C71" s="118"/>
      <c r="D71" s="119"/>
      <c r="E71" s="123"/>
      <c r="F71" s="113"/>
    </row>
    <row r="72" spans="1:6" x14ac:dyDescent="0.25">
      <c r="A72" s="122"/>
      <c r="B72" s="118"/>
      <c r="C72" s="118"/>
      <c r="D72" s="119"/>
      <c r="E72" s="123"/>
      <c r="F72" s="113"/>
    </row>
    <row r="73" spans="1:6" x14ac:dyDescent="0.25">
      <c r="A73" s="122"/>
      <c r="B73" s="118"/>
      <c r="C73" s="118"/>
      <c r="D73" s="119"/>
      <c r="E73" s="123"/>
      <c r="F73" s="113"/>
    </row>
    <row r="74" spans="1:6" x14ac:dyDescent="0.25">
      <c r="A74" s="122"/>
      <c r="B74" s="118"/>
      <c r="C74" s="118"/>
      <c r="D74" s="119"/>
      <c r="E74" s="123"/>
      <c r="F74" s="113"/>
    </row>
    <row r="75" spans="1:6" x14ac:dyDescent="0.25">
      <c r="A75" s="122"/>
      <c r="B75" s="118"/>
      <c r="C75" s="118"/>
      <c r="D75" s="119"/>
      <c r="E75" s="123"/>
      <c r="F75" s="113"/>
    </row>
    <row r="76" spans="1:6" x14ac:dyDescent="0.25">
      <c r="A76" s="122"/>
      <c r="B76" s="118"/>
      <c r="C76" s="118"/>
      <c r="D76" s="119"/>
      <c r="E76" s="123"/>
      <c r="F76" s="113"/>
    </row>
    <row r="77" spans="1:6" x14ac:dyDescent="0.25">
      <c r="A77" s="122"/>
      <c r="B77" s="118"/>
      <c r="C77" s="118"/>
      <c r="D77" s="119"/>
      <c r="E77" s="123"/>
      <c r="F77" s="113"/>
    </row>
    <row r="78" spans="1:6" x14ac:dyDescent="0.25">
      <c r="A78" s="122"/>
      <c r="B78" s="118"/>
      <c r="C78" s="118"/>
      <c r="D78" s="119"/>
      <c r="E78" s="123"/>
      <c r="F78" s="113"/>
    </row>
    <row r="79" spans="1:6" x14ac:dyDescent="0.25">
      <c r="A79" s="122"/>
      <c r="B79" s="118"/>
      <c r="C79" s="118"/>
      <c r="D79" s="119"/>
      <c r="E79" s="123"/>
      <c r="F79" s="113"/>
    </row>
    <row r="80" spans="1:6" x14ac:dyDescent="0.25">
      <c r="A80" s="122"/>
      <c r="B80" s="118"/>
      <c r="C80" s="118"/>
      <c r="D80" s="119"/>
      <c r="E80" s="123"/>
      <c r="F80" s="113"/>
    </row>
    <row r="81" spans="1:6" x14ac:dyDescent="0.25">
      <c r="A81" s="122"/>
      <c r="B81" s="118"/>
      <c r="C81" s="118"/>
      <c r="D81" s="119"/>
      <c r="E81" s="123"/>
      <c r="F81" s="113"/>
    </row>
    <row r="82" spans="1:6" x14ac:dyDescent="0.25">
      <c r="A82" s="122"/>
      <c r="B82" s="118"/>
      <c r="C82" s="118"/>
      <c r="D82" s="119"/>
      <c r="E82" s="123"/>
      <c r="F82" s="113"/>
    </row>
    <row r="83" spans="1:6" x14ac:dyDescent="0.25">
      <c r="A83" s="122"/>
      <c r="B83" s="118"/>
      <c r="C83" s="118"/>
      <c r="D83" s="119"/>
      <c r="E83" s="123"/>
      <c r="F83" s="113"/>
    </row>
    <row r="84" spans="1:6" x14ac:dyDescent="0.25">
      <c r="A84" s="122"/>
      <c r="B84" s="118"/>
      <c r="C84" s="118"/>
      <c r="D84" s="119"/>
      <c r="E84" s="123"/>
      <c r="F84" s="113"/>
    </row>
    <row r="85" spans="1:6" x14ac:dyDescent="0.25">
      <c r="A85" s="122"/>
      <c r="B85" s="118"/>
      <c r="C85" s="118"/>
      <c r="D85" s="119"/>
      <c r="E85" s="123"/>
      <c r="F85" s="113"/>
    </row>
    <row r="86" spans="1:6" x14ac:dyDescent="0.25">
      <c r="A86" s="122"/>
      <c r="B86" s="118"/>
      <c r="C86" s="118"/>
      <c r="D86" s="119"/>
      <c r="E86" s="123"/>
      <c r="F86" s="113"/>
    </row>
    <row r="87" spans="1:6" x14ac:dyDescent="0.25">
      <c r="A87" s="122"/>
      <c r="B87" s="118"/>
      <c r="C87" s="118"/>
      <c r="D87" s="119"/>
      <c r="E87" s="123"/>
      <c r="F87" s="113"/>
    </row>
    <row r="88" spans="1:6" x14ac:dyDescent="0.25">
      <c r="A88" s="122"/>
      <c r="B88" s="118"/>
      <c r="C88" s="118"/>
      <c r="D88" s="119"/>
      <c r="E88" s="123"/>
      <c r="F88" s="113"/>
    </row>
    <row r="89" spans="1:6" x14ac:dyDescent="0.25">
      <c r="A89" s="122"/>
      <c r="B89" s="118"/>
      <c r="C89" s="118"/>
      <c r="D89" s="119"/>
      <c r="E89" s="123"/>
      <c r="F89" s="113"/>
    </row>
    <row r="90" spans="1:6" x14ac:dyDescent="0.25">
      <c r="A90" s="122"/>
      <c r="B90" s="118"/>
      <c r="C90" s="118"/>
      <c r="D90" s="119"/>
      <c r="E90" s="123"/>
      <c r="F90" s="113"/>
    </row>
    <row r="91" spans="1:6" x14ac:dyDescent="0.25">
      <c r="A91" s="122"/>
      <c r="B91" s="118"/>
      <c r="C91" s="118"/>
      <c r="D91" s="119"/>
      <c r="E91" s="123"/>
      <c r="F91" s="113"/>
    </row>
    <row r="92" spans="1:6" x14ac:dyDescent="0.25">
      <c r="A92" s="122"/>
      <c r="B92" s="118"/>
      <c r="C92" s="118"/>
      <c r="D92" s="119"/>
      <c r="E92" s="123"/>
      <c r="F92" s="113"/>
    </row>
    <row r="93" spans="1:6" x14ac:dyDescent="0.25">
      <c r="A93" s="122"/>
      <c r="B93" s="118"/>
      <c r="C93" s="118"/>
      <c r="D93" s="119"/>
      <c r="E93" s="123"/>
      <c r="F93" s="113"/>
    </row>
    <row r="94" spans="1:6" x14ac:dyDescent="0.25">
      <c r="A94" s="122"/>
      <c r="B94" s="118"/>
      <c r="C94" s="118"/>
      <c r="D94" s="119"/>
      <c r="E94" s="123"/>
      <c r="F94" s="113"/>
    </row>
    <row r="95" spans="1:6" x14ac:dyDescent="0.25">
      <c r="A95" s="122"/>
      <c r="B95" s="118"/>
      <c r="C95" s="118"/>
      <c r="D95" s="119"/>
      <c r="E95" s="123"/>
      <c r="F95" s="113"/>
    </row>
    <row r="96" spans="1:6" x14ac:dyDescent="0.25">
      <c r="A96" s="122"/>
      <c r="B96" s="118"/>
      <c r="C96" s="118"/>
      <c r="D96" s="119"/>
      <c r="E96" s="123"/>
      <c r="F96" s="113"/>
    </row>
    <row r="97" spans="1:6" x14ac:dyDescent="0.25">
      <c r="A97" s="122"/>
      <c r="B97" s="118"/>
      <c r="C97" s="118"/>
      <c r="D97" s="119"/>
      <c r="E97" s="123"/>
      <c r="F97" s="113"/>
    </row>
    <row r="98" spans="1:6" x14ac:dyDescent="0.25">
      <c r="A98" s="122"/>
      <c r="B98" s="118"/>
      <c r="C98" s="118"/>
      <c r="D98" s="119"/>
      <c r="E98" s="123"/>
      <c r="F98" s="113"/>
    </row>
    <row r="99" spans="1:6" x14ac:dyDescent="0.25">
      <c r="A99" s="122"/>
      <c r="B99" s="118"/>
      <c r="C99" s="118"/>
      <c r="D99" s="119"/>
      <c r="E99" s="123"/>
      <c r="F99" s="113"/>
    </row>
    <row r="100" spans="1:6" x14ac:dyDescent="0.25">
      <c r="A100" s="122"/>
      <c r="B100" s="118"/>
      <c r="C100" s="118"/>
      <c r="D100" s="119"/>
      <c r="E100" s="123"/>
      <c r="F100" s="113"/>
    </row>
    <row r="101" spans="1:6" x14ac:dyDescent="0.25">
      <c r="A101" s="122"/>
      <c r="B101" s="118"/>
      <c r="C101" s="118"/>
      <c r="D101" s="119"/>
      <c r="E101" s="123"/>
      <c r="F101" s="113"/>
    </row>
    <row r="102" spans="1:6" x14ac:dyDescent="0.25">
      <c r="A102" s="122"/>
      <c r="B102" s="118"/>
      <c r="C102" s="118"/>
      <c r="D102" s="119"/>
      <c r="E102" s="123"/>
      <c r="F102" s="113"/>
    </row>
    <row r="103" spans="1:6" x14ac:dyDescent="0.25">
      <c r="A103" s="122"/>
      <c r="B103" s="118"/>
      <c r="C103" s="118"/>
      <c r="D103" s="119"/>
      <c r="E103" s="123"/>
      <c r="F103" s="113"/>
    </row>
    <row r="104" spans="1:6" x14ac:dyDescent="0.25">
      <c r="A104" s="122"/>
      <c r="B104" s="118"/>
      <c r="C104" s="118"/>
      <c r="D104" s="119"/>
      <c r="E104" s="123"/>
      <c r="F104" s="113"/>
    </row>
    <row r="105" spans="1:6" x14ac:dyDescent="0.25">
      <c r="A105" s="122"/>
      <c r="B105" s="118"/>
      <c r="C105" s="118"/>
      <c r="D105" s="119"/>
      <c r="E105" s="123"/>
      <c r="F105" s="113"/>
    </row>
    <row r="106" spans="1:6" x14ac:dyDescent="0.25">
      <c r="A106" s="122"/>
      <c r="B106" s="118"/>
      <c r="C106" s="118"/>
      <c r="D106" s="119"/>
      <c r="E106" s="123"/>
      <c r="F106" s="113"/>
    </row>
    <row r="107" spans="1:6" x14ac:dyDescent="0.25">
      <c r="A107" s="122"/>
      <c r="B107" s="118"/>
      <c r="C107" s="118"/>
      <c r="D107" s="119"/>
      <c r="E107" s="123"/>
      <c r="F107" s="113"/>
    </row>
    <row r="108" spans="1:6" x14ac:dyDescent="0.25">
      <c r="A108" s="122"/>
      <c r="B108" s="118"/>
      <c r="C108" s="118"/>
      <c r="D108" s="119"/>
      <c r="E108" s="123"/>
      <c r="F108" s="113"/>
    </row>
    <row r="109" spans="1:6" x14ac:dyDescent="0.25">
      <c r="A109" s="122"/>
      <c r="B109" s="118"/>
      <c r="C109" s="118"/>
      <c r="D109" s="119"/>
      <c r="E109" s="123"/>
      <c r="F109" s="113"/>
    </row>
    <row r="110" spans="1:6" x14ac:dyDescent="0.25">
      <c r="A110" s="122"/>
      <c r="B110" s="118"/>
      <c r="C110" s="118"/>
      <c r="D110" s="119"/>
      <c r="E110" s="123"/>
      <c r="F110" s="113"/>
    </row>
    <row r="111" spans="1:6" x14ac:dyDescent="0.25">
      <c r="A111" s="122"/>
      <c r="B111" s="118"/>
      <c r="C111" s="118"/>
      <c r="D111" s="119"/>
      <c r="E111" s="123"/>
      <c r="F111" s="113"/>
    </row>
    <row r="112" spans="1:6" x14ac:dyDescent="0.25">
      <c r="A112" s="122"/>
      <c r="B112" s="118"/>
      <c r="C112" s="118"/>
      <c r="D112" s="119"/>
      <c r="E112" s="123"/>
      <c r="F112" s="113"/>
    </row>
    <row r="113" spans="1:6" x14ac:dyDescent="0.25">
      <c r="A113" s="122"/>
      <c r="B113" s="118"/>
      <c r="C113" s="118"/>
      <c r="D113" s="119"/>
      <c r="E113" s="123"/>
      <c r="F113" s="113"/>
    </row>
    <row r="114" spans="1:6" x14ac:dyDescent="0.25">
      <c r="A114" s="122"/>
      <c r="B114" s="118"/>
      <c r="C114" s="118"/>
      <c r="D114" s="119"/>
      <c r="E114" s="123"/>
      <c r="F114" s="113"/>
    </row>
    <row r="115" spans="1:6" x14ac:dyDescent="0.25">
      <c r="A115" s="122"/>
      <c r="B115" s="118"/>
      <c r="C115" s="118"/>
      <c r="D115" s="119"/>
      <c r="E115" s="123"/>
      <c r="F115" s="113"/>
    </row>
    <row r="116" spans="1:6" x14ac:dyDescent="0.25">
      <c r="A116" s="122"/>
      <c r="B116" s="118"/>
      <c r="C116" s="118"/>
      <c r="D116" s="119"/>
      <c r="E116" s="123"/>
      <c r="F116" s="113"/>
    </row>
    <row r="117" spans="1:6" x14ac:dyDescent="0.25">
      <c r="A117" s="122"/>
      <c r="B117" s="118"/>
      <c r="C117" s="118"/>
      <c r="D117" s="119"/>
      <c r="E117" s="123"/>
      <c r="F117" s="113"/>
    </row>
    <row r="118" spans="1:6" x14ac:dyDescent="0.25">
      <c r="A118" s="122"/>
      <c r="B118" s="118"/>
      <c r="C118" s="118"/>
      <c r="D118" s="119"/>
      <c r="E118" s="123"/>
      <c r="F118" s="113"/>
    </row>
    <row r="119" spans="1:6" x14ac:dyDescent="0.25">
      <c r="A119" s="122"/>
      <c r="B119" s="118"/>
      <c r="C119" s="118"/>
      <c r="D119" s="119"/>
      <c r="E119" s="123"/>
      <c r="F119" s="113"/>
    </row>
    <row r="120" spans="1:6" x14ac:dyDescent="0.25">
      <c r="A120" s="122"/>
      <c r="B120" s="118"/>
      <c r="C120" s="118"/>
      <c r="D120" s="119"/>
      <c r="E120" s="123"/>
      <c r="F120" s="113"/>
    </row>
    <row r="121" spans="1:6" x14ac:dyDescent="0.25">
      <c r="A121" s="122"/>
      <c r="B121" s="118"/>
      <c r="C121" s="118"/>
      <c r="D121" s="119"/>
      <c r="E121" s="123"/>
      <c r="F121" s="113"/>
    </row>
    <row r="122" spans="1:6" x14ac:dyDescent="0.25">
      <c r="A122" s="122"/>
      <c r="B122" s="118"/>
      <c r="C122" s="118"/>
      <c r="D122" s="119"/>
      <c r="E122" s="123"/>
      <c r="F122" s="113"/>
    </row>
    <row r="123" spans="1:6" x14ac:dyDescent="0.25">
      <c r="A123" s="122"/>
      <c r="B123" s="118"/>
      <c r="C123" s="118"/>
      <c r="D123" s="119"/>
      <c r="E123" s="123"/>
      <c r="F123" s="113"/>
    </row>
    <row r="124" spans="1:6" x14ac:dyDescent="0.25">
      <c r="A124" s="122"/>
      <c r="B124" s="118"/>
      <c r="C124" s="118"/>
      <c r="D124" s="119"/>
      <c r="E124" s="123"/>
      <c r="F124" s="113"/>
    </row>
    <row r="125" spans="1:6" x14ac:dyDescent="0.25">
      <c r="A125" s="122"/>
      <c r="B125" s="118"/>
      <c r="C125" s="118"/>
      <c r="D125" s="119"/>
      <c r="E125" s="123"/>
      <c r="F125" s="113"/>
    </row>
    <row r="126" spans="1:6" x14ac:dyDescent="0.25">
      <c r="A126" s="122"/>
      <c r="B126" s="118"/>
      <c r="C126" s="118"/>
      <c r="D126" s="119"/>
      <c r="E126" s="123"/>
      <c r="F126" s="113"/>
    </row>
    <row r="127" spans="1:6" x14ac:dyDescent="0.25">
      <c r="A127" s="122"/>
      <c r="B127" s="118"/>
      <c r="C127" s="118"/>
      <c r="D127" s="119"/>
      <c r="E127" s="123"/>
      <c r="F127" s="113"/>
    </row>
    <row r="128" spans="1:6" x14ac:dyDescent="0.25">
      <c r="A128" s="122"/>
      <c r="B128" s="118"/>
      <c r="C128" s="118"/>
      <c r="D128" s="119"/>
      <c r="E128" s="123"/>
      <c r="F128" s="113"/>
    </row>
    <row r="129" spans="1:6" x14ac:dyDescent="0.25">
      <c r="A129" s="122"/>
      <c r="B129" s="118"/>
      <c r="C129" s="118"/>
      <c r="D129" s="119"/>
      <c r="E129" s="123"/>
      <c r="F129" s="113"/>
    </row>
    <row r="130" spans="1:6" x14ac:dyDescent="0.25">
      <c r="A130" s="122"/>
      <c r="B130" s="118"/>
      <c r="C130" s="118"/>
      <c r="D130" s="119"/>
      <c r="E130" s="123"/>
      <c r="F130" s="113"/>
    </row>
    <row r="131" spans="1:6" x14ac:dyDescent="0.25">
      <c r="A131" s="122"/>
      <c r="B131" s="118"/>
      <c r="C131" s="118"/>
      <c r="D131" s="119"/>
      <c r="E131" s="123"/>
      <c r="F131" s="113"/>
    </row>
    <row r="132" spans="1:6" x14ac:dyDescent="0.25">
      <c r="A132" s="122"/>
      <c r="B132" s="118"/>
      <c r="C132" s="118"/>
      <c r="D132" s="119"/>
      <c r="E132" s="123"/>
      <c r="F132" s="113"/>
    </row>
    <row r="133" spans="1:6" x14ac:dyDescent="0.25">
      <c r="A133" s="122"/>
      <c r="B133" s="118"/>
      <c r="C133" s="118"/>
      <c r="D133" s="119"/>
      <c r="E133" s="123"/>
      <c r="F133" s="113"/>
    </row>
    <row r="134" spans="1:6" x14ac:dyDescent="0.25">
      <c r="A134" s="122"/>
      <c r="B134" s="118"/>
      <c r="C134" s="118"/>
      <c r="D134" s="119"/>
      <c r="E134" s="123"/>
      <c r="F134" s="113"/>
    </row>
    <row r="135" spans="1:6" x14ac:dyDescent="0.25">
      <c r="A135" s="122"/>
      <c r="B135" s="118"/>
      <c r="C135" s="118"/>
      <c r="D135" s="119"/>
      <c r="E135" s="123"/>
      <c r="F135" s="113"/>
    </row>
    <row r="136" spans="1:6" x14ac:dyDescent="0.25">
      <c r="A136" s="122"/>
      <c r="B136" s="118"/>
      <c r="C136" s="118"/>
      <c r="D136" s="119"/>
      <c r="E136" s="123"/>
      <c r="F136" s="113"/>
    </row>
    <row r="137" spans="1:6" x14ac:dyDescent="0.25">
      <c r="A137" s="122"/>
      <c r="B137" s="118"/>
      <c r="C137" s="118"/>
      <c r="D137" s="119"/>
      <c r="E137" s="123"/>
      <c r="F137" s="113"/>
    </row>
    <row r="138" spans="1:6" x14ac:dyDescent="0.25">
      <c r="A138" s="122"/>
      <c r="B138" s="118"/>
      <c r="C138" s="118"/>
      <c r="D138" s="119"/>
      <c r="E138" s="123"/>
      <c r="F138" s="113"/>
    </row>
    <row r="139" spans="1:6" x14ac:dyDescent="0.25">
      <c r="A139" s="122"/>
      <c r="B139" s="118"/>
      <c r="C139" s="118"/>
      <c r="D139" s="119"/>
      <c r="E139" s="123"/>
      <c r="F139" s="113"/>
    </row>
    <row r="140" spans="1:6" x14ac:dyDescent="0.25">
      <c r="A140" s="122"/>
      <c r="B140" s="118"/>
      <c r="C140" s="118"/>
      <c r="D140" s="119"/>
      <c r="E140" s="123"/>
      <c r="F140" s="113"/>
    </row>
    <row r="141" spans="1:6" x14ac:dyDescent="0.25">
      <c r="A141" s="122"/>
      <c r="B141" s="118"/>
      <c r="C141" s="118"/>
      <c r="D141" s="119"/>
      <c r="E141" s="123"/>
      <c r="F141" s="113"/>
    </row>
    <row r="142" spans="1:6" x14ac:dyDescent="0.25">
      <c r="A142" s="122"/>
      <c r="B142" s="118"/>
      <c r="C142" s="118"/>
      <c r="D142" s="119"/>
      <c r="E142" s="123"/>
      <c r="F142" s="113"/>
    </row>
    <row r="143" spans="1:6" x14ac:dyDescent="0.25">
      <c r="A143" s="122"/>
      <c r="B143" s="118"/>
      <c r="C143" s="118"/>
      <c r="D143" s="119"/>
      <c r="E143" s="123"/>
      <c r="F143" s="113"/>
    </row>
    <row r="144" spans="1:6" x14ac:dyDescent="0.25">
      <c r="A144" s="122"/>
      <c r="B144" s="118"/>
      <c r="C144" s="118"/>
      <c r="D144" s="119"/>
      <c r="E144" s="123"/>
      <c r="F144" s="113"/>
    </row>
    <row r="145" spans="1:6" x14ac:dyDescent="0.25">
      <c r="A145" s="122"/>
      <c r="B145" s="118"/>
      <c r="C145" s="118"/>
      <c r="D145" s="119"/>
      <c r="E145" s="123"/>
      <c r="F145" s="113"/>
    </row>
    <row r="146" spans="1:6" x14ac:dyDescent="0.25">
      <c r="A146" s="122"/>
      <c r="B146" s="118"/>
      <c r="C146" s="118"/>
      <c r="D146" s="119"/>
      <c r="E146" s="123"/>
      <c r="F146" s="113"/>
    </row>
    <row r="147" spans="1:6" x14ac:dyDescent="0.25">
      <c r="A147" s="122"/>
      <c r="B147" s="118"/>
      <c r="C147" s="118"/>
      <c r="D147" s="119"/>
      <c r="E147" s="123"/>
      <c r="F147" s="113"/>
    </row>
    <row r="148" spans="1:6" x14ac:dyDescent="0.25">
      <c r="A148" s="122"/>
      <c r="B148" s="118"/>
      <c r="C148" s="118"/>
      <c r="D148" s="119"/>
      <c r="E148" s="123"/>
      <c r="F148" s="113"/>
    </row>
    <row r="149" spans="1:6" x14ac:dyDescent="0.25">
      <c r="A149" s="122"/>
      <c r="B149" s="118"/>
      <c r="C149" s="118"/>
      <c r="D149" s="119"/>
      <c r="E149" s="123"/>
      <c r="F149" s="113"/>
    </row>
    <row r="150" spans="1:6" x14ac:dyDescent="0.25">
      <c r="A150" s="122"/>
      <c r="B150" s="118"/>
      <c r="C150" s="118"/>
      <c r="D150" s="119"/>
      <c r="E150" s="123"/>
      <c r="F150" s="113"/>
    </row>
    <row r="151" spans="1:6" x14ac:dyDescent="0.25">
      <c r="A151" s="122"/>
      <c r="B151" s="118"/>
      <c r="C151" s="118"/>
      <c r="D151" s="119"/>
      <c r="E151" s="123"/>
      <c r="F151" s="113"/>
    </row>
    <row r="152" spans="1:6" x14ac:dyDescent="0.25">
      <c r="A152" s="122"/>
      <c r="B152" s="118"/>
      <c r="C152" s="118"/>
      <c r="D152" s="119"/>
      <c r="E152" s="123"/>
      <c r="F152" s="113"/>
    </row>
    <row r="153" spans="1:6" x14ac:dyDescent="0.25">
      <c r="A153" s="122"/>
      <c r="B153" s="118"/>
      <c r="C153" s="118"/>
      <c r="D153" s="119"/>
      <c r="E153" s="123"/>
      <c r="F153" s="113"/>
    </row>
    <row r="154" spans="1:6" x14ac:dyDescent="0.25">
      <c r="A154" s="122"/>
      <c r="B154" s="118"/>
      <c r="C154" s="118"/>
      <c r="D154" s="119"/>
      <c r="E154" s="123"/>
      <c r="F154" s="113"/>
    </row>
    <row r="155" spans="1:6" x14ac:dyDescent="0.25">
      <c r="A155" s="122"/>
      <c r="B155" s="118"/>
      <c r="C155" s="118"/>
      <c r="D155" s="119"/>
      <c r="E155" s="123"/>
      <c r="F155" s="113"/>
    </row>
    <row r="156" spans="1:6" x14ac:dyDescent="0.25">
      <c r="A156" s="122"/>
      <c r="B156" s="118"/>
      <c r="C156" s="118"/>
      <c r="D156" s="119"/>
      <c r="E156" s="123"/>
      <c r="F156" s="113"/>
    </row>
    <row r="157" spans="1:6" x14ac:dyDescent="0.25">
      <c r="A157" s="122"/>
      <c r="B157" s="118"/>
      <c r="C157" s="118"/>
      <c r="D157" s="119"/>
      <c r="E157" s="123"/>
      <c r="F157" s="113"/>
    </row>
    <row r="158" spans="1:6" x14ac:dyDescent="0.25">
      <c r="A158" s="122"/>
      <c r="B158" s="118"/>
      <c r="C158" s="118"/>
      <c r="D158" s="119"/>
      <c r="E158" s="123"/>
      <c r="F158" s="113"/>
    </row>
    <row r="159" spans="1:6" x14ac:dyDescent="0.25">
      <c r="A159" s="122"/>
      <c r="B159" s="118"/>
      <c r="C159" s="118"/>
      <c r="D159" s="119"/>
      <c r="E159" s="123"/>
      <c r="F159" s="113"/>
    </row>
    <row r="160" spans="1:6" x14ac:dyDescent="0.25">
      <c r="A160" s="122"/>
      <c r="B160" s="118"/>
      <c r="C160" s="118"/>
      <c r="D160" s="119"/>
      <c r="E160" s="123"/>
      <c r="F160" s="113"/>
    </row>
    <row r="161" spans="1:6" x14ac:dyDescent="0.25">
      <c r="A161" s="122"/>
      <c r="B161" s="118"/>
      <c r="C161" s="118"/>
      <c r="D161" s="119"/>
      <c r="E161" s="123"/>
      <c r="F161" s="113"/>
    </row>
    <row r="162" spans="1:6" x14ac:dyDescent="0.25">
      <c r="A162" s="122"/>
      <c r="B162" s="118"/>
      <c r="C162" s="118"/>
      <c r="D162" s="119"/>
      <c r="E162" s="123"/>
      <c r="F162" s="113"/>
    </row>
    <row r="163" spans="1:6" x14ac:dyDescent="0.25">
      <c r="A163" s="122"/>
      <c r="B163" s="118"/>
      <c r="C163" s="118"/>
      <c r="D163" s="119"/>
      <c r="E163" s="123"/>
      <c r="F163" s="113"/>
    </row>
    <row r="164" spans="1:6" x14ac:dyDescent="0.25">
      <c r="A164" s="122"/>
      <c r="B164" s="118"/>
      <c r="C164" s="118"/>
      <c r="D164" s="119"/>
      <c r="E164" s="123"/>
      <c r="F164" s="113"/>
    </row>
    <row r="165" spans="1:6" x14ac:dyDescent="0.25">
      <c r="A165" s="122"/>
      <c r="B165" s="118"/>
      <c r="C165" s="118"/>
      <c r="D165" s="119"/>
      <c r="E165" s="123"/>
      <c r="F165" s="113"/>
    </row>
    <row r="166" spans="1:6" x14ac:dyDescent="0.25">
      <c r="A166" s="122"/>
      <c r="B166" s="118"/>
      <c r="C166" s="118"/>
      <c r="D166" s="119"/>
      <c r="E166" s="123"/>
      <c r="F166" s="113"/>
    </row>
    <row r="167" spans="1:6" x14ac:dyDescent="0.25">
      <c r="A167" s="122"/>
      <c r="B167" s="118"/>
      <c r="C167" s="118"/>
      <c r="D167" s="119"/>
      <c r="E167" s="123"/>
      <c r="F167" s="113"/>
    </row>
    <row r="168" spans="1:6" x14ac:dyDescent="0.25">
      <c r="A168" s="122"/>
      <c r="B168" s="118"/>
      <c r="C168" s="118"/>
      <c r="D168" s="119"/>
      <c r="E168" s="123"/>
      <c r="F168" s="113"/>
    </row>
    <row r="169" spans="1:6" x14ac:dyDescent="0.25">
      <c r="A169" s="122"/>
      <c r="B169" s="118"/>
      <c r="C169" s="118"/>
      <c r="D169" s="119"/>
      <c r="E169" s="123"/>
      <c r="F169" s="113"/>
    </row>
    <row r="170" spans="1:6" x14ac:dyDescent="0.25">
      <c r="A170" s="122"/>
      <c r="B170" s="118"/>
      <c r="C170" s="118"/>
      <c r="D170" s="119"/>
      <c r="E170" s="123"/>
      <c r="F170" s="113"/>
    </row>
    <row r="171" spans="1:6" x14ac:dyDescent="0.25">
      <c r="A171" s="122"/>
      <c r="B171" s="118"/>
      <c r="C171" s="118"/>
      <c r="D171" s="119"/>
      <c r="E171" s="123"/>
      <c r="F171" s="113"/>
    </row>
    <row r="172" spans="1:6" x14ac:dyDescent="0.25">
      <c r="A172" s="122"/>
      <c r="B172" s="118"/>
      <c r="C172" s="118"/>
      <c r="D172" s="119"/>
      <c r="E172" s="123"/>
      <c r="F172" s="113"/>
    </row>
    <row r="173" spans="1:6" x14ac:dyDescent="0.25">
      <c r="A173" s="122"/>
      <c r="B173" s="118"/>
      <c r="C173" s="118"/>
      <c r="D173" s="119"/>
      <c r="E173" s="123"/>
      <c r="F173" s="113"/>
    </row>
    <row r="174" spans="1:6" x14ac:dyDescent="0.25">
      <c r="A174" s="122"/>
      <c r="B174" s="118"/>
      <c r="C174" s="118"/>
      <c r="D174" s="119"/>
      <c r="E174" s="123"/>
      <c r="F174" s="113"/>
    </row>
    <row r="175" spans="1:6" x14ac:dyDescent="0.25">
      <c r="A175" s="122"/>
      <c r="B175" s="118"/>
      <c r="C175" s="118"/>
      <c r="D175" s="119"/>
      <c r="E175" s="123"/>
      <c r="F175" s="113"/>
    </row>
    <row r="176" spans="1:6" x14ac:dyDescent="0.25">
      <c r="A176" s="122"/>
      <c r="B176" s="118"/>
      <c r="C176" s="118"/>
      <c r="D176" s="119"/>
      <c r="E176" s="123"/>
      <c r="F176" s="113"/>
    </row>
    <row r="177" spans="1:6" x14ac:dyDescent="0.25">
      <c r="A177" s="122"/>
      <c r="B177" s="118"/>
      <c r="C177" s="118"/>
      <c r="D177" s="119"/>
      <c r="E177" s="123"/>
      <c r="F177" s="113"/>
    </row>
    <row r="178" spans="1:6" x14ac:dyDescent="0.25">
      <c r="A178" s="122"/>
      <c r="B178" s="118"/>
      <c r="C178" s="118"/>
      <c r="D178" s="119"/>
      <c r="E178" s="123"/>
      <c r="F178" s="113"/>
    </row>
    <row r="179" spans="1:6" x14ac:dyDescent="0.25">
      <c r="A179" s="122"/>
      <c r="B179" s="118"/>
      <c r="C179" s="118"/>
      <c r="D179" s="119"/>
      <c r="E179" s="123"/>
      <c r="F179" s="113"/>
    </row>
    <row r="180" spans="1:6" x14ac:dyDescent="0.25">
      <c r="A180" s="122"/>
      <c r="B180" s="118"/>
      <c r="C180" s="118"/>
      <c r="D180" s="119"/>
      <c r="E180" s="123"/>
      <c r="F180" s="113"/>
    </row>
    <row r="181" spans="1:6" x14ac:dyDescent="0.25">
      <c r="A181" s="122"/>
      <c r="B181" s="118"/>
      <c r="C181" s="118"/>
      <c r="D181" s="119"/>
      <c r="E181" s="123"/>
      <c r="F181" s="113"/>
    </row>
    <row r="182" spans="1:6" x14ac:dyDescent="0.25">
      <c r="A182" s="122"/>
      <c r="B182" s="118"/>
      <c r="C182" s="118"/>
      <c r="D182" s="119"/>
      <c r="E182" s="123"/>
      <c r="F182" s="113"/>
    </row>
    <row r="183" spans="1:6" x14ac:dyDescent="0.25">
      <c r="A183" s="122"/>
      <c r="B183" s="118"/>
      <c r="C183" s="118"/>
      <c r="D183" s="119"/>
      <c r="E183" s="123"/>
      <c r="F183" s="113"/>
    </row>
    <row r="184" spans="1:6" x14ac:dyDescent="0.25">
      <c r="A184" s="122"/>
      <c r="B184" s="118"/>
      <c r="C184" s="118"/>
      <c r="D184" s="119"/>
      <c r="E184" s="123"/>
      <c r="F184" s="113"/>
    </row>
    <row r="185" spans="1:6" x14ac:dyDescent="0.25">
      <c r="A185" s="122"/>
      <c r="B185" s="118"/>
      <c r="C185" s="118"/>
      <c r="D185" s="119"/>
      <c r="E185" s="123"/>
      <c r="F185" s="113"/>
    </row>
    <row r="186" spans="1:6" x14ac:dyDescent="0.25">
      <c r="A186" s="122"/>
      <c r="B186" s="118"/>
      <c r="C186" s="118"/>
      <c r="D186" s="119"/>
      <c r="E186" s="123"/>
      <c r="F186" s="113"/>
    </row>
    <row r="187" spans="1:6" x14ac:dyDescent="0.25">
      <c r="A187" s="122"/>
      <c r="B187" s="118"/>
      <c r="C187" s="118"/>
      <c r="D187" s="119"/>
      <c r="E187" s="123"/>
      <c r="F187" s="113"/>
    </row>
    <row r="188" spans="1:6" x14ac:dyDescent="0.25">
      <c r="A188" s="122"/>
      <c r="B188" s="118"/>
      <c r="C188" s="118"/>
      <c r="D188" s="119"/>
      <c r="E188" s="123"/>
      <c r="F188" s="113"/>
    </row>
    <row r="189" spans="1:6" x14ac:dyDescent="0.25">
      <c r="A189" s="122"/>
      <c r="B189" s="118"/>
      <c r="C189" s="118"/>
      <c r="D189" s="119"/>
      <c r="E189" s="123"/>
      <c r="F189" s="113"/>
    </row>
    <row r="190" spans="1:6" x14ac:dyDescent="0.25">
      <c r="A190" s="122"/>
      <c r="B190" s="118"/>
      <c r="C190" s="118"/>
      <c r="D190" s="119"/>
      <c r="E190" s="123"/>
      <c r="F190" s="113"/>
    </row>
    <row r="191" spans="1:6" x14ac:dyDescent="0.25">
      <c r="A191" s="122"/>
      <c r="B191" s="118"/>
      <c r="C191" s="118"/>
      <c r="D191" s="119"/>
      <c r="E191" s="123"/>
      <c r="F191" s="113"/>
    </row>
    <row r="192" spans="1:6" x14ac:dyDescent="0.25">
      <c r="A192" s="122"/>
      <c r="B192" s="118"/>
      <c r="C192" s="118"/>
      <c r="D192" s="119"/>
      <c r="E192" s="123"/>
      <c r="F192" s="113"/>
    </row>
    <row r="193" spans="1:6" x14ac:dyDescent="0.25">
      <c r="A193" s="122"/>
      <c r="B193" s="118"/>
      <c r="C193" s="118"/>
      <c r="D193" s="119"/>
      <c r="E193" s="123"/>
      <c r="F193" s="113"/>
    </row>
    <row r="194" spans="1:6" x14ac:dyDescent="0.25">
      <c r="A194" s="122"/>
      <c r="B194" s="118"/>
      <c r="C194" s="118"/>
      <c r="D194" s="119"/>
      <c r="E194" s="123"/>
      <c r="F194" s="113"/>
    </row>
    <row r="195" spans="1:6" x14ac:dyDescent="0.25">
      <c r="A195" s="122"/>
      <c r="B195" s="118"/>
      <c r="C195" s="118"/>
      <c r="D195" s="119"/>
      <c r="E195" s="123"/>
      <c r="F195" s="113"/>
    </row>
    <row r="196" spans="1:6" x14ac:dyDescent="0.25">
      <c r="A196" s="122"/>
      <c r="B196" s="118"/>
      <c r="C196" s="118"/>
      <c r="D196" s="119"/>
      <c r="E196" s="123"/>
      <c r="F196" s="113"/>
    </row>
    <row r="197" spans="1:6" x14ac:dyDescent="0.25">
      <c r="A197" s="122"/>
      <c r="B197" s="118"/>
      <c r="C197" s="118"/>
      <c r="D197" s="119"/>
      <c r="E197" s="123"/>
      <c r="F197" s="113"/>
    </row>
    <row r="198" spans="1:6" x14ac:dyDescent="0.25">
      <c r="A198" s="122"/>
      <c r="B198" s="118"/>
      <c r="C198" s="118"/>
      <c r="D198" s="119"/>
      <c r="E198" s="123"/>
      <c r="F198" s="113"/>
    </row>
    <row r="199" spans="1:6" x14ac:dyDescent="0.25">
      <c r="A199" s="122"/>
      <c r="B199" s="118"/>
      <c r="C199" s="118"/>
      <c r="D199" s="119"/>
      <c r="E199" s="123"/>
      <c r="F199" s="113"/>
    </row>
    <row r="200" spans="1:6" x14ac:dyDescent="0.25">
      <c r="A200" s="122"/>
      <c r="B200" s="118"/>
      <c r="C200" s="118"/>
      <c r="D200" s="119"/>
      <c r="E200" s="123"/>
      <c r="F200" s="113"/>
    </row>
    <row r="201" spans="1:6" x14ac:dyDescent="0.25">
      <c r="A201" s="122"/>
      <c r="B201" s="118"/>
      <c r="C201" s="118"/>
      <c r="D201" s="119"/>
      <c r="E201" s="123"/>
      <c r="F201" s="113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abSelected="1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4" t="s">
        <v>115</v>
      </c>
      <c r="B5" s="144"/>
      <c r="C5" s="144" t="s">
        <v>168</v>
      </c>
    </row>
    <row r="6" spans="1:3" ht="61.5" x14ac:dyDescent="0.9">
      <c r="A6" s="146"/>
      <c r="B6" s="146"/>
      <c r="C6" s="147"/>
    </row>
    <row r="7" spans="1:3" ht="61.5" x14ac:dyDescent="0.9">
      <c r="A7" s="146"/>
      <c r="B7" s="146"/>
      <c r="C7" s="147"/>
    </row>
    <row r="8" spans="1:3" ht="61.5" x14ac:dyDescent="0.9">
      <c r="A8" s="146"/>
      <c r="B8" s="146"/>
      <c r="C8" s="147"/>
    </row>
    <row r="9" spans="1:3" ht="61.5" x14ac:dyDescent="0.9">
      <c r="A9" s="145"/>
      <c r="B9" s="146"/>
      <c r="C9" s="147"/>
    </row>
    <row r="10" spans="1:3" ht="61.5" x14ac:dyDescent="0.9">
      <c r="A10" s="145"/>
      <c r="B10" s="146"/>
      <c r="C10" s="147"/>
    </row>
    <row r="11" spans="1:3" ht="61.5" x14ac:dyDescent="0.9">
      <c r="A11" s="145"/>
      <c r="B11" s="146"/>
      <c r="C11" s="147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4"/>
      <c r="B28" s="134"/>
      <c r="C28" s="135"/>
      <c r="D28" s="136"/>
      <c r="E28" s="135"/>
      <c r="F28" s="134"/>
      <c r="G28" s="134"/>
      <c r="H28" s="134"/>
    </row>
    <row r="29" spans="1:8" x14ac:dyDescent="0.5">
      <c r="A29" s="134"/>
      <c r="B29" s="134"/>
      <c r="C29" s="135"/>
      <c r="D29" s="136"/>
      <c r="E29" s="135"/>
      <c r="F29" s="134"/>
      <c r="G29" s="134"/>
      <c r="H29" s="134"/>
    </row>
    <row r="30" spans="1:8" x14ac:dyDescent="0.5">
      <c r="A30" s="134"/>
      <c r="B30" s="134"/>
      <c r="C30" s="135"/>
      <c r="D30" s="136"/>
      <c r="E30" s="135"/>
      <c r="F30" s="134"/>
      <c r="G30" s="134"/>
      <c r="H30" s="134"/>
    </row>
    <row r="31" spans="1:8" x14ac:dyDescent="0.5">
      <c r="A31" s="134"/>
      <c r="B31" s="134"/>
      <c r="C31" s="135"/>
      <c r="D31" s="136"/>
      <c r="E31" s="135"/>
      <c r="F31" s="134"/>
      <c r="G31" s="134"/>
      <c r="H31" s="134"/>
    </row>
    <row r="32" spans="1:8" x14ac:dyDescent="0.5">
      <c r="A32" s="134"/>
      <c r="B32" s="134"/>
      <c r="C32" s="135"/>
      <c r="D32" s="136"/>
      <c r="E32" s="135"/>
      <c r="F32" s="134"/>
      <c r="G32" s="134"/>
      <c r="H32" s="134"/>
    </row>
    <row r="33" spans="1:8" x14ac:dyDescent="0.5">
      <c r="A33" s="134"/>
      <c r="B33" s="134"/>
      <c r="C33" s="135"/>
      <c r="D33" s="136"/>
      <c r="E33" s="135"/>
      <c r="F33" s="134"/>
      <c r="G33" s="134"/>
      <c r="H33" s="134"/>
    </row>
    <row r="34" spans="1:8" x14ac:dyDescent="0.5">
      <c r="A34" s="134"/>
      <c r="B34" s="134"/>
      <c r="C34" s="135"/>
      <c r="D34" s="136"/>
      <c r="E34" s="135"/>
      <c r="F34" s="134"/>
      <c r="G34" s="134"/>
      <c r="H34" s="134"/>
    </row>
    <row r="35" spans="1:8" x14ac:dyDescent="0.5">
      <c r="A35" s="134"/>
      <c r="B35" s="134"/>
      <c r="C35" s="135"/>
      <c r="D35" s="136"/>
      <c r="E35" s="135"/>
      <c r="F35" s="134"/>
      <c r="G35" s="134"/>
      <c r="H35" s="134"/>
    </row>
    <row r="36" spans="1:8" x14ac:dyDescent="0.5">
      <c r="A36" s="134"/>
      <c r="B36" s="134"/>
      <c r="C36" s="135"/>
      <c r="D36" s="136"/>
      <c r="E36" s="135"/>
      <c r="F36" s="134"/>
      <c r="G36" s="134"/>
      <c r="H36" s="134"/>
    </row>
    <row r="37" spans="1:8" x14ac:dyDescent="0.5">
      <c r="A37" s="134"/>
      <c r="B37" s="134"/>
      <c r="C37" s="135"/>
      <c r="D37" s="136"/>
      <c r="E37" s="135"/>
      <c r="F37" s="134"/>
      <c r="G37" s="134"/>
      <c r="H37" s="134"/>
    </row>
    <row r="38" spans="1:8" x14ac:dyDescent="0.5">
      <c r="A38" s="134"/>
      <c r="B38" s="134"/>
      <c r="C38" s="135"/>
      <c r="D38" s="136"/>
      <c r="E38" s="135"/>
      <c r="F38" s="134"/>
      <c r="G38" s="134"/>
      <c r="H38" s="134"/>
    </row>
    <row r="39" spans="1:8" x14ac:dyDescent="0.5">
      <c r="A39" s="134"/>
      <c r="B39" s="134"/>
      <c r="C39" s="135"/>
      <c r="D39" s="136"/>
      <c r="E39" s="135"/>
      <c r="F39" s="134"/>
      <c r="G39" s="134"/>
      <c r="H39" s="134"/>
    </row>
    <row r="40" spans="1:8" x14ac:dyDescent="0.5">
      <c r="A40" s="134"/>
      <c r="B40" s="134"/>
      <c r="C40" s="135"/>
      <c r="D40" s="136"/>
      <c r="E40" s="135"/>
      <c r="F40" s="134"/>
      <c r="G40" s="134"/>
      <c r="H40" s="134"/>
    </row>
    <row r="41" spans="1:8" x14ac:dyDescent="0.5">
      <c r="A41" s="134"/>
      <c r="B41" s="134"/>
      <c r="C41" s="135"/>
      <c r="D41" s="136"/>
      <c r="E41" s="135"/>
      <c r="F41" s="134"/>
      <c r="G41" s="134"/>
      <c r="H41" s="134"/>
    </row>
    <row r="42" spans="1:8" x14ac:dyDescent="0.5">
      <c r="A42" s="134"/>
      <c r="B42" s="134"/>
      <c r="C42" s="135"/>
      <c r="D42" s="136"/>
      <c r="E42" s="135"/>
      <c r="F42" s="134"/>
      <c r="G42" s="134"/>
      <c r="H42" s="134"/>
    </row>
    <row r="43" spans="1:8" x14ac:dyDescent="0.5">
      <c r="A43" s="134"/>
      <c r="B43" s="134"/>
      <c r="C43" s="135"/>
      <c r="D43" s="136"/>
      <c r="E43" s="135"/>
      <c r="F43" s="134"/>
      <c r="G43" s="134"/>
      <c r="H43" s="134"/>
    </row>
    <row r="44" spans="1:8" x14ac:dyDescent="0.5">
      <c r="A44" s="134"/>
      <c r="B44" s="134"/>
      <c r="C44" s="135"/>
      <c r="D44" s="136"/>
      <c r="E44" s="135"/>
      <c r="F44" s="134"/>
      <c r="G44" s="134"/>
      <c r="H44" s="134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 t="str">
        <f>IF(MainSummary!F30&gt;0, MainSummary!F30,"")</f>
        <v/>
      </c>
      <c r="E4" s="91"/>
    </row>
    <row r="5" spans="1:5" x14ac:dyDescent="0.45">
      <c r="A5" s="88" t="str">
        <f>IF(C5&lt;&gt;"","2","")</f>
        <v/>
      </c>
      <c r="B5" s="88" t="str">
        <f t="shared" ref="B5:B18" si="0">IF(C5&lt;&gt;"","-","")</f>
        <v/>
      </c>
      <c r="C5" s="92" t="str">
        <f>IF(MainSummary!F31&lt;&gt;"", MainSummary!F31,"")</f>
        <v/>
      </c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 t="str">
        <f>IF(MainSummary!F32&lt;&gt;"", MainSummary!F32,"")</f>
        <v/>
      </c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 t="str">
        <f>IF(MainSummary!F33&lt;&gt;"", MainSummary!F33,"")</f>
        <v/>
      </c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 t="str">
        <f>IF(MainSummary!F34&lt;&gt;"", MainSummary!F34,"")</f>
        <v/>
      </c>
      <c r="E8" s="91"/>
    </row>
    <row r="9" spans="1:5" x14ac:dyDescent="0.45">
      <c r="A9" s="88" t="str">
        <f t="shared" ref="A9:A11" si="1">IF(C9&lt;&gt;"","5-8","")</f>
        <v/>
      </c>
      <c r="B9" s="88" t="str">
        <f t="shared" si="0"/>
        <v/>
      </c>
      <c r="C9" s="92" t="str">
        <f>IF(MainSummary!F35&lt;&gt;"", MainSummary!F35,"")</f>
        <v/>
      </c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 t="str">
        <f>IF(MainSummary!F36&lt;&gt;"", MainSummary!F36,"")</f>
        <v/>
      </c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 t="str">
        <f>IF(MainSummary!F37&lt;&gt;"", MainSummary!F37,"")</f>
        <v/>
      </c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 t="str">
        <f>IF(MainSummary!F38&lt;&gt;"", MainSummary!F38,"")</f>
        <v/>
      </c>
      <c r="E12" s="91"/>
    </row>
    <row r="13" spans="1:5" x14ac:dyDescent="0.45">
      <c r="A13" s="88" t="str">
        <f t="shared" ref="A13:A19" si="2">IF(C13&lt;&gt;"","9-16","")</f>
        <v/>
      </c>
      <c r="B13" s="88" t="str">
        <f t="shared" si="0"/>
        <v/>
      </c>
      <c r="C13" s="92" t="str">
        <f>IF(MainSummary!F39&lt;&gt;"", MainSummary!F39,"")</f>
        <v/>
      </c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 t="str">
        <f>IF(MainSummary!F40&lt;&gt;"", MainSummary!F40,"")</f>
        <v/>
      </c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 t="str">
        <f>IF(MainSummary!F41&lt;&gt;"", MainSummary!F41,"")</f>
        <v/>
      </c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 t="str">
        <f>IF(MainSummary!F42&lt;&gt;"", MainSummary!F42,"")</f>
        <v/>
      </c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 t="str">
        <f>IF(MainSummary!F43&lt;&gt;"", MainSummary!F43,"")</f>
        <v/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0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127</v>
      </c>
    </row>
    <row r="31" spans="1:4" x14ac:dyDescent="0.25">
      <c r="B31" t="s">
        <v>146</v>
      </c>
      <c r="C31" s="44">
        <f>+C10-C29</f>
        <v>5018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2024-04-20T19:59:16Z</cp:lastPrinted>
  <dcterms:created xsi:type="dcterms:W3CDTF">2014-06-07T17:42:48Z</dcterms:created>
  <dcterms:modified xsi:type="dcterms:W3CDTF">2025-05-05T23:48:31Z</dcterms:modified>
</cp:coreProperties>
</file>