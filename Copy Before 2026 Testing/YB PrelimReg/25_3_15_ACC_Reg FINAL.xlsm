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Copy Before 2026 Testing\YB PrelimReg\"/>
    </mc:Choice>
  </mc:AlternateContent>
  <xr:revisionPtr revIDLastSave="0" documentId="13_ncr:1_{AD910F45-A6DD-47F7-9F8A-C4E990E7A7A9}" xr6:coauthVersionLast="47" xr6:coauthVersionMax="47" xr10:uidLastSave="{00000000-0000-0000-0000-000000000000}"/>
  <bookViews>
    <workbookView xWindow="-27240" yWindow="1290" windowWidth="27180" windowHeight="1489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0" i="1"/>
  <c r="O81" i="1"/>
  <c r="O82" i="1"/>
  <c r="O89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<sst xmlns="http://schemas.openxmlformats.org/spreadsheetml/2006/main" count="1024" uniqueCount="773">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</sst>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rgb="FF969696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1" fillId="0" borderId="1" xfId="1" applyBorder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1" t="s">
        <v>574</v>
      </c>
      <c r="D1" s="122"/>
      <c r="E1" s="123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6" t="s">
        <v>648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45" t="s">
        <v>557</v>
      </c>
      <c r="C5" s="126" t="s">
        <v>649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45" t="s">
        <v>558</v>
      </c>
      <c r="C7" s="126" t="s">
        <v>650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4" t="s">
        <v>651</v>
      </c>
      <c r="D11" s="125"/>
      <c r="E11" s="124" t="s">
        <v>652</v>
      </c>
      <c r="F11" s="125"/>
      <c r="G11" s="124" t="s">
        <v>653</v>
      </c>
      <c r="H11" s="125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4" t="s">
        <v>654</v>
      </c>
      <c r="D13" s="125"/>
      <c r="E13" s="124" t="s">
        <v>655</v>
      </c>
      <c r="F13" s="125"/>
      <c r="G13" s="124" t="s">
        <v>656</v>
      </c>
      <c r="H13" s="125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4" t="s">
        <v>365</v>
      </c>
      <c r="D15" s="125"/>
      <c r="E15" s="124" t="s">
        <v>657</v>
      </c>
      <c r="F15" s="125"/>
      <c r="G15" s="124" t="s">
        <v>517</v>
      </c>
      <c r="H15" s="125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0" t="s">
        <v>574</v>
      </c>
      <c r="D2" s="131"/>
      <c r="E2" s="131"/>
      <c r="F2" s="131"/>
      <c r="G2" s="132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28" t="s">
        <v>576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28" t="s">
        <v>578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3" t="s">
        <v>575</v>
      </c>
      <c r="D15" s="133"/>
      <c r="E15" s="133"/>
      <c r="F15" s="133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TourneySetUp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MainTourneySetUp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0"/>
      <c r="H4" s="12" t="s">
        <v>567</v>
      </c>
      <c r="I4" s="12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0"/>
      <c r="H5" s="12" t="s">
        <v>559</v>
      </c>
      <c r="I5" s="12"/>
      <c r="K5" s="136">
        <f>Tourney!$C$9</f>
        <v>46130</v>
      </c>
      <c r="L5" s="136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0</v>
      </c>
      <c r="C10" s="44"/>
      <c r="D10" s="44"/>
      <c r="H10" s="59">
        <f t="shared" ref="H10:N10" si="0">COUNTIF(H12:H220,"&lt;&gt;" &amp; "")</f>
        <v>0</v>
      </c>
      <c r="I10" s="59">
        <f t="shared" si="0"/>
        <v>0</v>
      </c>
      <c r="J10" s="59">
        <f t="shared" si="0"/>
        <v>0</v>
      </c>
      <c r="K10" s="59">
        <f t="shared" si="0"/>
        <v>0</v>
      </c>
      <c r="L10" s="59">
        <f t="shared" si="0"/>
        <v>0</v>
      </c>
      <c r="M10" s="59">
        <f t="shared" si="0"/>
        <v>0</v>
      </c>
      <c r="N10" s="59">
        <f t="shared" si="0"/>
        <v>0</v>
      </c>
      <c r="O10" s="81">
        <f>SUM(O12:O209)</f>
        <v>0</v>
      </c>
      <c r="P10" s="30"/>
      <c r="Q10" s="14"/>
      <c r="R10" s="15">
        <f>SUM(R12:R220)</f>
        <v>0</v>
      </c>
      <c r="S10" s="15">
        <f>SUM(S12:S220)</f>
        <v>0</v>
      </c>
      <c r="T10" s="15">
        <f>SUM(T12:T220)</f>
        <v>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/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/>
      <c r="O12" s="88">
        <f t="shared" ref="O12:O43" si="2">T12*N12</f>
        <v>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0</v>
      </c>
      <c r="T12" s="90">
        <f>H12*[0]!FMainPool1Fee+I12*[0]!FMainPool2Fee+J12*[0]!FMainPool3Fee+K12*[0]!FMainPool4Fee+B12*[0]!FMainEntryFee</f>
        <v>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/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/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0</v>
      </c>
      <c r="S13" s="89" t="str">
        <f t="shared" si="4"/>
        <v/>
      </c>
      <c r="T13" s="90">
        <f>H13*[0]!FMainPool1Fee+I13*[0]!FMainPool2Fee+J13*[0]!FMainPool3Fee+K13*[0]!FMainPool4Fee+B13*[0]!FMainEntryFee</f>
        <v>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/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/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0</v>
      </c>
      <c r="S14" s="89" t="str">
        <f t="shared" si="4"/>
        <v/>
      </c>
      <c r="T14" s="90">
        <f>H14*[0]!FMainPool1Fee+I14*[0]!FMainPool2Fee+J14*[0]!FMainPool3Fee+K14*[0]!FMainPool4Fee+B14*[0]!FMainEntryFee</f>
        <v>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/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/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0</v>
      </c>
      <c r="S15" s="89" t="str">
        <f t="shared" si="4"/>
        <v/>
      </c>
      <c r="T15" s="90">
        <f>H15*[0]!FMainPool1Fee+I15*[0]!FMainPool2Fee+J15*[0]!FMainPool3Fee+K15*[0]!FMainPool4Fee+B15*[0]!FMainEntryFee</f>
        <v>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/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/>
      <c r="I16" s="9"/>
      <c r="J16" s="9"/>
      <c r="K16" s="9"/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0</v>
      </c>
      <c r="S16" s="89" t="str">
        <f t="shared" si="4"/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/>
      <c r="I17" s="9"/>
      <c r="J17" s="9"/>
      <c r="K17" s="9"/>
      <c r="L17" s="9"/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0</v>
      </c>
      <c r="S17" s="89" t="str">
        <f t="shared" si="4"/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/>
      <c r="I18" s="9"/>
      <c r="J18" s="9"/>
      <c r="K18" s="9"/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0</v>
      </c>
      <c r="S18" s="89" t="str">
        <f t="shared" si="4"/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/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0</v>
      </c>
      <c r="T19" s="90">
        <f>H19*[0]!FMainPool1Fee+I19*[0]!FMainPool2Fee+J19*[0]!FMainPool3Fee+K19*[0]!FMainPool4Fee+B19*[0]!FMainEntryFee</f>
        <v>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/>
      <c r="C20" s="6" t="s">
        <v>743</v>
      </c>
      <c r="D20" s="6" t="s">
        <v>744</v>
      </c>
      <c r="E20" s="7" t="s">
        <v>745</v>
      </c>
      <c r="F20" s="86">
        <v>9257272271</v>
      </c>
      <c r="G20" s="120" t="s">
        <v>746</v>
      </c>
      <c r="H20" s="8"/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0</v>
      </c>
      <c r="T20" s="90">
        <f>H20*[0]!FMainPool1Fee+I20*[0]!FMainPool2Fee+J20*[0]!FMainPool3Fee+K20*[0]!FMainPool4Fee+B20*[0]!FMainEntryFee</f>
        <v>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6" t="s">
        <v>764</v>
      </c>
      <c r="D21" s="6" t="s">
        <v>15</v>
      </c>
      <c r="E21" s="7" t="s">
        <v>765</v>
      </c>
      <c r="F21" s="104">
        <v>7078430341</v>
      </c>
      <c r="G21" s="120" t="s">
        <v>766</v>
      </c>
      <c r="H21" s="8"/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0</v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/>
      <c r="I22" s="9"/>
      <c r="J22" s="9"/>
      <c r="K22" s="9"/>
      <c r="L22" s="9"/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0</v>
      </c>
      <c r="S22" s="89" t="str">
        <f t="shared" si="4"/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/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/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0</v>
      </c>
      <c r="S23" s="89" t="str">
        <f t="shared" si="4"/>
        <v/>
      </c>
      <c r="T23" s="90">
        <f>H23*[0]!FMainPool1Fee+I23*[0]!FMainPool2Fee+J23*[0]!FMainPool3Fee+K23*[0]!FMainPool4Fee+B23*[0]!FMainEntryFee</f>
        <v>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0</v>
      </c>
      <c r="S24" s="89" t="str">
        <f t="shared" si="4"/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/>
      <c r="I25" s="9"/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0</v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101" t="s">
        <v>599</v>
      </c>
      <c r="D26" s="101" t="s">
        <v>304</v>
      </c>
      <c r="E26" s="95" t="s">
        <v>600</v>
      </c>
      <c r="F26" s="116">
        <v>2793335535</v>
      </c>
      <c r="G26" s="101"/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0</v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 t="s">
        <v>724</v>
      </c>
      <c r="Q27" s="9"/>
      <c r="R27" s="89" t="str">
        <f t="shared" si="3"/>
        <v/>
      </c>
      <c r="S27" s="89">
        <f t="shared" si="4"/>
        <v>0</v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/>
      <c r="I29" s="9"/>
      <c r="J29" s="9"/>
      <c r="K29" s="9"/>
      <c r="L29" s="9"/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0</v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/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0</v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0</v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/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0</v>
      </c>
      <c r="S33" s="89" t="str">
        <f t="shared" si="4"/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0</v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0</v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/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/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0</v>
      </c>
      <c r="T37" s="90">
        <f>H37*[0]!FMainPool1Fee+I37*[0]!FMainPool2Fee+J37*[0]!FMainPool3Fee+K37*[0]!FMainPool4Fee+B37*[0]!FMainEntryFee</f>
        <v>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/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/>
      <c r="I39" s="9"/>
      <c r="J39" s="9"/>
      <c r="K39" s="9"/>
      <c r="L39" s="9"/>
      <c r="M39" s="9"/>
      <c r="N39" s="9"/>
      <c r="O39" s="88">
        <f t="shared" si="2"/>
        <v>0</v>
      </c>
      <c r="P39" s="9"/>
      <c r="Q39" s="9"/>
      <c r="R39" s="89" t="str">
        <f t="shared" si="3"/>
        <v/>
      </c>
      <c r="S39" s="89" t="str">
        <f t="shared" si="4"/>
        <v/>
      </c>
      <c r="T39" s="90">
        <f>H39*[0]!FMainPool1Fee+I39*[0]!FMainPool2Fee+J39*[0]!FMainPool3Fee+K39*[0]!FMainPool4Fee+B39*[0]!FMainEntryFee</f>
        <v>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/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/>
      <c r="I40" s="9"/>
      <c r="J40" s="9"/>
      <c r="K40" s="9"/>
      <c r="L40" s="9"/>
      <c r="M40" s="9"/>
      <c r="N40" s="9"/>
      <c r="O40" s="88">
        <f t="shared" si="2"/>
        <v>0</v>
      </c>
      <c r="P40" s="9"/>
      <c r="Q40" s="9"/>
      <c r="R40" s="89" t="str">
        <f t="shared" si="3"/>
        <v/>
      </c>
      <c r="S40" s="89" t="str">
        <f t="shared" si="4"/>
        <v/>
      </c>
      <c r="T40" s="90">
        <f>H40*[0]!FMainPool1Fee+I40*[0]!FMainPool2Fee+J40*[0]!FMainPool3Fee+K40*[0]!FMainPool4Fee+B40*[0]!FMainEntryFee</f>
        <v>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/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0</v>
      </c>
      <c r="S41" s="89" t="str">
        <f t="shared" si="4"/>
        <v/>
      </c>
      <c r="T41" s="90">
        <f>H41*[0]!FMainPool1Fee+I41*[0]!FMainPool2Fee+J41*[0]!FMainPool3Fee+K41*[0]!FMainPool4Fee+B41*[0]!FMainEntryFee</f>
        <v>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/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/>
      <c r="I42" s="9"/>
      <c r="J42" s="9"/>
      <c r="K42" s="9"/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0</v>
      </c>
      <c r="T42" s="90">
        <f>H42*[0]!FMainPool1Fee+I42*[0]!FMainPool2Fee+J42*[0]!FMainPool3Fee+K42*[0]!FMainPool4Fee+B42*[0]!FMainEntryFee</f>
        <v>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/>
      <c r="I43" s="9"/>
      <c r="J43" s="9"/>
      <c r="K43" s="9"/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0</v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/>
      <c r="I44" s="9"/>
      <c r="J44" s="9"/>
      <c r="K44" s="9"/>
      <c r="L44" s="9"/>
      <c r="M44" s="9"/>
      <c r="N44" s="9"/>
      <c r="O44" s="88">
        <f t="shared" ref="O44:O68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0</v>
      </c>
      <c r="T44" s="90">
        <f>H44*[0]!FMainPool1Fee+I44*[0]!FMainPool2Fee+J44*[0]!FMainPool3Fee+K44*[0]!FMainPool4Fee+B44*[0]!FMainEntryFee</f>
        <v>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/>
      <c r="I45" s="9"/>
      <c r="J45" s="9"/>
      <c r="K45" s="9"/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0</v>
      </c>
      <c r="S45" s="89" t="str">
        <f t="shared" si="7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/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/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0</v>
      </c>
      <c r="S46" s="89" t="str">
        <f t="shared" si="7"/>
        <v/>
      </c>
      <c r="T46" s="90">
        <f>H46*[0]!FMainPool1Fee+I46*[0]!FMainPool2Fee+J46*[0]!FMainPool3Fee+K46*[0]!FMainPool4Fee+B46*[0]!FMainEntryFee</f>
        <v>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/>
      <c r="I47" s="9"/>
      <c r="J47" s="9"/>
      <c r="K47" s="9"/>
      <c r="L47" s="9"/>
      <c r="M47" s="9"/>
      <c r="N47" s="9"/>
      <c r="O47" s="88">
        <f t="shared" si="5"/>
        <v>0</v>
      </c>
      <c r="P47" s="9"/>
      <c r="Q47" s="9"/>
      <c r="R47" s="89" t="str">
        <f t="shared" si="6"/>
        <v/>
      </c>
      <c r="S47" s="89" t="str">
        <f t="shared" si="7"/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/>
      <c r="I48" s="9"/>
      <c r="J48" s="9"/>
      <c r="K48" s="9"/>
      <c r="L48" s="9"/>
      <c r="M48" s="9"/>
      <c r="N48" s="9"/>
      <c r="O48" s="88">
        <f t="shared" si="5"/>
        <v>0</v>
      </c>
      <c r="P48" s="9"/>
      <c r="Q48" s="9"/>
      <c r="R48" s="89" t="str">
        <f t="shared" si="6"/>
        <v/>
      </c>
      <c r="S48" s="89" t="str">
        <f t="shared" si="7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/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/>
      <c r="I49" s="9"/>
      <c r="J49" s="9"/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0</v>
      </c>
      <c r="S49" s="89" t="str">
        <f t="shared" si="7"/>
        <v/>
      </c>
      <c r="T49" s="90">
        <f>H49*[0]!FMainPool1Fee+I49*[0]!FMainPool2Fee+J49*[0]!FMainPool3Fee+K49*[0]!FMainPool4Fee+B49*[0]!FMainEntryFee</f>
        <v>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/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/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0</v>
      </c>
      <c r="S50" s="89" t="str">
        <f t="shared" si="7"/>
        <v/>
      </c>
      <c r="T50" s="90">
        <f>H50*[0]!FMainPool1Fee+I50*[0]!FMainPool2Fee+J50*[0]!FMainPool3Fee+K50*[0]!FMainPool4Fee+B50*[0]!FMainEntryFee</f>
        <v>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/>
      <c r="I51" s="9"/>
      <c r="J51" s="9"/>
      <c r="K51" s="9"/>
      <c r="L51" s="9"/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0</v>
      </c>
      <c r="S51" s="89" t="str">
        <f t="shared" si="7"/>
        <v/>
      </c>
      <c r="T51" s="90">
        <f>H51*[0]!FMainPool1Fee+I51*[0]!FMainPool2Fee+J51*[0]!FMainPool3Fee+K51*[0]!FMainPool4Fee+B51*[0]!FMainEntryFee</f>
        <v>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/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/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0</v>
      </c>
      <c r="S52" s="89" t="str">
        <f t="shared" si="7"/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/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/>
      <c r="I53" s="9"/>
      <c r="J53" s="9"/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0</v>
      </c>
      <c r="S53" s="89" t="str">
        <f t="shared" si="7"/>
        <v/>
      </c>
      <c r="T53" s="90">
        <f>H53*[0]!FMainPool1Fee+I53*[0]!FMainPool2Fee+J53*[0]!FMainPool3Fee+K53*[0]!FMainPool4Fee+B53*[0]!FMainEntryFee</f>
        <v>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/>
      <c r="I54" s="9"/>
      <c r="J54" s="9"/>
      <c r="K54" s="9"/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0</v>
      </c>
      <c r="S54" s="89" t="str">
        <f t="shared" si="7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/>
      <c r="C55" s="6" t="s">
        <v>247</v>
      </c>
      <c r="D55" s="6" t="s">
        <v>248</v>
      </c>
      <c r="E55" s="7" t="s">
        <v>249</v>
      </c>
      <c r="F55" s="118">
        <v>5302194729</v>
      </c>
      <c r="G55" s="87" t="s">
        <v>519</v>
      </c>
      <c r="H55" s="8"/>
      <c r="I55" s="9"/>
      <c r="J55" s="9"/>
      <c r="K55" s="9"/>
      <c r="L55" s="9"/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0</v>
      </c>
      <c r="S55" s="89" t="str">
        <f t="shared" si="7"/>
        <v/>
      </c>
      <c r="T55" s="90">
        <f>H55*[0]!FMainPool1Fee+I55*[0]!FMainPool2Fee+J55*[0]!FMainPool3Fee+K55*[0]!FMainPool4Fee+B55*[0]!FMainEntryFee</f>
        <v>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/>
      <c r="I56" s="9"/>
      <c r="J56" s="9"/>
      <c r="K56" s="9"/>
      <c r="L56" s="9"/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0</v>
      </c>
      <c r="S56" s="89" t="str">
        <f t="shared" si="7"/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/>
      <c r="I57" s="9"/>
      <c r="J57" s="9"/>
      <c r="K57" s="9"/>
      <c r="L57" s="9"/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0</v>
      </c>
      <c r="S57" s="89" t="str">
        <f t="shared" si="7"/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/>
      <c r="I58" s="9"/>
      <c r="J58" s="9"/>
      <c r="K58" s="9"/>
      <c r="L58" s="9"/>
      <c r="M58" s="9"/>
      <c r="N58" s="9"/>
      <c r="O58" s="88">
        <f t="shared" si="5"/>
        <v>0</v>
      </c>
      <c r="P58" s="9" t="s">
        <v>724</v>
      </c>
      <c r="Q58" s="9"/>
      <c r="R58" s="89" t="str">
        <f t="shared" si="6"/>
        <v/>
      </c>
      <c r="S58" s="89">
        <f t="shared" si="7"/>
        <v>0</v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/>
      <c r="I59" s="9"/>
      <c r="J59" s="9"/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0</v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0</v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/>
      <c r="I61" s="9"/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0</v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38</v>
      </c>
      <c r="D62" s="1" t="s">
        <v>5</v>
      </c>
      <c r="E62" s="2" t="s">
        <v>198</v>
      </c>
      <c r="F62" s="119">
        <v>7072524331</v>
      </c>
      <c r="G62" s="94" t="s">
        <v>375</v>
      </c>
      <c r="H62" s="8"/>
      <c r="I62" s="9"/>
      <c r="J62" s="9"/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0</v>
      </c>
      <c r="S62" s="89" t="str">
        <f t="shared" si="7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/>
      <c r="I63" s="9"/>
      <c r="J63" s="9"/>
      <c r="K63" s="9"/>
      <c r="L63" s="9"/>
      <c r="M63" s="9"/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0</v>
      </c>
      <c r="S63" s="89" t="str">
        <f t="shared" si="7"/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/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/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0</v>
      </c>
      <c r="S64" s="89" t="str">
        <f t="shared" si="7"/>
        <v/>
      </c>
      <c r="T64" s="90">
        <f>H64*[0]!FMainPool1Fee+I64*[0]!FMainPool2Fee+J64*[0]!FMainPool3Fee+K64*[0]!FMainPool4Fee+B64*[0]!FMainEntryFee</f>
        <v>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451</v>
      </c>
      <c r="D65" s="6" t="s">
        <v>466</v>
      </c>
      <c r="E65" s="7" t="s">
        <v>452</v>
      </c>
      <c r="F65" s="11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0</v>
      </c>
      <c r="S65" s="89" t="str">
        <f t="shared" si="7"/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733</v>
      </c>
      <c r="D66" s="6" t="s">
        <v>734</v>
      </c>
      <c r="E66" s="7" t="s">
        <v>735</v>
      </c>
      <c r="F66" s="118">
        <v>4178488838</v>
      </c>
      <c r="G66" s="115" t="s">
        <v>736</v>
      </c>
      <c r="H66" s="8"/>
      <c r="I66" s="9"/>
      <c r="J66" s="9"/>
      <c r="K66" s="9"/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0</v>
      </c>
      <c r="S66" s="89" t="str">
        <f t="shared" si="7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/>
      <c r="I67" s="9"/>
      <c r="J67" s="9"/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0</v>
      </c>
      <c r="S67" s="89" t="str">
        <f t="shared" si="7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/>
      <c r="I68" s="9"/>
      <c r="J68" s="9"/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0</v>
      </c>
      <c r="S68" s="89" t="str">
        <f t="shared" si="7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 t="shared" si="6"/>
        <v/>
      </c>
      <c r="S69" s="89" t="str">
        <f t="shared" si="7"/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71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 t="shared" ref="O70:O101" si="8">T70*N70</f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 t="shared" si="8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 t="shared" si="8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 t="shared" si="8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 t="shared" si="8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700</v>
      </c>
      <c r="D88" s="6" t="s">
        <v>46</v>
      </c>
      <c r="E88" s="7" t="s">
        <v>701</v>
      </c>
      <c r="F88" s="11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si="8"/>
        <v>0</v>
      </c>
      <c r="P89" s="9"/>
      <c r="Q89" s="9"/>
      <c r="R89" s="89" t="str">
        <f t="shared" si="9"/>
        <v/>
      </c>
      <c r="S89" s="89" t="str">
        <f t="shared" si="10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8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8"/>
        <v>0</v>
      </c>
      <c r="P93" s="9"/>
      <c r="Q93" s="9"/>
      <c r="R93" s="89" t="str">
        <f t="shared" si="9"/>
        <v/>
      </c>
      <c r="S93" s="89" t="str">
        <f t="shared" si="10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ref="O102:O133" si="12">T102*N102</f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9"/>
        <v/>
      </c>
      <c r="S105" s="89" t="str">
        <f t="shared" si="10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8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9"/>
        <v/>
      </c>
      <c r="S107" s="89" t="str">
        <f t="shared" si="10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2"/>
        <v>0</v>
      </c>
      <c r="P128" s="9"/>
      <c r="Q128" s="9"/>
      <c r="R128" s="89" t="str">
        <f t="shared" si="13"/>
        <v/>
      </c>
      <c r="S128" s="89" t="str">
        <f t="shared" si="14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2"/>
        <v>0</v>
      </c>
      <c r="P129" s="9"/>
      <c r="Q129" s="9"/>
      <c r="R129" s="89" t="str">
        <f t="shared" si="13"/>
        <v/>
      </c>
      <c r="S129" s="89" t="str">
        <f t="shared" si="14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2"/>
        <v>0</v>
      </c>
      <c r="P132" s="9"/>
      <c r="Q132" s="9"/>
      <c r="R132" s="89" t="str">
        <f t="shared" si="13"/>
        <v/>
      </c>
      <c r="S132" s="89" t="str">
        <f t="shared" si="14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2"/>
        <v>0</v>
      </c>
      <c r="P133" s="9"/>
      <c r="Q133" s="9"/>
      <c r="R133" s="89" t="str">
        <f t="shared" si="13"/>
        <v/>
      </c>
      <c r="S133" s="89" t="str">
        <f t="shared" si="14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ref="O134:O165" si="15">T134*N134</f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3"/>
        <v/>
      </c>
      <c r="S136" s="89" t="str">
        <f t="shared" si="14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3"/>
        <v/>
      </c>
      <c r="S137" s="89" t="str">
        <f t="shared" si="14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6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5"/>
        <v>0</v>
      </c>
      <c r="P157" s="9"/>
      <c r="Q157" s="9"/>
      <c r="R157" s="89" t="str">
        <f t="shared" si="16"/>
        <v/>
      </c>
      <c r="S157" s="89" t="str">
        <f t="shared" si="17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5"/>
        <v>0</v>
      </c>
      <c r="P160" s="9"/>
      <c r="Q160" s="9"/>
      <c r="R160" s="89" t="str">
        <f t="shared" si="16"/>
        <v/>
      </c>
      <c r="S160" s="89" t="str">
        <f t="shared" si="17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5"/>
        <v>0</v>
      </c>
      <c r="P163" s="9"/>
      <c r="Q163" s="9"/>
      <c r="R163" s="89" t="str">
        <f t="shared" si="16"/>
        <v/>
      </c>
      <c r="S163" s="89" t="str">
        <f t="shared" si="17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5"/>
        <v>0</v>
      </c>
      <c r="P164" s="9"/>
      <c r="Q164" s="9"/>
      <c r="R164" s="89" t="str">
        <f t="shared" si="16"/>
        <v/>
      </c>
      <c r="S164" s="89" t="str">
        <f t="shared" si="17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ref="O166:O197" si="19">T166*N166</f>
        <v>0</v>
      </c>
      <c r="P166" s="9"/>
      <c r="Q166" s="9"/>
      <c r="R166" s="89" t="str">
        <f t="shared" si="16"/>
        <v/>
      </c>
      <c r="S166" s="89" t="str">
        <f t="shared" si="17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16"/>
        <v/>
      </c>
      <c r="S169" s="89" t="str">
        <f t="shared" si="17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16"/>
        <v/>
      </c>
      <c r="S170" s="89" t="str">
        <f t="shared" si="17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19"/>
        <v>0</v>
      </c>
      <c r="P187" s="9"/>
      <c r="Q187" s="9"/>
      <c r="R187" s="89" t="str">
        <f t="shared" si="20"/>
        <v/>
      </c>
      <c r="S187" s="89" t="str">
        <f t="shared" si="21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19"/>
        <v>0</v>
      </c>
      <c r="P188" s="9"/>
      <c r="Q188" s="9"/>
      <c r="R188" s="89" t="str">
        <f t="shared" si="20"/>
        <v/>
      </c>
      <c r="S188" s="89" t="str">
        <f t="shared" si="21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19"/>
        <v>0</v>
      </c>
      <c r="P192" s="9"/>
      <c r="Q192" s="9"/>
      <c r="R192" s="89" t="str">
        <f t="shared" si="20"/>
        <v/>
      </c>
      <c r="S192" s="89" t="str">
        <f t="shared" si="21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/>
      <c r="Q197" s="9"/>
      <c r="R197" s="89" t="str">
        <f t="shared" si="20"/>
        <v/>
      </c>
      <c r="S197" s="89" t="str">
        <f t="shared" si="21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ref="O198:O210" si="22">T198*N198</f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ref="R204:R210" si="23">IF(OR(P204="c",P204="C"),+T204,"")</f>
        <v/>
      </c>
      <c r="S204" s="89" t="str">
        <f t="shared" ref="S204:S210" si="24"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WhereAmI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2026-01-25T23:48:26Z</dcterms:modified>
</cp:coreProperties>
</file>