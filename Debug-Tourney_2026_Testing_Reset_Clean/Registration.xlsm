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CD51272E-C2C1-4A0A-A3DF-9628A5BAAC1E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0" i="1" l="1"/>
  <c r="S220" i="1"/>
  <c r="R220" i="1"/>
  <c r="O220" i="1"/>
  <c r="A220" i="1"/>
  <c r="T219" i="1"/>
  <c r="O219" i="1" s="1"/>
  <c r="S219" i="1"/>
  <c r="R219" i="1"/>
  <c r="A219" i="1"/>
  <c r="T218" i="1"/>
  <c r="S218" i="1"/>
  <c r="R218" i="1"/>
  <c r="O218" i="1"/>
  <c r="A218" i="1"/>
  <c r="T217" i="1"/>
  <c r="S217" i="1"/>
  <c r="R217" i="1"/>
  <c r="O217" i="1"/>
  <c r="A217" i="1"/>
  <c r="T216" i="1"/>
  <c r="O216" i="1" s="1"/>
  <c r="S216" i="1"/>
  <c r="R216" i="1"/>
  <c r="A216" i="1"/>
  <c r="T215" i="1"/>
  <c r="O215" i="1" s="1"/>
  <c r="S215" i="1"/>
  <c r="R215" i="1"/>
  <c r="A215" i="1"/>
  <c r="T214" i="1"/>
  <c r="S214" i="1"/>
  <c r="R214" i="1"/>
  <c r="O214" i="1"/>
  <c r="A214" i="1"/>
  <c r="T213" i="1"/>
  <c r="O213" i="1" s="1"/>
  <c r="S213" i="1"/>
  <c r="R213" i="1"/>
  <c r="A213" i="1"/>
  <c r="T212" i="1"/>
  <c r="S212" i="1"/>
  <c r="R212" i="1"/>
  <c r="O212" i="1"/>
  <c r="A212" i="1"/>
  <c r="T211" i="1"/>
  <c r="S211" i="1"/>
  <c r="R211" i="1"/>
  <c r="O211" i="1"/>
  <c r="A211" i="1"/>
  <c r="T64" i="1"/>
  <c r="O64" i="1" s="1"/>
  <c r="S64" i="1"/>
  <c r="R64" i="1"/>
  <c r="A210" i="1"/>
  <c r="T210" i="1"/>
  <c r="O210" i="1" s="1"/>
  <c r="S210" i="1"/>
  <c r="A209" i="1"/>
  <c r="T209" i="1"/>
  <c r="O209" i="1" s="1"/>
  <c r="S209" i="1"/>
  <c r="A208" i="1"/>
  <c r="T208" i="1"/>
  <c r="O208" i="1" s="1"/>
  <c r="S208" i="1"/>
  <c r="A207" i="1"/>
  <c r="T207" i="1"/>
  <c r="O207" i="1" s="1"/>
  <c r="S207" i="1"/>
  <c r="A206" i="1"/>
  <c r="T63" i="1"/>
  <c r="O63" i="1" s="1"/>
  <c r="S63" i="1"/>
  <c r="A205" i="1"/>
  <c r="T62" i="1"/>
  <c r="O62" i="1" s="1"/>
  <c r="S62" i="1"/>
  <c r="A204" i="1"/>
  <c r="T206" i="1"/>
  <c r="R206" i="1" s="1"/>
  <c r="S206" i="1"/>
  <c r="A203" i="1"/>
  <c r="T205" i="1"/>
  <c r="O205" i="1" s="1"/>
  <c r="S205" i="1"/>
  <c r="A202" i="1"/>
  <c r="T204" i="1"/>
  <c r="O204" i="1" s="1"/>
  <c r="S204" i="1"/>
  <c r="A201" i="1"/>
  <c r="T203" i="1"/>
  <c r="O203" i="1" s="1"/>
  <c r="S203" i="1"/>
  <c r="A200" i="1"/>
  <c r="T202" i="1"/>
  <c r="O202" i="1" s="1"/>
  <c r="S202" i="1"/>
  <c r="A199" i="1"/>
  <c r="T201" i="1"/>
  <c r="O201" i="1" s="1"/>
  <c r="S201" i="1"/>
  <c r="A198" i="1"/>
  <c r="T61" i="1"/>
  <c r="O61" i="1" s="1"/>
  <c r="S61" i="1"/>
  <c r="A197" i="1"/>
  <c r="T200" i="1"/>
  <c r="O200" i="1" s="1"/>
  <c r="S200" i="1"/>
  <c r="A196" i="1"/>
  <c r="T199" i="1"/>
  <c r="O199" i="1" s="1"/>
  <c r="S199" i="1"/>
  <c r="A195" i="1"/>
  <c r="T198" i="1"/>
  <c r="O198" i="1" s="1"/>
  <c r="S198" i="1"/>
  <c r="R198" i="1"/>
  <c r="A194" i="1"/>
  <c r="T197" i="1"/>
  <c r="O197" i="1" s="1"/>
  <c r="S197" i="1"/>
  <c r="A193" i="1"/>
  <c r="T60" i="1"/>
  <c r="O60" i="1" s="1"/>
  <c r="S60" i="1"/>
  <c r="A192" i="1"/>
  <c r="T196" i="1"/>
  <c r="O196" i="1" s="1"/>
  <c r="S196" i="1"/>
  <c r="A191" i="1"/>
  <c r="T195" i="1"/>
  <c r="O195" i="1" s="1"/>
  <c r="S195" i="1"/>
  <c r="R195" i="1"/>
  <c r="A190" i="1"/>
  <c r="T194" i="1"/>
  <c r="O194" i="1" s="1"/>
  <c r="S194" i="1"/>
  <c r="R194" i="1"/>
  <c r="A189" i="1"/>
  <c r="T59" i="1"/>
  <c r="R59" i="1" s="1"/>
  <c r="S59" i="1"/>
  <c r="A188" i="1"/>
  <c r="T58" i="1"/>
  <c r="O58" i="1" s="1"/>
  <c r="S58" i="1"/>
  <c r="A187" i="1"/>
  <c r="T193" i="1"/>
  <c r="O193" i="1" s="1"/>
  <c r="S193" i="1"/>
  <c r="A186" i="1"/>
  <c r="T192" i="1"/>
  <c r="O192" i="1" s="1"/>
  <c r="S192" i="1"/>
  <c r="A185" i="1"/>
  <c r="T57" i="1"/>
  <c r="S57" i="1" s="1"/>
  <c r="R57" i="1"/>
  <c r="A184" i="1"/>
  <c r="T191" i="1"/>
  <c r="R191" i="1" s="1"/>
  <c r="S191" i="1"/>
  <c r="A183" i="1"/>
  <c r="T190" i="1"/>
  <c r="R190" i="1" s="1"/>
  <c r="S190" i="1"/>
  <c r="O190" i="1"/>
  <c r="A182" i="1"/>
  <c r="T189" i="1"/>
  <c r="O189" i="1" s="1"/>
  <c r="S189" i="1"/>
  <c r="A181" i="1"/>
  <c r="T56" i="1"/>
  <c r="S56" i="1" s="1"/>
  <c r="R56" i="1"/>
  <c r="A180" i="1"/>
  <c r="T55" i="1"/>
  <c r="S55" i="1" s="1"/>
  <c r="R55" i="1"/>
  <c r="A179" i="1"/>
  <c r="T54" i="1"/>
  <c r="O54" i="1" s="1"/>
  <c r="R54" i="1"/>
  <c r="A178" i="1"/>
  <c r="T188" i="1"/>
  <c r="O188" i="1" s="1"/>
  <c r="S188" i="1"/>
  <c r="A177" i="1"/>
  <c r="T187" i="1"/>
  <c r="R187" i="1" s="1"/>
  <c r="S187" i="1"/>
  <c r="A176" i="1"/>
  <c r="T186" i="1"/>
  <c r="O186" i="1" s="1"/>
  <c r="S186" i="1"/>
  <c r="A175" i="1"/>
  <c r="T185" i="1"/>
  <c r="O185" i="1" s="1"/>
  <c r="S185" i="1"/>
  <c r="A174" i="1"/>
  <c r="T184" i="1"/>
  <c r="R184" i="1" s="1"/>
  <c r="S184" i="1"/>
  <c r="A173" i="1"/>
  <c r="T183" i="1"/>
  <c r="O183" i="1" s="1"/>
  <c r="S183" i="1"/>
  <c r="R183" i="1"/>
  <c r="A172" i="1"/>
  <c r="T182" i="1"/>
  <c r="O182" i="1" s="1"/>
  <c r="S182" i="1"/>
  <c r="A171" i="1"/>
  <c r="T53" i="1"/>
  <c r="R53" i="1" s="1"/>
  <c r="S53" i="1"/>
  <c r="A170" i="1"/>
  <c r="T52" i="1"/>
  <c r="O52" i="1" s="1"/>
  <c r="S52" i="1"/>
  <c r="A169" i="1"/>
  <c r="T181" i="1"/>
  <c r="O181" i="1" s="1"/>
  <c r="S181" i="1"/>
  <c r="R181" i="1"/>
  <c r="A168" i="1"/>
  <c r="T180" i="1"/>
  <c r="O180" i="1" s="1"/>
  <c r="S180" i="1"/>
  <c r="A167" i="1"/>
  <c r="T51" i="1"/>
  <c r="R51" i="1" s="1"/>
  <c r="S51" i="1"/>
  <c r="A166" i="1"/>
  <c r="T179" i="1"/>
  <c r="O179" i="1" s="1"/>
  <c r="S179" i="1"/>
  <c r="A165" i="1"/>
  <c r="T50" i="1"/>
  <c r="R50" i="1" s="1"/>
  <c r="S50" i="1"/>
  <c r="O50" i="1"/>
  <c r="A164" i="1"/>
  <c r="T49" i="1"/>
  <c r="R49" i="1" s="1"/>
  <c r="S49" i="1"/>
  <c r="A163" i="1"/>
  <c r="T178" i="1"/>
  <c r="R178" i="1" s="1"/>
  <c r="S178" i="1"/>
  <c r="O178" i="1"/>
  <c r="A162" i="1"/>
  <c r="T177" i="1"/>
  <c r="R177" i="1" s="1"/>
  <c r="S177" i="1"/>
  <c r="A161" i="1"/>
  <c r="T48" i="1"/>
  <c r="R48" i="1" s="1"/>
  <c r="S48" i="1"/>
  <c r="A160" i="1"/>
  <c r="T176" i="1"/>
  <c r="O176" i="1" s="1"/>
  <c r="S176" i="1"/>
  <c r="A159" i="1"/>
  <c r="T175" i="1"/>
  <c r="O175" i="1" s="1"/>
  <c r="S175" i="1"/>
  <c r="A158" i="1"/>
  <c r="T47" i="1"/>
  <c r="O47" i="1" s="1"/>
  <c r="S47" i="1"/>
  <c r="A157" i="1"/>
  <c r="T174" i="1"/>
  <c r="O174" i="1" s="1"/>
  <c r="S174" i="1"/>
  <c r="A156" i="1"/>
  <c r="T173" i="1"/>
  <c r="O173" i="1" s="1"/>
  <c r="S173" i="1"/>
  <c r="A155" i="1"/>
  <c r="T172" i="1"/>
  <c r="O172" i="1" s="1"/>
  <c r="S172" i="1"/>
  <c r="A154" i="1"/>
  <c r="T171" i="1"/>
  <c r="O171" i="1" s="1"/>
  <c r="S171" i="1"/>
  <c r="A153" i="1"/>
  <c r="T170" i="1"/>
  <c r="O170" i="1" s="1"/>
  <c r="S170" i="1"/>
  <c r="R170" i="1"/>
  <c r="A152" i="1"/>
  <c r="T169" i="1"/>
  <c r="O169" i="1" s="1"/>
  <c r="S169" i="1"/>
  <c r="A151" i="1"/>
  <c r="T168" i="1"/>
  <c r="O168" i="1" s="1"/>
  <c r="S168" i="1"/>
  <c r="A150" i="1"/>
  <c r="T167" i="1"/>
  <c r="O167" i="1" s="1"/>
  <c r="S167" i="1"/>
  <c r="A149" i="1"/>
  <c r="T166" i="1"/>
  <c r="R166" i="1" s="1"/>
  <c r="S166" i="1"/>
  <c r="A148" i="1"/>
  <c r="T165" i="1"/>
  <c r="O165" i="1" s="1"/>
  <c r="S165" i="1"/>
  <c r="A147" i="1"/>
  <c r="T46" i="1"/>
  <c r="O46" i="1" s="1"/>
  <c r="S46" i="1"/>
  <c r="A146" i="1"/>
  <c r="T45" i="1"/>
  <c r="R45" i="1" s="1"/>
  <c r="S45" i="1"/>
  <c r="A145" i="1"/>
  <c r="T164" i="1"/>
  <c r="O164" i="1" s="1"/>
  <c r="S164" i="1"/>
  <c r="A144" i="1"/>
  <c r="T163" i="1"/>
  <c r="O163" i="1" s="1"/>
  <c r="S163" i="1"/>
  <c r="A143" i="1"/>
  <c r="T162" i="1"/>
  <c r="O162" i="1" s="1"/>
  <c r="S162" i="1"/>
  <c r="A142" i="1"/>
  <c r="T44" i="1"/>
  <c r="O44" i="1" s="1"/>
  <c r="R44" i="1"/>
  <c r="A141" i="1"/>
  <c r="T161" i="1"/>
  <c r="O161" i="1" s="1"/>
  <c r="S161" i="1"/>
  <c r="A140" i="1"/>
  <c r="T160" i="1"/>
  <c r="O160" i="1" s="1"/>
  <c r="S160" i="1"/>
  <c r="A139" i="1"/>
  <c r="T159" i="1"/>
  <c r="O159" i="1" s="1"/>
  <c r="S159" i="1"/>
  <c r="R159" i="1"/>
  <c r="A138" i="1"/>
  <c r="T43" i="1"/>
  <c r="O43" i="1" s="1"/>
  <c r="R43" i="1"/>
  <c r="A137" i="1"/>
  <c r="T42" i="1"/>
  <c r="R42" i="1" s="1"/>
  <c r="S42" i="1"/>
  <c r="A136" i="1"/>
  <c r="T158" i="1"/>
  <c r="O158" i="1" s="1"/>
  <c r="S158" i="1"/>
  <c r="R158" i="1"/>
  <c r="A135" i="1"/>
  <c r="T157" i="1"/>
  <c r="O157" i="1" s="1"/>
  <c r="S157" i="1"/>
  <c r="A134" i="1"/>
  <c r="T41" i="1"/>
  <c r="R41" i="1" s="1"/>
  <c r="S41" i="1"/>
  <c r="A133" i="1"/>
  <c r="T40" i="1"/>
  <c r="O40" i="1" s="1"/>
  <c r="R40" i="1"/>
  <c r="A132" i="1"/>
  <c r="T156" i="1"/>
  <c r="O156" i="1" s="1"/>
  <c r="S156" i="1"/>
  <c r="A131" i="1"/>
  <c r="T155" i="1"/>
  <c r="R155" i="1" s="1"/>
  <c r="S155" i="1"/>
  <c r="A130" i="1"/>
  <c r="T154" i="1"/>
  <c r="O154" i="1" s="1"/>
  <c r="S154" i="1"/>
  <c r="A129" i="1"/>
  <c r="T39" i="1"/>
  <c r="S39" i="1" s="1"/>
  <c r="R39" i="1"/>
  <c r="A128" i="1"/>
  <c r="T153" i="1"/>
  <c r="R153" i="1" s="1"/>
  <c r="S153" i="1"/>
  <c r="O153" i="1"/>
  <c r="A127" i="1"/>
  <c r="T152" i="1"/>
  <c r="O152" i="1" s="1"/>
  <c r="S152" i="1"/>
  <c r="A126" i="1"/>
  <c r="T151" i="1"/>
  <c r="O151" i="1" s="1"/>
  <c r="S151" i="1"/>
  <c r="A125" i="1"/>
  <c r="T150" i="1"/>
  <c r="O150" i="1" s="1"/>
  <c r="S150" i="1"/>
  <c r="A124" i="1"/>
  <c r="T149" i="1"/>
  <c r="O149" i="1" s="1"/>
  <c r="S149" i="1"/>
  <c r="A123" i="1"/>
  <c r="T148" i="1"/>
  <c r="O148" i="1" s="1"/>
  <c r="S148" i="1"/>
  <c r="A122" i="1"/>
  <c r="T147" i="1"/>
  <c r="O147" i="1" s="1"/>
  <c r="S147" i="1"/>
  <c r="A121" i="1"/>
  <c r="T146" i="1"/>
  <c r="R146" i="1" s="1"/>
  <c r="S146" i="1"/>
  <c r="A120" i="1"/>
  <c r="T38" i="1"/>
  <c r="O38" i="1" s="1"/>
  <c r="S38" i="1"/>
  <c r="A119" i="1"/>
  <c r="T145" i="1"/>
  <c r="O145" i="1" s="1"/>
  <c r="S145" i="1"/>
  <c r="A118" i="1"/>
  <c r="T37" i="1"/>
  <c r="O37" i="1" s="1"/>
  <c r="R37" i="1"/>
  <c r="A117" i="1"/>
  <c r="T144" i="1"/>
  <c r="O144" i="1" s="1"/>
  <c r="S144" i="1"/>
  <c r="A116" i="1"/>
  <c r="T36" i="1"/>
  <c r="S36" i="1" s="1"/>
  <c r="R36" i="1"/>
  <c r="A115" i="1"/>
  <c r="T35" i="1"/>
  <c r="O35" i="1" s="1"/>
  <c r="R35" i="1"/>
  <c r="A114" i="1"/>
  <c r="T34" i="1"/>
  <c r="O34" i="1" s="1"/>
  <c r="R34" i="1"/>
  <c r="A113" i="1"/>
  <c r="T143" i="1"/>
  <c r="O143" i="1" s="1"/>
  <c r="S143" i="1"/>
  <c r="A112" i="1"/>
  <c r="T142" i="1"/>
  <c r="R142" i="1" s="1"/>
  <c r="S142" i="1"/>
  <c r="O142" i="1"/>
  <c r="A111" i="1"/>
  <c r="T141" i="1"/>
  <c r="O141" i="1" s="1"/>
  <c r="S141" i="1"/>
  <c r="R141" i="1"/>
  <c r="A110" i="1"/>
  <c r="T140" i="1"/>
  <c r="R140" i="1" s="1"/>
  <c r="S140" i="1"/>
  <c r="A109" i="1"/>
  <c r="T139" i="1"/>
  <c r="R139" i="1" s="1"/>
  <c r="S139" i="1"/>
  <c r="A108" i="1"/>
  <c r="T138" i="1"/>
  <c r="S138" i="1" s="1"/>
  <c r="R138" i="1"/>
  <c r="A107" i="1"/>
  <c r="T137" i="1"/>
  <c r="O137" i="1" s="1"/>
  <c r="S137" i="1"/>
  <c r="A106" i="1"/>
  <c r="T33" i="1"/>
  <c r="R33" i="1" s="1"/>
  <c r="S33" i="1"/>
  <c r="A105" i="1"/>
  <c r="T136" i="1"/>
  <c r="O136" i="1" s="1"/>
  <c r="S136" i="1"/>
  <c r="A104" i="1"/>
  <c r="T135" i="1"/>
  <c r="O135" i="1" s="1"/>
  <c r="S135" i="1"/>
  <c r="A103" i="1"/>
  <c r="T134" i="1"/>
  <c r="O134" i="1" s="1"/>
  <c r="S134" i="1"/>
  <c r="R134" i="1"/>
  <c r="A102" i="1"/>
  <c r="T133" i="1"/>
  <c r="O133" i="1" s="1"/>
  <c r="S133" i="1"/>
  <c r="A101" i="1"/>
  <c r="T132" i="1"/>
  <c r="O132" i="1" s="1"/>
  <c r="S132" i="1"/>
  <c r="A100" i="1"/>
  <c r="T131" i="1"/>
  <c r="O131" i="1" s="1"/>
  <c r="S131" i="1"/>
  <c r="R131" i="1"/>
  <c r="A99" i="1"/>
  <c r="T130" i="1"/>
  <c r="S130" i="1"/>
  <c r="R130" i="1"/>
  <c r="O130" i="1"/>
  <c r="A98" i="1"/>
  <c r="T129" i="1"/>
  <c r="O129" i="1" s="1"/>
  <c r="S129" i="1"/>
  <c r="A97" i="1"/>
  <c r="T128" i="1"/>
  <c r="O128" i="1" s="1"/>
  <c r="S128" i="1"/>
  <c r="A96" i="1"/>
  <c r="T127" i="1"/>
  <c r="O127" i="1" s="1"/>
  <c r="S127" i="1"/>
  <c r="A95" i="1"/>
  <c r="T126" i="1"/>
  <c r="O126" i="1" s="1"/>
  <c r="S126" i="1"/>
  <c r="R126" i="1"/>
  <c r="A94" i="1"/>
  <c r="T32" i="1"/>
  <c r="O32" i="1" s="1"/>
  <c r="S32" i="1"/>
  <c r="A93" i="1"/>
  <c r="T125" i="1"/>
  <c r="R125" i="1" s="1"/>
  <c r="S125" i="1"/>
  <c r="A92" i="1"/>
  <c r="T124" i="1"/>
  <c r="O124" i="1" s="1"/>
  <c r="S124" i="1"/>
  <c r="A91" i="1"/>
  <c r="T123" i="1"/>
  <c r="O123" i="1" s="1"/>
  <c r="S123" i="1"/>
  <c r="A90" i="1"/>
  <c r="T31" i="1"/>
  <c r="R31" i="1" s="1"/>
  <c r="S31" i="1"/>
  <c r="A89" i="1"/>
  <c r="T122" i="1"/>
  <c r="O122" i="1" s="1"/>
  <c r="S122" i="1"/>
  <c r="A88" i="1"/>
  <c r="T121" i="1"/>
  <c r="O121" i="1" s="1"/>
  <c r="S121" i="1"/>
  <c r="A87" i="1"/>
  <c r="T30" i="1"/>
  <c r="O30" i="1" s="1"/>
  <c r="R30" i="1"/>
  <c r="A86" i="1"/>
  <c r="T120" i="1"/>
  <c r="O120" i="1" s="1"/>
  <c r="S120" i="1"/>
  <c r="A85" i="1"/>
  <c r="T119" i="1"/>
  <c r="O119" i="1" s="1"/>
  <c r="S119" i="1"/>
  <c r="A84" i="1"/>
  <c r="T29" i="1"/>
  <c r="O29" i="1" s="1"/>
  <c r="R29" i="1"/>
  <c r="A83" i="1"/>
  <c r="T118" i="1"/>
  <c r="O118" i="1" s="1"/>
  <c r="S118" i="1"/>
  <c r="A82" i="1"/>
  <c r="T117" i="1"/>
  <c r="R117" i="1" s="1"/>
  <c r="S117" i="1"/>
  <c r="T116" i="1"/>
  <c r="O116" i="1" s="1"/>
  <c r="S116" i="1"/>
  <c r="R116" i="1"/>
  <c r="T28" i="1"/>
  <c r="O28" i="1" s="1"/>
  <c r="R28" i="1"/>
  <c r="A79" i="1"/>
  <c r="T27" i="1"/>
  <c r="O27" i="1" s="1"/>
  <c r="R27" i="1"/>
  <c r="A78" i="1"/>
  <c r="T115" i="1"/>
  <c r="O115" i="1" s="1"/>
  <c r="S115" i="1"/>
  <c r="A77" i="1"/>
  <c r="T114" i="1"/>
  <c r="O114" i="1" s="1"/>
  <c r="S114" i="1"/>
  <c r="R114" i="1"/>
  <c r="A76" i="1"/>
  <c r="T113" i="1"/>
  <c r="O113" i="1" s="1"/>
  <c r="S113" i="1"/>
  <c r="R113" i="1"/>
  <c r="A75" i="1"/>
  <c r="T112" i="1"/>
  <c r="R112" i="1" s="1"/>
  <c r="S112" i="1"/>
  <c r="A74" i="1"/>
  <c r="T111" i="1"/>
  <c r="O111" i="1" s="1"/>
  <c r="S111" i="1"/>
  <c r="A73" i="1"/>
  <c r="T110" i="1"/>
  <c r="O110" i="1" s="1"/>
  <c r="S110" i="1"/>
  <c r="A72" i="1"/>
  <c r="T109" i="1"/>
  <c r="O109" i="1" s="1"/>
  <c r="S109" i="1"/>
  <c r="A71" i="1"/>
  <c r="T26" i="1"/>
  <c r="S26" i="1" s="1"/>
  <c r="R26" i="1"/>
  <c r="A70" i="1"/>
  <c r="T108" i="1"/>
  <c r="O108" i="1" s="1"/>
  <c r="S108" i="1"/>
  <c r="A69" i="1"/>
  <c r="T107" i="1"/>
  <c r="S107" i="1"/>
  <c r="R107" i="1"/>
  <c r="O107" i="1"/>
  <c r="A68" i="1"/>
  <c r="T106" i="1"/>
  <c r="O106" i="1" s="1"/>
  <c r="S106" i="1"/>
  <c r="R106" i="1"/>
  <c r="A67" i="1"/>
  <c r="T105" i="1"/>
  <c r="O105" i="1" s="1"/>
  <c r="S105" i="1"/>
  <c r="A66" i="1"/>
  <c r="T104" i="1"/>
  <c r="O104" i="1" s="1"/>
  <c r="S104" i="1"/>
  <c r="A65" i="1"/>
  <c r="T25" i="1"/>
  <c r="S25" i="1" s="1"/>
  <c r="R25" i="1"/>
  <c r="A64" i="1"/>
  <c r="T103" i="1"/>
  <c r="O103" i="1" s="1"/>
  <c r="S103" i="1"/>
  <c r="A63" i="1"/>
  <c r="T102" i="1"/>
  <c r="O102" i="1" s="1"/>
  <c r="S102" i="1"/>
  <c r="A62" i="1"/>
  <c r="T101" i="1"/>
  <c r="R101" i="1" s="1"/>
  <c r="S101" i="1"/>
  <c r="A61" i="1"/>
  <c r="T100" i="1"/>
  <c r="O100" i="1" s="1"/>
  <c r="S100" i="1"/>
  <c r="R100" i="1"/>
  <c r="A60" i="1"/>
  <c r="T99" i="1"/>
  <c r="O99" i="1" s="1"/>
  <c r="S99" i="1"/>
  <c r="A59" i="1"/>
  <c r="T98" i="1"/>
  <c r="O98" i="1" s="1"/>
  <c r="S98" i="1"/>
  <c r="A58" i="1"/>
  <c r="T97" i="1"/>
  <c r="O97" i="1" s="1"/>
  <c r="S97" i="1"/>
  <c r="A57" i="1"/>
  <c r="T96" i="1"/>
  <c r="O96" i="1" s="1"/>
  <c r="S96" i="1"/>
  <c r="R96" i="1"/>
  <c r="A56" i="1"/>
  <c r="T24" i="1"/>
  <c r="R24" i="1" s="1"/>
  <c r="S24" i="1"/>
  <c r="O24" i="1"/>
  <c r="A55" i="1"/>
  <c r="T95" i="1"/>
  <c r="O95" i="1" s="1"/>
  <c r="S95" i="1"/>
  <c r="A54" i="1"/>
  <c r="T23" i="1"/>
  <c r="S23" i="1" s="1"/>
  <c r="R23" i="1"/>
  <c r="A53" i="1"/>
  <c r="T94" i="1"/>
  <c r="O94" i="1" s="1"/>
  <c r="S94" i="1"/>
  <c r="A52" i="1"/>
  <c r="T93" i="1"/>
  <c r="O93" i="1" s="1"/>
  <c r="S93" i="1"/>
  <c r="A51" i="1"/>
  <c r="T92" i="1"/>
  <c r="O92" i="1" s="1"/>
  <c r="S92" i="1"/>
  <c r="A50" i="1"/>
  <c r="T22" i="1"/>
  <c r="O22" i="1" s="1"/>
  <c r="S22" i="1"/>
  <c r="R22" i="1"/>
  <c r="A49" i="1"/>
  <c r="T91" i="1"/>
  <c r="O91" i="1" s="1"/>
  <c r="S91" i="1"/>
  <c r="A48" i="1"/>
  <c r="T90" i="1"/>
  <c r="O90" i="1" s="1"/>
  <c r="S90" i="1"/>
  <c r="A47" i="1"/>
  <c r="T21" i="1"/>
  <c r="O21" i="1" s="1"/>
  <c r="S21" i="1"/>
  <c r="A46" i="1"/>
  <c r="T89" i="1"/>
  <c r="O89" i="1" s="1"/>
  <c r="S89" i="1"/>
  <c r="A45" i="1"/>
  <c r="T88" i="1"/>
  <c r="R88" i="1" s="1"/>
  <c r="S88" i="1"/>
  <c r="A44" i="1"/>
  <c r="T87" i="1"/>
  <c r="R87" i="1" s="1"/>
  <c r="S87" i="1"/>
  <c r="A43" i="1"/>
  <c r="T20" i="1"/>
  <c r="R20" i="1" s="1"/>
  <c r="S20" i="1"/>
  <c r="A42" i="1"/>
  <c r="S86" i="1"/>
  <c r="R86" i="1"/>
  <c r="A41" i="1"/>
  <c r="T19" i="1"/>
  <c r="O19" i="1" s="1"/>
  <c r="R19" i="1"/>
  <c r="A40" i="1"/>
  <c r="T18" i="1"/>
  <c r="S18" i="1" s="1"/>
  <c r="R18" i="1"/>
  <c r="A39" i="1"/>
  <c r="T85" i="1"/>
  <c r="O85" i="1" s="1"/>
  <c r="S85" i="1"/>
  <c r="R85" i="1"/>
  <c r="A38" i="1"/>
  <c r="T17" i="1"/>
  <c r="S17" i="1" s="1"/>
  <c r="R17" i="1"/>
  <c r="A37" i="1"/>
  <c r="T84" i="1"/>
  <c r="O84" i="1" s="1"/>
  <c r="S84" i="1"/>
  <c r="A36" i="1"/>
  <c r="T83" i="1"/>
  <c r="O83" i="1" s="1"/>
  <c r="S83" i="1"/>
  <c r="A35" i="1"/>
  <c r="T82" i="1"/>
  <c r="R82" i="1" s="1"/>
  <c r="S82" i="1"/>
  <c r="O82" i="1"/>
  <c r="A34" i="1"/>
  <c r="T81" i="1"/>
  <c r="O81" i="1" s="1"/>
  <c r="S81" i="1"/>
  <c r="A33" i="1"/>
  <c r="T80" i="1"/>
  <c r="S80" i="1"/>
  <c r="R80" i="1"/>
  <c r="O80" i="1"/>
  <c r="A32" i="1"/>
  <c r="T79" i="1"/>
  <c r="R79" i="1" s="1"/>
  <c r="S79" i="1"/>
  <c r="A31" i="1"/>
  <c r="T78" i="1"/>
  <c r="R78" i="1" s="1"/>
  <c r="S78" i="1"/>
  <c r="O78" i="1"/>
  <c r="A30" i="1"/>
  <c r="T77" i="1"/>
  <c r="O77" i="1" s="1"/>
  <c r="S77" i="1"/>
  <c r="A29" i="1"/>
  <c r="T76" i="1"/>
  <c r="O76" i="1" s="1"/>
  <c r="S76" i="1"/>
  <c r="A28" i="1"/>
  <c r="T75" i="1"/>
  <c r="O75" i="1" s="1"/>
  <c r="S75" i="1"/>
  <c r="A27" i="1"/>
  <c r="T74" i="1"/>
  <c r="O74" i="1" s="1"/>
  <c r="S74" i="1"/>
  <c r="A26" i="1"/>
  <c r="T73" i="1"/>
  <c r="O73" i="1" s="1"/>
  <c r="S73" i="1"/>
  <c r="A25" i="1"/>
  <c r="T72" i="1"/>
  <c r="R72" i="1" s="1"/>
  <c r="S72" i="1"/>
  <c r="A24" i="1"/>
  <c r="T71" i="1"/>
  <c r="R71" i="1" s="1"/>
  <c r="S71" i="1"/>
  <c r="A23" i="1"/>
  <c r="T70" i="1"/>
  <c r="S70" i="1"/>
  <c r="R70" i="1"/>
  <c r="O70" i="1"/>
  <c r="A22" i="1"/>
  <c r="T69" i="1"/>
  <c r="O69" i="1" s="1"/>
  <c r="S69" i="1"/>
  <c r="A21" i="1"/>
  <c r="T16" i="1"/>
  <c r="O16" i="1" s="1"/>
  <c r="S16" i="1"/>
  <c r="A20" i="1"/>
  <c r="T15" i="1"/>
  <c r="R15" i="1" s="1"/>
  <c r="S15" i="1"/>
  <c r="A19" i="1"/>
  <c r="T68" i="1"/>
  <c r="O68" i="1" s="1"/>
  <c r="S68" i="1"/>
  <c r="A18" i="1"/>
  <c r="T67" i="1"/>
  <c r="O67" i="1" s="1"/>
  <c r="S67" i="1"/>
  <c r="A17" i="1"/>
  <c r="T66" i="1"/>
  <c r="O66" i="1" s="1"/>
  <c r="S66" i="1"/>
  <c r="A16" i="1"/>
  <c r="T14" i="1"/>
  <c r="S14" i="1"/>
  <c r="R14" i="1"/>
  <c r="O14" i="1"/>
  <c r="A15" i="1"/>
  <c r="T65" i="1"/>
  <c r="R65" i="1" s="1"/>
  <c r="S65" i="1"/>
  <c r="A14" i="1"/>
  <c r="T13" i="1"/>
  <c r="R13" i="1" s="1"/>
  <c r="S13" i="1"/>
  <c r="A13" i="1"/>
  <c r="T12" i="1"/>
  <c r="S12" i="1" s="1"/>
  <c r="R12" i="1"/>
  <c r="A12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R186" i="1" l="1"/>
  <c r="R193" i="1"/>
  <c r="O206" i="1"/>
  <c r="R151" i="1"/>
  <c r="O187" i="1"/>
  <c r="O72" i="1"/>
  <c r="S19" i="1"/>
  <c r="S37" i="1"/>
  <c r="R67" i="1"/>
  <c r="R69" i="1"/>
  <c r="R84" i="1"/>
  <c r="R89" i="1"/>
  <c r="R108" i="1"/>
  <c r="R128" i="1"/>
  <c r="R203" i="1"/>
  <c r="O33" i="1"/>
  <c r="O146" i="1"/>
  <c r="O42" i="1"/>
  <c r="R171" i="1"/>
  <c r="R204" i="1"/>
  <c r="O87" i="1"/>
  <c r="O112" i="1"/>
  <c r="R94" i="1"/>
  <c r="R119" i="1"/>
  <c r="O139" i="1"/>
  <c r="O36" i="1"/>
  <c r="R156" i="1"/>
  <c r="R200" i="1"/>
  <c r="R66" i="1"/>
  <c r="O71" i="1"/>
  <c r="R95" i="1"/>
  <c r="O101" i="1"/>
  <c r="O166" i="1"/>
  <c r="O184" i="1"/>
  <c r="R62" i="1"/>
  <c r="R150" i="1"/>
  <c r="R115" i="1"/>
  <c r="R91" i="1"/>
  <c r="R201" i="1"/>
  <c r="S29" i="1"/>
  <c r="R127" i="1"/>
  <c r="O191" i="1"/>
  <c r="S34" i="1"/>
  <c r="R172" i="1"/>
  <c r="R68" i="1"/>
  <c r="R81" i="1"/>
  <c r="R121" i="1"/>
  <c r="R157" i="1"/>
  <c r="R162" i="1"/>
  <c r="R176" i="1"/>
  <c r="R196" i="1"/>
  <c r="R145" i="1"/>
  <c r="R118" i="1"/>
  <c r="S54" i="1"/>
  <c r="R104" i="1"/>
  <c r="R122" i="1"/>
  <c r="R97" i="1"/>
  <c r="O117" i="1"/>
  <c r="R129" i="1"/>
  <c r="R143" i="1"/>
  <c r="R197" i="1"/>
  <c r="R210" i="1"/>
  <c r="R161" i="1"/>
  <c r="O15" i="1"/>
  <c r="R73" i="1"/>
  <c r="R93" i="1"/>
  <c r="R38" i="1"/>
  <c r="R165" i="1"/>
  <c r="O177" i="1"/>
  <c r="R180" i="1"/>
  <c r="R185" i="1"/>
  <c r="R189" i="1"/>
  <c r="O12" i="1"/>
  <c r="R98" i="1"/>
  <c r="R132" i="1"/>
  <c r="R152" i="1"/>
  <c r="R199" i="1"/>
  <c r="R205" i="1"/>
  <c r="R21" i="1"/>
  <c r="R105" i="1"/>
  <c r="R111" i="1"/>
  <c r="S35" i="1"/>
  <c r="R173" i="1"/>
  <c r="O140" i="1"/>
  <c r="R174" i="1"/>
  <c r="R16" i="1"/>
  <c r="R90" i="1"/>
  <c r="R135" i="1"/>
  <c r="R110" i="1"/>
  <c r="R167" i="1"/>
  <c r="R144" i="1"/>
  <c r="R148" i="1"/>
  <c r="R154" i="1"/>
  <c r="R163" i="1"/>
  <c r="R168" i="1"/>
  <c r="R188" i="1"/>
  <c r="R123" i="1"/>
  <c r="R182" i="1"/>
  <c r="R136" i="1"/>
  <c r="R149" i="1"/>
  <c r="O155" i="1"/>
  <c r="R164" i="1"/>
  <c r="R169" i="1"/>
  <c r="R175" i="1"/>
  <c r="R192" i="1"/>
  <c r="R60" i="1"/>
  <c r="R202" i="1"/>
  <c r="R77" i="1"/>
  <c r="R83" i="1"/>
  <c r="R102" i="1"/>
  <c r="R124" i="1"/>
  <c r="S43" i="1"/>
  <c r="R179" i="1"/>
  <c r="R207" i="1"/>
  <c r="R133" i="1"/>
  <c r="R75" i="1"/>
  <c r="R76" i="1"/>
  <c r="R103" i="1"/>
  <c r="O125" i="1"/>
  <c r="O51" i="1"/>
  <c r="R208" i="1"/>
  <c r="R74" i="1"/>
  <c r="R99" i="1"/>
  <c r="R147" i="1"/>
  <c r="R92" i="1"/>
  <c r="R120" i="1"/>
  <c r="O17" i="1"/>
  <c r="O88" i="1"/>
  <c r="O79" i="1"/>
  <c r="R109" i="1"/>
  <c r="R137" i="1"/>
  <c r="R160" i="1"/>
  <c r="R209" i="1"/>
  <c r="R32" i="1"/>
  <c r="S27" i="1"/>
  <c r="O39" i="1"/>
  <c r="R46" i="1"/>
  <c r="O57" i="1"/>
  <c r="R61" i="1"/>
  <c r="S28" i="1"/>
  <c r="O13" i="1"/>
  <c r="R63" i="1"/>
  <c r="O65" i="1"/>
  <c r="O31" i="1"/>
  <c r="O25" i="1"/>
  <c r="S40" i="1"/>
  <c r="R52" i="1"/>
  <c r="O41" i="1"/>
  <c r="O45" i="1"/>
  <c r="R47" i="1"/>
  <c r="O23" i="1"/>
  <c r="S44" i="1"/>
  <c r="S30" i="1"/>
  <c r="T10" i="1"/>
  <c r="O20" i="1"/>
  <c r="O26" i="1"/>
  <c r="O48" i="1"/>
  <c r="O59" i="1"/>
  <c r="O55" i="1"/>
  <c r="O18" i="1"/>
  <c r="O49" i="1"/>
  <c r="O138" i="1"/>
  <c r="O56" i="1"/>
  <c r="R58" i="1"/>
  <c r="O53" i="1"/>
  <c r="S10" i="1" l="1"/>
  <c r="R10" i="1"/>
  <c r="O10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<sst xmlns="http://schemas.openxmlformats.org/spreadsheetml/2006/main" count="1820" uniqueCount="814">
  <si>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</si>
  <si>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</si>
  <si>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</si>
  <si>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</si>
  <si>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</si>
  <si>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</si>
  <si>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</si>
  <si>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</si>
  <si>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</si>
  <si>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</si>
  <si>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</si>
  <si>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</si>
  <si>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</si>
  <si>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</si>
  <si>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</si>
  <si>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</si>
  <si>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</si>
  <si>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</si>
  <si>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</si>
  <si>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</si>
  <si>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</si>
  <si>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</si>
  <si>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</si>
  <si>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</si>
  <si>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</si>
  <si>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</si>
  <si>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</si>
  <si>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</si>
  <si>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</si>
  <si>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</si>
  <si>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</si>
  <si>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</si>
  <si>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</si>
  <si>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</si>
  <si>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</si>
  <si>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</si>
  <si>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</si>
  <si>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</si>
  <si>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</si>
  <si>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</si>
  <si>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</si>
  <si>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</si>
  <si>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</si>
  <si>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</si>
  <si>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</si>
  <si>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</si>
  <si>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</si>
  <si>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</si>
  <si>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</si>
  <si>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</si>
  <si>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</si>
  <si>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</si>
  <si>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</si>
  <si>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</si>
  <si>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</si>
  <si>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</si>
  <si>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</si>
  <si>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</si>
  <si>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</si>
  <si>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</si>
  <si>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</si>
  <si>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</si>
  <si>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</si>
  <si>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</si>
  <si>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</si>
  <si>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</si>
  <si>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</si>
  <si>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</si>
  <si>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</si>
  <si>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</si>
  <si>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</si>
  <si>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</si>
  <si>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</si>
  <si>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</si>
  <si>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</si>
  <si>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</si>
  <si>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</si>
  <si>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</si>
  <si>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</si>
  <si>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</si>
  <si>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</si>
  <si>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</si>
  <si>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</si>
  <si>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</si>
  <si>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</si>
  <si>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</si>
  <si>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</si>
  <si>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</si>
  <si>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</si>
  <si>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</si>
  <si>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</si>
  <si>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</si>
  <si>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</si>
  <si>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</si>
  <si>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</si>
  <si>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</si>
  <si>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</si>
  <si>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</si>
  <si>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</si>
  <si>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</si>
  <si>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</si>
  <si>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</si>
  <si>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</si>
  <si>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</si>
  <si>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</si>
  <si>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</si>
  <si>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</si>
  <si>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</si>
  <si>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</si>
  <si>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</si>
  <si>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</si>
  <si>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</si>
  <si>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</si>
  <si>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</si>
  <si>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</si>
  <si>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</si>
  <si>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</si>
  <si>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</si>
  <si>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</si>
  <si>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</si>
  <si>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</si>
  <si>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</si>
  <si>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</si>
  <si>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</si>
  <si>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</si>
  <si>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</si>
  <si>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</si>
  <si>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</si>
  <si>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</si>
  <si>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</si>
  <si>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</si>
  <si>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</si>
  <si>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</si>
  <si>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</si>
  <si>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</si>
  <si>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</si>
  <si>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</si>
  <si>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</si>
  <si>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</si>
  <si>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</si>
  <si>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</si>
  <si>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</si>
  <si>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</si>
  <si>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</si>
  <si>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</si>
  <si>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</si>
  <si>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</si>
  <si>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</si>
  <si>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</si>
  <si>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</si>
  <si>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</si>
  <si>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</si>
  <si>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</si>
  <si>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</si>
  <si>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</si>
  <si>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</si>
  <si>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</si>
  <si>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</si>
  <si>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</si>
  <si>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</si>
  <si>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</si>
  <si>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</si>
  <si>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</si>
  <si>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</si>
  <si>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</si>
  <si>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</si>
  <si>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</si>
  <si>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</si>
  <si>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</si>
  <si>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</si>
  <si>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</si>
  <si>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</si>
  <si>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</si>
  <si>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</si>
  <si>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</si>
  <si>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</si>
  <si>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</si>
  <si>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</si>
  <si>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</si>
  <si>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</si>
  <si>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</si>
  <si>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</si>
  <si>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</si>
  <si>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</si>
  <si>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</si>
  <si>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</si>
  <si>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</si>
  <si>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</si>
  <si>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</si>
  <si>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</si>
  <si>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</si>
  <si>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</si>
  <si>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</si>
  <si>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</si>
  <si>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</si>
  <si>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</si>
  <si>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</si>
  <si>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</si>
  <si>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</si>
  <si>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</si>
  <si>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</si>
  <si>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</si>
  <si>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</si>
  <si>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</si>
  <si>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</si>
  <si>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</si>
  <si>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</si>
  <si>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</si>
  <si>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</si>
  <si>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</si>
  <si>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</si>
  <si>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</si>
  <si>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</si>
  <si>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</si>
  <si>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</si>
  <si>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</si>
  <si>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</si>
  <si>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</si>
  <si>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</si>
  <si>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</si>
  <si>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</si>
  <si>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</si>
  <si>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</si>
  <si>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</si>
  <si>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</si>
  <si>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</si>
  <si>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</si>
  <si>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</si>
  <si>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</si>
  <si>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</si>
  <si>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</si>
  <si>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</si>
  <si>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</si>
  <si>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</si>
  <si>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</si>
  <si>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</si>
  <si>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</si>
  <si>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</si>
  <si>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</si>
  <si>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</si>
  <si>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</si>
  <si>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</si>
  <si>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</si>
  <si>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</si>
  <si>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</si>
  <si>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</si>
  <si>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</si>
  <si>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</si>
  <si>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</si>
  <si>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</si>
  <si>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</si>
  <si>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</si>
  <si>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</si>
  <si>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</si>
  <si>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</si>
  <si>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</si>
  <si>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</si>
  <si>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</si>
  <si>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</si>
  <si>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</si>
  <si>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</si>
  <si>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</si>
  <si>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</si>
  <si>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</si>
  <si>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</si>
  <si>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</si>
  <si>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</si>
  <si>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</si>
  <si>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</si>
  <si>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</si>
  <si>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</si>
  <si>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</si>
  <si>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</si>
  <si>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</si>
  <si>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</si>
  <si>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</si>
  <si>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</si>
  <si>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</si>
  <si>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</si>
  <si>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</si>
  <si>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</si>
  <si>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</si>
  <si>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</si>
  <si>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</si>
  <si>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</si>
  <si>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</si>
  <si>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</si>
  <si>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</si>
  <si>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</si>
  <si>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</si>
  <si>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</si>
  <si>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</si>
  <si>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</si>
  <si>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</si>
  <si>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</si>
  <si>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</si>
  <si>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</si>
  <si>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</si>
  <si>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</si>
  <si>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</si>
  <si>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</si>
  <si>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</si>
  <si>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</si>
  <si>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</si>
  <si>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</si>
  <si>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</si>
  <si>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</si>
  <si>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</si>
  <si>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</si>
  <si>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</si>
  <si>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</si>
  <si>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</si>
  <si>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</si>
  <si>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</si>
  <si>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</si>
  <si>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</si>
  <si>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</si>
  <si>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</si>
  <si>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</si>
  <si>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</si>
  <si>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</si>
  <si>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</si>
  <si>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</si>
  <si>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</si>
  <si>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</si>
  <si>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</si>
  <si>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</si>
  <si>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</si>
  <si>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</si>
  <si>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</si>
  <si>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</si>
  <si>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</si>
  <si>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</si>
  <si>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</si>
  <si>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</si>
  <si>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</si>
  <si>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</si>
  <si>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</si>
  <si>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</si>
  <si>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</si>
  <si>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</si>
  <si>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</si>
  <si>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</si>
  <si>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</si>
  <si>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</si>
  <si>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</si>
  <si>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</si>
  <si>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</si>
  <si>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</si>
  <si>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</si>
  <si>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</si>
  <si>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</si>
  <si>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</si>
  <si>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</si>
  <si>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</si>
  <si>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</si>
  <si>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</si>
  <si>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</si>
  <si>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</si>
  <si>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</si>
  <si>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</si>
  <si>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</si>
  <si>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</si>
  <si>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</si>
  <si>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</si>
  <si>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</si>
  <si>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</si>
  <si>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</si>
  <si>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</si>
  <si>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</si>
  <si>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</si>
  <si>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</si>
  <si>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</si>
  <si>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</si>
  <si>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</si>
  <si>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</si>
  <si>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</si>
  <si>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</si>
  <si>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</si>
  <si>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</si>
  <si>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</si>
  <si>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</si>
  <si>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</si>
  <si>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</si>
  <si>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</si>
  <si>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</si>
  <si>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</si>
  <si>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</si>
  <si>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</si>
  <si>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</si>
  <si>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</si>
  <si>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</si>
  <si>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</si>
  <si>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</si>
  <si>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</si>
  <si>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</si>
  <si>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</si>
  <si>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</si>
  <si>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</si>
  <si>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</si>
  <si>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</si>
  <si>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</si>
  <si>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</si>
  <si>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</si>
  <si>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</si>
  <si>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</si>
  <si>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</si>
  <si>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</si>
  <si>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</si>
  <si>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</si>
  <si>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</si>
  <si>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</si>
  <si>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</si>
  <si>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</si>
  <si>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</si>
  <si>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</si>
  <si>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</si>
  <si>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</si>
  <si>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</si>
  <si>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</si>
  <si>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</si>
  <si>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</si>
  <si>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</si>
  <si>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</si>
  <si>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</si>
  <si>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</si>
  <si>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</si>
  <si>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</si>
  <si>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</si>
  <si>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</si>
  <si>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</si>
  <si>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</si>
  <si>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</si>
  <si>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</si>
  <si>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</si>
  <si>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</si>
  <si>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</si>
  <si>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</si>
  <si>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</si>
  <si>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</si>
  <si>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</si>
  <si>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</si>
  <si>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</si>
  <si>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</si>
  <si>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</si>
  <si>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</si>
  <si>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</si>
  <si>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</si>
  <si>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</si>
  <si>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</si>
  <si>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</si>
  <si>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</si>
  <si>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</si>
  <si>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</si>
  <si>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</si>
  <si>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</si>
  <si>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</si>
  <si>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</si>
  <si>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</si>
  <si>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</si>
  <si>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</si>
  <si>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</si>
  <si>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</si>
  <si>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</si>
  <si>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</si>
  <si>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</si>
  <si>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</si>
  <si>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</si>
  <si>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</si>
  <si>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</si>
  <si>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</si>
  <si>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</si>
  <si>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</si>
  <si>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</si>
  <si>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</si>
  <si>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</si>
  <si>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</si>
  <si>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</si>
  <si>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</si>
  <si>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</si>
  <si>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</si>
  <si>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</si>
  <si>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</si>
  <si>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</si>
  <si>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</si>
  <si>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</si>
  <si>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</si>
  <si>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</si>
  <si>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</si>
  <si>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</si>
  <si>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</si>
  <si>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</si>
  <si>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</si>
  <si>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</si>
  <si>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</si>
  <si>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</si>
  <si>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</si>
  <si>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</si>
  <si>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</si>
  <si>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</si>
  <si>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</si>
  <si>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</si>
  <si>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</si>
  <si>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</si>
  <si>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</si>
  <si>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</si>
  <si>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</si>
  <si>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</si>
  <si>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</si>
  <si>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</si>
  <si>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</si>
  <si>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</si>
  <si>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</si>
  <si>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</si>
  <si>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</si>
  <si>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</si>
  <si>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</si>
  <si>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</si>
  <si>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</si>
  <si>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</si>
  <si>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</si>
  <si>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</si>
  <si>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</si>
  <si>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</si>
  <si>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</si>
  <si>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</si>
  <si>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</si>
  <si>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</si>
  <si>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</si>
  <si>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</si>
  <si>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</si>
  <si>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</si>
  <si>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</si>
  <si>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</si>
  <si>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</si>
  <si>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</si>
  <si>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</si>
  <si>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</si>
  <si>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</si>
  <si>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</si>
  <si>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</si>
  <si>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</si>
  <si>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</si>
  <si>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</si>
  <si>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</si>
  <si>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</si>
  <si>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</si>
  <si>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</si>
  <si>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</si>
  <si>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</si>
  <si>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</si>
  <si>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</si>
  <si>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</si>
  <si>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</si>
  <si>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</si>
  <si>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</si>
  <si>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</si>
  <si>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</si>
  <si>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</si>
  <si>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</si>
  <si>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</si>
  <si>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</si>
  <si>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</si>
  <si>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</si>
  <si>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</si>
  <si>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</si>
  <si>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</si>
  <si>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</si>
  <si>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</si>
  <si>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</si>
  <si>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</si>
  <si>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</si>
  <si>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</si>
  <si>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</si>
  <si>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</si>
  <si>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</si>
  <si>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</si>
  <si>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</si>
  <si>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</si>
  <si>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</si>
  <si>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</si>
  <si>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</si>
  <si>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</si>
  <si>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</si>
  <si>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</si>
  <si>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</si>
  <si>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</si>
  <si>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</si>
  <si>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</si>
  <si>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</si>
  <si>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</si>
  <si>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</si>
  <si>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</si>
  <si>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</si>
  <si>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</si>
  <si>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</si>
  <si>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</si>
  <si>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</si>
  <si>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</si>
  <si>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</si>
  <si>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</si>
  <si>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</si>
  <si>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</si>
  <si>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</si>
  <si>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</si>
  <si>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</si>
  <si>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</si>
  <si>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</si>
  <si>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</si>
  <si>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</si>
  <si>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</si>
  <si>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</si>
  <si>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</si>
  <si>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</si>
  <si>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</si>
  <si>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</si>
  <si>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</si>
  <si>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</si>
  <si>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</si>
  <si>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</si>
  <si>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</si>
  <si>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</si>
  <si>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</si>
  <si>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</si>
  <si>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</si>
  <si>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</si>
  <si>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</si>
  <si>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</si>
  <si>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</si>
  <si>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</si>
  <si>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</si>
  <si>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</si>
  <si>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</si>
  <si>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</si>
  <si>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</si>
  <si>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</si>
  <si>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</si>
  <si>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</si>
  <si>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</si>
  <si>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</si>
  <si>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</si>
  <si>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</si>
  <si>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</si>
  <si>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</si>
  <si>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</si>
  <si>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</si>
  <si>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</si>
  <si>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</si>
  <si>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</si>
  <si>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</si>
  <si>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</si>
  <si>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</si>
  <si>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</si>
  <si>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</si>
  <si>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</si>
  <si>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</si>
  <si>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</si>
  <si>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</si>
  <si>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</si>
  <si>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</si>
  <si>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</si>
  <si>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</si>
  <si>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</si>
  <si>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</si>
  <si>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</si>
  <si>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</si>
  <si>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</si>
  <si>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</si>
  <si>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</si>
  <si>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</si>
  <si>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</si>
  <si>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</si>
  <si>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</si>
  <si>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</si>
  <si>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</si>
  <si>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</si>
  <si>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</si>
  <si>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</si>
  <si>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</si>
  <si>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</si>
  <si>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</si>
  <si>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</si>
  <si>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</si>
  <si>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</si>
  <si>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</si>
  <si>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</si>
  <si>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</si>
  <si>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</si>
  <si>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</si>
  <si>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</si>
  <si>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</si>
  <si>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</si>
  <si>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</si>
  <si>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</si>
  <si>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</si>
  <si>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</si>
  <si>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</si>
  <si>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</si>
  <si>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</si>
  <si>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</si>
  <si>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</si>
  <si>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</si>
  <si>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</si>
  <si>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</si>
  <si>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</si>
  <si>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</si>
  <si>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</si>
  <si>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</si>
  <si>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</si>
  <si>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</si>
  <si>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</si>
  <si>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</si>
  <si>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</si>
  <si>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</si>
  <si>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</si>
  <si>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</si>
  <si>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</si>
  <si>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</si>
  <si>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</si>
  <si>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</si>
  <si>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</si>
  <si>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</si>
  <si>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</si>
  <si>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</si>
  <si>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</si>
  <si>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</si>
  <si>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</si>
  <si>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</si>
  <si>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</si>
  <si>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</si>
  <si>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</si>
  <si>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</si>
  <si>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</si>
  <si>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</si>
  <si>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</si>
  <si>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</si>
  <si>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</si>
  <si>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</si>
  <si>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</si>
  <si>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</si>
  <si>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</si>
  <si>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</si>
  <si>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</si>
  <si>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</si>
  <si>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</si>
  <si>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</si>
  <si>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</si>
  <si>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</si>
  <si>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</si>
  <si>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</si>
  <si>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</si>
  <si>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</si>
  <si>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</si>
  <si>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</si>
  <si>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</si>
  <si>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</si>
  <si>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</si>
  <si>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</si>
  <si>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</si>
  <si>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</si>
  <si>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</si>
  <si>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</si>
  <si>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</si>
  <si>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</si>
  <si>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</si>
  <si>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</si>
  <si>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</si>
  <si>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</si>
  <si>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</si>
  <si>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</si>
  <si>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</si>
  <si>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</si>
  <si>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</si>
  <si>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</si>
  <si>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</si>
  <si>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</si>
  <si>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</si>
  <si>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</si>
  <si>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</si>
  <si>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</si>
  <si>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</si>
  <si>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</si>
  <si>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</si>
  <si>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</si>
  <si>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</si>
  <si>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</si>
  <si>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</si>
  <si>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</si>
  <si>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</si>
  <si>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</si>
  <si>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</si>
  <si>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</si>
  <si>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</si>
  <si>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</si>
  <si>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</si>
  <si>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</si>
  <si>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</si>
  <si>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</si>
  <si>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</si>
  <si>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</si>
  <si>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</si>
  <si>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</si>
  <si>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</si>
  <si>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</si>
  <si>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</si>
  <si>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$</t>
  </si>
  <si>
    <t>C</t>
  </si>
  <si>
    <t>Apple</t>
  </si>
  <si>
    <t>Napa Wine Country Open</t>
  </si>
  <si>
    <t>The Moose Lodge</t>
  </si>
  <si>
    <t>Napa CA 94558</t>
  </si>
  <si>
    <t>Roland Hall</t>
  </si>
  <si>
    <t>Yvonne Bowers</t>
  </si>
  <si>
    <t>Michael Roger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</si>
</sst>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49" fontId="4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0" fontId="0" fillId="0" borderId="0" xfId="0" applyBorder="1"/>
    <xf numFmtId="49" fontId="5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Debug-Tourney_2026_Testing_Reset_Clean\YB%20PrelimReg\25_3_15_ACC_Reg%20FINAL.xlsm" TargetMode="External"/><Relationship Id="rId1" Type="http://schemas.openxmlformats.org/officeDocument/2006/relationships/externalLinkPath" Target="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1" sqref="G11:H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808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809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810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5" t="s">
        <v>811</v>
      </c>
      <c r="D11" s="126"/>
      <c r="E11" s="125" t="s">
        <v>812</v>
      </c>
      <c r="F11" s="126"/>
      <c r="G11" s="125" t="s">
        <v>813</v>
      </c>
      <c r="H11" s="126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5"/>
      <c r="D13" s="126"/>
      <c r="E13" s="125"/>
      <c r="F13" s="126"/>
      <c r="G13" s="125"/>
      <c r="H13" s="126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5"/>
      <c r="D15" s="126"/>
      <c r="E15" s="125"/>
      <c r="F15" s="126"/>
      <c r="G15" s="125"/>
      <c r="H15" s="126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808</v>
      </c>
      <c r="C4" s="130"/>
      <c r="D4" s="130"/>
      <c r="E4" s="130"/>
      <c r="F4" s="130"/>
    </row>
    <row r="5" spans="1:7" x14ac:dyDescent="0.25">
      <c r="A5" s="4" t="s">
        <v>616</v>
      </c>
      <c r="B5" s="131" t="s">
        <v>809</v>
      </c>
      <c r="C5" s="131"/>
      <c r="D5" s="131"/>
      <c r="E5" s="131"/>
      <c r="F5" s="131"/>
    </row>
    <row r="6" spans="1:7" x14ac:dyDescent="0.25">
      <c r="A6" s="4" t="s">
        <v>617</v>
      </c>
      <c r="B6" s="131" t="s">
        <v>810</v>
      </c>
      <c r="C6" s="131"/>
      <c r="D6" s="131"/>
      <c r="E6" s="131"/>
      <c r="F6" s="131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9" sqref="C19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808</v>
      </c>
      <c r="C4" s="130"/>
      <c r="D4" s="130"/>
      <c r="E4" s="130"/>
      <c r="F4" s="130"/>
    </row>
    <row r="5" spans="1:7" x14ac:dyDescent="0.25">
      <c r="A5" s="4" t="s">
        <v>616</v>
      </c>
      <c r="B5" s="79" t="s">
        <v>809</v>
      </c>
      <c r="C5" s="79"/>
      <c r="D5" s="79"/>
      <c r="E5" s="79"/>
      <c r="F5" s="79"/>
    </row>
    <row r="6" spans="1:7" x14ac:dyDescent="0.25">
      <c r="A6" s="4" t="s">
        <v>617</v>
      </c>
      <c r="B6" s="79" t="s">
        <v>810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C11" sqref="C11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17"/>
      <c r="L2" s="117"/>
      <c r="M2" s="117"/>
      <c r="N2" s="117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17"/>
      <c r="L3" s="117"/>
      <c r="M3" s="117"/>
      <c r="N3" s="117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17"/>
      <c r="L4" s="117"/>
      <c r="M4" s="117"/>
      <c r="N4" s="117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18"/>
      <c r="L5" s="118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4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4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84" si="1">ROW() - ROW(FRegentiresEneteredHdr)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>T12*N12</f>
        <v>70</v>
      </c>
      <c r="P12" s="47" t="s">
        <v>805</v>
      </c>
      <c r="Q12" s="47"/>
      <c r="R12" s="95" t="str">
        <f>IF(OR(P12="c",P12="C"),+T12,"")</f>
        <v/>
      </c>
      <c r="S12" s="95">
        <f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806</v>
      </c>
      <c r="Q13" s="47">
        <v>930</v>
      </c>
      <c r="R13" s="95">
        <f>IF(OR(P13="c",P13="C"),+T13,"")</f>
        <v>90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90</v>
      </c>
      <c r="U13" s="51"/>
      <c r="V13" s="110" t="s">
        <v>753</v>
      </c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39" t="s">
        <v>445</v>
      </c>
      <c r="G14" s="144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>T14*N14</f>
        <v>0</v>
      </c>
      <c r="P14" s="47" t="s">
        <v>806</v>
      </c>
      <c r="Q14" s="47">
        <v>398</v>
      </c>
      <c r="R14" s="95">
        <f>IF(OR(P14="c",P14="C"),+T14,"")</f>
        <v>80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80</v>
      </c>
      <c r="U14" s="51"/>
      <c r="V14" s="110" t="s">
        <v>755</v>
      </c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43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>T15*N15</f>
        <v>0</v>
      </c>
      <c r="P15" s="47" t="s">
        <v>806</v>
      </c>
      <c r="Q15" s="47">
        <v>1723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>T16*N16</f>
        <v>0</v>
      </c>
      <c r="P16" s="47" t="s">
        <v>806</v>
      </c>
      <c r="Q16" s="47">
        <v>1587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805</v>
      </c>
      <c r="Q17" s="47" t="s">
        <v>758</v>
      </c>
      <c r="R17" s="95" t="str">
        <f>IF(OR(P17="c",P17="C"),+T17,"")</f>
        <v/>
      </c>
      <c r="S17" s="95">
        <f>IF(OR(P17="$",N17=1),+T17,"")</f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>
        <v>1</v>
      </c>
      <c r="I18" s="47"/>
      <c r="J18" s="47"/>
      <c r="K18" s="47"/>
      <c r="L18" s="47"/>
      <c r="M18" s="47"/>
      <c r="N18" s="47"/>
      <c r="O18" s="94">
        <f>T18*N18</f>
        <v>0</v>
      </c>
      <c r="P18" s="47" t="s">
        <v>805</v>
      </c>
      <c r="Q18" s="47" t="s">
        <v>767</v>
      </c>
      <c r="R18" s="95" t="str">
        <f>IF(OR(P18="c",P18="C"),+T18,"")</f>
        <v/>
      </c>
      <c r="S18" s="95">
        <f>IF(OR(P18="$",N18=1),+T18,"")</f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>
        <v>1</v>
      </c>
      <c r="I19" s="47"/>
      <c r="J19" s="47"/>
      <c r="K19" s="47"/>
      <c r="L19" s="47"/>
      <c r="M19" s="47"/>
      <c r="N19" s="47"/>
      <c r="O19" s="94">
        <f>T19*N19</f>
        <v>0</v>
      </c>
      <c r="P19" s="47" t="s">
        <v>805</v>
      </c>
      <c r="Q19" s="47" t="s">
        <v>758</v>
      </c>
      <c r="R19" s="95" t="str">
        <f>IF(OR(P19="c",P19="C"),+T19,"")</f>
        <v/>
      </c>
      <c r="S19" s="95">
        <f>IF(OR(P19="$",N19=1),+T19,"")</f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>T20*N20</f>
        <v>0</v>
      </c>
      <c r="P20" s="47" t="s">
        <v>806</v>
      </c>
      <c r="Q20" s="47">
        <v>3536</v>
      </c>
      <c r="R20" s="95">
        <f>IF(OR(P20="c",P20="C"),+T20,"")</f>
        <v>160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160</v>
      </c>
      <c r="U20" s="51"/>
      <c r="V20" s="110" t="s">
        <v>756</v>
      </c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>T21*N21</f>
        <v>0</v>
      </c>
      <c r="P21" s="47" t="s">
        <v>806</v>
      </c>
      <c r="Q21" s="47">
        <v>206</v>
      </c>
      <c r="R21" s="95">
        <f>IF(OR(P21="c",P21="C"),+T21,"")</f>
        <v>80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 t="s">
        <v>806</v>
      </c>
      <c r="Q22" s="47">
        <v>1094</v>
      </c>
      <c r="R22" s="95">
        <f>IF(OR(P22="c",P22="C"),+T22,"")</f>
        <v>70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>T23*N23</f>
        <v>0</v>
      </c>
      <c r="P23" s="47" t="s">
        <v>805</v>
      </c>
      <c r="Q23" s="47" t="s">
        <v>439</v>
      </c>
      <c r="R23" s="95" t="str">
        <f>IF(OR(P23="c",P23="C"),+T23,"")</f>
        <v/>
      </c>
      <c r="S23" s="95">
        <f>IF(OR(P23="$",N23=1),+T23,"")</f>
        <v>90</v>
      </c>
      <c r="T23" s="96">
        <f>H23*[1]!FMainPool1Fee+I23*[1]!FMainPool2Fee+J23*[1]!FMainPool3Fee+K23*[1]!FMainPool4Fee+B23*[1]!FMainEntryFee</f>
        <v>90</v>
      </c>
      <c r="U23" s="51"/>
      <c r="V23" s="106" t="s">
        <v>757</v>
      </c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806</v>
      </c>
      <c r="Q24" s="47">
        <v>1360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>T25*N25</f>
        <v>100</v>
      </c>
      <c r="P25" s="47" t="s">
        <v>805</v>
      </c>
      <c r="Q25" s="47"/>
      <c r="R25" s="95" t="str">
        <f>IF(OR(P25="c",P25="C"),+T25,"")</f>
        <v/>
      </c>
      <c r="S25" s="95">
        <f>IF(OR(P25="$",N25=1),+T25,"")</f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3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>T26*N26</f>
        <v>160</v>
      </c>
      <c r="P26" s="47" t="s">
        <v>805</v>
      </c>
      <c r="Q26" s="47"/>
      <c r="R26" s="95" t="str">
        <f>IF(OR(P26="c",P26="C"),+T26,"")</f>
        <v/>
      </c>
      <c r="S26" s="95">
        <f>IF(OR(P26="$",N26=1),+T26,"")</f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>T27*N27</f>
        <v>0</v>
      </c>
      <c r="P27" s="47" t="s">
        <v>805</v>
      </c>
      <c r="Q27" s="47"/>
      <c r="R27" s="95" t="str">
        <f>IF(OR(P27="c",P27="C"),+T27,"")</f>
        <v/>
      </c>
      <c r="S27" s="95">
        <f>IF(OR(P27="$",N27=1),+T27,"")</f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805</v>
      </c>
      <c r="Q28" s="47" t="s">
        <v>758</v>
      </c>
      <c r="R28" s="95" t="str">
        <f>IF(OR(P28="c",P28="C"),+T28,"")</f>
        <v/>
      </c>
      <c r="S28" s="95">
        <f>IF(OR(P28="$",N28=1),+T28,"")</f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805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>T30*N30</f>
        <v>0</v>
      </c>
      <c r="P30" s="47" t="s">
        <v>805</v>
      </c>
      <c r="Q30" s="47" t="s">
        <v>767</v>
      </c>
      <c r="R30" s="95" t="str">
        <f>IF(OR(P30="c",P30="C"),+T30,"")</f>
        <v/>
      </c>
      <c r="S30" s="95">
        <f>IF(OR(P30="$",N30=1),+T30,"")</f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>T31*N31</f>
        <v>0</v>
      </c>
      <c r="P31" s="47" t="s">
        <v>806</v>
      </c>
      <c r="Q31" s="47">
        <v>2575</v>
      </c>
      <c r="R31" s="95">
        <f>IF(OR(P31="c",P31="C"),+T31,"")</f>
        <v>80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>T32*N32</f>
        <v>0</v>
      </c>
      <c r="P32" s="47" t="s">
        <v>806</v>
      </c>
      <c r="Q32" s="47">
        <v>7333</v>
      </c>
      <c r="R32" s="95">
        <f>IF(OR(P32="c",P32="C"),+T32,"")</f>
        <v>110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>T33*N33</f>
        <v>0</v>
      </c>
      <c r="P33" s="47" t="s">
        <v>806</v>
      </c>
      <c r="Q33" s="47">
        <v>648</v>
      </c>
      <c r="R33" s="95">
        <f>IF(OR(P33="c",P33="C"),+T33,"")</f>
        <v>80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 t="s">
        <v>758</v>
      </c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>T34*N34</f>
        <v>0</v>
      </c>
      <c r="P34" s="47" t="s">
        <v>805</v>
      </c>
      <c r="Q34" s="47"/>
      <c r="R34" s="95" t="str">
        <f>IF(OR(P34="c",P34="C"),+T34,"")</f>
        <v/>
      </c>
      <c r="S34" s="95">
        <f>IF(OR(P34="$",N34=1),+T34,"")</f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>T35*N35</f>
        <v>70</v>
      </c>
      <c r="P35" s="47" t="s">
        <v>805</v>
      </c>
      <c r="Q35" s="47"/>
      <c r="R35" s="95" t="str">
        <f>IF(OR(P35="c",P35="C"),+T35,"")</f>
        <v/>
      </c>
      <c r="S35" s="95">
        <f>IF(OR(P35="$",N35=1),+T35,"")</f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>T36*N36</f>
        <v>80</v>
      </c>
      <c r="P36" s="47" t="s">
        <v>805</v>
      </c>
      <c r="Q36" s="47"/>
      <c r="R36" s="95" t="str">
        <f>IF(OR(P36="c",P36="C"),+T36,"")</f>
        <v/>
      </c>
      <c r="S36" s="95">
        <f>IF(OR(P36="$",N36=1),+T36,"")</f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>T37*N37</f>
        <v>100</v>
      </c>
      <c r="P37" s="47" t="s">
        <v>805</v>
      </c>
      <c r="Q37" s="47"/>
      <c r="R37" s="95" t="str">
        <f>IF(OR(P37="c",P37="C"),+T37,"")</f>
        <v/>
      </c>
      <c r="S37" s="95">
        <f>IF(OR(P37="$",N37=1),+T37,"")</f>
        <v>100</v>
      </c>
      <c r="T37" s="96">
        <f>H37*[1]!FMainPool1Fee+I37*[1]!FMainPool2Fee+J37*[1]!FMainPool3Fee+K37*[1]!FMainPool4Fee+B37*[1]!FMainEntryFee</f>
        <v>100</v>
      </c>
      <c r="U37" s="51"/>
      <c r="V37" s="110" t="s">
        <v>758</v>
      </c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806</v>
      </c>
      <c r="Q38" s="47">
        <v>1800</v>
      </c>
      <c r="R38" s="95">
        <f>IF(OR(P38="c",P38="C"),+T38,"")</f>
        <v>70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805</v>
      </c>
      <c r="Q39" s="47" t="s">
        <v>807</v>
      </c>
      <c r="R39" s="95" t="str">
        <f>IF(OR(P39="c",P39="C"),+T39,"")</f>
        <v/>
      </c>
      <c r="S39" s="95">
        <f>IF(OR(P39="$",N39=1),+T39,"")</f>
        <v>160</v>
      </c>
      <c r="T39" s="96">
        <f>H39*[1]!FMainPool1Fee+I39*[1]!FMainPool2Fee+J39*[1]!FMainPool3Fee+K39*[1]!FMainPool4Fee+B39*[1]!FMainEntryFee</f>
        <v>160</v>
      </c>
      <c r="U39" s="51"/>
      <c r="V39" s="110" t="s">
        <v>767</v>
      </c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G40" s="140"/>
      <c r="H40" s="49">
        <v>1</v>
      </c>
      <c r="I40" s="47"/>
      <c r="J40" s="47"/>
      <c r="K40" s="47"/>
      <c r="L40" s="47"/>
      <c r="M40" s="47"/>
      <c r="N40" s="47"/>
      <c r="O40" s="94">
        <f>T40*N40</f>
        <v>0</v>
      </c>
      <c r="P40" s="47" t="s">
        <v>805</v>
      </c>
      <c r="Q40" s="47" t="s">
        <v>758</v>
      </c>
      <c r="R40" s="95" t="str">
        <f>IF(OR(P40="c",P40="C"),+T40,"")</f>
        <v/>
      </c>
      <c r="S40" s="95">
        <f>IF(OR(P40="$",N40=1),+T40,"")</f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 t="s">
        <v>758</v>
      </c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>T41*N41</f>
        <v>0</v>
      </c>
      <c r="P41" s="47" t="s">
        <v>806</v>
      </c>
      <c r="Q41" s="47">
        <v>2553</v>
      </c>
      <c r="R41" s="95">
        <f>IF(OR(P41="c",P41="C"),+T41,"")</f>
        <v>160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806</v>
      </c>
      <c r="Q42" s="47">
        <v>133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>T43*N43</f>
        <v>110</v>
      </c>
      <c r="P43" s="47" t="s">
        <v>805</v>
      </c>
      <c r="Q43" s="47"/>
      <c r="R43" s="95" t="str">
        <f>IF(OR(P43="c",P43="C"),+T43,"")</f>
        <v/>
      </c>
      <c r="S43" s="95">
        <f>IF(OR(P43="$",N43=1),+T43,"")</f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>T44*N44</f>
        <v>100</v>
      </c>
      <c r="P44" s="47" t="s">
        <v>805</v>
      </c>
      <c r="Q44" s="47"/>
      <c r="R44" s="95" t="str">
        <f>IF(OR(P44="c",P44="C"),+T44,"")</f>
        <v/>
      </c>
      <c r="S44" s="95">
        <f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>T45*N45</f>
        <v>0</v>
      </c>
      <c r="P45" s="47" t="s">
        <v>806</v>
      </c>
      <c r="Q45" s="47">
        <v>5361</v>
      </c>
      <c r="R45" s="95">
        <f>IF(OR(P45="c",P45="C"),+T45,"")</f>
        <v>110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>
        <v>1</v>
      </c>
      <c r="N46" s="47"/>
      <c r="O46" s="94">
        <f>T46*N46</f>
        <v>0</v>
      </c>
      <c r="P46" s="47" t="s">
        <v>806</v>
      </c>
      <c r="Q46" s="47">
        <v>5007</v>
      </c>
      <c r="R46" s="95">
        <f>IF(OR(P46="c",P46="C"),+T46,"")</f>
        <v>70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>T47*N47</f>
        <v>0</v>
      </c>
      <c r="P47" s="47" t="s">
        <v>806</v>
      </c>
      <c r="Q47" s="47">
        <v>5008</v>
      </c>
      <c r="R47" s="95">
        <f>IF(OR(P47="c",P47="C"),+T47,"")</f>
        <v>160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ht="15.75" x14ac:dyDescent="0.25">
      <c r="A48" s="46">
        <f t="shared" si="1"/>
        <v>37</v>
      </c>
      <c r="B48" s="47">
        <v>1</v>
      </c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>
        <v>1</v>
      </c>
      <c r="I48" s="47"/>
      <c r="J48" s="47"/>
      <c r="K48" s="47"/>
      <c r="L48" s="47"/>
      <c r="M48" s="47"/>
      <c r="N48" s="47"/>
      <c r="O48" s="94">
        <f>T48*N48</f>
        <v>0</v>
      </c>
      <c r="P48" s="47" t="s">
        <v>806</v>
      </c>
      <c r="Q48" s="47">
        <v>375</v>
      </c>
      <c r="R48" s="95">
        <f>IF(OR(P48="c",P48="C"),+T48,"")</f>
        <v>80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806</v>
      </c>
      <c r="Q49" s="47">
        <v>1399</v>
      </c>
      <c r="R49" s="95">
        <f>IF(OR(P49="c",P49="C"),+T49,"")</f>
        <v>100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>T50*N50</f>
        <v>0</v>
      </c>
      <c r="P50" s="47" t="s">
        <v>806</v>
      </c>
      <c r="Q50" s="47">
        <v>1399</v>
      </c>
      <c r="R50" s="95">
        <f>IF(OR(P50="c",P50="C"),+T50,"")</f>
        <v>160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160</v>
      </c>
      <c r="U50" s="51"/>
      <c r="V50" s="106" t="s">
        <v>758</v>
      </c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>T51*N51</f>
        <v>0</v>
      </c>
      <c r="P51" s="47" t="s">
        <v>806</v>
      </c>
      <c r="Q51" s="47">
        <v>616</v>
      </c>
      <c r="R51" s="95">
        <f>IF(OR(P51="c",P51="C"),+T51,"")</f>
        <v>160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>T52*N52</f>
        <v>0</v>
      </c>
      <c r="P52" s="47" t="s">
        <v>806</v>
      </c>
      <c r="Q52" s="47">
        <v>1886</v>
      </c>
      <c r="R52" s="95">
        <f>IF(OR(P52="c",P52="C"),+T52,"")</f>
        <v>160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>T53*N53</f>
        <v>0</v>
      </c>
      <c r="P53" s="47" t="s">
        <v>806</v>
      </c>
      <c r="Q53" s="47">
        <v>1886</v>
      </c>
      <c r="R53" s="95">
        <f>IF(OR(P53="c",P53="C"),+T53,"")</f>
        <v>160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>T54*N54</f>
        <v>110</v>
      </c>
      <c r="P54" s="47" t="s">
        <v>805</v>
      </c>
      <c r="Q54" s="47"/>
      <c r="R54" s="95" t="str">
        <f>IF(OR(P54="c",P54="C"),+T54,"")</f>
        <v/>
      </c>
      <c r="S54" s="95">
        <f>IF(OR(P54="$",N54=1),+T54,"")</f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3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>T55*N55</f>
        <v>0</v>
      </c>
      <c r="P55" s="47" t="s">
        <v>805</v>
      </c>
      <c r="Q55" s="47"/>
      <c r="R55" s="95" t="str">
        <f>IF(OR(P55="c",P55="C"),+T55,"")</f>
        <v/>
      </c>
      <c r="S55" s="95">
        <f>IF(OR(P55="$",N55=1),+T55,"")</f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805</v>
      </c>
      <c r="Q56" s="47"/>
      <c r="R56" s="95" t="str">
        <f>IF(OR(P56="c",P56="C"),+T56,"")</f>
        <v/>
      </c>
      <c r="S56" s="95">
        <f>IF(OR(P56="$",N56=1),+T56,"")</f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>T57*N57</f>
        <v>0</v>
      </c>
      <c r="P57" s="47" t="s">
        <v>805</v>
      </c>
      <c r="Q57" s="47"/>
      <c r="R57" s="95" t="str">
        <f>IF(OR(P57="c",P57="C"),+T57,"")</f>
        <v/>
      </c>
      <c r="S57" s="95">
        <f>IF(OR(P57="$",N57=1),+T57,"")</f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>T58*N58</f>
        <v>0</v>
      </c>
      <c r="P58" s="47" t="s">
        <v>806</v>
      </c>
      <c r="Q58" s="47">
        <v>1149</v>
      </c>
      <c r="R58" s="95">
        <f>IF(OR(P58="c",P58="C"),+T58,"")</f>
        <v>110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>T59*N59</f>
        <v>0</v>
      </c>
      <c r="P59" s="47" t="s">
        <v>806</v>
      </c>
      <c r="Q59" s="47">
        <v>1149</v>
      </c>
      <c r="R59" s="95">
        <f>IF(OR(P59="c",P59="C"),+T59,"")</f>
        <v>80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806</v>
      </c>
      <c r="Q60" s="47">
        <v>2487</v>
      </c>
      <c r="R60" s="95">
        <f>IF(OR(P60="c",P60="C"),+T60,"")</f>
        <v>80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806</v>
      </c>
      <c r="Q61" s="47">
        <v>8803</v>
      </c>
      <c r="R61" s="95">
        <f>IF(OR(P61="c",P61="C"),+T61,"")</f>
        <v>70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801</v>
      </c>
      <c r="D62" s="5" t="s">
        <v>802</v>
      </c>
      <c r="E62" s="6" t="s">
        <v>803</v>
      </c>
      <c r="F62" s="138">
        <v>4178488838</v>
      </c>
      <c r="G62" s="57" t="s">
        <v>804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806</v>
      </c>
      <c r="Q62" s="47">
        <v>7357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>T63*N63</f>
        <v>0</v>
      </c>
      <c r="P63" s="47" t="s">
        <v>806</v>
      </c>
      <c r="Q63" s="47">
        <v>4040</v>
      </c>
      <c r="R63" s="95">
        <f>IF(OR(P63="c",P63="C"),+T63,"")</f>
        <v>100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806</v>
      </c>
      <c r="Q64" s="47">
        <v>9990</v>
      </c>
      <c r="R64" s="95">
        <f>IF(OR(P64="c",P64="C"),+T64,"")</f>
        <v>110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138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 t="s">
        <v>806</v>
      </c>
      <c r="Q65" s="47">
        <v>930</v>
      </c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138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 t="s">
        <v>806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806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806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806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137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806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806</v>
      </c>
      <c r="Q71" s="47">
        <v>1826</v>
      </c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806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806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806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806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si="1"/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806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1"/>
        <v>66</v>
      </c>
      <c r="B77" s="47"/>
      <c r="C77" s="15" t="s">
        <v>645</v>
      </c>
      <c r="D77" s="15" t="s">
        <v>39</v>
      </c>
      <c r="E77" s="10" t="s">
        <v>646</v>
      </c>
      <c r="F77" s="139"/>
      <c r="G77" s="15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806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1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806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1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806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v>63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806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v>64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806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1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806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1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806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1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806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ref="A85:A147" si="2">ROW() - ROW(FRegentiresEneteredHdr)</f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806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2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806</v>
      </c>
      <c r="Q86" s="47"/>
      <c r="R86" s="95">
        <f>IF(OR(P86="c",P86="C"),+T86,"")</f>
        <v>0</v>
      </c>
      <c r="S86" s="95" t="str">
        <f>IF(OR(P86="$",N86=1),+T86,"")</f>
        <v/>
      </c>
      <c r="T86" s="96"/>
      <c r="U86" s="51"/>
      <c r="V86" s="110" t="s">
        <v>767</v>
      </c>
    </row>
    <row r="87" spans="1:22" x14ac:dyDescent="0.25">
      <c r="A87" s="46">
        <f t="shared" si="2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806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2"/>
        <v>77</v>
      </c>
      <c r="B88" s="47"/>
      <c r="C88" s="5" t="s">
        <v>66</v>
      </c>
      <c r="D88" s="5" t="s">
        <v>67</v>
      </c>
      <c r="E88" s="6" t="s">
        <v>68</v>
      </c>
      <c r="F88" s="138"/>
      <c r="G88" s="12"/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806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2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806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2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806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x14ac:dyDescent="0.25">
      <c r="A91" s="46">
        <f t="shared" si="2"/>
        <v>80</v>
      </c>
      <c r="B91" s="47"/>
      <c r="C91" s="7" t="s">
        <v>77</v>
      </c>
      <c r="D91" s="7" t="s">
        <v>78</v>
      </c>
      <c r="E91" s="9" t="s">
        <v>79</v>
      </c>
      <c r="F91" s="13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806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2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806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2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806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2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806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2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806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2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806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2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806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2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806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2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806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2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806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2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806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2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806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2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806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2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806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2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806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2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806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2"/>
        <v>96</v>
      </c>
      <c r="B107" s="47"/>
      <c r="C107" s="5" t="s">
        <v>124</v>
      </c>
      <c r="D107" s="5" t="s">
        <v>72</v>
      </c>
      <c r="E107" s="142" t="s">
        <v>125</v>
      </c>
      <c r="F107" s="138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806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2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806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806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806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806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806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806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39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806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806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2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806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2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806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2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806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2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806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2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806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806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2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806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2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806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2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806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2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806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2"/>
        <v>115</v>
      </c>
      <c r="B126" s="47"/>
      <c r="C126" s="5" t="s">
        <v>175</v>
      </c>
      <c r="D126" s="5" t="s">
        <v>72</v>
      </c>
      <c r="E126" s="6" t="s">
        <v>176</v>
      </c>
      <c r="F126" s="138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806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2"/>
        <v>116</v>
      </c>
      <c r="B127" s="47"/>
      <c r="C127" s="5" t="s">
        <v>177</v>
      </c>
      <c r="D127" s="136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806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2"/>
        <v>117</v>
      </c>
      <c r="B128" s="47"/>
      <c r="C128" s="7" t="s">
        <v>179</v>
      </c>
      <c r="D128" s="141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806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2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806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2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806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2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806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2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806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2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806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2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806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2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806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2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806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2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806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2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>
        <v>1</v>
      </c>
      <c r="O138" s="94">
        <f>T138*N138</f>
        <v>0</v>
      </c>
      <c r="P138" s="47" t="s">
        <v>805</v>
      </c>
      <c r="Q138" s="47"/>
      <c r="R138" s="95" t="str">
        <f>IF(OR(P138="c",P138="C"),+T138,"")</f>
        <v/>
      </c>
      <c r="S138" s="95">
        <f>IF(OR(P138="$",N138=1),+T138,"")</f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2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806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si="2"/>
        <v>129</v>
      </c>
      <c r="B140" s="47"/>
      <c r="C140" s="15" t="s">
        <v>664</v>
      </c>
      <c r="D140" s="15" t="s">
        <v>39</v>
      </c>
      <c r="E140" s="10" t="s">
        <v>665</v>
      </c>
      <c r="F140" s="13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806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2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806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2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806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2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806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2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806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2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806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2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806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2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806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ref="A148:A216" si="3">ROW() - ROW(FRegentiresEneteredHdr)</f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806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3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806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3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806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3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806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3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806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3"/>
        <v>142</v>
      </c>
      <c r="B153" s="47"/>
      <c r="C153" s="5" t="s">
        <v>257</v>
      </c>
      <c r="D153" s="5" t="s">
        <v>255</v>
      </c>
      <c r="E153" s="6" t="s">
        <v>258</v>
      </c>
      <c r="F153" s="13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806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3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806</v>
      </c>
      <c r="Q154" s="47">
        <v>1587</v>
      </c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3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806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3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806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3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806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3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806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3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806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3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144" t="s">
        <v>547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806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3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806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3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806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3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806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3"/>
        <v>153</v>
      </c>
      <c r="B164" s="47"/>
      <c r="C164" s="5" t="s">
        <v>291</v>
      </c>
      <c r="D164" s="5" t="s">
        <v>255</v>
      </c>
      <c r="E164" s="6"/>
      <c r="F164" s="48"/>
      <c r="G164" s="144" t="s">
        <v>554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806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3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806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3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806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3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806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3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806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3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806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3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806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ht="15.75" x14ac:dyDescent="0.25">
      <c r="A171" s="46">
        <f t="shared" si="3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806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ht="15.75" x14ac:dyDescent="0.25">
      <c r="A172" s="46">
        <f t="shared" si="3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806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3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806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3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806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ht="15.75" x14ac:dyDescent="0.25">
      <c r="A175" s="46">
        <f t="shared" si="3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806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ht="15.75" x14ac:dyDescent="0.25">
      <c r="A176" s="46">
        <f t="shared" si="3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806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3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806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3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806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3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806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3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806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3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806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x14ac:dyDescent="0.25">
      <c r="A182" s="46">
        <f t="shared" si="3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806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x14ac:dyDescent="0.25">
      <c r="A183" s="46">
        <f t="shared" si="3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806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3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806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3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806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x14ac:dyDescent="0.25">
      <c r="A186" s="46">
        <f t="shared" si="3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806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x14ac:dyDescent="0.25">
      <c r="A187" s="46">
        <f t="shared" si="3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806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3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806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3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806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3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806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3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806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3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806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3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806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3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806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3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806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3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806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3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806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3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806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3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806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3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806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3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806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3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>T202*N202</f>
        <v>0</v>
      </c>
      <c r="P202" s="47" t="s">
        <v>806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3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>T203*N203</f>
        <v>0</v>
      </c>
      <c r="P203" s="47" t="s">
        <v>806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si="3"/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>T204*N204</f>
        <v>0</v>
      </c>
      <c r="P204" s="47" t="s">
        <v>806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>T205*N205</f>
        <v>0</v>
      </c>
      <c r="P205" s="47" t="s">
        <v>806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>T206*N206</f>
        <v>0</v>
      </c>
      <c r="P206" s="47" t="s">
        <v>806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>T207*N207</f>
        <v>0</v>
      </c>
      <c r="P207" s="47" t="s">
        <v>806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>T208*N208</f>
        <v>0</v>
      </c>
      <c r="P208" s="47" t="s">
        <v>806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>T209*N209</f>
        <v>0</v>
      </c>
      <c r="P209" s="47" t="s">
        <v>806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>T210*N210</f>
        <v>0</v>
      </c>
      <c r="P210" s="47" t="s">
        <v>806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4">T211*N211</f>
        <v>0</v>
      </c>
      <c r="P211" s="47"/>
      <c r="Q211" s="47"/>
      <c r="R211" s="95" t="str">
        <f t="shared" ref="R211:R220" si="5">IF(OR(P211="c",P211="C"),+T211,"")</f>
        <v/>
      </c>
      <c r="S211" s="95" t="str">
        <f t="shared" ref="S211:S220" si="6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4"/>
        <v>0</v>
      </c>
      <c r="P212" s="47"/>
      <c r="Q212" s="47"/>
      <c r="R212" s="95" t="str">
        <f t="shared" si="5"/>
        <v/>
      </c>
      <c r="S212" s="95" t="str">
        <f t="shared" si="6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4"/>
        <v>0</v>
      </c>
      <c r="P213" s="47"/>
      <c r="Q213" s="47"/>
      <c r="R213" s="95" t="str">
        <f t="shared" si="5"/>
        <v/>
      </c>
      <c r="S213" s="95" t="str">
        <f t="shared" si="6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4"/>
        <v>0</v>
      </c>
      <c r="P214" s="47"/>
      <c r="Q214" s="47"/>
      <c r="R214" s="95" t="str">
        <f t="shared" si="5"/>
        <v/>
      </c>
      <c r="S214" s="95" t="str">
        <f t="shared" si="6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4"/>
        <v>0</v>
      </c>
      <c r="P215" s="47"/>
      <c r="Q215" s="47"/>
      <c r="R215" s="95" t="str">
        <f t="shared" si="5"/>
        <v/>
      </c>
      <c r="S215" s="95" t="str">
        <f t="shared" si="6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4"/>
        <v>0</v>
      </c>
      <c r="P216" s="47"/>
      <c r="Q216" s="47"/>
      <c r="R216" s="95" t="str">
        <f t="shared" si="5"/>
        <v/>
      </c>
      <c r="S216" s="95" t="str">
        <f t="shared" si="6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ref="A217:A220" si="7">ROW() - ROW(FRegentiresEneteredHdr)</f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4"/>
        <v>0</v>
      </c>
      <c r="P217" s="47"/>
      <c r="Q217" s="47"/>
      <c r="R217" s="95" t="str">
        <f t="shared" si="5"/>
        <v/>
      </c>
      <c r="S217" s="95" t="str">
        <f t="shared" si="6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7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4"/>
        <v>0</v>
      </c>
      <c r="P218" s="47"/>
      <c r="Q218" s="47"/>
      <c r="R218" s="95" t="str">
        <f t="shared" si="5"/>
        <v/>
      </c>
      <c r="S218" s="95" t="str">
        <f t="shared" si="6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7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4"/>
        <v>0</v>
      </c>
      <c r="P219" s="47"/>
      <c r="Q219" s="47"/>
      <c r="R219" s="95" t="str">
        <f t="shared" si="5"/>
        <v/>
      </c>
      <c r="S219" s="95" t="str">
        <f t="shared" si="6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7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4"/>
        <v>0</v>
      </c>
      <c r="P220" s="47"/>
      <c r="Q220" s="47"/>
      <c r="R220" s="95" t="str">
        <f t="shared" si="5"/>
        <v/>
      </c>
      <c r="S220" s="95" t="str">
        <f t="shared" si="6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ref="A204:A267" si="8">ROW() - ROW(FRegEntriesEnteredHdr)</f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9">T221*N221</f>
        <v>0</v>
      </c>
      <c r="P221" s="50"/>
      <c r="Q221" s="50"/>
      <c r="R221" s="95" t="str">
        <f t="shared" ref="R221:R267" si="10">IF(OR(P221="c",P221="C"),+T221,"")</f>
        <v/>
      </c>
      <c r="S221" s="95" t="str">
        <f t="shared" ref="S221:S267" si="11">IF(OR(P221="$",N221=1),+T221,"")</f>
        <v/>
      </c>
      <c r="T221" s="96">
        <f t="shared" ref="T221:T267" si="1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2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2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1C011972-192B-4729-B0EA-E52302AB6A4D}"/>
    <hyperlink ref="G54" r:id="rId2" xr:uid="{30605C47-E47A-42DF-9A61-B9E9C9BEE890}"/>
    <hyperlink ref="G67" r:id="rId3" xr:uid="{63E19C85-D09F-45DB-B019-881C0A124B55}"/>
    <hyperlink ref="G16" r:id="rId4" xr:uid="{78EA3BFC-3086-4A8D-B486-710D9313DC75}"/>
    <hyperlink ref="G73" r:id="rId5" xr:uid="{75FDFA3D-13EB-4494-BC82-CC0049E13933}"/>
    <hyperlink ref="G23" r:id="rId6" xr:uid="{62F21089-D128-42D2-AB09-06D9B447F7DA}"/>
    <hyperlink ref="G107" r:id="rId7" xr:uid="{1E9B0970-9042-4A5E-AFA7-200CAFBB69E4}"/>
    <hyperlink ref="G113" r:id="rId8" xr:uid="{D5661F87-BE58-400C-A4F0-8C12E81337B1}"/>
    <hyperlink ref="G29" r:id="rId9" xr:uid="{9B5A108C-3802-43C2-A607-366A3D0FB3EF}"/>
    <hyperlink ref="G30" r:id="rId10" xr:uid="{6AF19A78-78DB-4DB8-ACBF-2D5030B8B6EC}"/>
    <hyperlink ref="G133" r:id="rId11" xr:uid="{45FA8782-EECD-4325-833D-405F87F85BAC}"/>
    <hyperlink ref="G134" r:id="rId12" xr:uid="{26FC8722-CAB7-4A83-99DE-406145CC624D}"/>
    <hyperlink ref="G33" r:id="rId13" xr:uid="{345F07E5-7096-438F-846C-4B4CF9A4B8C1}"/>
    <hyperlink ref="G34" r:id="rId14" xr:uid="{3F98F48C-5DB0-4329-82D0-7580ED57F058}"/>
    <hyperlink ref="G47" r:id="rId15" xr:uid="{F6BB66E9-29EC-4506-886E-3A833D68C0E0}"/>
    <hyperlink ref="G51" r:id="rId16" xr:uid="{5A78E78E-77DB-430B-82BC-D13466B4D552}"/>
    <hyperlink ref="G184" r:id="rId17" xr:uid="{2E9D2EBA-D10C-4F34-95E5-4FC3E69332D6}"/>
    <hyperlink ref="G188" r:id="rId18" xr:uid="{E01706EE-AE97-40D7-A5DB-51D3E84007C7}"/>
    <hyperlink ref="G57" r:id="rId19" xr:uid="{36324473-92D1-41B5-A478-04B3B0F550CB}"/>
    <hyperlink ref="G202" r:id="rId20" xr:uid="{892898E1-A6F9-4CC8-9A5C-0B5F9C65F9C5}"/>
    <hyperlink ref="G63" r:id="rId21" xr:uid="{242CCF09-1F58-4ECC-8003-0110886E8C0D}"/>
    <hyperlink ref="G207" r:id="rId22" xr:uid="{70951D8A-5C99-4C4E-AD1E-436261555569}"/>
    <hyperlink ref="G152" r:id="rId23" xr:uid="{18A7E21E-73CF-45AC-A6E0-025957B0128D}"/>
    <hyperlink ref="G153" r:id="rId24" xr:uid="{A26A959A-1C7B-4F3B-86C3-57721F1FB58F}"/>
    <hyperlink ref="G22" r:id="rId25" xr:uid="{51285AFC-D928-427E-BADA-FF9F75674F98}"/>
    <hyperlink ref="G37" r:id="rId26" xr:uid="{887D25B5-7989-423D-ABFC-60914A91A02E}"/>
    <hyperlink ref="G119" r:id="rId27" xr:uid="{8E25BC7E-DE65-4E54-A836-4E9EA36280FC}"/>
    <hyperlink ref="G163" r:id="rId28" xr:uid="{926ED0AD-537F-4205-98D7-6E93CCB7A10E}"/>
    <hyperlink ref="G43" r:id="rId29" xr:uid="{CADE5645-6E41-41D7-A562-98033769C8FA}"/>
    <hyperlink ref="G147" r:id="rId30" xr:uid="{59B34862-FFF3-4F2C-A1F3-7E1723495511}"/>
    <hyperlink ref="G120" r:id="rId31" xr:uid="{EAE8F46F-3071-4FA3-8F80-28B5FC9CBBA9}"/>
    <hyperlink ref="G181" r:id="rId32" xr:uid="{578A5D8C-D82D-4B96-BAB4-A4B33AEEACAB}"/>
    <hyperlink ref="G192" r:id="rId33" xr:uid="{7CD8806B-A13B-4909-9001-0691385E8978}"/>
    <hyperlink ref="G64" r:id="rId34" xr:uid="{A26BE2C4-1D21-4652-801E-AF4CD5598B41}"/>
    <hyperlink ref="G183" r:id="rId35" xr:uid="{59033DBC-9A57-4C48-9248-847E590C9055}"/>
    <hyperlink ref="G42" r:id="rId36" xr:uid="{086359CD-8ECA-4F41-95F6-031ADF455983}"/>
    <hyperlink ref="G56" r:id="rId37" xr:uid="{9D0FCF2B-D29E-493C-8248-5394E92EF0DC}"/>
    <hyperlink ref="G81" r:id="rId38" xr:uid="{012FA17D-DA46-4C97-ADE2-705CCB89B73E}"/>
    <hyperlink ref="G49" r:id="rId39" xr:uid="{E6325C79-DC08-45C9-BA30-10863F7130F7}"/>
    <hyperlink ref="G176" r:id="rId40" xr:uid="{06951DC5-D19B-4F35-B952-8DDB2DBDEE79}"/>
    <hyperlink ref="G126" r:id="rId41" xr:uid="{729E437C-8938-4F07-B05C-8B995CB80D25}"/>
    <hyperlink ref="G116" r:id="rId42" xr:uid="{BA00D8DC-1C15-4ED6-9687-28E65611C16D}"/>
    <hyperlink ref="G117" r:id="rId43" xr:uid="{58F7FE19-B051-4E0B-BE82-63EAD4897EB6}"/>
    <hyperlink ref="G92" r:id="rId44" xr:uid="{E939CC76-3F6F-45FE-9296-8035BB78AA6D}"/>
    <hyperlink ref="G65" r:id="rId45" xr:uid="{2735A0BE-4176-4779-B935-4469F1B4E074}"/>
    <hyperlink ref="G39" r:id="rId46" xr:uid="{D59490A6-551C-4F44-BD16-B2AC428C75B1}"/>
    <hyperlink ref="G75" r:id="rId47" xr:uid="{F24B9199-FBC5-4E7B-8BF6-4D4C8B404B50}"/>
    <hyperlink ref="G28" r:id="rId48" xr:uid="{791C3741-F913-47BC-B575-7E115B13B84E}"/>
    <hyperlink ref="G108" r:id="rId49" xr:uid="{C3539A8F-D34C-4CEE-9F17-97750D3842E3}"/>
    <hyperlink ref="G159" r:id="rId50" xr:uid="{25A3D1E1-54CD-4EBD-BD93-33EF854E654D}"/>
    <hyperlink ref="G62" r:id="rId51" xr:uid="{83E21923-C93D-4BF0-B4E7-07B463D38DBE}"/>
    <hyperlink ref="G17" r:id="rId52" xr:uid="{6C8DA577-23B7-4A54-B97D-3294FBA2B8C7}"/>
    <hyperlink ref="G18" r:id="rId53" xr:uid="{4A8583A1-4CAD-46D2-9CCB-D331EDCEF763}"/>
    <hyperlink ref="G61" r:id="rId54" xr:uid="{B86717FB-A731-485B-8FBF-268D3F5314ED}"/>
    <hyperlink ref="G48" r:id="rId55" xr:uid="{2EAC4029-622D-4B34-AFCE-DD1D6F02B29F}"/>
    <hyperlink ref="G12" r:id="rId56" xr:uid="{07671357-DB3D-4D14-8D67-0005BC5100FC}"/>
    <hyperlink ref="G46" r:id="rId57" xr:uid="{A0C9549D-44FD-4CFD-8321-16735A1103E8}"/>
    <hyperlink ref="G19" r:id="rId58" xr:uid="{684FC513-4784-4722-AFE5-996904002B17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771</v>
      </c>
      <c r="B9" s="7" t="s">
        <v>772</v>
      </c>
      <c r="C9" s="10" t="s">
        <v>773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2026-04-17T20:54:45Z</dcterms:modified>
</cp:coreProperties>
</file>