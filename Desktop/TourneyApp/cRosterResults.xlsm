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\TourneyDev\Common\TourneyApp\"/>
    </mc:Choice>
  </mc:AlternateContent>
  <xr:revisionPtr revIDLastSave="0" documentId="13_ncr:1_{F460C303-6547-4A2B-8A32-4C8B7A87768A}" xr6:coauthVersionLast="47" xr6:coauthVersionMax="47" xr10:uidLastSave="{00000000-0000-0000-0000-000000000000}"/>
  <bookViews>
    <workbookView xWindow="900" yWindow="600" windowWidth="27900" windowHeight="15600" activeTab="2" xr2:uid="{00000000-000D-0000-FFFF-FFFF00000000}"/>
  </bookViews>
  <sheets>
    <sheet name="Setup" sheetId="14" r:id="rId1"/>
    <sheet name="Entries" sheetId="1" r:id="rId2"/>
    <sheet name="Results" sheetId="3" r:id="rId3"/>
    <sheet name="Bracket" sheetId="16" r:id="rId4"/>
    <sheet name="Pool1" sheetId="5" r:id="rId5"/>
    <sheet name="Pool2" sheetId="6" r:id="rId6"/>
    <sheet name="Pool3" sheetId="7" r:id="rId7"/>
    <sheet name="Pool4" sheetId="8" r:id="rId8"/>
    <sheet name="FinalQMpts" sheetId="10" r:id="rId9"/>
    <sheet name="FinalRptFinish" sheetId="9" r:id="rId10"/>
    <sheet name="LocalCombined" sheetId="11" r:id="rId11"/>
    <sheet name="Sheet1" sheetId="17" r:id="rId12"/>
  </sheets>
  <functionGroups builtInGroupCount="19"/>
  <externalReferences>
    <externalReference r:id="rId13"/>
    <externalReference r:id="rId14"/>
  </externalReferences>
  <definedNames>
    <definedName name="_xlnm.Print_Area" localSheetId="3">Bracket!$A$1:$D$10</definedName>
    <definedName name="_xlnm.Print_Area" localSheetId="1">Entries!$A$9:$I$53</definedName>
    <definedName name="_xlnm.Print_Area" localSheetId="8">FinalQMpts!$A$1:$F$18</definedName>
    <definedName name="_xlnm.Print_Area" localSheetId="9">FinalRptFinish!$A$1:$F$18</definedName>
    <definedName name="_xlnm.Print_Area" localSheetId="10">LocalCombined!$A$1:$M$18</definedName>
    <definedName name="_xlnm.Print_Area" localSheetId="4">Pool1!$A$1:$E$33</definedName>
    <definedName name="_xlnm.Print_Area" localSheetId="5">Pool2!$A$1:$E$30</definedName>
    <definedName name="_xlnm.Print_Area" localSheetId="6">Pool3!$A$1:$E$30</definedName>
    <definedName name="_xlnm.Print_Area" localSheetId="7">Pool4!$A$1:$E$30</definedName>
    <definedName name="_xlnm.Print_Area" localSheetId="2">Results!$A$5:$L$16</definedName>
    <definedName name="_xlnm.Print_Titles" localSheetId="1">Entries!$11:$11</definedName>
    <definedName name="_xlnm.Print_Titles" localSheetId="2">Results!$7:$7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17" l="1"/>
  <c r="D9" i="17"/>
  <c r="D3" i="17"/>
  <c r="D4" i="17" s="1"/>
  <c r="C3" i="1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A6" i="11"/>
  <c r="A5" i="11"/>
  <c r="A4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6" i="9"/>
  <c r="A5" i="9"/>
  <c r="A4" i="9"/>
  <c r="C1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6" i="10"/>
  <c r="A5" i="10"/>
  <c r="A4" i="10"/>
  <c r="C1" i="10"/>
  <c r="A2" i="8"/>
  <c r="C1" i="8"/>
  <c r="A2" i="7"/>
  <c r="C1" i="7"/>
  <c r="A2" i="6"/>
  <c r="C1" i="6"/>
  <c r="A2" i="5"/>
  <c r="C1" i="5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V9" i="3"/>
  <c r="T9" i="3"/>
  <c r="T10" i="3" s="1"/>
  <c r="R9" i="3"/>
  <c r="A9" i="3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R8" i="3"/>
  <c r="P6" i="3"/>
  <c r="O6" i="3"/>
  <c r="N6" i="3"/>
  <c r="M6" i="3"/>
  <c r="A5" i="3"/>
  <c r="C1" i="3"/>
  <c r="X211" i="1"/>
  <c r="W211" i="1"/>
  <c r="V211" i="1"/>
  <c r="U211" i="1"/>
  <c r="T211" i="1"/>
  <c r="S211" i="1"/>
  <c r="R211" i="1"/>
  <c r="X210" i="1"/>
  <c r="W210" i="1"/>
  <c r="V210" i="1"/>
  <c r="U210" i="1"/>
  <c r="T210" i="1"/>
  <c r="S210" i="1"/>
  <c r="R210" i="1"/>
  <c r="X209" i="1"/>
  <c r="W209" i="1"/>
  <c r="V209" i="1"/>
  <c r="U209" i="1"/>
  <c r="T209" i="1"/>
  <c r="S209" i="1"/>
  <c r="R209" i="1"/>
  <c r="X208" i="1"/>
  <c r="W208" i="1"/>
  <c r="V208" i="1"/>
  <c r="U208" i="1"/>
  <c r="T208" i="1"/>
  <c r="S208" i="1"/>
  <c r="R208" i="1"/>
  <c r="X207" i="1"/>
  <c r="W207" i="1"/>
  <c r="V207" i="1"/>
  <c r="U207" i="1"/>
  <c r="T207" i="1"/>
  <c r="S207" i="1"/>
  <c r="R207" i="1"/>
  <c r="X206" i="1"/>
  <c r="W206" i="1"/>
  <c r="V206" i="1"/>
  <c r="U206" i="1"/>
  <c r="T206" i="1"/>
  <c r="S206" i="1"/>
  <c r="R206" i="1"/>
  <c r="X205" i="1"/>
  <c r="W205" i="1"/>
  <c r="V205" i="1"/>
  <c r="U205" i="1"/>
  <c r="T205" i="1"/>
  <c r="S205" i="1"/>
  <c r="R205" i="1"/>
  <c r="X204" i="1"/>
  <c r="W204" i="1"/>
  <c r="V204" i="1"/>
  <c r="U204" i="1"/>
  <c r="T204" i="1"/>
  <c r="S204" i="1"/>
  <c r="R204" i="1"/>
  <c r="X203" i="1"/>
  <c r="W203" i="1"/>
  <c r="V203" i="1"/>
  <c r="U203" i="1"/>
  <c r="T203" i="1"/>
  <c r="S203" i="1"/>
  <c r="R203" i="1"/>
  <c r="X202" i="1"/>
  <c r="W202" i="1"/>
  <c r="V202" i="1"/>
  <c r="U202" i="1"/>
  <c r="T202" i="1"/>
  <c r="S202" i="1"/>
  <c r="R202" i="1"/>
  <c r="X201" i="1"/>
  <c r="W201" i="1"/>
  <c r="V201" i="1"/>
  <c r="U201" i="1"/>
  <c r="T201" i="1"/>
  <c r="S201" i="1"/>
  <c r="R201" i="1"/>
  <c r="X200" i="1"/>
  <c r="W200" i="1"/>
  <c r="V200" i="1"/>
  <c r="U200" i="1"/>
  <c r="T200" i="1"/>
  <c r="S200" i="1"/>
  <c r="R200" i="1"/>
  <c r="X199" i="1"/>
  <c r="W199" i="1"/>
  <c r="V199" i="1"/>
  <c r="U199" i="1"/>
  <c r="T199" i="1"/>
  <c r="S199" i="1"/>
  <c r="R199" i="1"/>
  <c r="X198" i="1"/>
  <c r="W198" i="1"/>
  <c r="V198" i="1"/>
  <c r="U198" i="1"/>
  <c r="T198" i="1"/>
  <c r="S198" i="1"/>
  <c r="R198" i="1"/>
  <c r="X197" i="1"/>
  <c r="W197" i="1"/>
  <c r="V197" i="1"/>
  <c r="U197" i="1"/>
  <c r="T197" i="1"/>
  <c r="S197" i="1"/>
  <c r="R197" i="1"/>
  <c r="X196" i="1"/>
  <c r="W196" i="1"/>
  <c r="V196" i="1"/>
  <c r="U196" i="1"/>
  <c r="T196" i="1"/>
  <c r="S196" i="1"/>
  <c r="R196" i="1"/>
  <c r="X195" i="1"/>
  <c r="W195" i="1"/>
  <c r="V195" i="1"/>
  <c r="U195" i="1"/>
  <c r="T195" i="1"/>
  <c r="S195" i="1"/>
  <c r="R195" i="1"/>
  <c r="X194" i="1"/>
  <c r="W194" i="1"/>
  <c r="V194" i="1"/>
  <c r="U194" i="1"/>
  <c r="T194" i="1"/>
  <c r="S194" i="1"/>
  <c r="R194" i="1"/>
  <c r="X193" i="1"/>
  <c r="W193" i="1"/>
  <c r="V193" i="1"/>
  <c r="U193" i="1"/>
  <c r="T193" i="1"/>
  <c r="S193" i="1"/>
  <c r="R193" i="1"/>
  <c r="X192" i="1"/>
  <c r="W192" i="1"/>
  <c r="V192" i="1"/>
  <c r="U192" i="1"/>
  <c r="T192" i="1"/>
  <c r="S192" i="1"/>
  <c r="R192" i="1"/>
  <c r="X191" i="1"/>
  <c r="W191" i="1"/>
  <c r="V191" i="1"/>
  <c r="U191" i="1"/>
  <c r="T191" i="1"/>
  <c r="S191" i="1"/>
  <c r="R191" i="1"/>
  <c r="X190" i="1"/>
  <c r="W190" i="1"/>
  <c r="V190" i="1"/>
  <c r="U190" i="1"/>
  <c r="T190" i="1"/>
  <c r="S190" i="1"/>
  <c r="R190" i="1"/>
  <c r="X189" i="1"/>
  <c r="W189" i="1"/>
  <c r="V189" i="1"/>
  <c r="U189" i="1"/>
  <c r="T189" i="1"/>
  <c r="S189" i="1"/>
  <c r="R189" i="1"/>
  <c r="X188" i="1"/>
  <c r="W188" i="1"/>
  <c r="V188" i="1"/>
  <c r="U188" i="1"/>
  <c r="T188" i="1"/>
  <c r="S188" i="1"/>
  <c r="R188" i="1"/>
  <c r="X187" i="1"/>
  <c r="W187" i="1"/>
  <c r="V187" i="1"/>
  <c r="U187" i="1"/>
  <c r="T187" i="1"/>
  <c r="S187" i="1"/>
  <c r="R187" i="1"/>
  <c r="X186" i="1"/>
  <c r="W186" i="1"/>
  <c r="V186" i="1"/>
  <c r="U186" i="1"/>
  <c r="T186" i="1"/>
  <c r="S186" i="1"/>
  <c r="R186" i="1"/>
  <c r="X185" i="1"/>
  <c r="W185" i="1"/>
  <c r="V185" i="1"/>
  <c r="U185" i="1"/>
  <c r="T185" i="1"/>
  <c r="S185" i="1"/>
  <c r="R185" i="1"/>
  <c r="X184" i="1"/>
  <c r="W184" i="1"/>
  <c r="V184" i="1"/>
  <c r="U184" i="1"/>
  <c r="T184" i="1"/>
  <c r="S184" i="1"/>
  <c r="R184" i="1"/>
  <c r="X183" i="1"/>
  <c r="W183" i="1"/>
  <c r="V183" i="1"/>
  <c r="U183" i="1"/>
  <c r="T183" i="1"/>
  <c r="S183" i="1"/>
  <c r="R183" i="1"/>
  <c r="X182" i="1"/>
  <c r="W182" i="1"/>
  <c r="V182" i="1"/>
  <c r="U182" i="1"/>
  <c r="T182" i="1"/>
  <c r="S182" i="1"/>
  <c r="R182" i="1"/>
  <c r="X181" i="1"/>
  <c r="W181" i="1"/>
  <c r="V181" i="1"/>
  <c r="U181" i="1"/>
  <c r="T181" i="1"/>
  <c r="S181" i="1"/>
  <c r="R181" i="1"/>
  <c r="X180" i="1"/>
  <c r="W180" i="1"/>
  <c r="V180" i="1"/>
  <c r="U180" i="1"/>
  <c r="T180" i="1"/>
  <c r="S180" i="1"/>
  <c r="R180" i="1"/>
  <c r="X179" i="1"/>
  <c r="W179" i="1"/>
  <c r="V179" i="1"/>
  <c r="U179" i="1"/>
  <c r="T179" i="1"/>
  <c r="S179" i="1"/>
  <c r="R179" i="1"/>
  <c r="X178" i="1"/>
  <c r="W178" i="1"/>
  <c r="V178" i="1"/>
  <c r="U178" i="1"/>
  <c r="T178" i="1"/>
  <c r="S178" i="1"/>
  <c r="R178" i="1"/>
  <c r="X177" i="1"/>
  <c r="W177" i="1"/>
  <c r="V177" i="1"/>
  <c r="U177" i="1"/>
  <c r="T177" i="1"/>
  <c r="S177" i="1"/>
  <c r="R177" i="1"/>
  <c r="X176" i="1"/>
  <c r="W176" i="1"/>
  <c r="V176" i="1"/>
  <c r="U176" i="1"/>
  <c r="T176" i="1"/>
  <c r="S176" i="1"/>
  <c r="R176" i="1"/>
  <c r="X175" i="1"/>
  <c r="W175" i="1"/>
  <c r="V175" i="1"/>
  <c r="U175" i="1"/>
  <c r="T175" i="1"/>
  <c r="S175" i="1"/>
  <c r="R175" i="1"/>
  <c r="X174" i="1"/>
  <c r="W174" i="1"/>
  <c r="V174" i="1"/>
  <c r="U174" i="1"/>
  <c r="T174" i="1"/>
  <c r="S174" i="1"/>
  <c r="R174" i="1"/>
  <c r="X173" i="1"/>
  <c r="W173" i="1"/>
  <c r="V173" i="1"/>
  <c r="U173" i="1"/>
  <c r="T173" i="1"/>
  <c r="S173" i="1"/>
  <c r="R173" i="1"/>
  <c r="X172" i="1"/>
  <c r="W172" i="1"/>
  <c r="V172" i="1"/>
  <c r="U172" i="1"/>
  <c r="T172" i="1"/>
  <c r="S172" i="1"/>
  <c r="R172" i="1"/>
  <c r="X171" i="1"/>
  <c r="W171" i="1"/>
  <c r="V171" i="1"/>
  <c r="U171" i="1"/>
  <c r="T171" i="1"/>
  <c r="S171" i="1"/>
  <c r="R171" i="1"/>
  <c r="X170" i="1"/>
  <c r="W170" i="1"/>
  <c r="V170" i="1"/>
  <c r="U170" i="1"/>
  <c r="T170" i="1"/>
  <c r="S170" i="1"/>
  <c r="R170" i="1"/>
  <c r="X169" i="1"/>
  <c r="W169" i="1"/>
  <c r="V169" i="1"/>
  <c r="U169" i="1"/>
  <c r="T169" i="1"/>
  <c r="S169" i="1"/>
  <c r="R169" i="1"/>
  <c r="X168" i="1"/>
  <c r="W168" i="1"/>
  <c r="V168" i="1"/>
  <c r="U168" i="1"/>
  <c r="T168" i="1"/>
  <c r="S168" i="1"/>
  <c r="R168" i="1"/>
  <c r="X167" i="1"/>
  <c r="W167" i="1"/>
  <c r="V167" i="1"/>
  <c r="U167" i="1"/>
  <c r="T167" i="1"/>
  <c r="S167" i="1"/>
  <c r="R167" i="1"/>
  <c r="X166" i="1"/>
  <c r="W166" i="1"/>
  <c r="V166" i="1"/>
  <c r="U166" i="1"/>
  <c r="T166" i="1"/>
  <c r="S166" i="1"/>
  <c r="R166" i="1"/>
  <c r="X165" i="1"/>
  <c r="W165" i="1"/>
  <c r="V165" i="1"/>
  <c r="U165" i="1"/>
  <c r="T165" i="1"/>
  <c r="S165" i="1"/>
  <c r="R165" i="1"/>
  <c r="X164" i="1"/>
  <c r="W164" i="1"/>
  <c r="V164" i="1"/>
  <c r="U164" i="1"/>
  <c r="T164" i="1"/>
  <c r="S164" i="1"/>
  <c r="R164" i="1"/>
  <c r="X163" i="1"/>
  <c r="W163" i="1"/>
  <c r="V163" i="1"/>
  <c r="U163" i="1"/>
  <c r="T163" i="1"/>
  <c r="S163" i="1"/>
  <c r="R163" i="1"/>
  <c r="X162" i="1"/>
  <c r="W162" i="1"/>
  <c r="V162" i="1"/>
  <c r="U162" i="1"/>
  <c r="T162" i="1"/>
  <c r="S162" i="1"/>
  <c r="R162" i="1"/>
  <c r="X161" i="1"/>
  <c r="W161" i="1"/>
  <c r="V161" i="1"/>
  <c r="U161" i="1"/>
  <c r="T161" i="1"/>
  <c r="S161" i="1"/>
  <c r="R161" i="1"/>
  <c r="X160" i="1"/>
  <c r="W160" i="1"/>
  <c r="V160" i="1"/>
  <c r="U160" i="1"/>
  <c r="T160" i="1"/>
  <c r="S160" i="1"/>
  <c r="R160" i="1"/>
  <c r="X159" i="1"/>
  <c r="W159" i="1"/>
  <c r="V159" i="1"/>
  <c r="U159" i="1"/>
  <c r="T159" i="1"/>
  <c r="S159" i="1"/>
  <c r="R159" i="1"/>
  <c r="X158" i="1"/>
  <c r="W158" i="1"/>
  <c r="V158" i="1"/>
  <c r="U158" i="1"/>
  <c r="T158" i="1"/>
  <c r="S158" i="1"/>
  <c r="R158" i="1"/>
  <c r="X157" i="1"/>
  <c r="W157" i="1"/>
  <c r="V157" i="1"/>
  <c r="U157" i="1"/>
  <c r="T157" i="1"/>
  <c r="S157" i="1"/>
  <c r="R157" i="1"/>
  <c r="X156" i="1"/>
  <c r="W156" i="1"/>
  <c r="V156" i="1"/>
  <c r="U156" i="1"/>
  <c r="T156" i="1"/>
  <c r="S156" i="1"/>
  <c r="R156" i="1"/>
  <c r="X155" i="1"/>
  <c r="W155" i="1"/>
  <c r="V155" i="1"/>
  <c r="U155" i="1"/>
  <c r="T155" i="1"/>
  <c r="S155" i="1"/>
  <c r="R155" i="1"/>
  <c r="X154" i="1"/>
  <c r="W154" i="1"/>
  <c r="V154" i="1"/>
  <c r="U154" i="1"/>
  <c r="T154" i="1"/>
  <c r="S154" i="1"/>
  <c r="R154" i="1"/>
  <c r="X153" i="1"/>
  <c r="W153" i="1"/>
  <c r="V153" i="1"/>
  <c r="U153" i="1"/>
  <c r="T153" i="1"/>
  <c r="S153" i="1"/>
  <c r="R153" i="1"/>
  <c r="X152" i="1"/>
  <c r="W152" i="1"/>
  <c r="V152" i="1"/>
  <c r="U152" i="1"/>
  <c r="T152" i="1"/>
  <c r="S152" i="1"/>
  <c r="R152" i="1"/>
  <c r="X151" i="1"/>
  <c r="W151" i="1"/>
  <c r="V151" i="1"/>
  <c r="U151" i="1"/>
  <c r="T151" i="1"/>
  <c r="S151" i="1"/>
  <c r="R151" i="1"/>
  <c r="X150" i="1"/>
  <c r="W150" i="1"/>
  <c r="V150" i="1"/>
  <c r="U150" i="1"/>
  <c r="T150" i="1"/>
  <c r="S150" i="1"/>
  <c r="R150" i="1"/>
  <c r="X149" i="1"/>
  <c r="W149" i="1"/>
  <c r="V149" i="1"/>
  <c r="U149" i="1"/>
  <c r="T149" i="1"/>
  <c r="S149" i="1"/>
  <c r="R149" i="1"/>
  <c r="X148" i="1"/>
  <c r="W148" i="1"/>
  <c r="V148" i="1"/>
  <c r="U148" i="1"/>
  <c r="T148" i="1"/>
  <c r="S148" i="1"/>
  <c r="R148" i="1"/>
  <c r="X147" i="1"/>
  <c r="W147" i="1"/>
  <c r="V147" i="1"/>
  <c r="U147" i="1"/>
  <c r="T147" i="1"/>
  <c r="S147" i="1"/>
  <c r="R147" i="1"/>
  <c r="X146" i="1"/>
  <c r="W146" i="1"/>
  <c r="V146" i="1"/>
  <c r="U146" i="1"/>
  <c r="T146" i="1"/>
  <c r="S146" i="1"/>
  <c r="R146" i="1"/>
  <c r="X145" i="1"/>
  <c r="W145" i="1"/>
  <c r="V145" i="1"/>
  <c r="U145" i="1"/>
  <c r="T145" i="1"/>
  <c r="S145" i="1"/>
  <c r="R145" i="1"/>
  <c r="X144" i="1"/>
  <c r="W144" i="1"/>
  <c r="V144" i="1"/>
  <c r="U144" i="1"/>
  <c r="T144" i="1"/>
  <c r="S144" i="1"/>
  <c r="R144" i="1"/>
  <c r="X143" i="1"/>
  <c r="W143" i="1"/>
  <c r="V143" i="1"/>
  <c r="U143" i="1"/>
  <c r="T143" i="1"/>
  <c r="S143" i="1"/>
  <c r="R143" i="1"/>
  <c r="X142" i="1"/>
  <c r="W142" i="1"/>
  <c r="V142" i="1"/>
  <c r="U142" i="1"/>
  <c r="T142" i="1"/>
  <c r="S142" i="1"/>
  <c r="R142" i="1"/>
  <c r="X141" i="1"/>
  <c r="W141" i="1"/>
  <c r="V141" i="1"/>
  <c r="U141" i="1"/>
  <c r="T141" i="1"/>
  <c r="S141" i="1"/>
  <c r="R141" i="1"/>
  <c r="X140" i="1"/>
  <c r="W140" i="1"/>
  <c r="V140" i="1"/>
  <c r="U140" i="1"/>
  <c r="T140" i="1"/>
  <c r="S140" i="1"/>
  <c r="R140" i="1"/>
  <c r="X139" i="1"/>
  <c r="W139" i="1"/>
  <c r="V139" i="1"/>
  <c r="U139" i="1"/>
  <c r="T139" i="1"/>
  <c r="S139" i="1"/>
  <c r="R139" i="1"/>
  <c r="X138" i="1"/>
  <c r="W138" i="1"/>
  <c r="V138" i="1"/>
  <c r="U138" i="1"/>
  <c r="T138" i="1"/>
  <c r="S138" i="1"/>
  <c r="R138" i="1"/>
  <c r="X137" i="1"/>
  <c r="W137" i="1"/>
  <c r="V137" i="1"/>
  <c r="U137" i="1"/>
  <c r="T137" i="1"/>
  <c r="S137" i="1"/>
  <c r="R137" i="1"/>
  <c r="X136" i="1"/>
  <c r="W136" i="1"/>
  <c r="V136" i="1"/>
  <c r="U136" i="1"/>
  <c r="T136" i="1"/>
  <c r="S136" i="1"/>
  <c r="R136" i="1"/>
  <c r="X135" i="1"/>
  <c r="W135" i="1"/>
  <c r="V135" i="1"/>
  <c r="U135" i="1"/>
  <c r="T135" i="1"/>
  <c r="S135" i="1"/>
  <c r="R135" i="1"/>
  <c r="X134" i="1"/>
  <c r="W134" i="1"/>
  <c r="V134" i="1"/>
  <c r="U134" i="1"/>
  <c r="T134" i="1"/>
  <c r="S134" i="1"/>
  <c r="R134" i="1"/>
  <c r="X133" i="1"/>
  <c r="W133" i="1"/>
  <c r="V133" i="1"/>
  <c r="U133" i="1"/>
  <c r="T133" i="1"/>
  <c r="S133" i="1"/>
  <c r="R133" i="1"/>
  <c r="X132" i="1"/>
  <c r="W132" i="1"/>
  <c r="V132" i="1"/>
  <c r="U132" i="1"/>
  <c r="T132" i="1"/>
  <c r="S132" i="1"/>
  <c r="R132" i="1"/>
  <c r="X131" i="1"/>
  <c r="W131" i="1"/>
  <c r="V131" i="1"/>
  <c r="U131" i="1"/>
  <c r="T131" i="1"/>
  <c r="S131" i="1"/>
  <c r="R131" i="1"/>
  <c r="X130" i="1"/>
  <c r="W130" i="1"/>
  <c r="V130" i="1"/>
  <c r="U130" i="1"/>
  <c r="T130" i="1"/>
  <c r="S130" i="1"/>
  <c r="R130" i="1"/>
  <c r="X129" i="1"/>
  <c r="W129" i="1"/>
  <c r="V129" i="1"/>
  <c r="U129" i="1"/>
  <c r="T129" i="1"/>
  <c r="S129" i="1"/>
  <c r="R129" i="1"/>
  <c r="X128" i="1"/>
  <c r="W128" i="1"/>
  <c r="V128" i="1"/>
  <c r="U128" i="1"/>
  <c r="T128" i="1"/>
  <c r="S128" i="1"/>
  <c r="R128" i="1"/>
  <c r="X127" i="1"/>
  <c r="W127" i="1"/>
  <c r="V127" i="1"/>
  <c r="U127" i="1"/>
  <c r="T127" i="1"/>
  <c r="S127" i="1"/>
  <c r="R127" i="1"/>
  <c r="X126" i="1"/>
  <c r="W126" i="1"/>
  <c r="V126" i="1"/>
  <c r="U126" i="1"/>
  <c r="T126" i="1"/>
  <c r="S126" i="1"/>
  <c r="R126" i="1"/>
  <c r="X125" i="1"/>
  <c r="W125" i="1"/>
  <c r="V125" i="1"/>
  <c r="U125" i="1"/>
  <c r="T125" i="1"/>
  <c r="S125" i="1"/>
  <c r="R125" i="1"/>
  <c r="X124" i="1"/>
  <c r="W124" i="1"/>
  <c r="V124" i="1"/>
  <c r="U124" i="1"/>
  <c r="T124" i="1"/>
  <c r="S124" i="1"/>
  <c r="R124" i="1"/>
  <c r="X123" i="1"/>
  <c r="W123" i="1"/>
  <c r="V123" i="1"/>
  <c r="U123" i="1"/>
  <c r="T123" i="1"/>
  <c r="S123" i="1"/>
  <c r="R123" i="1"/>
  <c r="X122" i="1"/>
  <c r="W122" i="1"/>
  <c r="V122" i="1"/>
  <c r="U122" i="1"/>
  <c r="T122" i="1"/>
  <c r="S122" i="1"/>
  <c r="R122" i="1"/>
  <c r="X121" i="1"/>
  <c r="W121" i="1"/>
  <c r="V121" i="1"/>
  <c r="U121" i="1"/>
  <c r="T121" i="1"/>
  <c r="S121" i="1"/>
  <c r="R121" i="1"/>
  <c r="X120" i="1"/>
  <c r="W120" i="1"/>
  <c r="V120" i="1"/>
  <c r="U120" i="1"/>
  <c r="T120" i="1"/>
  <c r="S120" i="1"/>
  <c r="R120" i="1"/>
  <c r="X119" i="1"/>
  <c r="W119" i="1"/>
  <c r="V119" i="1"/>
  <c r="U119" i="1"/>
  <c r="T119" i="1"/>
  <c r="S119" i="1"/>
  <c r="R119" i="1"/>
  <c r="X118" i="1"/>
  <c r="W118" i="1"/>
  <c r="V118" i="1"/>
  <c r="U118" i="1"/>
  <c r="T118" i="1"/>
  <c r="S118" i="1"/>
  <c r="R118" i="1"/>
  <c r="X117" i="1"/>
  <c r="W117" i="1"/>
  <c r="V117" i="1"/>
  <c r="U117" i="1"/>
  <c r="T117" i="1"/>
  <c r="S117" i="1"/>
  <c r="R117" i="1"/>
  <c r="X116" i="1"/>
  <c r="W116" i="1"/>
  <c r="V116" i="1"/>
  <c r="U116" i="1"/>
  <c r="T116" i="1"/>
  <c r="S116" i="1"/>
  <c r="R116" i="1"/>
  <c r="X115" i="1"/>
  <c r="W115" i="1"/>
  <c r="V115" i="1"/>
  <c r="U115" i="1"/>
  <c r="T115" i="1"/>
  <c r="S115" i="1"/>
  <c r="R115" i="1"/>
  <c r="X114" i="1"/>
  <c r="W114" i="1"/>
  <c r="V114" i="1"/>
  <c r="U114" i="1"/>
  <c r="T114" i="1"/>
  <c r="S114" i="1"/>
  <c r="R114" i="1"/>
  <c r="X113" i="1"/>
  <c r="W113" i="1"/>
  <c r="V113" i="1"/>
  <c r="U113" i="1"/>
  <c r="T113" i="1"/>
  <c r="S113" i="1"/>
  <c r="R113" i="1"/>
  <c r="X112" i="1"/>
  <c r="W112" i="1"/>
  <c r="V112" i="1"/>
  <c r="U112" i="1"/>
  <c r="T112" i="1"/>
  <c r="S112" i="1"/>
  <c r="R112" i="1"/>
  <c r="X111" i="1"/>
  <c r="W111" i="1"/>
  <c r="V111" i="1"/>
  <c r="U111" i="1"/>
  <c r="T111" i="1"/>
  <c r="S111" i="1"/>
  <c r="R111" i="1"/>
  <c r="X110" i="1"/>
  <c r="W110" i="1"/>
  <c r="V110" i="1"/>
  <c r="U110" i="1"/>
  <c r="T110" i="1"/>
  <c r="S110" i="1"/>
  <c r="R110" i="1"/>
  <c r="X109" i="1"/>
  <c r="W109" i="1"/>
  <c r="V109" i="1"/>
  <c r="U109" i="1"/>
  <c r="T109" i="1"/>
  <c r="S109" i="1"/>
  <c r="R109" i="1"/>
  <c r="X108" i="1"/>
  <c r="W108" i="1"/>
  <c r="V108" i="1"/>
  <c r="U108" i="1"/>
  <c r="T108" i="1"/>
  <c r="S108" i="1"/>
  <c r="R108" i="1"/>
  <c r="X107" i="1"/>
  <c r="W107" i="1"/>
  <c r="V107" i="1"/>
  <c r="U107" i="1"/>
  <c r="T107" i="1"/>
  <c r="S107" i="1"/>
  <c r="R107" i="1"/>
  <c r="X106" i="1"/>
  <c r="W106" i="1"/>
  <c r="V106" i="1"/>
  <c r="U106" i="1"/>
  <c r="T106" i="1"/>
  <c r="S106" i="1"/>
  <c r="R106" i="1"/>
  <c r="X105" i="1"/>
  <c r="W105" i="1"/>
  <c r="V105" i="1"/>
  <c r="U105" i="1"/>
  <c r="T105" i="1"/>
  <c r="S105" i="1"/>
  <c r="R105" i="1"/>
  <c r="X104" i="1"/>
  <c r="W104" i="1"/>
  <c r="V104" i="1"/>
  <c r="U104" i="1"/>
  <c r="T104" i="1"/>
  <c r="S104" i="1"/>
  <c r="R104" i="1"/>
  <c r="X103" i="1"/>
  <c r="W103" i="1"/>
  <c r="V103" i="1"/>
  <c r="U103" i="1"/>
  <c r="T103" i="1"/>
  <c r="S103" i="1"/>
  <c r="R103" i="1"/>
  <c r="X102" i="1"/>
  <c r="W102" i="1"/>
  <c r="V102" i="1"/>
  <c r="U102" i="1"/>
  <c r="T102" i="1"/>
  <c r="S102" i="1"/>
  <c r="R102" i="1"/>
  <c r="X101" i="1"/>
  <c r="W101" i="1"/>
  <c r="V101" i="1"/>
  <c r="U101" i="1"/>
  <c r="T101" i="1"/>
  <c r="S101" i="1"/>
  <c r="R101" i="1"/>
  <c r="X100" i="1"/>
  <c r="W100" i="1"/>
  <c r="V100" i="1"/>
  <c r="U100" i="1"/>
  <c r="T100" i="1"/>
  <c r="S100" i="1"/>
  <c r="R100" i="1"/>
  <c r="X99" i="1"/>
  <c r="W99" i="1"/>
  <c r="V99" i="1"/>
  <c r="U99" i="1"/>
  <c r="T99" i="1"/>
  <c r="S99" i="1"/>
  <c r="R99" i="1"/>
  <c r="X98" i="1"/>
  <c r="W98" i="1"/>
  <c r="V98" i="1"/>
  <c r="U98" i="1"/>
  <c r="T98" i="1"/>
  <c r="S98" i="1"/>
  <c r="R98" i="1"/>
  <c r="X97" i="1"/>
  <c r="W97" i="1"/>
  <c r="V97" i="1"/>
  <c r="U97" i="1"/>
  <c r="T97" i="1"/>
  <c r="S97" i="1"/>
  <c r="R97" i="1"/>
  <c r="X96" i="1"/>
  <c r="W96" i="1"/>
  <c r="V96" i="1"/>
  <c r="U96" i="1"/>
  <c r="T96" i="1"/>
  <c r="S96" i="1"/>
  <c r="R96" i="1"/>
  <c r="X95" i="1"/>
  <c r="W95" i="1"/>
  <c r="V95" i="1"/>
  <c r="U95" i="1"/>
  <c r="T95" i="1"/>
  <c r="S95" i="1"/>
  <c r="R95" i="1"/>
  <c r="X94" i="1"/>
  <c r="W94" i="1"/>
  <c r="V94" i="1"/>
  <c r="U94" i="1"/>
  <c r="T94" i="1"/>
  <c r="S94" i="1"/>
  <c r="R94" i="1"/>
  <c r="X93" i="1"/>
  <c r="W93" i="1"/>
  <c r="V93" i="1"/>
  <c r="U93" i="1"/>
  <c r="T93" i="1"/>
  <c r="S93" i="1"/>
  <c r="R93" i="1"/>
  <c r="X92" i="1"/>
  <c r="W92" i="1"/>
  <c r="V92" i="1"/>
  <c r="U92" i="1"/>
  <c r="T92" i="1"/>
  <c r="S92" i="1"/>
  <c r="R92" i="1"/>
  <c r="X91" i="1"/>
  <c r="W91" i="1"/>
  <c r="V91" i="1"/>
  <c r="U91" i="1"/>
  <c r="T91" i="1"/>
  <c r="S91" i="1"/>
  <c r="R91" i="1"/>
  <c r="X90" i="1"/>
  <c r="W90" i="1"/>
  <c r="V90" i="1"/>
  <c r="U90" i="1"/>
  <c r="T90" i="1"/>
  <c r="S90" i="1"/>
  <c r="R90" i="1"/>
  <c r="X89" i="1"/>
  <c r="W89" i="1"/>
  <c r="V89" i="1"/>
  <c r="U89" i="1"/>
  <c r="T89" i="1"/>
  <c r="S89" i="1"/>
  <c r="R89" i="1"/>
  <c r="X88" i="1"/>
  <c r="W88" i="1"/>
  <c r="V88" i="1"/>
  <c r="U88" i="1"/>
  <c r="T88" i="1"/>
  <c r="S88" i="1"/>
  <c r="R88" i="1"/>
  <c r="X87" i="1"/>
  <c r="W87" i="1"/>
  <c r="V87" i="1"/>
  <c r="U87" i="1"/>
  <c r="T87" i="1"/>
  <c r="S87" i="1"/>
  <c r="R87" i="1"/>
  <c r="X86" i="1"/>
  <c r="W86" i="1"/>
  <c r="V86" i="1"/>
  <c r="U86" i="1"/>
  <c r="T86" i="1"/>
  <c r="S86" i="1"/>
  <c r="R86" i="1"/>
  <c r="Y85" i="1"/>
  <c r="X85" i="1"/>
  <c r="W85" i="1"/>
  <c r="V85" i="1"/>
  <c r="U85" i="1"/>
  <c r="T85" i="1"/>
  <c r="S85" i="1"/>
  <c r="R85" i="1"/>
  <c r="Y84" i="1"/>
  <c r="X84" i="1"/>
  <c r="W84" i="1"/>
  <c r="V84" i="1"/>
  <c r="U84" i="1"/>
  <c r="T84" i="1"/>
  <c r="S84" i="1"/>
  <c r="R84" i="1"/>
  <c r="Y83" i="1"/>
  <c r="X83" i="1"/>
  <c r="W83" i="1"/>
  <c r="V83" i="1"/>
  <c r="U83" i="1"/>
  <c r="T83" i="1"/>
  <c r="S83" i="1"/>
  <c r="R83" i="1"/>
  <c r="Y82" i="1"/>
  <c r="X82" i="1"/>
  <c r="W82" i="1"/>
  <c r="V82" i="1"/>
  <c r="U82" i="1"/>
  <c r="T82" i="1"/>
  <c r="S82" i="1"/>
  <c r="R82" i="1"/>
  <c r="Y81" i="1"/>
  <c r="X81" i="1"/>
  <c r="W81" i="1"/>
  <c r="V81" i="1"/>
  <c r="U81" i="1"/>
  <c r="T81" i="1"/>
  <c r="S81" i="1"/>
  <c r="R81" i="1"/>
  <c r="Y80" i="1"/>
  <c r="X80" i="1"/>
  <c r="W80" i="1"/>
  <c r="V80" i="1"/>
  <c r="U80" i="1"/>
  <c r="T80" i="1"/>
  <c r="S80" i="1"/>
  <c r="R80" i="1"/>
  <c r="Y79" i="1"/>
  <c r="X79" i="1"/>
  <c r="W79" i="1"/>
  <c r="V79" i="1"/>
  <c r="U79" i="1"/>
  <c r="T79" i="1"/>
  <c r="S79" i="1"/>
  <c r="R79" i="1"/>
  <c r="Y78" i="1"/>
  <c r="X78" i="1"/>
  <c r="W78" i="1"/>
  <c r="V78" i="1"/>
  <c r="U78" i="1"/>
  <c r="T78" i="1"/>
  <c r="S78" i="1"/>
  <c r="R78" i="1"/>
  <c r="Y77" i="1"/>
  <c r="X77" i="1"/>
  <c r="W77" i="1"/>
  <c r="V77" i="1"/>
  <c r="U77" i="1"/>
  <c r="T77" i="1"/>
  <c r="S77" i="1"/>
  <c r="R77" i="1"/>
  <c r="Y76" i="1"/>
  <c r="X76" i="1"/>
  <c r="W76" i="1"/>
  <c r="V76" i="1"/>
  <c r="U76" i="1"/>
  <c r="T76" i="1"/>
  <c r="S76" i="1"/>
  <c r="R76" i="1"/>
  <c r="Y75" i="1"/>
  <c r="X75" i="1"/>
  <c r="W75" i="1"/>
  <c r="V75" i="1"/>
  <c r="U75" i="1"/>
  <c r="T75" i="1"/>
  <c r="S75" i="1"/>
  <c r="R75" i="1"/>
  <c r="Y74" i="1"/>
  <c r="X74" i="1"/>
  <c r="W74" i="1"/>
  <c r="V74" i="1"/>
  <c r="U74" i="1"/>
  <c r="T74" i="1"/>
  <c r="S74" i="1"/>
  <c r="R74" i="1"/>
  <c r="Y73" i="1"/>
  <c r="X73" i="1"/>
  <c r="W73" i="1"/>
  <c r="V73" i="1"/>
  <c r="U73" i="1"/>
  <c r="T73" i="1"/>
  <c r="S73" i="1"/>
  <c r="R73" i="1"/>
  <c r="Y72" i="1"/>
  <c r="X72" i="1"/>
  <c r="W72" i="1"/>
  <c r="V72" i="1"/>
  <c r="U72" i="1"/>
  <c r="T72" i="1"/>
  <c r="S72" i="1"/>
  <c r="R72" i="1"/>
  <c r="Y71" i="1"/>
  <c r="X71" i="1"/>
  <c r="W71" i="1"/>
  <c r="V71" i="1"/>
  <c r="U71" i="1"/>
  <c r="T71" i="1"/>
  <c r="S71" i="1"/>
  <c r="R71" i="1"/>
  <c r="Y70" i="1"/>
  <c r="X70" i="1"/>
  <c r="W70" i="1"/>
  <c r="V70" i="1"/>
  <c r="U70" i="1"/>
  <c r="T70" i="1"/>
  <c r="S70" i="1"/>
  <c r="R70" i="1"/>
  <c r="Y69" i="1"/>
  <c r="X69" i="1"/>
  <c r="W69" i="1"/>
  <c r="V69" i="1"/>
  <c r="U69" i="1"/>
  <c r="T69" i="1"/>
  <c r="S69" i="1"/>
  <c r="R69" i="1"/>
  <c r="Y68" i="1"/>
  <c r="X68" i="1"/>
  <c r="W68" i="1"/>
  <c r="V68" i="1"/>
  <c r="U68" i="1"/>
  <c r="T68" i="1"/>
  <c r="S68" i="1"/>
  <c r="R68" i="1"/>
  <c r="Y67" i="1"/>
  <c r="X67" i="1"/>
  <c r="W67" i="1"/>
  <c r="V67" i="1"/>
  <c r="U67" i="1"/>
  <c r="T67" i="1"/>
  <c r="S67" i="1"/>
  <c r="R67" i="1"/>
  <c r="Y66" i="1"/>
  <c r="X66" i="1"/>
  <c r="W66" i="1"/>
  <c r="V66" i="1"/>
  <c r="U66" i="1"/>
  <c r="T66" i="1"/>
  <c r="S66" i="1"/>
  <c r="R66" i="1"/>
  <c r="Y65" i="1"/>
  <c r="X65" i="1"/>
  <c r="W65" i="1"/>
  <c r="V65" i="1"/>
  <c r="U65" i="1"/>
  <c r="T65" i="1"/>
  <c r="S65" i="1"/>
  <c r="R65" i="1"/>
  <c r="Y64" i="1"/>
  <c r="X64" i="1"/>
  <c r="W64" i="1"/>
  <c r="V64" i="1"/>
  <c r="U64" i="1"/>
  <c r="T64" i="1"/>
  <c r="S64" i="1"/>
  <c r="R64" i="1"/>
  <c r="Y63" i="1"/>
  <c r="X63" i="1"/>
  <c r="W63" i="1"/>
  <c r="V63" i="1"/>
  <c r="U63" i="1"/>
  <c r="T63" i="1"/>
  <c r="S63" i="1"/>
  <c r="R63" i="1"/>
  <c r="Y62" i="1"/>
  <c r="X62" i="1"/>
  <c r="W62" i="1"/>
  <c r="V62" i="1"/>
  <c r="U62" i="1"/>
  <c r="T62" i="1"/>
  <c r="S62" i="1"/>
  <c r="R62" i="1"/>
  <c r="Y61" i="1"/>
  <c r="X61" i="1"/>
  <c r="W61" i="1"/>
  <c r="V61" i="1"/>
  <c r="U61" i="1"/>
  <c r="T61" i="1"/>
  <c r="S61" i="1"/>
  <c r="R61" i="1"/>
  <c r="Y60" i="1"/>
  <c r="X60" i="1"/>
  <c r="W60" i="1"/>
  <c r="V60" i="1"/>
  <c r="U60" i="1"/>
  <c r="T60" i="1"/>
  <c r="S60" i="1"/>
  <c r="R60" i="1"/>
  <c r="Y59" i="1"/>
  <c r="X59" i="1"/>
  <c r="W59" i="1"/>
  <c r="V59" i="1"/>
  <c r="U59" i="1"/>
  <c r="T59" i="1"/>
  <c r="S59" i="1"/>
  <c r="R59" i="1"/>
  <c r="Y58" i="1"/>
  <c r="X58" i="1"/>
  <c r="W58" i="1"/>
  <c r="V58" i="1"/>
  <c r="U58" i="1"/>
  <c r="T58" i="1"/>
  <c r="S58" i="1"/>
  <c r="R58" i="1"/>
  <c r="Y57" i="1"/>
  <c r="X57" i="1"/>
  <c r="W57" i="1"/>
  <c r="V57" i="1"/>
  <c r="U57" i="1"/>
  <c r="T57" i="1"/>
  <c r="S57" i="1"/>
  <c r="R57" i="1"/>
  <c r="Y56" i="1"/>
  <c r="X56" i="1"/>
  <c r="W56" i="1"/>
  <c r="V56" i="1"/>
  <c r="U56" i="1"/>
  <c r="T56" i="1"/>
  <c r="S56" i="1"/>
  <c r="R56" i="1"/>
  <c r="Y55" i="1"/>
  <c r="X55" i="1"/>
  <c r="W55" i="1"/>
  <c r="V55" i="1"/>
  <c r="U55" i="1"/>
  <c r="T55" i="1"/>
  <c r="S55" i="1"/>
  <c r="R55" i="1"/>
  <c r="Y54" i="1"/>
  <c r="X54" i="1"/>
  <c r="W54" i="1"/>
  <c r="V54" i="1"/>
  <c r="U54" i="1"/>
  <c r="T54" i="1"/>
  <c r="S54" i="1"/>
  <c r="R54" i="1"/>
  <c r="Y53" i="1"/>
  <c r="X53" i="1"/>
  <c r="W53" i="1"/>
  <c r="V53" i="1"/>
  <c r="U53" i="1"/>
  <c r="T53" i="1"/>
  <c r="S53" i="1"/>
  <c r="R53" i="1"/>
  <c r="Y52" i="1"/>
  <c r="X52" i="1"/>
  <c r="W52" i="1"/>
  <c r="V52" i="1"/>
  <c r="U52" i="1"/>
  <c r="T52" i="1"/>
  <c r="S52" i="1"/>
  <c r="R52" i="1"/>
  <c r="Y51" i="1"/>
  <c r="X51" i="1"/>
  <c r="W51" i="1"/>
  <c r="V51" i="1"/>
  <c r="U51" i="1"/>
  <c r="T51" i="1"/>
  <c r="S51" i="1"/>
  <c r="R51" i="1"/>
  <c r="Y50" i="1"/>
  <c r="X50" i="1"/>
  <c r="W50" i="1"/>
  <c r="V50" i="1"/>
  <c r="U50" i="1"/>
  <c r="T50" i="1"/>
  <c r="S50" i="1"/>
  <c r="R50" i="1"/>
  <c r="Y49" i="1"/>
  <c r="X49" i="1"/>
  <c r="W49" i="1"/>
  <c r="V49" i="1"/>
  <c r="U49" i="1"/>
  <c r="T49" i="1"/>
  <c r="S49" i="1"/>
  <c r="R49" i="1"/>
  <c r="Y48" i="1"/>
  <c r="X48" i="1"/>
  <c r="W48" i="1"/>
  <c r="V48" i="1"/>
  <c r="U48" i="1"/>
  <c r="T48" i="1"/>
  <c r="S48" i="1"/>
  <c r="R48" i="1"/>
  <c r="Y47" i="1"/>
  <c r="X47" i="1"/>
  <c r="W47" i="1"/>
  <c r="V47" i="1"/>
  <c r="U47" i="1"/>
  <c r="T47" i="1"/>
  <c r="S47" i="1"/>
  <c r="R47" i="1"/>
  <c r="Y46" i="1"/>
  <c r="X46" i="1"/>
  <c r="W46" i="1"/>
  <c r="V46" i="1"/>
  <c r="U46" i="1"/>
  <c r="T46" i="1"/>
  <c r="S46" i="1"/>
  <c r="R46" i="1"/>
  <c r="Y45" i="1"/>
  <c r="X45" i="1"/>
  <c r="W45" i="1"/>
  <c r="V45" i="1"/>
  <c r="U45" i="1"/>
  <c r="T45" i="1"/>
  <c r="S45" i="1"/>
  <c r="R45" i="1"/>
  <c r="Y44" i="1"/>
  <c r="X44" i="1"/>
  <c r="W44" i="1"/>
  <c r="V44" i="1"/>
  <c r="U44" i="1"/>
  <c r="T44" i="1"/>
  <c r="S44" i="1"/>
  <c r="R44" i="1"/>
  <c r="Y43" i="1"/>
  <c r="X43" i="1"/>
  <c r="W43" i="1"/>
  <c r="V43" i="1"/>
  <c r="U43" i="1"/>
  <c r="T43" i="1"/>
  <c r="S43" i="1"/>
  <c r="R43" i="1"/>
  <c r="Y42" i="1"/>
  <c r="X42" i="1"/>
  <c r="W42" i="1"/>
  <c r="V42" i="1"/>
  <c r="U42" i="1"/>
  <c r="T42" i="1"/>
  <c r="S42" i="1"/>
  <c r="R42" i="1"/>
  <c r="Y41" i="1"/>
  <c r="X41" i="1"/>
  <c r="W41" i="1"/>
  <c r="V41" i="1"/>
  <c r="U41" i="1"/>
  <c r="T41" i="1"/>
  <c r="S41" i="1"/>
  <c r="R41" i="1"/>
  <c r="X40" i="1"/>
  <c r="W40" i="1"/>
  <c r="V40" i="1"/>
  <c r="U40" i="1"/>
  <c r="T40" i="1"/>
  <c r="S40" i="1"/>
  <c r="R40" i="1"/>
  <c r="Y39" i="1"/>
  <c r="X39" i="1"/>
  <c r="W39" i="1"/>
  <c r="V39" i="1"/>
  <c r="U39" i="1"/>
  <c r="T39" i="1"/>
  <c r="S39" i="1"/>
  <c r="R39" i="1"/>
  <c r="Y38" i="1"/>
  <c r="X38" i="1"/>
  <c r="W38" i="1"/>
  <c r="V38" i="1"/>
  <c r="U38" i="1"/>
  <c r="T38" i="1"/>
  <c r="S38" i="1"/>
  <c r="R38" i="1"/>
  <c r="Y37" i="1"/>
  <c r="X37" i="1"/>
  <c r="W37" i="1"/>
  <c r="V37" i="1"/>
  <c r="U37" i="1"/>
  <c r="T37" i="1"/>
  <c r="S37" i="1"/>
  <c r="R37" i="1"/>
  <c r="Y36" i="1"/>
  <c r="X36" i="1"/>
  <c r="W36" i="1"/>
  <c r="V36" i="1"/>
  <c r="U36" i="1"/>
  <c r="T36" i="1"/>
  <c r="S36" i="1"/>
  <c r="R36" i="1"/>
  <c r="Y35" i="1"/>
  <c r="X35" i="1"/>
  <c r="W35" i="1"/>
  <c r="V35" i="1"/>
  <c r="U35" i="1"/>
  <c r="T35" i="1"/>
  <c r="S35" i="1"/>
  <c r="R35" i="1"/>
  <c r="Y34" i="1"/>
  <c r="X34" i="1"/>
  <c r="W34" i="1"/>
  <c r="V34" i="1"/>
  <c r="U34" i="1"/>
  <c r="T34" i="1"/>
  <c r="S34" i="1"/>
  <c r="R34" i="1"/>
  <c r="Y33" i="1"/>
  <c r="X33" i="1"/>
  <c r="W33" i="1"/>
  <c r="V33" i="1"/>
  <c r="U33" i="1"/>
  <c r="T33" i="1"/>
  <c r="S33" i="1"/>
  <c r="R33" i="1"/>
  <c r="X32" i="1"/>
  <c r="W32" i="1"/>
  <c r="V32" i="1"/>
  <c r="U32" i="1"/>
  <c r="T32" i="1"/>
  <c r="S32" i="1"/>
  <c r="R32" i="1"/>
  <c r="Y31" i="1"/>
  <c r="X31" i="1"/>
  <c r="W31" i="1"/>
  <c r="V31" i="1"/>
  <c r="U31" i="1"/>
  <c r="T31" i="1"/>
  <c r="S31" i="1"/>
  <c r="R31" i="1"/>
  <c r="Y30" i="1"/>
  <c r="X30" i="1"/>
  <c r="W30" i="1"/>
  <c r="V30" i="1"/>
  <c r="U30" i="1"/>
  <c r="T30" i="1"/>
  <c r="S30" i="1"/>
  <c r="R30" i="1"/>
  <c r="Y29" i="1"/>
  <c r="X29" i="1"/>
  <c r="W29" i="1"/>
  <c r="V29" i="1"/>
  <c r="U29" i="1"/>
  <c r="T29" i="1"/>
  <c r="S29" i="1"/>
  <c r="R29" i="1"/>
  <c r="Y28" i="1"/>
  <c r="X28" i="1"/>
  <c r="W28" i="1"/>
  <c r="V28" i="1"/>
  <c r="U28" i="1"/>
  <c r="T28" i="1"/>
  <c r="S28" i="1"/>
  <c r="R28" i="1"/>
  <c r="Y27" i="1"/>
  <c r="X27" i="1"/>
  <c r="W27" i="1"/>
  <c r="V27" i="1"/>
  <c r="U27" i="1"/>
  <c r="T27" i="1"/>
  <c r="S27" i="1"/>
  <c r="R27" i="1"/>
  <c r="Y26" i="1"/>
  <c r="X26" i="1"/>
  <c r="W26" i="1"/>
  <c r="V26" i="1"/>
  <c r="U26" i="1"/>
  <c r="T26" i="1"/>
  <c r="S26" i="1"/>
  <c r="R26" i="1"/>
  <c r="Y25" i="1"/>
  <c r="X25" i="1"/>
  <c r="W25" i="1"/>
  <c r="V25" i="1"/>
  <c r="U25" i="1"/>
  <c r="T25" i="1"/>
  <c r="S25" i="1"/>
  <c r="R25" i="1"/>
  <c r="Y24" i="1"/>
  <c r="X24" i="1"/>
  <c r="W24" i="1"/>
  <c r="V24" i="1"/>
  <c r="U24" i="1"/>
  <c r="T24" i="1"/>
  <c r="S24" i="1"/>
  <c r="R24" i="1"/>
  <c r="Y23" i="1"/>
  <c r="X23" i="1"/>
  <c r="W23" i="1"/>
  <c r="V23" i="1"/>
  <c r="U23" i="1"/>
  <c r="T23" i="1"/>
  <c r="S23" i="1"/>
  <c r="R23" i="1"/>
  <c r="Y22" i="1"/>
  <c r="X22" i="1"/>
  <c r="W22" i="1"/>
  <c r="V22" i="1"/>
  <c r="U22" i="1"/>
  <c r="T22" i="1"/>
  <c r="S22" i="1"/>
  <c r="R22" i="1"/>
  <c r="Y21" i="1"/>
  <c r="X21" i="1"/>
  <c r="W21" i="1"/>
  <c r="V21" i="1"/>
  <c r="U21" i="1"/>
  <c r="T21" i="1"/>
  <c r="S21" i="1"/>
  <c r="R21" i="1"/>
  <c r="X20" i="1"/>
  <c r="W20" i="1"/>
  <c r="V20" i="1"/>
  <c r="U20" i="1"/>
  <c r="T20" i="1"/>
  <c r="S20" i="1"/>
  <c r="R20" i="1"/>
  <c r="Y19" i="1"/>
  <c r="X19" i="1"/>
  <c r="W19" i="1"/>
  <c r="V19" i="1"/>
  <c r="U19" i="1"/>
  <c r="T19" i="1"/>
  <c r="S19" i="1"/>
  <c r="R19" i="1"/>
  <c r="Y18" i="1"/>
  <c r="X18" i="1"/>
  <c r="W18" i="1"/>
  <c r="V18" i="1"/>
  <c r="U18" i="1"/>
  <c r="T18" i="1"/>
  <c r="S18" i="1"/>
  <c r="R18" i="1"/>
  <c r="Y17" i="1"/>
  <c r="X17" i="1"/>
  <c r="W17" i="1"/>
  <c r="V17" i="1"/>
  <c r="U17" i="1"/>
  <c r="T17" i="1"/>
  <c r="S17" i="1"/>
  <c r="R17" i="1"/>
  <c r="Y16" i="1"/>
  <c r="X16" i="1"/>
  <c r="W16" i="1"/>
  <c r="V16" i="1"/>
  <c r="U16" i="1"/>
  <c r="T16" i="1"/>
  <c r="S16" i="1"/>
  <c r="R16" i="1"/>
  <c r="Y15" i="1"/>
  <c r="X15" i="1"/>
  <c r="W15" i="1"/>
  <c r="V15" i="1"/>
  <c r="U15" i="1"/>
  <c r="T15" i="1"/>
  <c r="S15" i="1"/>
  <c r="R15" i="1"/>
  <c r="Y14" i="1"/>
  <c r="X14" i="1"/>
  <c r="W14" i="1"/>
  <c r="V14" i="1"/>
  <c r="U14" i="1"/>
  <c r="T14" i="1"/>
  <c r="S14" i="1"/>
  <c r="R14" i="1"/>
  <c r="Y13" i="1"/>
  <c r="X13" i="1"/>
  <c r="W13" i="1"/>
  <c r="V13" i="1"/>
  <c r="U13" i="1"/>
  <c r="T13" i="1"/>
  <c r="S13" i="1"/>
  <c r="R13" i="1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X12" i="1"/>
  <c r="W12" i="1"/>
  <c r="V12" i="1"/>
  <c r="U12" i="1"/>
  <c r="T12" i="1"/>
  <c r="S12" i="1"/>
  <c r="R12" i="1"/>
  <c r="N10" i="1"/>
  <c r="M10" i="1"/>
  <c r="C10" i="1"/>
  <c r="A6" i="3" s="1"/>
  <c r="A8" i="11" s="1"/>
  <c r="B10" i="1"/>
  <c r="A7" i="9" s="1"/>
  <c r="E9" i="1"/>
  <c r="A2" i="1"/>
  <c r="E1" i="1"/>
  <c r="R10" i="1" l="1"/>
  <c r="K10" i="1" s="1"/>
  <c r="V11" i="1"/>
  <c r="H10" i="1" s="1"/>
  <c r="Y10" i="1"/>
  <c r="A3" i="11"/>
  <c r="A3" i="9"/>
  <c r="A3" i="10"/>
  <c r="U11" i="1"/>
  <c r="G10" i="1" s="1"/>
  <c r="R2" i="1"/>
  <c r="S10" i="1"/>
  <c r="L10" i="1" s="1"/>
  <c r="V10" i="3"/>
  <c r="T11" i="3"/>
  <c r="U9" i="3"/>
  <c r="U10" i="3" s="1"/>
  <c r="W11" i="1"/>
  <c r="I10" i="1" s="1"/>
  <c r="X11" i="1"/>
  <c r="J10" i="1" s="1"/>
  <c r="A7" i="10"/>
  <c r="A7" i="11"/>
  <c r="A8" i="9"/>
  <c r="C8" i="1"/>
  <c r="A8" i="10"/>
  <c r="V11" i="3" l="1"/>
  <c r="T12" i="3"/>
  <c r="U11" i="3"/>
  <c r="V12" i="3" l="1"/>
  <c r="T13" i="3"/>
  <c r="U12" i="3"/>
  <c r="T14" i="3" l="1"/>
  <c r="U13" i="3"/>
  <c r="V13" i="3"/>
  <c r="V14" i="3" l="1"/>
  <c r="T15" i="3"/>
  <c r="U14" i="3"/>
  <c r="V15" i="3" l="1"/>
  <c r="T16" i="3"/>
  <c r="U15" i="3"/>
  <c r="V16" i="3" l="1"/>
  <c r="T17" i="3"/>
  <c r="U16" i="3"/>
  <c r="U17" i="3" l="1"/>
  <c r="V1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<sst xmlns="http://schemas.openxmlformats.org/spreadsheetml/2006/main" count="859" uniqueCount="187">
  <si>
    <t>Name (Last, First)</t>
  </si>
  <si>
    <t>City/St</t>
  </si>
  <si>
    <t>ACC No.</t>
  </si>
  <si>
    <t>Placeoff Place</t>
  </si>
  <si>
    <t>Top Line - hidden</t>
  </si>
  <si>
    <r>
      <rPr>
        <b/>
        <sz val="11"/>
        <color theme="1"/>
        <rFont val="Calibri"/>
        <family val="2"/>
        <scheme val="minor"/>
      </rPr>
      <t>Crtl a</t>
    </r>
    <r>
      <rPr>
        <sz val="11"/>
        <color theme="1"/>
        <rFont val="Calibri"/>
        <family val="2"/>
        <scheme val="minor"/>
      </rPr>
      <t xml:space="preserve"> - Sort Entrys alpha + set print area</t>
    </r>
  </si>
  <si>
    <t>Total Number in List</t>
  </si>
  <si>
    <t>Cols Q-R Hidden</t>
  </si>
  <si>
    <t>Quali-fied ("1")</t>
  </si>
  <si>
    <t>Top Line</t>
  </si>
  <si>
    <t>Computed No. Qual'rs</t>
  </si>
  <si>
    <t>gm pts, won, sprd sort</t>
  </si>
  <si>
    <t>Q'd</t>
  </si>
  <si>
    <t>Ctrl g</t>
  </si>
  <si>
    <t>Ctrl t</t>
  </si>
  <si>
    <t>Tourney Results</t>
  </si>
  <si>
    <t>1,2,3,3,5,5,5,5,9,9,9,9,9,9,9,9,17,17etc.</t>
  </si>
  <si>
    <t>Ctrl a</t>
  </si>
  <si>
    <t>alpha sort</t>
  </si>
  <si>
    <t>Ctrl e</t>
  </si>
  <si>
    <t>&lt;--Number Games</t>
  </si>
  <si>
    <t>Game Pts</t>
  </si>
  <si>
    <t>Games Won</t>
  </si>
  <si>
    <r>
      <rPr>
        <b/>
        <sz val="11"/>
        <color theme="1"/>
        <rFont val="Calibri"/>
        <family val="2"/>
        <scheme val="minor"/>
      </rPr>
      <t>Qual. Mps</t>
    </r>
    <r>
      <rPr>
        <sz val="11"/>
        <color theme="1"/>
        <rFont val="Calibri"/>
        <family val="2"/>
        <scheme val="minor"/>
      </rPr>
      <t xml:space="preserve"> - created on </t>
    </r>
    <r>
      <rPr>
        <b/>
        <sz val="11"/>
        <color theme="1"/>
        <rFont val="Calibri"/>
        <family val="2"/>
        <scheme val="minor"/>
      </rPr>
      <t>Ctrl g</t>
    </r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</si>
  <si>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</si>
  <si>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</si>
  <si>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</si>
  <si>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</si>
  <si>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</si>
  <si>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</si>
  <si>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</si>
  <si>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</si>
  <si>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</si>
  <si>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 xml:space="preserve">Get dollars from "1 in 6". </t>
  </si>
  <si>
    <t>Number of Winners:</t>
  </si>
  <si>
    <t>Judge</t>
  </si>
  <si>
    <t>Not Paid</t>
  </si>
  <si>
    <t>hidden sort columns for Judges/Anchors/Not Paid</t>
  </si>
  <si>
    <r>
      <t>J</t>
    </r>
    <r>
      <rPr>
        <sz val="11"/>
        <color theme="1"/>
        <rFont val="Calibri"/>
        <family val="2"/>
        <scheme val="minor"/>
      </rPr>
      <t xml:space="preserve">=judges to top, </t>
    </r>
    <r>
      <rPr>
        <b/>
        <sz val="11"/>
        <color theme="1"/>
        <rFont val="Calibri"/>
        <family val="2"/>
        <scheme val="minor"/>
      </rPr>
      <t>AN</t>
    </r>
    <r>
      <rPr>
        <sz val="11"/>
        <color theme="1"/>
        <rFont val="Calibri"/>
        <family val="2"/>
        <scheme val="minor"/>
      </rPr>
      <t>=Anchors to top</t>
    </r>
  </si>
  <si>
    <t>Judges</t>
  </si>
  <si>
    <t>Anchors</t>
  </si>
  <si>
    <t>Not Pd</t>
  </si>
  <si>
    <r>
      <rPr>
        <b/>
        <sz val="11"/>
        <color theme="1"/>
        <rFont val="Calibri"/>
        <family val="2"/>
        <scheme val="minor"/>
      </rPr>
      <t>Pd</t>
    </r>
    <r>
      <rPr>
        <sz val="11"/>
        <color theme="1"/>
        <rFont val="Calibri"/>
        <family val="2"/>
        <scheme val="minor"/>
      </rPr>
      <t xml:space="preserve">=paid to top, </t>
    </r>
    <r>
      <rPr>
        <b/>
        <sz val="11"/>
        <color theme="1"/>
        <rFont val="Calibri"/>
        <family val="2"/>
        <scheme val="minor"/>
      </rPr>
      <t>Np</t>
    </r>
    <r>
      <rPr>
        <sz val="11"/>
        <color theme="1"/>
        <rFont val="Calibri"/>
        <family val="2"/>
        <scheme val="minor"/>
      </rPr>
      <t>=not paid to top</t>
    </r>
  </si>
  <si>
    <t>Sprd</t>
  </si>
  <si>
    <t>Plus Pts</t>
  </si>
  <si>
    <t>Playoff Place</t>
  </si>
  <si>
    <t>xfer results to "Final" tabs</t>
  </si>
  <si>
    <t>Playoff MPts</t>
  </si>
  <si>
    <t>Qual. MPts</t>
  </si>
  <si>
    <t>PO Finish sort</t>
  </si>
  <si>
    <t>Playoff Sort</t>
  </si>
  <si>
    <t>Main MP Table</t>
  </si>
  <si>
    <t>Cons MP Table</t>
  </si>
  <si>
    <t>Playoff $'s</t>
  </si>
  <si>
    <t>&lt;--hidden</t>
  </si>
  <si>
    <t>3 - 4</t>
  </si>
  <si>
    <t>5 - 8</t>
  </si>
  <si>
    <t>9 - 16</t>
  </si>
  <si>
    <t>17 - 32</t>
  </si>
  <si>
    <t>&lt;--Director</t>
  </si>
  <si>
    <r>
      <t>Enter "</t>
    </r>
    <r>
      <rPr>
        <b/>
        <sz val="14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" for Plyrs in Tourney, Pools, etc.</t>
    </r>
  </si>
  <si>
    <t>Green Boxes - User Entry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</si>
  <si>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</si>
  <si>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</si>
  <si>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</si>
  <si>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</si>
  <si>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</si>
  <si>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</si>
  <si>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</si>
  <si>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</si>
  <si>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</si>
  <si>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</si>
  <si>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</si>
  <si>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</si>
  <si>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Find no-shows in pools - subtract sum from totals in F10 - I10</t>
  </si>
  <si>
    <t>Adjusted for No-Shows</t>
  </si>
  <si>
    <r>
      <rPr>
        <b/>
        <sz val="11"/>
        <color theme="1"/>
        <rFont val="Calibri"/>
        <family val="2"/>
        <scheme val="minor"/>
      </rPr>
      <t xml:space="preserve">"" </t>
    </r>
    <r>
      <rPr>
        <sz val="11"/>
        <color theme="1"/>
        <rFont val="Calibri"/>
        <family val="2"/>
        <scheme val="minor"/>
      </rPr>
      <t xml:space="preserve">=alpha all, </t>
    </r>
    <r>
      <rPr>
        <b/>
        <sz val="11"/>
        <color theme="1"/>
        <rFont val="Calibri"/>
        <family val="2"/>
        <scheme val="minor"/>
      </rPr>
      <t>q</t>
    </r>
    <r>
      <rPr>
        <sz val="11"/>
        <color theme="1"/>
        <rFont val="Calibri"/>
        <family val="2"/>
        <scheme val="minor"/>
      </rPr>
      <t>=Qualifiers to top</t>
    </r>
  </si>
  <si>
    <t>Pool $'s</t>
  </si>
  <si>
    <t>Total $'s</t>
  </si>
  <si>
    <t>eq pool</t>
  </si>
  <si>
    <t>Grad 03</t>
  </si>
  <si>
    <t>Grad 02</t>
  </si>
  <si>
    <t>Total</t>
  </si>
  <si>
    <t>keep tourney type for Results</t>
  </si>
  <si>
    <t>Main Tournament</t>
  </si>
  <si>
    <t>Entered</t>
  </si>
  <si>
    <t/>
  </si>
  <si>
    <t>City, State:</t>
  </si>
  <si>
    <t>Director:</t>
  </si>
  <si>
    <t>Telephone:</t>
  </si>
  <si>
    <t>Charity:</t>
  </si>
  <si>
    <t>Common Information</t>
  </si>
  <si>
    <t>Tournament Name:</t>
  </si>
  <si>
    <t>Tourney Date:</t>
  </si>
  <si>
    <t>No. Qualifying Games:</t>
  </si>
  <si>
    <t>No. Days</t>
  </si>
  <si>
    <t>to X</t>
  </si>
  <si>
    <t>Amt Pd</t>
  </si>
  <si>
    <t>Pre tourney</t>
  </si>
  <si>
    <t>hidden--&gt;</t>
  </si>
  <si>
    <t>"ck" or "$"</t>
  </si>
  <si>
    <t>An-chor</t>
  </si>
  <si>
    <t>Green Box - User Entry</t>
  </si>
  <si>
    <t>Entry Fee:</t>
  </si>
  <si>
    <t>Tourney Next Year? (Y/N)</t>
  </si>
  <si>
    <t>Date:</t>
  </si>
  <si>
    <t>Type:</t>
  </si>
  <si>
    <t>&lt;-- For Regional Report Sheet No. 1</t>
  </si>
  <si>
    <t>Master Entry List</t>
  </si>
  <si>
    <r>
      <t>Ctrl k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opy names, city/st, ACC no. </t>
    </r>
    <r>
      <rPr>
        <b/>
        <sz val="11"/>
        <color theme="1"/>
        <rFont val="Calibri"/>
        <family val="2"/>
        <scheme val="minor"/>
      </rPr>
      <t>TO</t>
    </r>
    <r>
      <rPr>
        <sz val="11"/>
        <color theme="1"/>
        <rFont val="Calibri"/>
        <family val="2"/>
        <scheme val="minor"/>
      </rPr>
      <t xml:space="preserve"> cRosterResults.xlsm</t>
    </r>
  </si>
  <si>
    <r>
      <t>Ctrl k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opy names, city/st, etc. </t>
    </r>
    <r>
      <rPr>
        <b/>
        <sz val="11"/>
        <color theme="1"/>
        <rFont val="Calibri"/>
        <family val="2"/>
        <scheme val="minor"/>
      </rPr>
      <t>FROM</t>
    </r>
    <r>
      <rPr>
        <sz val="11"/>
        <color theme="1"/>
        <rFont val="Calibri"/>
        <family val="2"/>
        <scheme val="minor"/>
      </rPr>
      <t xml:space="preserve"> mRosterResults.xlsm</t>
    </r>
  </si>
  <si>
    <r>
      <rPr>
        <b/>
        <sz val="11"/>
        <color theme="1"/>
        <rFont val="Calibri"/>
        <family val="2"/>
        <scheme val="minor"/>
      </rPr>
      <t>Ctrl z</t>
    </r>
    <r>
      <rPr>
        <sz val="11"/>
        <color theme="1"/>
        <rFont val="Calibri"/>
        <family val="2"/>
        <scheme val="minor"/>
      </rPr>
      <t xml:space="preserve"> - begin new tourney, clear names, </t>
    </r>
    <r>
      <rPr>
        <b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>ero results, etc.</t>
    </r>
  </si>
  <si>
    <t>Sanctioning Fee:</t>
  </si>
  <si>
    <r>
      <t>Ctrl w</t>
    </r>
    <r>
      <rPr>
        <sz val="11"/>
        <color theme="1"/>
        <rFont val="Calibri"/>
        <family val="2"/>
        <scheme val="minor"/>
      </rPr>
      <t xml:space="preserve"> - copy </t>
    </r>
    <r>
      <rPr>
        <b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inners (Qualifiers) to Results</t>
    </r>
  </si>
  <si>
    <r>
      <t>Ctrl/Shift C</t>
    </r>
    <r>
      <rPr>
        <sz val="11"/>
        <color theme="1"/>
        <rFont val="Calibri"/>
        <family val="2"/>
        <scheme val="minor"/>
      </rPr>
      <t xml:space="preserve"> - Copy names to scorecards</t>
    </r>
  </si>
  <si>
    <r>
      <t>T</t>
    </r>
    <r>
      <rPr>
        <sz val="11"/>
        <color theme="1"/>
        <rFont val="Calibri"/>
        <family val="2"/>
        <scheme val="minor"/>
      </rPr>
      <t>=En</t>
    </r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ered to top</t>
    </r>
  </si>
  <si>
    <t>Sort List. E.g., "", Pd, Np, T</t>
  </si>
  <si>
    <t>Then Ctrl/Shift C will copy list to Scorecard sheet</t>
  </si>
  <si>
    <t>Ctrl i</t>
  </si>
  <si>
    <r>
      <rPr>
        <b/>
        <sz val="14"/>
        <color theme="1"/>
        <rFont val="Calibri"/>
        <family val="2"/>
        <scheme val="minor"/>
      </rPr>
      <t>Ctrl h</t>
    </r>
    <r>
      <rPr>
        <b/>
        <sz val="11"/>
        <color theme="1"/>
        <rFont val="Calibri"/>
        <family val="2"/>
        <scheme val="minor"/>
      </rPr>
      <t xml:space="preserve"> - H</t>
    </r>
    <r>
      <rPr>
        <sz val="11"/>
        <color theme="1"/>
        <rFont val="Calibri"/>
        <family val="2"/>
        <scheme val="minor"/>
      </rPr>
      <t>ome for all screens</t>
    </r>
  </si>
  <si>
    <r>
      <t>P1-3</t>
    </r>
    <r>
      <rPr>
        <sz val="11"/>
        <color theme="1"/>
        <rFont val="Calibri"/>
        <family val="2"/>
        <scheme val="minor"/>
      </rPr>
      <t xml:space="preserve"> - list of players in Grad Pools</t>
    </r>
  </si>
  <si>
    <r>
      <t>QE</t>
    </r>
    <r>
      <rPr>
        <sz val="11"/>
        <color theme="1"/>
        <rFont val="Calibri"/>
        <family val="2"/>
        <scheme val="minor"/>
      </rPr>
      <t xml:space="preserve"> - list of players in Eq. Q</t>
    </r>
  </si>
  <si>
    <t>was in col. K</t>
  </si>
  <si>
    <t>Consolation</t>
  </si>
  <si>
    <t>Consolation Tournament</t>
  </si>
  <si>
    <t>1 = Equal</t>
  </si>
  <si>
    <t>2 = 1:6 Graduated</t>
  </si>
  <si>
    <t>3 = 1:8 Graduated</t>
  </si>
  <si>
    <t>Optional Pools</t>
  </si>
  <si>
    <t>Ctrl-Shift+B sets up Pools based on above settings</t>
  </si>
  <si>
    <t>04</t>
  </si>
  <si>
    <t>Equal Pool</t>
  </si>
  <si>
    <t>Not Used</t>
  </si>
  <si>
    <t>Pool Payoffs to</t>
  </si>
  <si>
    <t>Pool1 - Pool4</t>
  </si>
  <si>
    <t>Full List -Consolation</t>
  </si>
  <si>
    <t>17-32</t>
  </si>
  <si>
    <t>9-16</t>
  </si>
  <si>
    <t>5-8</t>
  </si>
  <si>
    <t>3-4</t>
  </si>
  <si>
    <t>"cSidePools.xlsm" must be open during Ctrl e</t>
  </si>
  <si>
    <t>Row hgt</t>
  </si>
  <si>
    <t>Col Width</t>
  </si>
  <si>
    <t>Font Size</t>
  </si>
  <si>
    <t>Last Col</t>
  </si>
  <si>
    <t>G</t>
  </si>
  <si>
    <t>F</t>
  </si>
  <si>
    <t>E</t>
  </si>
  <si>
    <t>D</t>
  </si>
  <si>
    <t>Last Row</t>
  </si>
  <si>
    <t>Row</t>
  </si>
  <si>
    <t>Brkt Cut</t>
  </si>
  <si>
    <t>ZA</t>
  </si>
  <si>
    <t>Working data for each individual</t>
  </si>
  <si>
    <t>Column</t>
  </si>
  <si>
    <t>Brkt Score</t>
  </si>
  <si>
    <t>Brkt Path</t>
  </si>
  <si>
    <t>Opponent Row</t>
  </si>
  <si>
    <t>B</t>
  </si>
  <si>
    <t>C</t>
  </si>
  <si>
    <t>Bracket Path - row no. vs col.</t>
  </si>
  <si>
    <t>Opponent's row per bracket</t>
  </si>
  <si>
    <t>4</t>
  </si>
  <si>
    <t>12</t>
  </si>
  <si>
    <t>24</t>
  </si>
  <si>
    <t>40</t>
  </si>
  <si>
    <t>60</t>
  </si>
  <si>
    <t>84</t>
  </si>
  <si>
    <t>Sorted By Tourney Finish</t>
  </si>
  <si>
    <r>
      <rPr>
        <b/>
        <sz val="11"/>
        <color theme="1"/>
        <rFont val="Calibri"/>
        <family val="2"/>
        <scheme val="minor"/>
      </rPr>
      <t>FROM</t>
    </r>
    <r>
      <rPr>
        <sz val="11"/>
        <color theme="1"/>
        <rFont val="Calibri"/>
        <family val="2"/>
        <scheme val="minor"/>
      </rPr>
      <t xml:space="preserve"> mRosterResults.xlsm  .</t>
    </r>
  </si>
  <si>
    <t>34*10</t>
  </si>
  <si>
    <t>340/8</t>
  </si>
  <si>
    <t xml:space="preserve">$0.00 </t>
  </si>
  <si>
    <t>t</t>
  </si>
  <si>
    <t>Entered to Top</t>
  </si>
  <si>
    <t xml:space="preserve">CONSOLATION- Wine Country Winter Open - </t>
  </si>
  <si>
    <t>Wine Country Winter Open</t>
  </si>
  <si>
    <t>Napa, Ca</t>
  </si>
  <si>
    <t>Moose Lodge #516</t>
  </si>
  <si>
    <t>Roland Hall, Yvonne Bowers, Michael Rogers, Cheryl Von Scyoc</t>
  </si>
  <si>
    <t>707-738-0799</t>
  </si>
  <si>
    <t>Y</t>
  </si>
  <si>
    <r>
      <rPr>
        <b/>
        <sz val="11"/>
        <color theme="1"/>
        <rFont val="Calibri"/>
        <family val="2"/>
        <scheme val="minor"/>
      </rPr>
      <t>Ctrl z</t>
    </r>
    <r>
      <rPr>
        <sz val="11"/>
        <color theme="1"/>
        <rFont val="Calibri"/>
        <family val="2"/>
        <scheme val="minor"/>
      </rPr>
      <t xml:space="preserve"> - clear our all entries</t>
    </r>
  </si>
  <si>
    <t>Go clear out consy results</t>
  </si>
  <si>
    <t>Create pools based on settings</t>
  </si>
  <si>
    <t>Go to next setup operation</t>
  </si>
  <si>
    <t>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</si>
</sst>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164" formatCode="&quot;$&quot;#,##0"/>
    <numFmt numFmtId="165" formatCode="mm/dd/yy;@"/>
    <numFmt numFmtId="166" formatCode="m/d;@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i/>
      <sz val="13"/>
      <color rgb="FFFF0000"/>
      <name val="Calibri"/>
      <family val="2"/>
      <scheme val="minor"/>
    </font>
    <font>
      <b/>
      <sz val="7"/>
      <name val="Arial"/>
      <family val="2"/>
    </font>
    <font>
      <sz val="7"/>
      <name val="Arial"/>
      <family val="2"/>
    </font>
    <font>
      <b/>
      <sz val="7"/>
      <color theme="1"/>
      <name val="Arial"/>
      <family val="2"/>
    </font>
    <font>
      <sz val="7"/>
      <color theme="1"/>
      <name val="Calibri"/>
      <family val="2"/>
      <scheme val="minor"/>
    </font>
    <font>
      <b/>
      <sz val="12"/>
      <color rgb="FFFFFFFF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0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2" fillId="0" borderId="1" xfId="0" quotePrefix="1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1" fontId="1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0" fontId="0" fillId="0" borderId="0" xfId="0"/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49" fontId="0" fillId="0" borderId="1" xfId="0" applyNumberFormat="1" applyFon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Font="1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8" xfId="0" applyNumberFormat="1" applyFont="1" applyBorder="1" applyProtection="1">
      <protection locked="0"/>
    </xf>
    <xf numFmtId="49" fontId="9" fillId="0" borderId="8" xfId="0" applyNumberFormat="1" applyFont="1" applyBorder="1" applyAlignment="1" applyProtection="1">
      <alignment horizontal="center"/>
      <protection locked="0"/>
    </xf>
    <xf numFmtId="164" fontId="9" fillId="0" borderId="8" xfId="0" applyNumberFormat="1" applyFont="1" applyBorder="1" applyAlignment="1" applyProtection="1">
      <alignment horizontal="center"/>
      <protection locked="0"/>
    </xf>
    <xf numFmtId="0" fontId="9" fillId="0" borderId="8" xfId="0" applyFont="1" applyBorder="1" applyProtection="1">
      <protection locked="0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0" xfId="0" quotePrefix="1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64" fontId="9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" fontId="9" fillId="0" borderId="0" xfId="0" applyNumberFormat="1" applyFont="1" applyAlignment="1" applyProtection="1">
      <alignment horizontal="center"/>
    </xf>
    <xf numFmtId="49" fontId="9" fillId="0" borderId="2" xfId="0" applyNumberFormat="1" applyFont="1" applyBorder="1" applyAlignment="1" applyProtection="1">
      <alignment horizontal="left"/>
    </xf>
    <xf numFmtId="49" fontId="9" fillId="0" borderId="2" xfId="0" applyNumberFormat="1" applyFont="1" applyBorder="1" applyProtection="1"/>
    <xf numFmtId="49" fontId="9" fillId="0" borderId="2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9" fillId="0" borderId="8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2" fillId="0" borderId="0" xfId="0" applyFont="1"/>
    <xf numFmtId="49" fontId="1" fillId="0" borderId="4" xfId="0" applyNumberFormat="1" applyFont="1" applyBorder="1" applyAlignment="1" applyProtection="1">
      <alignment horizontal="center"/>
      <protection locked="0"/>
    </xf>
    <xf numFmtId="1" fontId="1" fillId="0" borderId="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1" fillId="0" borderId="0" xfId="0" applyFont="1"/>
    <xf numFmtId="14" fontId="1" fillId="0" borderId="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0" fontId="1" fillId="0" borderId="1" xfId="0" applyNumberFormat="1" applyFont="1" applyBorder="1" applyAlignment="1">
      <alignment horizontal="center" wrapText="1"/>
    </xf>
    <xf numFmtId="0" fontId="1" fillId="0" borderId="1" xfId="0" applyNumberFormat="1" applyFont="1" applyBorder="1" applyAlignment="1">
      <alignment horizontal="center" wrapText="1"/>
    </xf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Protection="1"/>
    <xf numFmtId="166" fontId="1" fillId="0" borderId="0" xfId="0" applyNumberFormat="1" applyFont="1" applyBorder="1" applyAlignment="1" applyProtection="1">
      <alignment horizontal="center"/>
    </xf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164" fontId="1" fillId="0" borderId="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Protection="1"/>
    <xf numFmtId="0" fontId="1" fillId="0" borderId="0" xfId="0" quotePrefix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9" fillId="0" borderId="0" xfId="0" applyNumberFormat="1" applyFont="1" applyAlignment="1" applyProtection="1">
      <alignment horizontal="center"/>
    </xf>
    <xf numFmtId="49" fontId="8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1" fillId="0" borderId="0" xfId="0" applyNumberFormat="1" applyFont="1" applyProtection="1"/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164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/>
    <xf numFmtId="0" fontId="0" fillId="0" borderId="0" xfId="0"/>
    <xf numFmtId="49" fontId="1" fillId="0" borderId="0" xfId="0" applyNumberFormat="1" applyFont="1" applyAlignment="1">
      <alignment horizontal="center"/>
    </xf>
    <xf numFmtId="0" fontId="0" fillId="0" borderId="0" xfId="0" applyProtection="1"/>
    <xf numFmtId="164" fontId="0" fillId="0" borderId="0" xfId="0" applyNumberFormat="1"/>
    <xf numFmtId="0" fontId="0" fillId="0" borderId="0" xfId="0" applyProtection="1"/>
    <xf numFmtId="0" fontId="0" fillId="0" borderId="0" xfId="0" applyAlignment="1">
      <alignment horizontal="left"/>
    </xf>
    <xf numFmtId="0" fontId="0" fillId="0" borderId="7" xfId="0" applyBorder="1"/>
    <xf numFmtId="0" fontId="0" fillId="0" borderId="0" xfId="0"/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center"/>
      <protection locked="0"/>
    </xf>
    <xf numFmtId="49" fontId="13" fillId="0" borderId="1" xfId="0" applyNumberFormat="1" applyFont="1" applyBorder="1" applyProtection="1">
      <protection locked="0"/>
    </xf>
    <xf numFmtId="49" fontId="13" fillId="0" borderId="1" xfId="0" applyNumberFormat="1" applyFont="1" applyBorder="1" applyAlignment="1" applyProtection="1">
      <alignment horizontal="center"/>
      <protection locked="0"/>
    </xf>
    <xf numFmtId="1" fontId="13" fillId="0" borderId="1" xfId="0" applyNumberFormat="1" applyFont="1" applyBorder="1" applyAlignment="1" applyProtection="1">
      <alignment horizontal="center"/>
      <protection locked="0"/>
    </xf>
    <xf numFmtId="0" fontId="13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0" fontId="1" fillId="0" borderId="0" xfId="0" applyFont="1"/>
    <xf numFmtId="0" fontId="1" fillId="0" borderId="0" xfId="0" applyFont="1" applyAlignment="1" applyProtection="1">
      <alignment horizontal="right"/>
    </xf>
    <xf numFmtId="0" fontId="1" fillId="0" borderId="0" xfId="0" quotePrefix="1" applyFont="1" applyAlignment="1">
      <alignment horizontal="right"/>
    </xf>
    <xf numFmtId="0" fontId="1" fillId="0" borderId="3" xfId="0" applyNumberFormat="1" applyFont="1" applyBorder="1" applyAlignment="1">
      <alignment horizontal="center" wrapText="1"/>
    </xf>
    <xf numFmtId="1" fontId="1" fillId="0" borderId="0" xfId="0" applyNumberFormat="1" applyFont="1" applyAlignment="1">
      <alignment horizontal="center"/>
    </xf>
    <xf numFmtId="0" fontId="1" fillId="0" borderId="0" xfId="0" quotePrefix="1" applyFont="1" applyAlignment="1">
      <alignment horizontal="center"/>
    </xf>
    <xf numFmtId="0" fontId="1" fillId="0" borderId="4" xfId="0" applyFont="1" applyBorder="1" applyAlignment="1" applyProtection="1">
      <alignment horizontal="center"/>
      <protection locked="0"/>
    </xf>
    <xf numFmtId="164" fontId="1" fillId="0" borderId="0" xfId="0" applyNumberFormat="1" applyFont="1" applyBorder="1" applyAlignment="1" applyProtection="1">
      <alignment horizontal="center"/>
    </xf>
    <xf numFmtId="0" fontId="0" fillId="0" borderId="0" xfId="0" applyProtection="1"/>
    <xf numFmtId="0" fontId="1" fillId="0" borderId="11" xfId="0" applyNumberFormat="1" applyFont="1" applyBorder="1" applyAlignment="1">
      <alignment horizontal="center" wrapText="1"/>
    </xf>
    <xf numFmtId="0" fontId="1" fillId="0" borderId="12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left"/>
    </xf>
    <xf numFmtId="0" fontId="15" fillId="0" borderId="0" xfId="0" applyFont="1" applyBorder="1" applyAlignment="1">
      <alignment horizontal="center"/>
    </xf>
    <xf numFmtId="49" fontId="0" fillId="0" borderId="0" xfId="0" applyNumberFormat="1" applyBorder="1" applyAlignment="1" applyProtection="1">
      <alignment horizontal="center"/>
      <protection locked="0"/>
    </xf>
    <xf numFmtId="1" fontId="0" fillId="0" borderId="0" xfId="0" applyNumberFormat="1" applyAlignment="1">
      <alignment horizontal="center"/>
    </xf>
    <xf numFmtId="49" fontId="17" fillId="0" borderId="0" xfId="0" applyNumberFormat="1" applyFont="1" applyBorder="1"/>
    <xf numFmtId="49" fontId="15" fillId="0" borderId="0" xfId="0" applyNumberFormat="1" applyFont="1" applyBorder="1" applyAlignment="1">
      <alignment horizontal="left"/>
    </xf>
    <xf numFmtId="0" fontId="17" fillId="0" borderId="0" xfId="0" applyFont="1"/>
    <xf numFmtId="0" fontId="17" fillId="0" borderId="15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16" fontId="15" fillId="0" borderId="15" xfId="0" quotePrefix="1" applyNumberFormat="1" applyFont="1" applyBorder="1" applyAlignment="1">
      <alignment horizontal="center"/>
    </xf>
    <xf numFmtId="0" fontId="15" fillId="0" borderId="15" xfId="0" quotePrefix="1" applyFont="1" applyBorder="1" applyAlignment="1">
      <alignment horizontal="center"/>
    </xf>
    <xf numFmtId="49" fontId="15" fillId="0" borderId="0" xfId="0" applyNumberFormat="1" applyFont="1" applyBorder="1" applyAlignment="1">
      <alignment horizontal="center"/>
    </xf>
    <xf numFmtId="49" fontId="15" fillId="0" borderId="0" xfId="0" quotePrefix="1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7" fillId="0" borderId="0" xfId="0" applyFont="1" applyBorder="1"/>
    <xf numFmtId="49" fontId="15" fillId="0" borderId="0" xfId="0" applyNumberFormat="1" applyFont="1" applyAlignment="1">
      <alignment horizontal="center"/>
    </xf>
    <xf numFmtId="49" fontId="15" fillId="0" borderId="11" xfId="0" applyNumberFormat="1" applyFont="1" applyBorder="1"/>
    <xf numFmtId="49" fontId="17" fillId="0" borderId="0" xfId="0" applyNumberFormat="1" applyFont="1"/>
    <xf numFmtId="49" fontId="15" fillId="0" borderId="13" xfId="0" applyNumberFormat="1" applyFont="1" applyBorder="1"/>
    <xf numFmtId="49" fontId="15" fillId="0" borderId="12" xfId="0" applyNumberFormat="1" applyFont="1" applyBorder="1"/>
    <xf numFmtId="49" fontId="15" fillId="0" borderId="14" xfId="0" applyNumberFormat="1" applyFont="1" applyBorder="1" applyAlignment="1">
      <alignment horizontal="left"/>
    </xf>
    <xf numFmtId="49" fontId="15" fillId="0" borderId="0" xfId="0" applyNumberFormat="1" applyFont="1" applyAlignment="1">
      <alignment horizontal="left"/>
    </xf>
    <xf numFmtId="49" fontId="15" fillId="0" borderId="0" xfId="0" applyNumberFormat="1" applyFont="1" applyBorder="1"/>
    <xf numFmtId="49" fontId="15" fillId="0" borderId="13" xfId="0" applyNumberFormat="1" applyFont="1" applyBorder="1" applyAlignment="1">
      <alignment horizontal="left"/>
    </xf>
    <xf numFmtId="49" fontId="15" fillId="0" borderId="8" xfId="0" applyNumberFormat="1" applyFont="1" applyBorder="1"/>
    <xf numFmtId="0" fontId="16" fillId="0" borderId="0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49" fontId="15" fillId="0" borderId="0" xfId="0" applyNumberFormat="1" applyFont="1"/>
    <xf numFmtId="0" fontId="17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5" fillId="0" borderId="1" xfId="0" applyNumberFormat="1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49" fontId="0" fillId="0" borderId="0" xfId="0" applyNumberFormat="1" applyAlignment="1">
      <alignment horizontal="right"/>
    </xf>
    <xf numFmtId="0" fontId="1" fillId="0" borderId="1" xfId="0" applyNumberFormat="1" applyFont="1" applyBorder="1" applyAlignment="1">
      <alignment horizontal="center" wrapText="1"/>
    </xf>
    <xf numFmtId="7" fontId="9" fillId="0" borderId="2" xfId="0" applyNumberFormat="1" applyFont="1" applyBorder="1" applyAlignment="1" applyProtection="1">
      <alignment horizontal="center"/>
    </xf>
    <xf numFmtId="0" fontId="0" fillId="0" borderId="0" xfId="0" applyProtection="1"/>
    <xf numFmtId="0" fontId="17" fillId="0" borderId="1" xfId="0" applyFont="1" applyBorder="1"/>
    <xf numFmtId="0" fontId="13" fillId="0" borderId="1" xfId="0" applyFont="1" applyBorder="1" applyAlignment="1" applyProtection="1">
      <alignment horizontal="center"/>
      <protection locked="0"/>
    </xf>
    <xf numFmtId="0" fontId="13" fillId="0" borderId="1" xfId="0" applyFont="1" applyBorder="1" applyProtection="1">
      <protection locked="0"/>
    </xf>
    <xf numFmtId="49" fontId="13" fillId="0" borderId="0" xfId="0" applyNumberFormat="1" applyFont="1" applyProtection="1">
      <protection locked="0"/>
    </xf>
    <xf numFmtId="0" fontId="1" fillId="0" borderId="0" xfId="0" applyFont="1"/>
    <xf numFmtId="0" fontId="0" fillId="0" borderId="0" xfId="0" applyAlignment="1" applyProtection="1"/>
    <xf numFmtId="49" fontId="19" fillId="0" borderId="0" xfId="0" applyNumberFormat="1" applyFont="1" applyBorder="1"/>
    <xf numFmtId="49" fontId="19" fillId="0" borderId="0" xfId="0" applyNumberFormat="1" applyFont="1" applyBorder="1" applyAlignment="1">
      <alignment horizontal="left"/>
    </xf>
    <xf numFmtId="165" fontId="19" fillId="0" borderId="0" xfId="0" applyNumberFormat="1" applyFont="1" applyBorder="1" applyAlignment="1">
      <alignment horizontal="center"/>
    </xf>
    <xf numFmtId="49" fontId="19" fillId="0" borderId="1" xfId="0" applyNumberFormat="1" applyFont="1" applyBorder="1" applyAlignment="1">
      <alignment horizontal="center"/>
    </xf>
    <xf numFmtId="49" fontId="19" fillId="0" borderId="0" xfId="0" applyNumberFormat="1" applyFont="1" applyAlignment="1">
      <alignment horizontal="center"/>
    </xf>
    <xf numFmtId="49" fontId="19" fillId="0" borderId="11" xfId="0" applyNumberFormat="1" applyFont="1" applyBorder="1"/>
    <xf numFmtId="49" fontId="19" fillId="0" borderId="0" xfId="0" applyNumberFormat="1" applyFont="1"/>
    <xf numFmtId="49" fontId="19" fillId="0" borderId="13" xfId="0" applyNumberFormat="1" applyFont="1" applyBorder="1"/>
    <xf numFmtId="49" fontId="19" fillId="0" borderId="12" xfId="0" applyNumberFormat="1" applyFont="1" applyBorder="1"/>
    <xf numFmtId="49" fontId="19" fillId="0" borderId="14" xfId="0" applyNumberFormat="1" applyFont="1" applyBorder="1" applyAlignment="1">
      <alignment horizontal="left"/>
    </xf>
    <xf numFmtId="49" fontId="19" fillId="0" borderId="0" xfId="0" applyNumberFormat="1" applyFont="1" applyAlignment="1">
      <alignment horizontal="left"/>
    </xf>
    <xf numFmtId="49" fontId="19" fillId="0" borderId="15" xfId="0" applyNumberFormat="1" applyFont="1" applyBorder="1" applyAlignment="1">
      <alignment horizontal="left"/>
    </xf>
    <xf numFmtId="49" fontId="20" fillId="0" borderId="1" xfId="0" quotePrefix="1" applyNumberFormat="1" applyFont="1" applyBorder="1" applyAlignment="1">
      <alignment horizontal="center"/>
    </xf>
    <xf numFmtId="49" fontId="20" fillId="0" borderId="1" xfId="0" applyNumberFormat="1" applyFont="1" applyBorder="1" applyAlignment="1">
      <alignment horizontal="center"/>
    </xf>
    <xf numFmtId="49" fontId="21" fillId="0" borderId="1" xfId="0" applyNumberFormat="1" applyFont="1" applyBorder="1" applyAlignment="1">
      <alignment horizontal="center"/>
    </xf>
    <xf numFmtId="0" fontId="7" fillId="0" borderId="5" xfId="0" applyFont="1" applyBorder="1" applyAlignment="1" applyProtection="1">
      <alignment horizontal="left"/>
    </xf>
    <xf numFmtId="0" fontId="7" fillId="0" borderId="10" xfId="0" applyFont="1" applyBorder="1" applyAlignment="1" applyProtection="1">
      <alignment horizontal="left"/>
    </xf>
    <xf numFmtId="0" fontId="7" fillId="0" borderId="6" xfId="0" applyFont="1" applyBorder="1" applyAlignment="1" applyProtection="1">
      <alignment horizontal="left"/>
    </xf>
    <xf numFmtId="49" fontId="10" fillId="0" borderId="0" xfId="0" applyNumberFormat="1" applyFont="1" applyBorder="1" applyAlignment="1" applyProtection="1">
      <alignment horizontal="left"/>
    </xf>
    <xf numFmtId="0" fontId="14" fillId="0" borderId="0" xfId="0" applyFont="1" applyAlignment="1" applyProtection="1">
      <alignment horizontal="right"/>
    </xf>
    <xf numFmtId="0" fontId="1" fillId="0" borderId="5" xfId="0" applyNumberFormat="1" applyFont="1" applyBorder="1" applyProtection="1">
      <protection locked="0"/>
    </xf>
    <xf numFmtId="0" fontId="1" fillId="0" borderId="10" xfId="0" applyNumberFormat="1" applyFont="1" applyBorder="1" applyProtection="1">
      <protection locked="0"/>
    </xf>
    <xf numFmtId="0" fontId="1" fillId="0" borderId="6" xfId="0" applyNumberFormat="1" applyFont="1" applyBorder="1" applyProtection="1">
      <protection locked="0"/>
    </xf>
    <xf numFmtId="49" fontId="1" fillId="0" borderId="5" xfId="0" applyNumberFormat="1" applyFont="1" applyBorder="1" applyProtection="1">
      <protection locked="0"/>
    </xf>
    <xf numFmtId="49" fontId="1" fillId="0" borderId="10" xfId="0" applyNumberFormat="1" applyFont="1" applyBorder="1" applyProtection="1">
      <protection locked="0"/>
    </xf>
    <xf numFmtId="49" fontId="1" fillId="0" borderId="6" xfId="0" applyNumberFormat="1" applyFont="1" applyBorder="1" applyProtection="1">
      <protection locked="0"/>
    </xf>
    <xf numFmtId="0" fontId="1" fillId="0" borderId="9" xfId="0" applyNumberFormat="1" applyFont="1" applyBorder="1" applyAlignment="1">
      <alignment horizontal="center" wrapText="1"/>
    </xf>
    <xf numFmtId="0" fontId="1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1" fillId="0" borderId="1" xfId="0" applyNumberFormat="1" applyFont="1" applyBorder="1" applyAlignment="1">
      <alignment horizontal="center" wrapText="1"/>
    </xf>
    <xf numFmtId="0" fontId="1" fillId="0" borderId="2" xfId="0" quotePrefix="1" applyFont="1" applyBorder="1" applyAlignment="1">
      <alignment horizontal="center" wrapText="1"/>
    </xf>
    <xf numFmtId="0" fontId="1" fillId="0" borderId="8" xfId="0" quotePrefix="1" applyFont="1" applyBorder="1" applyAlignment="1">
      <alignment horizontal="center" wrapText="1"/>
    </xf>
    <xf numFmtId="0" fontId="0" fillId="0" borderId="0" xfId="0" applyProtection="1"/>
    <xf numFmtId="0" fontId="1" fillId="0" borderId="0" xfId="0" applyFont="1" applyAlignment="1">
      <alignment vertical="top"/>
    </xf>
    <xf numFmtId="0" fontId="7" fillId="0" borderId="0" xfId="0" applyFont="1" applyBorder="1" applyAlignment="1" applyProtection="1">
      <alignment horizontal="center"/>
    </xf>
    <xf numFmtId="49" fontId="1" fillId="0" borderId="0" xfId="0" applyNumberFormat="1" applyFont="1" applyBorder="1" applyAlignment="1" applyProtection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1" fillId="0" borderId="0" xfId="0" applyFont="1" applyAlignment="1">
      <alignment horizontal="left"/>
    </xf>
    <xf numFmtId="1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righ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0</xdr:row>
          <xdr:rowOff>85725</xdr:rowOff>
        </xdr:from>
        <xdr:to>
          <xdr:col>12</xdr:col>
          <xdr:colOff>514350</xdr:colOff>
          <xdr:row>1</xdr:row>
          <xdr:rowOff>190500</xdr:rowOff>
        </xdr:to>
        <xdr:sp macro="" textlink="">
          <xdr:nvSpPr>
            <xdr:cNvPr id="5122" name="Navigatio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561975</xdr:colOff>
          <xdr:row>3</xdr:row>
          <xdr:rowOff>180975</xdr:rowOff>
        </xdr:from>
        <xdr:to>
          <xdr:col>12</xdr:col>
          <xdr:colOff>523875</xdr:colOff>
          <xdr:row>5</xdr:row>
          <xdr:rowOff>152400</xdr:rowOff>
        </xdr:to>
        <xdr:sp macro="" textlink="">
          <xdr:nvSpPr>
            <xdr:cNvPr id="5123" name="ClearOutConsyResults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561975</xdr:colOff>
          <xdr:row>7</xdr:row>
          <xdr:rowOff>161925</xdr:rowOff>
        </xdr:from>
        <xdr:to>
          <xdr:col>12</xdr:col>
          <xdr:colOff>523875</xdr:colOff>
          <xdr:row>9</xdr:row>
          <xdr:rowOff>133350</xdr:rowOff>
        </xdr:to>
        <xdr:sp macro="" textlink="">
          <xdr:nvSpPr>
            <xdr:cNvPr id="5124" name="CreateConsyPools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Consy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561975</xdr:colOff>
          <xdr:row>11</xdr:row>
          <xdr:rowOff>161925</xdr:rowOff>
        </xdr:from>
        <xdr:to>
          <xdr:col>12</xdr:col>
          <xdr:colOff>523875</xdr:colOff>
          <xdr:row>13</xdr:row>
          <xdr:rowOff>133350</xdr:rowOff>
        </xdr:to>
        <xdr:sp macro="" textlink="">
          <xdr:nvSpPr>
            <xdr:cNvPr id="5125" name="NextOperation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9525</xdr:rowOff>
        </xdr:from>
        <xdr:to>
          <xdr:col>2</xdr:col>
          <xdr:colOff>19050</xdr:colOff>
          <xdr:row>4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1171575</xdr:colOff>
          <xdr:row>8</xdr:row>
          <xdr:rowOff>38100</xdr:rowOff>
        </xdr:from>
        <xdr:to>
          <xdr:col>26</xdr:col>
          <xdr:colOff>2343150</xdr:colOff>
          <xdr:row>8</xdr:row>
          <xdr:rowOff>447675</xdr:rowOff>
        </xdr:to>
        <xdr:sp macro="" textlink="">
          <xdr:nvSpPr>
            <xdr:cNvPr id="3077" name="ClearResult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1171575</xdr:colOff>
          <xdr:row>9</xdr:row>
          <xdr:rowOff>190500</xdr:rowOff>
        </xdr:from>
        <xdr:to>
          <xdr:col>26</xdr:col>
          <xdr:colOff>2343150</xdr:colOff>
          <xdr:row>10</xdr:row>
          <xdr:rowOff>381000</xdr:rowOff>
        </xdr:to>
        <xdr:sp macro="" textlink="">
          <xdr:nvSpPr>
            <xdr:cNvPr id="3079" name="NextOperati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0</xdr:row>
          <xdr:rowOff>123825</xdr:rowOff>
        </xdr:from>
        <xdr:to>
          <xdr:col>3</xdr:col>
          <xdr:colOff>1724025</xdr:colOff>
          <xdr:row>2</xdr:row>
          <xdr:rowOff>47625</xdr:rowOff>
        </xdr:to>
        <xdr:sp macro="" textlink="">
          <xdr:nvSpPr>
            <xdr:cNvPr id="3080" name="XfrConsyQualifiersToResult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Xfr Qualifiers To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247650</xdr:colOff>
          <xdr:row>2</xdr:row>
          <xdr:rowOff>85725</xdr:rowOff>
        </xdr:from>
        <xdr:to>
          <xdr:col>20</xdr:col>
          <xdr:colOff>228600</xdr:colOff>
          <xdr:row>4</xdr:row>
          <xdr:rowOff>57150</xdr:rowOff>
        </xdr:to>
        <xdr:sp macro="" textlink="">
          <xdr:nvSpPr>
            <xdr:cNvPr id="2050" name="ConsyBracke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Brackets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2</xdr:row>
          <xdr:rowOff>9525</xdr:rowOff>
        </xdr:from>
        <xdr:to>
          <xdr:col>3</xdr:col>
          <xdr:colOff>9525</xdr:colOff>
          <xdr:row>3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Finish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247650</xdr:colOff>
          <xdr:row>2</xdr:row>
          <xdr:rowOff>85725</xdr:rowOff>
        </xdr:from>
        <xdr:to>
          <xdr:col>33</xdr:col>
          <xdr:colOff>190500</xdr:colOff>
          <xdr:row>4</xdr:row>
          <xdr:rowOff>57150</xdr:rowOff>
        </xdr:to>
        <xdr:sp macro="" textlink="">
          <xdr:nvSpPr>
            <xdr:cNvPr id="2052" name="ConsyBracket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FA5FF80C-84CE-440B-939D-35CD87E2A4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Payoffs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Roster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NewStartup_Click"/>
      <definedName name="Roster_B_BeginPoolSetup"/>
      <definedName name="Roster_z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Entries"/>
      <sheetName val="Results"/>
      <sheetName val="Bracket"/>
      <sheetName val="Pool1"/>
      <sheetName val="Pool2"/>
      <sheetName val="Pool3"/>
      <sheetName val="Pool4"/>
      <sheetName val="FinalQMpts"/>
      <sheetName val="FinalRptFinish"/>
      <sheetName val="LocalCombined"/>
    </sheetNames>
    <definedNames>
      <definedName name="ClearOutResults_Click"/>
    </definedNames>
    <sheetDataSet>
      <sheetData sheetId="0">
        <row r="3">
          <cell r="B3" t="str">
            <v>Main</v>
          </cell>
        </row>
        <row r="25">
          <cell r="E25">
            <v>10</v>
          </cell>
        </row>
      </sheetData>
      <sheetData sheetId="1">
        <row r="10">
          <cell r="G10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N50"/>
  <sheetViews>
    <sheetView topLeftCell="A3" workbookViewId="0">
      <selection activeCell="C34" sqref="C34"/>
    </sheetView>
  </sheetViews>
  <sheetFormatPr defaultRowHeight="15" x14ac:dyDescent="0.25"/>
  <cols>
    <col min="1" max="1" width="24.42578125" style="146" customWidth="1"/>
    <col min="2" max="2" width="10.28515625" style="146" customWidth="1"/>
    <col min="3" max="3" width="4.28515625" style="158" customWidth="1"/>
    <col min="4" max="4" width="16.140625" style="158" customWidth="1"/>
    <col min="5" max="8" width="9.140625" style="158"/>
    <col min="9" max="16384" width="9.140625" style="146"/>
  </cols>
  <sheetData>
    <row r="1" spans="1:14" ht="22.5" thickTop="1" thickBot="1" x14ac:dyDescent="0.4">
      <c r="A1" s="68" t="s">
        <v>91</v>
      </c>
      <c r="D1" s="275" t="s">
        <v>61</v>
      </c>
      <c r="E1" s="276"/>
      <c r="F1" s="276"/>
      <c r="G1" s="276"/>
      <c r="H1" s="277"/>
    </row>
    <row r="2" spans="1:14" ht="15.75" thickTop="1" x14ac:dyDescent="0.25"/>
    <row r="3" spans="1:14" ht="26.25" x14ac:dyDescent="0.4">
      <c r="A3" s="151" t="s">
        <v>106</v>
      </c>
      <c r="B3" s="278" t="s">
        <v>123</v>
      </c>
      <c r="C3" s="278"/>
      <c r="D3" s="278"/>
      <c r="F3" s="259"/>
      <c r="G3" s="259"/>
      <c r="I3" s="259" t="s">
        <v>182</v>
      </c>
      <c r="J3" s="259"/>
    </row>
    <row r="4" spans="1:14" ht="15.75" thickBot="1" x14ac:dyDescent="0.3">
      <c r="I4" s="148"/>
    </row>
    <row r="5" spans="1:14" ht="16.5" thickTop="1" thickBot="1" x14ac:dyDescent="0.3">
      <c r="A5" s="146" t="s">
        <v>92</v>
      </c>
      <c r="B5" s="280" t="s">
        <v>176</v>
      </c>
      <c r="C5" s="281"/>
      <c r="D5" s="281"/>
      <c r="E5" s="281"/>
      <c r="F5" s="281"/>
      <c r="G5" s="282"/>
      <c r="I5" s="203"/>
      <c r="J5" s="203"/>
      <c r="K5" s="203"/>
      <c r="N5" s="258" t="s">
        <v>183</v>
      </c>
    </row>
    <row r="6" spans="1:14" ht="16.5" thickTop="1" thickBot="1" x14ac:dyDescent="0.3">
      <c r="B6" s="247"/>
      <c r="C6" s="175"/>
      <c r="D6" s="175"/>
      <c r="E6" s="175"/>
      <c r="F6" s="175"/>
      <c r="G6" s="175"/>
      <c r="I6" s="203"/>
      <c r="J6" s="203"/>
      <c r="K6" s="203"/>
      <c r="N6" s="203"/>
    </row>
    <row r="7" spans="1:14" ht="16.5" thickTop="1" thickBot="1" x14ac:dyDescent="0.3">
      <c r="A7" s="146" t="s">
        <v>87</v>
      </c>
      <c r="B7" s="283" t="s">
        <v>177</v>
      </c>
      <c r="C7" s="284"/>
      <c r="D7" s="284"/>
      <c r="E7" s="284"/>
      <c r="F7" s="284"/>
      <c r="G7" s="285"/>
      <c r="I7" s="203"/>
      <c r="J7" s="203"/>
      <c r="K7" s="203"/>
      <c r="N7" s="203"/>
    </row>
    <row r="8" spans="1:14" ht="16.5" thickTop="1" thickBot="1" x14ac:dyDescent="0.3">
      <c r="B8" s="247"/>
      <c r="C8" s="175"/>
      <c r="D8" s="175"/>
      <c r="E8" s="175"/>
      <c r="F8" s="175"/>
      <c r="G8" s="175"/>
      <c r="I8" s="203"/>
      <c r="J8" s="203"/>
      <c r="K8" s="203"/>
      <c r="N8" s="203"/>
    </row>
    <row r="9" spans="1:14" ht="16.5" thickTop="1" thickBot="1" x14ac:dyDescent="0.3">
      <c r="A9" s="146" t="s">
        <v>93</v>
      </c>
      <c r="B9" s="147"/>
      <c r="I9" s="203"/>
      <c r="J9" s="203"/>
      <c r="K9" s="203"/>
      <c r="N9" s="203" t="s">
        <v>184</v>
      </c>
    </row>
    <row r="10" spans="1:14" ht="16.5" thickTop="1" thickBot="1" x14ac:dyDescent="0.3">
      <c r="B10" s="246"/>
      <c r="I10" s="203"/>
      <c r="J10" s="203"/>
      <c r="K10" s="203"/>
      <c r="N10" s="203"/>
    </row>
    <row r="11" spans="1:14" s="151" customFormat="1" ht="16.5" thickTop="1" thickBot="1" x14ac:dyDescent="0.3">
      <c r="A11" s="151" t="s">
        <v>103</v>
      </c>
      <c r="B11" s="163">
        <v>30</v>
      </c>
      <c r="C11" s="158"/>
      <c r="D11" s="203" t="s">
        <v>112</v>
      </c>
      <c r="E11" s="163"/>
      <c r="F11" s="158"/>
      <c r="G11" s="158"/>
      <c r="H11" s="158"/>
      <c r="I11" s="203"/>
      <c r="J11" s="203"/>
      <c r="K11" s="203"/>
      <c r="N11" s="203"/>
    </row>
    <row r="12" spans="1:14" s="151" customFormat="1" ht="16.5" thickTop="1" thickBot="1" x14ac:dyDescent="0.3">
      <c r="B12" s="246"/>
      <c r="C12" s="158"/>
      <c r="D12" s="158"/>
      <c r="E12" s="158"/>
      <c r="F12" s="158"/>
      <c r="G12" s="158"/>
      <c r="H12" s="158"/>
      <c r="I12" s="203"/>
      <c r="J12" s="203"/>
      <c r="K12" s="203"/>
      <c r="N12" s="203"/>
    </row>
    <row r="13" spans="1:14" ht="16.5" thickTop="1" thickBot="1" x14ac:dyDescent="0.3">
      <c r="A13" s="146" t="s">
        <v>94</v>
      </c>
      <c r="B13" s="144">
        <v>8</v>
      </c>
      <c r="I13" s="203"/>
      <c r="J13" s="203"/>
      <c r="K13" s="203"/>
      <c r="N13" s="203" t="s">
        <v>185</v>
      </c>
    </row>
    <row r="14" spans="1:14" ht="20.25" thickTop="1" thickBot="1" x14ac:dyDescent="0.35">
      <c r="B14" s="145"/>
      <c r="E14" s="202" t="s">
        <v>119</v>
      </c>
      <c r="F14" s="202"/>
      <c r="G14" s="202"/>
      <c r="I14" s="203"/>
      <c r="J14" s="203"/>
      <c r="K14" s="203"/>
      <c r="L14" s="203"/>
    </row>
    <row r="15" spans="1:14" ht="16.5" thickTop="1" thickBot="1" x14ac:dyDescent="0.3">
      <c r="A15" s="146" t="s">
        <v>95</v>
      </c>
      <c r="B15" s="144"/>
      <c r="I15" s="203"/>
      <c r="J15" s="203"/>
      <c r="K15" s="203"/>
      <c r="L15" s="203"/>
    </row>
    <row r="16" spans="1:14" ht="16.5" thickTop="1" thickBot="1" x14ac:dyDescent="0.3">
      <c r="B16" s="246"/>
      <c r="I16" s="203"/>
      <c r="J16" s="203"/>
      <c r="K16" s="203"/>
      <c r="L16" s="203"/>
    </row>
    <row r="17" spans="1:13" ht="16.5" thickTop="1" thickBot="1" x14ac:dyDescent="0.3">
      <c r="A17" s="146" t="s">
        <v>90</v>
      </c>
      <c r="B17" s="283" t="s">
        <v>178</v>
      </c>
      <c r="C17" s="284"/>
      <c r="D17" s="284"/>
      <c r="E17" s="284"/>
      <c r="F17" s="284"/>
      <c r="G17" s="285"/>
      <c r="I17" s="203"/>
      <c r="J17" s="203"/>
      <c r="K17" s="203"/>
      <c r="L17" s="203"/>
    </row>
    <row r="18" spans="1:13" ht="16.5" thickTop="1" thickBot="1" x14ac:dyDescent="0.3">
      <c r="B18" s="247"/>
      <c r="C18" s="175"/>
      <c r="D18" s="175"/>
      <c r="E18" s="175"/>
      <c r="F18" s="175"/>
      <c r="G18" s="175"/>
      <c r="I18" s="203"/>
      <c r="J18" s="203"/>
      <c r="K18" s="203"/>
      <c r="L18" s="203"/>
    </row>
    <row r="19" spans="1:13" ht="16.5" thickTop="1" thickBot="1" x14ac:dyDescent="0.3">
      <c r="A19" s="146" t="s">
        <v>88</v>
      </c>
      <c r="B19" s="283" t="s">
        <v>179</v>
      </c>
      <c r="C19" s="284"/>
      <c r="D19" s="284"/>
      <c r="E19" s="284"/>
      <c r="F19" s="284"/>
      <c r="G19" s="285"/>
      <c r="I19" s="203"/>
      <c r="J19" s="203"/>
      <c r="K19" s="203"/>
      <c r="L19" s="203"/>
    </row>
    <row r="20" spans="1:13" ht="16.5" thickTop="1" thickBot="1" x14ac:dyDescent="0.3">
      <c r="B20" s="247"/>
      <c r="C20" s="175"/>
      <c r="D20" s="175"/>
      <c r="E20" s="175"/>
      <c r="F20" s="175"/>
      <c r="G20" s="175"/>
      <c r="I20" s="203"/>
      <c r="J20" s="203"/>
      <c r="K20" s="203"/>
      <c r="L20" s="203"/>
    </row>
    <row r="21" spans="1:13" ht="16.5" thickTop="1" thickBot="1" x14ac:dyDescent="0.3">
      <c r="A21" s="146" t="s">
        <v>89</v>
      </c>
      <c r="B21" s="283" t="s">
        <v>180</v>
      </c>
      <c r="C21" s="285"/>
      <c r="D21" s="175"/>
      <c r="E21" s="175"/>
      <c r="F21" s="175"/>
      <c r="G21" s="175"/>
      <c r="I21" s="203"/>
      <c r="J21" s="203"/>
      <c r="K21" s="203"/>
      <c r="L21" s="203"/>
    </row>
    <row r="22" spans="1:13" ht="15.75" thickTop="1" x14ac:dyDescent="0.25">
      <c r="B22" s="246"/>
      <c r="I22" s="203"/>
      <c r="J22" s="203"/>
      <c r="K22" s="203"/>
      <c r="L22" s="203"/>
    </row>
    <row r="23" spans="1:13" ht="15.75" thickBot="1" x14ac:dyDescent="0.3">
      <c r="A23" s="204" t="s">
        <v>128</v>
      </c>
      <c r="B23" s="246"/>
      <c r="E23" s="129">
        <v>1</v>
      </c>
      <c r="F23" s="129">
        <v>2</v>
      </c>
      <c r="G23" s="129">
        <v>3</v>
      </c>
      <c r="H23" s="129">
        <v>4</v>
      </c>
      <c r="I23" s="204"/>
      <c r="J23" s="96"/>
      <c r="K23" s="204"/>
      <c r="L23" s="204"/>
      <c r="M23" s="204"/>
    </row>
    <row r="24" spans="1:13" ht="16.5" thickTop="1" thickBot="1" x14ac:dyDescent="0.3">
      <c r="A24" s="204"/>
      <c r="B24" s="209" t="s">
        <v>125</v>
      </c>
      <c r="C24" s="206"/>
      <c r="D24" s="205" t="s">
        <v>106</v>
      </c>
      <c r="E24" s="210">
        <v>1</v>
      </c>
      <c r="F24" s="210"/>
      <c r="G24" s="210"/>
      <c r="H24" s="210"/>
      <c r="I24" s="204"/>
      <c r="J24" s="204"/>
      <c r="K24" s="204"/>
      <c r="L24" s="204"/>
      <c r="M24" s="204"/>
    </row>
    <row r="25" spans="1:13" ht="16.5" thickTop="1" thickBot="1" x14ac:dyDescent="0.3">
      <c r="A25" s="204"/>
      <c r="B25" s="209" t="s">
        <v>126</v>
      </c>
      <c r="C25" s="206"/>
      <c r="D25" s="205" t="s">
        <v>103</v>
      </c>
      <c r="E25" s="210">
        <v>10</v>
      </c>
      <c r="F25" s="210"/>
      <c r="G25" s="210"/>
      <c r="H25" s="210"/>
      <c r="I25" s="204"/>
      <c r="J25" s="204"/>
      <c r="K25" s="204"/>
      <c r="L25" s="204"/>
      <c r="M25" s="204"/>
    </row>
    <row r="26" spans="1:13" ht="18" thickTop="1" x14ac:dyDescent="0.3">
      <c r="A26" s="204"/>
      <c r="B26" s="209" t="s">
        <v>127</v>
      </c>
      <c r="C26" s="206"/>
      <c r="D26" s="279" t="s">
        <v>129</v>
      </c>
      <c r="E26" s="279"/>
      <c r="F26" s="279"/>
      <c r="G26" s="279"/>
      <c r="H26" s="279"/>
      <c r="I26" s="279"/>
      <c r="J26" s="204"/>
      <c r="K26" s="204"/>
      <c r="L26" s="204"/>
      <c r="M26" s="204"/>
    </row>
    <row r="27" spans="1:13" x14ac:dyDescent="0.25">
      <c r="A27" s="148"/>
      <c r="B27" s="211"/>
      <c r="I27" s="204"/>
      <c r="J27" s="204"/>
      <c r="K27" s="204"/>
      <c r="L27" s="204"/>
      <c r="M27" s="204"/>
    </row>
    <row r="28" spans="1:13" ht="15.75" thickBot="1" x14ac:dyDescent="0.3">
      <c r="A28" s="204"/>
      <c r="B28" s="246"/>
      <c r="I28" s="204"/>
      <c r="J28" s="204"/>
      <c r="K28" s="204"/>
      <c r="L28" s="204"/>
      <c r="M28" s="204"/>
    </row>
    <row r="29" spans="1:13" ht="16.5" thickTop="1" thickBot="1" x14ac:dyDescent="0.3">
      <c r="A29" s="151" t="s">
        <v>104</v>
      </c>
      <c r="B29" s="143" t="s">
        <v>181</v>
      </c>
      <c r="D29" s="165" t="s">
        <v>107</v>
      </c>
      <c r="I29" s="203"/>
      <c r="J29" s="203"/>
      <c r="K29" s="203"/>
      <c r="L29" s="203"/>
    </row>
    <row r="30" spans="1:13" ht="16.5" thickTop="1" thickBot="1" x14ac:dyDescent="0.3">
      <c r="A30" s="148" t="s">
        <v>105</v>
      </c>
      <c r="B30" s="147">
        <v>45038</v>
      </c>
      <c r="I30" s="203"/>
      <c r="J30" s="203"/>
      <c r="K30" s="203"/>
      <c r="L30" s="203"/>
    </row>
    <row r="31" spans="1:13" ht="15.75" thickTop="1" x14ac:dyDescent="0.25">
      <c r="B31" s="203"/>
      <c r="I31" s="203"/>
      <c r="J31" s="203"/>
      <c r="K31" s="203"/>
      <c r="L31" s="203"/>
    </row>
    <row r="32" spans="1:13" x14ac:dyDescent="0.25">
      <c r="B32" s="203"/>
      <c r="I32" s="203"/>
      <c r="J32" s="203"/>
      <c r="K32" s="203"/>
      <c r="L32" s="203"/>
    </row>
    <row r="33" spans="2:12" x14ac:dyDescent="0.25">
      <c r="B33" s="203"/>
      <c r="I33" s="203"/>
      <c r="J33" s="203"/>
      <c r="K33" s="203"/>
      <c r="L33" s="203"/>
    </row>
    <row r="34" spans="2:12" x14ac:dyDescent="0.25">
      <c r="B34" s="203"/>
      <c r="I34" s="203"/>
      <c r="J34" s="203"/>
      <c r="K34" s="203"/>
      <c r="L34" s="203"/>
    </row>
    <row r="35" spans="2:12" x14ac:dyDescent="0.25">
      <c r="B35" s="203"/>
      <c r="I35" s="203"/>
      <c r="J35" s="203"/>
      <c r="K35" s="203"/>
      <c r="L35" s="203"/>
    </row>
    <row r="36" spans="2:12" x14ac:dyDescent="0.25">
      <c r="B36" s="203"/>
      <c r="I36" s="203"/>
      <c r="J36" s="203"/>
      <c r="K36" s="203"/>
      <c r="L36" s="203"/>
    </row>
    <row r="37" spans="2:12" x14ac:dyDescent="0.25">
      <c r="B37" s="203"/>
      <c r="I37" s="203"/>
      <c r="J37" s="203"/>
      <c r="K37" s="203"/>
      <c r="L37" s="203"/>
    </row>
    <row r="38" spans="2:12" x14ac:dyDescent="0.25">
      <c r="B38" s="203"/>
      <c r="I38" s="203"/>
      <c r="J38" s="203"/>
      <c r="K38" s="203"/>
      <c r="L38" s="203"/>
    </row>
    <row r="39" spans="2:12" x14ac:dyDescent="0.25">
      <c r="B39" s="203"/>
      <c r="I39" s="203"/>
      <c r="J39" s="203"/>
      <c r="K39" s="203"/>
      <c r="L39" s="203"/>
    </row>
    <row r="40" spans="2:12" x14ac:dyDescent="0.25">
      <c r="B40" s="203"/>
      <c r="I40" s="203"/>
      <c r="J40" s="203"/>
      <c r="K40" s="203"/>
      <c r="L40" s="203"/>
    </row>
    <row r="41" spans="2:12" x14ac:dyDescent="0.25">
      <c r="B41" s="203"/>
      <c r="I41" s="203"/>
      <c r="J41" s="203"/>
      <c r="K41" s="203"/>
      <c r="L41" s="203"/>
    </row>
    <row r="42" spans="2:12" x14ac:dyDescent="0.25">
      <c r="B42" s="203"/>
      <c r="I42" s="203"/>
      <c r="J42" s="203"/>
      <c r="K42" s="203"/>
      <c r="L42" s="203"/>
    </row>
    <row r="43" spans="2:12" x14ac:dyDescent="0.25">
      <c r="B43" s="203"/>
      <c r="I43" s="203"/>
      <c r="J43" s="203"/>
      <c r="K43" s="203"/>
      <c r="L43" s="203"/>
    </row>
    <row r="44" spans="2:12" x14ac:dyDescent="0.25">
      <c r="B44" s="203"/>
      <c r="I44" s="203"/>
      <c r="J44" s="203"/>
      <c r="K44" s="203"/>
      <c r="L44" s="203"/>
    </row>
    <row r="45" spans="2:12" x14ac:dyDescent="0.25">
      <c r="B45" s="203"/>
      <c r="I45" s="203"/>
      <c r="J45" s="203"/>
      <c r="K45" s="203"/>
      <c r="L45" s="203"/>
    </row>
    <row r="46" spans="2:12" x14ac:dyDescent="0.25">
      <c r="B46" s="203"/>
      <c r="I46" s="203"/>
      <c r="J46" s="203"/>
      <c r="K46" s="203"/>
      <c r="L46" s="203"/>
    </row>
    <row r="47" spans="2:12" x14ac:dyDescent="0.25">
      <c r="B47" s="203"/>
      <c r="I47" s="203"/>
      <c r="J47" s="203"/>
      <c r="K47" s="203"/>
      <c r="L47" s="203"/>
    </row>
    <row r="48" spans="2:12" x14ac:dyDescent="0.25">
      <c r="B48" s="203"/>
      <c r="I48" s="203"/>
      <c r="J48" s="203"/>
      <c r="K48" s="203"/>
      <c r="L48" s="203"/>
    </row>
    <row r="49" spans="2:12" x14ac:dyDescent="0.25">
      <c r="B49" s="203"/>
      <c r="I49" s="203"/>
      <c r="J49" s="203"/>
      <c r="K49" s="203"/>
      <c r="L49" s="203"/>
    </row>
    <row r="50" spans="2:12" x14ac:dyDescent="0.25">
      <c r="B50" s="203"/>
      <c r="I50" s="203"/>
      <c r="J50" s="203"/>
      <c r="K50" s="203"/>
      <c r="L50" s="203"/>
    </row>
  </sheetData>
  <sheetProtection selectLockedCells="1"/>
  <mergeCells count="8">
    <mergeCell ref="D1:H1"/>
    <mergeCell ref="B3:D3"/>
    <mergeCell ref="D26:I26"/>
    <mergeCell ref="B5:G5"/>
    <mergeCell ref="B7:G7"/>
    <mergeCell ref="B17:G17"/>
    <mergeCell ref="B19:G19"/>
    <mergeCell ref="B21:C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Navigation">
              <controlPr defaultSize="0" print="0" autoFill="0" autoPict="0" macro="[1]!NewStartup_Click">
                <anchor moveWithCells="1" sizeWithCells="1">
                  <from>
                    <xdr:col>10</xdr:col>
                    <xdr:colOff>552450</xdr:colOff>
                    <xdr:row>0</xdr:row>
                    <xdr:rowOff>85725</xdr:rowOff>
                  </from>
                  <to>
                    <xdr:col>12</xdr:col>
                    <xdr:colOff>514350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learOutConsyResults">
              <controlPr defaultSize="0" print="0" autoFill="0" autoPict="0" macro="[2]!ClearOutResults_Click">
                <anchor moveWithCells="1" sizeWithCells="1">
                  <from>
                    <xdr:col>10</xdr:col>
                    <xdr:colOff>561975</xdr:colOff>
                    <xdr:row>3</xdr:row>
                    <xdr:rowOff>180975</xdr:rowOff>
                  </from>
                  <to>
                    <xdr:col>12</xdr:col>
                    <xdr:colOff>523875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reateConsyPools">
              <controlPr defaultSize="0" print="0" autoFill="0" autoPict="0" macro="[1]!Roster_B_BeginPoolSetup">
                <anchor moveWithCells="1" sizeWithCells="1">
                  <from>
                    <xdr:col>10</xdr:col>
                    <xdr:colOff>561975</xdr:colOff>
                    <xdr:row>7</xdr:row>
                    <xdr:rowOff>161925</xdr:rowOff>
                  </from>
                  <to>
                    <xdr:col>12</xdr:col>
                    <xdr:colOff>523875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NextOperation">
              <controlPr defaultSize="0" print="0" autoFill="0" autoPict="0" macro="[0]!ConsyNextOperation_Click">
                <anchor moveWithCells="1" sizeWithCells="1">
                  <from>
                    <xdr:col>10</xdr:col>
                    <xdr:colOff>561975</xdr:colOff>
                    <xdr:row>11</xdr:row>
                    <xdr:rowOff>161925</xdr:rowOff>
                  </from>
                  <to>
                    <xdr:col>12</xdr:col>
                    <xdr:colOff>523875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286"/>
  <sheetViews>
    <sheetView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8" style="1" customWidth="1"/>
    <col min="4" max="4" width="32.42578125" style="3" customWidth="1"/>
    <col min="5" max="5" width="18.42578125" style="3" customWidth="1"/>
    <col min="6" max="6" width="10.140625" style="4" customWidth="1"/>
    <col min="7" max="7" width="5.5703125" style="9" customWidth="1"/>
    <col min="8" max="10" width="6.42578125" style="9" hidden="1" customWidth="1"/>
    <col min="11" max="11" width="5.85546875" style="9" customWidth="1"/>
    <col min="12" max="13" width="5.7109375" customWidth="1"/>
    <col min="14" max="14" width="6.28515625" style="47" customWidth="1"/>
    <col min="15" max="16" width="4.5703125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.75" thickBot="1" x14ac:dyDescent="0.4">
      <c r="A1" s="295" t="s">
        <v>108</v>
      </c>
      <c r="B1" s="295"/>
      <c r="C1" s="295"/>
      <c r="D1" s="295"/>
      <c r="E1" s="169" t="str">
        <f>+Setup!B3</f>
        <v>Consolation</v>
      </c>
      <c r="F1" s="21" t="s">
        <v>5</v>
      </c>
      <c r="K1" s="173"/>
      <c r="L1" s="52"/>
      <c r="O1" s="37" t="s">
        <v>99</v>
      </c>
      <c r="P1" s="37"/>
      <c r="Q1" s="145" t="s">
        <v>96</v>
      </c>
      <c r="R1" s="18">
        <v>9</v>
      </c>
      <c r="S1" s="19" t="s">
        <v>9</v>
      </c>
      <c r="V1" s="52"/>
      <c r="Z1" s="52" t="s">
        <v>54</v>
      </c>
    </row>
    <row r="2" spans="1:30" ht="16.5" thickTop="1" thickBot="1" x14ac:dyDescent="0.3">
      <c r="A2" s="296" t="str">
        <f>+Setup!B5</f>
        <v>Wine Country Winter Open</v>
      </c>
      <c r="B2" s="296"/>
      <c r="C2" s="296"/>
      <c r="D2" s="296"/>
      <c r="E2" s="155"/>
      <c r="F2" s="143" t="s">
        <v>173</v>
      </c>
      <c r="G2" s="191" t="s">
        <v>76</v>
      </c>
      <c r="H2" s="192"/>
      <c r="I2" s="192"/>
      <c r="J2" s="192"/>
      <c r="R2" s="18">
        <f>SUM(Y12:Y211)</f>
        <v>0</v>
      </c>
      <c r="S2" s="20" t="s">
        <v>6</v>
      </c>
    </row>
    <row r="3" spans="1:30" ht="15.75" customHeight="1" thickTop="1" x14ac:dyDescent="0.3">
      <c r="A3" s="156"/>
      <c r="B3" s="156"/>
      <c r="C3" s="156"/>
      <c r="E3" s="294" t="s">
        <v>102</v>
      </c>
      <c r="F3" s="294"/>
      <c r="G3" s="21" t="s">
        <v>42</v>
      </c>
      <c r="L3" s="10"/>
      <c r="M3" s="23"/>
      <c r="R3" s="21"/>
      <c r="S3" s="20" t="s">
        <v>7</v>
      </c>
      <c r="Z3" s="184" t="s">
        <v>114</v>
      </c>
    </row>
    <row r="4" spans="1:30" x14ac:dyDescent="0.25">
      <c r="D4" s="293" t="s">
        <v>113</v>
      </c>
      <c r="E4" s="293"/>
      <c r="F4" s="293"/>
      <c r="G4" s="20" t="s">
        <v>38</v>
      </c>
      <c r="L4" s="10"/>
      <c r="M4" s="9"/>
      <c r="R4" s="106" t="s">
        <v>84</v>
      </c>
      <c r="S4" s="99" t="s">
        <v>83</v>
      </c>
      <c r="AA4" s="185" t="s">
        <v>116</v>
      </c>
    </row>
    <row r="5" spans="1:30" ht="15" customHeight="1" x14ac:dyDescent="0.25">
      <c r="C5" s="289" t="s">
        <v>10</v>
      </c>
      <c r="G5" s="27" t="s">
        <v>115</v>
      </c>
      <c r="L5" s="10"/>
      <c r="M5" s="9"/>
      <c r="Q5" s="164" t="s">
        <v>109</v>
      </c>
      <c r="R5" s="164"/>
      <c r="S5" s="164"/>
      <c r="T5" s="164"/>
      <c r="U5" s="164"/>
      <c r="V5" s="164"/>
      <c r="Z5" s="153"/>
      <c r="AA5" s="190" t="s">
        <v>117</v>
      </c>
      <c r="AB5" s="190"/>
      <c r="AC5" s="190"/>
      <c r="AD5" s="190"/>
    </row>
    <row r="6" spans="1:30" x14ac:dyDescent="0.25">
      <c r="A6" s="175" t="s">
        <v>110</v>
      </c>
      <c r="C6" s="289"/>
      <c r="D6" s="292" t="s">
        <v>111</v>
      </c>
      <c r="E6" s="292"/>
      <c r="F6" s="292"/>
      <c r="G6" s="24" t="s">
        <v>121</v>
      </c>
      <c r="L6" s="20"/>
      <c r="Q6" s="164" t="s">
        <v>110</v>
      </c>
      <c r="R6" s="164"/>
      <c r="S6" s="164"/>
      <c r="T6" s="164"/>
      <c r="U6" s="164"/>
      <c r="V6" s="164"/>
      <c r="Y6" s="158"/>
    </row>
    <row r="7" spans="1:30" ht="18.75" x14ac:dyDescent="0.3">
      <c r="C7" s="289"/>
      <c r="D7" s="175" t="s">
        <v>109</v>
      </c>
      <c r="G7" s="24" t="s">
        <v>120</v>
      </c>
      <c r="H7" s="193"/>
      <c r="I7" s="193"/>
      <c r="J7" s="16"/>
      <c r="K7" s="16"/>
      <c r="L7" s="21"/>
      <c r="R7" s="10"/>
      <c r="S7" s="23"/>
      <c r="Z7" s="292" t="s">
        <v>119</v>
      </c>
      <c r="AA7" s="292"/>
      <c r="AB7" s="189"/>
    </row>
    <row r="8" spans="1:30" ht="18.75" x14ac:dyDescent="0.3">
      <c r="C8" s="22">
        <f>ROUNDUP(B10/4,0)</f>
        <v>0</v>
      </c>
      <c r="D8" s="250" t="s">
        <v>169</v>
      </c>
      <c r="G8" s="38" t="s">
        <v>60</v>
      </c>
      <c r="H8" s="38"/>
      <c r="I8" s="38"/>
      <c r="J8" s="38"/>
      <c r="R8" s="21" t="s">
        <v>37</v>
      </c>
      <c r="S8" s="9"/>
    </row>
    <row r="9" spans="1:30" ht="42" customHeight="1" x14ac:dyDescent="0.25">
      <c r="A9" s="161"/>
      <c r="B9" s="17" t="s">
        <v>135</v>
      </c>
      <c r="C9" s="83" t="s">
        <v>8</v>
      </c>
      <c r="D9" s="171" t="s">
        <v>174</v>
      </c>
      <c r="E9" s="162">
        <f>+Setup!B9</f>
        <v>0</v>
      </c>
      <c r="G9" s="213"/>
      <c r="H9" s="213"/>
      <c r="I9" s="214"/>
      <c r="J9" s="207"/>
      <c r="K9" s="286" t="s">
        <v>75</v>
      </c>
      <c r="L9" s="287"/>
      <c r="M9" s="192"/>
      <c r="R9" s="10"/>
      <c r="S9" s="9"/>
      <c r="U9" s="288" t="s">
        <v>74</v>
      </c>
      <c r="V9" s="288"/>
      <c r="W9" s="288"/>
      <c r="X9" s="288"/>
    </row>
    <row r="10" spans="1:30" ht="15.75" x14ac:dyDescent="0.25">
      <c r="A10" s="161"/>
      <c r="B10" s="79">
        <f>SUM(B12:B205)</f>
        <v>0</v>
      </c>
      <c r="C10" s="79">
        <f>SUM(C12:C205)</f>
        <v>0</v>
      </c>
      <c r="D10" s="154"/>
      <c r="E10" s="154"/>
      <c r="G10" s="79">
        <f>SUM(G12:G205)-U11</f>
        <v>0</v>
      </c>
      <c r="H10" s="79">
        <f>SUM(H12:H205)-V11</f>
        <v>0</v>
      </c>
      <c r="I10" s="79">
        <f>SUM(I12:I205)-W11</f>
        <v>0</v>
      </c>
      <c r="J10" s="79">
        <f>SUM(J12:J205)-X11</f>
        <v>0</v>
      </c>
      <c r="K10" s="79">
        <f>+R10</f>
        <v>0</v>
      </c>
      <c r="L10" s="79">
        <f>+S10</f>
        <v>0</v>
      </c>
      <c r="M10" s="79">
        <f>SUM(M12:M205)</f>
        <v>0</v>
      </c>
      <c r="N10" s="152">
        <f>SUM(N12:N211)</f>
        <v>0</v>
      </c>
      <c r="O10" s="290" t="s">
        <v>100</v>
      </c>
      <c r="P10" s="153"/>
      <c r="Q10" s="1">
        <v>4</v>
      </c>
      <c r="R10" s="79">
        <f>SUM(R12:R205)</f>
        <v>0</v>
      </c>
      <c r="S10" s="79">
        <f>SUM(S12:S205)</f>
        <v>0</v>
      </c>
      <c r="U10" s="288"/>
      <c r="V10" s="288"/>
      <c r="W10" s="288"/>
      <c r="X10" s="288"/>
      <c r="Y10" s="79">
        <f>SUM(Y12:Y205)</f>
        <v>0</v>
      </c>
    </row>
    <row r="11" spans="1:30" ht="30.75" customHeight="1" x14ac:dyDescent="0.25">
      <c r="B11" s="12" t="s">
        <v>85</v>
      </c>
      <c r="C11" s="39" t="s">
        <v>12</v>
      </c>
      <c r="D11" s="5" t="s">
        <v>0</v>
      </c>
      <c r="E11" s="6" t="s">
        <v>1</v>
      </c>
      <c r="F11" s="7" t="s">
        <v>2</v>
      </c>
      <c r="G11" s="251" t="s">
        <v>131</v>
      </c>
      <c r="H11" s="251" t="s">
        <v>132</v>
      </c>
      <c r="I11" s="251" t="s">
        <v>132</v>
      </c>
      <c r="J11" s="251" t="s">
        <v>132</v>
      </c>
      <c r="K11" s="39" t="s">
        <v>35</v>
      </c>
      <c r="L11" s="150" t="s">
        <v>101</v>
      </c>
      <c r="M11" s="39" t="s">
        <v>36</v>
      </c>
      <c r="N11" s="49" t="s">
        <v>97</v>
      </c>
      <c r="O11" s="291"/>
      <c r="P11" s="153"/>
      <c r="Q11" s="1" t="s">
        <v>40</v>
      </c>
      <c r="R11" s="37" t="s">
        <v>39</v>
      </c>
      <c r="S11" s="37" t="s">
        <v>40</v>
      </c>
      <c r="T11" s="37" t="s">
        <v>41</v>
      </c>
      <c r="U11" s="42">
        <f>SUM(U12:U200)</f>
        <v>0</v>
      </c>
      <c r="V11" s="42">
        <f>SUM(V12:V200)</f>
        <v>0</v>
      </c>
      <c r="W11" s="42">
        <f>SUM(W12:W200)</f>
        <v>0</v>
      </c>
      <c r="X11" s="42">
        <f>SUM(X12:X200)</f>
        <v>0</v>
      </c>
      <c r="Y11" s="149" t="s">
        <v>98</v>
      </c>
      <c r="AB11" s="188"/>
    </row>
    <row r="12" spans="1:30" x14ac:dyDescent="0.25">
      <c r="A12" s="8">
        <v>1</v>
      </c>
      <c r="B12" s="197"/>
      <c r="C12" s="198"/>
      <c r="D12" s="195"/>
      <c r="E12" s="195"/>
      <c r="F12" s="196"/>
      <c r="G12" s="197"/>
      <c r="H12" s="255"/>
      <c r="I12" s="255"/>
      <c r="J12" s="255"/>
      <c r="K12" s="255"/>
      <c r="L12" s="255"/>
      <c r="M12" s="255"/>
      <c r="N12" s="109"/>
      <c r="O12" s="114"/>
      <c r="P12" s="114"/>
      <c r="R12" s="21">
        <f t="shared" ref="R12:R43" si="0">IF(K12=1,IF($B12=1,1,-1),0)</f>
        <v>0</v>
      </c>
      <c r="S12" s="21">
        <f t="shared" ref="S12:S43" si="1">IF(L12=1,IF($B12=1,1,-1),0)</f>
        <v>0</v>
      </c>
      <c r="T12" s="21">
        <f t="shared" ref="T12:T43" si="2">IF(M12=1,1,0)</f>
        <v>0</v>
      </c>
      <c r="U12" s="1">
        <f t="shared" ref="U12:U43" si="3">IF($B12&lt;&gt;1,IF(G12=1,1,0),0)</f>
        <v>0</v>
      </c>
      <c r="V12" s="1">
        <f t="shared" ref="V12:V43" si="4">IF($B12&lt;&gt;1,IF(H12=1,1,0),0)</f>
        <v>0</v>
      </c>
      <c r="W12" s="1">
        <f t="shared" ref="W12:W43" si="5">IF($B12&lt;&gt;1,IF(I12=1,1,0),0)</f>
        <v>0</v>
      </c>
      <c r="X12" s="1">
        <f t="shared" ref="X12:X43" si="6">IF($B12&lt;&gt;1,IF(J12=1,1,0),0)</f>
        <v>0</v>
      </c>
      <c r="Y12" s="80" t="s">
        <v>86</v>
      </c>
      <c r="AB12" s="34"/>
    </row>
    <row r="13" spans="1:30" x14ac:dyDescent="0.25">
      <c r="A13" s="8">
        <f>+A12+1</f>
        <v>2</v>
      </c>
      <c r="B13" s="197"/>
      <c r="C13" s="198"/>
      <c r="D13" s="195"/>
      <c r="E13" s="195"/>
      <c r="F13" s="196"/>
      <c r="G13" s="197"/>
      <c r="H13" s="197"/>
      <c r="I13" s="197"/>
      <c r="J13" s="255"/>
      <c r="K13" s="255"/>
      <c r="L13" s="255"/>
      <c r="M13" s="255"/>
      <c r="N13" s="199"/>
      <c r="O13" s="200"/>
      <c r="P13" s="201"/>
      <c r="R13" s="86">
        <f t="shared" si="0"/>
        <v>0</v>
      </c>
      <c r="S13" s="21">
        <f t="shared" si="1"/>
        <v>0</v>
      </c>
      <c r="T13" s="21">
        <f t="shared" si="2"/>
        <v>0</v>
      </c>
      <c r="U13" s="1">
        <f t="shared" si="3"/>
        <v>0</v>
      </c>
      <c r="V13" s="1">
        <f t="shared" si="4"/>
        <v>0</v>
      </c>
      <c r="W13" s="1">
        <f t="shared" si="5"/>
        <v>0</v>
      </c>
      <c r="X13" s="1">
        <f t="shared" si="6"/>
        <v>0</v>
      </c>
      <c r="Y13" s="80">
        <f t="shared" ref="Y13:Y19" si="7">IF(D13&lt;&gt;"", 1, 0)</f>
        <v>0</v>
      </c>
      <c r="AB13" s="34"/>
    </row>
    <row r="14" spans="1:30" x14ac:dyDescent="0.25">
      <c r="A14" s="8">
        <f t="shared" ref="A14:A77" si="8">+A13+1</f>
        <v>3</v>
      </c>
      <c r="B14" s="197"/>
      <c r="C14" s="198"/>
      <c r="D14" s="195"/>
      <c r="E14" s="195"/>
      <c r="F14" s="196"/>
      <c r="G14" s="197"/>
      <c r="H14" s="197"/>
      <c r="I14" s="197"/>
      <c r="J14" s="255"/>
      <c r="K14" s="255"/>
      <c r="L14" s="255"/>
      <c r="M14" s="255"/>
      <c r="N14" s="199"/>
      <c r="O14" s="200"/>
      <c r="P14" s="201"/>
      <c r="R14" s="86">
        <f t="shared" si="0"/>
        <v>0</v>
      </c>
      <c r="S14" s="21">
        <f t="shared" si="1"/>
        <v>0</v>
      </c>
      <c r="T14" s="21">
        <f t="shared" si="2"/>
        <v>0</v>
      </c>
      <c r="U14" s="1">
        <f t="shared" si="3"/>
        <v>0</v>
      </c>
      <c r="V14" s="1">
        <f t="shared" si="4"/>
        <v>0</v>
      </c>
      <c r="W14" s="1">
        <f t="shared" si="5"/>
        <v>0</v>
      </c>
      <c r="X14" s="1">
        <f t="shared" si="6"/>
        <v>0</v>
      </c>
      <c r="Y14" s="80">
        <f t="shared" si="7"/>
        <v>0</v>
      </c>
      <c r="AB14" s="34"/>
    </row>
    <row r="15" spans="1:30" x14ac:dyDescent="0.25">
      <c r="A15" s="8">
        <f t="shared" si="8"/>
        <v>4</v>
      </c>
      <c r="B15" s="197"/>
      <c r="C15" s="198"/>
      <c r="D15" s="195"/>
      <c r="E15" s="195"/>
      <c r="F15" s="196"/>
      <c r="G15" s="197"/>
      <c r="H15" s="255"/>
      <c r="I15" s="255"/>
      <c r="J15" s="255"/>
      <c r="K15" s="255"/>
      <c r="L15" s="255"/>
      <c r="M15" s="255"/>
      <c r="N15" s="199"/>
      <c r="O15" s="200"/>
      <c r="P15" s="201"/>
      <c r="Q15" s="1">
        <v>0</v>
      </c>
      <c r="R15" s="86">
        <f t="shared" si="0"/>
        <v>0</v>
      </c>
      <c r="S15" s="21">
        <f t="shared" si="1"/>
        <v>0</v>
      </c>
      <c r="T15" s="21">
        <f t="shared" si="2"/>
        <v>0</v>
      </c>
      <c r="U15" s="1">
        <f t="shared" si="3"/>
        <v>0</v>
      </c>
      <c r="V15" s="1">
        <f t="shared" si="4"/>
        <v>0</v>
      </c>
      <c r="W15" s="1">
        <f t="shared" si="5"/>
        <v>0</v>
      </c>
      <c r="X15" s="1">
        <f t="shared" si="6"/>
        <v>0</v>
      </c>
      <c r="Y15" s="80">
        <f t="shared" si="7"/>
        <v>0</v>
      </c>
    </row>
    <row r="16" spans="1:30" x14ac:dyDescent="0.25">
      <c r="A16" s="8">
        <f t="shared" si="8"/>
        <v>5</v>
      </c>
      <c r="B16" s="197"/>
      <c r="C16" s="198"/>
      <c r="D16" s="195"/>
      <c r="E16" s="195"/>
      <c r="F16" s="196"/>
      <c r="G16" s="197"/>
      <c r="H16" s="255"/>
      <c r="I16" s="197"/>
      <c r="J16" s="255"/>
      <c r="K16" s="255"/>
      <c r="L16" s="255"/>
      <c r="M16" s="255"/>
      <c r="N16" s="199"/>
      <c r="O16" s="200"/>
      <c r="P16" s="201"/>
      <c r="R16" s="86">
        <f t="shared" si="0"/>
        <v>0</v>
      </c>
      <c r="S16" s="21">
        <f t="shared" si="1"/>
        <v>0</v>
      </c>
      <c r="T16" s="21">
        <f t="shared" si="2"/>
        <v>0</v>
      </c>
      <c r="U16" s="1">
        <f t="shared" si="3"/>
        <v>0</v>
      </c>
      <c r="V16" s="1">
        <f t="shared" si="4"/>
        <v>0</v>
      </c>
      <c r="W16" s="1">
        <f t="shared" si="5"/>
        <v>0</v>
      </c>
      <c r="X16" s="1">
        <f t="shared" si="6"/>
        <v>0</v>
      </c>
      <c r="Y16" s="80">
        <f t="shared" si="7"/>
        <v>0</v>
      </c>
      <c r="AA16" s="1"/>
      <c r="AB16" s="154"/>
      <c r="AC16" s="157"/>
    </row>
    <row r="17" spans="1:29" x14ac:dyDescent="0.25">
      <c r="A17" s="8">
        <f t="shared" si="8"/>
        <v>6</v>
      </c>
      <c r="B17" s="197"/>
      <c r="C17" s="198"/>
      <c r="D17" s="195"/>
      <c r="E17" s="195"/>
      <c r="F17" s="196"/>
      <c r="G17" s="197"/>
      <c r="H17" s="197"/>
      <c r="I17" s="197"/>
      <c r="J17" s="255"/>
      <c r="K17" s="255"/>
      <c r="L17" s="255"/>
      <c r="M17" s="255"/>
      <c r="N17" s="199"/>
      <c r="O17" s="200"/>
      <c r="P17" s="201"/>
      <c r="Q17" s="1">
        <v>0</v>
      </c>
      <c r="R17" s="86">
        <f t="shared" si="0"/>
        <v>0</v>
      </c>
      <c r="S17" s="21">
        <f t="shared" si="1"/>
        <v>0</v>
      </c>
      <c r="T17" s="21">
        <f t="shared" si="2"/>
        <v>0</v>
      </c>
      <c r="U17" s="1">
        <f t="shared" si="3"/>
        <v>0</v>
      </c>
      <c r="V17" s="1">
        <f t="shared" si="4"/>
        <v>0</v>
      </c>
      <c r="W17" s="1">
        <f t="shared" si="5"/>
        <v>0</v>
      </c>
      <c r="X17" s="1">
        <f t="shared" si="6"/>
        <v>0</v>
      </c>
      <c r="Y17" s="80">
        <f t="shared" si="7"/>
        <v>0</v>
      </c>
      <c r="AB17" s="3"/>
      <c r="AC17" s="159"/>
    </row>
    <row r="18" spans="1:29" x14ac:dyDescent="0.25">
      <c r="A18" s="8">
        <f t="shared" si="8"/>
        <v>7</v>
      </c>
      <c r="B18" s="197"/>
      <c r="C18" s="198"/>
      <c r="D18" s="195"/>
      <c r="E18" s="195"/>
      <c r="F18" s="196"/>
      <c r="G18" s="197"/>
      <c r="H18" s="255"/>
      <c r="I18" s="197"/>
      <c r="J18" s="255"/>
      <c r="K18" s="255"/>
      <c r="L18" s="255"/>
      <c r="M18" s="255"/>
      <c r="N18" s="199"/>
      <c r="O18" s="200"/>
      <c r="P18" s="201"/>
      <c r="Q18" s="1">
        <v>0</v>
      </c>
      <c r="R18" s="86">
        <f t="shared" si="0"/>
        <v>0</v>
      </c>
      <c r="S18" s="21">
        <f t="shared" si="1"/>
        <v>0</v>
      </c>
      <c r="T18" s="21">
        <f t="shared" si="2"/>
        <v>0</v>
      </c>
      <c r="U18" s="1">
        <f t="shared" si="3"/>
        <v>0</v>
      </c>
      <c r="V18" s="1">
        <f t="shared" si="4"/>
        <v>0</v>
      </c>
      <c r="W18" s="1">
        <f t="shared" si="5"/>
        <v>0</v>
      </c>
      <c r="X18" s="1">
        <f t="shared" si="6"/>
        <v>0</v>
      </c>
      <c r="Y18" s="80">
        <f t="shared" si="7"/>
        <v>0</v>
      </c>
      <c r="AA18" s="160"/>
      <c r="AB18" s="172"/>
      <c r="AC18" s="157"/>
    </row>
    <row r="19" spans="1:29" x14ac:dyDescent="0.25">
      <c r="A19" s="8">
        <f t="shared" si="8"/>
        <v>8</v>
      </c>
      <c r="B19" s="197"/>
      <c r="C19" s="198"/>
      <c r="D19" s="195"/>
      <c r="E19" s="195"/>
      <c r="F19" s="196"/>
      <c r="G19" s="197"/>
      <c r="H19" s="197"/>
      <c r="I19" s="255"/>
      <c r="J19" s="255"/>
      <c r="K19" s="255"/>
      <c r="L19" s="255"/>
      <c r="M19" s="255"/>
      <c r="N19" s="199"/>
      <c r="O19" s="200"/>
      <c r="P19" s="201"/>
      <c r="R19" s="86">
        <f t="shared" si="0"/>
        <v>0</v>
      </c>
      <c r="S19" s="21">
        <f t="shared" si="1"/>
        <v>0</v>
      </c>
      <c r="T19" s="21">
        <f t="shared" si="2"/>
        <v>0</v>
      </c>
      <c r="U19" s="1">
        <f t="shared" si="3"/>
        <v>0</v>
      </c>
      <c r="V19" s="1">
        <f t="shared" si="4"/>
        <v>0</v>
      </c>
      <c r="W19" s="1">
        <f t="shared" si="5"/>
        <v>0</v>
      </c>
      <c r="X19" s="1">
        <f t="shared" si="6"/>
        <v>0</v>
      </c>
      <c r="Y19" s="80">
        <f t="shared" si="7"/>
        <v>0</v>
      </c>
    </row>
    <row r="20" spans="1:29" x14ac:dyDescent="0.25">
      <c r="A20" s="8">
        <f t="shared" si="8"/>
        <v>9</v>
      </c>
      <c r="B20" s="197"/>
      <c r="C20" s="198"/>
      <c r="D20" s="195"/>
      <c r="E20" s="195"/>
      <c r="F20" s="196"/>
      <c r="G20" s="197"/>
      <c r="H20" s="197"/>
      <c r="I20" s="197"/>
      <c r="J20" s="255"/>
      <c r="K20" s="255"/>
      <c r="L20" s="255"/>
      <c r="M20" s="255"/>
      <c r="N20" s="109"/>
      <c r="O20" s="114"/>
      <c r="P20" s="114"/>
      <c r="R20" s="86">
        <f t="shared" si="0"/>
        <v>0</v>
      </c>
      <c r="S20" s="21">
        <f t="shared" si="1"/>
        <v>0</v>
      </c>
      <c r="T20" s="21">
        <f t="shared" si="2"/>
        <v>0</v>
      </c>
      <c r="U20" s="1">
        <f t="shared" si="3"/>
        <v>0</v>
      </c>
      <c r="V20" s="1">
        <f t="shared" si="4"/>
        <v>0</v>
      </c>
      <c r="W20" s="1">
        <f t="shared" si="5"/>
        <v>0</v>
      </c>
      <c r="X20" s="1">
        <f t="shared" si="6"/>
        <v>0</v>
      </c>
      <c r="Y20" s="80" t="s">
        <v>86</v>
      </c>
      <c r="AB20" s="34"/>
    </row>
    <row r="21" spans="1:29" x14ac:dyDescent="0.25">
      <c r="A21" s="8">
        <f t="shared" si="8"/>
        <v>10</v>
      </c>
      <c r="B21" s="197"/>
      <c r="C21" s="198"/>
      <c r="D21" s="195"/>
      <c r="E21" s="195"/>
      <c r="F21" s="196"/>
      <c r="G21" s="197"/>
      <c r="H21" s="197"/>
      <c r="I21" s="197"/>
      <c r="J21" s="255"/>
      <c r="K21" s="255"/>
      <c r="L21" s="255"/>
      <c r="M21" s="255"/>
      <c r="N21" s="109"/>
      <c r="O21" s="114"/>
      <c r="P21" s="114"/>
      <c r="R21" s="86">
        <f t="shared" si="0"/>
        <v>0</v>
      </c>
      <c r="S21" s="21">
        <f t="shared" si="1"/>
        <v>0</v>
      </c>
      <c r="T21" s="21">
        <f t="shared" si="2"/>
        <v>0</v>
      </c>
      <c r="U21" s="1">
        <f t="shared" si="3"/>
        <v>0</v>
      </c>
      <c r="V21" s="1">
        <f t="shared" si="4"/>
        <v>0</v>
      </c>
      <c r="W21" s="1">
        <f t="shared" si="5"/>
        <v>0</v>
      </c>
      <c r="X21" s="1">
        <f t="shared" si="6"/>
        <v>0</v>
      </c>
      <c r="Y21" s="80">
        <f t="shared" ref="Y21:Y31" si="9">IF(D21&lt;&gt;"", 1, 0)</f>
        <v>0</v>
      </c>
      <c r="AB21" s="34"/>
    </row>
    <row r="22" spans="1:29" x14ac:dyDescent="0.25">
      <c r="A22" s="8">
        <f t="shared" si="8"/>
        <v>11</v>
      </c>
      <c r="B22" s="197"/>
      <c r="C22" s="198"/>
      <c r="D22" s="195"/>
      <c r="E22" s="195"/>
      <c r="F22" s="196"/>
      <c r="G22" s="197"/>
      <c r="H22" s="197"/>
      <c r="I22" s="197"/>
      <c r="J22" s="255"/>
      <c r="K22" s="255"/>
      <c r="L22" s="255"/>
      <c r="M22" s="255"/>
      <c r="N22" s="199"/>
      <c r="O22" s="200"/>
      <c r="P22" s="201"/>
      <c r="Q22" s="1">
        <v>0</v>
      </c>
      <c r="R22" s="86">
        <f t="shared" si="0"/>
        <v>0</v>
      </c>
      <c r="S22" s="21">
        <f t="shared" si="1"/>
        <v>0</v>
      </c>
      <c r="T22" s="21">
        <f t="shared" si="2"/>
        <v>0</v>
      </c>
      <c r="U22" s="1">
        <f t="shared" si="3"/>
        <v>0</v>
      </c>
      <c r="V22" s="1">
        <f t="shared" si="4"/>
        <v>0</v>
      </c>
      <c r="W22" s="1">
        <f t="shared" si="5"/>
        <v>0</v>
      </c>
      <c r="X22" s="1">
        <f t="shared" si="6"/>
        <v>0</v>
      </c>
      <c r="Y22" s="80">
        <f t="shared" si="9"/>
        <v>0</v>
      </c>
      <c r="AB22" s="34"/>
    </row>
    <row r="23" spans="1:29" x14ac:dyDescent="0.25">
      <c r="A23" s="8">
        <f t="shared" si="8"/>
        <v>12</v>
      </c>
      <c r="B23" s="197"/>
      <c r="C23" s="198"/>
      <c r="D23" s="195"/>
      <c r="E23" s="195"/>
      <c r="F23" s="196"/>
      <c r="G23" s="197"/>
      <c r="H23" s="197"/>
      <c r="I23" s="197"/>
      <c r="J23" s="255"/>
      <c r="K23" s="255"/>
      <c r="L23" s="255"/>
      <c r="M23" s="255"/>
      <c r="N23" s="199"/>
      <c r="O23" s="200"/>
      <c r="P23" s="201"/>
      <c r="R23" s="86">
        <f t="shared" si="0"/>
        <v>0</v>
      </c>
      <c r="S23" s="21">
        <f t="shared" si="1"/>
        <v>0</v>
      </c>
      <c r="T23" s="21">
        <f t="shared" si="2"/>
        <v>0</v>
      </c>
      <c r="U23" s="1">
        <f t="shared" si="3"/>
        <v>0</v>
      </c>
      <c r="V23" s="1">
        <f t="shared" si="4"/>
        <v>0</v>
      </c>
      <c r="W23" s="1">
        <f t="shared" si="5"/>
        <v>0</v>
      </c>
      <c r="X23" s="1">
        <f t="shared" si="6"/>
        <v>0</v>
      </c>
      <c r="Y23" s="80">
        <f t="shared" si="9"/>
        <v>0</v>
      </c>
      <c r="AA23" s="192" t="s">
        <v>122</v>
      </c>
      <c r="AB23" s="34"/>
    </row>
    <row r="24" spans="1:29" x14ac:dyDescent="0.25">
      <c r="A24" s="8">
        <f t="shared" si="8"/>
        <v>13</v>
      </c>
      <c r="B24" s="197"/>
      <c r="C24" s="198"/>
      <c r="D24" s="195"/>
      <c r="E24" s="195"/>
      <c r="F24" s="196"/>
      <c r="G24" s="197"/>
      <c r="H24" s="255"/>
      <c r="I24" s="255"/>
      <c r="J24" s="255"/>
      <c r="K24" s="255"/>
      <c r="L24" s="255"/>
      <c r="M24" s="255"/>
      <c r="N24" s="199"/>
      <c r="O24" s="200"/>
      <c r="P24" s="201"/>
      <c r="R24" s="86">
        <f t="shared" si="0"/>
        <v>0</v>
      </c>
      <c r="S24" s="21">
        <f t="shared" si="1"/>
        <v>0</v>
      </c>
      <c r="T24" s="21">
        <f t="shared" si="2"/>
        <v>0</v>
      </c>
      <c r="U24" s="1">
        <f t="shared" si="3"/>
        <v>0</v>
      </c>
      <c r="V24" s="1">
        <f t="shared" si="4"/>
        <v>0</v>
      </c>
      <c r="W24" s="1">
        <f t="shared" si="5"/>
        <v>0</v>
      </c>
      <c r="X24" s="1">
        <f t="shared" si="6"/>
        <v>0</v>
      </c>
      <c r="Y24" s="80">
        <f t="shared" si="9"/>
        <v>0</v>
      </c>
      <c r="AB24" s="34"/>
    </row>
    <row r="25" spans="1:29" x14ac:dyDescent="0.25">
      <c r="A25" s="8">
        <f t="shared" si="8"/>
        <v>14</v>
      </c>
      <c r="B25" s="197"/>
      <c r="C25" s="198"/>
      <c r="D25" s="195"/>
      <c r="E25" s="195"/>
      <c r="F25" s="196"/>
      <c r="G25" s="197"/>
      <c r="H25" s="197"/>
      <c r="I25" s="197"/>
      <c r="J25" s="255"/>
      <c r="K25" s="255"/>
      <c r="L25" s="255"/>
      <c r="M25" s="255"/>
      <c r="N25" s="199"/>
      <c r="O25" s="200"/>
      <c r="P25" s="201"/>
      <c r="Q25" s="1">
        <v>0</v>
      </c>
      <c r="R25" s="86">
        <f t="shared" si="0"/>
        <v>0</v>
      </c>
      <c r="S25" s="21">
        <f t="shared" si="1"/>
        <v>0</v>
      </c>
      <c r="T25" s="21">
        <f t="shared" si="2"/>
        <v>0</v>
      </c>
      <c r="U25" s="1">
        <f t="shared" si="3"/>
        <v>0</v>
      </c>
      <c r="V25" s="1">
        <f t="shared" si="4"/>
        <v>0</v>
      </c>
      <c r="W25" s="1">
        <f t="shared" si="5"/>
        <v>0</v>
      </c>
      <c r="X25" s="1">
        <f t="shared" si="6"/>
        <v>0</v>
      </c>
      <c r="Y25" s="80">
        <f t="shared" si="9"/>
        <v>0</v>
      </c>
      <c r="AB25" s="34"/>
    </row>
    <row r="26" spans="1:29" x14ac:dyDescent="0.25">
      <c r="A26" s="8">
        <f t="shared" si="8"/>
        <v>15</v>
      </c>
      <c r="B26" s="197"/>
      <c r="C26" s="198"/>
      <c r="D26" s="195"/>
      <c r="E26" s="195"/>
      <c r="F26" s="196"/>
      <c r="G26" s="197"/>
      <c r="H26" s="197"/>
      <c r="I26" s="197"/>
      <c r="J26" s="255"/>
      <c r="K26" s="255"/>
      <c r="L26" s="255"/>
      <c r="M26" s="255"/>
      <c r="N26" s="199"/>
      <c r="O26" s="200"/>
      <c r="P26" s="201"/>
      <c r="Q26" s="1">
        <v>0</v>
      </c>
      <c r="R26" s="86">
        <f t="shared" si="0"/>
        <v>0</v>
      </c>
      <c r="S26" s="21">
        <f t="shared" si="1"/>
        <v>0</v>
      </c>
      <c r="T26" s="21">
        <f t="shared" si="2"/>
        <v>0</v>
      </c>
      <c r="U26" s="1">
        <f t="shared" si="3"/>
        <v>0</v>
      </c>
      <c r="V26" s="1">
        <f t="shared" si="4"/>
        <v>0</v>
      </c>
      <c r="W26" s="1">
        <f t="shared" si="5"/>
        <v>0</v>
      </c>
      <c r="X26" s="1">
        <f t="shared" si="6"/>
        <v>0</v>
      </c>
      <c r="Y26" s="80">
        <f t="shared" si="9"/>
        <v>0</v>
      </c>
      <c r="AB26" s="34"/>
    </row>
    <row r="27" spans="1:29" x14ac:dyDescent="0.25">
      <c r="A27" s="8">
        <f t="shared" si="8"/>
        <v>16</v>
      </c>
      <c r="B27" s="197"/>
      <c r="C27" s="198"/>
      <c r="D27" s="195"/>
      <c r="E27" s="195"/>
      <c r="F27" s="196"/>
      <c r="G27" s="197"/>
      <c r="H27" s="255"/>
      <c r="I27" s="255"/>
      <c r="J27" s="255"/>
      <c r="K27" s="255"/>
      <c r="L27" s="255"/>
      <c r="M27" s="255"/>
      <c r="N27" s="199"/>
      <c r="O27" s="200"/>
      <c r="P27" s="201"/>
      <c r="R27" s="86">
        <f t="shared" si="0"/>
        <v>0</v>
      </c>
      <c r="S27" s="21">
        <f t="shared" si="1"/>
        <v>0</v>
      </c>
      <c r="T27" s="21">
        <f t="shared" si="2"/>
        <v>0</v>
      </c>
      <c r="U27" s="1">
        <f t="shared" si="3"/>
        <v>0</v>
      </c>
      <c r="V27" s="1">
        <f t="shared" si="4"/>
        <v>0</v>
      </c>
      <c r="W27" s="1">
        <f t="shared" si="5"/>
        <v>0</v>
      </c>
      <c r="X27" s="1">
        <f t="shared" si="6"/>
        <v>0</v>
      </c>
      <c r="Y27" s="80">
        <f t="shared" si="9"/>
        <v>0</v>
      </c>
      <c r="AB27" s="34"/>
    </row>
    <row r="28" spans="1:29" x14ac:dyDescent="0.25">
      <c r="A28" s="8">
        <f t="shared" si="8"/>
        <v>17</v>
      </c>
      <c r="B28" s="197"/>
      <c r="C28" s="198"/>
      <c r="D28" s="195"/>
      <c r="E28" s="195"/>
      <c r="F28" s="196"/>
      <c r="G28" s="197"/>
      <c r="H28" s="197"/>
      <c r="I28" s="197"/>
      <c r="J28" s="255"/>
      <c r="K28" s="255"/>
      <c r="L28" s="255"/>
      <c r="M28" s="255"/>
      <c r="N28" s="199"/>
      <c r="O28" s="200"/>
      <c r="P28" s="201"/>
      <c r="Q28" s="1">
        <v>0</v>
      </c>
      <c r="R28" s="86">
        <f t="shared" si="0"/>
        <v>0</v>
      </c>
      <c r="S28" s="21">
        <f t="shared" si="1"/>
        <v>0</v>
      </c>
      <c r="T28" s="21">
        <f t="shared" si="2"/>
        <v>0</v>
      </c>
      <c r="U28" s="1">
        <f t="shared" si="3"/>
        <v>0</v>
      </c>
      <c r="V28" s="1">
        <f t="shared" si="4"/>
        <v>0</v>
      </c>
      <c r="W28" s="1">
        <f t="shared" si="5"/>
        <v>0</v>
      </c>
      <c r="X28" s="1">
        <f t="shared" si="6"/>
        <v>0</v>
      </c>
      <c r="Y28" s="80">
        <f t="shared" si="9"/>
        <v>0</v>
      </c>
      <c r="AB28" s="34"/>
    </row>
    <row r="29" spans="1:29" x14ac:dyDescent="0.25">
      <c r="A29" s="8">
        <f t="shared" si="8"/>
        <v>18</v>
      </c>
      <c r="B29" s="197"/>
      <c r="C29" s="198"/>
      <c r="D29" s="256"/>
      <c r="E29" s="195"/>
      <c r="F29" s="196"/>
      <c r="G29" s="197"/>
      <c r="H29" s="197"/>
      <c r="I29" s="197"/>
      <c r="J29" s="255"/>
      <c r="K29" s="255"/>
      <c r="L29" s="255"/>
      <c r="M29" s="255"/>
      <c r="N29" s="199"/>
      <c r="O29" s="200"/>
      <c r="P29" s="201"/>
      <c r="Q29" s="1">
        <v>0</v>
      </c>
      <c r="R29" s="86">
        <f t="shared" si="0"/>
        <v>0</v>
      </c>
      <c r="S29" s="21">
        <f t="shared" si="1"/>
        <v>0</v>
      </c>
      <c r="T29" s="21">
        <f t="shared" si="2"/>
        <v>0</v>
      </c>
      <c r="U29" s="1">
        <f t="shared" si="3"/>
        <v>0</v>
      </c>
      <c r="V29" s="1">
        <f t="shared" si="4"/>
        <v>0</v>
      </c>
      <c r="W29" s="1">
        <f t="shared" si="5"/>
        <v>0</v>
      </c>
      <c r="X29" s="1">
        <f t="shared" si="6"/>
        <v>0</v>
      </c>
      <c r="Y29" s="80">
        <f t="shared" si="9"/>
        <v>0</v>
      </c>
      <c r="AB29" s="34"/>
    </row>
    <row r="30" spans="1:29" x14ac:dyDescent="0.25">
      <c r="A30" s="8">
        <f t="shared" si="8"/>
        <v>19</v>
      </c>
      <c r="B30" s="197"/>
      <c r="C30" s="198"/>
      <c r="D30" s="195"/>
      <c r="E30" s="195"/>
      <c r="F30" s="196"/>
      <c r="G30" s="197"/>
      <c r="H30" s="197"/>
      <c r="I30" s="197"/>
      <c r="J30" s="255"/>
      <c r="K30" s="255"/>
      <c r="L30" s="255"/>
      <c r="M30" s="255"/>
      <c r="N30" s="109"/>
      <c r="O30" s="114"/>
      <c r="P30" s="114"/>
      <c r="R30" s="86">
        <f t="shared" si="0"/>
        <v>0</v>
      </c>
      <c r="S30" s="21">
        <f t="shared" si="1"/>
        <v>0</v>
      </c>
      <c r="T30" s="21">
        <f t="shared" si="2"/>
        <v>0</v>
      </c>
      <c r="U30" s="1">
        <f t="shared" si="3"/>
        <v>0</v>
      </c>
      <c r="V30" s="1">
        <f t="shared" si="4"/>
        <v>0</v>
      </c>
      <c r="W30" s="1">
        <f t="shared" si="5"/>
        <v>0</v>
      </c>
      <c r="X30" s="1">
        <f t="shared" si="6"/>
        <v>0</v>
      </c>
      <c r="Y30" s="80">
        <f t="shared" si="9"/>
        <v>0</v>
      </c>
      <c r="AB30" s="34"/>
    </row>
    <row r="31" spans="1:29" x14ac:dyDescent="0.25">
      <c r="A31" s="8">
        <f t="shared" si="8"/>
        <v>20</v>
      </c>
      <c r="B31" s="197"/>
      <c r="C31" s="198"/>
      <c r="D31" s="195"/>
      <c r="E31" s="195"/>
      <c r="F31" s="196"/>
      <c r="G31" s="197"/>
      <c r="H31" s="255"/>
      <c r="I31" s="255"/>
      <c r="J31" s="255"/>
      <c r="K31" s="255"/>
      <c r="L31" s="255"/>
      <c r="M31" s="255"/>
      <c r="N31" s="199"/>
      <c r="O31" s="200"/>
      <c r="P31" s="201"/>
      <c r="Q31" s="1">
        <v>0</v>
      </c>
      <c r="R31" s="86">
        <f t="shared" si="0"/>
        <v>0</v>
      </c>
      <c r="S31" s="21">
        <f t="shared" si="1"/>
        <v>0</v>
      </c>
      <c r="T31" s="21">
        <f t="shared" si="2"/>
        <v>0</v>
      </c>
      <c r="U31" s="1">
        <f t="shared" si="3"/>
        <v>0</v>
      </c>
      <c r="V31" s="1">
        <f t="shared" si="4"/>
        <v>0</v>
      </c>
      <c r="W31" s="1">
        <f t="shared" si="5"/>
        <v>0</v>
      </c>
      <c r="X31" s="1">
        <f t="shared" si="6"/>
        <v>0</v>
      </c>
      <c r="Y31" s="80">
        <f t="shared" si="9"/>
        <v>0</v>
      </c>
      <c r="AB31" s="34"/>
    </row>
    <row r="32" spans="1:29" x14ac:dyDescent="0.25">
      <c r="A32" s="8">
        <f t="shared" si="8"/>
        <v>21</v>
      </c>
      <c r="B32" s="197"/>
      <c r="C32" s="198"/>
      <c r="D32" s="195"/>
      <c r="E32" s="195"/>
      <c r="F32" s="196"/>
      <c r="G32" s="197"/>
      <c r="H32" s="255"/>
      <c r="I32" s="255"/>
      <c r="J32" s="255"/>
      <c r="K32" s="255"/>
      <c r="L32" s="255"/>
      <c r="M32" s="255"/>
      <c r="N32" s="109"/>
      <c r="O32" s="114"/>
      <c r="P32" s="114"/>
      <c r="R32" s="86">
        <f t="shared" si="0"/>
        <v>0</v>
      </c>
      <c r="S32" s="21">
        <f t="shared" si="1"/>
        <v>0</v>
      </c>
      <c r="T32" s="21">
        <f t="shared" si="2"/>
        <v>0</v>
      </c>
      <c r="U32" s="1">
        <f t="shared" si="3"/>
        <v>0</v>
      </c>
      <c r="V32" s="1">
        <f t="shared" si="4"/>
        <v>0</v>
      </c>
      <c r="W32" s="1">
        <f t="shared" si="5"/>
        <v>0</v>
      </c>
      <c r="X32" s="1">
        <f t="shared" si="6"/>
        <v>0</v>
      </c>
      <c r="Y32" s="80" t="s">
        <v>86</v>
      </c>
      <c r="AB32" s="34"/>
    </row>
    <row r="33" spans="1:28" x14ac:dyDescent="0.25">
      <c r="A33" s="8">
        <f t="shared" si="8"/>
        <v>22</v>
      </c>
      <c r="B33" s="197"/>
      <c r="C33" s="198"/>
      <c r="D33" s="195"/>
      <c r="E33" s="195"/>
      <c r="F33" s="196"/>
      <c r="G33" s="197"/>
      <c r="H33" s="255"/>
      <c r="I33" s="255"/>
      <c r="J33" s="255"/>
      <c r="K33" s="255"/>
      <c r="L33" s="255"/>
      <c r="M33" s="255"/>
      <c r="N33" s="109"/>
      <c r="O33" s="114"/>
      <c r="P33" s="114"/>
      <c r="R33" s="86">
        <f t="shared" si="0"/>
        <v>0</v>
      </c>
      <c r="S33" s="21">
        <f t="shared" si="1"/>
        <v>0</v>
      </c>
      <c r="T33" s="21">
        <f t="shared" si="2"/>
        <v>0</v>
      </c>
      <c r="U33" s="1">
        <f t="shared" si="3"/>
        <v>0</v>
      </c>
      <c r="V33" s="1">
        <f t="shared" si="4"/>
        <v>0</v>
      </c>
      <c r="W33" s="1">
        <f t="shared" si="5"/>
        <v>0</v>
      </c>
      <c r="X33" s="1">
        <f t="shared" si="6"/>
        <v>0</v>
      </c>
      <c r="Y33" s="80">
        <f t="shared" ref="Y33:Y39" si="10">IF(D33&lt;&gt;"", 1, 0)</f>
        <v>0</v>
      </c>
      <c r="AB33" s="34"/>
    </row>
    <row r="34" spans="1:28" x14ac:dyDescent="0.25">
      <c r="A34" s="8">
        <f t="shared" si="8"/>
        <v>23</v>
      </c>
      <c r="B34" s="197"/>
      <c r="C34" s="198"/>
      <c r="D34" s="195"/>
      <c r="E34" s="195"/>
      <c r="F34" s="196"/>
      <c r="G34" s="197"/>
      <c r="H34" s="197"/>
      <c r="I34" s="197"/>
      <c r="J34" s="255"/>
      <c r="K34" s="255"/>
      <c r="L34" s="255"/>
      <c r="M34" s="255"/>
      <c r="N34" s="199"/>
      <c r="O34" s="200"/>
      <c r="P34" s="201"/>
      <c r="R34" s="86">
        <f t="shared" si="0"/>
        <v>0</v>
      </c>
      <c r="S34" s="21">
        <f t="shared" si="1"/>
        <v>0</v>
      </c>
      <c r="T34" s="21">
        <f t="shared" si="2"/>
        <v>0</v>
      </c>
      <c r="U34" s="1">
        <f t="shared" si="3"/>
        <v>0</v>
      </c>
      <c r="V34" s="1">
        <f t="shared" si="4"/>
        <v>0</v>
      </c>
      <c r="W34" s="1">
        <f t="shared" si="5"/>
        <v>0</v>
      </c>
      <c r="X34" s="1">
        <f t="shared" si="6"/>
        <v>0</v>
      </c>
      <c r="Y34" s="80">
        <f t="shared" si="10"/>
        <v>0</v>
      </c>
      <c r="AB34" s="34"/>
    </row>
    <row r="35" spans="1:28" x14ac:dyDescent="0.25">
      <c r="A35" s="8">
        <f t="shared" si="8"/>
        <v>24</v>
      </c>
      <c r="B35" s="197"/>
      <c r="C35" s="198"/>
      <c r="D35" s="195"/>
      <c r="E35" s="195"/>
      <c r="F35" s="196"/>
      <c r="G35" s="197"/>
      <c r="H35" s="255"/>
      <c r="I35" s="255"/>
      <c r="J35" s="255"/>
      <c r="K35" s="255"/>
      <c r="L35" s="255"/>
      <c r="M35" s="255"/>
      <c r="N35" s="109"/>
      <c r="O35" s="114"/>
      <c r="P35" s="114"/>
      <c r="R35" s="86">
        <f t="shared" si="0"/>
        <v>0</v>
      </c>
      <c r="S35" s="21">
        <f t="shared" si="1"/>
        <v>0</v>
      </c>
      <c r="T35" s="21">
        <f t="shared" si="2"/>
        <v>0</v>
      </c>
      <c r="U35" s="1">
        <f t="shared" si="3"/>
        <v>0</v>
      </c>
      <c r="V35" s="1">
        <f t="shared" si="4"/>
        <v>0</v>
      </c>
      <c r="W35" s="1">
        <f t="shared" si="5"/>
        <v>0</v>
      </c>
      <c r="X35" s="1">
        <f t="shared" si="6"/>
        <v>0</v>
      </c>
      <c r="Y35" s="80">
        <f t="shared" si="10"/>
        <v>0</v>
      </c>
      <c r="AB35" s="34"/>
    </row>
    <row r="36" spans="1:28" x14ac:dyDescent="0.25">
      <c r="A36" s="8">
        <f t="shared" si="8"/>
        <v>25</v>
      </c>
      <c r="B36" s="197"/>
      <c r="C36" s="198"/>
      <c r="D36" s="195"/>
      <c r="E36" s="195"/>
      <c r="F36" s="196"/>
      <c r="G36" s="197"/>
      <c r="H36" s="197"/>
      <c r="I36" s="197"/>
      <c r="J36" s="255"/>
      <c r="K36" s="255"/>
      <c r="L36" s="255"/>
      <c r="M36" s="255"/>
      <c r="N36" s="199"/>
      <c r="O36" s="200"/>
      <c r="P36" s="201"/>
      <c r="Q36" s="1">
        <v>0</v>
      </c>
      <c r="R36" s="86">
        <f t="shared" si="0"/>
        <v>0</v>
      </c>
      <c r="S36" s="21">
        <f t="shared" si="1"/>
        <v>0</v>
      </c>
      <c r="T36" s="21">
        <f t="shared" si="2"/>
        <v>0</v>
      </c>
      <c r="U36" s="1">
        <f t="shared" si="3"/>
        <v>0</v>
      </c>
      <c r="V36" s="1">
        <f t="shared" si="4"/>
        <v>0</v>
      </c>
      <c r="W36" s="1">
        <f t="shared" si="5"/>
        <v>0</v>
      </c>
      <c r="X36" s="1">
        <f t="shared" si="6"/>
        <v>0</v>
      </c>
      <c r="Y36" s="80">
        <f t="shared" si="10"/>
        <v>0</v>
      </c>
      <c r="AB36" s="34"/>
    </row>
    <row r="37" spans="1:28" x14ac:dyDescent="0.25">
      <c r="A37" s="8">
        <f t="shared" si="8"/>
        <v>26</v>
      </c>
      <c r="B37" s="197"/>
      <c r="C37" s="198"/>
      <c r="D37" s="195"/>
      <c r="E37" s="195"/>
      <c r="F37" s="196"/>
      <c r="G37" s="197"/>
      <c r="H37" s="255"/>
      <c r="I37" s="255"/>
      <c r="J37" s="255"/>
      <c r="K37" s="255"/>
      <c r="L37" s="255"/>
      <c r="M37" s="255"/>
      <c r="N37" s="199"/>
      <c r="O37" s="200"/>
      <c r="P37" s="201"/>
      <c r="Q37" s="1">
        <v>1</v>
      </c>
      <c r="R37" s="86">
        <f t="shared" si="0"/>
        <v>0</v>
      </c>
      <c r="S37" s="21">
        <f t="shared" si="1"/>
        <v>0</v>
      </c>
      <c r="T37" s="21">
        <f t="shared" si="2"/>
        <v>0</v>
      </c>
      <c r="U37" s="1">
        <f t="shared" si="3"/>
        <v>0</v>
      </c>
      <c r="V37" s="1">
        <f t="shared" si="4"/>
        <v>0</v>
      </c>
      <c r="W37" s="1">
        <f t="shared" si="5"/>
        <v>0</v>
      </c>
      <c r="X37" s="1">
        <f t="shared" si="6"/>
        <v>0</v>
      </c>
      <c r="Y37" s="80">
        <f t="shared" si="10"/>
        <v>0</v>
      </c>
      <c r="AB37" s="34"/>
    </row>
    <row r="38" spans="1:28" x14ac:dyDescent="0.25">
      <c r="A38" s="8">
        <f t="shared" si="8"/>
        <v>27</v>
      </c>
      <c r="B38" s="197"/>
      <c r="C38" s="198"/>
      <c r="D38" s="195"/>
      <c r="E38" s="195"/>
      <c r="F38" s="196"/>
      <c r="G38" s="197"/>
      <c r="H38" s="255"/>
      <c r="I38" s="255"/>
      <c r="J38" s="255"/>
      <c r="K38" s="255"/>
      <c r="L38" s="255"/>
      <c r="M38" s="255"/>
      <c r="N38" s="199"/>
      <c r="O38" s="200"/>
      <c r="P38" s="201"/>
      <c r="Q38" s="1">
        <v>0</v>
      </c>
      <c r="R38" s="86">
        <f t="shared" si="0"/>
        <v>0</v>
      </c>
      <c r="S38" s="21">
        <f t="shared" si="1"/>
        <v>0</v>
      </c>
      <c r="T38" s="21">
        <f t="shared" si="2"/>
        <v>0</v>
      </c>
      <c r="U38" s="1">
        <f t="shared" si="3"/>
        <v>0</v>
      </c>
      <c r="V38" s="1">
        <f t="shared" si="4"/>
        <v>0</v>
      </c>
      <c r="W38" s="1">
        <f t="shared" si="5"/>
        <v>0</v>
      </c>
      <c r="X38" s="1">
        <f t="shared" si="6"/>
        <v>0</v>
      </c>
      <c r="Y38" s="80">
        <f t="shared" si="10"/>
        <v>0</v>
      </c>
      <c r="AB38" s="34"/>
    </row>
    <row r="39" spans="1:28" x14ac:dyDescent="0.25">
      <c r="A39" s="8">
        <f t="shared" si="8"/>
        <v>28</v>
      </c>
      <c r="B39" s="197"/>
      <c r="C39" s="198"/>
      <c r="D39" s="195"/>
      <c r="E39" s="195"/>
      <c r="F39" s="196"/>
      <c r="G39" s="197"/>
      <c r="H39" s="255"/>
      <c r="I39" s="255"/>
      <c r="J39" s="255"/>
      <c r="K39" s="255"/>
      <c r="L39" s="255"/>
      <c r="M39" s="255"/>
      <c r="N39" s="199"/>
      <c r="O39" s="200"/>
      <c r="P39" s="201"/>
      <c r="Q39" s="1">
        <v>0</v>
      </c>
      <c r="R39" s="86">
        <f t="shared" si="0"/>
        <v>0</v>
      </c>
      <c r="S39" s="21">
        <f t="shared" si="1"/>
        <v>0</v>
      </c>
      <c r="T39" s="21">
        <f t="shared" si="2"/>
        <v>0</v>
      </c>
      <c r="U39" s="1">
        <f t="shared" si="3"/>
        <v>0</v>
      </c>
      <c r="V39" s="1">
        <f t="shared" si="4"/>
        <v>0</v>
      </c>
      <c r="W39" s="1">
        <f t="shared" si="5"/>
        <v>0</v>
      </c>
      <c r="X39" s="1">
        <f t="shared" si="6"/>
        <v>0</v>
      </c>
      <c r="Y39" s="80">
        <f t="shared" si="10"/>
        <v>0</v>
      </c>
      <c r="AB39" s="34"/>
    </row>
    <row r="40" spans="1:28" x14ac:dyDescent="0.25">
      <c r="A40" s="8">
        <f t="shared" si="8"/>
        <v>29</v>
      </c>
      <c r="B40" s="197"/>
      <c r="C40" s="198"/>
      <c r="D40" s="195"/>
      <c r="E40" s="195"/>
      <c r="F40" s="196"/>
      <c r="G40" s="197"/>
      <c r="H40" s="197"/>
      <c r="I40" s="197"/>
      <c r="J40" s="197"/>
      <c r="K40" s="255"/>
      <c r="L40" s="255"/>
      <c r="M40" s="255"/>
      <c r="N40" s="109"/>
      <c r="O40" s="114"/>
      <c r="P40" s="114"/>
      <c r="R40" s="86">
        <f t="shared" si="0"/>
        <v>0</v>
      </c>
      <c r="S40" s="21">
        <f t="shared" si="1"/>
        <v>0</v>
      </c>
      <c r="T40" s="21">
        <f t="shared" si="2"/>
        <v>0</v>
      </c>
      <c r="U40" s="1">
        <f t="shared" si="3"/>
        <v>0</v>
      </c>
      <c r="V40" s="1">
        <f t="shared" si="4"/>
        <v>0</v>
      </c>
      <c r="W40" s="1">
        <f t="shared" si="5"/>
        <v>0</v>
      </c>
      <c r="X40" s="1">
        <f t="shared" si="6"/>
        <v>0</v>
      </c>
      <c r="Y40" s="80" t="s">
        <v>86</v>
      </c>
      <c r="AB40" s="34"/>
    </row>
    <row r="41" spans="1:28" x14ac:dyDescent="0.25">
      <c r="A41" s="8">
        <f t="shared" si="8"/>
        <v>30</v>
      </c>
      <c r="B41" s="197"/>
      <c r="C41" s="198"/>
      <c r="D41" s="195"/>
      <c r="E41" s="195"/>
      <c r="F41" s="196"/>
      <c r="G41" s="197"/>
      <c r="H41" s="255"/>
      <c r="I41" s="255"/>
      <c r="J41" s="255"/>
      <c r="K41" s="255"/>
      <c r="L41" s="255"/>
      <c r="M41" s="255"/>
      <c r="N41" s="199"/>
      <c r="O41" s="200"/>
      <c r="P41" s="201"/>
      <c r="R41" s="86">
        <f t="shared" si="0"/>
        <v>0</v>
      </c>
      <c r="S41" s="21">
        <f t="shared" si="1"/>
        <v>0</v>
      </c>
      <c r="T41" s="21">
        <f t="shared" si="2"/>
        <v>0</v>
      </c>
      <c r="U41" s="1">
        <f t="shared" si="3"/>
        <v>0</v>
      </c>
      <c r="V41" s="1">
        <f t="shared" si="4"/>
        <v>0</v>
      </c>
      <c r="W41" s="1">
        <f t="shared" si="5"/>
        <v>0</v>
      </c>
      <c r="X41" s="1">
        <f t="shared" si="6"/>
        <v>0</v>
      </c>
      <c r="Y41" s="80">
        <f t="shared" ref="Y41:Y47" si="11">IF(D41&lt;&gt;"", 1, 0)</f>
        <v>0</v>
      </c>
      <c r="AB41" s="34"/>
    </row>
    <row r="42" spans="1:28" x14ac:dyDescent="0.25">
      <c r="A42" s="8">
        <f t="shared" si="8"/>
        <v>31</v>
      </c>
      <c r="B42" s="197"/>
      <c r="C42" s="198"/>
      <c r="D42" s="195"/>
      <c r="E42" s="195"/>
      <c r="F42" s="196"/>
      <c r="G42" s="197"/>
      <c r="H42" s="255"/>
      <c r="I42" s="255"/>
      <c r="J42" s="255"/>
      <c r="K42" s="255"/>
      <c r="L42" s="255"/>
      <c r="M42" s="255"/>
      <c r="N42" s="199"/>
      <c r="O42" s="200"/>
      <c r="P42" s="201"/>
      <c r="Q42" s="1">
        <v>0</v>
      </c>
      <c r="R42" s="86">
        <f t="shared" si="0"/>
        <v>0</v>
      </c>
      <c r="S42" s="21">
        <f t="shared" si="1"/>
        <v>0</v>
      </c>
      <c r="T42" s="21">
        <f t="shared" si="2"/>
        <v>0</v>
      </c>
      <c r="U42" s="1">
        <f t="shared" si="3"/>
        <v>0</v>
      </c>
      <c r="V42" s="1">
        <f t="shared" si="4"/>
        <v>0</v>
      </c>
      <c r="W42" s="1">
        <f t="shared" si="5"/>
        <v>0</v>
      </c>
      <c r="X42" s="1">
        <f t="shared" si="6"/>
        <v>0</v>
      </c>
      <c r="Y42" s="80">
        <f t="shared" si="11"/>
        <v>0</v>
      </c>
      <c r="AB42" s="34"/>
    </row>
    <row r="43" spans="1:28" x14ac:dyDescent="0.25">
      <c r="A43" s="8">
        <f t="shared" si="8"/>
        <v>32</v>
      </c>
      <c r="B43" s="197"/>
      <c r="C43" s="198"/>
      <c r="D43" s="195"/>
      <c r="E43" s="195"/>
      <c r="F43" s="196"/>
      <c r="G43" s="197"/>
      <c r="H43" s="197"/>
      <c r="I43" s="197"/>
      <c r="J43" s="255"/>
      <c r="K43" s="255"/>
      <c r="L43" s="255"/>
      <c r="M43" s="255"/>
      <c r="N43" s="199"/>
      <c r="O43" s="200"/>
      <c r="P43" s="201"/>
      <c r="R43" s="86">
        <f t="shared" si="0"/>
        <v>0</v>
      </c>
      <c r="S43" s="21">
        <f t="shared" si="1"/>
        <v>0</v>
      </c>
      <c r="T43" s="21">
        <f t="shared" si="2"/>
        <v>0</v>
      </c>
      <c r="U43" s="1">
        <f t="shared" si="3"/>
        <v>0</v>
      </c>
      <c r="V43" s="1">
        <f t="shared" si="4"/>
        <v>0</v>
      </c>
      <c r="W43" s="1">
        <f t="shared" si="5"/>
        <v>0</v>
      </c>
      <c r="X43" s="1">
        <f t="shared" si="6"/>
        <v>0</v>
      </c>
      <c r="Y43" s="80">
        <f t="shared" si="11"/>
        <v>0</v>
      </c>
      <c r="AB43" s="34"/>
    </row>
    <row r="44" spans="1:28" x14ac:dyDescent="0.25">
      <c r="A44" s="8">
        <f t="shared" si="8"/>
        <v>33</v>
      </c>
      <c r="B44" s="197"/>
      <c r="C44" s="198"/>
      <c r="D44" s="195"/>
      <c r="E44" s="195"/>
      <c r="F44" s="196"/>
      <c r="G44" s="197"/>
      <c r="H44" s="197"/>
      <c r="I44" s="197"/>
      <c r="J44" s="255"/>
      <c r="K44" s="255"/>
      <c r="L44" s="255"/>
      <c r="M44" s="255"/>
      <c r="N44" s="199"/>
      <c r="O44" s="200"/>
      <c r="P44" s="201"/>
      <c r="R44" s="86">
        <f t="shared" ref="R44:R75" si="12">IF(K44=1,IF($B44=1,1,-1),0)</f>
        <v>0</v>
      </c>
      <c r="S44" s="21">
        <f t="shared" ref="S44:S75" si="13">IF(L44=1,IF($B44=1,1,-1),0)</f>
        <v>0</v>
      </c>
      <c r="T44" s="21">
        <f t="shared" ref="T44:T75" si="14">IF(M44=1,1,0)</f>
        <v>0</v>
      </c>
      <c r="U44" s="1">
        <f t="shared" ref="U44:U75" si="15">IF($B44&lt;&gt;1,IF(G44=1,1,0),0)</f>
        <v>0</v>
      </c>
      <c r="V44" s="1">
        <f t="shared" ref="V44:V75" si="16">IF($B44&lt;&gt;1,IF(H44=1,1,0),0)</f>
        <v>0</v>
      </c>
      <c r="W44" s="1">
        <f t="shared" ref="W44:W75" si="17">IF($B44&lt;&gt;1,IF(I44=1,1,0),0)</f>
        <v>0</v>
      </c>
      <c r="X44" s="1">
        <f t="shared" ref="X44:X75" si="18">IF($B44&lt;&gt;1,IF(J44=1,1,0),0)</f>
        <v>0</v>
      </c>
      <c r="Y44" s="80">
        <f t="shared" si="11"/>
        <v>0</v>
      </c>
      <c r="AB44" s="34"/>
    </row>
    <row r="45" spans="1:28" x14ac:dyDescent="0.25">
      <c r="A45" s="8">
        <f t="shared" si="8"/>
        <v>34</v>
      </c>
      <c r="B45" s="197"/>
      <c r="C45" s="198"/>
      <c r="D45" s="195"/>
      <c r="E45" s="195"/>
      <c r="F45" s="196"/>
      <c r="G45" s="255"/>
      <c r="H45" s="255"/>
      <c r="I45" s="255"/>
      <c r="J45" s="255"/>
      <c r="K45" s="255"/>
      <c r="L45" s="255"/>
      <c r="M45" s="255"/>
      <c r="N45" s="199"/>
      <c r="O45" s="200"/>
      <c r="P45" s="201"/>
      <c r="Q45" s="1">
        <v>0</v>
      </c>
      <c r="R45" s="86">
        <f t="shared" si="12"/>
        <v>0</v>
      </c>
      <c r="S45" s="21">
        <f t="shared" si="13"/>
        <v>0</v>
      </c>
      <c r="T45" s="21">
        <f t="shared" si="14"/>
        <v>0</v>
      </c>
      <c r="U45" s="1">
        <f t="shared" si="15"/>
        <v>0</v>
      </c>
      <c r="V45" s="1">
        <f t="shared" si="16"/>
        <v>0</v>
      </c>
      <c r="W45" s="1">
        <f t="shared" si="17"/>
        <v>0</v>
      </c>
      <c r="X45" s="1">
        <f t="shared" si="18"/>
        <v>0</v>
      </c>
      <c r="Y45" s="80">
        <f t="shared" si="11"/>
        <v>0</v>
      </c>
      <c r="AB45" s="34"/>
    </row>
    <row r="46" spans="1:28" x14ac:dyDescent="0.25">
      <c r="A46" s="8">
        <f t="shared" si="8"/>
        <v>35</v>
      </c>
      <c r="B46" s="197"/>
      <c r="C46" s="198"/>
      <c r="D46" s="195"/>
      <c r="E46" s="195"/>
      <c r="F46" s="196"/>
      <c r="G46" s="255"/>
      <c r="H46" s="255"/>
      <c r="I46" s="255"/>
      <c r="J46" s="255"/>
      <c r="K46" s="255"/>
      <c r="L46" s="255"/>
      <c r="M46" s="255"/>
      <c r="N46" s="199"/>
      <c r="O46" s="200"/>
      <c r="P46" s="201"/>
      <c r="R46" s="86">
        <f t="shared" si="12"/>
        <v>0</v>
      </c>
      <c r="S46" s="21">
        <f t="shared" si="13"/>
        <v>0</v>
      </c>
      <c r="T46" s="21">
        <f t="shared" si="14"/>
        <v>0</v>
      </c>
      <c r="U46" s="1">
        <f t="shared" si="15"/>
        <v>0</v>
      </c>
      <c r="V46" s="1">
        <f t="shared" si="16"/>
        <v>0</v>
      </c>
      <c r="W46" s="1">
        <f t="shared" si="17"/>
        <v>0</v>
      </c>
      <c r="X46" s="1">
        <f t="shared" si="18"/>
        <v>0</v>
      </c>
      <c r="Y46" s="80">
        <f t="shared" si="11"/>
        <v>0</v>
      </c>
      <c r="AB46" s="34"/>
    </row>
    <row r="47" spans="1:28" x14ac:dyDescent="0.25">
      <c r="A47" s="8">
        <f t="shared" si="8"/>
        <v>36</v>
      </c>
      <c r="B47" s="197"/>
      <c r="C47" s="198"/>
      <c r="D47" s="195"/>
      <c r="E47" s="195"/>
      <c r="F47" s="196"/>
      <c r="G47" s="197"/>
      <c r="H47" s="255"/>
      <c r="I47" s="255"/>
      <c r="J47" s="255"/>
      <c r="K47" s="255"/>
      <c r="L47" s="255"/>
      <c r="M47" s="255"/>
      <c r="N47" s="199"/>
      <c r="O47" s="200"/>
      <c r="P47" s="201"/>
      <c r="Q47" s="1">
        <v>0</v>
      </c>
      <c r="R47" s="86">
        <f t="shared" si="12"/>
        <v>0</v>
      </c>
      <c r="S47" s="21">
        <f t="shared" si="13"/>
        <v>0</v>
      </c>
      <c r="T47" s="21">
        <f t="shared" si="14"/>
        <v>0</v>
      </c>
      <c r="U47" s="1">
        <f t="shared" si="15"/>
        <v>0</v>
      </c>
      <c r="V47" s="1">
        <f t="shared" si="16"/>
        <v>0</v>
      </c>
      <c r="W47" s="1">
        <f t="shared" si="17"/>
        <v>0</v>
      </c>
      <c r="X47" s="1">
        <f t="shared" si="18"/>
        <v>0</v>
      </c>
      <c r="Y47" s="80">
        <f t="shared" si="11"/>
        <v>0</v>
      </c>
      <c r="AB47" s="34"/>
    </row>
    <row r="48" spans="1:28" x14ac:dyDescent="0.25">
      <c r="A48" s="8">
        <f t="shared" si="8"/>
        <v>37</v>
      </c>
      <c r="B48" s="197"/>
      <c r="C48" s="198"/>
      <c r="D48" s="195"/>
      <c r="E48" s="195"/>
      <c r="F48" s="196"/>
      <c r="G48" s="197"/>
      <c r="H48" s="197"/>
      <c r="I48" s="197"/>
      <c r="J48" s="255"/>
      <c r="K48" s="255"/>
      <c r="L48" s="255"/>
      <c r="M48" s="255"/>
      <c r="N48" s="199"/>
      <c r="O48" s="200"/>
      <c r="P48" s="201"/>
      <c r="Q48" s="1">
        <v>0</v>
      </c>
      <c r="R48" s="86">
        <f t="shared" si="12"/>
        <v>0</v>
      </c>
      <c r="S48" s="21">
        <f t="shared" si="13"/>
        <v>0</v>
      </c>
      <c r="T48" s="21">
        <f t="shared" si="14"/>
        <v>0</v>
      </c>
      <c r="U48" s="1">
        <f t="shared" si="15"/>
        <v>0</v>
      </c>
      <c r="V48" s="1">
        <f t="shared" si="16"/>
        <v>0</v>
      </c>
      <c r="W48" s="1">
        <f t="shared" si="17"/>
        <v>0</v>
      </c>
      <c r="X48" s="1">
        <f t="shared" si="18"/>
        <v>0</v>
      </c>
      <c r="Y48" s="80">
        <f>IF($D48&lt;&gt;"", 1, 0)</f>
        <v>0</v>
      </c>
      <c r="AB48" s="34"/>
    </row>
    <row r="49" spans="1:28" x14ac:dyDescent="0.25">
      <c r="A49" s="8">
        <f t="shared" si="8"/>
        <v>38</v>
      </c>
      <c r="B49" s="197"/>
      <c r="C49" s="198"/>
      <c r="D49" s="195"/>
      <c r="E49" s="195"/>
      <c r="F49" s="196"/>
      <c r="G49" s="197"/>
      <c r="H49" s="197"/>
      <c r="I49" s="197"/>
      <c r="J49" s="255"/>
      <c r="K49" s="255"/>
      <c r="L49" s="255"/>
      <c r="M49" s="255"/>
      <c r="N49" s="199"/>
      <c r="O49" s="200"/>
      <c r="P49" s="201"/>
      <c r="Q49" s="1">
        <v>1</v>
      </c>
      <c r="R49" s="86">
        <f t="shared" si="12"/>
        <v>0</v>
      </c>
      <c r="S49" s="21">
        <f t="shared" si="13"/>
        <v>0</v>
      </c>
      <c r="T49" s="21">
        <f t="shared" si="14"/>
        <v>0</v>
      </c>
      <c r="U49" s="1">
        <f t="shared" si="15"/>
        <v>0</v>
      </c>
      <c r="V49" s="1">
        <f t="shared" si="16"/>
        <v>0</v>
      </c>
      <c r="W49" s="1">
        <f t="shared" si="17"/>
        <v>0</v>
      </c>
      <c r="X49" s="1">
        <f t="shared" si="18"/>
        <v>0</v>
      </c>
      <c r="Y49" s="80">
        <f t="shared" ref="Y49:Y85" si="19">IF(D49&lt;&gt;"", 1, 0)</f>
        <v>0</v>
      </c>
      <c r="AB49" s="34"/>
    </row>
    <row r="50" spans="1:28" x14ac:dyDescent="0.25">
      <c r="A50" s="8">
        <f t="shared" si="8"/>
        <v>39</v>
      </c>
      <c r="B50" s="197"/>
      <c r="C50" s="198"/>
      <c r="D50" s="195"/>
      <c r="E50" s="195"/>
      <c r="F50" s="196"/>
      <c r="G50" s="197"/>
      <c r="H50" s="197"/>
      <c r="I50" s="197"/>
      <c r="J50" s="255"/>
      <c r="K50" s="255"/>
      <c r="L50" s="255"/>
      <c r="M50" s="255"/>
      <c r="N50" s="199"/>
      <c r="O50" s="200"/>
      <c r="P50" s="201"/>
      <c r="Q50" s="1">
        <v>0</v>
      </c>
      <c r="R50" s="86">
        <f t="shared" si="12"/>
        <v>0</v>
      </c>
      <c r="S50" s="21">
        <f t="shared" si="13"/>
        <v>0</v>
      </c>
      <c r="T50" s="21">
        <f t="shared" si="14"/>
        <v>0</v>
      </c>
      <c r="U50" s="1">
        <f t="shared" si="15"/>
        <v>0</v>
      </c>
      <c r="V50" s="1">
        <f t="shared" si="16"/>
        <v>0</v>
      </c>
      <c r="W50" s="1">
        <f t="shared" si="17"/>
        <v>0</v>
      </c>
      <c r="X50" s="1">
        <f t="shared" si="18"/>
        <v>0</v>
      </c>
      <c r="Y50" s="80">
        <f t="shared" si="19"/>
        <v>0</v>
      </c>
      <c r="AB50" s="34"/>
    </row>
    <row r="51" spans="1:28" x14ac:dyDescent="0.25">
      <c r="A51" s="8">
        <f t="shared" si="8"/>
        <v>40</v>
      </c>
      <c r="B51" s="197"/>
      <c r="C51" s="198"/>
      <c r="D51" s="195"/>
      <c r="E51" s="195"/>
      <c r="F51" s="196"/>
      <c r="G51" s="197"/>
      <c r="H51" s="255"/>
      <c r="I51" s="255"/>
      <c r="J51" s="255"/>
      <c r="K51" s="255"/>
      <c r="L51" s="255"/>
      <c r="M51" s="255"/>
      <c r="N51" s="199"/>
      <c r="O51" s="200"/>
      <c r="P51" s="201"/>
      <c r="Q51" s="1">
        <v>0</v>
      </c>
      <c r="R51" s="86">
        <f t="shared" si="12"/>
        <v>0</v>
      </c>
      <c r="S51" s="21">
        <f t="shared" si="13"/>
        <v>0</v>
      </c>
      <c r="T51" s="21">
        <f t="shared" si="14"/>
        <v>0</v>
      </c>
      <c r="U51" s="1">
        <f t="shared" si="15"/>
        <v>0</v>
      </c>
      <c r="V51" s="1">
        <f t="shared" si="16"/>
        <v>0</v>
      </c>
      <c r="W51" s="1">
        <f t="shared" si="17"/>
        <v>0</v>
      </c>
      <c r="X51" s="1">
        <f t="shared" si="18"/>
        <v>0</v>
      </c>
      <c r="Y51" s="80">
        <f t="shared" si="19"/>
        <v>0</v>
      </c>
      <c r="AB51" s="34"/>
    </row>
    <row r="52" spans="1:28" x14ac:dyDescent="0.25">
      <c r="A52" s="8">
        <f t="shared" si="8"/>
        <v>41</v>
      </c>
      <c r="B52" s="197"/>
      <c r="C52" s="198"/>
      <c r="D52" s="195"/>
      <c r="E52" s="195"/>
      <c r="F52" s="196"/>
      <c r="G52" s="197"/>
      <c r="H52" s="197"/>
      <c r="I52" s="197"/>
      <c r="J52" s="255"/>
      <c r="K52" s="255"/>
      <c r="L52" s="255"/>
      <c r="M52" s="255"/>
      <c r="N52" s="199"/>
      <c r="O52" s="200"/>
      <c r="P52" s="201"/>
      <c r="Q52" s="1">
        <v>0</v>
      </c>
      <c r="R52" s="86">
        <f t="shared" si="12"/>
        <v>0</v>
      </c>
      <c r="S52" s="21">
        <f t="shared" si="13"/>
        <v>0</v>
      </c>
      <c r="T52" s="21">
        <f t="shared" si="14"/>
        <v>0</v>
      </c>
      <c r="U52" s="1">
        <f t="shared" si="15"/>
        <v>0</v>
      </c>
      <c r="V52" s="1">
        <f t="shared" si="16"/>
        <v>0</v>
      </c>
      <c r="W52" s="1">
        <f t="shared" si="17"/>
        <v>0</v>
      </c>
      <c r="X52" s="1">
        <f t="shared" si="18"/>
        <v>0</v>
      </c>
      <c r="Y52" s="80">
        <f t="shared" si="19"/>
        <v>0</v>
      </c>
      <c r="AB52" s="34"/>
    </row>
    <row r="53" spans="1:28" x14ac:dyDescent="0.25">
      <c r="A53" s="8">
        <f t="shared" si="8"/>
        <v>42</v>
      </c>
      <c r="B53" s="197"/>
      <c r="C53" s="198"/>
      <c r="D53" s="195"/>
      <c r="E53" s="195"/>
      <c r="F53" s="196"/>
      <c r="G53" s="197"/>
      <c r="H53" s="197"/>
      <c r="I53" s="197"/>
      <c r="J53" s="255"/>
      <c r="K53" s="255"/>
      <c r="L53" s="255"/>
      <c r="M53" s="255"/>
      <c r="N53" s="199"/>
      <c r="O53" s="200"/>
      <c r="P53" s="201"/>
      <c r="Q53" s="1">
        <v>0</v>
      </c>
      <c r="R53" s="86">
        <f t="shared" si="12"/>
        <v>0</v>
      </c>
      <c r="S53" s="21">
        <f t="shared" si="13"/>
        <v>0</v>
      </c>
      <c r="T53" s="21">
        <f t="shared" si="14"/>
        <v>0</v>
      </c>
      <c r="U53" s="1">
        <f t="shared" si="15"/>
        <v>0</v>
      </c>
      <c r="V53" s="1">
        <f t="shared" si="16"/>
        <v>0</v>
      </c>
      <c r="W53" s="1">
        <f t="shared" si="17"/>
        <v>0</v>
      </c>
      <c r="X53" s="1">
        <f t="shared" si="18"/>
        <v>0</v>
      </c>
      <c r="Y53" s="80">
        <f t="shared" si="19"/>
        <v>0</v>
      </c>
      <c r="AB53" s="34"/>
    </row>
    <row r="54" spans="1:28" x14ac:dyDescent="0.25">
      <c r="A54" s="8">
        <f t="shared" si="8"/>
        <v>43</v>
      </c>
      <c r="B54" s="197"/>
      <c r="C54" s="198"/>
      <c r="D54" s="195"/>
      <c r="E54" s="195"/>
      <c r="F54" s="196"/>
      <c r="G54" s="197"/>
      <c r="H54" s="255"/>
      <c r="I54" s="255"/>
      <c r="J54" s="255"/>
      <c r="K54" s="255"/>
      <c r="L54" s="255"/>
      <c r="M54" s="255"/>
      <c r="N54" s="199"/>
      <c r="O54" s="200"/>
      <c r="P54" s="201"/>
      <c r="R54" s="86">
        <f t="shared" si="12"/>
        <v>0</v>
      </c>
      <c r="S54" s="21">
        <f t="shared" si="13"/>
        <v>0</v>
      </c>
      <c r="T54" s="21">
        <f t="shared" si="14"/>
        <v>0</v>
      </c>
      <c r="U54" s="1">
        <f t="shared" si="15"/>
        <v>0</v>
      </c>
      <c r="V54" s="1">
        <f t="shared" si="16"/>
        <v>0</v>
      </c>
      <c r="W54" s="1">
        <f t="shared" si="17"/>
        <v>0</v>
      </c>
      <c r="X54" s="1">
        <f t="shared" si="18"/>
        <v>0</v>
      </c>
      <c r="Y54" s="80">
        <f t="shared" si="19"/>
        <v>0</v>
      </c>
      <c r="AB54" s="34"/>
    </row>
    <row r="55" spans="1:28" x14ac:dyDescent="0.25">
      <c r="A55" s="8">
        <f t="shared" si="8"/>
        <v>44</v>
      </c>
      <c r="B55" s="197"/>
      <c r="C55" s="198"/>
      <c r="D55" s="195"/>
      <c r="E55" s="195"/>
      <c r="F55" s="196"/>
      <c r="G55" s="255"/>
      <c r="H55" s="255"/>
      <c r="I55" s="255"/>
      <c r="J55" s="255"/>
      <c r="K55" s="255"/>
      <c r="L55" s="255"/>
      <c r="M55" s="255"/>
      <c r="N55" s="199"/>
      <c r="O55" s="200"/>
      <c r="P55" s="201"/>
      <c r="Q55" s="1">
        <v>0</v>
      </c>
      <c r="R55" s="86">
        <f t="shared" si="12"/>
        <v>0</v>
      </c>
      <c r="S55" s="21">
        <f t="shared" si="13"/>
        <v>0</v>
      </c>
      <c r="T55" s="21">
        <f t="shared" si="14"/>
        <v>0</v>
      </c>
      <c r="U55" s="1">
        <f t="shared" si="15"/>
        <v>0</v>
      </c>
      <c r="V55" s="1">
        <f t="shared" si="16"/>
        <v>0</v>
      </c>
      <c r="W55" s="1">
        <f t="shared" si="17"/>
        <v>0</v>
      </c>
      <c r="X55" s="1">
        <f t="shared" si="18"/>
        <v>0</v>
      </c>
      <c r="Y55" s="80">
        <f t="shared" si="19"/>
        <v>0</v>
      </c>
      <c r="AB55" s="34"/>
    </row>
    <row r="56" spans="1:28" x14ac:dyDescent="0.25">
      <c r="A56" s="8">
        <f t="shared" si="8"/>
        <v>45</v>
      </c>
      <c r="B56" s="197"/>
      <c r="C56" s="198"/>
      <c r="D56" s="195"/>
      <c r="E56" s="195"/>
      <c r="F56" s="196"/>
      <c r="G56" s="197"/>
      <c r="H56" s="255"/>
      <c r="I56" s="255"/>
      <c r="J56" s="255"/>
      <c r="K56" s="255"/>
      <c r="L56" s="255"/>
      <c r="M56" s="255"/>
      <c r="N56" s="199"/>
      <c r="O56" s="200"/>
      <c r="P56" s="201"/>
      <c r="Q56" s="1">
        <v>1</v>
      </c>
      <c r="R56" s="86">
        <f t="shared" si="12"/>
        <v>0</v>
      </c>
      <c r="S56" s="21">
        <f t="shared" si="13"/>
        <v>0</v>
      </c>
      <c r="T56" s="21">
        <f t="shared" si="14"/>
        <v>0</v>
      </c>
      <c r="U56" s="1">
        <f t="shared" si="15"/>
        <v>0</v>
      </c>
      <c r="V56" s="1">
        <f t="shared" si="16"/>
        <v>0</v>
      </c>
      <c r="W56" s="1">
        <f t="shared" si="17"/>
        <v>0</v>
      </c>
      <c r="X56" s="1">
        <f t="shared" si="18"/>
        <v>0</v>
      </c>
      <c r="Y56" s="80">
        <f t="shared" si="19"/>
        <v>0</v>
      </c>
      <c r="AB56" s="34"/>
    </row>
    <row r="57" spans="1:28" x14ac:dyDescent="0.25">
      <c r="A57" s="8">
        <f t="shared" si="8"/>
        <v>46</v>
      </c>
      <c r="B57" s="197"/>
      <c r="C57" s="198"/>
      <c r="D57" s="195"/>
      <c r="E57" s="195"/>
      <c r="F57" s="196"/>
      <c r="G57" s="197"/>
      <c r="H57" s="255"/>
      <c r="I57" s="255"/>
      <c r="J57" s="255"/>
      <c r="K57" s="255"/>
      <c r="L57" s="255"/>
      <c r="M57" s="255"/>
      <c r="N57" s="199"/>
      <c r="O57" s="200"/>
      <c r="P57" s="201"/>
      <c r="R57" s="86">
        <f t="shared" si="12"/>
        <v>0</v>
      </c>
      <c r="S57" s="21">
        <f t="shared" si="13"/>
        <v>0</v>
      </c>
      <c r="T57" s="21">
        <f t="shared" si="14"/>
        <v>0</v>
      </c>
      <c r="U57" s="1">
        <f t="shared" si="15"/>
        <v>0</v>
      </c>
      <c r="V57" s="1">
        <f t="shared" si="16"/>
        <v>0</v>
      </c>
      <c r="W57" s="1">
        <f t="shared" si="17"/>
        <v>0</v>
      </c>
      <c r="X57" s="1">
        <f t="shared" si="18"/>
        <v>0</v>
      </c>
      <c r="Y57" s="80">
        <f t="shared" si="19"/>
        <v>0</v>
      </c>
      <c r="AB57" s="34"/>
    </row>
    <row r="58" spans="1:28" x14ac:dyDescent="0.25">
      <c r="A58" s="8">
        <f t="shared" si="8"/>
        <v>47</v>
      </c>
      <c r="B58" s="197"/>
      <c r="C58" s="198"/>
      <c r="D58" s="195"/>
      <c r="E58" s="195"/>
      <c r="F58" s="196"/>
      <c r="G58" s="197"/>
      <c r="H58" s="197"/>
      <c r="I58" s="197"/>
      <c r="J58" s="255"/>
      <c r="K58" s="255"/>
      <c r="L58" s="255"/>
      <c r="M58" s="255"/>
      <c r="N58" s="199"/>
      <c r="O58" s="200"/>
      <c r="P58" s="201"/>
      <c r="R58" s="86">
        <f t="shared" si="12"/>
        <v>0</v>
      </c>
      <c r="S58" s="21">
        <f t="shared" si="13"/>
        <v>0</v>
      </c>
      <c r="T58" s="21">
        <f t="shared" si="14"/>
        <v>0</v>
      </c>
      <c r="U58" s="1">
        <f t="shared" si="15"/>
        <v>0</v>
      </c>
      <c r="V58" s="1">
        <f t="shared" si="16"/>
        <v>0</v>
      </c>
      <c r="W58" s="1">
        <f t="shared" si="17"/>
        <v>0</v>
      </c>
      <c r="X58" s="1">
        <f t="shared" si="18"/>
        <v>0</v>
      </c>
      <c r="Y58" s="80">
        <f t="shared" si="19"/>
        <v>0</v>
      </c>
      <c r="AB58" s="34"/>
    </row>
    <row r="59" spans="1:28" x14ac:dyDescent="0.25">
      <c r="A59" s="8">
        <f t="shared" si="8"/>
        <v>48</v>
      </c>
      <c r="B59" s="197"/>
      <c r="C59" s="198"/>
      <c r="D59" s="195"/>
      <c r="E59" s="195"/>
      <c r="F59" s="196"/>
      <c r="G59" s="197"/>
      <c r="H59" s="197"/>
      <c r="I59" s="197"/>
      <c r="J59" s="255"/>
      <c r="K59" s="255"/>
      <c r="L59" s="255"/>
      <c r="M59" s="255"/>
      <c r="N59" s="199"/>
      <c r="O59" s="200"/>
      <c r="P59" s="201"/>
      <c r="R59" s="86">
        <f t="shared" si="12"/>
        <v>0</v>
      </c>
      <c r="S59" s="21">
        <f t="shared" si="13"/>
        <v>0</v>
      </c>
      <c r="T59" s="21">
        <f t="shared" si="14"/>
        <v>0</v>
      </c>
      <c r="U59" s="1">
        <f t="shared" si="15"/>
        <v>0</v>
      </c>
      <c r="V59" s="1">
        <f t="shared" si="16"/>
        <v>0</v>
      </c>
      <c r="W59" s="1">
        <f t="shared" si="17"/>
        <v>0</v>
      </c>
      <c r="X59" s="1">
        <f t="shared" si="18"/>
        <v>0</v>
      </c>
      <c r="Y59" s="80">
        <f t="shared" si="19"/>
        <v>0</v>
      </c>
      <c r="AB59" s="34"/>
    </row>
    <row r="60" spans="1:28" x14ac:dyDescent="0.25">
      <c r="A60" s="8">
        <f t="shared" si="8"/>
        <v>49</v>
      </c>
      <c r="B60" s="197"/>
      <c r="C60" s="198"/>
      <c r="D60" s="195"/>
      <c r="E60" s="195"/>
      <c r="F60" s="196"/>
      <c r="G60" s="197"/>
      <c r="H60" s="197"/>
      <c r="I60" s="197"/>
      <c r="J60" s="255"/>
      <c r="K60" s="255"/>
      <c r="L60" s="255"/>
      <c r="M60" s="255"/>
      <c r="N60" s="199"/>
      <c r="O60" s="200"/>
      <c r="P60" s="201"/>
      <c r="Q60" s="1">
        <v>0</v>
      </c>
      <c r="R60" s="86">
        <f t="shared" si="12"/>
        <v>0</v>
      </c>
      <c r="S60" s="21">
        <f t="shared" si="13"/>
        <v>0</v>
      </c>
      <c r="T60" s="21">
        <f t="shared" si="14"/>
        <v>0</v>
      </c>
      <c r="U60" s="1">
        <f t="shared" si="15"/>
        <v>0</v>
      </c>
      <c r="V60" s="1">
        <f t="shared" si="16"/>
        <v>0</v>
      </c>
      <c r="W60" s="1">
        <f t="shared" si="17"/>
        <v>0</v>
      </c>
      <c r="X60" s="1">
        <f t="shared" si="18"/>
        <v>0</v>
      </c>
      <c r="Y60" s="80">
        <f t="shared" si="19"/>
        <v>0</v>
      </c>
      <c r="AB60" s="34"/>
    </row>
    <row r="61" spans="1:28" x14ac:dyDescent="0.25">
      <c r="A61" s="8">
        <f t="shared" si="8"/>
        <v>50</v>
      </c>
      <c r="B61" s="197"/>
      <c r="C61" s="198"/>
      <c r="D61" s="195"/>
      <c r="E61" s="195"/>
      <c r="F61" s="196"/>
      <c r="G61" s="197"/>
      <c r="H61" s="255"/>
      <c r="I61" s="255"/>
      <c r="J61" s="255"/>
      <c r="K61" s="255"/>
      <c r="L61" s="255"/>
      <c r="M61" s="255"/>
      <c r="N61" s="199"/>
      <c r="O61" s="200"/>
      <c r="P61" s="201"/>
      <c r="Q61" s="1">
        <v>0</v>
      </c>
      <c r="R61" s="86">
        <f t="shared" si="12"/>
        <v>0</v>
      </c>
      <c r="S61" s="21">
        <f t="shared" si="13"/>
        <v>0</v>
      </c>
      <c r="T61" s="21">
        <f t="shared" si="14"/>
        <v>0</v>
      </c>
      <c r="U61" s="1">
        <f t="shared" si="15"/>
        <v>0</v>
      </c>
      <c r="V61" s="1">
        <f t="shared" si="16"/>
        <v>0</v>
      </c>
      <c r="W61" s="1">
        <f t="shared" si="17"/>
        <v>0</v>
      </c>
      <c r="X61" s="1">
        <f t="shared" si="18"/>
        <v>0</v>
      </c>
      <c r="Y61" s="80">
        <f t="shared" si="19"/>
        <v>0</v>
      </c>
      <c r="AB61" s="34"/>
    </row>
    <row r="62" spans="1:28" x14ac:dyDescent="0.25">
      <c r="A62" s="8">
        <f t="shared" si="8"/>
        <v>51</v>
      </c>
      <c r="B62" s="197"/>
      <c r="C62" s="198"/>
      <c r="D62" s="195"/>
      <c r="E62" s="195"/>
      <c r="F62" s="196"/>
      <c r="G62" s="255"/>
      <c r="H62" s="255"/>
      <c r="I62" s="255"/>
      <c r="J62" s="255"/>
      <c r="K62" s="255"/>
      <c r="L62" s="255"/>
      <c r="M62" s="255"/>
      <c r="N62" s="199"/>
      <c r="O62" s="200"/>
      <c r="P62" s="201"/>
      <c r="Q62" s="1">
        <v>0</v>
      </c>
      <c r="R62" s="86">
        <f t="shared" si="12"/>
        <v>0</v>
      </c>
      <c r="S62" s="21">
        <f t="shared" si="13"/>
        <v>0</v>
      </c>
      <c r="T62" s="21">
        <f t="shared" si="14"/>
        <v>0</v>
      </c>
      <c r="U62" s="1">
        <f t="shared" si="15"/>
        <v>0</v>
      </c>
      <c r="V62" s="1">
        <f t="shared" si="16"/>
        <v>0</v>
      </c>
      <c r="W62" s="1">
        <f t="shared" si="17"/>
        <v>0</v>
      </c>
      <c r="X62" s="1">
        <f t="shared" si="18"/>
        <v>0</v>
      </c>
      <c r="Y62" s="80">
        <f t="shared" si="19"/>
        <v>0</v>
      </c>
      <c r="AB62" s="34"/>
    </row>
    <row r="63" spans="1:28" x14ac:dyDescent="0.25">
      <c r="A63" s="8">
        <f t="shared" si="8"/>
        <v>52</v>
      </c>
      <c r="B63" s="197"/>
      <c r="C63" s="197"/>
      <c r="D63" s="257"/>
      <c r="E63" s="195"/>
      <c r="F63" s="196"/>
      <c r="G63" s="197"/>
      <c r="H63" s="255"/>
      <c r="I63" s="255"/>
      <c r="J63" s="255"/>
      <c r="K63" s="255"/>
      <c r="L63" s="255"/>
      <c r="M63" s="255"/>
      <c r="N63" s="199"/>
      <c r="O63" s="200"/>
      <c r="P63" s="201"/>
      <c r="R63" s="86">
        <f t="shared" si="12"/>
        <v>0</v>
      </c>
      <c r="S63" s="21">
        <f t="shared" si="13"/>
        <v>0</v>
      </c>
      <c r="T63" s="21">
        <f t="shared" si="14"/>
        <v>0</v>
      </c>
      <c r="U63" s="1">
        <f t="shared" si="15"/>
        <v>0</v>
      </c>
      <c r="V63" s="1">
        <f t="shared" si="16"/>
        <v>0</v>
      </c>
      <c r="W63" s="1">
        <f t="shared" si="17"/>
        <v>0</v>
      </c>
      <c r="X63" s="1">
        <f t="shared" si="18"/>
        <v>0</v>
      </c>
      <c r="Y63" s="80">
        <f t="shared" si="19"/>
        <v>0</v>
      </c>
      <c r="AB63" s="34"/>
    </row>
    <row r="64" spans="1:28" x14ac:dyDescent="0.25">
      <c r="A64" s="8">
        <f t="shared" si="8"/>
        <v>53</v>
      </c>
      <c r="B64" s="197"/>
      <c r="C64" s="198"/>
      <c r="D64" s="195"/>
      <c r="E64" s="195"/>
      <c r="F64" s="196"/>
      <c r="G64" s="197"/>
      <c r="H64" s="255"/>
      <c r="I64" s="255"/>
      <c r="J64" s="255"/>
      <c r="K64" s="255"/>
      <c r="L64" s="255"/>
      <c r="M64" s="255"/>
      <c r="N64" s="199"/>
      <c r="O64" s="200"/>
      <c r="P64" s="201"/>
      <c r="R64" s="86">
        <f t="shared" si="12"/>
        <v>0</v>
      </c>
      <c r="S64" s="21">
        <f t="shared" si="13"/>
        <v>0</v>
      </c>
      <c r="T64" s="21">
        <f t="shared" si="14"/>
        <v>0</v>
      </c>
      <c r="U64" s="1">
        <f t="shared" si="15"/>
        <v>0</v>
      </c>
      <c r="V64" s="1">
        <f t="shared" si="16"/>
        <v>0</v>
      </c>
      <c r="W64" s="1">
        <f t="shared" si="17"/>
        <v>0</v>
      </c>
      <c r="X64" s="1">
        <f t="shared" si="18"/>
        <v>0</v>
      </c>
      <c r="Y64" s="80">
        <f t="shared" si="19"/>
        <v>0</v>
      </c>
      <c r="AB64" s="34"/>
    </row>
    <row r="65" spans="1:28" x14ac:dyDescent="0.25">
      <c r="A65" s="8">
        <f t="shared" si="8"/>
        <v>54</v>
      </c>
      <c r="B65" s="197"/>
      <c r="C65" s="198"/>
      <c r="D65" s="195"/>
      <c r="E65" s="195"/>
      <c r="F65" s="196"/>
      <c r="G65" s="197"/>
      <c r="H65" s="255"/>
      <c r="I65" s="255"/>
      <c r="J65" s="255"/>
      <c r="K65" s="255"/>
      <c r="L65" s="255"/>
      <c r="M65" s="255"/>
      <c r="N65" s="199"/>
      <c r="O65" s="200"/>
      <c r="P65" s="201"/>
      <c r="Q65" s="1">
        <v>1</v>
      </c>
      <c r="R65" s="86">
        <f t="shared" si="12"/>
        <v>0</v>
      </c>
      <c r="S65" s="21">
        <f t="shared" si="13"/>
        <v>0</v>
      </c>
      <c r="T65" s="21">
        <f t="shared" si="14"/>
        <v>0</v>
      </c>
      <c r="U65" s="1">
        <f t="shared" si="15"/>
        <v>0</v>
      </c>
      <c r="V65" s="1">
        <f t="shared" si="16"/>
        <v>0</v>
      </c>
      <c r="W65" s="1">
        <f t="shared" si="17"/>
        <v>0</v>
      </c>
      <c r="X65" s="1">
        <f t="shared" si="18"/>
        <v>0</v>
      </c>
      <c r="Y65" s="80">
        <f t="shared" si="19"/>
        <v>0</v>
      </c>
      <c r="AB65" s="34"/>
    </row>
    <row r="66" spans="1:28" x14ac:dyDescent="0.25">
      <c r="A66" s="8">
        <f t="shared" si="8"/>
        <v>55</v>
      </c>
      <c r="B66" s="197"/>
      <c r="C66" s="198"/>
      <c r="D66" s="195"/>
      <c r="E66" s="195"/>
      <c r="F66" s="196"/>
      <c r="G66" s="255"/>
      <c r="H66" s="255"/>
      <c r="I66" s="255"/>
      <c r="J66" s="255"/>
      <c r="K66" s="255"/>
      <c r="L66" s="255"/>
      <c r="M66" s="255"/>
      <c r="N66" s="199"/>
      <c r="O66" s="200"/>
      <c r="P66" s="201"/>
      <c r="R66" s="86">
        <f t="shared" si="12"/>
        <v>0</v>
      </c>
      <c r="S66" s="21">
        <f t="shared" si="13"/>
        <v>0</v>
      </c>
      <c r="T66" s="21">
        <f t="shared" si="14"/>
        <v>0</v>
      </c>
      <c r="U66" s="1">
        <f t="shared" si="15"/>
        <v>0</v>
      </c>
      <c r="V66" s="1">
        <f t="shared" si="16"/>
        <v>0</v>
      </c>
      <c r="W66" s="1">
        <f t="shared" si="17"/>
        <v>0</v>
      </c>
      <c r="X66" s="1">
        <f t="shared" si="18"/>
        <v>0</v>
      </c>
      <c r="Y66" s="80">
        <f t="shared" si="19"/>
        <v>0</v>
      </c>
      <c r="AB66" s="34"/>
    </row>
    <row r="67" spans="1:28" x14ac:dyDescent="0.25">
      <c r="A67" s="8">
        <f t="shared" si="8"/>
        <v>56</v>
      </c>
      <c r="B67" s="197"/>
      <c r="C67" s="198"/>
      <c r="D67" s="195"/>
      <c r="E67" s="195"/>
      <c r="F67" s="196"/>
      <c r="G67" s="197"/>
      <c r="H67" s="255"/>
      <c r="I67" s="255"/>
      <c r="J67" s="255"/>
      <c r="K67" s="255"/>
      <c r="L67" s="255"/>
      <c r="M67" s="255"/>
      <c r="N67" s="199"/>
      <c r="O67" s="200"/>
      <c r="P67" s="201"/>
      <c r="Q67" s="1">
        <v>0</v>
      </c>
      <c r="R67" s="86">
        <f t="shared" si="12"/>
        <v>0</v>
      </c>
      <c r="S67" s="21">
        <f t="shared" si="13"/>
        <v>0</v>
      </c>
      <c r="T67" s="21">
        <f t="shared" si="14"/>
        <v>0</v>
      </c>
      <c r="U67" s="1">
        <f t="shared" si="15"/>
        <v>0</v>
      </c>
      <c r="V67" s="1">
        <f t="shared" si="16"/>
        <v>0</v>
      </c>
      <c r="W67" s="1">
        <f t="shared" si="17"/>
        <v>0</v>
      </c>
      <c r="X67" s="1">
        <f t="shared" si="18"/>
        <v>0</v>
      </c>
      <c r="Y67" s="80">
        <f t="shared" si="19"/>
        <v>0</v>
      </c>
      <c r="AB67" s="34"/>
    </row>
    <row r="68" spans="1:28" x14ac:dyDescent="0.25">
      <c r="A68" s="8">
        <f t="shared" si="8"/>
        <v>57</v>
      </c>
      <c r="B68" s="197"/>
      <c r="C68" s="198"/>
      <c r="D68" s="195"/>
      <c r="E68" s="195"/>
      <c r="F68" s="196"/>
      <c r="G68" s="255"/>
      <c r="H68" s="255"/>
      <c r="I68" s="255"/>
      <c r="J68" s="255"/>
      <c r="K68" s="255"/>
      <c r="L68" s="255"/>
      <c r="M68" s="255"/>
      <c r="N68" s="199"/>
      <c r="O68" s="200"/>
      <c r="P68" s="201"/>
      <c r="R68" s="86">
        <f t="shared" si="12"/>
        <v>0</v>
      </c>
      <c r="S68" s="21">
        <f t="shared" si="13"/>
        <v>0</v>
      </c>
      <c r="T68" s="21">
        <f t="shared" si="14"/>
        <v>0</v>
      </c>
      <c r="U68" s="1">
        <f t="shared" si="15"/>
        <v>0</v>
      </c>
      <c r="V68" s="1">
        <f t="shared" si="16"/>
        <v>0</v>
      </c>
      <c r="W68" s="1">
        <f t="shared" si="17"/>
        <v>0</v>
      </c>
      <c r="X68" s="1">
        <f t="shared" si="18"/>
        <v>0</v>
      </c>
      <c r="Y68" s="80">
        <f t="shared" si="19"/>
        <v>0</v>
      </c>
      <c r="AB68" s="34"/>
    </row>
    <row r="69" spans="1:28" x14ac:dyDescent="0.25">
      <c r="A69" s="8">
        <f t="shared" si="8"/>
        <v>58</v>
      </c>
      <c r="B69" s="197"/>
      <c r="C69" s="198"/>
      <c r="D69" s="195"/>
      <c r="E69" s="195"/>
      <c r="F69" s="196"/>
      <c r="G69" s="255"/>
      <c r="H69" s="255"/>
      <c r="I69" s="255"/>
      <c r="J69" s="255"/>
      <c r="K69" s="255"/>
      <c r="L69" s="255"/>
      <c r="M69" s="255"/>
      <c r="N69" s="199"/>
      <c r="O69" s="200"/>
      <c r="P69" s="201"/>
      <c r="Q69" s="1">
        <v>0</v>
      </c>
      <c r="R69" s="86">
        <f t="shared" si="12"/>
        <v>0</v>
      </c>
      <c r="S69" s="21">
        <f t="shared" si="13"/>
        <v>0</v>
      </c>
      <c r="T69" s="21">
        <f t="shared" si="14"/>
        <v>0</v>
      </c>
      <c r="U69" s="1">
        <f t="shared" si="15"/>
        <v>0</v>
      </c>
      <c r="V69" s="1">
        <f t="shared" si="16"/>
        <v>0</v>
      </c>
      <c r="W69" s="1">
        <f t="shared" si="17"/>
        <v>0</v>
      </c>
      <c r="X69" s="1">
        <f t="shared" si="18"/>
        <v>0</v>
      </c>
      <c r="Y69" s="80">
        <f t="shared" si="19"/>
        <v>0</v>
      </c>
      <c r="AB69" s="34"/>
    </row>
    <row r="70" spans="1:28" x14ac:dyDescent="0.25">
      <c r="A70" s="8">
        <f t="shared" si="8"/>
        <v>59</v>
      </c>
      <c r="B70" s="197"/>
      <c r="C70" s="198"/>
      <c r="D70" s="195"/>
      <c r="E70" s="195"/>
      <c r="F70" s="196"/>
      <c r="G70" s="197"/>
      <c r="H70" s="255"/>
      <c r="I70" s="255"/>
      <c r="J70" s="255"/>
      <c r="K70" s="255"/>
      <c r="L70" s="255"/>
      <c r="M70" s="255"/>
      <c r="N70" s="199"/>
      <c r="O70" s="200"/>
      <c r="P70" s="201"/>
      <c r="R70" s="86">
        <f t="shared" si="12"/>
        <v>0</v>
      </c>
      <c r="S70" s="21">
        <f t="shared" si="13"/>
        <v>0</v>
      </c>
      <c r="T70" s="21">
        <f t="shared" si="14"/>
        <v>0</v>
      </c>
      <c r="U70" s="1">
        <f t="shared" si="15"/>
        <v>0</v>
      </c>
      <c r="V70" s="1">
        <f t="shared" si="16"/>
        <v>0</v>
      </c>
      <c r="W70" s="1">
        <f t="shared" si="17"/>
        <v>0</v>
      </c>
      <c r="X70" s="1">
        <f t="shared" si="18"/>
        <v>0</v>
      </c>
      <c r="Y70" s="80">
        <f t="shared" si="19"/>
        <v>0</v>
      </c>
      <c r="AB70" s="34"/>
    </row>
    <row r="71" spans="1:28" x14ac:dyDescent="0.25">
      <c r="A71" s="8">
        <f t="shared" si="8"/>
        <v>60</v>
      </c>
      <c r="B71" s="197"/>
      <c r="C71" s="198"/>
      <c r="D71" s="195"/>
      <c r="E71" s="195"/>
      <c r="F71" s="196"/>
      <c r="G71" s="197"/>
      <c r="H71" s="197"/>
      <c r="I71" s="197"/>
      <c r="J71" s="255"/>
      <c r="K71" s="255"/>
      <c r="L71" s="255"/>
      <c r="M71" s="255"/>
      <c r="N71" s="199"/>
      <c r="O71" s="200"/>
      <c r="P71" s="201"/>
      <c r="Q71" s="1">
        <v>0</v>
      </c>
      <c r="R71" s="86">
        <f t="shared" si="12"/>
        <v>0</v>
      </c>
      <c r="S71" s="21">
        <f t="shared" si="13"/>
        <v>0</v>
      </c>
      <c r="T71" s="21">
        <f t="shared" si="14"/>
        <v>0</v>
      </c>
      <c r="U71" s="1">
        <f t="shared" si="15"/>
        <v>0</v>
      </c>
      <c r="V71" s="1">
        <f t="shared" si="16"/>
        <v>0</v>
      </c>
      <c r="W71" s="1">
        <f t="shared" si="17"/>
        <v>0</v>
      </c>
      <c r="X71" s="1">
        <f t="shared" si="18"/>
        <v>0</v>
      </c>
      <c r="Y71" s="80">
        <f t="shared" si="19"/>
        <v>0</v>
      </c>
      <c r="AB71" s="34"/>
    </row>
    <row r="72" spans="1:28" x14ac:dyDescent="0.25">
      <c r="A72" s="8">
        <f t="shared" si="8"/>
        <v>61</v>
      </c>
      <c r="B72" s="197"/>
      <c r="C72" s="198"/>
      <c r="D72" s="195"/>
      <c r="E72" s="195"/>
      <c r="F72" s="196"/>
      <c r="G72" s="197"/>
      <c r="H72" s="197"/>
      <c r="I72" s="197"/>
      <c r="J72" s="255"/>
      <c r="K72" s="255"/>
      <c r="L72" s="255"/>
      <c r="M72" s="255"/>
      <c r="N72" s="199"/>
      <c r="O72" s="200"/>
      <c r="P72" s="201"/>
      <c r="R72" s="86">
        <f t="shared" si="12"/>
        <v>0</v>
      </c>
      <c r="S72" s="21">
        <f t="shared" si="13"/>
        <v>0</v>
      </c>
      <c r="T72" s="21">
        <f t="shared" si="14"/>
        <v>0</v>
      </c>
      <c r="U72" s="1">
        <f t="shared" si="15"/>
        <v>0</v>
      </c>
      <c r="V72" s="1">
        <f t="shared" si="16"/>
        <v>0</v>
      </c>
      <c r="W72" s="1">
        <f t="shared" si="17"/>
        <v>0</v>
      </c>
      <c r="X72" s="1">
        <f t="shared" si="18"/>
        <v>0</v>
      </c>
      <c r="Y72" s="80">
        <f t="shared" si="19"/>
        <v>0</v>
      </c>
      <c r="AB72" s="34"/>
    </row>
    <row r="73" spans="1:28" x14ac:dyDescent="0.25">
      <c r="A73" s="8">
        <f t="shared" si="8"/>
        <v>62</v>
      </c>
      <c r="B73" s="197"/>
      <c r="C73" s="198"/>
      <c r="D73" s="195"/>
      <c r="E73" s="195"/>
      <c r="F73" s="196"/>
      <c r="G73" s="197"/>
      <c r="H73" s="197"/>
      <c r="I73" s="197"/>
      <c r="J73" s="255"/>
      <c r="K73" s="255"/>
      <c r="L73" s="255"/>
      <c r="M73" s="255"/>
      <c r="N73" s="109"/>
      <c r="O73" s="114"/>
      <c r="P73" s="114"/>
      <c r="R73" s="86">
        <f t="shared" si="12"/>
        <v>0</v>
      </c>
      <c r="S73" s="21">
        <f t="shared" si="13"/>
        <v>0</v>
      </c>
      <c r="T73" s="21">
        <f t="shared" si="14"/>
        <v>0</v>
      </c>
      <c r="U73" s="1">
        <f t="shared" si="15"/>
        <v>0</v>
      </c>
      <c r="V73" s="1">
        <f t="shared" si="16"/>
        <v>0</v>
      </c>
      <c r="W73" s="1">
        <f t="shared" si="17"/>
        <v>0</v>
      </c>
      <c r="X73" s="1">
        <f t="shared" si="18"/>
        <v>0</v>
      </c>
      <c r="Y73" s="80">
        <f t="shared" si="19"/>
        <v>0</v>
      </c>
      <c r="AB73" s="34"/>
    </row>
    <row r="74" spans="1:28" x14ac:dyDescent="0.25">
      <c r="A74" s="8">
        <f t="shared" si="8"/>
        <v>63</v>
      </c>
      <c r="B74" s="197"/>
      <c r="C74" s="198"/>
      <c r="D74" s="195"/>
      <c r="E74" s="195"/>
      <c r="F74" s="196"/>
      <c r="G74" s="197"/>
      <c r="H74" s="197"/>
      <c r="I74" s="197"/>
      <c r="J74" s="255"/>
      <c r="K74" s="255"/>
      <c r="L74" s="255"/>
      <c r="M74" s="255"/>
      <c r="N74" s="199"/>
      <c r="O74" s="200"/>
      <c r="P74" s="201"/>
      <c r="Q74" s="1">
        <v>0</v>
      </c>
      <c r="R74" s="86">
        <f t="shared" si="12"/>
        <v>0</v>
      </c>
      <c r="S74" s="21">
        <f t="shared" si="13"/>
        <v>0</v>
      </c>
      <c r="T74" s="21">
        <f t="shared" si="14"/>
        <v>0</v>
      </c>
      <c r="U74" s="1">
        <f t="shared" si="15"/>
        <v>0</v>
      </c>
      <c r="V74" s="1">
        <f t="shared" si="16"/>
        <v>0</v>
      </c>
      <c r="W74" s="1">
        <f t="shared" si="17"/>
        <v>0</v>
      </c>
      <c r="X74" s="1">
        <f t="shared" si="18"/>
        <v>0</v>
      </c>
      <c r="Y74" s="80">
        <f t="shared" si="19"/>
        <v>0</v>
      </c>
      <c r="AB74" s="34"/>
    </row>
    <row r="75" spans="1:28" x14ac:dyDescent="0.25">
      <c r="A75" s="8">
        <f t="shared" si="8"/>
        <v>64</v>
      </c>
      <c r="B75" s="197"/>
      <c r="C75" s="198"/>
      <c r="D75" s="195"/>
      <c r="E75" s="195"/>
      <c r="F75" s="196"/>
      <c r="G75" s="197"/>
      <c r="H75" s="197"/>
      <c r="I75" s="197"/>
      <c r="J75" s="255"/>
      <c r="K75" s="255"/>
      <c r="L75" s="255"/>
      <c r="M75" s="255"/>
      <c r="N75" s="199"/>
      <c r="O75" s="200"/>
      <c r="P75" s="201"/>
      <c r="R75" s="86">
        <f t="shared" si="12"/>
        <v>0</v>
      </c>
      <c r="S75" s="21">
        <f t="shared" si="13"/>
        <v>0</v>
      </c>
      <c r="T75" s="21">
        <f t="shared" si="14"/>
        <v>0</v>
      </c>
      <c r="U75" s="1">
        <f t="shared" si="15"/>
        <v>0</v>
      </c>
      <c r="V75" s="1">
        <f t="shared" si="16"/>
        <v>0</v>
      </c>
      <c r="W75" s="1">
        <f t="shared" si="17"/>
        <v>0</v>
      </c>
      <c r="X75" s="1">
        <f t="shared" si="18"/>
        <v>0</v>
      </c>
      <c r="Y75" s="80">
        <f t="shared" si="19"/>
        <v>0</v>
      </c>
      <c r="AB75" s="34"/>
    </row>
    <row r="76" spans="1:28" x14ac:dyDescent="0.25">
      <c r="A76" s="8">
        <f t="shared" si="8"/>
        <v>65</v>
      </c>
      <c r="B76" s="197"/>
      <c r="C76" s="198"/>
      <c r="D76" s="195"/>
      <c r="E76" s="195"/>
      <c r="F76" s="196"/>
      <c r="G76" s="197"/>
      <c r="H76" s="255"/>
      <c r="I76" s="255"/>
      <c r="J76" s="255"/>
      <c r="K76" s="255"/>
      <c r="L76" s="255"/>
      <c r="M76" s="255"/>
      <c r="N76" s="199"/>
      <c r="O76" s="200"/>
      <c r="P76" s="218"/>
      <c r="Q76" s="1">
        <v>0</v>
      </c>
      <c r="R76" s="86">
        <f t="shared" ref="R76:R107" si="20">IF(K76=1,IF($B76=1,1,-1),0)</f>
        <v>0</v>
      </c>
      <c r="S76" s="21">
        <f t="shared" ref="S76:S107" si="21">IF(L76=1,IF($B76=1,1,-1),0)</f>
        <v>0</v>
      </c>
      <c r="T76" s="21">
        <f t="shared" ref="T76:T107" si="22">IF(M76=1,1,0)</f>
        <v>0</v>
      </c>
      <c r="U76" s="1">
        <f t="shared" ref="U76:U107" si="23">IF($B76&lt;&gt;1,IF(G76=1,1,0),0)</f>
        <v>0</v>
      </c>
      <c r="V76" s="1">
        <f t="shared" ref="V76:V107" si="24">IF($B76&lt;&gt;1,IF(H76=1,1,0),0)</f>
        <v>0</v>
      </c>
      <c r="W76" s="1">
        <f t="shared" ref="W76:W107" si="25">IF($B76&lt;&gt;1,IF(I76=1,1,0),0)</f>
        <v>0</v>
      </c>
      <c r="X76" s="1">
        <f t="shared" ref="X76:X107" si="26">IF($B76&lt;&gt;1,IF(J76=1,1,0),0)</f>
        <v>0</v>
      </c>
      <c r="Y76" s="80">
        <f t="shared" si="19"/>
        <v>0</v>
      </c>
      <c r="AB76" s="34"/>
    </row>
    <row r="77" spans="1:28" x14ac:dyDescent="0.25">
      <c r="A77" s="8">
        <f t="shared" si="8"/>
        <v>66</v>
      </c>
      <c r="B77" s="197"/>
      <c r="C77" s="198"/>
      <c r="D77" s="195"/>
      <c r="E77" s="195"/>
      <c r="F77" s="196"/>
      <c r="G77" s="197"/>
      <c r="H77" s="255"/>
      <c r="I77" s="255"/>
      <c r="J77" s="255"/>
      <c r="K77" s="255"/>
      <c r="L77" s="255"/>
      <c r="M77" s="255"/>
      <c r="N77" s="199"/>
      <c r="O77" s="200"/>
      <c r="P77" s="218"/>
      <c r="R77" s="86">
        <f t="shared" si="20"/>
        <v>0</v>
      </c>
      <c r="S77" s="21">
        <f t="shared" si="21"/>
        <v>0</v>
      </c>
      <c r="T77" s="21">
        <f t="shared" si="22"/>
        <v>0</v>
      </c>
      <c r="U77" s="1">
        <f t="shared" si="23"/>
        <v>0</v>
      </c>
      <c r="V77" s="1">
        <f t="shared" si="24"/>
        <v>0</v>
      </c>
      <c r="W77" s="1">
        <f t="shared" si="25"/>
        <v>0</v>
      </c>
      <c r="X77" s="1">
        <f t="shared" si="26"/>
        <v>0</v>
      </c>
      <c r="Y77" s="80">
        <f t="shared" si="19"/>
        <v>0</v>
      </c>
      <c r="AB77" s="34"/>
    </row>
    <row r="78" spans="1:28" x14ac:dyDescent="0.25">
      <c r="A78" s="8">
        <f t="shared" ref="A78:A141" si="27">+A77+1</f>
        <v>67</v>
      </c>
      <c r="B78" s="197"/>
      <c r="C78" s="198"/>
      <c r="D78" s="195"/>
      <c r="E78" s="195"/>
      <c r="F78" s="196"/>
      <c r="G78" s="197"/>
      <c r="H78" s="197"/>
      <c r="I78" s="197"/>
      <c r="J78" s="255"/>
      <c r="K78" s="255"/>
      <c r="L78" s="255"/>
      <c r="M78" s="255"/>
      <c r="N78" s="199"/>
      <c r="O78" s="200"/>
      <c r="P78" s="218"/>
      <c r="R78" s="86">
        <f t="shared" si="20"/>
        <v>0</v>
      </c>
      <c r="S78" s="21">
        <f t="shared" si="21"/>
        <v>0</v>
      </c>
      <c r="T78" s="21">
        <f t="shared" si="22"/>
        <v>0</v>
      </c>
      <c r="U78" s="1">
        <f t="shared" si="23"/>
        <v>0</v>
      </c>
      <c r="V78" s="1">
        <f t="shared" si="24"/>
        <v>0</v>
      </c>
      <c r="W78" s="1">
        <f t="shared" si="25"/>
        <v>0</v>
      </c>
      <c r="X78" s="1">
        <f t="shared" si="26"/>
        <v>0</v>
      </c>
      <c r="Y78" s="80">
        <f t="shared" si="19"/>
        <v>0</v>
      </c>
      <c r="AB78" s="34"/>
    </row>
    <row r="79" spans="1:28" x14ac:dyDescent="0.25">
      <c r="A79" s="8">
        <f t="shared" si="27"/>
        <v>68</v>
      </c>
      <c r="B79" s="197"/>
      <c r="C79" s="198"/>
      <c r="D79" s="195"/>
      <c r="E79" s="195"/>
      <c r="F79" s="196"/>
      <c r="G79" s="197"/>
      <c r="H79" s="197"/>
      <c r="I79" s="197"/>
      <c r="J79" s="255"/>
      <c r="K79" s="255"/>
      <c r="L79" s="255"/>
      <c r="M79" s="255"/>
      <c r="N79" s="199"/>
      <c r="O79" s="200"/>
      <c r="P79" s="218"/>
      <c r="Q79" s="1">
        <v>-1</v>
      </c>
      <c r="R79" s="86">
        <f t="shared" si="20"/>
        <v>0</v>
      </c>
      <c r="S79" s="21">
        <f t="shared" si="21"/>
        <v>0</v>
      </c>
      <c r="T79" s="21">
        <f t="shared" si="22"/>
        <v>0</v>
      </c>
      <c r="U79" s="1">
        <f t="shared" si="23"/>
        <v>0</v>
      </c>
      <c r="V79" s="1">
        <f t="shared" si="24"/>
        <v>0</v>
      </c>
      <c r="W79" s="1">
        <f t="shared" si="25"/>
        <v>0</v>
      </c>
      <c r="X79" s="1">
        <f t="shared" si="26"/>
        <v>0</v>
      </c>
      <c r="Y79" s="80">
        <f t="shared" si="19"/>
        <v>0</v>
      </c>
      <c r="AB79" s="34"/>
    </row>
    <row r="80" spans="1:28" x14ac:dyDescent="0.25">
      <c r="A80" s="8">
        <f t="shared" si="27"/>
        <v>69</v>
      </c>
      <c r="B80" s="197"/>
      <c r="C80" s="198"/>
      <c r="D80" s="195"/>
      <c r="E80" s="195"/>
      <c r="F80" s="196"/>
      <c r="G80" s="197"/>
      <c r="H80" s="197"/>
      <c r="I80" s="197"/>
      <c r="J80" s="255"/>
      <c r="K80" s="255"/>
      <c r="L80" s="255"/>
      <c r="M80" s="255"/>
      <c r="N80" s="199"/>
      <c r="O80" s="200"/>
      <c r="P80" s="218"/>
      <c r="Q80" s="1">
        <v>0</v>
      </c>
      <c r="R80" s="86">
        <f t="shared" si="20"/>
        <v>0</v>
      </c>
      <c r="S80" s="21">
        <f t="shared" si="21"/>
        <v>0</v>
      </c>
      <c r="T80" s="21">
        <f t="shared" si="22"/>
        <v>0</v>
      </c>
      <c r="U80" s="1">
        <f t="shared" si="23"/>
        <v>0</v>
      </c>
      <c r="V80" s="1">
        <f t="shared" si="24"/>
        <v>0</v>
      </c>
      <c r="W80" s="1">
        <f t="shared" si="25"/>
        <v>0</v>
      </c>
      <c r="X80" s="1">
        <f t="shared" si="26"/>
        <v>0</v>
      </c>
      <c r="Y80" s="80">
        <f t="shared" si="19"/>
        <v>0</v>
      </c>
    </row>
    <row r="81" spans="1:25" x14ac:dyDescent="0.25">
      <c r="A81" s="8">
        <f t="shared" si="27"/>
        <v>70</v>
      </c>
      <c r="B81" s="197"/>
      <c r="C81" s="198"/>
      <c r="D81" s="195"/>
      <c r="E81" s="195"/>
      <c r="F81" s="196"/>
      <c r="G81" s="197"/>
      <c r="H81" s="197"/>
      <c r="I81" s="197"/>
      <c r="J81" s="197"/>
      <c r="K81" s="255"/>
      <c r="L81" s="255"/>
      <c r="M81" s="255"/>
      <c r="N81" s="199"/>
      <c r="O81" s="200"/>
      <c r="P81" s="218"/>
      <c r="R81" s="86">
        <f t="shared" si="20"/>
        <v>0</v>
      </c>
      <c r="S81" s="21">
        <f t="shared" si="21"/>
        <v>0</v>
      </c>
      <c r="T81" s="21">
        <f t="shared" si="22"/>
        <v>0</v>
      </c>
      <c r="U81" s="1">
        <f t="shared" si="23"/>
        <v>0</v>
      </c>
      <c r="V81" s="1">
        <f t="shared" si="24"/>
        <v>0</v>
      </c>
      <c r="W81" s="1">
        <f t="shared" si="25"/>
        <v>0</v>
      </c>
      <c r="X81" s="1">
        <f t="shared" si="26"/>
        <v>0</v>
      </c>
      <c r="Y81" s="80">
        <f t="shared" si="19"/>
        <v>0</v>
      </c>
    </row>
    <row r="82" spans="1:25" x14ac:dyDescent="0.25">
      <c r="A82" s="8">
        <f t="shared" si="27"/>
        <v>71</v>
      </c>
      <c r="B82" s="197"/>
      <c r="C82" s="198"/>
      <c r="D82" s="195"/>
      <c r="E82" s="195"/>
      <c r="F82" s="196"/>
      <c r="G82" s="197"/>
      <c r="H82" s="255"/>
      <c r="I82" s="255"/>
      <c r="J82" s="255"/>
      <c r="K82" s="255"/>
      <c r="L82" s="255"/>
      <c r="M82" s="255"/>
      <c r="N82" s="199"/>
      <c r="O82" s="200"/>
      <c r="P82" s="218"/>
      <c r="R82" s="86">
        <f t="shared" si="20"/>
        <v>0</v>
      </c>
      <c r="S82" s="21">
        <f t="shared" si="21"/>
        <v>0</v>
      </c>
      <c r="T82" s="21">
        <f t="shared" si="22"/>
        <v>0</v>
      </c>
      <c r="U82" s="1">
        <f t="shared" si="23"/>
        <v>0</v>
      </c>
      <c r="V82" s="1">
        <f t="shared" si="24"/>
        <v>0</v>
      </c>
      <c r="W82" s="1">
        <f t="shared" si="25"/>
        <v>0</v>
      </c>
      <c r="X82" s="1">
        <f t="shared" si="26"/>
        <v>0</v>
      </c>
      <c r="Y82" s="80">
        <f t="shared" si="19"/>
        <v>0</v>
      </c>
    </row>
    <row r="83" spans="1:25" x14ac:dyDescent="0.25">
      <c r="A83" s="8">
        <f t="shared" si="27"/>
        <v>72</v>
      </c>
      <c r="B83" s="197"/>
      <c r="C83" s="198"/>
      <c r="D83" s="195"/>
      <c r="E83" s="195"/>
      <c r="F83" s="196"/>
      <c r="G83" s="197"/>
      <c r="H83" s="255"/>
      <c r="I83" s="255"/>
      <c r="J83" s="255"/>
      <c r="K83" s="255"/>
      <c r="L83" s="255"/>
      <c r="M83" s="255"/>
      <c r="N83" s="199"/>
      <c r="O83" s="200"/>
      <c r="P83" s="218"/>
      <c r="Q83" s="1">
        <v>0</v>
      </c>
      <c r="R83" s="86">
        <f t="shared" si="20"/>
        <v>0</v>
      </c>
      <c r="S83" s="21">
        <f t="shared" si="21"/>
        <v>0</v>
      </c>
      <c r="T83" s="21">
        <f t="shared" si="22"/>
        <v>0</v>
      </c>
      <c r="U83" s="1">
        <f t="shared" si="23"/>
        <v>0</v>
      </c>
      <c r="V83" s="1">
        <f t="shared" si="24"/>
        <v>0</v>
      </c>
      <c r="W83" s="1">
        <f t="shared" si="25"/>
        <v>0</v>
      </c>
      <c r="X83" s="1">
        <f t="shared" si="26"/>
        <v>0</v>
      </c>
      <c r="Y83" s="80">
        <f t="shared" si="19"/>
        <v>0</v>
      </c>
    </row>
    <row r="84" spans="1:25" x14ac:dyDescent="0.25">
      <c r="A84" s="8">
        <f t="shared" si="27"/>
        <v>73</v>
      </c>
      <c r="B84" s="197"/>
      <c r="C84" s="198"/>
      <c r="D84" s="195"/>
      <c r="E84" s="195"/>
      <c r="F84" s="196"/>
      <c r="G84" s="197"/>
      <c r="H84" s="255"/>
      <c r="I84" s="255"/>
      <c r="J84" s="255"/>
      <c r="K84" s="255"/>
      <c r="L84" s="255"/>
      <c r="M84" s="255"/>
      <c r="N84" s="199"/>
      <c r="O84" s="200"/>
      <c r="P84" s="218"/>
      <c r="Q84" s="1">
        <v>0</v>
      </c>
      <c r="R84" s="86">
        <f t="shared" si="20"/>
        <v>0</v>
      </c>
      <c r="S84" s="21">
        <f t="shared" si="21"/>
        <v>0</v>
      </c>
      <c r="T84" s="21">
        <f t="shared" si="22"/>
        <v>0</v>
      </c>
      <c r="U84" s="1">
        <f t="shared" si="23"/>
        <v>0</v>
      </c>
      <c r="V84" s="1">
        <f t="shared" si="24"/>
        <v>0</v>
      </c>
      <c r="W84" s="1">
        <f t="shared" si="25"/>
        <v>0</v>
      </c>
      <c r="X84" s="1">
        <f t="shared" si="26"/>
        <v>0</v>
      </c>
      <c r="Y84" s="80">
        <f t="shared" si="19"/>
        <v>0</v>
      </c>
    </row>
    <row r="85" spans="1:25" x14ac:dyDescent="0.25">
      <c r="A85" s="8">
        <f t="shared" si="27"/>
        <v>74</v>
      </c>
      <c r="B85" s="197"/>
      <c r="C85" s="198"/>
      <c r="D85" s="195"/>
      <c r="E85" s="195"/>
      <c r="F85" s="196"/>
      <c r="G85" s="197"/>
      <c r="H85" s="255"/>
      <c r="I85" s="255"/>
      <c r="J85" s="255"/>
      <c r="K85" s="255"/>
      <c r="L85" s="255"/>
      <c r="M85" s="255"/>
      <c r="N85" s="109"/>
      <c r="O85" s="114"/>
      <c r="P85" s="194"/>
      <c r="Q85" s="1">
        <v>1</v>
      </c>
      <c r="R85" s="86">
        <f t="shared" si="20"/>
        <v>0</v>
      </c>
      <c r="S85" s="21">
        <f t="shared" si="21"/>
        <v>0</v>
      </c>
      <c r="T85" s="21">
        <f t="shared" si="22"/>
        <v>0</v>
      </c>
      <c r="U85" s="1">
        <f t="shared" si="23"/>
        <v>0</v>
      </c>
      <c r="V85" s="1">
        <f t="shared" si="24"/>
        <v>0</v>
      </c>
      <c r="W85" s="1">
        <f t="shared" si="25"/>
        <v>0</v>
      </c>
      <c r="X85" s="1">
        <f t="shared" si="26"/>
        <v>0</v>
      </c>
      <c r="Y85" s="80">
        <f t="shared" si="19"/>
        <v>0</v>
      </c>
    </row>
    <row r="86" spans="1:25" x14ac:dyDescent="0.25">
      <c r="A86" s="8">
        <f t="shared" si="27"/>
        <v>75</v>
      </c>
      <c r="B86" s="197"/>
      <c r="C86" s="198"/>
      <c r="D86" s="256"/>
      <c r="E86" s="256"/>
      <c r="F86" s="255"/>
      <c r="G86" s="197"/>
      <c r="H86" s="255"/>
      <c r="I86" s="255"/>
      <c r="J86" s="255"/>
      <c r="K86" s="255"/>
      <c r="L86" s="255"/>
      <c r="M86" s="255"/>
      <c r="N86" s="109"/>
      <c r="O86" s="114"/>
      <c r="P86" s="194"/>
      <c r="R86" s="86">
        <f t="shared" si="20"/>
        <v>0</v>
      </c>
      <c r="S86" s="21">
        <f t="shared" si="21"/>
        <v>0</v>
      </c>
      <c r="T86" s="21">
        <f t="shared" si="22"/>
        <v>0</v>
      </c>
      <c r="U86" s="1">
        <f t="shared" si="23"/>
        <v>0</v>
      </c>
      <c r="V86" s="1">
        <f t="shared" si="24"/>
        <v>0</v>
      </c>
      <c r="W86" s="1">
        <f t="shared" si="25"/>
        <v>0</v>
      </c>
      <c r="X86" s="1">
        <f t="shared" si="26"/>
        <v>0</v>
      </c>
      <c r="Y86" s="80" t="s">
        <v>86</v>
      </c>
    </row>
    <row r="87" spans="1:25" x14ac:dyDescent="0.25">
      <c r="A87" s="8">
        <f t="shared" si="27"/>
        <v>76</v>
      </c>
      <c r="B87" s="197"/>
      <c r="C87" s="198"/>
      <c r="D87" s="195"/>
      <c r="E87" s="195"/>
      <c r="F87" s="196"/>
      <c r="G87" s="197"/>
      <c r="H87" s="255"/>
      <c r="I87" s="255"/>
      <c r="J87" s="255"/>
      <c r="K87" s="255"/>
      <c r="L87" s="255"/>
      <c r="M87" s="255"/>
      <c r="N87" s="109"/>
      <c r="O87" s="114"/>
      <c r="P87" s="194"/>
      <c r="R87" s="86">
        <f t="shared" si="20"/>
        <v>0</v>
      </c>
      <c r="S87" s="21">
        <f t="shared" si="21"/>
        <v>0</v>
      </c>
      <c r="T87" s="21">
        <f t="shared" si="22"/>
        <v>0</v>
      </c>
      <c r="U87" s="1">
        <f t="shared" si="23"/>
        <v>0</v>
      </c>
      <c r="V87" s="1">
        <f t="shared" si="24"/>
        <v>0</v>
      </c>
      <c r="W87" s="1">
        <f t="shared" si="25"/>
        <v>0</v>
      </c>
      <c r="X87" s="1">
        <f t="shared" si="26"/>
        <v>0</v>
      </c>
      <c r="Y87" s="80" t="s">
        <v>86</v>
      </c>
    </row>
    <row r="88" spans="1:25" x14ac:dyDescent="0.25">
      <c r="A88" s="8">
        <f t="shared" si="27"/>
        <v>77</v>
      </c>
      <c r="B88" s="197"/>
      <c r="C88" s="198"/>
      <c r="D88" s="195"/>
      <c r="E88" s="195"/>
      <c r="F88" s="196"/>
      <c r="G88" s="255"/>
      <c r="H88" s="255"/>
      <c r="I88" s="255"/>
      <c r="J88" s="255"/>
      <c r="K88" s="255"/>
      <c r="L88" s="255"/>
      <c r="M88" s="255"/>
      <c r="N88" s="109"/>
      <c r="O88" s="114"/>
      <c r="P88" s="194"/>
      <c r="R88" s="86">
        <f t="shared" si="20"/>
        <v>0</v>
      </c>
      <c r="S88" s="21">
        <f t="shared" si="21"/>
        <v>0</v>
      </c>
      <c r="T88" s="21">
        <f t="shared" si="22"/>
        <v>0</v>
      </c>
      <c r="U88" s="1">
        <f t="shared" si="23"/>
        <v>0</v>
      </c>
      <c r="V88" s="1">
        <f t="shared" si="24"/>
        <v>0</v>
      </c>
      <c r="W88" s="1">
        <f t="shared" si="25"/>
        <v>0</v>
      </c>
      <c r="X88" s="1">
        <f t="shared" si="26"/>
        <v>0</v>
      </c>
      <c r="Y88" s="80" t="s">
        <v>86</v>
      </c>
    </row>
    <row r="89" spans="1:25" x14ac:dyDescent="0.25">
      <c r="A89" s="8">
        <f t="shared" si="27"/>
        <v>78</v>
      </c>
      <c r="B89" s="197"/>
      <c r="C89" s="198"/>
      <c r="D89" s="195"/>
      <c r="E89" s="195"/>
      <c r="F89" s="196"/>
      <c r="G89" s="255"/>
      <c r="H89" s="255"/>
      <c r="I89" s="255"/>
      <c r="J89" s="255"/>
      <c r="K89" s="255"/>
      <c r="L89" s="255"/>
      <c r="M89" s="255"/>
      <c r="N89" s="109"/>
      <c r="O89" s="114"/>
      <c r="P89" s="194"/>
      <c r="R89" s="86">
        <f t="shared" si="20"/>
        <v>0</v>
      </c>
      <c r="S89" s="21">
        <f t="shared" si="21"/>
        <v>0</v>
      </c>
      <c r="T89" s="21">
        <f t="shared" si="22"/>
        <v>0</v>
      </c>
      <c r="U89" s="1">
        <f t="shared" si="23"/>
        <v>0</v>
      </c>
      <c r="V89" s="1">
        <f t="shared" si="24"/>
        <v>0</v>
      </c>
      <c r="W89" s="1">
        <f t="shared" si="25"/>
        <v>0</v>
      </c>
      <c r="X89" s="1">
        <f t="shared" si="26"/>
        <v>0</v>
      </c>
      <c r="Y89" s="80" t="s">
        <v>86</v>
      </c>
    </row>
    <row r="90" spans="1:25" x14ac:dyDescent="0.25">
      <c r="A90" s="8">
        <f t="shared" si="27"/>
        <v>79</v>
      </c>
      <c r="B90" s="197"/>
      <c r="C90" s="198"/>
      <c r="D90" s="195"/>
      <c r="E90" s="195"/>
      <c r="F90" s="196"/>
      <c r="G90" s="255"/>
      <c r="H90" s="255"/>
      <c r="I90" s="255"/>
      <c r="J90" s="255"/>
      <c r="K90" s="255"/>
      <c r="L90" s="255"/>
      <c r="M90" s="255"/>
      <c r="N90" s="109"/>
      <c r="O90" s="114"/>
      <c r="P90" s="194"/>
      <c r="R90" s="86">
        <f t="shared" si="20"/>
        <v>0</v>
      </c>
      <c r="S90" s="21">
        <f t="shared" si="21"/>
        <v>0</v>
      </c>
      <c r="T90" s="21">
        <f t="shared" si="22"/>
        <v>0</v>
      </c>
      <c r="U90" s="1">
        <f t="shared" si="23"/>
        <v>0</v>
      </c>
      <c r="V90" s="1">
        <f t="shared" si="24"/>
        <v>0</v>
      </c>
      <c r="W90" s="1">
        <f t="shared" si="25"/>
        <v>0</v>
      </c>
      <c r="X90" s="1">
        <f t="shared" si="26"/>
        <v>0</v>
      </c>
      <c r="Y90" s="80" t="s">
        <v>86</v>
      </c>
    </row>
    <row r="91" spans="1:25" x14ac:dyDescent="0.25">
      <c r="A91" s="8">
        <f t="shared" si="27"/>
        <v>80</v>
      </c>
      <c r="B91" s="197"/>
      <c r="C91" s="198"/>
      <c r="D91" s="195"/>
      <c r="E91" s="195"/>
      <c r="F91" s="196"/>
      <c r="G91" s="255"/>
      <c r="H91" s="255"/>
      <c r="I91" s="255"/>
      <c r="J91" s="255"/>
      <c r="K91" s="255"/>
      <c r="L91" s="255"/>
      <c r="M91" s="255"/>
      <c r="N91" s="109"/>
      <c r="O91" s="114"/>
      <c r="P91" s="194"/>
      <c r="R91" s="86">
        <f t="shared" si="20"/>
        <v>0</v>
      </c>
      <c r="S91" s="21">
        <f t="shared" si="21"/>
        <v>0</v>
      </c>
      <c r="T91" s="21">
        <f t="shared" si="22"/>
        <v>0</v>
      </c>
      <c r="U91" s="1">
        <f t="shared" si="23"/>
        <v>0</v>
      </c>
      <c r="V91" s="1">
        <f t="shared" si="24"/>
        <v>0</v>
      </c>
      <c r="W91" s="1">
        <f t="shared" si="25"/>
        <v>0</v>
      </c>
      <c r="X91" s="1">
        <f t="shared" si="26"/>
        <v>0</v>
      </c>
      <c r="Y91" s="80" t="s">
        <v>86</v>
      </c>
    </row>
    <row r="92" spans="1:25" x14ac:dyDescent="0.25">
      <c r="A92" s="8">
        <f t="shared" si="27"/>
        <v>81</v>
      </c>
      <c r="B92" s="197"/>
      <c r="C92" s="198"/>
      <c r="D92" s="195"/>
      <c r="E92" s="195"/>
      <c r="F92" s="196"/>
      <c r="G92" s="255"/>
      <c r="H92" s="255"/>
      <c r="I92" s="255"/>
      <c r="J92" s="255"/>
      <c r="K92" s="255"/>
      <c r="L92" s="255"/>
      <c r="M92" s="255"/>
      <c r="N92" s="109"/>
      <c r="O92" s="114"/>
      <c r="P92" s="194"/>
      <c r="R92" s="86">
        <f t="shared" si="20"/>
        <v>0</v>
      </c>
      <c r="S92" s="21">
        <f t="shared" si="21"/>
        <v>0</v>
      </c>
      <c r="T92" s="21">
        <f t="shared" si="22"/>
        <v>0</v>
      </c>
      <c r="U92" s="1">
        <f t="shared" si="23"/>
        <v>0</v>
      </c>
      <c r="V92" s="1">
        <f t="shared" si="24"/>
        <v>0</v>
      </c>
      <c r="W92" s="1">
        <f t="shared" si="25"/>
        <v>0</v>
      </c>
      <c r="X92" s="1">
        <f t="shared" si="26"/>
        <v>0</v>
      </c>
      <c r="Y92" s="80" t="s">
        <v>86</v>
      </c>
    </row>
    <row r="93" spans="1:25" x14ac:dyDescent="0.25">
      <c r="A93" s="8">
        <f t="shared" si="27"/>
        <v>82</v>
      </c>
      <c r="B93" s="197"/>
      <c r="C93" s="198"/>
      <c r="D93" s="195"/>
      <c r="E93" s="195"/>
      <c r="F93" s="196"/>
      <c r="G93" s="255"/>
      <c r="H93" s="255"/>
      <c r="I93" s="255"/>
      <c r="J93" s="255"/>
      <c r="K93" s="255"/>
      <c r="L93" s="255"/>
      <c r="M93" s="255"/>
      <c r="N93" s="109"/>
      <c r="O93" s="114"/>
      <c r="P93" s="194"/>
      <c r="R93" s="86">
        <f t="shared" si="20"/>
        <v>0</v>
      </c>
      <c r="S93" s="21">
        <f t="shared" si="21"/>
        <v>0</v>
      </c>
      <c r="T93" s="21">
        <f t="shared" si="22"/>
        <v>0</v>
      </c>
      <c r="U93" s="1">
        <f t="shared" si="23"/>
        <v>0</v>
      </c>
      <c r="V93" s="1">
        <f t="shared" si="24"/>
        <v>0</v>
      </c>
      <c r="W93" s="1">
        <f t="shared" si="25"/>
        <v>0</v>
      </c>
      <c r="X93" s="1">
        <f t="shared" si="26"/>
        <v>0</v>
      </c>
      <c r="Y93" s="80" t="s">
        <v>86</v>
      </c>
    </row>
    <row r="94" spans="1:25" x14ac:dyDescent="0.25">
      <c r="A94" s="8">
        <f t="shared" si="27"/>
        <v>83</v>
      </c>
      <c r="B94" s="197"/>
      <c r="C94" s="198"/>
      <c r="D94" s="195"/>
      <c r="E94" s="195"/>
      <c r="F94" s="196"/>
      <c r="G94" s="255"/>
      <c r="H94" s="255"/>
      <c r="I94" s="255"/>
      <c r="J94" s="255"/>
      <c r="K94" s="255"/>
      <c r="L94" s="255"/>
      <c r="M94" s="255"/>
      <c r="N94" s="109"/>
      <c r="O94" s="114"/>
      <c r="P94" s="194"/>
      <c r="R94" s="86">
        <f t="shared" si="20"/>
        <v>0</v>
      </c>
      <c r="S94" s="21">
        <f t="shared" si="21"/>
        <v>0</v>
      </c>
      <c r="T94" s="21">
        <f t="shared" si="22"/>
        <v>0</v>
      </c>
      <c r="U94" s="1">
        <f t="shared" si="23"/>
        <v>0</v>
      </c>
      <c r="V94" s="1">
        <f t="shared" si="24"/>
        <v>0</v>
      </c>
      <c r="W94" s="1">
        <f t="shared" si="25"/>
        <v>0</v>
      </c>
      <c r="X94" s="1">
        <f t="shared" si="26"/>
        <v>0</v>
      </c>
      <c r="Y94" s="80" t="s">
        <v>86</v>
      </c>
    </row>
    <row r="95" spans="1:25" x14ac:dyDescent="0.25">
      <c r="A95" s="8">
        <f t="shared" si="27"/>
        <v>84</v>
      </c>
      <c r="B95" s="197"/>
      <c r="C95" s="198"/>
      <c r="D95" s="195"/>
      <c r="E95" s="195"/>
      <c r="F95" s="196"/>
      <c r="G95" s="255"/>
      <c r="H95" s="255"/>
      <c r="I95" s="255"/>
      <c r="J95" s="255"/>
      <c r="K95" s="255"/>
      <c r="L95" s="255"/>
      <c r="M95" s="255"/>
      <c r="N95" s="109"/>
      <c r="O95" s="114"/>
      <c r="P95" s="194"/>
      <c r="R95" s="86">
        <f t="shared" si="20"/>
        <v>0</v>
      </c>
      <c r="S95" s="21">
        <f t="shared" si="21"/>
        <v>0</v>
      </c>
      <c r="T95" s="21">
        <f t="shared" si="22"/>
        <v>0</v>
      </c>
      <c r="U95" s="1">
        <f t="shared" si="23"/>
        <v>0</v>
      </c>
      <c r="V95" s="1">
        <f t="shared" si="24"/>
        <v>0</v>
      </c>
      <c r="W95" s="1">
        <f t="shared" si="25"/>
        <v>0</v>
      </c>
      <c r="X95" s="1">
        <f t="shared" si="26"/>
        <v>0</v>
      </c>
      <c r="Y95" s="80" t="s">
        <v>86</v>
      </c>
    </row>
    <row r="96" spans="1:25" x14ac:dyDescent="0.25">
      <c r="A96" s="8">
        <f t="shared" si="27"/>
        <v>85</v>
      </c>
      <c r="B96" s="197"/>
      <c r="C96" s="198"/>
      <c r="D96" s="195"/>
      <c r="E96" s="195"/>
      <c r="F96" s="196"/>
      <c r="G96" s="255"/>
      <c r="H96" s="255"/>
      <c r="I96" s="255"/>
      <c r="J96" s="255"/>
      <c r="K96" s="255"/>
      <c r="L96" s="255"/>
      <c r="M96" s="255"/>
      <c r="N96" s="109"/>
      <c r="O96" s="114"/>
      <c r="P96" s="194"/>
      <c r="R96" s="86">
        <f t="shared" si="20"/>
        <v>0</v>
      </c>
      <c r="S96" s="21">
        <f t="shared" si="21"/>
        <v>0</v>
      </c>
      <c r="T96" s="21">
        <f t="shared" si="22"/>
        <v>0</v>
      </c>
      <c r="U96" s="1">
        <f t="shared" si="23"/>
        <v>0</v>
      </c>
      <c r="V96" s="1">
        <f t="shared" si="24"/>
        <v>0</v>
      </c>
      <c r="W96" s="1">
        <f t="shared" si="25"/>
        <v>0</v>
      </c>
      <c r="X96" s="1">
        <f t="shared" si="26"/>
        <v>0</v>
      </c>
      <c r="Y96" s="80" t="s">
        <v>86</v>
      </c>
    </row>
    <row r="97" spans="1:25" x14ac:dyDescent="0.25">
      <c r="A97" s="8">
        <f t="shared" si="27"/>
        <v>86</v>
      </c>
      <c r="B97" s="197"/>
      <c r="C97" s="198"/>
      <c r="D97" s="195"/>
      <c r="E97" s="195"/>
      <c r="F97" s="196"/>
      <c r="G97" s="255"/>
      <c r="H97" s="255"/>
      <c r="I97" s="255"/>
      <c r="J97" s="255"/>
      <c r="K97" s="255"/>
      <c r="L97" s="255"/>
      <c r="M97" s="255"/>
      <c r="N97" s="109"/>
      <c r="O97" s="114"/>
      <c r="P97" s="194"/>
      <c r="R97" s="86">
        <f t="shared" si="20"/>
        <v>0</v>
      </c>
      <c r="S97" s="21">
        <f t="shared" si="21"/>
        <v>0</v>
      </c>
      <c r="T97" s="21">
        <f t="shared" si="22"/>
        <v>0</v>
      </c>
      <c r="U97" s="1">
        <f t="shared" si="23"/>
        <v>0</v>
      </c>
      <c r="V97" s="1">
        <f t="shared" si="24"/>
        <v>0</v>
      </c>
      <c r="W97" s="1">
        <f t="shared" si="25"/>
        <v>0</v>
      </c>
      <c r="X97" s="1">
        <f t="shared" si="26"/>
        <v>0</v>
      </c>
      <c r="Y97" s="80" t="s">
        <v>86</v>
      </c>
    </row>
    <row r="98" spans="1:25" x14ac:dyDescent="0.25">
      <c r="A98" s="8">
        <f t="shared" si="27"/>
        <v>87</v>
      </c>
      <c r="B98" s="197"/>
      <c r="C98" s="198"/>
      <c r="D98" s="195"/>
      <c r="E98" s="195"/>
      <c r="F98" s="196"/>
      <c r="G98" s="255"/>
      <c r="H98" s="255"/>
      <c r="I98" s="255"/>
      <c r="J98" s="255"/>
      <c r="K98" s="255"/>
      <c r="L98" s="255"/>
      <c r="M98" s="255"/>
      <c r="N98" s="109"/>
      <c r="O98" s="114"/>
      <c r="P98" s="194"/>
      <c r="R98" s="86">
        <f t="shared" si="20"/>
        <v>0</v>
      </c>
      <c r="S98" s="21">
        <f t="shared" si="21"/>
        <v>0</v>
      </c>
      <c r="T98" s="21">
        <f t="shared" si="22"/>
        <v>0</v>
      </c>
      <c r="U98" s="1">
        <f t="shared" si="23"/>
        <v>0</v>
      </c>
      <c r="V98" s="1">
        <f t="shared" si="24"/>
        <v>0</v>
      </c>
      <c r="W98" s="1">
        <f t="shared" si="25"/>
        <v>0</v>
      </c>
      <c r="X98" s="1">
        <f t="shared" si="26"/>
        <v>0</v>
      </c>
      <c r="Y98" s="80" t="s">
        <v>86</v>
      </c>
    </row>
    <row r="99" spans="1:25" x14ac:dyDescent="0.25">
      <c r="A99" s="8">
        <f t="shared" si="27"/>
        <v>88</v>
      </c>
      <c r="B99" s="197"/>
      <c r="C99" s="198"/>
      <c r="D99" s="195"/>
      <c r="E99" s="195"/>
      <c r="F99" s="196"/>
      <c r="G99" s="255"/>
      <c r="H99" s="255"/>
      <c r="I99" s="255"/>
      <c r="J99" s="255"/>
      <c r="K99" s="255"/>
      <c r="L99" s="255"/>
      <c r="M99" s="255"/>
      <c r="N99" s="109"/>
      <c r="O99" s="114"/>
      <c r="P99" s="194"/>
      <c r="R99" s="86">
        <f t="shared" si="20"/>
        <v>0</v>
      </c>
      <c r="S99" s="21">
        <f t="shared" si="21"/>
        <v>0</v>
      </c>
      <c r="T99" s="21">
        <f t="shared" si="22"/>
        <v>0</v>
      </c>
      <c r="U99" s="1">
        <f t="shared" si="23"/>
        <v>0</v>
      </c>
      <c r="V99" s="1">
        <f t="shared" si="24"/>
        <v>0</v>
      </c>
      <c r="W99" s="1">
        <f t="shared" si="25"/>
        <v>0</v>
      </c>
      <c r="X99" s="1">
        <f t="shared" si="26"/>
        <v>0</v>
      </c>
      <c r="Y99" s="80" t="s">
        <v>86</v>
      </c>
    </row>
    <row r="100" spans="1:25" x14ac:dyDescent="0.25">
      <c r="A100" s="8">
        <f t="shared" si="27"/>
        <v>89</v>
      </c>
      <c r="B100" s="197"/>
      <c r="C100" s="198"/>
      <c r="D100" s="195"/>
      <c r="E100" s="195"/>
      <c r="F100" s="196"/>
      <c r="G100" s="255"/>
      <c r="H100" s="255"/>
      <c r="I100" s="255"/>
      <c r="J100" s="255"/>
      <c r="K100" s="255"/>
      <c r="L100" s="255"/>
      <c r="M100" s="255"/>
      <c r="N100" s="109"/>
      <c r="O100" s="114"/>
      <c r="P100" s="194"/>
      <c r="R100" s="86">
        <f t="shared" si="20"/>
        <v>0</v>
      </c>
      <c r="S100" s="21">
        <f t="shared" si="21"/>
        <v>0</v>
      </c>
      <c r="T100" s="21">
        <f t="shared" si="22"/>
        <v>0</v>
      </c>
      <c r="U100" s="1">
        <f t="shared" si="23"/>
        <v>0</v>
      </c>
      <c r="V100" s="1">
        <f t="shared" si="24"/>
        <v>0</v>
      </c>
      <c r="W100" s="1">
        <f t="shared" si="25"/>
        <v>0</v>
      </c>
      <c r="X100" s="1">
        <f t="shared" si="26"/>
        <v>0</v>
      </c>
      <c r="Y100" s="80" t="s">
        <v>86</v>
      </c>
    </row>
    <row r="101" spans="1:25" x14ac:dyDescent="0.25">
      <c r="A101" s="8">
        <f t="shared" si="27"/>
        <v>90</v>
      </c>
      <c r="B101" s="197"/>
      <c r="C101" s="198"/>
      <c r="D101" s="195"/>
      <c r="E101" s="195"/>
      <c r="F101" s="196"/>
      <c r="G101" s="255"/>
      <c r="H101" s="255"/>
      <c r="I101" s="255"/>
      <c r="J101" s="255"/>
      <c r="K101" s="255"/>
      <c r="L101" s="255"/>
      <c r="M101" s="255"/>
      <c r="N101" s="109"/>
      <c r="O101" s="114"/>
      <c r="P101" s="194"/>
      <c r="R101" s="86">
        <f t="shared" si="20"/>
        <v>0</v>
      </c>
      <c r="S101" s="21">
        <f t="shared" si="21"/>
        <v>0</v>
      </c>
      <c r="T101" s="21">
        <f t="shared" si="22"/>
        <v>0</v>
      </c>
      <c r="U101" s="1">
        <f t="shared" si="23"/>
        <v>0</v>
      </c>
      <c r="V101" s="1">
        <f t="shared" si="24"/>
        <v>0</v>
      </c>
      <c r="W101" s="1">
        <f t="shared" si="25"/>
        <v>0</v>
      </c>
      <c r="X101" s="1">
        <f t="shared" si="26"/>
        <v>0</v>
      </c>
      <c r="Y101" s="80" t="s">
        <v>86</v>
      </c>
    </row>
    <row r="102" spans="1:25" x14ac:dyDescent="0.25">
      <c r="A102" s="8">
        <f t="shared" si="27"/>
        <v>91</v>
      </c>
      <c r="B102" s="197"/>
      <c r="C102" s="198"/>
      <c r="D102" s="195"/>
      <c r="E102" s="195"/>
      <c r="F102" s="196"/>
      <c r="G102" s="255"/>
      <c r="H102" s="255"/>
      <c r="I102" s="255"/>
      <c r="J102" s="255"/>
      <c r="K102" s="255"/>
      <c r="L102" s="255"/>
      <c r="M102" s="255"/>
      <c r="N102" s="109"/>
      <c r="O102" s="114"/>
      <c r="P102" s="194"/>
      <c r="R102" s="86">
        <f t="shared" si="20"/>
        <v>0</v>
      </c>
      <c r="S102" s="21">
        <f t="shared" si="21"/>
        <v>0</v>
      </c>
      <c r="T102" s="21">
        <f t="shared" si="22"/>
        <v>0</v>
      </c>
      <c r="U102" s="1">
        <f t="shared" si="23"/>
        <v>0</v>
      </c>
      <c r="V102" s="1">
        <f t="shared" si="24"/>
        <v>0</v>
      </c>
      <c r="W102" s="1">
        <f t="shared" si="25"/>
        <v>0</v>
      </c>
      <c r="X102" s="1">
        <f t="shared" si="26"/>
        <v>0</v>
      </c>
      <c r="Y102" s="80" t="s">
        <v>86</v>
      </c>
    </row>
    <row r="103" spans="1:25" x14ac:dyDescent="0.25">
      <c r="A103" s="8">
        <f t="shared" si="27"/>
        <v>92</v>
      </c>
      <c r="B103" s="197"/>
      <c r="C103" s="198"/>
      <c r="D103" s="195"/>
      <c r="E103" s="195"/>
      <c r="F103" s="196"/>
      <c r="G103" s="255"/>
      <c r="H103" s="255"/>
      <c r="I103" s="255"/>
      <c r="J103" s="255"/>
      <c r="K103" s="255"/>
      <c r="L103" s="255"/>
      <c r="M103" s="255"/>
      <c r="N103" s="109"/>
      <c r="O103" s="114"/>
      <c r="P103" s="194"/>
      <c r="R103" s="86">
        <f t="shared" si="20"/>
        <v>0</v>
      </c>
      <c r="S103" s="21">
        <f t="shared" si="21"/>
        <v>0</v>
      </c>
      <c r="T103" s="21">
        <f t="shared" si="22"/>
        <v>0</v>
      </c>
      <c r="U103" s="1">
        <f t="shared" si="23"/>
        <v>0</v>
      </c>
      <c r="V103" s="1">
        <f t="shared" si="24"/>
        <v>0</v>
      </c>
      <c r="W103" s="1">
        <f t="shared" si="25"/>
        <v>0</v>
      </c>
      <c r="X103" s="1">
        <f t="shared" si="26"/>
        <v>0</v>
      </c>
      <c r="Y103" s="80" t="s">
        <v>86</v>
      </c>
    </row>
    <row r="104" spans="1:25" x14ac:dyDescent="0.25">
      <c r="A104" s="8">
        <f t="shared" si="27"/>
        <v>93</v>
      </c>
      <c r="B104" s="197"/>
      <c r="C104" s="198"/>
      <c r="D104" s="195"/>
      <c r="E104" s="195"/>
      <c r="F104" s="196"/>
      <c r="G104" s="255"/>
      <c r="H104" s="255"/>
      <c r="I104" s="255"/>
      <c r="J104" s="255"/>
      <c r="K104" s="255"/>
      <c r="L104" s="255"/>
      <c r="M104" s="255"/>
      <c r="N104" s="109"/>
      <c r="O104" s="114"/>
      <c r="P104" s="194"/>
      <c r="R104" s="86">
        <f t="shared" si="20"/>
        <v>0</v>
      </c>
      <c r="S104" s="21">
        <f t="shared" si="21"/>
        <v>0</v>
      </c>
      <c r="T104" s="21">
        <f t="shared" si="22"/>
        <v>0</v>
      </c>
      <c r="U104" s="1">
        <f t="shared" si="23"/>
        <v>0</v>
      </c>
      <c r="V104" s="1">
        <f t="shared" si="24"/>
        <v>0</v>
      </c>
      <c r="W104" s="1">
        <f t="shared" si="25"/>
        <v>0</v>
      </c>
      <c r="X104" s="1">
        <f t="shared" si="26"/>
        <v>0</v>
      </c>
      <c r="Y104" s="80" t="s">
        <v>86</v>
      </c>
    </row>
    <row r="105" spans="1:25" x14ac:dyDescent="0.25">
      <c r="A105" s="8">
        <f t="shared" si="27"/>
        <v>94</v>
      </c>
      <c r="B105" s="197"/>
      <c r="C105" s="198"/>
      <c r="D105" s="195"/>
      <c r="E105" s="195"/>
      <c r="F105" s="196"/>
      <c r="G105" s="255"/>
      <c r="H105" s="255"/>
      <c r="I105" s="255"/>
      <c r="J105" s="255"/>
      <c r="K105" s="255"/>
      <c r="L105" s="255"/>
      <c r="M105" s="255"/>
      <c r="N105" s="109"/>
      <c r="O105" s="114"/>
      <c r="P105" s="194"/>
      <c r="R105" s="86">
        <f t="shared" si="20"/>
        <v>0</v>
      </c>
      <c r="S105" s="21">
        <f t="shared" si="21"/>
        <v>0</v>
      </c>
      <c r="T105" s="21">
        <f t="shared" si="22"/>
        <v>0</v>
      </c>
      <c r="U105" s="1">
        <f t="shared" si="23"/>
        <v>0</v>
      </c>
      <c r="V105" s="1">
        <f t="shared" si="24"/>
        <v>0</v>
      </c>
      <c r="W105" s="1">
        <f t="shared" si="25"/>
        <v>0</v>
      </c>
      <c r="X105" s="1">
        <f t="shared" si="26"/>
        <v>0</v>
      </c>
      <c r="Y105" s="80" t="s">
        <v>86</v>
      </c>
    </row>
    <row r="106" spans="1:25" x14ac:dyDescent="0.25">
      <c r="A106" s="8">
        <f t="shared" si="27"/>
        <v>95</v>
      </c>
      <c r="B106" s="197"/>
      <c r="C106" s="198"/>
      <c r="D106" s="195"/>
      <c r="E106" s="195"/>
      <c r="F106" s="196"/>
      <c r="G106" s="255"/>
      <c r="H106" s="255"/>
      <c r="I106" s="255"/>
      <c r="J106" s="255"/>
      <c r="K106" s="255"/>
      <c r="L106" s="255"/>
      <c r="M106" s="255"/>
      <c r="N106" s="109"/>
      <c r="O106" s="114"/>
      <c r="P106" s="194"/>
      <c r="R106" s="86">
        <f t="shared" si="20"/>
        <v>0</v>
      </c>
      <c r="S106" s="21">
        <f t="shared" si="21"/>
        <v>0</v>
      </c>
      <c r="T106" s="21">
        <f t="shared" si="22"/>
        <v>0</v>
      </c>
      <c r="U106" s="1">
        <f t="shared" si="23"/>
        <v>0</v>
      </c>
      <c r="V106" s="1">
        <f t="shared" si="24"/>
        <v>0</v>
      </c>
      <c r="W106" s="1">
        <f t="shared" si="25"/>
        <v>0</v>
      </c>
      <c r="X106" s="1">
        <f t="shared" si="26"/>
        <v>0</v>
      </c>
      <c r="Y106" s="80" t="s">
        <v>86</v>
      </c>
    </row>
    <row r="107" spans="1:25" x14ac:dyDescent="0.25">
      <c r="A107" s="8">
        <f t="shared" si="27"/>
        <v>96</v>
      </c>
      <c r="B107" s="197"/>
      <c r="C107" s="198"/>
      <c r="D107" s="195"/>
      <c r="E107" s="195"/>
      <c r="F107" s="196"/>
      <c r="G107" s="255"/>
      <c r="H107" s="255"/>
      <c r="I107" s="255"/>
      <c r="J107" s="255"/>
      <c r="K107" s="255"/>
      <c r="L107" s="255"/>
      <c r="M107" s="255"/>
      <c r="N107" s="109"/>
      <c r="O107" s="114"/>
      <c r="P107" s="194"/>
      <c r="R107" s="86">
        <f t="shared" si="20"/>
        <v>0</v>
      </c>
      <c r="S107" s="21">
        <f t="shared" si="21"/>
        <v>0</v>
      </c>
      <c r="T107" s="21">
        <f t="shared" si="22"/>
        <v>0</v>
      </c>
      <c r="U107" s="1">
        <f t="shared" si="23"/>
        <v>0</v>
      </c>
      <c r="V107" s="1">
        <f t="shared" si="24"/>
        <v>0</v>
      </c>
      <c r="W107" s="1">
        <f t="shared" si="25"/>
        <v>0</v>
      </c>
      <c r="X107" s="1">
        <f t="shared" si="26"/>
        <v>0</v>
      </c>
      <c r="Y107" s="80" t="s">
        <v>86</v>
      </c>
    </row>
    <row r="108" spans="1:25" x14ac:dyDescent="0.25">
      <c r="A108" s="8">
        <f t="shared" si="27"/>
        <v>97</v>
      </c>
      <c r="B108" s="197"/>
      <c r="C108" s="198"/>
      <c r="D108" s="195"/>
      <c r="E108" s="195"/>
      <c r="F108" s="196"/>
      <c r="G108" s="255"/>
      <c r="H108" s="255"/>
      <c r="I108" s="255"/>
      <c r="J108" s="255"/>
      <c r="K108" s="255"/>
      <c r="L108" s="255"/>
      <c r="M108" s="255"/>
      <c r="N108" s="109"/>
      <c r="O108" s="114"/>
      <c r="P108" s="194"/>
      <c r="R108" s="86">
        <f t="shared" ref="R108:R139" si="28">IF(K108=1,IF($B108=1,1,-1),0)</f>
        <v>0</v>
      </c>
      <c r="S108" s="21">
        <f t="shared" ref="S108:S139" si="29">IF(L108=1,IF($B108=1,1,-1),0)</f>
        <v>0</v>
      </c>
      <c r="T108" s="21">
        <f t="shared" ref="T108:T139" si="30">IF(M108=1,1,0)</f>
        <v>0</v>
      </c>
      <c r="U108" s="1">
        <f t="shared" ref="U108:U139" si="31">IF($B108&lt;&gt;1,IF(G108=1,1,0),0)</f>
        <v>0</v>
      </c>
      <c r="V108" s="1">
        <f t="shared" ref="V108:V139" si="32">IF($B108&lt;&gt;1,IF(H108=1,1,0),0)</f>
        <v>0</v>
      </c>
      <c r="W108" s="1">
        <f t="shared" ref="W108:W139" si="33">IF($B108&lt;&gt;1,IF(I108=1,1,0),0)</f>
        <v>0</v>
      </c>
      <c r="X108" s="1">
        <f t="shared" ref="X108:X139" si="34">IF($B108&lt;&gt;1,IF(J108=1,1,0),0)</f>
        <v>0</v>
      </c>
      <c r="Y108" s="80" t="s">
        <v>86</v>
      </c>
    </row>
    <row r="109" spans="1:25" x14ac:dyDescent="0.25">
      <c r="A109" s="8">
        <f t="shared" si="27"/>
        <v>98</v>
      </c>
      <c r="B109" s="197"/>
      <c r="C109" s="198"/>
      <c r="D109" s="195"/>
      <c r="E109" s="195"/>
      <c r="F109" s="196"/>
      <c r="G109" s="255"/>
      <c r="H109" s="255"/>
      <c r="I109" s="255"/>
      <c r="J109" s="255"/>
      <c r="K109" s="255"/>
      <c r="L109" s="255"/>
      <c r="M109" s="255"/>
      <c r="N109" s="109"/>
      <c r="O109" s="114"/>
      <c r="P109" s="194"/>
      <c r="R109" s="86">
        <f t="shared" si="28"/>
        <v>0</v>
      </c>
      <c r="S109" s="21">
        <f t="shared" si="29"/>
        <v>0</v>
      </c>
      <c r="T109" s="21">
        <f t="shared" si="30"/>
        <v>0</v>
      </c>
      <c r="U109" s="1">
        <f t="shared" si="31"/>
        <v>0</v>
      </c>
      <c r="V109" s="1">
        <f t="shared" si="32"/>
        <v>0</v>
      </c>
      <c r="W109" s="1">
        <f t="shared" si="33"/>
        <v>0</v>
      </c>
      <c r="X109" s="1">
        <f t="shared" si="34"/>
        <v>0</v>
      </c>
      <c r="Y109" s="80" t="s">
        <v>86</v>
      </c>
    </row>
    <row r="110" spans="1:25" x14ac:dyDescent="0.25">
      <c r="A110" s="8">
        <f t="shared" si="27"/>
        <v>99</v>
      </c>
      <c r="B110" s="197"/>
      <c r="C110" s="198"/>
      <c r="D110" s="195"/>
      <c r="E110" s="195"/>
      <c r="F110" s="196"/>
      <c r="G110" s="255"/>
      <c r="H110" s="255"/>
      <c r="I110" s="255"/>
      <c r="J110" s="255"/>
      <c r="K110" s="255"/>
      <c r="L110" s="255"/>
      <c r="M110" s="255"/>
      <c r="N110" s="109"/>
      <c r="O110" s="114"/>
      <c r="P110" s="194"/>
      <c r="R110" s="86">
        <f t="shared" si="28"/>
        <v>0</v>
      </c>
      <c r="S110" s="21">
        <f t="shared" si="29"/>
        <v>0</v>
      </c>
      <c r="T110" s="21">
        <f t="shared" si="30"/>
        <v>0</v>
      </c>
      <c r="U110" s="1">
        <f t="shared" si="31"/>
        <v>0</v>
      </c>
      <c r="V110" s="1">
        <f t="shared" si="32"/>
        <v>0</v>
      </c>
      <c r="W110" s="1">
        <f t="shared" si="33"/>
        <v>0</v>
      </c>
      <c r="X110" s="1">
        <f t="shared" si="34"/>
        <v>0</v>
      </c>
      <c r="Y110" s="80" t="s">
        <v>86</v>
      </c>
    </row>
    <row r="111" spans="1:25" x14ac:dyDescent="0.25">
      <c r="A111" s="8">
        <f t="shared" si="27"/>
        <v>100</v>
      </c>
      <c r="B111" s="197"/>
      <c r="C111" s="198"/>
      <c r="D111" s="195"/>
      <c r="E111" s="195"/>
      <c r="F111" s="196"/>
      <c r="G111" s="255"/>
      <c r="H111" s="255"/>
      <c r="I111" s="255"/>
      <c r="J111" s="255"/>
      <c r="K111" s="255"/>
      <c r="L111" s="255"/>
      <c r="M111" s="255"/>
      <c r="N111" s="109"/>
      <c r="O111" s="114"/>
      <c r="P111" s="194"/>
      <c r="R111" s="86">
        <f t="shared" si="28"/>
        <v>0</v>
      </c>
      <c r="S111" s="21">
        <f t="shared" si="29"/>
        <v>0</v>
      </c>
      <c r="T111" s="21">
        <f t="shared" si="30"/>
        <v>0</v>
      </c>
      <c r="U111" s="1">
        <f t="shared" si="31"/>
        <v>0</v>
      </c>
      <c r="V111" s="1">
        <f t="shared" si="32"/>
        <v>0</v>
      </c>
      <c r="W111" s="1">
        <f t="shared" si="33"/>
        <v>0</v>
      </c>
      <c r="X111" s="1">
        <f t="shared" si="34"/>
        <v>0</v>
      </c>
      <c r="Y111" s="80" t="s">
        <v>86</v>
      </c>
    </row>
    <row r="112" spans="1:25" x14ac:dyDescent="0.25">
      <c r="A112" s="8">
        <f t="shared" si="27"/>
        <v>101</v>
      </c>
      <c r="B112" s="197"/>
      <c r="C112" s="198"/>
      <c r="D112" s="195"/>
      <c r="E112" s="195"/>
      <c r="F112" s="196"/>
      <c r="G112" s="255"/>
      <c r="H112" s="255"/>
      <c r="I112" s="255"/>
      <c r="J112" s="255"/>
      <c r="K112" s="255"/>
      <c r="L112" s="255"/>
      <c r="M112" s="255"/>
      <c r="N112" s="109"/>
      <c r="O112" s="114"/>
      <c r="P112" s="194"/>
      <c r="R112" s="86">
        <f t="shared" si="28"/>
        <v>0</v>
      </c>
      <c r="S112" s="21">
        <f t="shared" si="29"/>
        <v>0</v>
      </c>
      <c r="T112" s="21">
        <f t="shared" si="30"/>
        <v>0</v>
      </c>
      <c r="U112" s="1">
        <f t="shared" si="31"/>
        <v>0</v>
      </c>
      <c r="V112" s="1">
        <f t="shared" si="32"/>
        <v>0</v>
      </c>
      <c r="W112" s="1">
        <f t="shared" si="33"/>
        <v>0</v>
      </c>
      <c r="X112" s="1">
        <f t="shared" si="34"/>
        <v>0</v>
      </c>
      <c r="Y112" s="80" t="s">
        <v>86</v>
      </c>
    </row>
    <row r="113" spans="1:25" x14ac:dyDescent="0.25">
      <c r="A113" s="8">
        <f t="shared" si="27"/>
        <v>102</v>
      </c>
      <c r="B113" s="197"/>
      <c r="C113" s="198"/>
      <c r="D113" s="195"/>
      <c r="E113" s="195"/>
      <c r="F113" s="196"/>
      <c r="G113" s="255"/>
      <c r="H113" s="255"/>
      <c r="I113" s="255"/>
      <c r="J113" s="255"/>
      <c r="K113" s="255"/>
      <c r="L113" s="255"/>
      <c r="M113" s="255"/>
      <c r="N113" s="109"/>
      <c r="O113" s="114"/>
      <c r="P113" s="194"/>
      <c r="R113" s="86">
        <f t="shared" si="28"/>
        <v>0</v>
      </c>
      <c r="S113" s="21">
        <f t="shared" si="29"/>
        <v>0</v>
      </c>
      <c r="T113" s="21">
        <f t="shared" si="30"/>
        <v>0</v>
      </c>
      <c r="U113" s="1">
        <f t="shared" si="31"/>
        <v>0</v>
      </c>
      <c r="V113" s="1">
        <f t="shared" si="32"/>
        <v>0</v>
      </c>
      <c r="W113" s="1">
        <f t="shared" si="33"/>
        <v>0</v>
      </c>
      <c r="X113" s="1">
        <f t="shared" si="34"/>
        <v>0</v>
      </c>
      <c r="Y113" s="80" t="s">
        <v>86</v>
      </c>
    </row>
    <row r="114" spans="1:25" x14ac:dyDescent="0.25">
      <c r="A114" s="8">
        <f t="shared" si="27"/>
        <v>103</v>
      </c>
      <c r="B114" s="197"/>
      <c r="C114" s="198"/>
      <c r="D114" s="195"/>
      <c r="E114" s="195"/>
      <c r="F114" s="196"/>
      <c r="G114" s="255"/>
      <c r="H114" s="255"/>
      <c r="I114" s="255"/>
      <c r="J114" s="255"/>
      <c r="K114" s="255"/>
      <c r="L114" s="255"/>
      <c r="M114" s="255"/>
      <c r="N114" s="109"/>
      <c r="O114" s="114"/>
      <c r="P114" s="194"/>
      <c r="R114" s="86">
        <f t="shared" si="28"/>
        <v>0</v>
      </c>
      <c r="S114" s="21">
        <f t="shared" si="29"/>
        <v>0</v>
      </c>
      <c r="T114" s="21">
        <f t="shared" si="30"/>
        <v>0</v>
      </c>
      <c r="U114" s="1">
        <f t="shared" si="31"/>
        <v>0</v>
      </c>
      <c r="V114" s="1">
        <f t="shared" si="32"/>
        <v>0</v>
      </c>
      <c r="W114" s="1">
        <f t="shared" si="33"/>
        <v>0</v>
      </c>
      <c r="X114" s="1">
        <f t="shared" si="34"/>
        <v>0</v>
      </c>
      <c r="Y114" s="80" t="s">
        <v>86</v>
      </c>
    </row>
    <row r="115" spans="1:25" x14ac:dyDescent="0.25">
      <c r="A115" s="8">
        <f t="shared" si="27"/>
        <v>104</v>
      </c>
      <c r="B115" s="197"/>
      <c r="C115" s="198"/>
      <c r="D115" s="195"/>
      <c r="E115" s="195"/>
      <c r="F115" s="196"/>
      <c r="G115" s="255"/>
      <c r="H115" s="255"/>
      <c r="I115" s="255"/>
      <c r="J115" s="255"/>
      <c r="K115" s="255"/>
      <c r="L115" s="255"/>
      <c r="M115" s="255"/>
      <c r="N115" s="109"/>
      <c r="O115" s="114"/>
      <c r="P115" s="194"/>
      <c r="R115" s="86">
        <f t="shared" si="28"/>
        <v>0</v>
      </c>
      <c r="S115" s="21">
        <f t="shared" si="29"/>
        <v>0</v>
      </c>
      <c r="T115" s="21">
        <f t="shared" si="30"/>
        <v>0</v>
      </c>
      <c r="U115" s="1">
        <f t="shared" si="31"/>
        <v>0</v>
      </c>
      <c r="V115" s="1">
        <f t="shared" si="32"/>
        <v>0</v>
      </c>
      <c r="W115" s="1">
        <f t="shared" si="33"/>
        <v>0</v>
      </c>
      <c r="X115" s="1">
        <f t="shared" si="34"/>
        <v>0</v>
      </c>
      <c r="Y115" s="80" t="s">
        <v>86</v>
      </c>
    </row>
    <row r="116" spans="1:25" x14ac:dyDescent="0.25">
      <c r="A116" s="8">
        <f t="shared" si="27"/>
        <v>105</v>
      </c>
      <c r="B116" s="197"/>
      <c r="C116" s="198"/>
      <c r="D116" s="195"/>
      <c r="E116" s="195"/>
      <c r="F116" s="196"/>
      <c r="G116" s="255"/>
      <c r="H116" s="255"/>
      <c r="I116" s="255"/>
      <c r="J116" s="255"/>
      <c r="K116" s="255"/>
      <c r="L116" s="255"/>
      <c r="M116" s="255"/>
      <c r="N116" s="109"/>
      <c r="O116" s="114"/>
      <c r="P116" s="194"/>
      <c r="R116" s="86">
        <f t="shared" si="28"/>
        <v>0</v>
      </c>
      <c r="S116" s="21">
        <f t="shared" si="29"/>
        <v>0</v>
      </c>
      <c r="T116" s="21">
        <f t="shared" si="30"/>
        <v>0</v>
      </c>
      <c r="U116" s="1">
        <f t="shared" si="31"/>
        <v>0</v>
      </c>
      <c r="V116" s="1">
        <f t="shared" si="32"/>
        <v>0</v>
      </c>
      <c r="W116" s="1">
        <f t="shared" si="33"/>
        <v>0</v>
      </c>
      <c r="X116" s="1">
        <f t="shared" si="34"/>
        <v>0</v>
      </c>
      <c r="Y116" s="80" t="s">
        <v>86</v>
      </c>
    </row>
    <row r="117" spans="1:25" x14ac:dyDescent="0.25">
      <c r="A117" s="8">
        <f t="shared" si="27"/>
        <v>106</v>
      </c>
      <c r="B117" s="197"/>
      <c r="C117" s="198"/>
      <c r="D117" s="195"/>
      <c r="E117" s="195"/>
      <c r="F117" s="196"/>
      <c r="G117" s="255"/>
      <c r="H117" s="255"/>
      <c r="I117" s="255"/>
      <c r="J117" s="255"/>
      <c r="K117" s="255"/>
      <c r="L117" s="255"/>
      <c r="M117" s="255"/>
      <c r="N117" s="109"/>
      <c r="O117" s="114"/>
      <c r="P117" s="194"/>
      <c r="R117" s="86">
        <f t="shared" si="28"/>
        <v>0</v>
      </c>
      <c r="S117" s="21">
        <f t="shared" si="29"/>
        <v>0</v>
      </c>
      <c r="T117" s="21">
        <f t="shared" si="30"/>
        <v>0</v>
      </c>
      <c r="U117" s="1">
        <f t="shared" si="31"/>
        <v>0</v>
      </c>
      <c r="V117" s="1">
        <f t="shared" si="32"/>
        <v>0</v>
      </c>
      <c r="W117" s="1">
        <f t="shared" si="33"/>
        <v>0</v>
      </c>
      <c r="X117" s="1">
        <f t="shared" si="34"/>
        <v>0</v>
      </c>
      <c r="Y117" s="80" t="s">
        <v>86</v>
      </c>
    </row>
    <row r="118" spans="1:25" x14ac:dyDescent="0.25">
      <c r="A118" s="8">
        <f t="shared" si="27"/>
        <v>107</v>
      </c>
      <c r="B118" s="197"/>
      <c r="C118" s="198"/>
      <c r="D118" s="195"/>
      <c r="E118" s="195"/>
      <c r="F118" s="196"/>
      <c r="G118" s="255"/>
      <c r="H118" s="255"/>
      <c r="I118" s="255"/>
      <c r="J118" s="255"/>
      <c r="K118" s="255"/>
      <c r="L118" s="255"/>
      <c r="M118" s="255"/>
      <c r="N118" s="109"/>
      <c r="O118" s="114"/>
      <c r="P118" s="194"/>
      <c r="R118" s="86">
        <f t="shared" si="28"/>
        <v>0</v>
      </c>
      <c r="S118" s="21">
        <f t="shared" si="29"/>
        <v>0</v>
      </c>
      <c r="T118" s="21">
        <f t="shared" si="30"/>
        <v>0</v>
      </c>
      <c r="U118" s="1">
        <f t="shared" si="31"/>
        <v>0</v>
      </c>
      <c r="V118" s="1">
        <f t="shared" si="32"/>
        <v>0</v>
      </c>
      <c r="W118" s="1">
        <f t="shared" si="33"/>
        <v>0</v>
      </c>
      <c r="X118" s="1">
        <f t="shared" si="34"/>
        <v>0</v>
      </c>
      <c r="Y118" s="80" t="s">
        <v>86</v>
      </c>
    </row>
    <row r="119" spans="1:25" x14ac:dyDescent="0.25">
      <c r="A119" s="8">
        <f t="shared" si="27"/>
        <v>108</v>
      </c>
      <c r="B119" s="197"/>
      <c r="C119" s="198"/>
      <c r="D119" s="195"/>
      <c r="E119" s="195"/>
      <c r="F119" s="196"/>
      <c r="G119" s="255"/>
      <c r="H119" s="255"/>
      <c r="I119" s="255"/>
      <c r="J119" s="255"/>
      <c r="K119" s="255"/>
      <c r="L119" s="255"/>
      <c r="M119" s="255"/>
      <c r="N119" s="109"/>
      <c r="O119" s="114"/>
      <c r="P119" s="194"/>
      <c r="R119" s="86">
        <f t="shared" si="28"/>
        <v>0</v>
      </c>
      <c r="S119" s="21">
        <f t="shared" si="29"/>
        <v>0</v>
      </c>
      <c r="T119" s="21">
        <f t="shared" si="30"/>
        <v>0</v>
      </c>
      <c r="U119" s="1">
        <f t="shared" si="31"/>
        <v>0</v>
      </c>
      <c r="V119" s="1">
        <f t="shared" si="32"/>
        <v>0</v>
      </c>
      <c r="W119" s="1">
        <f t="shared" si="33"/>
        <v>0</v>
      </c>
      <c r="X119" s="1">
        <f t="shared" si="34"/>
        <v>0</v>
      </c>
      <c r="Y119" s="80" t="s">
        <v>86</v>
      </c>
    </row>
    <row r="120" spans="1:25" x14ac:dyDescent="0.25">
      <c r="A120" s="8">
        <f t="shared" si="27"/>
        <v>109</v>
      </c>
      <c r="B120" s="197"/>
      <c r="C120" s="198"/>
      <c r="D120" s="195"/>
      <c r="E120" s="195"/>
      <c r="F120" s="196"/>
      <c r="G120" s="255"/>
      <c r="H120" s="255"/>
      <c r="I120" s="255"/>
      <c r="J120" s="255"/>
      <c r="K120" s="255"/>
      <c r="L120" s="255"/>
      <c r="M120" s="255"/>
      <c r="N120" s="109"/>
      <c r="O120" s="114"/>
      <c r="P120" s="194"/>
      <c r="R120" s="86">
        <f t="shared" si="28"/>
        <v>0</v>
      </c>
      <c r="S120" s="21">
        <f t="shared" si="29"/>
        <v>0</v>
      </c>
      <c r="T120" s="21">
        <f t="shared" si="30"/>
        <v>0</v>
      </c>
      <c r="U120" s="1">
        <f t="shared" si="31"/>
        <v>0</v>
      </c>
      <c r="V120" s="1">
        <f t="shared" si="32"/>
        <v>0</v>
      </c>
      <c r="W120" s="1">
        <f t="shared" si="33"/>
        <v>0</v>
      </c>
      <c r="X120" s="1">
        <f t="shared" si="34"/>
        <v>0</v>
      </c>
      <c r="Y120" s="80" t="s">
        <v>86</v>
      </c>
    </row>
    <row r="121" spans="1:25" x14ac:dyDescent="0.25">
      <c r="A121" s="8">
        <f t="shared" si="27"/>
        <v>110</v>
      </c>
      <c r="B121" s="197"/>
      <c r="C121" s="198"/>
      <c r="D121" s="195"/>
      <c r="E121" s="195"/>
      <c r="F121" s="196"/>
      <c r="G121" s="255"/>
      <c r="H121" s="255"/>
      <c r="I121" s="255"/>
      <c r="J121" s="255"/>
      <c r="K121" s="255"/>
      <c r="L121" s="255"/>
      <c r="M121" s="255"/>
      <c r="N121" s="109"/>
      <c r="O121" s="114"/>
      <c r="P121" s="194"/>
      <c r="R121" s="86">
        <f t="shared" si="28"/>
        <v>0</v>
      </c>
      <c r="S121" s="21">
        <f t="shared" si="29"/>
        <v>0</v>
      </c>
      <c r="T121" s="21">
        <f t="shared" si="30"/>
        <v>0</v>
      </c>
      <c r="U121" s="1">
        <f t="shared" si="31"/>
        <v>0</v>
      </c>
      <c r="V121" s="1">
        <f t="shared" si="32"/>
        <v>0</v>
      </c>
      <c r="W121" s="1">
        <f t="shared" si="33"/>
        <v>0</v>
      </c>
      <c r="X121" s="1">
        <f t="shared" si="34"/>
        <v>0</v>
      </c>
      <c r="Y121" s="80" t="s">
        <v>86</v>
      </c>
    </row>
    <row r="122" spans="1:25" x14ac:dyDescent="0.25">
      <c r="A122" s="8">
        <f t="shared" si="27"/>
        <v>111</v>
      </c>
      <c r="B122" s="197"/>
      <c r="C122" s="198"/>
      <c r="D122" s="195"/>
      <c r="E122" s="195"/>
      <c r="F122" s="196"/>
      <c r="G122" s="255"/>
      <c r="H122" s="255"/>
      <c r="I122" s="255"/>
      <c r="J122" s="255"/>
      <c r="K122" s="255"/>
      <c r="L122" s="255"/>
      <c r="M122" s="255"/>
      <c r="N122" s="109"/>
      <c r="O122" s="114"/>
      <c r="P122" s="194"/>
      <c r="R122" s="86">
        <f t="shared" si="28"/>
        <v>0</v>
      </c>
      <c r="S122" s="21">
        <f t="shared" si="29"/>
        <v>0</v>
      </c>
      <c r="T122" s="21">
        <f t="shared" si="30"/>
        <v>0</v>
      </c>
      <c r="U122" s="1">
        <f t="shared" si="31"/>
        <v>0</v>
      </c>
      <c r="V122" s="1">
        <f t="shared" si="32"/>
        <v>0</v>
      </c>
      <c r="W122" s="1">
        <f t="shared" si="33"/>
        <v>0</v>
      </c>
      <c r="X122" s="1">
        <f t="shared" si="34"/>
        <v>0</v>
      </c>
      <c r="Y122" s="80" t="s">
        <v>86</v>
      </c>
    </row>
    <row r="123" spans="1:25" x14ac:dyDescent="0.25">
      <c r="A123" s="8">
        <f t="shared" si="27"/>
        <v>112</v>
      </c>
      <c r="B123" s="197"/>
      <c r="C123" s="198"/>
      <c r="D123" s="195"/>
      <c r="E123" s="195"/>
      <c r="F123" s="196"/>
      <c r="G123" s="255"/>
      <c r="H123" s="255"/>
      <c r="I123" s="255"/>
      <c r="J123" s="255"/>
      <c r="K123" s="255"/>
      <c r="L123" s="255"/>
      <c r="M123" s="255"/>
      <c r="N123" s="109"/>
      <c r="O123" s="114"/>
      <c r="P123" s="194"/>
      <c r="R123" s="86">
        <f t="shared" si="28"/>
        <v>0</v>
      </c>
      <c r="S123" s="21">
        <f t="shared" si="29"/>
        <v>0</v>
      </c>
      <c r="T123" s="21">
        <f t="shared" si="30"/>
        <v>0</v>
      </c>
      <c r="U123" s="1">
        <f t="shared" si="31"/>
        <v>0</v>
      </c>
      <c r="V123" s="1">
        <f t="shared" si="32"/>
        <v>0</v>
      </c>
      <c r="W123" s="1">
        <f t="shared" si="33"/>
        <v>0</v>
      </c>
      <c r="X123" s="1">
        <f t="shared" si="34"/>
        <v>0</v>
      </c>
      <c r="Y123" s="80" t="s">
        <v>86</v>
      </c>
    </row>
    <row r="124" spans="1:25" x14ac:dyDescent="0.25">
      <c r="A124" s="8">
        <f t="shared" si="27"/>
        <v>113</v>
      </c>
      <c r="B124" s="197"/>
      <c r="C124" s="198"/>
      <c r="D124" s="195"/>
      <c r="E124" s="195"/>
      <c r="F124" s="196"/>
      <c r="G124" s="255"/>
      <c r="H124" s="255"/>
      <c r="I124" s="255"/>
      <c r="J124" s="255"/>
      <c r="K124" s="255"/>
      <c r="L124" s="255"/>
      <c r="M124" s="255"/>
      <c r="N124" s="109"/>
      <c r="O124" s="114"/>
      <c r="P124" s="194"/>
      <c r="R124" s="86">
        <f t="shared" si="28"/>
        <v>0</v>
      </c>
      <c r="S124" s="21">
        <f t="shared" si="29"/>
        <v>0</v>
      </c>
      <c r="T124" s="21">
        <f t="shared" si="30"/>
        <v>0</v>
      </c>
      <c r="U124" s="1">
        <f t="shared" si="31"/>
        <v>0</v>
      </c>
      <c r="V124" s="1">
        <f t="shared" si="32"/>
        <v>0</v>
      </c>
      <c r="W124" s="1">
        <f t="shared" si="33"/>
        <v>0</v>
      </c>
      <c r="X124" s="1">
        <f t="shared" si="34"/>
        <v>0</v>
      </c>
      <c r="Y124" s="80" t="s">
        <v>86</v>
      </c>
    </row>
    <row r="125" spans="1:25" x14ac:dyDescent="0.25">
      <c r="A125" s="8">
        <f t="shared" si="27"/>
        <v>114</v>
      </c>
      <c r="B125" s="197"/>
      <c r="C125" s="198"/>
      <c r="D125" s="195"/>
      <c r="E125" s="195"/>
      <c r="F125" s="196"/>
      <c r="G125" s="255"/>
      <c r="H125" s="255"/>
      <c r="I125" s="255"/>
      <c r="J125" s="255"/>
      <c r="K125" s="255"/>
      <c r="L125" s="255"/>
      <c r="M125" s="255"/>
      <c r="N125" s="109"/>
      <c r="O125" s="114"/>
      <c r="P125" s="194"/>
      <c r="R125" s="86">
        <f t="shared" si="28"/>
        <v>0</v>
      </c>
      <c r="S125" s="21">
        <f t="shared" si="29"/>
        <v>0</v>
      </c>
      <c r="T125" s="21">
        <f t="shared" si="30"/>
        <v>0</v>
      </c>
      <c r="U125" s="1">
        <f t="shared" si="31"/>
        <v>0</v>
      </c>
      <c r="V125" s="1">
        <f t="shared" si="32"/>
        <v>0</v>
      </c>
      <c r="W125" s="1">
        <f t="shared" si="33"/>
        <v>0</v>
      </c>
      <c r="X125" s="1">
        <f t="shared" si="34"/>
        <v>0</v>
      </c>
      <c r="Y125" s="80" t="s">
        <v>86</v>
      </c>
    </row>
    <row r="126" spans="1:25" x14ac:dyDescent="0.25">
      <c r="A126" s="8">
        <f t="shared" si="27"/>
        <v>115</v>
      </c>
      <c r="B126" s="197"/>
      <c r="C126" s="198"/>
      <c r="D126" s="195"/>
      <c r="E126" s="195"/>
      <c r="F126" s="196"/>
      <c r="G126" s="255"/>
      <c r="H126" s="255"/>
      <c r="I126" s="255"/>
      <c r="J126" s="255"/>
      <c r="K126" s="255"/>
      <c r="L126" s="255"/>
      <c r="M126" s="255"/>
      <c r="N126" s="109"/>
      <c r="O126" s="114"/>
      <c r="P126" s="194"/>
      <c r="R126" s="86">
        <f t="shared" si="28"/>
        <v>0</v>
      </c>
      <c r="S126" s="21">
        <f t="shared" si="29"/>
        <v>0</v>
      </c>
      <c r="T126" s="21">
        <f t="shared" si="30"/>
        <v>0</v>
      </c>
      <c r="U126" s="1">
        <f t="shared" si="31"/>
        <v>0</v>
      </c>
      <c r="V126" s="1">
        <f t="shared" si="32"/>
        <v>0</v>
      </c>
      <c r="W126" s="1">
        <f t="shared" si="33"/>
        <v>0</v>
      </c>
      <c r="X126" s="1">
        <f t="shared" si="34"/>
        <v>0</v>
      </c>
      <c r="Y126" s="80" t="s">
        <v>86</v>
      </c>
    </row>
    <row r="127" spans="1:25" x14ac:dyDescent="0.25">
      <c r="A127" s="8">
        <f t="shared" si="27"/>
        <v>116</v>
      </c>
      <c r="B127" s="197"/>
      <c r="C127" s="198"/>
      <c r="D127" s="195"/>
      <c r="E127" s="195"/>
      <c r="F127" s="196"/>
      <c r="G127" s="255"/>
      <c r="H127" s="255"/>
      <c r="I127" s="255"/>
      <c r="J127" s="255"/>
      <c r="K127" s="255"/>
      <c r="L127" s="255"/>
      <c r="M127" s="255"/>
      <c r="N127" s="109"/>
      <c r="O127" s="114"/>
      <c r="P127" s="194"/>
      <c r="R127" s="86">
        <f t="shared" si="28"/>
        <v>0</v>
      </c>
      <c r="S127" s="21">
        <f t="shared" si="29"/>
        <v>0</v>
      </c>
      <c r="T127" s="21">
        <f t="shared" si="30"/>
        <v>0</v>
      </c>
      <c r="U127" s="1">
        <f t="shared" si="31"/>
        <v>0</v>
      </c>
      <c r="V127" s="1">
        <f t="shared" si="32"/>
        <v>0</v>
      </c>
      <c r="W127" s="1">
        <f t="shared" si="33"/>
        <v>0</v>
      </c>
      <c r="X127" s="1">
        <f t="shared" si="34"/>
        <v>0</v>
      </c>
      <c r="Y127" s="80" t="s">
        <v>86</v>
      </c>
    </row>
    <row r="128" spans="1:25" x14ac:dyDescent="0.25">
      <c r="A128" s="8">
        <f t="shared" si="27"/>
        <v>117</v>
      </c>
      <c r="B128" s="197"/>
      <c r="C128" s="198"/>
      <c r="D128" s="195"/>
      <c r="E128" s="195"/>
      <c r="F128" s="196"/>
      <c r="G128" s="255"/>
      <c r="H128" s="255"/>
      <c r="I128" s="255"/>
      <c r="J128" s="255"/>
      <c r="K128" s="255"/>
      <c r="L128" s="255"/>
      <c r="M128" s="255"/>
      <c r="N128" s="109"/>
      <c r="O128" s="114"/>
      <c r="P128" s="194"/>
      <c r="R128" s="86">
        <f t="shared" si="28"/>
        <v>0</v>
      </c>
      <c r="S128" s="21">
        <f t="shared" si="29"/>
        <v>0</v>
      </c>
      <c r="T128" s="21">
        <f t="shared" si="30"/>
        <v>0</v>
      </c>
      <c r="U128" s="1">
        <f t="shared" si="31"/>
        <v>0</v>
      </c>
      <c r="V128" s="1">
        <f t="shared" si="32"/>
        <v>0</v>
      </c>
      <c r="W128" s="1">
        <f t="shared" si="33"/>
        <v>0</v>
      </c>
      <c r="X128" s="1">
        <f t="shared" si="34"/>
        <v>0</v>
      </c>
      <c r="Y128" s="80" t="s">
        <v>86</v>
      </c>
    </row>
    <row r="129" spans="1:25" x14ac:dyDescent="0.25">
      <c r="A129" s="8">
        <f t="shared" si="27"/>
        <v>118</v>
      </c>
      <c r="B129" s="197"/>
      <c r="C129" s="198"/>
      <c r="D129" s="195"/>
      <c r="E129" s="195"/>
      <c r="F129" s="196"/>
      <c r="G129" s="255"/>
      <c r="H129" s="255"/>
      <c r="I129" s="255"/>
      <c r="J129" s="255"/>
      <c r="K129" s="255"/>
      <c r="L129" s="255"/>
      <c r="M129" s="255"/>
      <c r="N129" s="109"/>
      <c r="O129" s="114"/>
      <c r="P129" s="194"/>
      <c r="R129" s="86">
        <f t="shared" si="28"/>
        <v>0</v>
      </c>
      <c r="S129" s="21">
        <f t="shared" si="29"/>
        <v>0</v>
      </c>
      <c r="T129" s="21">
        <f t="shared" si="30"/>
        <v>0</v>
      </c>
      <c r="U129" s="1">
        <f t="shared" si="31"/>
        <v>0</v>
      </c>
      <c r="V129" s="1">
        <f t="shared" si="32"/>
        <v>0</v>
      </c>
      <c r="W129" s="1">
        <f t="shared" si="33"/>
        <v>0</v>
      </c>
      <c r="X129" s="1">
        <f t="shared" si="34"/>
        <v>0</v>
      </c>
      <c r="Y129" s="80" t="s">
        <v>86</v>
      </c>
    </row>
    <row r="130" spans="1:25" x14ac:dyDescent="0.25">
      <c r="A130" s="8">
        <f t="shared" si="27"/>
        <v>119</v>
      </c>
      <c r="B130" s="197"/>
      <c r="C130" s="198"/>
      <c r="D130" s="195"/>
      <c r="E130" s="195"/>
      <c r="F130" s="196"/>
      <c r="G130" s="255"/>
      <c r="H130" s="255"/>
      <c r="I130" s="255"/>
      <c r="J130" s="255"/>
      <c r="K130" s="255"/>
      <c r="L130" s="255"/>
      <c r="M130" s="255"/>
      <c r="N130" s="109"/>
      <c r="O130" s="114"/>
      <c r="P130" s="194"/>
      <c r="R130" s="86">
        <f t="shared" si="28"/>
        <v>0</v>
      </c>
      <c r="S130" s="21">
        <f t="shared" si="29"/>
        <v>0</v>
      </c>
      <c r="T130" s="21">
        <f t="shared" si="30"/>
        <v>0</v>
      </c>
      <c r="U130" s="1">
        <f t="shared" si="31"/>
        <v>0</v>
      </c>
      <c r="V130" s="1">
        <f t="shared" si="32"/>
        <v>0</v>
      </c>
      <c r="W130" s="1">
        <f t="shared" si="33"/>
        <v>0</v>
      </c>
      <c r="X130" s="1">
        <f t="shared" si="34"/>
        <v>0</v>
      </c>
      <c r="Y130" s="80" t="s">
        <v>86</v>
      </c>
    </row>
    <row r="131" spans="1:25" x14ac:dyDescent="0.25">
      <c r="A131" s="8">
        <f t="shared" si="27"/>
        <v>120</v>
      </c>
      <c r="B131" s="197"/>
      <c r="C131" s="198"/>
      <c r="D131" s="195"/>
      <c r="E131" s="195"/>
      <c r="F131" s="196"/>
      <c r="G131" s="255"/>
      <c r="H131" s="255"/>
      <c r="I131" s="255"/>
      <c r="J131" s="255"/>
      <c r="K131" s="255"/>
      <c r="L131" s="255"/>
      <c r="M131" s="255"/>
      <c r="N131" s="109"/>
      <c r="O131" s="114"/>
      <c r="P131" s="194"/>
      <c r="R131" s="86">
        <f t="shared" si="28"/>
        <v>0</v>
      </c>
      <c r="S131" s="21">
        <f t="shared" si="29"/>
        <v>0</v>
      </c>
      <c r="T131" s="21">
        <f t="shared" si="30"/>
        <v>0</v>
      </c>
      <c r="U131" s="1">
        <f t="shared" si="31"/>
        <v>0</v>
      </c>
      <c r="V131" s="1">
        <f t="shared" si="32"/>
        <v>0</v>
      </c>
      <c r="W131" s="1">
        <f t="shared" si="33"/>
        <v>0</v>
      </c>
      <c r="X131" s="1">
        <f t="shared" si="34"/>
        <v>0</v>
      </c>
      <c r="Y131" s="80" t="s">
        <v>86</v>
      </c>
    </row>
    <row r="132" spans="1:25" x14ac:dyDescent="0.25">
      <c r="A132" s="8">
        <f t="shared" si="27"/>
        <v>121</v>
      </c>
      <c r="B132" s="197"/>
      <c r="C132" s="198"/>
      <c r="D132" s="195"/>
      <c r="E132" s="195"/>
      <c r="F132" s="196"/>
      <c r="G132" s="255"/>
      <c r="H132" s="255"/>
      <c r="I132" s="255"/>
      <c r="J132" s="255"/>
      <c r="K132" s="255"/>
      <c r="L132" s="255"/>
      <c r="M132" s="255"/>
      <c r="N132" s="109"/>
      <c r="O132" s="114"/>
      <c r="P132" s="194"/>
      <c r="R132" s="86">
        <f t="shared" si="28"/>
        <v>0</v>
      </c>
      <c r="S132" s="21">
        <f t="shared" si="29"/>
        <v>0</v>
      </c>
      <c r="T132" s="21">
        <f t="shared" si="30"/>
        <v>0</v>
      </c>
      <c r="U132" s="1">
        <f t="shared" si="31"/>
        <v>0</v>
      </c>
      <c r="V132" s="1">
        <f t="shared" si="32"/>
        <v>0</v>
      </c>
      <c r="W132" s="1">
        <f t="shared" si="33"/>
        <v>0</v>
      </c>
      <c r="X132" s="1">
        <f t="shared" si="34"/>
        <v>0</v>
      </c>
      <c r="Y132" s="80" t="s">
        <v>86</v>
      </c>
    </row>
    <row r="133" spans="1:25" x14ac:dyDescent="0.25">
      <c r="A133" s="8">
        <f t="shared" si="27"/>
        <v>122</v>
      </c>
      <c r="B133" s="197"/>
      <c r="C133" s="198"/>
      <c r="D133" s="195"/>
      <c r="E133" s="195"/>
      <c r="F133" s="196"/>
      <c r="G133" s="255"/>
      <c r="H133" s="255"/>
      <c r="I133" s="255"/>
      <c r="J133" s="255"/>
      <c r="K133" s="255"/>
      <c r="L133" s="255"/>
      <c r="M133" s="255"/>
      <c r="N133" s="109"/>
      <c r="O133" s="114"/>
      <c r="P133" s="194"/>
      <c r="R133" s="86">
        <f t="shared" si="28"/>
        <v>0</v>
      </c>
      <c r="S133" s="21">
        <f t="shared" si="29"/>
        <v>0</v>
      </c>
      <c r="T133" s="21">
        <f t="shared" si="30"/>
        <v>0</v>
      </c>
      <c r="U133" s="1">
        <f t="shared" si="31"/>
        <v>0</v>
      </c>
      <c r="V133" s="1">
        <f t="shared" si="32"/>
        <v>0</v>
      </c>
      <c r="W133" s="1">
        <f t="shared" si="33"/>
        <v>0</v>
      </c>
      <c r="X133" s="1">
        <f t="shared" si="34"/>
        <v>0</v>
      </c>
      <c r="Y133" s="80" t="s">
        <v>86</v>
      </c>
    </row>
    <row r="134" spans="1:25" x14ac:dyDescent="0.25">
      <c r="A134" s="8">
        <f t="shared" si="27"/>
        <v>123</v>
      </c>
      <c r="B134" s="197"/>
      <c r="C134" s="198"/>
      <c r="D134" s="195"/>
      <c r="E134" s="195"/>
      <c r="F134" s="196"/>
      <c r="G134" s="255"/>
      <c r="H134" s="255"/>
      <c r="I134" s="255"/>
      <c r="J134" s="255"/>
      <c r="K134" s="255"/>
      <c r="L134" s="255"/>
      <c r="M134" s="255"/>
      <c r="N134" s="109"/>
      <c r="O134" s="114"/>
      <c r="P134" s="194"/>
      <c r="R134" s="86">
        <f t="shared" si="28"/>
        <v>0</v>
      </c>
      <c r="S134" s="21">
        <f t="shared" si="29"/>
        <v>0</v>
      </c>
      <c r="T134" s="21">
        <f t="shared" si="30"/>
        <v>0</v>
      </c>
      <c r="U134" s="1">
        <f t="shared" si="31"/>
        <v>0</v>
      </c>
      <c r="V134" s="1">
        <f t="shared" si="32"/>
        <v>0</v>
      </c>
      <c r="W134" s="1">
        <f t="shared" si="33"/>
        <v>0</v>
      </c>
      <c r="X134" s="1">
        <f t="shared" si="34"/>
        <v>0</v>
      </c>
      <c r="Y134" s="80" t="s">
        <v>86</v>
      </c>
    </row>
    <row r="135" spans="1:25" x14ac:dyDescent="0.25">
      <c r="A135" s="8">
        <f t="shared" si="27"/>
        <v>124</v>
      </c>
      <c r="B135" s="197"/>
      <c r="C135" s="198"/>
      <c r="D135" s="195"/>
      <c r="E135" s="195"/>
      <c r="F135" s="196"/>
      <c r="G135" s="255"/>
      <c r="H135" s="255"/>
      <c r="I135" s="255"/>
      <c r="J135" s="255"/>
      <c r="K135" s="255"/>
      <c r="L135" s="255"/>
      <c r="M135" s="255"/>
      <c r="N135" s="109"/>
      <c r="O135" s="114"/>
      <c r="P135" s="194"/>
      <c r="R135" s="86">
        <f t="shared" si="28"/>
        <v>0</v>
      </c>
      <c r="S135" s="21">
        <f t="shared" si="29"/>
        <v>0</v>
      </c>
      <c r="T135" s="21">
        <f t="shared" si="30"/>
        <v>0</v>
      </c>
      <c r="U135" s="1">
        <f t="shared" si="31"/>
        <v>0</v>
      </c>
      <c r="V135" s="1">
        <f t="shared" si="32"/>
        <v>0</v>
      </c>
      <c r="W135" s="1">
        <f t="shared" si="33"/>
        <v>0</v>
      </c>
      <c r="X135" s="1">
        <f t="shared" si="34"/>
        <v>0</v>
      </c>
      <c r="Y135" s="80" t="s">
        <v>86</v>
      </c>
    </row>
    <row r="136" spans="1:25" x14ac:dyDescent="0.25">
      <c r="A136" s="8">
        <f t="shared" si="27"/>
        <v>125</v>
      </c>
      <c r="B136" s="197"/>
      <c r="C136" s="198"/>
      <c r="D136" s="195"/>
      <c r="E136" s="195"/>
      <c r="F136" s="196"/>
      <c r="G136" s="255"/>
      <c r="H136" s="255"/>
      <c r="I136" s="255"/>
      <c r="J136" s="255"/>
      <c r="K136" s="255"/>
      <c r="L136" s="255"/>
      <c r="M136" s="255"/>
      <c r="N136" s="109"/>
      <c r="O136" s="114"/>
      <c r="P136" s="194"/>
      <c r="R136" s="86">
        <f t="shared" si="28"/>
        <v>0</v>
      </c>
      <c r="S136" s="21">
        <f t="shared" si="29"/>
        <v>0</v>
      </c>
      <c r="T136" s="21">
        <f t="shared" si="30"/>
        <v>0</v>
      </c>
      <c r="U136" s="1">
        <f t="shared" si="31"/>
        <v>0</v>
      </c>
      <c r="V136" s="1">
        <f t="shared" si="32"/>
        <v>0</v>
      </c>
      <c r="W136" s="1">
        <f t="shared" si="33"/>
        <v>0</v>
      </c>
      <c r="X136" s="1">
        <f t="shared" si="34"/>
        <v>0</v>
      </c>
      <c r="Y136" s="80" t="s">
        <v>86</v>
      </c>
    </row>
    <row r="137" spans="1:25" x14ac:dyDescent="0.25">
      <c r="A137" s="8">
        <f t="shared" si="27"/>
        <v>126</v>
      </c>
      <c r="B137" s="197"/>
      <c r="C137" s="198"/>
      <c r="D137" s="195"/>
      <c r="E137" s="195"/>
      <c r="F137" s="196"/>
      <c r="G137" s="255"/>
      <c r="H137" s="255"/>
      <c r="I137" s="255"/>
      <c r="J137" s="255"/>
      <c r="K137" s="255"/>
      <c r="L137" s="255"/>
      <c r="M137" s="255"/>
      <c r="N137" s="109"/>
      <c r="O137" s="114"/>
      <c r="P137" s="194"/>
      <c r="R137" s="86">
        <f t="shared" si="28"/>
        <v>0</v>
      </c>
      <c r="S137" s="21">
        <f t="shared" si="29"/>
        <v>0</v>
      </c>
      <c r="T137" s="21">
        <f t="shared" si="30"/>
        <v>0</v>
      </c>
      <c r="U137" s="1">
        <f t="shared" si="31"/>
        <v>0</v>
      </c>
      <c r="V137" s="1">
        <f t="shared" si="32"/>
        <v>0</v>
      </c>
      <c r="W137" s="1">
        <f t="shared" si="33"/>
        <v>0</v>
      </c>
      <c r="X137" s="1">
        <f t="shared" si="34"/>
        <v>0</v>
      </c>
      <c r="Y137" s="80" t="s">
        <v>86</v>
      </c>
    </row>
    <row r="138" spans="1:25" x14ac:dyDescent="0.25">
      <c r="A138" s="8">
        <f t="shared" si="27"/>
        <v>127</v>
      </c>
      <c r="B138" s="197"/>
      <c r="C138" s="198"/>
      <c r="D138" s="195"/>
      <c r="E138" s="195"/>
      <c r="F138" s="196"/>
      <c r="G138" s="255"/>
      <c r="H138" s="255"/>
      <c r="I138" s="255"/>
      <c r="J138" s="255"/>
      <c r="K138" s="255"/>
      <c r="L138" s="255"/>
      <c r="M138" s="255"/>
      <c r="N138" s="109"/>
      <c r="O138" s="114"/>
      <c r="P138" s="194"/>
      <c r="R138" s="86">
        <f t="shared" si="28"/>
        <v>0</v>
      </c>
      <c r="S138" s="21">
        <f t="shared" si="29"/>
        <v>0</v>
      </c>
      <c r="T138" s="21">
        <f t="shared" si="30"/>
        <v>0</v>
      </c>
      <c r="U138" s="1">
        <f t="shared" si="31"/>
        <v>0</v>
      </c>
      <c r="V138" s="1">
        <f t="shared" si="32"/>
        <v>0</v>
      </c>
      <c r="W138" s="1">
        <f t="shared" si="33"/>
        <v>0</v>
      </c>
      <c r="X138" s="1">
        <f t="shared" si="34"/>
        <v>0</v>
      </c>
      <c r="Y138" s="80" t="s">
        <v>86</v>
      </c>
    </row>
    <row r="139" spans="1:25" x14ac:dyDescent="0.25">
      <c r="A139" s="8">
        <f t="shared" si="27"/>
        <v>128</v>
      </c>
      <c r="B139" s="197"/>
      <c r="C139" s="198"/>
      <c r="D139" s="195"/>
      <c r="E139" s="195"/>
      <c r="F139" s="196"/>
      <c r="G139" s="255"/>
      <c r="H139" s="255"/>
      <c r="I139" s="255"/>
      <c r="J139" s="255"/>
      <c r="K139" s="255"/>
      <c r="L139" s="255"/>
      <c r="M139" s="255"/>
      <c r="N139" s="109"/>
      <c r="O139" s="114"/>
      <c r="P139" s="194"/>
      <c r="R139" s="86">
        <f t="shared" si="28"/>
        <v>0</v>
      </c>
      <c r="S139" s="21">
        <f t="shared" si="29"/>
        <v>0</v>
      </c>
      <c r="T139" s="21">
        <f t="shared" si="30"/>
        <v>0</v>
      </c>
      <c r="U139" s="1">
        <f t="shared" si="31"/>
        <v>0</v>
      </c>
      <c r="V139" s="1">
        <f t="shared" si="32"/>
        <v>0</v>
      </c>
      <c r="W139" s="1">
        <f t="shared" si="33"/>
        <v>0</v>
      </c>
      <c r="X139" s="1">
        <f t="shared" si="34"/>
        <v>0</v>
      </c>
      <c r="Y139" s="80" t="s">
        <v>86</v>
      </c>
    </row>
    <row r="140" spans="1:25" x14ac:dyDescent="0.25">
      <c r="A140" s="8">
        <f t="shared" si="27"/>
        <v>129</v>
      </c>
      <c r="B140" s="197"/>
      <c r="C140" s="198"/>
      <c r="D140" s="195"/>
      <c r="E140" s="195"/>
      <c r="F140" s="196"/>
      <c r="G140" s="255"/>
      <c r="H140" s="255"/>
      <c r="I140" s="255"/>
      <c r="J140" s="255"/>
      <c r="K140" s="255"/>
      <c r="L140" s="255"/>
      <c r="M140" s="255"/>
      <c r="N140" s="109"/>
      <c r="O140" s="114"/>
      <c r="P140" s="194"/>
      <c r="R140" s="86">
        <f t="shared" ref="R140:R171" si="35">IF(K140=1,IF($B140=1,1,-1),0)</f>
        <v>0</v>
      </c>
      <c r="S140" s="21">
        <f t="shared" ref="S140:S171" si="36">IF(L140=1,IF($B140=1,1,-1),0)</f>
        <v>0</v>
      </c>
      <c r="T140" s="21">
        <f t="shared" ref="T140:T171" si="37">IF(M140=1,1,0)</f>
        <v>0</v>
      </c>
      <c r="U140" s="1">
        <f t="shared" ref="U140:U171" si="38">IF($B140&lt;&gt;1,IF(G140=1,1,0),0)</f>
        <v>0</v>
      </c>
      <c r="V140" s="1">
        <f t="shared" ref="V140:V171" si="39">IF($B140&lt;&gt;1,IF(H140=1,1,0),0)</f>
        <v>0</v>
      </c>
      <c r="W140" s="1">
        <f t="shared" ref="W140:W171" si="40">IF($B140&lt;&gt;1,IF(I140=1,1,0),0)</f>
        <v>0</v>
      </c>
      <c r="X140" s="1">
        <f t="shared" ref="X140:X171" si="41">IF($B140&lt;&gt;1,IF(J140=1,1,0),0)</f>
        <v>0</v>
      </c>
      <c r="Y140" s="80" t="s">
        <v>86</v>
      </c>
    </row>
    <row r="141" spans="1:25" x14ac:dyDescent="0.25">
      <c r="A141" s="8">
        <f t="shared" si="27"/>
        <v>130</v>
      </c>
      <c r="B141" s="197"/>
      <c r="C141" s="198"/>
      <c r="D141" s="195"/>
      <c r="E141" s="195"/>
      <c r="F141" s="196"/>
      <c r="G141" s="255"/>
      <c r="H141" s="255"/>
      <c r="I141" s="255"/>
      <c r="J141" s="255"/>
      <c r="K141" s="255"/>
      <c r="L141" s="255"/>
      <c r="M141" s="255"/>
      <c r="N141" s="109"/>
      <c r="O141" s="114"/>
      <c r="P141" s="194"/>
      <c r="R141" s="86">
        <f t="shared" si="35"/>
        <v>0</v>
      </c>
      <c r="S141" s="21">
        <f t="shared" si="36"/>
        <v>0</v>
      </c>
      <c r="T141" s="21">
        <f t="shared" si="37"/>
        <v>0</v>
      </c>
      <c r="U141" s="1">
        <f t="shared" si="38"/>
        <v>0</v>
      </c>
      <c r="V141" s="1">
        <f t="shared" si="39"/>
        <v>0</v>
      </c>
      <c r="W141" s="1">
        <f t="shared" si="40"/>
        <v>0</v>
      </c>
      <c r="X141" s="1">
        <f t="shared" si="41"/>
        <v>0</v>
      </c>
      <c r="Y141" s="80" t="s">
        <v>86</v>
      </c>
    </row>
    <row r="142" spans="1:25" x14ac:dyDescent="0.25">
      <c r="A142" s="8">
        <f t="shared" ref="A142:A205" si="42">+A141+1</f>
        <v>131</v>
      </c>
      <c r="B142" s="197"/>
      <c r="C142" s="198"/>
      <c r="D142" s="195"/>
      <c r="E142" s="195"/>
      <c r="F142" s="196"/>
      <c r="G142" s="255"/>
      <c r="H142" s="255"/>
      <c r="I142" s="255"/>
      <c r="J142" s="255"/>
      <c r="K142" s="255"/>
      <c r="L142" s="255"/>
      <c r="M142" s="255"/>
      <c r="N142" s="109"/>
      <c r="O142" s="114"/>
      <c r="P142" s="194"/>
      <c r="R142" s="86">
        <f t="shared" si="35"/>
        <v>0</v>
      </c>
      <c r="S142" s="21">
        <f t="shared" si="36"/>
        <v>0</v>
      </c>
      <c r="T142" s="21">
        <f t="shared" si="37"/>
        <v>0</v>
      </c>
      <c r="U142" s="1">
        <f t="shared" si="38"/>
        <v>0</v>
      </c>
      <c r="V142" s="1">
        <f t="shared" si="39"/>
        <v>0</v>
      </c>
      <c r="W142" s="1">
        <f t="shared" si="40"/>
        <v>0</v>
      </c>
      <c r="X142" s="1">
        <f t="shared" si="41"/>
        <v>0</v>
      </c>
      <c r="Y142" s="80" t="s">
        <v>86</v>
      </c>
    </row>
    <row r="143" spans="1:25" x14ac:dyDescent="0.25">
      <c r="A143" s="8">
        <f t="shared" si="42"/>
        <v>132</v>
      </c>
      <c r="B143" s="197"/>
      <c r="C143" s="198"/>
      <c r="D143" s="195"/>
      <c r="E143" s="195"/>
      <c r="F143" s="196"/>
      <c r="G143" s="255"/>
      <c r="H143" s="255"/>
      <c r="I143" s="255"/>
      <c r="J143" s="255"/>
      <c r="K143" s="255"/>
      <c r="L143" s="255"/>
      <c r="M143" s="255"/>
      <c r="N143" s="109"/>
      <c r="O143" s="114"/>
      <c r="P143" s="194"/>
      <c r="R143" s="86">
        <f t="shared" si="35"/>
        <v>0</v>
      </c>
      <c r="S143" s="21">
        <f t="shared" si="36"/>
        <v>0</v>
      </c>
      <c r="T143" s="21">
        <f t="shared" si="37"/>
        <v>0</v>
      </c>
      <c r="U143" s="1">
        <f t="shared" si="38"/>
        <v>0</v>
      </c>
      <c r="V143" s="1">
        <f t="shared" si="39"/>
        <v>0</v>
      </c>
      <c r="W143" s="1">
        <f t="shared" si="40"/>
        <v>0</v>
      </c>
      <c r="X143" s="1">
        <f t="shared" si="41"/>
        <v>0</v>
      </c>
      <c r="Y143" s="80" t="s">
        <v>86</v>
      </c>
    </row>
    <row r="144" spans="1:25" x14ac:dyDescent="0.25">
      <c r="A144" s="8">
        <f t="shared" si="42"/>
        <v>133</v>
      </c>
      <c r="B144" s="197"/>
      <c r="C144" s="198"/>
      <c r="D144" s="195"/>
      <c r="E144" s="195"/>
      <c r="F144" s="196"/>
      <c r="G144" s="255"/>
      <c r="H144" s="255"/>
      <c r="I144" s="255"/>
      <c r="J144" s="255"/>
      <c r="K144" s="255"/>
      <c r="L144" s="255"/>
      <c r="M144" s="255"/>
      <c r="N144" s="109"/>
      <c r="O144" s="114"/>
      <c r="P144" s="194"/>
      <c r="R144" s="86">
        <f t="shared" si="35"/>
        <v>0</v>
      </c>
      <c r="S144" s="21">
        <f t="shared" si="36"/>
        <v>0</v>
      </c>
      <c r="T144" s="21">
        <f t="shared" si="37"/>
        <v>0</v>
      </c>
      <c r="U144" s="1">
        <f t="shared" si="38"/>
        <v>0</v>
      </c>
      <c r="V144" s="1">
        <f t="shared" si="39"/>
        <v>0</v>
      </c>
      <c r="W144" s="1">
        <f t="shared" si="40"/>
        <v>0</v>
      </c>
      <c r="X144" s="1">
        <f t="shared" si="41"/>
        <v>0</v>
      </c>
      <c r="Y144" s="80" t="s">
        <v>86</v>
      </c>
    </row>
    <row r="145" spans="1:25" x14ac:dyDescent="0.25">
      <c r="A145" s="8">
        <f t="shared" si="42"/>
        <v>134</v>
      </c>
      <c r="B145" s="197"/>
      <c r="C145" s="198"/>
      <c r="D145" s="195"/>
      <c r="E145" s="195"/>
      <c r="F145" s="196"/>
      <c r="G145" s="255"/>
      <c r="H145" s="255"/>
      <c r="I145" s="255"/>
      <c r="J145" s="255"/>
      <c r="K145" s="255"/>
      <c r="L145" s="255"/>
      <c r="M145" s="255"/>
      <c r="N145" s="109"/>
      <c r="O145" s="114"/>
      <c r="P145" s="194"/>
      <c r="R145" s="86">
        <f t="shared" si="35"/>
        <v>0</v>
      </c>
      <c r="S145" s="21">
        <f t="shared" si="36"/>
        <v>0</v>
      </c>
      <c r="T145" s="21">
        <f t="shared" si="37"/>
        <v>0</v>
      </c>
      <c r="U145" s="1">
        <f t="shared" si="38"/>
        <v>0</v>
      </c>
      <c r="V145" s="1">
        <f t="shared" si="39"/>
        <v>0</v>
      </c>
      <c r="W145" s="1">
        <f t="shared" si="40"/>
        <v>0</v>
      </c>
      <c r="X145" s="1">
        <f t="shared" si="41"/>
        <v>0</v>
      </c>
      <c r="Y145" s="80" t="s">
        <v>86</v>
      </c>
    </row>
    <row r="146" spans="1:25" x14ac:dyDescent="0.25">
      <c r="A146" s="8">
        <f t="shared" si="42"/>
        <v>135</v>
      </c>
      <c r="B146" s="197"/>
      <c r="C146" s="198"/>
      <c r="D146" s="195"/>
      <c r="E146" s="195"/>
      <c r="F146" s="196"/>
      <c r="G146" s="255"/>
      <c r="H146" s="255"/>
      <c r="I146" s="255"/>
      <c r="J146" s="255"/>
      <c r="K146" s="255"/>
      <c r="L146" s="255"/>
      <c r="M146" s="255"/>
      <c r="N146" s="109"/>
      <c r="O146" s="114"/>
      <c r="P146" s="194"/>
      <c r="R146" s="86">
        <f t="shared" si="35"/>
        <v>0</v>
      </c>
      <c r="S146" s="21">
        <f t="shared" si="36"/>
        <v>0</v>
      </c>
      <c r="T146" s="21">
        <f t="shared" si="37"/>
        <v>0</v>
      </c>
      <c r="U146" s="1">
        <f t="shared" si="38"/>
        <v>0</v>
      </c>
      <c r="V146" s="1">
        <f t="shared" si="39"/>
        <v>0</v>
      </c>
      <c r="W146" s="1">
        <f t="shared" si="40"/>
        <v>0</v>
      </c>
      <c r="X146" s="1">
        <f t="shared" si="41"/>
        <v>0</v>
      </c>
      <c r="Y146" s="80" t="s">
        <v>86</v>
      </c>
    </row>
    <row r="147" spans="1:25" x14ac:dyDescent="0.25">
      <c r="A147" s="8">
        <f t="shared" si="42"/>
        <v>136</v>
      </c>
      <c r="B147" s="197"/>
      <c r="C147" s="198"/>
      <c r="D147" s="195"/>
      <c r="E147" s="195"/>
      <c r="F147" s="196"/>
      <c r="G147" s="255"/>
      <c r="H147" s="255"/>
      <c r="I147" s="255"/>
      <c r="J147" s="255"/>
      <c r="K147" s="255"/>
      <c r="L147" s="255"/>
      <c r="M147" s="255"/>
      <c r="N147" s="109"/>
      <c r="O147" s="114"/>
      <c r="P147" s="194"/>
      <c r="R147" s="86">
        <f t="shared" si="35"/>
        <v>0</v>
      </c>
      <c r="S147" s="21">
        <f t="shared" si="36"/>
        <v>0</v>
      </c>
      <c r="T147" s="21">
        <f t="shared" si="37"/>
        <v>0</v>
      </c>
      <c r="U147" s="1">
        <f t="shared" si="38"/>
        <v>0</v>
      </c>
      <c r="V147" s="1">
        <f t="shared" si="39"/>
        <v>0</v>
      </c>
      <c r="W147" s="1">
        <f t="shared" si="40"/>
        <v>0</v>
      </c>
      <c r="X147" s="1">
        <f t="shared" si="41"/>
        <v>0</v>
      </c>
      <c r="Y147" s="80" t="s">
        <v>86</v>
      </c>
    </row>
    <row r="148" spans="1:25" x14ac:dyDescent="0.25">
      <c r="A148" s="8">
        <f t="shared" si="42"/>
        <v>137</v>
      </c>
      <c r="B148" s="197"/>
      <c r="C148" s="198"/>
      <c r="D148" s="195"/>
      <c r="E148" s="195"/>
      <c r="F148" s="196"/>
      <c r="G148" s="255"/>
      <c r="H148" s="255"/>
      <c r="I148" s="255"/>
      <c r="J148" s="255"/>
      <c r="K148" s="255"/>
      <c r="L148" s="255"/>
      <c r="M148" s="255"/>
      <c r="N148" s="109"/>
      <c r="O148" s="114"/>
      <c r="P148" s="194"/>
      <c r="R148" s="86">
        <f t="shared" si="35"/>
        <v>0</v>
      </c>
      <c r="S148" s="21">
        <f t="shared" si="36"/>
        <v>0</v>
      </c>
      <c r="T148" s="21">
        <f t="shared" si="37"/>
        <v>0</v>
      </c>
      <c r="U148" s="1">
        <f t="shared" si="38"/>
        <v>0</v>
      </c>
      <c r="V148" s="1">
        <f t="shared" si="39"/>
        <v>0</v>
      </c>
      <c r="W148" s="1">
        <f t="shared" si="40"/>
        <v>0</v>
      </c>
      <c r="X148" s="1">
        <f t="shared" si="41"/>
        <v>0</v>
      </c>
      <c r="Y148" s="80" t="s">
        <v>86</v>
      </c>
    </row>
    <row r="149" spans="1:25" x14ac:dyDescent="0.25">
      <c r="A149" s="8">
        <f t="shared" si="42"/>
        <v>138</v>
      </c>
      <c r="B149" s="197"/>
      <c r="C149" s="198"/>
      <c r="D149" s="195"/>
      <c r="E149" s="195"/>
      <c r="F149" s="196"/>
      <c r="G149" s="255"/>
      <c r="H149" s="255"/>
      <c r="I149" s="255"/>
      <c r="J149" s="255"/>
      <c r="K149" s="255"/>
      <c r="L149" s="255"/>
      <c r="M149" s="255"/>
      <c r="N149" s="109"/>
      <c r="O149" s="114"/>
      <c r="P149" s="194"/>
      <c r="R149" s="86">
        <f t="shared" si="35"/>
        <v>0</v>
      </c>
      <c r="S149" s="21">
        <f t="shared" si="36"/>
        <v>0</v>
      </c>
      <c r="T149" s="21">
        <f t="shared" si="37"/>
        <v>0</v>
      </c>
      <c r="U149" s="1">
        <f t="shared" si="38"/>
        <v>0</v>
      </c>
      <c r="V149" s="1">
        <f t="shared" si="39"/>
        <v>0</v>
      </c>
      <c r="W149" s="1">
        <f t="shared" si="40"/>
        <v>0</v>
      </c>
      <c r="X149" s="1">
        <f t="shared" si="41"/>
        <v>0</v>
      </c>
      <c r="Y149" s="80" t="s">
        <v>86</v>
      </c>
    </row>
    <row r="150" spans="1:25" x14ac:dyDescent="0.25">
      <c r="A150" s="8">
        <f t="shared" si="42"/>
        <v>139</v>
      </c>
      <c r="B150" s="197"/>
      <c r="C150" s="198"/>
      <c r="D150" s="195"/>
      <c r="E150" s="195"/>
      <c r="F150" s="196"/>
      <c r="G150" s="255"/>
      <c r="H150" s="255"/>
      <c r="I150" s="255"/>
      <c r="J150" s="255"/>
      <c r="K150" s="255"/>
      <c r="L150" s="255"/>
      <c r="M150" s="255"/>
      <c r="N150" s="109"/>
      <c r="O150" s="114"/>
      <c r="P150" s="194"/>
      <c r="R150" s="86">
        <f t="shared" si="35"/>
        <v>0</v>
      </c>
      <c r="S150" s="21">
        <f t="shared" si="36"/>
        <v>0</v>
      </c>
      <c r="T150" s="21">
        <f t="shared" si="37"/>
        <v>0</v>
      </c>
      <c r="U150" s="1">
        <f t="shared" si="38"/>
        <v>0</v>
      </c>
      <c r="V150" s="1">
        <f t="shared" si="39"/>
        <v>0</v>
      </c>
      <c r="W150" s="1">
        <f t="shared" si="40"/>
        <v>0</v>
      </c>
      <c r="X150" s="1">
        <f t="shared" si="41"/>
        <v>0</v>
      </c>
      <c r="Y150" s="80" t="s">
        <v>86</v>
      </c>
    </row>
    <row r="151" spans="1:25" x14ac:dyDescent="0.25">
      <c r="A151" s="8">
        <f t="shared" si="42"/>
        <v>140</v>
      </c>
      <c r="B151" s="197"/>
      <c r="C151" s="198"/>
      <c r="D151" s="195"/>
      <c r="E151" s="195"/>
      <c r="F151" s="196"/>
      <c r="G151" s="255"/>
      <c r="H151" s="255"/>
      <c r="I151" s="255"/>
      <c r="J151" s="255"/>
      <c r="K151" s="255"/>
      <c r="L151" s="255"/>
      <c r="M151" s="255"/>
      <c r="N151" s="109"/>
      <c r="O151" s="114"/>
      <c r="P151" s="194"/>
      <c r="R151" s="86">
        <f t="shared" si="35"/>
        <v>0</v>
      </c>
      <c r="S151" s="21">
        <f t="shared" si="36"/>
        <v>0</v>
      </c>
      <c r="T151" s="21">
        <f t="shared" si="37"/>
        <v>0</v>
      </c>
      <c r="U151" s="1">
        <f t="shared" si="38"/>
        <v>0</v>
      </c>
      <c r="V151" s="1">
        <f t="shared" si="39"/>
        <v>0</v>
      </c>
      <c r="W151" s="1">
        <f t="shared" si="40"/>
        <v>0</v>
      </c>
      <c r="X151" s="1">
        <f t="shared" si="41"/>
        <v>0</v>
      </c>
      <c r="Y151" s="80" t="s">
        <v>86</v>
      </c>
    </row>
    <row r="152" spans="1:25" x14ac:dyDescent="0.25">
      <c r="A152" s="8">
        <f t="shared" si="42"/>
        <v>141</v>
      </c>
      <c r="B152" s="197"/>
      <c r="C152" s="198"/>
      <c r="D152" s="195"/>
      <c r="E152" s="195"/>
      <c r="F152" s="196"/>
      <c r="G152" s="255"/>
      <c r="H152" s="255"/>
      <c r="I152" s="255"/>
      <c r="J152" s="255"/>
      <c r="K152" s="255"/>
      <c r="L152" s="255"/>
      <c r="M152" s="255"/>
      <c r="N152" s="109"/>
      <c r="O152" s="114"/>
      <c r="P152" s="194"/>
      <c r="R152" s="86">
        <f t="shared" si="35"/>
        <v>0</v>
      </c>
      <c r="S152" s="21">
        <f t="shared" si="36"/>
        <v>0</v>
      </c>
      <c r="T152" s="21">
        <f t="shared" si="37"/>
        <v>0</v>
      </c>
      <c r="U152" s="1">
        <f t="shared" si="38"/>
        <v>0</v>
      </c>
      <c r="V152" s="1">
        <f t="shared" si="39"/>
        <v>0</v>
      </c>
      <c r="W152" s="1">
        <f t="shared" si="40"/>
        <v>0</v>
      </c>
      <c r="X152" s="1">
        <f t="shared" si="41"/>
        <v>0</v>
      </c>
      <c r="Y152" s="80" t="s">
        <v>86</v>
      </c>
    </row>
    <row r="153" spans="1:25" x14ac:dyDescent="0.25">
      <c r="A153" s="8">
        <f t="shared" si="42"/>
        <v>142</v>
      </c>
      <c r="B153" s="197"/>
      <c r="C153" s="198"/>
      <c r="D153" s="195"/>
      <c r="E153" s="195"/>
      <c r="F153" s="196"/>
      <c r="G153" s="255"/>
      <c r="H153" s="255"/>
      <c r="I153" s="255"/>
      <c r="J153" s="255"/>
      <c r="K153" s="255"/>
      <c r="L153" s="255"/>
      <c r="M153" s="255"/>
      <c r="N153" s="109"/>
      <c r="O153" s="114"/>
      <c r="P153" s="194"/>
      <c r="R153" s="86">
        <f t="shared" si="35"/>
        <v>0</v>
      </c>
      <c r="S153" s="21">
        <f t="shared" si="36"/>
        <v>0</v>
      </c>
      <c r="T153" s="21">
        <f t="shared" si="37"/>
        <v>0</v>
      </c>
      <c r="U153" s="1">
        <f t="shared" si="38"/>
        <v>0</v>
      </c>
      <c r="V153" s="1">
        <f t="shared" si="39"/>
        <v>0</v>
      </c>
      <c r="W153" s="1">
        <f t="shared" si="40"/>
        <v>0</v>
      </c>
      <c r="X153" s="1">
        <f t="shared" si="41"/>
        <v>0</v>
      </c>
      <c r="Y153" s="80" t="s">
        <v>86</v>
      </c>
    </row>
    <row r="154" spans="1:25" x14ac:dyDescent="0.25">
      <c r="A154" s="8">
        <f t="shared" si="42"/>
        <v>143</v>
      </c>
      <c r="B154" s="197"/>
      <c r="C154" s="198"/>
      <c r="D154" s="195"/>
      <c r="E154" s="195"/>
      <c r="F154" s="196"/>
      <c r="G154" s="255"/>
      <c r="H154" s="255"/>
      <c r="I154" s="255"/>
      <c r="J154" s="255"/>
      <c r="K154" s="255"/>
      <c r="L154" s="255"/>
      <c r="M154" s="255"/>
      <c r="N154" s="109"/>
      <c r="O154" s="114"/>
      <c r="P154" s="194"/>
      <c r="R154" s="86">
        <f t="shared" si="35"/>
        <v>0</v>
      </c>
      <c r="S154" s="21">
        <f t="shared" si="36"/>
        <v>0</v>
      </c>
      <c r="T154" s="21">
        <f t="shared" si="37"/>
        <v>0</v>
      </c>
      <c r="U154" s="1">
        <f t="shared" si="38"/>
        <v>0</v>
      </c>
      <c r="V154" s="1">
        <f t="shared" si="39"/>
        <v>0</v>
      </c>
      <c r="W154" s="1">
        <f t="shared" si="40"/>
        <v>0</v>
      </c>
      <c r="X154" s="1">
        <f t="shared" si="41"/>
        <v>0</v>
      </c>
      <c r="Y154" s="80" t="s">
        <v>86</v>
      </c>
    </row>
    <row r="155" spans="1:25" x14ac:dyDescent="0.25">
      <c r="A155" s="8">
        <f t="shared" si="42"/>
        <v>144</v>
      </c>
      <c r="B155" s="197"/>
      <c r="C155" s="198"/>
      <c r="D155" s="195"/>
      <c r="E155" s="195"/>
      <c r="F155" s="196"/>
      <c r="G155" s="255"/>
      <c r="H155" s="255"/>
      <c r="I155" s="255"/>
      <c r="J155" s="255"/>
      <c r="K155" s="255"/>
      <c r="L155" s="255"/>
      <c r="M155" s="255"/>
      <c r="N155" s="109"/>
      <c r="O155" s="114"/>
      <c r="P155" s="194"/>
      <c r="R155" s="86">
        <f t="shared" si="35"/>
        <v>0</v>
      </c>
      <c r="S155" s="21">
        <f t="shared" si="36"/>
        <v>0</v>
      </c>
      <c r="T155" s="21">
        <f t="shared" si="37"/>
        <v>0</v>
      </c>
      <c r="U155" s="1">
        <f t="shared" si="38"/>
        <v>0</v>
      </c>
      <c r="V155" s="1">
        <f t="shared" si="39"/>
        <v>0</v>
      </c>
      <c r="W155" s="1">
        <f t="shared" si="40"/>
        <v>0</v>
      </c>
      <c r="X155" s="1">
        <f t="shared" si="41"/>
        <v>0</v>
      </c>
      <c r="Y155" s="80" t="s">
        <v>86</v>
      </c>
    </row>
    <row r="156" spans="1:25" x14ac:dyDescent="0.25">
      <c r="A156" s="8">
        <f t="shared" si="42"/>
        <v>145</v>
      </c>
      <c r="B156" s="197"/>
      <c r="C156" s="198"/>
      <c r="D156" s="195"/>
      <c r="E156" s="195"/>
      <c r="F156" s="196"/>
      <c r="G156" s="255"/>
      <c r="H156" s="255"/>
      <c r="I156" s="255"/>
      <c r="J156" s="255"/>
      <c r="K156" s="255"/>
      <c r="L156" s="255"/>
      <c r="M156" s="255"/>
      <c r="N156" s="109"/>
      <c r="O156" s="114"/>
      <c r="P156" s="194"/>
      <c r="R156" s="86">
        <f t="shared" si="35"/>
        <v>0</v>
      </c>
      <c r="S156" s="21">
        <f t="shared" si="36"/>
        <v>0</v>
      </c>
      <c r="T156" s="21">
        <f t="shared" si="37"/>
        <v>0</v>
      </c>
      <c r="U156" s="1">
        <f t="shared" si="38"/>
        <v>0</v>
      </c>
      <c r="V156" s="1">
        <f t="shared" si="39"/>
        <v>0</v>
      </c>
      <c r="W156" s="1">
        <f t="shared" si="40"/>
        <v>0</v>
      </c>
      <c r="X156" s="1">
        <f t="shared" si="41"/>
        <v>0</v>
      </c>
      <c r="Y156" s="80" t="s">
        <v>86</v>
      </c>
    </row>
    <row r="157" spans="1:25" x14ac:dyDescent="0.25">
      <c r="A157" s="8">
        <f t="shared" si="42"/>
        <v>146</v>
      </c>
      <c r="B157" s="197"/>
      <c r="C157" s="198"/>
      <c r="D157" s="195"/>
      <c r="E157" s="195"/>
      <c r="F157" s="196"/>
      <c r="G157" s="255"/>
      <c r="H157" s="255"/>
      <c r="I157" s="255"/>
      <c r="J157" s="255"/>
      <c r="K157" s="255"/>
      <c r="L157" s="255"/>
      <c r="M157" s="255"/>
      <c r="N157" s="109"/>
      <c r="O157" s="114"/>
      <c r="P157" s="194"/>
      <c r="R157" s="86">
        <f t="shared" si="35"/>
        <v>0</v>
      </c>
      <c r="S157" s="21">
        <f t="shared" si="36"/>
        <v>0</v>
      </c>
      <c r="T157" s="21">
        <f t="shared" si="37"/>
        <v>0</v>
      </c>
      <c r="U157" s="1">
        <f t="shared" si="38"/>
        <v>0</v>
      </c>
      <c r="V157" s="1">
        <f t="shared" si="39"/>
        <v>0</v>
      </c>
      <c r="W157" s="1">
        <f t="shared" si="40"/>
        <v>0</v>
      </c>
      <c r="X157" s="1">
        <f t="shared" si="41"/>
        <v>0</v>
      </c>
      <c r="Y157" s="80" t="s">
        <v>86</v>
      </c>
    </row>
    <row r="158" spans="1:25" x14ac:dyDescent="0.25">
      <c r="A158" s="8">
        <f t="shared" si="42"/>
        <v>147</v>
      </c>
      <c r="B158" s="197"/>
      <c r="C158" s="198"/>
      <c r="D158" s="195"/>
      <c r="E158" s="195"/>
      <c r="F158" s="196"/>
      <c r="G158" s="255"/>
      <c r="H158" s="255"/>
      <c r="I158" s="255"/>
      <c r="J158" s="255"/>
      <c r="K158" s="255"/>
      <c r="L158" s="255"/>
      <c r="M158" s="255"/>
      <c r="N158" s="109"/>
      <c r="O158" s="114"/>
      <c r="P158" s="194"/>
      <c r="R158" s="86">
        <f t="shared" si="35"/>
        <v>0</v>
      </c>
      <c r="S158" s="21">
        <f t="shared" si="36"/>
        <v>0</v>
      </c>
      <c r="T158" s="21">
        <f t="shared" si="37"/>
        <v>0</v>
      </c>
      <c r="U158" s="1">
        <f t="shared" si="38"/>
        <v>0</v>
      </c>
      <c r="V158" s="1">
        <f t="shared" si="39"/>
        <v>0</v>
      </c>
      <c r="W158" s="1">
        <f t="shared" si="40"/>
        <v>0</v>
      </c>
      <c r="X158" s="1">
        <f t="shared" si="41"/>
        <v>0</v>
      </c>
      <c r="Y158" s="80" t="s">
        <v>86</v>
      </c>
    </row>
    <row r="159" spans="1:25" x14ac:dyDescent="0.25">
      <c r="A159" s="8">
        <f t="shared" si="42"/>
        <v>148</v>
      </c>
      <c r="B159" s="197"/>
      <c r="C159" s="198"/>
      <c r="D159" s="195"/>
      <c r="E159" s="195"/>
      <c r="F159" s="196"/>
      <c r="G159" s="255"/>
      <c r="H159" s="255"/>
      <c r="I159" s="255"/>
      <c r="J159" s="255"/>
      <c r="K159" s="255"/>
      <c r="L159" s="255"/>
      <c r="M159" s="255"/>
      <c r="N159" s="109"/>
      <c r="O159" s="114"/>
      <c r="P159" s="194"/>
      <c r="R159" s="86">
        <f t="shared" si="35"/>
        <v>0</v>
      </c>
      <c r="S159" s="21">
        <f t="shared" si="36"/>
        <v>0</v>
      </c>
      <c r="T159" s="21">
        <f t="shared" si="37"/>
        <v>0</v>
      </c>
      <c r="U159" s="1">
        <f t="shared" si="38"/>
        <v>0</v>
      </c>
      <c r="V159" s="1">
        <f t="shared" si="39"/>
        <v>0</v>
      </c>
      <c r="W159" s="1">
        <f t="shared" si="40"/>
        <v>0</v>
      </c>
      <c r="X159" s="1">
        <f t="shared" si="41"/>
        <v>0</v>
      </c>
      <c r="Y159" s="80" t="s">
        <v>86</v>
      </c>
    </row>
    <row r="160" spans="1:25" x14ac:dyDescent="0.25">
      <c r="A160" s="8">
        <f t="shared" si="42"/>
        <v>149</v>
      </c>
      <c r="B160" s="197"/>
      <c r="C160" s="198"/>
      <c r="D160" s="195"/>
      <c r="E160" s="195"/>
      <c r="F160" s="196"/>
      <c r="G160" s="255"/>
      <c r="H160" s="255"/>
      <c r="I160" s="255"/>
      <c r="J160" s="255"/>
      <c r="K160" s="255"/>
      <c r="L160" s="255"/>
      <c r="M160" s="255"/>
      <c r="N160" s="109"/>
      <c r="O160" s="114"/>
      <c r="P160" s="194"/>
      <c r="R160" s="86">
        <f t="shared" si="35"/>
        <v>0</v>
      </c>
      <c r="S160" s="21">
        <f t="shared" si="36"/>
        <v>0</v>
      </c>
      <c r="T160" s="21">
        <f t="shared" si="37"/>
        <v>0</v>
      </c>
      <c r="U160" s="1">
        <f t="shared" si="38"/>
        <v>0</v>
      </c>
      <c r="V160" s="1">
        <f t="shared" si="39"/>
        <v>0</v>
      </c>
      <c r="W160" s="1">
        <f t="shared" si="40"/>
        <v>0</v>
      </c>
      <c r="X160" s="1">
        <f t="shared" si="41"/>
        <v>0</v>
      </c>
      <c r="Y160" s="80" t="s">
        <v>86</v>
      </c>
    </row>
    <row r="161" spans="1:25" x14ac:dyDescent="0.25">
      <c r="A161" s="8">
        <f t="shared" si="42"/>
        <v>150</v>
      </c>
      <c r="B161" s="197"/>
      <c r="C161" s="198"/>
      <c r="D161" s="195"/>
      <c r="E161" s="195"/>
      <c r="F161" s="196"/>
      <c r="G161" s="255"/>
      <c r="H161" s="255"/>
      <c r="I161" s="255"/>
      <c r="J161" s="255"/>
      <c r="K161" s="255"/>
      <c r="L161" s="255"/>
      <c r="M161" s="255"/>
      <c r="N161" s="109"/>
      <c r="O161" s="114"/>
      <c r="P161" s="194"/>
      <c r="R161" s="86">
        <f t="shared" si="35"/>
        <v>0</v>
      </c>
      <c r="S161" s="21">
        <f t="shared" si="36"/>
        <v>0</v>
      </c>
      <c r="T161" s="21">
        <f t="shared" si="37"/>
        <v>0</v>
      </c>
      <c r="U161" s="1">
        <f t="shared" si="38"/>
        <v>0</v>
      </c>
      <c r="V161" s="1">
        <f t="shared" si="39"/>
        <v>0</v>
      </c>
      <c r="W161" s="1">
        <f t="shared" si="40"/>
        <v>0</v>
      </c>
      <c r="X161" s="1">
        <f t="shared" si="41"/>
        <v>0</v>
      </c>
      <c r="Y161" s="80" t="s">
        <v>86</v>
      </c>
    </row>
    <row r="162" spans="1:25" x14ac:dyDescent="0.25">
      <c r="A162" s="8">
        <f t="shared" si="42"/>
        <v>151</v>
      </c>
      <c r="B162" s="197"/>
      <c r="C162" s="198"/>
      <c r="D162" s="195"/>
      <c r="E162" s="195"/>
      <c r="F162" s="196"/>
      <c r="G162" s="255"/>
      <c r="H162" s="255"/>
      <c r="I162" s="255"/>
      <c r="J162" s="255"/>
      <c r="K162" s="255"/>
      <c r="L162" s="255"/>
      <c r="M162" s="255"/>
      <c r="N162" s="109"/>
      <c r="O162" s="114"/>
      <c r="P162" s="194"/>
      <c r="R162" s="86">
        <f t="shared" si="35"/>
        <v>0</v>
      </c>
      <c r="S162" s="21">
        <f t="shared" si="36"/>
        <v>0</v>
      </c>
      <c r="T162" s="21">
        <f t="shared" si="37"/>
        <v>0</v>
      </c>
      <c r="U162" s="1">
        <f t="shared" si="38"/>
        <v>0</v>
      </c>
      <c r="V162" s="1">
        <f t="shared" si="39"/>
        <v>0</v>
      </c>
      <c r="W162" s="1">
        <f t="shared" si="40"/>
        <v>0</v>
      </c>
      <c r="X162" s="1">
        <f t="shared" si="41"/>
        <v>0</v>
      </c>
      <c r="Y162" s="80" t="s">
        <v>86</v>
      </c>
    </row>
    <row r="163" spans="1:25" x14ac:dyDescent="0.25">
      <c r="A163" s="8">
        <f t="shared" si="42"/>
        <v>152</v>
      </c>
      <c r="B163" s="197"/>
      <c r="C163" s="198"/>
      <c r="D163" s="195"/>
      <c r="E163" s="195"/>
      <c r="F163" s="196"/>
      <c r="G163" s="255"/>
      <c r="H163" s="255"/>
      <c r="I163" s="255"/>
      <c r="J163" s="255"/>
      <c r="K163" s="255"/>
      <c r="L163" s="255"/>
      <c r="M163" s="255"/>
      <c r="N163" s="109"/>
      <c r="O163" s="114"/>
      <c r="P163" s="194"/>
      <c r="R163" s="86">
        <f t="shared" si="35"/>
        <v>0</v>
      </c>
      <c r="S163" s="21">
        <f t="shared" si="36"/>
        <v>0</v>
      </c>
      <c r="T163" s="21">
        <f t="shared" si="37"/>
        <v>0</v>
      </c>
      <c r="U163" s="1">
        <f t="shared" si="38"/>
        <v>0</v>
      </c>
      <c r="V163" s="1">
        <f t="shared" si="39"/>
        <v>0</v>
      </c>
      <c r="W163" s="1">
        <f t="shared" si="40"/>
        <v>0</v>
      </c>
      <c r="X163" s="1">
        <f t="shared" si="41"/>
        <v>0</v>
      </c>
      <c r="Y163" s="80" t="s">
        <v>86</v>
      </c>
    </row>
    <row r="164" spans="1:25" x14ac:dyDescent="0.25">
      <c r="A164" s="8">
        <f t="shared" si="42"/>
        <v>153</v>
      </c>
      <c r="B164" s="197"/>
      <c r="C164" s="198"/>
      <c r="D164" s="195"/>
      <c r="E164" s="195"/>
      <c r="F164" s="196"/>
      <c r="G164" s="255"/>
      <c r="H164" s="255"/>
      <c r="I164" s="255"/>
      <c r="J164" s="255"/>
      <c r="K164" s="255"/>
      <c r="L164" s="255"/>
      <c r="M164" s="255"/>
      <c r="N164" s="109"/>
      <c r="O164" s="114"/>
      <c r="P164" s="194"/>
      <c r="R164" s="86">
        <f t="shared" si="35"/>
        <v>0</v>
      </c>
      <c r="S164" s="21">
        <f t="shared" si="36"/>
        <v>0</v>
      </c>
      <c r="T164" s="21">
        <f t="shared" si="37"/>
        <v>0</v>
      </c>
      <c r="U164" s="1">
        <f t="shared" si="38"/>
        <v>0</v>
      </c>
      <c r="V164" s="1">
        <f t="shared" si="39"/>
        <v>0</v>
      </c>
      <c r="W164" s="1">
        <f t="shared" si="40"/>
        <v>0</v>
      </c>
      <c r="X164" s="1">
        <f t="shared" si="41"/>
        <v>0</v>
      </c>
      <c r="Y164" s="80" t="s">
        <v>86</v>
      </c>
    </row>
    <row r="165" spans="1:25" x14ac:dyDescent="0.25">
      <c r="A165" s="8">
        <f t="shared" si="42"/>
        <v>154</v>
      </c>
      <c r="B165" s="197"/>
      <c r="C165" s="198"/>
      <c r="D165" s="195"/>
      <c r="E165" s="195"/>
      <c r="F165" s="196"/>
      <c r="G165" s="255"/>
      <c r="H165" s="255"/>
      <c r="I165" s="255"/>
      <c r="J165" s="255"/>
      <c r="K165" s="255"/>
      <c r="L165" s="255"/>
      <c r="M165" s="255"/>
      <c r="N165" s="109"/>
      <c r="O165" s="114"/>
      <c r="P165" s="194"/>
      <c r="R165" s="86">
        <f t="shared" si="35"/>
        <v>0</v>
      </c>
      <c r="S165" s="21">
        <f t="shared" si="36"/>
        <v>0</v>
      </c>
      <c r="T165" s="21">
        <f t="shared" si="37"/>
        <v>0</v>
      </c>
      <c r="U165" s="1">
        <f t="shared" si="38"/>
        <v>0</v>
      </c>
      <c r="V165" s="1">
        <f t="shared" si="39"/>
        <v>0</v>
      </c>
      <c r="W165" s="1">
        <f t="shared" si="40"/>
        <v>0</v>
      </c>
      <c r="X165" s="1">
        <f t="shared" si="41"/>
        <v>0</v>
      </c>
      <c r="Y165" s="80" t="s">
        <v>86</v>
      </c>
    </row>
    <row r="166" spans="1:25" x14ac:dyDescent="0.25">
      <c r="A166" s="8">
        <f t="shared" si="42"/>
        <v>155</v>
      </c>
      <c r="B166" s="197"/>
      <c r="C166" s="198"/>
      <c r="D166" s="195"/>
      <c r="E166" s="195"/>
      <c r="F166" s="196"/>
      <c r="G166" s="255"/>
      <c r="H166" s="255"/>
      <c r="I166" s="255"/>
      <c r="J166" s="255"/>
      <c r="K166" s="255"/>
      <c r="L166" s="255"/>
      <c r="M166" s="255"/>
      <c r="N166" s="109"/>
      <c r="O166" s="114"/>
      <c r="P166" s="194"/>
      <c r="R166" s="86">
        <f t="shared" si="35"/>
        <v>0</v>
      </c>
      <c r="S166" s="21">
        <f t="shared" si="36"/>
        <v>0</v>
      </c>
      <c r="T166" s="21">
        <f t="shared" si="37"/>
        <v>0</v>
      </c>
      <c r="U166" s="1">
        <f t="shared" si="38"/>
        <v>0</v>
      </c>
      <c r="V166" s="1">
        <f t="shared" si="39"/>
        <v>0</v>
      </c>
      <c r="W166" s="1">
        <f t="shared" si="40"/>
        <v>0</v>
      </c>
      <c r="X166" s="1">
        <f t="shared" si="41"/>
        <v>0</v>
      </c>
      <c r="Y166" s="80" t="s">
        <v>86</v>
      </c>
    </row>
    <row r="167" spans="1:25" x14ac:dyDescent="0.25">
      <c r="A167" s="8">
        <f t="shared" si="42"/>
        <v>156</v>
      </c>
      <c r="B167" s="197"/>
      <c r="C167" s="198"/>
      <c r="D167" s="195"/>
      <c r="E167" s="195"/>
      <c r="F167" s="196"/>
      <c r="G167" s="255"/>
      <c r="H167" s="255"/>
      <c r="I167" s="255"/>
      <c r="J167" s="255"/>
      <c r="K167" s="255"/>
      <c r="L167" s="255"/>
      <c r="M167" s="255"/>
      <c r="N167" s="109"/>
      <c r="O167" s="114"/>
      <c r="P167" s="194"/>
      <c r="R167" s="86">
        <f t="shared" si="35"/>
        <v>0</v>
      </c>
      <c r="S167" s="21">
        <f t="shared" si="36"/>
        <v>0</v>
      </c>
      <c r="T167" s="21">
        <f t="shared" si="37"/>
        <v>0</v>
      </c>
      <c r="U167" s="1">
        <f t="shared" si="38"/>
        <v>0</v>
      </c>
      <c r="V167" s="1">
        <f t="shared" si="39"/>
        <v>0</v>
      </c>
      <c r="W167" s="1">
        <f t="shared" si="40"/>
        <v>0</v>
      </c>
      <c r="X167" s="1">
        <f t="shared" si="41"/>
        <v>0</v>
      </c>
      <c r="Y167" s="80" t="s">
        <v>86</v>
      </c>
    </row>
    <row r="168" spans="1:25" x14ac:dyDescent="0.25">
      <c r="A168" s="8">
        <f t="shared" si="42"/>
        <v>157</v>
      </c>
      <c r="B168" s="197"/>
      <c r="C168" s="198"/>
      <c r="D168" s="195"/>
      <c r="E168" s="195"/>
      <c r="F168" s="196"/>
      <c r="G168" s="255"/>
      <c r="H168" s="255"/>
      <c r="I168" s="255"/>
      <c r="J168" s="255"/>
      <c r="K168" s="255"/>
      <c r="L168" s="255"/>
      <c r="M168" s="255"/>
      <c r="N168" s="109"/>
      <c r="O168" s="114"/>
      <c r="P168" s="194"/>
      <c r="R168" s="86">
        <f t="shared" si="35"/>
        <v>0</v>
      </c>
      <c r="S168" s="21">
        <f t="shared" si="36"/>
        <v>0</v>
      </c>
      <c r="T168" s="21">
        <f t="shared" si="37"/>
        <v>0</v>
      </c>
      <c r="U168" s="1">
        <f t="shared" si="38"/>
        <v>0</v>
      </c>
      <c r="V168" s="1">
        <f t="shared" si="39"/>
        <v>0</v>
      </c>
      <c r="W168" s="1">
        <f t="shared" si="40"/>
        <v>0</v>
      </c>
      <c r="X168" s="1">
        <f t="shared" si="41"/>
        <v>0</v>
      </c>
      <c r="Y168" s="80" t="s">
        <v>86</v>
      </c>
    </row>
    <row r="169" spans="1:25" x14ac:dyDescent="0.25">
      <c r="A169" s="8">
        <f t="shared" si="42"/>
        <v>158</v>
      </c>
      <c r="B169" s="197"/>
      <c r="C169" s="198"/>
      <c r="D169" s="195"/>
      <c r="E169" s="195"/>
      <c r="F169" s="196"/>
      <c r="G169" s="255"/>
      <c r="H169" s="255"/>
      <c r="I169" s="255"/>
      <c r="J169" s="255"/>
      <c r="K169" s="255"/>
      <c r="L169" s="255"/>
      <c r="M169" s="255"/>
      <c r="N169" s="109"/>
      <c r="O169" s="114"/>
      <c r="P169" s="194"/>
      <c r="R169" s="86">
        <f t="shared" si="35"/>
        <v>0</v>
      </c>
      <c r="S169" s="21">
        <f t="shared" si="36"/>
        <v>0</v>
      </c>
      <c r="T169" s="21">
        <f t="shared" si="37"/>
        <v>0</v>
      </c>
      <c r="U169" s="1">
        <f t="shared" si="38"/>
        <v>0</v>
      </c>
      <c r="V169" s="1">
        <f t="shared" si="39"/>
        <v>0</v>
      </c>
      <c r="W169" s="1">
        <f t="shared" si="40"/>
        <v>0</v>
      </c>
      <c r="X169" s="1">
        <f t="shared" si="41"/>
        <v>0</v>
      </c>
      <c r="Y169" s="80" t="s">
        <v>86</v>
      </c>
    </row>
    <row r="170" spans="1:25" x14ac:dyDescent="0.25">
      <c r="A170" s="8">
        <f t="shared" si="42"/>
        <v>159</v>
      </c>
      <c r="B170" s="197"/>
      <c r="C170" s="198"/>
      <c r="D170" s="195"/>
      <c r="E170" s="195"/>
      <c r="F170" s="196"/>
      <c r="G170" s="255"/>
      <c r="H170" s="255"/>
      <c r="I170" s="255"/>
      <c r="J170" s="255"/>
      <c r="K170" s="255"/>
      <c r="L170" s="255"/>
      <c r="M170" s="255"/>
      <c r="N170" s="109"/>
      <c r="O170" s="114"/>
      <c r="P170" s="194"/>
      <c r="R170" s="86">
        <f t="shared" si="35"/>
        <v>0</v>
      </c>
      <c r="S170" s="21">
        <f t="shared" si="36"/>
        <v>0</v>
      </c>
      <c r="T170" s="21">
        <f t="shared" si="37"/>
        <v>0</v>
      </c>
      <c r="U170" s="1">
        <f t="shared" si="38"/>
        <v>0</v>
      </c>
      <c r="V170" s="1">
        <f t="shared" si="39"/>
        <v>0</v>
      </c>
      <c r="W170" s="1">
        <f t="shared" si="40"/>
        <v>0</v>
      </c>
      <c r="X170" s="1">
        <f t="shared" si="41"/>
        <v>0</v>
      </c>
      <c r="Y170" s="80" t="s">
        <v>86</v>
      </c>
    </row>
    <row r="171" spans="1:25" x14ac:dyDescent="0.25">
      <c r="A171" s="8">
        <f t="shared" si="42"/>
        <v>160</v>
      </c>
      <c r="B171" s="197"/>
      <c r="C171" s="198"/>
      <c r="D171" s="195"/>
      <c r="E171" s="195"/>
      <c r="F171" s="196"/>
      <c r="G171" s="255"/>
      <c r="H171" s="255"/>
      <c r="I171" s="255"/>
      <c r="J171" s="255"/>
      <c r="K171" s="255"/>
      <c r="L171" s="255"/>
      <c r="M171" s="255"/>
      <c r="N171" s="109"/>
      <c r="O171" s="114"/>
      <c r="P171" s="194"/>
      <c r="R171" s="86">
        <f t="shared" si="35"/>
        <v>0</v>
      </c>
      <c r="S171" s="21">
        <f t="shared" si="36"/>
        <v>0</v>
      </c>
      <c r="T171" s="21">
        <f t="shared" si="37"/>
        <v>0</v>
      </c>
      <c r="U171" s="1">
        <f t="shared" si="38"/>
        <v>0</v>
      </c>
      <c r="V171" s="1">
        <f t="shared" si="39"/>
        <v>0</v>
      </c>
      <c r="W171" s="1">
        <f t="shared" si="40"/>
        <v>0</v>
      </c>
      <c r="X171" s="1">
        <f t="shared" si="41"/>
        <v>0</v>
      </c>
      <c r="Y171" s="80" t="s">
        <v>86</v>
      </c>
    </row>
    <row r="172" spans="1:25" x14ac:dyDescent="0.25">
      <c r="A172" s="8">
        <f t="shared" si="42"/>
        <v>161</v>
      </c>
      <c r="B172" s="197"/>
      <c r="C172" s="198"/>
      <c r="D172" s="195"/>
      <c r="E172" s="195"/>
      <c r="F172" s="196"/>
      <c r="G172" s="255"/>
      <c r="H172" s="255"/>
      <c r="I172" s="255"/>
      <c r="J172" s="255"/>
      <c r="K172" s="255"/>
      <c r="L172" s="255"/>
      <c r="M172" s="255"/>
      <c r="N172" s="109"/>
      <c r="O172" s="114"/>
      <c r="P172" s="194"/>
      <c r="R172" s="86">
        <f t="shared" ref="R172:R181" si="43">IF(K172=1,IF($B172=1,1,-1),0)</f>
        <v>0</v>
      </c>
      <c r="S172" s="21">
        <f t="shared" ref="S172:S181" si="44">IF(L172=1,IF($B172=1,1,-1),0)</f>
        <v>0</v>
      </c>
      <c r="T172" s="21">
        <f t="shared" ref="T172:T181" si="45">IF(M172=1,1,0)</f>
        <v>0</v>
      </c>
      <c r="U172" s="1">
        <f t="shared" ref="U172:U181" si="46">IF($B172&lt;&gt;1,IF(G172=1,1,0),0)</f>
        <v>0</v>
      </c>
      <c r="V172" s="1">
        <f t="shared" ref="V172:V181" si="47">IF($B172&lt;&gt;1,IF(H172=1,1,0),0)</f>
        <v>0</v>
      </c>
      <c r="W172" s="1">
        <f t="shared" ref="W172:W181" si="48">IF($B172&lt;&gt;1,IF(I172=1,1,0),0)</f>
        <v>0</v>
      </c>
      <c r="X172" s="1">
        <f t="shared" ref="X172:X181" si="49">IF($B172&lt;&gt;1,IF(J172=1,1,0),0)</f>
        <v>0</v>
      </c>
      <c r="Y172" s="80" t="s">
        <v>86</v>
      </c>
    </row>
    <row r="173" spans="1:25" x14ac:dyDescent="0.25">
      <c r="A173" s="8">
        <f t="shared" si="42"/>
        <v>162</v>
      </c>
      <c r="B173" s="197"/>
      <c r="C173" s="198"/>
      <c r="D173" s="195"/>
      <c r="E173" s="195"/>
      <c r="F173" s="196"/>
      <c r="G173" s="255"/>
      <c r="H173" s="255"/>
      <c r="I173" s="255"/>
      <c r="J173" s="255"/>
      <c r="K173" s="255"/>
      <c r="L173" s="255"/>
      <c r="M173" s="255"/>
      <c r="N173" s="109"/>
      <c r="O173" s="114"/>
      <c r="P173" s="194"/>
      <c r="R173" s="86">
        <f t="shared" si="43"/>
        <v>0</v>
      </c>
      <c r="S173" s="21">
        <f t="shared" si="44"/>
        <v>0</v>
      </c>
      <c r="T173" s="21">
        <f t="shared" si="45"/>
        <v>0</v>
      </c>
      <c r="U173" s="1">
        <f t="shared" si="46"/>
        <v>0</v>
      </c>
      <c r="V173" s="1">
        <f t="shared" si="47"/>
        <v>0</v>
      </c>
      <c r="W173" s="1">
        <f t="shared" si="48"/>
        <v>0</v>
      </c>
      <c r="X173" s="1">
        <f t="shared" si="49"/>
        <v>0</v>
      </c>
      <c r="Y173" s="80" t="s">
        <v>86</v>
      </c>
    </row>
    <row r="174" spans="1:25" x14ac:dyDescent="0.25">
      <c r="A174" s="8">
        <f t="shared" si="42"/>
        <v>163</v>
      </c>
      <c r="B174" s="197"/>
      <c r="C174" s="198"/>
      <c r="D174" s="195"/>
      <c r="E174" s="195"/>
      <c r="F174" s="196"/>
      <c r="G174" s="255"/>
      <c r="H174" s="255"/>
      <c r="I174" s="255"/>
      <c r="J174" s="255"/>
      <c r="K174" s="255"/>
      <c r="L174" s="255"/>
      <c r="M174" s="255"/>
      <c r="N174" s="109"/>
      <c r="O174" s="114"/>
      <c r="P174" s="194"/>
      <c r="R174" s="86">
        <f t="shared" si="43"/>
        <v>0</v>
      </c>
      <c r="S174" s="21">
        <f t="shared" si="44"/>
        <v>0</v>
      </c>
      <c r="T174" s="21">
        <f t="shared" si="45"/>
        <v>0</v>
      </c>
      <c r="U174" s="1">
        <f t="shared" si="46"/>
        <v>0</v>
      </c>
      <c r="V174" s="1">
        <f t="shared" si="47"/>
        <v>0</v>
      </c>
      <c r="W174" s="1">
        <f t="shared" si="48"/>
        <v>0</v>
      </c>
      <c r="X174" s="1">
        <f t="shared" si="49"/>
        <v>0</v>
      </c>
      <c r="Y174" s="80" t="s">
        <v>86</v>
      </c>
    </row>
    <row r="175" spans="1:25" x14ac:dyDescent="0.25">
      <c r="A175" s="8">
        <f t="shared" si="42"/>
        <v>164</v>
      </c>
      <c r="B175" s="197"/>
      <c r="C175" s="198"/>
      <c r="D175" s="195"/>
      <c r="E175" s="195"/>
      <c r="F175" s="196"/>
      <c r="G175" s="255"/>
      <c r="H175" s="255"/>
      <c r="I175" s="255"/>
      <c r="J175" s="255"/>
      <c r="K175" s="255"/>
      <c r="L175" s="255"/>
      <c r="M175" s="255"/>
      <c r="N175" s="109"/>
      <c r="O175" s="114"/>
      <c r="P175" s="194"/>
      <c r="R175" s="86">
        <f t="shared" si="43"/>
        <v>0</v>
      </c>
      <c r="S175" s="21">
        <f t="shared" si="44"/>
        <v>0</v>
      </c>
      <c r="T175" s="21">
        <f t="shared" si="45"/>
        <v>0</v>
      </c>
      <c r="U175" s="1">
        <f t="shared" si="46"/>
        <v>0</v>
      </c>
      <c r="V175" s="1">
        <f t="shared" si="47"/>
        <v>0</v>
      </c>
      <c r="W175" s="1">
        <f t="shared" si="48"/>
        <v>0</v>
      </c>
      <c r="X175" s="1">
        <f t="shared" si="49"/>
        <v>0</v>
      </c>
      <c r="Y175" s="80" t="s">
        <v>86</v>
      </c>
    </row>
    <row r="176" spans="1:25" x14ac:dyDescent="0.25">
      <c r="A176" s="8">
        <f t="shared" si="42"/>
        <v>165</v>
      </c>
      <c r="B176" s="197"/>
      <c r="C176" s="198"/>
      <c r="D176" s="195"/>
      <c r="E176" s="195"/>
      <c r="F176" s="196"/>
      <c r="G176" s="255"/>
      <c r="H176" s="255"/>
      <c r="I176" s="255"/>
      <c r="J176" s="255"/>
      <c r="K176" s="255"/>
      <c r="L176" s="255"/>
      <c r="M176" s="255"/>
      <c r="N176" s="109"/>
      <c r="O176" s="114"/>
      <c r="P176" s="194"/>
      <c r="R176" s="86">
        <f t="shared" si="43"/>
        <v>0</v>
      </c>
      <c r="S176" s="21">
        <f t="shared" si="44"/>
        <v>0</v>
      </c>
      <c r="T176" s="21">
        <f t="shared" si="45"/>
        <v>0</v>
      </c>
      <c r="U176" s="1">
        <f t="shared" si="46"/>
        <v>0</v>
      </c>
      <c r="V176" s="1">
        <f t="shared" si="47"/>
        <v>0</v>
      </c>
      <c r="W176" s="1">
        <f t="shared" si="48"/>
        <v>0</v>
      </c>
      <c r="X176" s="1">
        <f t="shared" si="49"/>
        <v>0</v>
      </c>
      <c r="Y176" s="80" t="s">
        <v>86</v>
      </c>
    </row>
    <row r="177" spans="1:25" x14ac:dyDescent="0.25">
      <c r="A177" s="8">
        <f t="shared" si="42"/>
        <v>166</v>
      </c>
      <c r="B177" s="197"/>
      <c r="C177" s="198"/>
      <c r="D177" s="195"/>
      <c r="E177" s="195"/>
      <c r="F177" s="196"/>
      <c r="G177" s="255"/>
      <c r="H177" s="255"/>
      <c r="I177" s="255"/>
      <c r="J177" s="255"/>
      <c r="K177" s="255"/>
      <c r="L177" s="255"/>
      <c r="M177" s="255"/>
      <c r="N177" s="109"/>
      <c r="O177" s="114"/>
      <c r="P177" s="194"/>
      <c r="R177" s="86">
        <f t="shared" si="43"/>
        <v>0</v>
      </c>
      <c r="S177" s="21">
        <f t="shared" si="44"/>
        <v>0</v>
      </c>
      <c r="T177" s="21">
        <f t="shared" si="45"/>
        <v>0</v>
      </c>
      <c r="U177" s="1">
        <f t="shared" si="46"/>
        <v>0</v>
      </c>
      <c r="V177" s="1">
        <f t="shared" si="47"/>
        <v>0</v>
      </c>
      <c r="W177" s="1">
        <f t="shared" si="48"/>
        <v>0</v>
      </c>
      <c r="X177" s="1">
        <f t="shared" si="49"/>
        <v>0</v>
      </c>
      <c r="Y177" s="80" t="s">
        <v>86</v>
      </c>
    </row>
    <row r="178" spans="1:25" x14ac:dyDescent="0.25">
      <c r="A178" s="8">
        <f t="shared" si="42"/>
        <v>167</v>
      </c>
      <c r="B178" s="197"/>
      <c r="C178" s="198"/>
      <c r="D178" s="195"/>
      <c r="E178" s="195"/>
      <c r="F178" s="196"/>
      <c r="G178" s="255"/>
      <c r="H178" s="255"/>
      <c r="I178" s="255"/>
      <c r="J178" s="255"/>
      <c r="K178" s="255"/>
      <c r="L178" s="255"/>
      <c r="M178" s="255"/>
      <c r="N178" s="109"/>
      <c r="O178" s="114"/>
      <c r="P178" s="194"/>
      <c r="R178" s="86">
        <f t="shared" si="43"/>
        <v>0</v>
      </c>
      <c r="S178" s="21">
        <f t="shared" si="44"/>
        <v>0</v>
      </c>
      <c r="T178" s="21">
        <f t="shared" si="45"/>
        <v>0</v>
      </c>
      <c r="U178" s="1">
        <f t="shared" si="46"/>
        <v>0</v>
      </c>
      <c r="V178" s="1">
        <f t="shared" si="47"/>
        <v>0</v>
      </c>
      <c r="W178" s="1">
        <f t="shared" si="48"/>
        <v>0</v>
      </c>
      <c r="X178" s="1">
        <f t="shared" si="49"/>
        <v>0</v>
      </c>
      <c r="Y178" s="80" t="s">
        <v>86</v>
      </c>
    </row>
    <row r="179" spans="1:25" x14ac:dyDescent="0.25">
      <c r="A179" s="8">
        <f t="shared" si="42"/>
        <v>168</v>
      </c>
      <c r="B179" s="197"/>
      <c r="C179" s="198"/>
      <c r="D179" s="195"/>
      <c r="E179" s="195"/>
      <c r="F179" s="196"/>
      <c r="G179" s="255"/>
      <c r="H179" s="255"/>
      <c r="I179" s="255"/>
      <c r="J179" s="255"/>
      <c r="K179" s="255"/>
      <c r="L179" s="255"/>
      <c r="M179" s="255"/>
      <c r="N179" s="109"/>
      <c r="O179" s="114"/>
      <c r="P179" s="194"/>
      <c r="R179" s="86">
        <f t="shared" si="43"/>
        <v>0</v>
      </c>
      <c r="S179" s="21">
        <f t="shared" si="44"/>
        <v>0</v>
      </c>
      <c r="T179" s="21">
        <f t="shared" si="45"/>
        <v>0</v>
      </c>
      <c r="U179" s="1">
        <f t="shared" si="46"/>
        <v>0</v>
      </c>
      <c r="V179" s="1">
        <f t="shared" si="47"/>
        <v>0</v>
      </c>
      <c r="W179" s="1">
        <f t="shared" si="48"/>
        <v>0</v>
      </c>
      <c r="X179" s="1">
        <f t="shared" si="49"/>
        <v>0</v>
      </c>
      <c r="Y179" s="80" t="s">
        <v>86</v>
      </c>
    </row>
    <row r="180" spans="1:25" x14ac:dyDescent="0.25">
      <c r="A180" s="8">
        <f t="shared" si="42"/>
        <v>169</v>
      </c>
      <c r="B180" s="197"/>
      <c r="C180" s="198"/>
      <c r="D180" s="195"/>
      <c r="E180" s="195"/>
      <c r="F180" s="196"/>
      <c r="G180" s="255"/>
      <c r="H180" s="255"/>
      <c r="I180" s="255"/>
      <c r="J180" s="255"/>
      <c r="K180" s="255"/>
      <c r="L180" s="255"/>
      <c r="M180" s="255"/>
      <c r="N180" s="109"/>
      <c r="O180" s="114"/>
      <c r="P180" s="194"/>
      <c r="R180" s="86">
        <f t="shared" si="43"/>
        <v>0</v>
      </c>
      <c r="S180" s="21">
        <f t="shared" si="44"/>
        <v>0</v>
      </c>
      <c r="T180" s="21">
        <f t="shared" si="45"/>
        <v>0</v>
      </c>
      <c r="U180" s="1">
        <f t="shared" si="46"/>
        <v>0</v>
      </c>
      <c r="V180" s="1">
        <f t="shared" si="47"/>
        <v>0</v>
      </c>
      <c r="W180" s="1">
        <f t="shared" si="48"/>
        <v>0</v>
      </c>
      <c r="X180" s="1">
        <f t="shared" si="49"/>
        <v>0</v>
      </c>
      <c r="Y180" s="80" t="s">
        <v>86</v>
      </c>
    </row>
    <row r="181" spans="1:25" x14ac:dyDescent="0.25">
      <c r="A181" s="8">
        <f t="shared" si="42"/>
        <v>170</v>
      </c>
      <c r="B181" s="197"/>
      <c r="C181" s="198"/>
      <c r="D181" s="195"/>
      <c r="E181" s="195"/>
      <c r="F181" s="196"/>
      <c r="G181" s="255"/>
      <c r="H181" s="255"/>
      <c r="I181" s="255"/>
      <c r="J181" s="255"/>
      <c r="K181" s="255"/>
      <c r="L181" s="255"/>
      <c r="M181" s="255"/>
      <c r="N181" s="109"/>
      <c r="O181" s="114"/>
      <c r="P181" s="194"/>
      <c r="R181" s="86">
        <f t="shared" si="43"/>
        <v>0</v>
      </c>
      <c r="S181" s="21">
        <f t="shared" si="44"/>
        <v>0</v>
      </c>
      <c r="T181" s="21">
        <f t="shared" si="45"/>
        <v>0</v>
      </c>
      <c r="U181" s="1">
        <f t="shared" si="46"/>
        <v>0</v>
      </c>
      <c r="V181" s="1">
        <f t="shared" si="47"/>
        <v>0</v>
      </c>
      <c r="W181" s="1">
        <f t="shared" si="48"/>
        <v>0</v>
      </c>
      <c r="X181" s="1">
        <f t="shared" si="49"/>
        <v>0</v>
      </c>
      <c r="Y181" s="80" t="s">
        <v>86</v>
      </c>
    </row>
    <row r="182" spans="1:25" x14ac:dyDescent="0.25">
      <c r="A182" s="8">
        <f t="shared" si="42"/>
        <v>171</v>
      </c>
      <c r="B182" s="197"/>
      <c r="C182" s="198"/>
      <c r="D182" s="195"/>
      <c r="E182" s="195"/>
      <c r="F182" s="196"/>
      <c r="G182" s="255"/>
      <c r="H182" s="255"/>
      <c r="I182" s="255"/>
      <c r="J182" s="255"/>
      <c r="K182" s="255"/>
      <c r="L182" s="255"/>
      <c r="M182" s="255"/>
      <c r="N182" s="109"/>
      <c r="O182" s="114"/>
      <c r="P182" s="194"/>
      <c r="R182" s="86">
        <f t="shared" ref="R182:R203" si="50">IF(K182=1,IF($B182=1,1,-1),0)</f>
        <v>0</v>
      </c>
      <c r="S182" s="21">
        <f t="shared" ref="S182:S203" si="51">IF(L182=1,IF($B182=1,1,-1),0)</f>
        <v>0</v>
      </c>
      <c r="T182" s="21">
        <f t="shared" ref="T182:T211" si="52">IF(M182=1,1,0)</f>
        <v>0</v>
      </c>
      <c r="U182" s="1">
        <f t="shared" ref="U182:U203" si="53">IF($B182&lt;&gt;1,IF(G182=1,1,0),0)</f>
        <v>0</v>
      </c>
      <c r="V182" s="1">
        <f t="shared" ref="V182:V203" si="54">IF($B182&lt;&gt;1,IF(H182=1,1,0),0)</f>
        <v>0</v>
      </c>
      <c r="W182" s="1">
        <f t="shared" ref="W182:W203" si="55">IF($B182&lt;&gt;1,IF(I182=1,1,0),0)</f>
        <v>0</v>
      </c>
      <c r="X182" s="1">
        <f t="shared" ref="X182:X203" si="56">IF($B182&lt;&gt;1,IF(J182=1,1,0),0)</f>
        <v>0</v>
      </c>
      <c r="Y182" s="80" t="s">
        <v>86</v>
      </c>
    </row>
    <row r="183" spans="1:25" x14ac:dyDescent="0.25">
      <c r="A183" s="8">
        <f t="shared" si="42"/>
        <v>172</v>
      </c>
      <c r="B183" s="197"/>
      <c r="C183" s="198"/>
      <c r="D183" s="195"/>
      <c r="E183" s="195"/>
      <c r="F183" s="196"/>
      <c r="G183" s="255"/>
      <c r="H183" s="255"/>
      <c r="I183" s="255"/>
      <c r="J183" s="255"/>
      <c r="K183" s="255"/>
      <c r="L183" s="255"/>
      <c r="M183" s="255"/>
      <c r="N183" s="109"/>
      <c r="O183" s="114"/>
      <c r="P183" s="194"/>
      <c r="R183" s="86">
        <f t="shared" si="50"/>
        <v>0</v>
      </c>
      <c r="S183" s="21">
        <f t="shared" si="51"/>
        <v>0</v>
      </c>
      <c r="T183" s="21">
        <f t="shared" si="52"/>
        <v>0</v>
      </c>
      <c r="U183" s="1">
        <f t="shared" si="53"/>
        <v>0</v>
      </c>
      <c r="V183" s="1">
        <f t="shared" si="54"/>
        <v>0</v>
      </c>
      <c r="W183" s="1">
        <f t="shared" si="55"/>
        <v>0</v>
      </c>
      <c r="X183" s="1">
        <f t="shared" si="56"/>
        <v>0</v>
      </c>
      <c r="Y183" s="80" t="s">
        <v>86</v>
      </c>
    </row>
    <row r="184" spans="1:25" x14ac:dyDescent="0.25">
      <c r="A184" s="8">
        <f t="shared" si="42"/>
        <v>173</v>
      </c>
      <c r="B184" s="197"/>
      <c r="C184" s="198"/>
      <c r="D184" s="195"/>
      <c r="E184" s="195"/>
      <c r="F184" s="196"/>
      <c r="G184" s="255"/>
      <c r="H184" s="255"/>
      <c r="I184" s="255"/>
      <c r="J184" s="255"/>
      <c r="K184" s="255"/>
      <c r="L184" s="255"/>
      <c r="M184" s="255"/>
      <c r="N184" s="109"/>
      <c r="O184" s="114"/>
      <c r="P184" s="194"/>
      <c r="R184" s="86">
        <f t="shared" si="50"/>
        <v>0</v>
      </c>
      <c r="S184" s="21">
        <f t="shared" si="51"/>
        <v>0</v>
      </c>
      <c r="T184" s="21">
        <f t="shared" si="52"/>
        <v>0</v>
      </c>
      <c r="U184" s="1">
        <f t="shared" si="53"/>
        <v>0</v>
      </c>
      <c r="V184" s="1">
        <f t="shared" si="54"/>
        <v>0</v>
      </c>
      <c r="W184" s="1">
        <f t="shared" si="55"/>
        <v>0</v>
      </c>
      <c r="X184" s="1">
        <f t="shared" si="56"/>
        <v>0</v>
      </c>
      <c r="Y184" s="80" t="s">
        <v>86</v>
      </c>
    </row>
    <row r="185" spans="1:25" x14ac:dyDescent="0.25">
      <c r="A185" s="8">
        <f t="shared" si="42"/>
        <v>174</v>
      </c>
      <c r="B185" s="197"/>
      <c r="C185" s="198"/>
      <c r="D185" s="195"/>
      <c r="E185" s="195"/>
      <c r="F185" s="196"/>
      <c r="G185" s="255"/>
      <c r="H185" s="255"/>
      <c r="I185" s="255"/>
      <c r="J185" s="255"/>
      <c r="K185" s="255"/>
      <c r="L185" s="255"/>
      <c r="M185" s="255"/>
      <c r="N185" s="109"/>
      <c r="O185" s="114"/>
      <c r="P185" s="194"/>
      <c r="R185" s="86">
        <f t="shared" si="50"/>
        <v>0</v>
      </c>
      <c r="S185" s="21">
        <f t="shared" si="51"/>
        <v>0</v>
      </c>
      <c r="T185" s="21">
        <f t="shared" si="52"/>
        <v>0</v>
      </c>
      <c r="U185" s="1">
        <f t="shared" si="53"/>
        <v>0</v>
      </c>
      <c r="V185" s="1">
        <f t="shared" si="54"/>
        <v>0</v>
      </c>
      <c r="W185" s="1">
        <f t="shared" si="55"/>
        <v>0</v>
      </c>
      <c r="X185" s="1">
        <f t="shared" si="56"/>
        <v>0</v>
      </c>
      <c r="Y185" s="80" t="s">
        <v>86</v>
      </c>
    </row>
    <row r="186" spans="1:25" x14ac:dyDescent="0.25">
      <c r="A186" s="8">
        <f t="shared" si="42"/>
        <v>175</v>
      </c>
      <c r="B186" s="197"/>
      <c r="C186" s="198"/>
      <c r="D186" s="195"/>
      <c r="E186" s="195"/>
      <c r="F186" s="196"/>
      <c r="G186" s="255"/>
      <c r="H186" s="255"/>
      <c r="I186" s="255"/>
      <c r="J186" s="255"/>
      <c r="K186" s="255"/>
      <c r="L186" s="255"/>
      <c r="M186" s="255"/>
      <c r="N186" s="109"/>
      <c r="O186" s="114"/>
      <c r="P186" s="194"/>
      <c r="R186" s="86">
        <f t="shared" si="50"/>
        <v>0</v>
      </c>
      <c r="S186" s="21">
        <f t="shared" si="51"/>
        <v>0</v>
      </c>
      <c r="T186" s="21">
        <f t="shared" si="52"/>
        <v>0</v>
      </c>
      <c r="U186" s="1">
        <f t="shared" si="53"/>
        <v>0</v>
      </c>
      <c r="V186" s="1">
        <f t="shared" si="54"/>
        <v>0</v>
      </c>
      <c r="W186" s="1">
        <f t="shared" si="55"/>
        <v>0</v>
      </c>
      <c r="X186" s="1">
        <f t="shared" si="56"/>
        <v>0</v>
      </c>
      <c r="Y186" s="80" t="s">
        <v>86</v>
      </c>
    </row>
    <row r="187" spans="1:25" x14ac:dyDescent="0.25">
      <c r="A187" s="8">
        <f t="shared" si="42"/>
        <v>176</v>
      </c>
      <c r="B187" s="197"/>
      <c r="C187" s="198"/>
      <c r="D187" s="195"/>
      <c r="E187" s="195"/>
      <c r="F187" s="196"/>
      <c r="G187" s="255"/>
      <c r="H187" s="255"/>
      <c r="I187" s="255"/>
      <c r="J187" s="255"/>
      <c r="K187" s="255"/>
      <c r="L187" s="255"/>
      <c r="M187" s="255"/>
      <c r="N187" s="109"/>
      <c r="O187" s="114"/>
      <c r="P187" s="194"/>
      <c r="R187" s="86">
        <f t="shared" si="50"/>
        <v>0</v>
      </c>
      <c r="S187" s="21">
        <f t="shared" si="51"/>
        <v>0</v>
      </c>
      <c r="T187" s="21">
        <f t="shared" si="52"/>
        <v>0</v>
      </c>
      <c r="U187" s="1">
        <f t="shared" si="53"/>
        <v>0</v>
      </c>
      <c r="V187" s="1">
        <f t="shared" si="54"/>
        <v>0</v>
      </c>
      <c r="W187" s="1">
        <f t="shared" si="55"/>
        <v>0</v>
      </c>
      <c r="X187" s="1">
        <f t="shared" si="56"/>
        <v>0</v>
      </c>
      <c r="Y187" s="80" t="s">
        <v>86</v>
      </c>
    </row>
    <row r="188" spans="1:25" x14ac:dyDescent="0.25">
      <c r="A188" s="8">
        <f t="shared" si="42"/>
        <v>177</v>
      </c>
      <c r="B188" s="197"/>
      <c r="C188" s="198"/>
      <c r="D188" s="195"/>
      <c r="E188" s="195"/>
      <c r="F188" s="196"/>
      <c r="G188" s="255"/>
      <c r="H188" s="255"/>
      <c r="I188" s="255"/>
      <c r="J188" s="255"/>
      <c r="K188" s="255"/>
      <c r="L188" s="255"/>
      <c r="M188" s="255"/>
      <c r="N188" s="109"/>
      <c r="O188" s="114"/>
      <c r="P188" s="194"/>
      <c r="R188" s="86">
        <f t="shared" si="50"/>
        <v>0</v>
      </c>
      <c r="S188" s="21">
        <f t="shared" si="51"/>
        <v>0</v>
      </c>
      <c r="T188" s="21">
        <f t="shared" si="52"/>
        <v>0</v>
      </c>
      <c r="U188" s="1">
        <f t="shared" si="53"/>
        <v>0</v>
      </c>
      <c r="V188" s="1">
        <f t="shared" si="54"/>
        <v>0</v>
      </c>
      <c r="W188" s="1">
        <f t="shared" si="55"/>
        <v>0</v>
      </c>
      <c r="X188" s="1">
        <f t="shared" si="56"/>
        <v>0</v>
      </c>
      <c r="Y188" s="80" t="s">
        <v>86</v>
      </c>
    </row>
    <row r="189" spans="1:25" x14ac:dyDescent="0.25">
      <c r="A189" s="8">
        <f t="shared" si="42"/>
        <v>178</v>
      </c>
      <c r="B189" s="197"/>
      <c r="C189" s="198"/>
      <c r="D189" s="195"/>
      <c r="E189" s="195"/>
      <c r="F189" s="196"/>
      <c r="G189" s="255"/>
      <c r="H189" s="255"/>
      <c r="I189" s="255"/>
      <c r="J189" s="255"/>
      <c r="K189" s="255"/>
      <c r="L189" s="255"/>
      <c r="M189" s="255"/>
      <c r="N189" s="109"/>
      <c r="O189" s="114"/>
      <c r="P189" s="194"/>
      <c r="R189" s="86">
        <f t="shared" si="50"/>
        <v>0</v>
      </c>
      <c r="S189" s="21">
        <f t="shared" si="51"/>
        <v>0</v>
      </c>
      <c r="T189" s="21">
        <f t="shared" si="52"/>
        <v>0</v>
      </c>
      <c r="U189" s="1">
        <f t="shared" si="53"/>
        <v>0</v>
      </c>
      <c r="V189" s="1">
        <f t="shared" si="54"/>
        <v>0</v>
      </c>
      <c r="W189" s="1">
        <f t="shared" si="55"/>
        <v>0</v>
      </c>
      <c r="X189" s="1">
        <f t="shared" si="56"/>
        <v>0</v>
      </c>
      <c r="Y189" s="80" t="s">
        <v>86</v>
      </c>
    </row>
    <row r="190" spans="1:25" x14ac:dyDescent="0.25">
      <c r="A190" s="8">
        <f t="shared" si="42"/>
        <v>179</v>
      </c>
      <c r="B190" s="197"/>
      <c r="C190" s="198"/>
      <c r="D190" s="195"/>
      <c r="E190" s="195"/>
      <c r="F190" s="196"/>
      <c r="G190" s="255"/>
      <c r="H190" s="255"/>
      <c r="I190" s="255"/>
      <c r="J190" s="255"/>
      <c r="K190" s="255"/>
      <c r="L190" s="255"/>
      <c r="M190" s="255"/>
      <c r="N190" s="109"/>
      <c r="O190" s="114"/>
      <c r="P190" s="194"/>
      <c r="R190" s="86">
        <f t="shared" si="50"/>
        <v>0</v>
      </c>
      <c r="S190" s="21">
        <f t="shared" si="51"/>
        <v>0</v>
      </c>
      <c r="T190" s="21">
        <f t="shared" si="52"/>
        <v>0</v>
      </c>
      <c r="U190" s="1">
        <f t="shared" si="53"/>
        <v>0</v>
      </c>
      <c r="V190" s="1">
        <f t="shared" si="54"/>
        <v>0</v>
      </c>
      <c r="W190" s="1">
        <f t="shared" si="55"/>
        <v>0</v>
      </c>
      <c r="X190" s="1">
        <f t="shared" si="56"/>
        <v>0</v>
      </c>
      <c r="Y190" s="80" t="s">
        <v>86</v>
      </c>
    </row>
    <row r="191" spans="1:25" x14ac:dyDescent="0.25">
      <c r="A191" s="8">
        <f t="shared" si="42"/>
        <v>180</v>
      </c>
      <c r="B191" s="197"/>
      <c r="C191" s="198"/>
      <c r="D191" s="195"/>
      <c r="E191" s="195"/>
      <c r="F191" s="196"/>
      <c r="G191" s="255"/>
      <c r="H191" s="255"/>
      <c r="I191" s="255"/>
      <c r="J191" s="255"/>
      <c r="K191" s="255"/>
      <c r="L191" s="255"/>
      <c r="M191" s="255"/>
      <c r="N191" s="109"/>
      <c r="O191" s="114"/>
      <c r="P191" s="194"/>
      <c r="R191" s="86">
        <f t="shared" si="50"/>
        <v>0</v>
      </c>
      <c r="S191" s="21">
        <f t="shared" si="51"/>
        <v>0</v>
      </c>
      <c r="T191" s="21">
        <f t="shared" si="52"/>
        <v>0</v>
      </c>
      <c r="U191" s="1">
        <f t="shared" si="53"/>
        <v>0</v>
      </c>
      <c r="V191" s="1">
        <f t="shared" si="54"/>
        <v>0</v>
      </c>
      <c r="W191" s="1">
        <f t="shared" si="55"/>
        <v>0</v>
      </c>
      <c r="X191" s="1">
        <f t="shared" si="56"/>
        <v>0</v>
      </c>
      <c r="Y191" s="80" t="s">
        <v>86</v>
      </c>
    </row>
    <row r="192" spans="1:25" x14ac:dyDescent="0.25">
      <c r="A192" s="8">
        <f t="shared" si="42"/>
        <v>181</v>
      </c>
      <c r="B192" s="197"/>
      <c r="C192" s="198"/>
      <c r="D192" s="195"/>
      <c r="E192" s="195"/>
      <c r="F192" s="196"/>
      <c r="G192" s="255"/>
      <c r="H192" s="255"/>
      <c r="I192" s="255"/>
      <c r="J192" s="255"/>
      <c r="K192" s="255"/>
      <c r="L192" s="255"/>
      <c r="M192" s="255"/>
      <c r="N192" s="109"/>
      <c r="O192" s="114"/>
      <c r="P192" s="194"/>
      <c r="R192" s="86">
        <f t="shared" si="50"/>
        <v>0</v>
      </c>
      <c r="S192" s="21">
        <f t="shared" si="51"/>
        <v>0</v>
      </c>
      <c r="T192" s="21">
        <f t="shared" si="52"/>
        <v>0</v>
      </c>
      <c r="U192" s="1">
        <f t="shared" si="53"/>
        <v>0</v>
      </c>
      <c r="V192" s="1">
        <f t="shared" si="54"/>
        <v>0</v>
      </c>
      <c r="W192" s="1">
        <f t="shared" si="55"/>
        <v>0</v>
      </c>
      <c r="X192" s="1">
        <f t="shared" si="56"/>
        <v>0</v>
      </c>
      <c r="Y192" s="80" t="s">
        <v>86</v>
      </c>
    </row>
    <row r="193" spans="1:25" x14ac:dyDescent="0.25">
      <c r="A193" s="8">
        <f t="shared" si="42"/>
        <v>182</v>
      </c>
      <c r="B193" s="197"/>
      <c r="C193" s="198"/>
      <c r="D193" s="195"/>
      <c r="E193" s="195"/>
      <c r="F193" s="196"/>
      <c r="G193" s="255"/>
      <c r="H193" s="255"/>
      <c r="I193" s="255"/>
      <c r="J193" s="255"/>
      <c r="K193" s="255"/>
      <c r="L193" s="255"/>
      <c r="M193" s="255"/>
      <c r="N193" s="109"/>
      <c r="O193" s="114"/>
      <c r="P193" s="194"/>
      <c r="R193" s="86">
        <f t="shared" si="50"/>
        <v>0</v>
      </c>
      <c r="S193" s="21">
        <f t="shared" si="51"/>
        <v>0</v>
      </c>
      <c r="T193" s="21">
        <f t="shared" si="52"/>
        <v>0</v>
      </c>
      <c r="U193" s="1">
        <f t="shared" si="53"/>
        <v>0</v>
      </c>
      <c r="V193" s="1">
        <f t="shared" si="54"/>
        <v>0</v>
      </c>
      <c r="W193" s="1">
        <f t="shared" si="55"/>
        <v>0</v>
      </c>
      <c r="X193" s="1">
        <f t="shared" si="56"/>
        <v>0</v>
      </c>
      <c r="Y193" s="80" t="s">
        <v>86</v>
      </c>
    </row>
    <row r="194" spans="1:25" x14ac:dyDescent="0.25">
      <c r="A194" s="8">
        <f t="shared" si="42"/>
        <v>183</v>
      </c>
      <c r="B194" s="197"/>
      <c r="C194" s="198"/>
      <c r="D194" s="195"/>
      <c r="E194" s="195"/>
      <c r="F194" s="196"/>
      <c r="G194" s="255"/>
      <c r="H194" s="255"/>
      <c r="I194" s="255"/>
      <c r="J194" s="255"/>
      <c r="K194" s="255"/>
      <c r="L194" s="255"/>
      <c r="M194" s="255"/>
      <c r="N194" s="109"/>
      <c r="O194" s="114"/>
      <c r="P194" s="194"/>
      <c r="R194" s="86">
        <f t="shared" si="50"/>
        <v>0</v>
      </c>
      <c r="S194" s="21">
        <f t="shared" si="51"/>
        <v>0</v>
      </c>
      <c r="T194" s="21">
        <f t="shared" si="52"/>
        <v>0</v>
      </c>
      <c r="U194" s="1">
        <f t="shared" si="53"/>
        <v>0</v>
      </c>
      <c r="V194" s="1">
        <f t="shared" si="54"/>
        <v>0</v>
      </c>
      <c r="W194" s="1">
        <f t="shared" si="55"/>
        <v>0</v>
      </c>
      <c r="X194" s="1">
        <f t="shared" si="56"/>
        <v>0</v>
      </c>
      <c r="Y194" s="80" t="s">
        <v>86</v>
      </c>
    </row>
    <row r="195" spans="1:25" x14ac:dyDescent="0.25">
      <c r="A195" s="8">
        <f t="shared" si="42"/>
        <v>184</v>
      </c>
      <c r="B195" s="197"/>
      <c r="C195" s="198"/>
      <c r="D195" s="195"/>
      <c r="E195" s="195"/>
      <c r="F195" s="196"/>
      <c r="G195" s="255"/>
      <c r="H195" s="255"/>
      <c r="I195" s="255"/>
      <c r="J195" s="255"/>
      <c r="K195" s="255"/>
      <c r="L195" s="255"/>
      <c r="M195" s="255"/>
      <c r="N195" s="109"/>
      <c r="O195" s="114"/>
      <c r="P195" s="194"/>
      <c r="R195" s="86">
        <f t="shared" si="50"/>
        <v>0</v>
      </c>
      <c r="S195" s="21">
        <f t="shared" si="51"/>
        <v>0</v>
      </c>
      <c r="T195" s="21">
        <f t="shared" si="52"/>
        <v>0</v>
      </c>
      <c r="U195" s="1">
        <f t="shared" si="53"/>
        <v>0</v>
      </c>
      <c r="V195" s="1">
        <f t="shared" si="54"/>
        <v>0</v>
      </c>
      <c r="W195" s="1">
        <f t="shared" si="55"/>
        <v>0</v>
      </c>
      <c r="X195" s="1">
        <f t="shared" si="56"/>
        <v>0</v>
      </c>
      <c r="Y195" s="80" t="s">
        <v>86</v>
      </c>
    </row>
    <row r="196" spans="1:25" x14ac:dyDescent="0.25">
      <c r="A196" s="8">
        <f t="shared" si="42"/>
        <v>185</v>
      </c>
      <c r="B196" s="197"/>
      <c r="C196" s="198"/>
      <c r="D196" s="195"/>
      <c r="E196" s="195"/>
      <c r="F196" s="196"/>
      <c r="G196" s="255"/>
      <c r="H196" s="255"/>
      <c r="I196" s="255"/>
      <c r="J196" s="255"/>
      <c r="K196" s="255"/>
      <c r="L196" s="255"/>
      <c r="M196" s="255"/>
      <c r="N196" s="109"/>
      <c r="O196" s="114"/>
      <c r="P196" s="194"/>
      <c r="R196" s="86">
        <f t="shared" si="50"/>
        <v>0</v>
      </c>
      <c r="S196" s="21">
        <f t="shared" si="51"/>
        <v>0</v>
      </c>
      <c r="T196" s="21">
        <f t="shared" si="52"/>
        <v>0</v>
      </c>
      <c r="U196" s="1">
        <f t="shared" si="53"/>
        <v>0</v>
      </c>
      <c r="V196" s="1">
        <f t="shared" si="54"/>
        <v>0</v>
      </c>
      <c r="W196" s="1">
        <f t="shared" si="55"/>
        <v>0</v>
      </c>
      <c r="X196" s="1">
        <f t="shared" si="56"/>
        <v>0</v>
      </c>
      <c r="Y196" s="80" t="s">
        <v>86</v>
      </c>
    </row>
    <row r="197" spans="1:25" x14ac:dyDescent="0.25">
      <c r="A197" s="8">
        <f t="shared" si="42"/>
        <v>186</v>
      </c>
      <c r="B197" s="197"/>
      <c r="C197" s="198"/>
      <c r="D197" s="195"/>
      <c r="E197" s="195"/>
      <c r="F197" s="196"/>
      <c r="G197" s="255"/>
      <c r="H197" s="255"/>
      <c r="I197" s="255"/>
      <c r="J197" s="255"/>
      <c r="K197" s="255"/>
      <c r="L197" s="255"/>
      <c r="M197" s="255"/>
      <c r="N197" s="109"/>
      <c r="O197" s="114"/>
      <c r="P197" s="194"/>
      <c r="R197" s="86">
        <f t="shared" si="50"/>
        <v>0</v>
      </c>
      <c r="S197" s="21">
        <f t="shared" si="51"/>
        <v>0</v>
      </c>
      <c r="T197" s="21">
        <f t="shared" si="52"/>
        <v>0</v>
      </c>
      <c r="U197" s="1">
        <f t="shared" si="53"/>
        <v>0</v>
      </c>
      <c r="V197" s="1">
        <f t="shared" si="54"/>
        <v>0</v>
      </c>
      <c r="W197" s="1">
        <f t="shared" si="55"/>
        <v>0</v>
      </c>
      <c r="X197" s="1">
        <f t="shared" si="56"/>
        <v>0</v>
      </c>
      <c r="Y197" s="80" t="s">
        <v>86</v>
      </c>
    </row>
    <row r="198" spans="1:25" x14ac:dyDescent="0.25">
      <c r="A198" s="8">
        <f t="shared" si="42"/>
        <v>187</v>
      </c>
      <c r="B198" s="197"/>
      <c r="C198" s="198"/>
      <c r="D198" s="195"/>
      <c r="E198" s="195"/>
      <c r="F198" s="196"/>
      <c r="G198" s="255"/>
      <c r="H198" s="255"/>
      <c r="I198" s="255"/>
      <c r="J198" s="255"/>
      <c r="K198" s="255"/>
      <c r="L198" s="255"/>
      <c r="M198" s="255"/>
      <c r="N198" s="109"/>
      <c r="O198" s="114"/>
      <c r="P198" s="194"/>
      <c r="R198" s="86">
        <f t="shared" si="50"/>
        <v>0</v>
      </c>
      <c r="S198" s="21">
        <f t="shared" si="51"/>
        <v>0</v>
      </c>
      <c r="T198" s="21">
        <f t="shared" si="52"/>
        <v>0</v>
      </c>
      <c r="U198" s="1">
        <f t="shared" si="53"/>
        <v>0</v>
      </c>
      <c r="V198" s="1">
        <f t="shared" si="54"/>
        <v>0</v>
      </c>
      <c r="W198" s="1">
        <f t="shared" si="55"/>
        <v>0</v>
      </c>
      <c r="X198" s="1">
        <f t="shared" si="56"/>
        <v>0</v>
      </c>
      <c r="Y198" s="80" t="s">
        <v>86</v>
      </c>
    </row>
    <row r="199" spans="1:25" x14ac:dyDescent="0.25">
      <c r="A199" s="8">
        <f t="shared" si="42"/>
        <v>188</v>
      </c>
      <c r="B199" s="197"/>
      <c r="C199" s="198"/>
      <c r="D199" s="195"/>
      <c r="E199" s="195"/>
      <c r="F199" s="196"/>
      <c r="G199" s="255"/>
      <c r="H199" s="255"/>
      <c r="I199" s="255"/>
      <c r="J199" s="255"/>
      <c r="K199" s="255"/>
      <c r="L199" s="255"/>
      <c r="M199" s="255"/>
      <c r="N199" s="109"/>
      <c r="O199" s="114"/>
      <c r="P199" s="194"/>
      <c r="R199" s="86">
        <f t="shared" si="50"/>
        <v>0</v>
      </c>
      <c r="S199" s="21">
        <f t="shared" si="51"/>
        <v>0</v>
      </c>
      <c r="T199" s="21">
        <f t="shared" si="52"/>
        <v>0</v>
      </c>
      <c r="U199" s="1">
        <f t="shared" si="53"/>
        <v>0</v>
      </c>
      <c r="V199" s="1">
        <f t="shared" si="54"/>
        <v>0</v>
      </c>
      <c r="W199" s="1">
        <f t="shared" si="55"/>
        <v>0</v>
      </c>
      <c r="X199" s="1">
        <f t="shared" si="56"/>
        <v>0</v>
      </c>
      <c r="Y199" s="80" t="s">
        <v>86</v>
      </c>
    </row>
    <row r="200" spans="1:25" x14ac:dyDescent="0.25">
      <c r="A200" s="8">
        <f t="shared" si="42"/>
        <v>189</v>
      </c>
      <c r="B200" s="197"/>
      <c r="C200" s="198"/>
      <c r="D200" s="195"/>
      <c r="E200" s="195"/>
      <c r="F200" s="196"/>
      <c r="G200" s="255"/>
      <c r="H200" s="255"/>
      <c r="I200" s="255"/>
      <c r="J200" s="255"/>
      <c r="K200" s="255"/>
      <c r="L200" s="255"/>
      <c r="M200" s="255"/>
      <c r="N200" s="109"/>
      <c r="O200" s="114"/>
      <c r="P200" s="194"/>
      <c r="R200" s="86">
        <f t="shared" si="50"/>
        <v>0</v>
      </c>
      <c r="S200" s="21">
        <f t="shared" si="51"/>
        <v>0</v>
      </c>
      <c r="T200" s="21">
        <f t="shared" si="52"/>
        <v>0</v>
      </c>
      <c r="U200" s="1">
        <f t="shared" si="53"/>
        <v>0</v>
      </c>
      <c r="V200" s="1">
        <f t="shared" si="54"/>
        <v>0</v>
      </c>
      <c r="W200" s="1">
        <f t="shared" si="55"/>
        <v>0</v>
      </c>
      <c r="X200" s="1">
        <f t="shared" si="56"/>
        <v>0</v>
      </c>
      <c r="Y200" s="80" t="s">
        <v>86</v>
      </c>
    </row>
    <row r="201" spans="1:25" x14ac:dyDescent="0.25">
      <c r="A201" s="8">
        <f t="shared" si="42"/>
        <v>190</v>
      </c>
      <c r="B201" s="197"/>
      <c r="C201" s="198"/>
      <c r="D201" s="195"/>
      <c r="E201" s="195"/>
      <c r="F201" s="196"/>
      <c r="G201" s="255"/>
      <c r="H201" s="255"/>
      <c r="I201" s="255"/>
      <c r="J201" s="255"/>
      <c r="K201" s="255"/>
      <c r="L201" s="255"/>
      <c r="M201" s="255"/>
      <c r="N201" s="109"/>
      <c r="O201" s="114"/>
      <c r="P201" s="194"/>
      <c r="R201" s="86">
        <f t="shared" si="50"/>
        <v>0</v>
      </c>
      <c r="S201" s="21">
        <f t="shared" si="51"/>
        <v>0</v>
      </c>
      <c r="T201" s="21">
        <f t="shared" si="52"/>
        <v>0</v>
      </c>
      <c r="U201" s="1">
        <f t="shared" si="53"/>
        <v>0</v>
      </c>
      <c r="V201" s="1">
        <f t="shared" si="54"/>
        <v>0</v>
      </c>
      <c r="W201" s="1">
        <f t="shared" si="55"/>
        <v>0</v>
      </c>
      <c r="X201" s="1">
        <f t="shared" si="56"/>
        <v>0</v>
      </c>
      <c r="Y201" s="80" t="s">
        <v>86</v>
      </c>
    </row>
    <row r="202" spans="1:25" x14ac:dyDescent="0.25">
      <c r="A202" s="8">
        <f t="shared" si="42"/>
        <v>191</v>
      </c>
      <c r="B202" s="197"/>
      <c r="C202" s="198"/>
      <c r="D202" s="195"/>
      <c r="E202" s="195"/>
      <c r="F202" s="196"/>
      <c r="G202" s="255"/>
      <c r="H202" s="255"/>
      <c r="I202" s="255"/>
      <c r="J202" s="255"/>
      <c r="K202" s="255"/>
      <c r="L202" s="255"/>
      <c r="M202" s="255"/>
      <c r="N202" s="109"/>
      <c r="O202" s="114"/>
      <c r="P202" s="194"/>
      <c r="R202" s="86">
        <f t="shared" si="50"/>
        <v>0</v>
      </c>
      <c r="S202" s="21">
        <f t="shared" si="51"/>
        <v>0</v>
      </c>
      <c r="T202" s="21">
        <f t="shared" si="52"/>
        <v>0</v>
      </c>
      <c r="U202" s="1">
        <f t="shared" si="53"/>
        <v>0</v>
      </c>
      <c r="V202" s="1">
        <f t="shared" si="54"/>
        <v>0</v>
      </c>
      <c r="W202" s="1">
        <f t="shared" si="55"/>
        <v>0</v>
      </c>
      <c r="X202" s="1">
        <f t="shared" si="56"/>
        <v>0</v>
      </c>
      <c r="Y202" s="80" t="s">
        <v>86</v>
      </c>
    </row>
    <row r="203" spans="1:25" x14ac:dyDescent="0.25">
      <c r="A203" s="8">
        <f t="shared" si="42"/>
        <v>192</v>
      </c>
      <c r="B203" s="197"/>
      <c r="C203" s="198"/>
      <c r="D203" s="195"/>
      <c r="E203" s="195"/>
      <c r="F203" s="196"/>
      <c r="G203" s="255"/>
      <c r="H203" s="255"/>
      <c r="I203" s="255"/>
      <c r="J203" s="255"/>
      <c r="K203" s="255"/>
      <c r="L203" s="255"/>
      <c r="M203" s="255"/>
      <c r="N203" s="109"/>
      <c r="O203" s="114"/>
      <c r="P203" s="194"/>
      <c r="R203" s="86">
        <f t="shared" si="50"/>
        <v>0</v>
      </c>
      <c r="S203" s="21">
        <f t="shared" si="51"/>
        <v>0</v>
      </c>
      <c r="T203" s="21">
        <f t="shared" si="52"/>
        <v>0</v>
      </c>
      <c r="U203" s="1">
        <f t="shared" si="53"/>
        <v>0</v>
      </c>
      <c r="V203" s="1">
        <f t="shared" si="54"/>
        <v>0</v>
      </c>
      <c r="W203" s="1">
        <f t="shared" si="55"/>
        <v>0</v>
      </c>
      <c r="X203" s="1">
        <f t="shared" si="56"/>
        <v>0</v>
      </c>
      <c r="Y203" s="80" t="s">
        <v>86</v>
      </c>
    </row>
    <row r="204" spans="1:25" x14ac:dyDescent="0.25">
      <c r="A204" s="8">
        <f t="shared" si="42"/>
        <v>193</v>
      </c>
      <c r="B204" s="197"/>
      <c r="C204" s="198"/>
      <c r="D204" s="195"/>
      <c r="E204" s="195"/>
      <c r="F204" s="196"/>
      <c r="G204" s="255"/>
      <c r="H204" s="255"/>
      <c r="I204" s="255"/>
      <c r="J204" s="255"/>
      <c r="K204" s="255"/>
      <c r="L204" s="255"/>
      <c r="M204" s="255"/>
      <c r="N204" s="109"/>
      <c r="O204" s="114"/>
      <c r="P204" s="194"/>
      <c r="R204" s="86">
        <f t="shared" ref="R204:R211" si="57">IF(K204=1,IF($B204=1,1,-1),0)</f>
        <v>0</v>
      </c>
      <c r="S204" s="21">
        <f t="shared" ref="S204:S211" si="58">IF(L204=1,IF($B204=1,1,-1),0)</f>
        <v>0</v>
      </c>
      <c r="T204" s="21">
        <f t="shared" si="52"/>
        <v>0</v>
      </c>
      <c r="U204" s="1">
        <f t="shared" ref="U204:U211" si="59">IF($B204&lt;&gt;1,IF(G204=1,1,0),0)</f>
        <v>0</v>
      </c>
      <c r="V204" s="1">
        <f t="shared" ref="V204:V211" si="60">IF($B204&lt;&gt;1,IF(H204=1,1,0),0)</f>
        <v>0</v>
      </c>
      <c r="W204" s="1">
        <f t="shared" ref="W204:W211" si="61">IF($B204&lt;&gt;1,IF(I204=1,1,0),0)</f>
        <v>0</v>
      </c>
      <c r="X204" s="1">
        <f t="shared" ref="X204:X211" si="62">IF($B204&lt;&gt;1,IF(J204=1,1,0),0)</f>
        <v>0</v>
      </c>
      <c r="Y204" s="80" t="s">
        <v>86</v>
      </c>
    </row>
    <row r="205" spans="1:25" x14ac:dyDescent="0.25">
      <c r="A205" s="8">
        <f t="shared" si="42"/>
        <v>194</v>
      </c>
      <c r="B205" s="197"/>
      <c r="C205" s="198"/>
      <c r="D205" s="195"/>
      <c r="E205" s="195"/>
      <c r="F205" s="196"/>
      <c r="G205" s="255"/>
      <c r="H205" s="255"/>
      <c r="I205" s="255"/>
      <c r="J205" s="255"/>
      <c r="K205" s="255"/>
      <c r="L205" s="255"/>
      <c r="M205" s="255"/>
      <c r="N205" s="109"/>
      <c r="O205" s="114"/>
      <c r="P205" s="194"/>
      <c r="R205" s="86">
        <f t="shared" si="57"/>
        <v>0</v>
      </c>
      <c r="S205" s="21">
        <f t="shared" si="58"/>
        <v>0</v>
      </c>
      <c r="T205" s="21">
        <f t="shared" si="52"/>
        <v>0</v>
      </c>
      <c r="U205" s="1">
        <f t="shared" si="59"/>
        <v>0</v>
      </c>
      <c r="V205" s="1">
        <f t="shared" si="60"/>
        <v>0</v>
      </c>
      <c r="W205" s="1">
        <f t="shared" si="61"/>
        <v>0</v>
      </c>
      <c r="X205" s="1">
        <f t="shared" si="62"/>
        <v>0</v>
      </c>
      <c r="Y205" s="80" t="s">
        <v>86</v>
      </c>
    </row>
    <row r="206" spans="1:25" x14ac:dyDescent="0.25">
      <c r="A206" s="8">
        <f t="shared" ref="A206:A211" si="63">+A205+1</f>
        <v>195</v>
      </c>
      <c r="B206" s="197"/>
      <c r="C206" s="198"/>
      <c r="D206" s="195"/>
      <c r="E206" s="195"/>
      <c r="F206" s="196"/>
      <c r="G206" s="255"/>
      <c r="H206" s="255"/>
      <c r="I206" s="255"/>
      <c r="J206" s="255"/>
      <c r="K206" s="255"/>
      <c r="L206" s="255"/>
      <c r="M206" s="255"/>
      <c r="N206" s="109"/>
      <c r="O206" s="114"/>
      <c r="P206" s="194"/>
      <c r="R206" s="86">
        <f t="shared" si="57"/>
        <v>0</v>
      </c>
      <c r="S206" s="21">
        <f t="shared" si="58"/>
        <v>0</v>
      </c>
      <c r="T206" s="21">
        <f t="shared" si="52"/>
        <v>0</v>
      </c>
      <c r="U206" s="1">
        <f t="shared" si="59"/>
        <v>0</v>
      </c>
      <c r="V206" s="1">
        <f t="shared" si="60"/>
        <v>0</v>
      </c>
      <c r="W206" s="1">
        <f t="shared" si="61"/>
        <v>0</v>
      </c>
      <c r="X206" s="1">
        <f t="shared" si="62"/>
        <v>0</v>
      </c>
      <c r="Y206" s="80" t="s">
        <v>86</v>
      </c>
    </row>
    <row r="207" spans="1:25" x14ac:dyDescent="0.25">
      <c r="A207" s="8">
        <f t="shared" si="63"/>
        <v>196</v>
      </c>
      <c r="B207" s="197"/>
      <c r="C207" s="198"/>
      <c r="D207" s="195"/>
      <c r="E207" s="195"/>
      <c r="F207" s="196"/>
      <c r="G207" s="255"/>
      <c r="H207" s="255"/>
      <c r="I207" s="255"/>
      <c r="J207" s="255"/>
      <c r="K207" s="255"/>
      <c r="L207" s="255"/>
      <c r="M207" s="255"/>
      <c r="N207" s="109"/>
      <c r="O207" s="114"/>
      <c r="P207" s="194"/>
      <c r="R207" s="86">
        <f t="shared" si="57"/>
        <v>0</v>
      </c>
      <c r="S207" s="21">
        <f t="shared" si="58"/>
        <v>0</v>
      </c>
      <c r="T207" s="21">
        <f t="shared" si="52"/>
        <v>0</v>
      </c>
      <c r="U207" s="1">
        <f t="shared" si="59"/>
        <v>0</v>
      </c>
      <c r="V207" s="1">
        <f t="shared" si="60"/>
        <v>0</v>
      </c>
      <c r="W207" s="1">
        <f t="shared" si="61"/>
        <v>0</v>
      </c>
      <c r="X207" s="1">
        <f t="shared" si="62"/>
        <v>0</v>
      </c>
      <c r="Y207" s="80" t="s">
        <v>86</v>
      </c>
    </row>
    <row r="208" spans="1:25" x14ac:dyDescent="0.25">
      <c r="A208" s="8">
        <f t="shared" si="63"/>
        <v>197</v>
      </c>
      <c r="B208" s="197"/>
      <c r="C208" s="198"/>
      <c r="D208" s="195"/>
      <c r="E208" s="195"/>
      <c r="F208" s="196"/>
      <c r="G208" s="255"/>
      <c r="H208" s="255"/>
      <c r="I208" s="255"/>
      <c r="J208" s="255"/>
      <c r="K208" s="255"/>
      <c r="L208" s="255"/>
      <c r="M208" s="255"/>
      <c r="N208" s="109"/>
      <c r="O208" s="114"/>
      <c r="P208" s="194"/>
      <c r="R208" s="86">
        <f t="shared" si="57"/>
        <v>0</v>
      </c>
      <c r="S208" s="21">
        <f t="shared" si="58"/>
        <v>0</v>
      </c>
      <c r="T208" s="21">
        <f t="shared" si="52"/>
        <v>0</v>
      </c>
      <c r="U208" s="1">
        <f t="shared" si="59"/>
        <v>0</v>
      </c>
      <c r="V208" s="1">
        <f t="shared" si="60"/>
        <v>0</v>
      </c>
      <c r="W208" s="1">
        <f t="shared" si="61"/>
        <v>0</v>
      </c>
      <c r="X208" s="1">
        <f t="shared" si="62"/>
        <v>0</v>
      </c>
      <c r="Y208" s="80" t="s">
        <v>86</v>
      </c>
    </row>
    <row r="209" spans="1:25" x14ac:dyDescent="0.25">
      <c r="A209" s="8">
        <f t="shared" si="63"/>
        <v>198</v>
      </c>
      <c r="B209" s="197"/>
      <c r="C209" s="198"/>
      <c r="D209" s="195"/>
      <c r="E209" s="195"/>
      <c r="F209" s="196"/>
      <c r="G209" s="255"/>
      <c r="H209" s="255"/>
      <c r="I209" s="255"/>
      <c r="J209" s="255"/>
      <c r="K209" s="255"/>
      <c r="L209" s="255"/>
      <c r="M209" s="255"/>
      <c r="N209" s="109"/>
      <c r="O209" s="114"/>
      <c r="P209" s="194"/>
      <c r="R209" s="86">
        <f t="shared" si="57"/>
        <v>0</v>
      </c>
      <c r="S209" s="21">
        <f t="shared" si="58"/>
        <v>0</v>
      </c>
      <c r="T209" s="21">
        <f t="shared" si="52"/>
        <v>0</v>
      </c>
      <c r="U209" s="1">
        <f t="shared" si="59"/>
        <v>0</v>
      </c>
      <c r="V209" s="1">
        <f t="shared" si="60"/>
        <v>0</v>
      </c>
      <c r="W209" s="1">
        <f t="shared" si="61"/>
        <v>0</v>
      </c>
      <c r="X209" s="1">
        <f t="shared" si="62"/>
        <v>0</v>
      </c>
      <c r="Y209" s="80" t="s">
        <v>86</v>
      </c>
    </row>
    <row r="210" spans="1:25" x14ac:dyDescent="0.25">
      <c r="A210" s="8">
        <f t="shared" si="63"/>
        <v>199</v>
      </c>
      <c r="B210" s="197"/>
      <c r="C210" s="198"/>
      <c r="D210" s="195"/>
      <c r="E210" s="195"/>
      <c r="F210" s="196"/>
      <c r="G210" s="255"/>
      <c r="H210" s="255"/>
      <c r="I210" s="255"/>
      <c r="J210" s="255"/>
      <c r="K210" s="255"/>
      <c r="L210" s="255"/>
      <c r="M210" s="255"/>
      <c r="N210" s="109"/>
      <c r="O210" s="114"/>
      <c r="P210" s="194"/>
      <c r="R210" s="86">
        <f t="shared" si="57"/>
        <v>0</v>
      </c>
      <c r="S210" s="21">
        <f t="shared" si="58"/>
        <v>0</v>
      </c>
      <c r="T210" s="21">
        <f t="shared" si="52"/>
        <v>0</v>
      </c>
      <c r="U210" s="1">
        <f t="shared" si="59"/>
        <v>0</v>
      </c>
      <c r="V210" s="1">
        <f t="shared" si="60"/>
        <v>0</v>
      </c>
      <c r="W210" s="1">
        <f t="shared" si="61"/>
        <v>0</v>
      </c>
      <c r="X210" s="1">
        <f t="shared" si="62"/>
        <v>0</v>
      </c>
      <c r="Y210" s="80" t="s">
        <v>86</v>
      </c>
    </row>
    <row r="211" spans="1:25" x14ac:dyDescent="0.25">
      <c r="A211" s="8">
        <f t="shared" si="63"/>
        <v>200</v>
      </c>
      <c r="B211" s="197"/>
      <c r="C211" s="198"/>
      <c r="D211" s="195"/>
      <c r="E211" s="195"/>
      <c r="F211" s="196"/>
      <c r="G211" s="255"/>
      <c r="H211" s="255"/>
      <c r="I211" s="255"/>
      <c r="J211" s="255"/>
      <c r="K211" s="255"/>
      <c r="L211" s="255"/>
      <c r="M211" s="255"/>
      <c r="N211" s="109"/>
      <c r="O211" s="114"/>
      <c r="P211" s="194"/>
      <c r="R211" s="86">
        <f t="shared" si="57"/>
        <v>0</v>
      </c>
      <c r="S211" s="21">
        <f t="shared" si="58"/>
        <v>0</v>
      </c>
      <c r="T211" s="21">
        <f t="shared" si="52"/>
        <v>0</v>
      </c>
      <c r="U211" s="1">
        <f t="shared" si="59"/>
        <v>0</v>
      </c>
      <c r="V211" s="1">
        <f t="shared" si="60"/>
        <v>0</v>
      </c>
      <c r="W211" s="1">
        <f t="shared" si="61"/>
        <v>0</v>
      </c>
      <c r="X211" s="1">
        <f t="shared" si="62"/>
        <v>0</v>
      </c>
      <c r="Y211" s="80" t="s">
        <v>86</v>
      </c>
    </row>
    <row r="212" spans="1:25" x14ac:dyDescent="0.25">
      <c r="B212" s="11"/>
      <c r="C212" s="9"/>
      <c r="O212" s="4"/>
      <c r="P212" s="4"/>
      <c r="R212" s="21"/>
      <c r="S212" s="21"/>
    </row>
    <row r="213" spans="1:25" x14ac:dyDescent="0.25">
      <c r="B213" s="11"/>
      <c r="C213" s="9"/>
      <c r="O213" s="4"/>
      <c r="P213" s="4"/>
      <c r="R213" s="21"/>
      <c r="S213" s="21"/>
    </row>
    <row r="214" spans="1:25" x14ac:dyDescent="0.25">
      <c r="B214" s="11"/>
      <c r="C214" s="9"/>
      <c r="O214" s="4"/>
      <c r="P214" s="4"/>
      <c r="R214" s="21"/>
      <c r="S214" s="21"/>
    </row>
    <row r="215" spans="1:25" x14ac:dyDescent="0.25">
      <c r="B215" s="11"/>
      <c r="C215" s="9"/>
      <c r="O215" s="4"/>
      <c r="P215" s="4"/>
      <c r="R215" s="21"/>
      <c r="S215" s="21"/>
    </row>
    <row r="216" spans="1:25" x14ac:dyDescent="0.25">
      <c r="B216" s="11"/>
      <c r="C216" s="9"/>
      <c r="O216" s="4"/>
      <c r="P216" s="4"/>
      <c r="R216" s="21"/>
      <c r="S216" s="21"/>
    </row>
    <row r="217" spans="1:25" x14ac:dyDescent="0.25">
      <c r="B217" s="11"/>
      <c r="C217" s="9"/>
      <c r="O217" s="4"/>
      <c r="P217" s="4"/>
      <c r="R217" s="21"/>
      <c r="S217" s="21"/>
    </row>
    <row r="218" spans="1:25" x14ac:dyDescent="0.25">
      <c r="B218" s="11"/>
      <c r="O218" s="4"/>
      <c r="P218" s="4"/>
      <c r="R218" s="21"/>
      <c r="S218" s="21"/>
    </row>
    <row r="219" spans="1:25" x14ac:dyDescent="0.25">
      <c r="B219" s="11"/>
      <c r="O219" s="4"/>
      <c r="P219" s="4"/>
      <c r="R219" s="21"/>
      <c r="S219" s="21"/>
    </row>
    <row r="220" spans="1:25" x14ac:dyDescent="0.25">
      <c r="O220" s="4"/>
      <c r="P220" s="4"/>
      <c r="R220" s="21"/>
      <c r="S220" s="21"/>
    </row>
    <row r="221" spans="1:25" x14ac:dyDescent="0.25">
      <c r="O221" s="4"/>
      <c r="P221" s="4"/>
      <c r="R221" s="21"/>
      <c r="S221" s="21"/>
    </row>
    <row r="222" spans="1:25" x14ac:dyDescent="0.25">
      <c r="O222" s="4"/>
      <c r="P222" s="4"/>
      <c r="R222" s="21"/>
      <c r="S222" s="21"/>
    </row>
    <row r="223" spans="1:25" x14ac:dyDescent="0.25">
      <c r="R223" s="21"/>
      <c r="S223" s="21"/>
    </row>
    <row r="224" spans="1:25" x14ac:dyDescent="0.25">
      <c r="R224" s="21"/>
    </row>
    <row r="225" spans="18:18" x14ac:dyDescent="0.25">
      <c r="R225" s="21"/>
    </row>
    <row r="226" spans="18:18" x14ac:dyDescent="0.25">
      <c r="R226" s="21"/>
    </row>
    <row r="227" spans="18:18" x14ac:dyDescent="0.25">
      <c r="R227" s="21"/>
    </row>
    <row r="228" spans="18:18" x14ac:dyDescent="0.25">
      <c r="R228" s="21"/>
    </row>
    <row r="229" spans="18:18" x14ac:dyDescent="0.25">
      <c r="R229" s="21"/>
    </row>
    <row r="230" spans="18:18" x14ac:dyDescent="0.25">
      <c r="R230" s="21"/>
    </row>
    <row r="231" spans="18:18" x14ac:dyDescent="0.25">
      <c r="R231" s="21"/>
    </row>
    <row r="232" spans="18:18" x14ac:dyDescent="0.25">
      <c r="R232" s="21"/>
    </row>
    <row r="233" spans="18:18" x14ac:dyDescent="0.25">
      <c r="R233" s="21"/>
    </row>
    <row r="234" spans="18:18" x14ac:dyDescent="0.25">
      <c r="R234" s="21"/>
    </row>
    <row r="235" spans="18:18" x14ac:dyDescent="0.25">
      <c r="R235" s="21"/>
    </row>
    <row r="236" spans="18:18" x14ac:dyDescent="0.25">
      <c r="R236" s="21"/>
    </row>
    <row r="237" spans="18:18" x14ac:dyDescent="0.25">
      <c r="R237" s="21"/>
    </row>
    <row r="238" spans="18:18" x14ac:dyDescent="0.25">
      <c r="R238" s="21"/>
    </row>
    <row r="239" spans="18:18" x14ac:dyDescent="0.25">
      <c r="R239" s="21"/>
    </row>
    <row r="240" spans="18:18" x14ac:dyDescent="0.25">
      <c r="R240" s="21"/>
    </row>
    <row r="241" spans="18:18" x14ac:dyDescent="0.25">
      <c r="R241" s="21"/>
    </row>
    <row r="242" spans="18:18" x14ac:dyDescent="0.25">
      <c r="R242" s="21"/>
    </row>
    <row r="243" spans="18:18" x14ac:dyDescent="0.25">
      <c r="R243" s="21"/>
    </row>
    <row r="244" spans="18:18" x14ac:dyDescent="0.25">
      <c r="R244" s="21"/>
    </row>
    <row r="245" spans="18:18" x14ac:dyDescent="0.25">
      <c r="R245" s="21"/>
    </row>
    <row r="246" spans="18:18" x14ac:dyDescent="0.25">
      <c r="R246" s="21"/>
    </row>
    <row r="247" spans="18:18" x14ac:dyDescent="0.25">
      <c r="R247" s="21"/>
    </row>
    <row r="248" spans="18:18" x14ac:dyDescent="0.25">
      <c r="R248" s="21"/>
    </row>
    <row r="249" spans="18:18" x14ac:dyDescent="0.25">
      <c r="R249" s="21"/>
    </row>
    <row r="250" spans="18:18" x14ac:dyDescent="0.25">
      <c r="R250" s="21"/>
    </row>
    <row r="251" spans="18:18" x14ac:dyDescent="0.25">
      <c r="R251" s="21"/>
    </row>
    <row r="252" spans="18:18" x14ac:dyDescent="0.25">
      <c r="R252" s="21"/>
    </row>
    <row r="253" spans="18:18" x14ac:dyDescent="0.25">
      <c r="R253" s="21"/>
    </row>
    <row r="254" spans="18:18" x14ac:dyDescent="0.25">
      <c r="R254" s="21"/>
    </row>
    <row r="255" spans="18:18" x14ac:dyDescent="0.25">
      <c r="R255" s="21"/>
    </row>
    <row r="256" spans="18:18" x14ac:dyDescent="0.25">
      <c r="R256" s="21"/>
    </row>
    <row r="257" spans="18:18" x14ac:dyDescent="0.25">
      <c r="R257" s="21"/>
    </row>
    <row r="258" spans="18:18" x14ac:dyDescent="0.25">
      <c r="R258" s="21"/>
    </row>
    <row r="259" spans="18:18" x14ac:dyDescent="0.25">
      <c r="R259" s="21"/>
    </row>
    <row r="260" spans="18:18" x14ac:dyDescent="0.25">
      <c r="R260" s="21"/>
    </row>
    <row r="261" spans="18:18" x14ac:dyDescent="0.25">
      <c r="R261" s="21"/>
    </row>
    <row r="262" spans="18:18" x14ac:dyDescent="0.25">
      <c r="R262" s="21"/>
    </row>
    <row r="263" spans="18:18" x14ac:dyDescent="0.25">
      <c r="R263" s="21"/>
    </row>
    <row r="264" spans="18:18" x14ac:dyDescent="0.25">
      <c r="R264" s="21"/>
    </row>
    <row r="265" spans="18:18" x14ac:dyDescent="0.25">
      <c r="R265" s="21"/>
    </row>
    <row r="266" spans="18:18" x14ac:dyDescent="0.25">
      <c r="R266" s="21"/>
    </row>
    <row r="267" spans="18:18" x14ac:dyDescent="0.25">
      <c r="R267" s="21"/>
    </row>
    <row r="268" spans="18:18" x14ac:dyDescent="0.25">
      <c r="R268" s="21"/>
    </row>
    <row r="269" spans="18:18" x14ac:dyDescent="0.25">
      <c r="R269" s="21"/>
    </row>
    <row r="270" spans="18:18" x14ac:dyDescent="0.25">
      <c r="R270" s="21"/>
    </row>
    <row r="271" spans="18:18" x14ac:dyDescent="0.25">
      <c r="R271" s="21"/>
    </row>
    <row r="272" spans="18:18" x14ac:dyDescent="0.25">
      <c r="R272" s="21"/>
    </row>
    <row r="273" spans="18:18" x14ac:dyDescent="0.25">
      <c r="R273" s="21"/>
    </row>
    <row r="274" spans="18:18" x14ac:dyDescent="0.25">
      <c r="R274" s="21"/>
    </row>
    <row r="275" spans="18:18" x14ac:dyDescent="0.25">
      <c r="R275" s="21"/>
    </row>
    <row r="276" spans="18:18" x14ac:dyDescent="0.25">
      <c r="R276" s="21"/>
    </row>
    <row r="277" spans="18:18" x14ac:dyDescent="0.25">
      <c r="R277" s="21"/>
    </row>
    <row r="278" spans="18:18" x14ac:dyDescent="0.25">
      <c r="R278" s="21"/>
    </row>
    <row r="279" spans="18:18" x14ac:dyDescent="0.25">
      <c r="R279" s="21"/>
    </row>
    <row r="280" spans="18:18" x14ac:dyDescent="0.25">
      <c r="R280" s="21"/>
    </row>
    <row r="281" spans="18:18" x14ac:dyDescent="0.25">
      <c r="R281" s="21"/>
    </row>
    <row r="282" spans="18:18" x14ac:dyDescent="0.25">
      <c r="R282" s="21"/>
    </row>
    <row r="283" spans="18:18" x14ac:dyDescent="0.25">
      <c r="R283" s="21"/>
    </row>
    <row r="284" spans="18:18" x14ac:dyDescent="0.25">
      <c r="R284" s="21"/>
    </row>
    <row r="285" spans="18:18" x14ac:dyDescent="0.25">
      <c r="R285" s="21"/>
    </row>
    <row r="286" spans="18:18" x14ac:dyDescent="0.25">
      <c r="R286" s="21"/>
    </row>
  </sheetData>
  <sheetProtection sheet="1" objects="1" scenarios="1" selectLockedCells="1"/>
  <sortState xmlns:xlrd2="http://schemas.microsoft.com/office/spreadsheetml/2017/richdata2" ref="B12:Z181">
    <sortCondition descending="1" ref="B12:B181"/>
    <sortCondition ref="D12:D181"/>
  </sortState>
  <mergeCells count="10">
    <mergeCell ref="D4:F4"/>
    <mergeCell ref="E3:F3"/>
    <mergeCell ref="Z7:AA7"/>
    <mergeCell ref="A1:D1"/>
    <mergeCell ref="A2:D2"/>
    <mergeCell ref="K9:L9"/>
    <mergeCell ref="U9:X10"/>
    <mergeCell ref="C5:C7"/>
    <mergeCell ref="O10:O11"/>
    <mergeCell ref="D6:F6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1]!NewStartup_Click">
                <anchor moveWithCells="1" siz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2</xdr:col>
                    <xdr:colOff>19050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ClearResults">
              <controlPr defaultSize="0" print="0" autoFill="0" autoPict="0" macro="[1]!Roster_z">
                <anchor moveWithCells="1" sizeWithCells="1">
                  <from>
                    <xdr:col>26</xdr:col>
                    <xdr:colOff>1171575</xdr:colOff>
                    <xdr:row>8</xdr:row>
                    <xdr:rowOff>38100</xdr:rowOff>
                  </from>
                  <to>
                    <xdr:col>26</xdr:col>
                    <xdr:colOff>2343150</xdr:colOff>
                    <xdr:row>8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NextOperation">
              <controlPr defaultSize="0" print="0" autoFill="0" autoPict="0" macro="[0]!ConsyNextOperation_Click">
                <anchor moveWithCells="1" sizeWithCells="1">
                  <from>
                    <xdr:col>26</xdr:col>
                    <xdr:colOff>1171575</xdr:colOff>
                    <xdr:row>9</xdr:row>
                    <xdr:rowOff>190500</xdr:rowOff>
                  </from>
                  <to>
                    <xdr:col>26</xdr:col>
                    <xdr:colOff>2343150</xdr:colOff>
                    <xdr:row>10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XfrConsyQualifiersToResults">
              <controlPr defaultSize="0" print="0" autoFill="0" autoPict="0" macro="[1]!Roster_z">
                <anchor moveWithCells="1" sizeWithCells="1">
                  <from>
                    <xdr:col>3</xdr:col>
                    <xdr:colOff>552450</xdr:colOff>
                    <xdr:row>0</xdr:row>
                    <xdr:rowOff>123825</xdr:rowOff>
                  </from>
                  <to>
                    <xdr:col>3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7"/>
  <sheetViews>
    <sheetView tabSelected="1" workbookViewId="0">
      <pane ySplit="7" topLeftCell="A8" activePane="bottomLeft" state="frozen"/>
      <selection pane="bottomLeft" activeCell="AG6" sqref="AG6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11" customWidth="1"/>
    <col min="6" max="6" width="7.85546875" style="11" customWidth="1"/>
    <col min="7" max="7" width="7.28515625" style="11" customWidth="1"/>
    <col min="8" max="8" width="5.42578125" style="11" customWidth="1"/>
    <col min="9" max="9" width="6.85546875" style="36" customWidth="1"/>
    <col min="10" max="10" width="8" style="33" customWidth="1"/>
    <col min="11" max="11" width="8" style="40" customWidth="1"/>
    <col min="12" max="12" width="8" style="47" customWidth="1"/>
    <col min="13" max="13" width="5.5703125" style="11" bestFit="1" customWidth="1"/>
    <col min="14" max="16" width="6.42578125" style="11" hidden="1" customWidth="1"/>
    <col min="17" max="17" width="8.5703125" style="1" customWidth="1"/>
    <col min="18" max="18" width="9.140625" hidden="1" customWidth="1"/>
    <col min="19" max="19" width="9.140625" style="101" hidden="1" customWidth="1"/>
    <col min="20" max="20" width="9.140625" customWidth="1"/>
    <col min="21" max="21" width="9.140625" style="1"/>
    <col min="23" max="25" width="0" style="174" hidden="1" customWidth="1"/>
    <col min="26" max="32" width="0" hidden="1" customWidth="1"/>
  </cols>
  <sheetData>
    <row r="1" spans="1:33" ht="21" x14ac:dyDescent="0.35">
      <c r="A1" s="297" t="s">
        <v>15</v>
      </c>
      <c r="B1" s="297"/>
      <c r="C1" s="169" t="str">
        <f>+Setup!B3</f>
        <v>Consolation</v>
      </c>
      <c r="D1" s="31" t="s">
        <v>17</v>
      </c>
      <c r="E1" s="30" t="s">
        <v>18</v>
      </c>
      <c r="F1" s="25"/>
      <c r="G1" s="10"/>
      <c r="H1" s="10" t="s">
        <v>19</v>
      </c>
      <c r="I1" s="25" t="s">
        <v>133</v>
      </c>
      <c r="J1" s="215"/>
      <c r="K1" s="215"/>
      <c r="L1" s="27" t="s">
        <v>3</v>
      </c>
      <c r="Q1" s="1" t="s">
        <v>99</v>
      </c>
      <c r="R1" s="2">
        <v>5</v>
      </c>
      <c r="S1" s="18"/>
      <c r="T1" s="52" t="s">
        <v>54</v>
      </c>
      <c r="V1" s="1" t="s">
        <v>99</v>
      </c>
      <c r="AG1" s="52" t="s">
        <v>54</v>
      </c>
    </row>
    <row r="2" spans="1:33" x14ac:dyDescent="0.25">
      <c r="A2" s="41" t="s">
        <v>140</v>
      </c>
      <c r="D2" s="10" t="s">
        <v>13</v>
      </c>
      <c r="E2" s="25" t="s">
        <v>11</v>
      </c>
      <c r="F2" s="25"/>
      <c r="G2" s="10"/>
      <c r="H2" s="215"/>
      <c r="I2" s="216" t="s">
        <v>134</v>
      </c>
      <c r="J2" s="215"/>
      <c r="K2" s="215"/>
      <c r="L2" s="28" t="s">
        <v>16</v>
      </c>
      <c r="R2" s="14" t="s">
        <v>4</v>
      </c>
      <c r="S2" s="102"/>
    </row>
    <row r="3" spans="1:33" ht="18.75" x14ac:dyDescent="0.3">
      <c r="B3" s="187" t="s">
        <v>119</v>
      </c>
      <c r="D3" s="31" t="s">
        <v>14</v>
      </c>
      <c r="E3" s="30" t="s">
        <v>49</v>
      </c>
      <c r="F3" s="25"/>
      <c r="G3" s="24"/>
      <c r="H3" s="24"/>
      <c r="I3" s="25"/>
      <c r="J3" s="215"/>
      <c r="K3" s="215"/>
      <c r="P3" s="21"/>
    </row>
    <row r="4" spans="1:33" x14ac:dyDescent="0.25">
      <c r="A4" s="35"/>
      <c r="B4" s="299"/>
      <c r="C4" s="299"/>
      <c r="D4" s="186" t="s">
        <v>118</v>
      </c>
      <c r="E4" s="30" t="s">
        <v>46</v>
      </c>
      <c r="G4" s="10"/>
      <c r="H4" s="25"/>
      <c r="I4" s="298" t="s">
        <v>23</v>
      </c>
      <c r="J4" s="298"/>
      <c r="K4" s="298"/>
      <c r="L4" s="298"/>
      <c r="M4" s="298"/>
      <c r="P4" s="21"/>
    </row>
    <row r="5" spans="1:33" x14ac:dyDescent="0.25">
      <c r="A5" s="166">
        <f>+Setup!B13</f>
        <v>8</v>
      </c>
      <c r="B5" s="15" t="s">
        <v>20</v>
      </c>
      <c r="C5" s="145" t="s">
        <v>124</v>
      </c>
      <c r="E5" s="38"/>
      <c r="F5" s="38"/>
      <c r="H5" s="208" t="s">
        <v>168</v>
      </c>
      <c r="I5" s="66"/>
      <c r="J5" s="66"/>
      <c r="K5" s="66"/>
      <c r="L5" s="34"/>
      <c r="M5" s="208"/>
      <c r="N5" s="208"/>
      <c r="O5" s="208"/>
      <c r="P5" s="208"/>
      <c r="Q5" s="53"/>
    </row>
    <row r="6" spans="1:33" x14ac:dyDescent="0.25">
      <c r="A6" s="29">
        <f>+Entries!C10</f>
        <v>0</v>
      </c>
      <c r="B6" s="26" t="s">
        <v>24</v>
      </c>
      <c r="G6" s="32"/>
      <c r="H6" s="32"/>
      <c r="M6" s="12">
        <f>SUM(M8:M201)</f>
        <v>0</v>
      </c>
      <c r="N6" s="12">
        <f>SUM(N8:N201)</f>
        <v>0</v>
      </c>
      <c r="O6" s="12">
        <f>SUM(O8:O201)</f>
        <v>0</v>
      </c>
      <c r="P6" s="12">
        <f>SUM(P8:P201)</f>
        <v>0</v>
      </c>
      <c r="AC6" s="219"/>
      <c r="AD6" s="1"/>
      <c r="AE6" s="219"/>
    </row>
    <row r="7" spans="1:33" ht="30" customHeight="1" x14ac:dyDescent="0.25">
      <c r="B7" s="5" t="s">
        <v>0</v>
      </c>
      <c r="C7" s="6" t="s">
        <v>1</v>
      </c>
      <c r="D7" s="7" t="s">
        <v>2</v>
      </c>
      <c r="E7" s="13" t="s">
        <v>21</v>
      </c>
      <c r="F7" s="13" t="s">
        <v>22</v>
      </c>
      <c r="G7" s="13" t="s">
        <v>43</v>
      </c>
      <c r="H7" s="13" t="s">
        <v>44</v>
      </c>
      <c r="I7" s="13" t="s">
        <v>48</v>
      </c>
      <c r="J7" s="13" t="s">
        <v>45</v>
      </c>
      <c r="K7" s="13" t="s">
        <v>47</v>
      </c>
      <c r="L7" s="49" t="s">
        <v>53</v>
      </c>
      <c r="M7" s="13" t="s">
        <v>131</v>
      </c>
      <c r="N7" s="13" t="s">
        <v>132</v>
      </c>
      <c r="O7" s="13" t="s">
        <v>132</v>
      </c>
      <c r="P7" s="13" t="s">
        <v>132</v>
      </c>
      <c r="R7" s="42" t="s">
        <v>50</v>
      </c>
      <c r="S7" s="100"/>
      <c r="T7" s="37"/>
      <c r="U7" s="45" t="s">
        <v>51</v>
      </c>
      <c r="V7" s="46" t="s">
        <v>52</v>
      </c>
    </row>
    <row r="8" spans="1:33" x14ac:dyDescent="0.25">
      <c r="A8" s="8">
        <v>1</v>
      </c>
      <c r="B8" s="195"/>
      <c r="C8" s="176"/>
      <c r="D8" s="177"/>
      <c r="E8" s="81"/>
      <c r="F8" s="81"/>
      <c r="G8" s="81"/>
      <c r="H8" s="81"/>
      <c r="I8" s="81"/>
      <c r="J8" s="81"/>
      <c r="K8" s="81"/>
      <c r="L8" s="81"/>
      <c r="M8" s="197"/>
      <c r="N8" s="198"/>
      <c r="O8" s="198"/>
      <c r="P8" s="198"/>
      <c r="Q8" s="140">
        <v>1</v>
      </c>
      <c r="R8" s="43">
        <f t="shared" ref="R8:R16" si="0">IF(J8&gt;0,+J8,0)</f>
        <v>0</v>
      </c>
      <c r="S8" s="54">
        <v>1</v>
      </c>
      <c r="T8" s="48">
        <v>1</v>
      </c>
      <c r="U8" s="8">
        <v>7</v>
      </c>
      <c r="V8" s="44">
        <v>4</v>
      </c>
    </row>
    <row r="9" spans="1:33" x14ac:dyDescent="0.25">
      <c r="A9" s="8">
        <f>+A8+1</f>
        <v>2</v>
      </c>
      <c r="B9" s="195"/>
      <c r="C9" s="195"/>
      <c r="D9" s="196"/>
      <c r="E9" s="81"/>
      <c r="F9" s="81"/>
      <c r="G9" s="81"/>
      <c r="H9" s="81"/>
      <c r="I9" s="81"/>
      <c r="J9" s="81"/>
      <c r="K9" s="81"/>
      <c r="L9" s="81"/>
      <c r="M9" s="197"/>
      <c r="N9" s="198"/>
      <c r="O9" s="198"/>
      <c r="P9" s="198"/>
      <c r="Q9" s="54">
        <v>2</v>
      </c>
      <c r="R9" s="43">
        <f t="shared" si="0"/>
        <v>0</v>
      </c>
      <c r="S9" s="43">
        <v>2</v>
      </c>
      <c r="T9" s="48">
        <f>+T8+1</f>
        <v>2</v>
      </c>
      <c r="U9" s="44">
        <f>+T9*7+U8</f>
        <v>21</v>
      </c>
      <c r="V9" s="44">
        <f>+T9*4+V8</f>
        <v>12</v>
      </c>
    </row>
    <row r="10" spans="1:33" x14ac:dyDescent="0.25">
      <c r="A10" s="8">
        <f t="shared" ref="A10:A73" si="1">+A9+1</f>
        <v>3</v>
      </c>
      <c r="B10" s="195"/>
      <c r="C10" s="195"/>
      <c r="D10" s="196"/>
      <c r="E10" s="81"/>
      <c r="F10" s="81"/>
      <c r="G10" s="81"/>
      <c r="H10" s="81"/>
      <c r="I10" s="81"/>
      <c r="J10" s="81"/>
      <c r="K10" s="81"/>
      <c r="L10" s="81"/>
      <c r="M10" s="197"/>
      <c r="N10" s="198"/>
      <c r="O10" s="198"/>
      <c r="P10" s="198"/>
      <c r="Q10" s="43" t="s">
        <v>55</v>
      </c>
      <c r="R10" s="43">
        <f t="shared" si="0"/>
        <v>0</v>
      </c>
      <c r="S10" s="54" t="s">
        <v>55</v>
      </c>
      <c r="T10" s="48">
        <f t="shared" ref="T10:T17" si="2">+T9+1</f>
        <v>3</v>
      </c>
      <c r="U10" s="44">
        <f t="shared" ref="U10:U17" si="3">+T10*7+U9</f>
        <v>42</v>
      </c>
      <c r="V10" s="44">
        <f t="shared" ref="V10:V17" si="4">+T10*4+V9</f>
        <v>24</v>
      </c>
    </row>
    <row r="11" spans="1:33" x14ac:dyDescent="0.25">
      <c r="A11" s="8">
        <f t="shared" si="1"/>
        <v>4</v>
      </c>
      <c r="B11" s="195"/>
      <c r="C11" s="176"/>
      <c r="D11" s="177"/>
      <c r="E11" s="81"/>
      <c r="F11" s="81"/>
      <c r="G11" s="81"/>
      <c r="H11" s="81"/>
      <c r="I11" s="81"/>
      <c r="J11" s="81"/>
      <c r="K11" s="81"/>
      <c r="L11" s="81"/>
      <c r="M11" s="197"/>
      <c r="N11" s="198"/>
      <c r="O11" s="198"/>
      <c r="P11" s="198"/>
      <c r="Q11" s="140" t="s">
        <v>55</v>
      </c>
      <c r="R11" s="140">
        <f t="shared" si="0"/>
        <v>0</v>
      </c>
      <c r="S11" s="43" t="s">
        <v>55</v>
      </c>
      <c r="T11" s="48">
        <f t="shared" si="2"/>
        <v>4</v>
      </c>
      <c r="U11" s="44">
        <f t="shared" si="3"/>
        <v>70</v>
      </c>
      <c r="V11" s="44">
        <f t="shared" si="4"/>
        <v>40</v>
      </c>
    </row>
    <row r="12" spans="1:33" x14ac:dyDescent="0.25">
      <c r="A12" s="8">
        <f t="shared" si="1"/>
        <v>5</v>
      </c>
      <c r="B12" s="195"/>
      <c r="C12" s="195"/>
      <c r="D12" s="196"/>
      <c r="E12" s="81"/>
      <c r="F12" s="81"/>
      <c r="G12" s="81"/>
      <c r="H12" s="81"/>
      <c r="I12" s="81"/>
      <c r="J12" s="81"/>
      <c r="K12" s="81"/>
      <c r="L12" s="81"/>
      <c r="M12" s="197"/>
      <c r="N12" s="198"/>
      <c r="O12" s="198"/>
      <c r="P12" s="198"/>
      <c r="Q12" s="54" t="s">
        <v>56</v>
      </c>
      <c r="R12" s="43">
        <f t="shared" si="0"/>
        <v>0</v>
      </c>
      <c r="S12" s="43" t="s">
        <v>56</v>
      </c>
      <c r="T12" s="48">
        <f t="shared" si="2"/>
        <v>5</v>
      </c>
      <c r="U12" s="44">
        <f t="shared" si="3"/>
        <v>105</v>
      </c>
      <c r="V12" s="44">
        <f t="shared" si="4"/>
        <v>60</v>
      </c>
    </row>
    <row r="13" spans="1:33" x14ac:dyDescent="0.25">
      <c r="A13" s="8">
        <f t="shared" si="1"/>
        <v>6</v>
      </c>
      <c r="B13" s="195"/>
      <c r="C13" s="195"/>
      <c r="D13" s="196"/>
      <c r="E13" s="81"/>
      <c r="F13" s="81"/>
      <c r="G13" s="81"/>
      <c r="H13" s="81"/>
      <c r="I13" s="81"/>
      <c r="J13" s="81"/>
      <c r="K13" s="81"/>
      <c r="L13" s="81"/>
      <c r="M13" s="197"/>
      <c r="N13" s="197"/>
      <c r="O13" s="197"/>
      <c r="P13" s="198"/>
      <c r="Q13" s="43" t="s">
        <v>56</v>
      </c>
      <c r="R13" s="43">
        <f t="shared" si="0"/>
        <v>0</v>
      </c>
      <c r="S13" s="43" t="s">
        <v>56</v>
      </c>
      <c r="T13" s="48">
        <f t="shared" si="2"/>
        <v>6</v>
      </c>
      <c r="U13" s="44">
        <f t="shared" si="3"/>
        <v>147</v>
      </c>
      <c r="V13" s="44">
        <f t="shared" si="4"/>
        <v>84</v>
      </c>
    </row>
    <row r="14" spans="1:33" x14ac:dyDescent="0.25">
      <c r="A14" s="8">
        <f t="shared" si="1"/>
        <v>7</v>
      </c>
      <c r="B14" s="195"/>
      <c r="C14" s="195"/>
      <c r="D14" s="196"/>
      <c r="E14" s="81"/>
      <c r="F14" s="81"/>
      <c r="G14" s="81"/>
      <c r="H14" s="81"/>
      <c r="I14" s="81"/>
      <c r="J14" s="81"/>
      <c r="K14" s="81"/>
      <c r="L14" s="81"/>
      <c r="M14" s="197"/>
      <c r="N14" s="198"/>
      <c r="O14" s="198"/>
      <c r="P14" s="198"/>
      <c r="Q14" s="43" t="s">
        <v>56</v>
      </c>
      <c r="R14" s="43">
        <f t="shared" si="0"/>
        <v>0</v>
      </c>
      <c r="S14" s="43" t="s">
        <v>56</v>
      </c>
      <c r="T14" s="48">
        <f t="shared" si="2"/>
        <v>7</v>
      </c>
      <c r="U14" s="44">
        <f t="shared" si="3"/>
        <v>196</v>
      </c>
      <c r="V14" s="44">
        <f t="shared" si="4"/>
        <v>112</v>
      </c>
    </row>
    <row r="15" spans="1:33" x14ac:dyDescent="0.25">
      <c r="A15" s="8">
        <f t="shared" si="1"/>
        <v>8</v>
      </c>
      <c r="B15" s="195"/>
      <c r="C15" s="195"/>
      <c r="D15" s="196"/>
      <c r="E15" s="81"/>
      <c r="F15" s="81"/>
      <c r="G15" s="81"/>
      <c r="H15" s="81"/>
      <c r="I15" s="81"/>
      <c r="J15" s="81"/>
      <c r="K15" s="81"/>
      <c r="L15" s="81"/>
      <c r="M15" s="197"/>
      <c r="N15" s="198"/>
      <c r="O15" s="198"/>
      <c r="P15" s="198"/>
      <c r="Q15" s="43" t="s">
        <v>56</v>
      </c>
      <c r="R15" s="43">
        <f t="shared" si="0"/>
        <v>0</v>
      </c>
      <c r="S15" s="54" t="s">
        <v>56</v>
      </c>
      <c r="T15" s="48">
        <f t="shared" si="2"/>
        <v>8</v>
      </c>
      <c r="U15" s="44">
        <f t="shared" si="3"/>
        <v>252</v>
      </c>
      <c r="V15" s="44">
        <f t="shared" si="4"/>
        <v>144</v>
      </c>
    </row>
    <row r="16" spans="1:33" x14ac:dyDescent="0.25">
      <c r="A16" s="8">
        <f t="shared" si="1"/>
        <v>9</v>
      </c>
      <c r="B16" s="195"/>
      <c r="C16" s="195"/>
      <c r="D16" s="196"/>
      <c r="E16" s="81"/>
      <c r="F16" s="81"/>
      <c r="G16" s="81"/>
      <c r="H16" s="81"/>
      <c r="I16" s="81"/>
      <c r="J16" s="81"/>
      <c r="K16" s="81"/>
      <c r="L16" s="81"/>
      <c r="M16" s="198"/>
      <c r="N16" s="198"/>
      <c r="O16" s="198"/>
      <c r="P16" s="198"/>
      <c r="Q16" s="43" t="s">
        <v>57</v>
      </c>
      <c r="R16" s="43">
        <f t="shared" si="0"/>
        <v>0</v>
      </c>
      <c r="S16" s="43" t="s">
        <v>57</v>
      </c>
      <c r="T16" s="48">
        <f t="shared" si="2"/>
        <v>9</v>
      </c>
      <c r="U16" s="44">
        <f t="shared" si="3"/>
        <v>315</v>
      </c>
      <c r="V16" s="44">
        <f t="shared" si="4"/>
        <v>180</v>
      </c>
    </row>
    <row r="17" spans="1:22" x14ac:dyDescent="0.25">
      <c r="A17" s="8">
        <f t="shared" si="1"/>
        <v>10</v>
      </c>
      <c r="B17" s="176"/>
      <c r="C17" s="176"/>
      <c r="D17" s="177"/>
      <c r="E17" s="81"/>
      <c r="F17" s="81"/>
      <c r="G17" s="81"/>
      <c r="H17" s="81"/>
      <c r="I17" s="81"/>
      <c r="J17" s="81"/>
      <c r="K17" s="81"/>
      <c r="L17" s="81"/>
      <c r="M17" s="178"/>
      <c r="N17" s="178"/>
      <c r="O17" s="178"/>
      <c r="P17" s="180"/>
      <c r="Q17" s="43" t="s">
        <v>57</v>
      </c>
      <c r="R17" s="140">
        <f t="shared" ref="R17:R23" si="5">IF(J17&gt;0,+J17,0)</f>
        <v>0</v>
      </c>
      <c r="S17" s="43" t="s">
        <v>57</v>
      </c>
      <c r="T17" s="48">
        <f t="shared" si="2"/>
        <v>10</v>
      </c>
      <c r="U17" s="44">
        <f t="shared" si="3"/>
        <v>385</v>
      </c>
      <c r="V17" s="44">
        <f t="shared" si="4"/>
        <v>220</v>
      </c>
    </row>
    <row r="18" spans="1:22" x14ac:dyDescent="0.25">
      <c r="A18" s="8">
        <f t="shared" si="1"/>
        <v>11</v>
      </c>
      <c r="B18" s="176"/>
      <c r="C18" s="176"/>
      <c r="D18" s="177"/>
      <c r="E18" s="81"/>
      <c r="F18" s="81"/>
      <c r="G18" s="81"/>
      <c r="H18" s="81"/>
      <c r="I18" s="81"/>
      <c r="J18" s="81"/>
      <c r="K18" s="81"/>
      <c r="L18" s="81"/>
      <c r="M18" s="178"/>
      <c r="N18" s="178"/>
      <c r="O18" s="178"/>
      <c r="P18" s="180"/>
      <c r="Q18" s="43" t="s">
        <v>57</v>
      </c>
      <c r="R18" s="43">
        <f t="shared" si="5"/>
        <v>0</v>
      </c>
      <c r="S18" s="140" t="s">
        <v>57</v>
      </c>
      <c r="T18" s="50"/>
      <c r="U18" s="43"/>
    </row>
    <row r="19" spans="1:22" x14ac:dyDescent="0.25">
      <c r="A19" s="8">
        <f t="shared" si="1"/>
        <v>12</v>
      </c>
      <c r="B19" s="176"/>
      <c r="C19" s="176"/>
      <c r="D19" s="177"/>
      <c r="E19" s="81"/>
      <c r="F19" s="81"/>
      <c r="G19" s="81"/>
      <c r="H19" s="81"/>
      <c r="I19" s="81"/>
      <c r="J19" s="81"/>
      <c r="K19" s="81"/>
      <c r="L19" s="81"/>
      <c r="M19" s="178"/>
      <c r="N19" s="178"/>
      <c r="O19" s="178"/>
      <c r="P19" s="180"/>
      <c r="Q19" s="43" t="s">
        <v>57</v>
      </c>
      <c r="R19" s="140">
        <f t="shared" si="5"/>
        <v>0</v>
      </c>
      <c r="S19" s="140" t="s">
        <v>57</v>
      </c>
      <c r="T19" s="50"/>
      <c r="U19" s="43"/>
    </row>
    <row r="20" spans="1:22" x14ac:dyDescent="0.25">
      <c r="A20" s="8">
        <f t="shared" si="1"/>
        <v>13</v>
      </c>
      <c r="B20" s="176"/>
      <c r="C20" s="176"/>
      <c r="D20" s="177"/>
      <c r="E20" s="81"/>
      <c r="F20" s="81"/>
      <c r="G20" s="81"/>
      <c r="H20" s="81"/>
      <c r="I20" s="81"/>
      <c r="J20" s="81"/>
      <c r="K20" s="81"/>
      <c r="L20" s="81"/>
      <c r="M20" s="178"/>
      <c r="N20" s="178"/>
      <c r="O20" s="178"/>
      <c r="P20" s="180"/>
      <c r="Q20" s="43" t="s">
        <v>57</v>
      </c>
      <c r="R20" s="43">
        <f t="shared" si="5"/>
        <v>0</v>
      </c>
      <c r="S20" s="141" t="s">
        <v>57</v>
      </c>
      <c r="T20" s="50"/>
      <c r="U20" s="43"/>
    </row>
    <row r="21" spans="1:22" x14ac:dyDescent="0.25">
      <c r="A21" s="8">
        <f t="shared" si="1"/>
        <v>14</v>
      </c>
      <c r="B21" s="176"/>
      <c r="C21" s="176"/>
      <c r="D21" s="177"/>
      <c r="E21" s="81"/>
      <c r="F21" s="81"/>
      <c r="G21" s="81"/>
      <c r="H21" s="81"/>
      <c r="I21" s="81"/>
      <c r="J21" s="81"/>
      <c r="K21" s="81"/>
      <c r="L21" s="81"/>
      <c r="M21" s="178"/>
      <c r="N21" s="178"/>
      <c r="O21" s="178"/>
      <c r="P21" s="180"/>
      <c r="Q21" s="43" t="s">
        <v>57</v>
      </c>
      <c r="R21" s="43">
        <f t="shared" si="5"/>
        <v>0</v>
      </c>
      <c r="S21" s="140" t="s">
        <v>57</v>
      </c>
      <c r="T21" s="51"/>
      <c r="U21" s="43"/>
    </row>
    <row r="22" spans="1:22" x14ac:dyDescent="0.25">
      <c r="A22" s="8">
        <f t="shared" si="1"/>
        <v>15</v>
      </c>
      <c r="B22" s="176"/>
      <c r="C22" s="176"/>
      <c r="D22" s="177"/>
      <c r="E22" s="81"/>
      <c r="F22" s="81"/>
      <c r="G22" s="81"/>
      <c r="H22" s="81"/>
      <c r="I22" s="81"/>
      <c r="J22" s="81"/>
      <c r="K22" s="81"/>
      <c r="L22" s="81"/>
      <c r="M22" s="180"/>
      <c r="N22" s="180"/>
      <c r="O22" s="180"/>
      <c r="P22" s="180"/>
      <c r="Q22" s="141" t="s">
        <v>57</v>
      </c>
      <c r="R22" s="140">
        <f t="shared" si="5"/>
        <v>0</v>
      </c>
      <c r="S22" s="43" t="s">
        <v>57</v>
      </c>
      <c r="T22" s="50"/>
      <c r="U22" s="43"/>
    </row>
    <row r="23" spans="1:22" x14ac:dyDescent="0.25">
      <c r="A23" s="8">
        <f t="shared" si="1"/>
        <v>16</v>
      </c>
      <c r="B23" s="176"/>
      <c r="C23" s="176"/>
      <c r="D23" s="177"/>
      <c r="E23" s="81"/>
      <c r="F23" s="81"/>
      <c r="G23" s="81"/>
      <c r="H23" s="81"/>
      <c r="I23" s="81"/>
      <c r="J23" s="81"/>
      <c r="K23" s="81"/>
      <c r="L23" s="81"/>
      <c r="M23" s="178"/>
      <c r="N23" s="178"/>
      <c r="O23" s="178"/>
      <c r="P23" s="180"/>
      <c r="Q23" s="54" t="s">
        <v>57</v>
      </c>
      <c r="R23" s="43">
        <f t="shared" si="5"/>
        <v>0</v>
      </c>
      <c r="S23" s="43" t="s">
        <v>57</v>
      </c>
      <c r="T23" s="51"/>
      <c r="U23" s="43"/>
    </row>
    <row r="24" spans="1:22" x14ac:dyDescent="0.25">
      <c r="A24" s="8">
        <f t="shared" si="1"/>
        <v>17</v>
      </c>
      <c r="B24" s="105"/>
      <c r="C24" s="105"/>
      <c r="D24" s="107"/>
      <c r="E24" s="81"/>
      <c r="F24" s="81"/>
      <c r="G24" s="81"/>
      <c r="H24" s="81"/>
      <c r="I24" s="81"/>
      <c r="J24" s="81"/>
      <c r="K24" s="81"/>
      <c r="L24" s="81"/>
      <c r="M24" s="108"/>
      <c r="N24" s="108"/>
      <c r="O24" s="108"/>
      <c r="P24" s="108"/>
      <c r="Q24" s="140" t="s">
        <v>58</v>
      </c>
      <c r="R24" s="43">
        <f>IF(J24&gt;0,+J24,0)</f>
        <v>0</v>
      </c>
      <c r="S24" s="43" t="s">
        <v>58</v>
      </c>
      <c r="T24" s="51"/>
      <c r="U24" s="43"/>
    </row>
    <row r="25" spans="1:22" x14ac:dyDescent="0.25">
      <c r="A25" s="8">
        <f t="shared" si="1"/>
        <v>18</v>
      </c>
      <c r="B25" s="176"/>
      <c r="C25" s="176"/>
      <c r="D25" s="176"/>
      <c r="E25" s="181"/>
      <c r="F25" s="181"/>
      <c r="G25" s="181"/>
      <c r="H25" s="181"/>
      <c r="I25" s="178"/>
      <c r="J25" s="181"/>
      <c r="K25" s="178"/>
      <c r="L25" s="179"/>
      <c r="M25" s="180"/>
      <c r="N25" s="180"/>
      <c r="O25" s="180"/>
      <c r="P25" s="180"/>
      <c r="Q25" s="1" t="s">
        <v>58</v>
      </c>
      <c r="S25" s="43" t="s">
        <v>58</v>
      </c>
    </row>
    <row r="26" spans="1:22" x14ac:dyDescent="0.25">
      <c r="A26" s="8">
        <f t="shared" si="1"/>
        <v>19</v>
      </c>
      <c r="B26" s="182"/>
      <c r="C26" s="176"/>
      <c r="D26" s="176"/>
      <c r="E26" s="181"/>
      <c r="F26" s="181"/>
      <c r="G26" s="181"/>
      <c r="H26" s="181"/>
      <c r="I26" s="178"/>
      <c r="J26" s="181"/>
      <c r="K26" s="178"/>
      <c r="L26" s="179"/>
      <c r="M26" s="178"/>
      <c r="N26" s="178"/>
      <c r="O26" s="178"/>
      <c r="P26" s="180"/>
      <c r="Q26" s="1" t="s">
        <v>58</v>
      </c>
      <c r="S26" s="43" t="s">
        <v>58</v>
      </c>
    </row>
    <row r="27" spans="1:22" x14ac:dyDescent="0.25">
      <c r="A27" s="8">
        <f t="shared" si="1"/>
        <v>20</v>
      </c>
      <c r="B27" s="176"/>
      <c r="C27" s="176"/>
      <c r="D27" s="176"/>
      <c r="E27" s="181"/>
      <c r="F27" s="181"/>
      <c r="G27" s="181"/>
      <c r="H27" s="181"/>
      <c r="I27" s="178"/>
      <c r="J27" s="181"/>
      <c r="K27" s="178"/>
      <c r="L27" s="179"/>
      <c r="M27" s="180"/>
      <c r="N27" s="180"/>
      <c r="O27" s="180"/>
      <c r="P27" s="180"/>
      <c r="Q27" s="1" t="s">
        <v>58</v>
      </c>
      <c r="S27" s="43" t="s">
        <v>58</v>
      </c>
    </row>
    <row r="28" spans="1:22" x14ac:dyDescent="0.25">
      <c r="A28" s="8">
        <f t="shared" si="1"/>
        <v>21</v>
      </c>
      <c r="B28" s="176"/>
      <c r="C28" s="176"/>
      <c r="D28" s="177"/>
      <c r="E28" s="181"/>
      <c r="F28" s="181"/>
      <c r="G28" s="181"/>
      <c r="H28" s="181"/>
      <c r="I28" s="178"/>
      <c r="J28" s="181"/>
      <c r="K28" s="178"/>
      <c r="L28" s="179"/>
      <c r="M28" s="178"/>
      <c r="N28" s="178"/>
      <c r="O28" s="178"/>
      <c r="P28" s="178"/>
      <c r="Q28" s="1" t="s">
        <v>58</v>
      </c>
      <c r="S28" s="43" t="s">
        <v>58</v>
      </c>
    </row>
    <row r="29" spans="1:22" x14ac:dyDescent="0.25">
      <c r="A29" s="8">
        <f t="shared" si="1"/>
        <v>22</v>
      </c>
      <c r="B29" s="176"/>
      <c r="C29" s="176"/>
      <c r="D29" s="177"/>
      <c r="E29" s="181"/>
      <c r="F29" s="181"/>
      <c r="G29" s="181"/>
      <c r="H29" s="181"/>
      <c r="I29" s="178"/>
      <c r="J29" s="181"/>
      <c r="K29" s="178"/>
      <c r="L29" s="179"/>
      <c r="M29" s="178"/>
      <c r="N29" s="178"/>
      <c r="O29" s="178"/>
      <c r="P29" s="178"/>
      <c r="Q29" s="1" t="s">
        <v>58</v>
      </c>
      <c r="S29" s="43" t="s">
        <v>58</v>
      </c>
    </row>
    <row r="30" spans="1:22" x14ac:dyDescent="0.25">
      <c r="A30" s="8">
        <f t="shared" si="1"/>
        <v>23</v>
      </c>
      <c r="B30" s="176"/>
      <c r="C30" s="176"/>
      <c r="D30" s="183"/>
      <c r="E30" s="181"/>
      <c r="F30" s="181"/>
      <c r="G30" s="181"/>
      <c r="H30" s="181"/>
      <c r="I30" s="178"/>
      <c r="J30" s="181"/>
      <c r="K30" s="178"/>
      <c r="L30" s="179"/>
      <c r="M30" s="178"/>
      <c r="N30" s="178"/>
      <c r="O30" s="178"/>
      <c r="P30" s="178"/>
      <c r="Q30" s="1" t="s">
        <v>58</v>
      </c>
      <c r="S30" s="43" t="s">
        <v>58</v>
      </c>
    </row>
    <row r="31" spans="1:22" x14ac:dyDescent="0.25">
      <c r="A31" s="8">
        <f t="shared" si="1"/>
        <v>24</v>
      </c>
      <c r="B31" s="176"/>
      <c r="C31" s="176"/>
      <c r="D31" s="177"/>
      <c r="E31" s="181"/>
      <c r="F31" s="181"/>
      <c r="G31" s="181"/>
      <c r="H31" s="181"/>
      <c r="I31" s="178"/>
      <c r="J31" s="181"/>
      <c r="K31" s="178"/>
      <c r="L31" s="179"/>
      <c r="M31" s="178"/>
      <c r="N31" s="178"/>
      <c r="O31" s="178"/>
      <c r="P31" s="178"/>
      <c r="Q31" s="1" t="s">
        <v>58</v>
      </c>
      <c r="S31" s="43" t="s">
        <v>58</v>
      </c>
    </row>
    <row r="32" spans="1:22" x14ac:dyDescent="0.25">
      <c r="A32" s="8">
        <f t="shared" si="1"/>
        <v>25</v>
      </c>
      <c r="B32" s="176"/>
      <c r="C32" s="176"/>
      <c r="D32" s="177"/>
      <c r="E32" s="181"/>
      <c r="F32" s="181"/>
      <c r="G32" s="181"/>
      <c r="H32" s="181"/>
      <c r="I32" s="178"/>
      <c r="J32" s="181"/>
      <c r="K32" s="178"/>
      <c r="L32" s="179"/>
      <c r="M32" s="178"/>
      <c r="N32" s="178"/>
      <c r="O32" s="178"/>
      <c r="P32" s="178"/>
      <c r="Q32" s="1" t="s">
        <v>58</v>
      </c>
      <c r="S32" s="43" t="s">
        <v>58</v>
      </c>
    </row>
    <row r="33" spans="1:19" x14ac:dyDescent="0.25">
      <c r="A33" s="8">
        <f t="shared" si="1"/>
        <v>26</v>
      </c>
      <c r="B33" s="176"/>
      <c r="C33" s="176"/>
      <c r="D33" s="177"/>
      <c r="E33" s="181"/>
      <c r="F33" s="181"/>
      <c r="G33" s="181"/>
      <c r="H33" s="181"/>
      <c r="I33" s="178"/>
      <c r="J33" s="181"/>
      <c r="K33" s="178"/>
      <c r="L33" s="179"/>
      <c r="M33" s="178"/>
      <c r="N33" s="178"/>
      <c r="O33" s="178"/>
      <c r="P33" s="178"/>
      <c r="Q33" s="1" t="s">
        <v>58</v>
      </c>
      <c r="S33" s="43" t="s">
        <v>58</v>
      </c>
    </row>
    <row r="34" spans="1:19" x14ac:dyDescent="0.25">
      <c r="A34" s="8">
        <f t="shared" si="1"/>
        <v>27</v>
      </c>
      <c r="B34" s="176"/>
      <c r="C34" s="176"/>
      <c r="D34" s="177"/>
      <c r="E34" s="181"/>
      <c r="F34" s="181"/>
      <c r="G34" s="181"/>
      <c r="H34" s="181"/>
      <c r="I34" s="178"/>
      <c r="J34" s="181"/>
      <c r="K34" s="178"/>
      <c r="L34" s="179"/>
      <c r="M34" s="178"/>
      <c r="N34" s="178"/>
      <c r="O34" s="178"/>
      <c r="P34" s="178"/>
      <c r="Q34" s="1" t="s">
        <v>58</v>
      </c>
      <c r="S34" s="43" t="s">
        <v>58</v>
      </c>
    </row>
    <row r="35" spans="1:19" x14ac:dyDescent="0.25">
      <c r="A35" s="8">
        <f t="shared" si="1"/>
        <v>28</v>
      </c>
      <c r="B35" s="176"/>
      <c r="C35" s="176"/>
      <c r="D35" s="177"/>
      <c r="E35" s="181"/>
      <c r="F35" s="181"/>
      <c r="G35" s="181"/>
      <c r="H35" s="181"/>
      <c r="I35" s="178"/>
      <c r="J35" s="181"/>
      <c r="K35" s="178"/>
      <c r="L35" s="179"/>
      <c r="M35" s="178"/>
      <c r="N35" s="178"/>
      <c r="O35" s="178"/>
      <c r="P35" s="178"/>
      <c r="Q35" s="1" t="s">
        <v>58</v>
      </c>
      <c r="S35" s="43" t="s">
        <v>58</v>
      </c>
    </row>
    <row r="36" spans="1:19" x14ac:dyDescent="0.25">
      <c r="A36" s="8">
        <f t="shared" si="1"/>
        <v>29</v>
      </c>
      <c r="B36" s="176"/>
      <c r="C36" s="176"/>
      <c r="D36" s="177"/>
      <c r="E36" s="181"/>
      <c r="F36" s="181"/>
      <c r="G36" s="181"/>
      <c r="H36" s="181"/>
      <c r="I36" s="178"/>
      <c r="J36" s="181"/>
      <c r="K36" s="178"/>
      <c r="L36" s="179"/>
      <c r="M36" s="178"/>
      <c r="N36" s="178"/>
      <c r="O36" s="178"/>
      <c r="P36" s="178"/>
      <c r="Q36" s="1" t="s">
        <v>58</v>
      </c>
      <c r="S36" s="43" t="s">
        <v>58</v>
      </c>
    </row>
    <row r="37" spans="1:19" x14ac:dyDescent="0.25">
      <c r="A37" s="8">
        <f t="shared" si="1"/>
        <v>30</v>
      </c>
      <c r="B37" s="176"/>
      <c r="C37" s="176"/>
      <c r="D37" s="177"/>
      <c r="E37" s="181"/>
      <c r="F37" s="181"/>
      <c r="G37" s="181"/>
      <c r="H37" s="181"/>
      <c r="I37" s="178"/>
      <c r="J37" s="181"/>
      <c r="K37" s="178"/>
      <c r="L37" s="179"/>
      <c r="M37" s="178"/>
      <c r="N37" s="178"/>
      <c r="O37" s="178"/>
      <c r="P37" s="178"/>
      <c r="Q37" s="1" t="s">
        <v>58</v>
      </c>
      <c r="S37" s="43" t="s">
        <v>58</v>
      </c>
    </row>
    <row r="38" spans="1:19" x14ac:dyDescent="0.25">
      <c r="A38" s="8">
        <f t="shared" si="1"/>
        <v>31</v>
      </c>
      <c r="B38" s="176"/>
      <c r="C38" s="176"/>
      <c r="D38" s="177"/>
      <c r="E38" s="181"/>
      <c r="F38" s="181"/>
      <c r="G38" s="181"/>
      <c r="H38" s="181"/>
      <c r="I38" s="178"/>
      <c r="J38" s="181"/>
      <c r="K38" s="178"/>
      <c r="L38" s="179"/>
      <c r="M38" s="178"/>
      <c r="N38" s="178"/>
      <c r="O38" s="178"/>
      <c r="P38" s="178"/>
      <c r="Q38" s="1" t="s">
        <v>58</v>
      </c>
      <c r="S38" s="43" t="s">
        <v>58</v>
      </c>
    </row>
    <row r="39" spans="1:19" x14ac:dyDescent="0.25">
      <c r="A39" s="8">
        <f t="shared" si="1"/>
        <v>32</v>
      </c>
      <c r="B39" s="176"/>
      <c r="C39" s="176"/>
      <c r="D39" s="177"/>
      <c r="E39" s="181"/>
      <c r="F39" s="181"/>
      <c r="G39" s="181"/>
      <c r="H39" s="181"/>
      <c r="I39" s="178"/>
      <c r="J39" s="181"/>
      <c r="K39" s="178"/>
      <c r="L39" s="179"/>
      <c r="M39" s="178"/>
      <c r="N39" s="178"/>
      <c r="O39" s="178"/>
      <c r="P39" s="178"/>
      <c r="Q39" s="1" t="s">
        <v>58</v>
      </c>
      <c r="S39" s="43" t="s">
        <v>58</v>
      </c>
    </row>
    <row r="40" spans="1:19" x14ac:dyDescent="0.25">
      <c r="A40" s="8">
        <f t="shared" si="1"/>
        <v>33</v>
      </c>
      <c r="B40" s="176"/>
      <c r="C40" s="176"/>
      <c r="D40" s="177"/>
      <c r="E40" s="181"/>
      <c r="F40" s="181"/>
      <c r="G40" s="181"/>
      <c r="H40" s="181"/>
      <c r="I40" s="178"/>
      <c r="J40" s="181"/>
      <c r="K40" s="178"/>
      <c r="L40" s="179"/>
      <c r="M40" s="178"/>
      <c r="N40" s="178"/>
      <c r="O40" s="178"/>
      <c r="P40" s="178"/>
    </row>
    <row r="41" spans="1:19" x14ac:dyDescent="0.25">
      <c r="A41" s="8">
        <f t="shared" si="1"/>
        <v>34</v>
      </c>
      <c r="B41" s="176"/>
      <c r="C41" s="176"/>
      <c r="D41" s="177"/>
      <c r="E41" s="181"/>
      <c r="F41" s="181"/>
      <c r="G41" s="181"/>
      <c r="H41" s="181"/>
      <c r="I41" s="178"/>
      <c r="J41" s="181"/>
      <c r="K41" s="178"/>
      <c r="L41" s="179"/>
      <c r="M41" s="178"/>
      <c r="N41" s="178"/>
      <c r="O41" s="178"/>
      <c r="P41" s="178"/>
    </row>
    <row r="42" spans="1:19" x14ac:dyDescent="0.25">
      <c r="A42" s="8">
        <f t="shared" si="1"/>
        <v>35</v>
      </c>
      <c r="B42" s="176"/>
      <c r="C42" s="176"/>
      <c r="D42" s="177"/>
      <c r="E42" s="181"/>
      <c r="F42" s="181"/>
      <c r="G42" s="181"/>
      <c r="H42" s="181"/>
      <c r="I42" s="178"/>
      <c r="J42" s="181"/>
      <c r="K42" s="178"/>
      <c r="L42" s="179"/>
      <c r="M42" s="178"/>
      <c r="N42" s="178"/>
      <c r="O42" s="178"/>
      <c r="P42" s="178"/>
    </row>
    <row r="43" spans="1:19" x14ac:dyDescent="0.25">
      <c r="A43" s="8">
        <f t="shared" si="1"/>
        <v>36</v>
      </c>
      <c r="B43" s="176"/>
      <c r="C43" s="176"/>
      <c r="D43" s="177"/>
      <c r="E43" s="181"/>
      <c r="F43" s="181"/>
      <c r="G43" s="181"/>
      <c r="H43" s="181"/>
      <c r="I43" s="178"/>
      <c r="J43" s="181"/>
      <c r="K43" s="178"/>
      <c r="L43" s="179"/>
      <c r="M43" s="178"/>
      <c r="N43" s="178"/>
      <c r="O43" s="178"/>
      <c r="P43" s="178"/>
    </row>
    <row r="44" spans="1:19" x14ac:dyDescent="0.25">
      <c r="A44" s="8">
        <f t="shared" si="1"/>
        <v>37</v>
      </c>
      <c r="B44" s="176"/>
      <c r="C44" s="176"/>
      <c r="D44" s="177"/>
      <c r="E44" s="181"/>
      <c r="F44" s="181"/>
      <c r="G44" s="181"/>
      <c r="H44" s="181"/>
      <c r="I44" s="178"/>
      <c r="J44" s="181"/>
      <c r="K44" s="178"/>
      <c r="L44" s="179"/>
      <c r="M44" s="178"/>
      <c r="N44" s="178"/>
      <c r="O44" s="178"/>
      <c r="P44" s="178"/>
    </row>
    <row r="45" spans="1:19" x14ac:dyDescent="0.25">
      <c r="A45" s="8">
        <f t="shared" si="1"/>
        <v>38</v>
      </c>
      <c r="B45" s="176"/>
      <c r="C45" s="176"/>
      <c r="D45" s="177"/>
      <c r="E45" s="181"/>
      <c r="F45" s="181"/>
      <c r="G45" s="181"/>
      <c r="H45" s="181"/>
      <c r="I45" s="178"/>
      <c r="J45" s="181"/>
      <c r="K45" s="178"/>
      <c r="L45" s="179"/>
      <c r="M45" s="178"/>
      <c r="N45" s="178"/>
      <c r="O45" s="178"/>
      <c r="P45" s="178"/>
    </row>
    <row r="46" spans="1:19" x14ac:dyDescent="0.25">
      <c r="A46" s="8">
        <f t="shared" si="1"/>
        <v>39</v>
      </c>
      <c r="B46" s="176"/>
      <c r="C46" s="176"/>
      <c r="D46" s="177"/>
      <c r="E46" s="181"/>
      <c r="F46" s="181"/>
      <c r="G46" s="181"/>
      <c r="H46" s="181"/>
      <c r="I46" s="178"/>
      <c r="J46" s="181"/>
      <c r="K46" s="178"/>
      <c r="L46" s="179"/>
      <c r="M46" s="178"/>
      <c r="N46" s="178"/>
      <c r="O46" s="178"/>
      <c r="P46" s="178"/>
    </row>
    <row r="47" spans="1:19" x14ac:dyDescent="0.25">
      <c r="A47" s="8">
        <f t="shared" si="1"/>
        <v>40</v>
      </c>
      <c r="B47" s="176"/>
      <c r="C47" s="176"/>
      <c r="D47" s="177"/>
      <c r="E47" s="181"/>
      <c r="F47" s="181"/>
      <c r="G47" s="181"/>
      <c r="H47" s="181"/>
      <c r="I47" s="178"/>
      <c r="J47" s="181"/>
      <c r="K47" s="178"/>
      <c r="L47" s="179"/>
      <c r="M47" s="178"/>
      <c r="N47" s="178"/>
      <c r="O47" s="178"/>
      <c r="P47" s="178"/>
    </row>
    <row r="48" spans="1:19" x14ac:dyDescent="0.25">
      <c r="A48" s="8">
        <f t="shared" si="1"/>
        <v>41</v>
      </c>
      <c r="B48" s="176"/>
      <c r="C48" s="176"/>
      <c r="D48" s="177"/>
      <c r="E48" s="181"/>
      <c r="F48" s="181"/>
      <c r="G48" s="181"/>
      <c r="H48" s="181"/>
      <c r="I48" s="178"/>
      <c r="J48" s="181"/>
      <c r="K48" s="178"/>
      <c r="L48" s="179"/>
      <c r="M48" s="178"/>
      <c r="N48" s="178"/>
      <c r="O48" s="178"/>
      <c r="P48" s="178"/>
    </row>
    <row r="49" spans="1:16" x14ac:dyDescent="0.25">
      <c r="A49" s="8">
        <f t="shared" si="1"/>
        <v>42</v>
      </c>
      <c r="B49" s="176"/>
      <c r="C49" s="176"/>
      <c r="D49" s="177"/>
      <c r="E49" s="181"/>
      <c r="F49" s="181"/>
      <c r="G49" s="181"/>
      <c r="H49" s="181"/>
      <c r="I49" s="178"/>
      <c r="J49" s="181"/>
      <c r="K49" s="178"/>
      <c r="L49" s="179"/>
      <c r="M49" s="178"/>
      <c r="N49" s="178"/>
      <c r="O49" s="178"/>
      <c r="P49" s="178"/>
    </row>
    <row r="50" spans="1:16" x14ac:dyDescent="0.25">
      <c r="A50" s="8">
        <f t="shared" si="1"/>
        <v>43</v>
      </c>
      <c r="B50" s="176"/>
      <c r="C50" s="176"/>
      <c r="D50" s="177"/>
      <c r="E50" s="181"/>
      <c r="F50" s="181"/>
      <c r="G50" s="181"/>
      <c r="H50" s="181"/>
      <c r="I50" s="178"/>
      <c r="J50" s="181"/>
      <c r="K50" s="178"/>
      <c r="L50" s="179"/>
      <c r="M50" s="178"/>
      <c r="N50" s="178"/>
      <c r="O50" s="178"/>
      <c r="P50" s="178"/>
    </row>
    <row r="51" spans="1:16" x14ac:dyDescent="0.25">
      <c r="A51" s="8">
        <f t="shared" si="1"/>
        <v>44</v>
      </c>
      <c r="B51" s="176"/>
      <c r="C51" s="176"/>
      <c r="D51" s="177"/>
      <c r="E51" s="181"/>
      <c r="F51" s="181"/>
      <c r="G51" s="181"/>
      <c r="H51" s="181"/>
      <c r="I51" s="178"/>
      <c r="J51" s="181"/>
      <c r="K51" s="178"/>
      <c r="L51" s="179"/>
      <c r="M51" s="178"/>
      <c r="N51" s="178"/>
      <c r="O51" s="178"/>
      <c r="P51" s="178"/>
    </row>
    <row r="52" spans="1:16" x14ac:dyDescent="0.25">
      <c r="A52" s="8">
        <f t="shared" si="1"/>
        <v>45</v>
      </c>
      <c r="B52" s="176"/>
      <c r="C52" s="176"/>
      <c r="D52" s="177"/>
      <c r="E52" s="181"/>
      <c r="F52" s="181"/>
      <c r="G52" s="181"/>
      <c r="H52" s="181"/>
      <c r="I52" s="178"/>
      <c r="J52" s="181"/>
      <c r="K52" s="178"/>
      <c r="L52" s="179"/>
      <c r="M52" s="178"/>
      <c r="N52" s="178"/>
      <c r="O52" s="178"/>
      <c r="P52" s="178"/>
    </row>
    <row r="53" spans="1:16" x14ac:dyDescent="0.25">
      <c r="A53" s="8">
        <f t="shared" si="1"/>
        <v>46</v>
      </c>
      <c r="B53" s="176"/>
      <c r="C53" s="176"/>
      <c r="D53" s="177"/>
      <c r="E53" s="181"/>
      <c r="F53" s="181"/>
      <c r="G53" s="181"/>
      <c r="H53" s="181"/>
      <c r="I53" s="178"/>
      <c r="J53" s="181"/>
      <c r="K53" s="178"/>
      <c r="L53" s="179"/>
      <c r="M53" s="178"/>
      <c r="N53" s="178"/>
      <c r="O53" s="178"/>
      <c r="P53" s="178"/>
    </row>
    <row r="54" spans="1:16" x14ac:dyDescent="0.25">
      <c r="A54" s="8">
        <f t="shared" si="1"/>
        <v>47</v>
      </c>
      <c r="B54" s="176"/>
      <c r="C54" s="176"/>
      <c r="D54" s="177"/>
      <c r="E54" s="181"/>
      <c r="F54" s="181"/>
      <c r="G54" s="181"/>
      <c r="H54" s="181"/>
      <c r="I54" s="178"/>
      <c r="J54" s="181"/>
      <c r="K54" s="178"/>
      <c r="L54" s="179"/>
      <c r="M54" s="178"/>
      <c r="N54" s="178"/>
      <c r="O54" s="178"/>
      <c r="P54" s="178"/>
    </row>
    <row r="55" spans="1:16" x14ac:dyDescent="0.25">
      <c r="A55" s="8">
        <f t="shared" si="1"/>
        <v>48</v>
      </c>
      <c r="B55" s="176"/>
      <c r="C55" s="176"/>
      <c r="D55" s="177"/>
      <c r="E55" s="181"/>
      <c r="F55" s="181"/>
      <c r="G55" s="181"/>
      <c r="H55" s="181"/>
      <c r="I55" s="178"/>
      <c r="J55" s="181"/>
      <c r="K55" s="178"/>
      <c r="L55" s="179"/>
      <c r="M55" s="178"/>
      <c r="N55" s="178"/>
      <c r="O55" s="178"/>
      <c r="P55" s="178"/>
    </row>
    <row r="56" spans="1:16" x14ac:dyDescent="0.25">
      <c r="A56" s="8">
        <f t="shared" si="1"/>
        <v>49</v>
      </c>
      <c r="B56" s="176"/>
      <c r="C56" s="176"/>
      <c r="D56" s="177"/>
      <c r="E56" s="181"/>
      <c r="F56" s="181"/>
      <c r="G56" s="181"/>
      <c r="H56" s="181"/>
      <c r="I56" s="178"/>
      <c r="J56" s="181"/>
      <c r="K56" s="178"/>
      <c r="L56" s="179"/>
      <c r="M56" s="178"/>
      <c r="N56" s="178"/>
      <c r="O56" s="178"/>
      <c r="P56" s="178"/>
    </row>
    <row r="57" spans="1:16" x14ac:dyDescent="0.25">
      <c r="A57" s="8">
        <f t="shared" si="1"/>
        <v>50</v>
      </c>
      <c r="B57" s="176"/>
      <c r="C57" s="176"/>
      <c r="D57" s="177"/>
      <c r="E57" s="181"/>
      <c r="F57" s="181"/>
      <c r="G57" s="181"/>
      <c r="H57" s="181"/>
      <c r="I57" s="178"/>
      <c r="J57" s="181"/>
      <c r="K57" s="178"/>
      <c r="L57" s="179"/>
      <c r="M57" s="178"/>
      <c r="N57" s="178"/>
      <c r="O57" s="178"/>
      <c r="P57" s="178"/>
    </row>
    <row r="58" spans="1:16" x14ac:dyDescent="0.25">
      <c r="A58" s="8">
        <f t="shared" si="1"/>
        <v>51</v>
      </c>
      <c r="B58" s="176"/>
      <c r="C58" s="176"/>
      <c r="D58" s="177"/>
      <c r="E58" s="181"/>
      <c r="F58" s="181"/>
      <c r="G58" s="181"/>
      <c r="H58" s="181"/>
      <c r="I58" s="178"/>
      <c r="J58" s="181"/>
      <c r="K58" s="178"/>
      <c r="L58" s="179"/>
      <c r="M58" s="178"/>
      <c r="N58" s="178"/>
      <c r="O58" s="178"/>
      <c r="P58" s="178"/>
    </row>
    <row r="59" spans="1:16" x14ac:dyDescent="0.25">
      <c r="A59" s="8">
        <f t="shared" si="1"/>
        <v>52</v>
      </c>
      <c r="B59" s="176"/>
      <c r="C59" s="176"/>
      <c r="D59" s="177"/>
      <c r="E59" s="181"/>
      <c r="F59" s="181"/>
      <c r="G59" s="181"/>
      <c r="H59" s="181"/>
      <c r="I59" s="178"/>
      <c r="J59" s="181"/>
      <c r="K59" s="178"/>
      <c r="L59" s="179"/>
      <c r="M59" s="178"/>
      <c r="N59" s="178"/>
      <c r="O59" s="178"/>
      <c r="P59" s="178"/>
    </row>
    <row r="60" spans="1:16" x14ac:dyDescent="0.25">
      <c r="A60" s="8">
        <f t="shared" si="1"/>
        <v>53</v>
      </c>
      <c r="B60" s="176"/>
      <c r="C60" s="176"/>
      <c r="D60" s="177"/>
      <c r="E60" s="181"/>
      <c r="F60" s="181"/>
      <c r="G60" s="181"/>
      <c r="H60" s="181"/>
      <c r="I60" s="178"/>
      <c r="J60" s="181"/>
      <c r="K60" s="178"/>
      <c r="L60" s="179"/>
      <c r="M60" s="178"/>
      <c r="N60" s="178"/>
      <c r="O60" s="178"/>
      <c r="P60" s="178"/>
    </row>
    <row r="61" spans="1:16" x14ac:dyDescent="0.25">
      <c r="A61" s="8">
        <f t="shared" si="1"/>
        <v>54</v>
      </c>
      <c r="B61" s="176"/>
      <c r="C61" s="176"/>
      <c r="D61" s="177"/>
      <c r="E61" s="181"/>
      <c r="F61" s="181"/>
      <c r="G61" s="181"/>
      <c r="H61" s="181"/>
      <c r="I61" s="178"/>
      <c r="J61" s="181"/>
      <c r="K61" s="178"/>
      <c r="L61" s="179"/>
      <c r="M61" s="178"/>
      <c r="N61" s="178"/>
      <c r="O61" s="178"/>
      <c r="P61" s="178"/>
    </row>
    <row r="62" spans="1:16" x14ac:dyDescent="0.25">
      <c r="A62" s="8">
        <f t="shared" si="1"/>
        <v>55</v>
      </c>
      <c r="B62" s="176"/>
      <c r="C62" s="176"/>
      <c r="D62" s="177"/>
      <c r="E62" s="181"/>
      <c r="F62" s="181"/>
      <c r="G62" s="181"/>
      <c r="H62" s="181"/>
      <c r="I62" s="178"/>
      <c r="J62" s="181"/>
      <c r="K62" s="178"/>
      <c r="L62" s="179"/>
      <c r="M62" s="178"/>
      <c r="N62" s="178"/>
      <c r="O62" s="178"/>
      <c r="P62" s="178"/>
    </row>
    <row r="63" spans="1:16" x14ac:dyDescent="0.25">
      <c r="A63" s="8">
        <f t="shared" si="1"/>
        <v>56</v>
      </c>
      <c r="B63" s="176"/>
      <c r="C63" s="176"/>
      <c r="D63" s="177"/>
      <c r="E63" s="181"/>
      <c r="F63" s="181"/>
      <c r="G63" s="181"/>
      <c r="H63" s="181"/>
      <c r="I63" s="178"/>
      <c r="J63" s="181"/>
      <c r="K63" s="178"/>
      <c r="L63" s="179"/>
      <c r="M63" s="178"/>
      <c r="N63" s="178"/>
      <c r="O63" s="178"/>
      <c r="P63" s="178"/>
    </row>
    <row r="64" spans="1:16" x14ac:dyDescent="0.25">
      <c r="A64" s="8">
        <f t="shared" si="1"/>
        <v>57</v>
      </c>
      <c r="B64" s="176"/>
      <c r="C64" s="176"/>
      <c r="D64" s="177"/>
      <c r="E64" s="181"/>
      <c r="F64" s="181"/>
      <c r="G64" s="181"/>
      <c r="H64" s="181"/>
      <c r="I64" s="178"/>
      <c r="J64" s="181"/>
      <c r="K64" s="178"/>
      <c r="L64" s="179"/>
      <c r="M64" s="178"/>
      <c r="N64" s="178"/>
      <c r="O64" s="178"/>
      <c r="P64" s="178"/>
    </row>
    <row r="65" spans="1:16" x14ac:dyDescent="0.25">
      <c r="A65" s="8">
        <f t="shared" si="1"/>
        <v>58</v>
      </c>
      <c r="B65" s="176"/>
      <c r="C65" s="176"/>
      <c r="D65" s="177"/>
      <c r="E65" s="181"/>
      <c r="F65" s="181"/>
      <c r="G65" s="181"/>
      <c r="H65" s="181"/>
      <c r="I65" s="178"/>
      <c r="J65" s="181"/>
      <c r="K65" s="178"/>
      <c r="L65" s="179"/>
      <c r="M65" s="178"/>
      <c r="N65" s="178"/>
      <c r="O65" s="178"/>
      <c r="P65" s="178"/>
    </row>
    <row r="66" spans="1:16" x14ac:dyDescent="0.25">
      <c r="A66" s="8">
        <f t="shared" si="1"/>
        <v>59</v>
      </c>
      <c r="B66" s="176"/>
      <c r="C66" s="176"/>
      <c r="D66" s="177"/>
      <c r="E66" s="181"/>
      <c r="F66" s="181"/>
      <c r="G66" s="181"/>
      <c r="H66" s="181"/>
      <c r="I66" s="178"/>
      <c r="J66" s="181"/>
      <c r="K66" s="178"/>
      <c r="L66" s="179"/>
      <c r="M66" s="178"/>
      <c r="N66" s="178"/>
      <c r="O66" s="178"/>
      <c r="P66" s="178"/>
    </row>
    <row r="67" spans="1:16" x14ac:dyDescent="0.25">
      <c r="A67" s="8">
        <f t="shared" si="1"/>
        <v>60</v>
      </c>
      <c r="B67" s="176"/>
      <c r="C67" s="176"/>
      <c r="D67" s="177"/>
      <c r="E67" s="181"/>
      <c r="F67" s="181"/>
      <c r="G67" s="181"/>
      <c r="H67" s="181"/>
      <c r="I67" s="178"/>
      <c r="J67" s="181"/>
      <c r="K67" s="178"/>
      <c r="L67" s="179"/>
      <c r="M67" s="178"/>
      <c r="N67" s="178"/>
      <c r="O67" s="178"/>
      <c r="P67" s="178"/>
    </row>
    <row r="68" spans="1:16" x14ac:dyDescent="0.25">
      <c r="A68" s="8">
        <f t="shared" si="1"/>
        <v>61</v>
      </c>
      <c r="B68" s="176"/>
      <c r="C68" s="176"/>
      <c r="D68" s="177"/>
      <c r="E68" s="181"/>
      <c r="F68" s="181"/>
      <c r="G68" s="181"/>
      <c r="H68" s="181"/>
      <c r="I68" s="178"/>
      <c r="J68" s="181"/>
      <c r="K68" s="178"/>
      <c r="L68" s="179"/>
      <c r="M68" s="178"/>
      <c r="N68" s="178"/>
      <c r="O68" s="178"/>
      <c r="P68" s="178"/>
    </row>
    <row r="69" spans="1:16" x14ac:dyDescent="0.25">
      <c r="A69" s="8">
        <f t="shared" si="1"/>
        <v>62</v>
      </c>
      <c r="B69" s="176"/>
      <c r="C69" s="176"/>
      <c r="D69" s="177"/>
      <c r="E69" s="181"/>
      <c r="F69" s="181"/>
      <c r="G69" s="181"/>
      <c r="H69" s="181"/>
      <c r="I69" s="178"/>
      <c r="J69" s="181"/>
      <c r="K69" s="178"/>
      <c r="L69" s="179"/>
      <c r="M69" s="178"/>
      <c r="N69" s="178"/>
      <c r="O69" s="178"/>
      <c r="P69" s="178"/>
    </row>
    <row r="70" spans="1:16" x14ac:dyDescent="0.25">
      <c r="A70" s="8">
        <f t="shared" si="1"/>
        <v>63</v>
      </c>
      <c r="B70" s="176"/>
      <c r="C70" s="176"/>
      <c r="D70" s="177"/>
      <c r="E70" s="181"/>
      <c r="F70" s="181"/>
      <c r="G70" s="181"/>
      <c r="H70" s="181"/>
      <c r="I70" s="178"/>
      <c r="J70" s="181"/>
      <c r="K70" s="178"/>
      <c r="L70" s="179"/>
      <c r="M70" s="178"/>
      <c r="N70" s="178"/>
      <c r="O70" s="178"/>
      <c r="P70" s="178"/>
    </row>
    <row r="71" spans="1:16" x14ac:dyDescent="0.25">
      <c r="A71" s="8">
        <f t="shared" si="1"/>
        <v>64</v>
      </c>
      <c r="B71" s="176"/>
      <c r="C71" s="176"/>
      <c r="D71" s="177"/>
      <c r="E71" s="181"/>
      <c r="F71" s="181"/>
      <c r="G71" s="181"/>
      <c r="H71" s="181"/>
      <c r="I71" s="178"/>
      <c r="J71" s="181"/>
      <c r="K71" s="178"/>
      <c r="L71" s="179"/>
      <c r="M71" s="178"/>
      <c r="N71" s="178"/>
      <c r="O71" s="178"/>
      <c r="P71" s="178"/>
    </row>
    <row r="72" spans="1:16" x14ac:dyDescent="0.25">
      <c r="A72" s="8">
        <f t="shared" si="1"/>
        <v>65</v>
      </c>
      <c r="B72" s="176"/>
      <c r="C72" s="176"/>
      <c r="D72" s="177"/>
      <c r="E72" s="181"/>
      <c r="F72" s="181"/>
      <c r="G72" s="181"/>
      <c r="H72" s="181"/>
      <c r="I72" s="178"/>
      <c r="J72" s="181"/>
      <c r="K72" s="178"/>
      <c r="L72" s="179"/>
      <c r="M72" s="178"/>
      <c r="N72" s="178"/>
      <c r="O72" s="178"/>
      <c r="P72" s="178"/>
    </row>
    <row r="73" spans="1:16" x14ac:dyDescent="0.25">
      <c r="A73" s="8">
        <f t="shared" si="1"/>
        <v>66</v>
      </c>
      <c r="B73" s="176"/>
      <c r="C73" s="176"/>
      <c r="D73" s="177"/>
      <c r="E73" s="181"/>
      <c r="F73" s="181"/>
      <c r="G73" s="181"/>
      <c r="H73" s="181"/>
      <c r="I73" s="178"/>
      <c r="J73" s="181"/>
      <c r="K73" s="178"/>
      <c r="L73" s="179"/>
      <c r="M73" s="178"/>
      <c r="N73" s="178"/>
      <c r="O73" s="178"/>
      <c r="P73" s="178"/>
    </row>
    <row r="74" spans="1:16" x14ac:dyDescent="0.25">
      <c r="A74" s="8">
        <f t="shared" ref="A74:A137" si="6">+A73+1</f>
        <v>67</v>
      </c>
      <c r="B74" s="176"/>
      <c r="C74" s="176"/>
      <c r="D74" s="177"/>
      <c r="E74" s="181"/>
      <c r="F74" s="181"/>
      <c r="G74" s="181"/>
      <c r="H74" s="181"/>
      <c r="I74" s="178"/>
      <c r="J74" s="181"/>
      <c r="K74" s="178"/>
      <c r="L74" s="179"/>
      <c r="M74" s="178"/>
      <c r="N74" s="178"/>
      <c r="O74" s="178"/>
      <c r="P74" s="178"/>
    </row>
    <row r="75" spans="1:16" x14ac:dyDescent="0.25">
      <c r="A75" s="8">
        <f t="shared" si="6"/>
        <v>68</v>
      </c>
      <c r="B75" s="176"/>
      <c r="C75" s="176"/>
      <c r="D75" s="177"/>
      <c r="E75" s="181"/>
      <c r="F75" s="181"/>
      <c r="G75" s="181"/>
      <c r="H75" s="181"/>
      <c r="I75" s="178"/>
      <c r="J75" s="181"/>
      <c r="K75" s="178"/>
      <c r="L75" s="179"/>
      <c r="M75" s="178"/>
      <c r="N75" s="178"/>
      <c r="O75" s="178"/>
      <c r="P75" s="178"/>
    </row>
    <row r="76" spans="1:16" x14ac:dyDescent="0.25">
      <c r="A76" s="8">
        <f t="shared" si="6"/>
        <v>69</v>
      </c>
      <c r="B76" s="176"/>
      <c r="C76" s="176"/>
      <c r="D76" s="177"/>
      <c r="E76" s="181"/>
      <c r="F76" s="181"/>
      <c r="G76" s="181"/>
      <c r="H76" s="181"/>
      <c r="I76" s="178"/>
      <c r="J76" s="181"/>
      <c r="K76" s="178"/>
      <c r="L76" s="179"/>
      <c r="M76" s="178"/>
      <c r="N76" s="178"/>
      <c r="O76" s="178"/>
      <c r="P76" s="178"/>
    </row>
    <row r="77" spans="1:16" x14ac:dyDescent="0.25">
      <c r="A77" s="8">
        <f t="shared" si="6"/>
        <v>70</v>
      </c>
      <c r="B77" s="176"/>
      <c r="C77" s="176"/>
      <c r="D77" s="177"/>
      <c r="E77" s="181"/>
      <c r="F77" s="181"/>
      <c r="G77" s="181"/>
      <c r="H77" s="181"/>
      <c r="I77" s="178"/>
      <c r="J77" s="181"/>
      <c r="K77" s="178"/>
      <c r="L77" s="179"/>
      <c r="M77" s="178"/>
      <c r="N77" s="178"/>
      <c r="O77" s="178"/>
      <c r="P77" s="178"/>
    </row>
    <row r="78" spans="1:16" x14ac:dyDescent="0.25">
      <c r="A78" s="8">
        <f t="shared" si="6"/>
        <v>71</v>
      </c>
      <c r="B78" s="176"/>
      <c r="C78" s="176"/>
      <c r="D78" s="177"/>
      <c r="E78" s="181"/>
      <c r="F78" s="181"/>
      <c r="G78" s="181"/>
      <c r="H78" s="181"/>
      <c r="I78" s="178"/>
      <c r="J78" s="181"/>
      <c r="K78" s="178"/>
      <c r="L78" s="179"/>
      <c r="M78" s="178"/>
      <c r="N78" s="178"/>
      <c r="O78" s="178"/>
      <c r="P78" s="178"/>
    </row>
    <row r="79" spans="1:16" x14ac:dyDescent="0.25">
      <c r="A79" s="8">
        <f t="shared" si="6"/>
        <v>72</v>
      </c>
      <c r="B79" s="176"/>
      <c r="C79" s="176"/>
      <c r="D79" s="177"/>
      <c r="E79" s="181"/>
      <c r="F79" s="181"/>
      <c r="G79" s="181"/>
      <c r="H79" s="181"/>
      <c r="I79" s="178"/>
      <c r="J79" s="181"/>
      <c r="K79" s="178"/>
      <c r="L79" s="179"/>
      <c r="M79" s="178"/>
      <c r="N79" s="178"/>
      <c r="O79" s="178"/>
      <c r="P79" s="178"/>
    </row>
    <row r="80" spans="1:16" x14ac:dyDescent="0.25">
      <c r="A80" s="8">
        <f t="shared" si="6"/>
        <v>73</v>
      </c>
      <c r="B80" s="176"/>
      <c r="C80" s="176"/>
      <c r="D80" s="177"/>
      <c r="E80" s="181"/>
      <c r="F80" s="181"/>
      <c r="G80" s="181"/>
      <c r="H80" s="181"/>
      <c r="I80" s="178"/>
      <c r="J80" s="181"/>
      <c r="K80" s="178"/>
      <c r="L80" s="179"/>
      <c r="M80" s="178"/>
      <c r="N80" s="178"/>
      <c r="O80" s="178"/>
      <c r="P80" s="178"/>
    </row>
    <row r="81" spans="1:16" x14ac:dyDescent="0.25">
      <c r="A81" s="8">
        <f t="shared" si="6"/>
        <v>74</v>
      </c>
      <c r="B81" s="176"/>
      <c r="C81" s="176"/>
      <c r="D81" s="177"/>
      <c r="E81" s="181"/>
      <c r="F81" s="181"/>
      <c r="G81" s="181"/>
      <c r="H81" s="181"/>
      <c r="I81" s="178"/>
      <c r="J81" s="181"/>
      <c r="K81" s="178"/>
      <c r="L81" s="179"/>
      <c r="M81" s="178"/>
      <c r="N81" s="178"/>
      <c r="O81" s="178"/>
      <c r="P81" s="178"/>
    </row>
    <row r="82" spans="1:16" x14ac:dyDescent="0.25">
      <c r="A82" s="8">
        <f t="shared" si="6"/>
        <v>75</v>
      </c>
      <c r="B82" s="176"/>
      <c r="C82" s="176"/>
      <c r="D82" s="177"/>
      <c r="E82" s="181"/>
      <c r="F82" s="181"/>
      <c r="G82" s="181"/>
      <c r="H82" s="181"/>
      <c r="I82" s="178"/>
      <c r="J82" s="181"/>
      <c r="K82" s="178"/>
      <c r="L82" s="179"/>
      <c r="M82" s="178"/>
      <c r="N82" s="178"/>
      <c r="O82" s="178"/>
      <c r="P82" s="178"/>
    </row>
    <row r="83" spans="1:16" x14ac:dyDescent="0.25">
      <c r="A83" s="8">
        <f t="shared" si="6"/>
        <v>76</v>
      </c>
      <c r="B83" s="176"/>
      <c r="C83" s="176"/>
      <c r="D83" s="177"/>
      <c r="E83" s="181"/>
      <c r="F83" s="181"/>
      <c r="G83" s="181"/>
      <c r="H83" s="181"/>
      <c r="I83" s="178"/>
      <c r="J83" s="181"/>
      <c r="K83" s="178"/>
      <c r="L83" s="179"/>
      <c r="M83" s="178"/>
      <c r="N83" s="178"/>
      <c r="O83" s="178"/>
      <c r="P83" s="178"/>
    </row>
    <row r="84" spans="1:16" x14ac:dyDescent="0.25">
      <c r="A84" s="8">
        <f t="shared" si="6"/>
        <v>77</v>
      </c>
      <c r="B84" s="176"/>
      <c r="C84" s="176"/>
      <c r="D84" s="177"/>
      <c r="E84" s="181"/>
      <c r="F84" s="181"/>
      <c r="G84" s="181"/>
      <c r="H84" s="181"/>
      <c r="I84" s="178"/>
      <c r="J84" s="181"/>
      <c r="K84" s="178"/>
      <c r="L84" s="179"/>
      <c r="M84" s="178"/>
      <c r="N84" s="178"/>
      <c r="O84" s="178"/>
      <c r="P84" s="178"/>
    </row>
    <row r="85" spans="1:16" x14ac:dyDescent="0.25">
      <c r="A85" s="8">
        <f t="shared" si="6"/>
        <v>78</v>
      </c>
      <c r="B85" s="176"/>
      <c r="C85" s="176"/>
      <c r="D85" s="177"/>
      <c r="E85" s="181"/>
      <c r="F85" s="181"/>
      <c r="G85" s="181"/>
      <c r="H85" s="181"/>
      <c r="I85" s="178"/>
      <c r="J85" s="181"/>
      <c r="K85" s="178"/>
      <c r="L85" s="179"/>
      <c r="M85" s="178"/>
      <c r="N85" s="178"/>
      <c r="O85" s="178"/>
      <c r="P85" s="178"/>
    </row>
    <row r="86" spans="1:16" x14ac:dyDescent="0.25">
      <c r="A86" s="8">
        <f t="shared" si="6"/>
        <v>79</v>
      </c>
      <c r="B86" s="176"/>
      <c r="C86" s="176"/>
      <c r="D86" s="177"/>
      <c r="E86" s="181"/>
      <c r="F86" s="181"/>
      <c r="G86" s="181"/>
      <c r="H86" s="181"/>
      <c r="I86" s="178"/>
      <c r="J86" s="181"/>
      <c r="K86" s="178"/>
      <c r="L86" s="179"/>
      <c r="M86" s="178"/>
      <c r="N86" s="178"/>
      <c r="O86" s="178"/>
      <c r="P86" s="178"/>
    </row>
    <row r="87" spans="1:16" x14ac:dyDescent="0.25">
      <c r="A87" s="8">
        <f t="shared" si="6"/>
        <v>80</v>
      </c>
      <c r="B87" s="176"/>
      <c r="C87" s="176"/>
      <c r="D87" s="177"/>
      <c r="E87" s="181"/>
      <c r="F87" s="181"/>
      <c r="G87" s="181"/>
      <c r="H87" s="181"/>
      <c r="I87" s="178"/>
      <c r="J87" s="181"/>
      <c r="K87" s="178"/>
      <c r="L87" s="179"/>
      <c r="M87" s="178"/>
      <c r="N87" s="178"/>
      <c r="O87" s="178"/>
      <c r="P87" s="178"/>
    </row>
    <row r="88" spans="1:16" x14ac:dyDescent="0.25">
      <c r="A88" s="8">
        <f t="shared" si="6"/>
        <v>81</v>
      </c>
      <c r="B88" s="176"/>
      <c r="C88" s="176"/>
      <c r="D88" s="177"/>
      <c r="E88" s="181"/>
      <c r="F88" s="181"/>
      <c r="G88" s="181"/>
      <c r="H88" s="181"/>
      <c r="I88" s="178"/>
      <c r="J88" s="181"/>
      <c r="K88" s="178"/>
      <c r="L88" s="179"/>
      <c r="M88" s="178"/>
      <c r="N88" s="178"/>
      <c r="O88" s="178"/>
      <c r="P88" s="178"/>
    </row>
    <row r="89" spans="1:16" x14ac:dyDescent="0.25">
      <c r="A89" s="8">
        <f t="shared" si="6"/>
        <v>82</v>
      </c>
      <c r="B89" s="176"/>
      <c r="C89" s="176"/>
      <c r="D89" s="177"/>
      <c r="E89" s="181"/>
      <c r="F89" s="181"/>
      <c r="G89" s="181"/>
      <c r="H89" s="181"/>
      <c r="I89" s="178"/>
      <c r="J89" s="181"/>
      <c r="K89" s="178"/>
      <c r="L89" s="179"/>
      <c r="M89" s="178"/>
      <c r="N89" s="178"/>
      <c r="O89" s="178"/>
      <c r="P89" s="178"/>
    </row>
    <row r="90" spans="1:16" x14ac:dyDescent="0.25">
      <c r="A90" s="8">
        <f t="shared" si="6"/>
        <v>83</v>
      </c>
      <c r="B90" s="176"/>
      <c r="C90" s="176"/>
      <c r="D90" s="177"/>
      <c r="E90" s="181"/>
      <c r="F90" s="181"/>
      <c r="G90" s="181"/>
      <c r="H90" s="181"/>
      <c r="I90" s="178"/>
      <c r="J90" s="181"/>
      <c r="K90" s="178"/>
      <c r="L90" s="179"/>
      <c r="M90" s="178"/>
      <c r="N90" s="178"/>
      <c r="O90" s="178"/>
      <c r="P90" s="178"/>
    </row>
    <row r="91" spans="1:16" x14ac:dyDescent="0.25">
      <c r="A91" s="8">
        <f t="shared" si="6"/>
        <v>84</v>
      </c>
      <c r="B91" s="176"/>
      <c r="C91" s="176"/>
      <c r="D91" s="177"/>
      <c r="E91" s="181"/>
      <c r="F91" s="181"/>
      <c r="G91" s="181"/>
      <c r="H91" s="181"/>
      <c r="I91" s="178"/>
      <c r="J91" s="181"/>
      <c r="K91" s="178"/>
      <c r="L91" s="179"/>
      <c r="M91" s="178"/>
      <c r="N91" s="178"/>
      <c r="O91" s="178"/>
      <c r="P91" s="178"/>
    </row>
    <row r="92" spans="1:16" x14ac:dyDescent="0.25">
      <c r="A92" s="8">
        <f t="shared" si="6"/>
        <v>85</v>
      </c>
      <c r="B92" s="176"/>
      <c r="C92" s="176"/>
      <c r="D92" s="177"/>
      <c r="E92" s="181"/>
      <c r="F92" s="181"/>
      <c r="G92" s="181"/>
      <c r="H92" s="181"/>
      <c r="I92" s="178"/>
      <c r="J92" s="181"/>
      <c r="K92" s="178"/>
      <c r="L92" s="179"/>
      <c r="M92" s="178"/>
      <c r="N92" s="178"/>
      <c r="O92" s="178"/>
      <c r="P92" s="178"/>
    </row>
    <row r="93" spans="1:16" x14ac:dyDescent="0.25">
      <c r="A93" s="8">
        <f t="shared" si="6"/>
        <v>86</v>
      </c>
      <c r="B93" s="176"/>
      <c r="C93" s="176"/>
      <c r="D93" s="177"/>
      <c r="E93" s="181"/>
      <c r="F93" s="181"/>
      <c r="G93" s="181"/>
      <c r="H93" s="181"/>
      <c r="I93" s="178"/>
      <c r="J93" s="181"/>
      <c r="K93" s="178"/>
      <c r="L93" s="179"/>
      <c r="M93" s="178"/>
      <c r="N93" s="178"/>
      <c r="O93" s="178"/>
      <c r="P93" s="178"/>
    </row>
    <row r="94" spans="1:16" x14ac:dyDescent="0.25">
      <c r="A94" s="8">
        <f t="shared" si="6"/>
        <v>87</v>
      </c>
      <c r="B94" s="176"/>
      <c r="C94" s="176"/>
      <c r="D94" s="177"/>
      <c r="E94" s="181"/>
      <c r="F94" s="181"/>
      <c r="G94" s="181"/>
      <c r="H94" s="181"/>
      <c r="I94" s="178"/>
      <c r="J94" s="181"/>
      <c r="K94" s="178"/>
      <c r="L94" s="179"/>
      <c r="M94" s="178"/>
      <c r="N94" s="178"/>
      <c r="O94" s="178"/>
      <c r="P94" s="178"/>
    </row>
    <row r="95" spans="1:16" x14ac:dyDescent="0.25">
      <c r="A95" s="8">
        <f t="shared" si="6"/>
        <v>88</v>
      </c>
      <c r="B95" s="176"/>
      <c r="C95" s="176"/>
      <c r="D95" s="177"/>
      <c r="E95" s="181"/>
      <c r="F95" s="181"/>
      <c r="G95" s="181"/>
      <c r="H95" s="181"/>
      <c r="I95" s="178"/>
      <c r="J95" s="181"/>
      <c r="K95" s="178"/>
      <c r="L95" s="179"/>
      <c r="M95" s="178"/>
      <c r="N95" s="178"/>
      <c r="O95" s="178"/>
      <c r="P95" s="178"/>
    </row>
    <row r="96" spans="1:16" x14ac:dyDescent="0.25">
      <c r="A96" s="8">
        <f t="shared" si="6"/>
        <v>89</v>
      </c>
      <c r="B96" s="176"/>
      <c r="C96" s="176"/>
      <c r="D96" s="177"/>
      <c r="E96" s="181"/>
      <c r="F96" s="181"/>
      <c r="G96" s="181"/>
      <c r="H96" s="181"/>
      <c r="I96" s="178"/>
      <c r="J96" s="181"/>
      <c r="K96" s="178"/>
      <c r="L96" s="179"/>
      <c r="M96" s="178"/>
      <c r="N96" s="178"/>
      <c r="O96" s="178"/>
      <c r="P96" s="178"/>
    </row>
    <row r="97" spans="1:16" x14ac:dyDescent="0.25">
      <c r="A97" s="8">
        <f t="shared" si="6"/>
        <v>90</v>
      </c>
      <c r="B97" s="176"/>
      <c r="C97" s="176"/>
      <c r="D97" s="177"/>
      <c r="E97" s="181"/>
      <c r="F97" s="181"/>
      <c r="G97" s="181"/>
      <c r="H97" s="181"/>
      <c r="I97" s="178"/>
      <c r="J97" s="181"/>
      <c r="K97" s="178"/>
      <c r="L97" s="179"/>
      <c r="M97" s="178"/>
      <c r="N97" s="178"/>
      <c r="O97" s="178"/>
      <c r="P97" s="178"/>
    </row>
    <row r="98" spans="1:16" x14ac:dyDescent="0.25">
      <c r="A98" s="8">
        <f t="shared" si="6"/>
        <v>91</v>
      </c>
      <c r="B98" s="176"/>
      <c r="C98" s="176"/>
      <c r="D98" s="177"/>
      <c r="E98" s="181"/>
      <c r="F98" s="181"/>
      <c r="G98" s="181"/>
      <c r="H98" s="181"/>
      <c r="I98" s="178"/>
      <c r="J98" s="181"/>
      <c r="K98" s="178"/>
      <c r="L98" s="179"/>
      <c r="M98" s="178"/>
      <c r="N98" s="178"/>
      <c r="O98" s="178"/>
      <c r="P98" s="178"/>
    </row>
    <row r="99" spans="1:16" x14ac:dyDescent="0.25">
      <c r="A99" s="8">
        <f t="shared" si="6"/>
        <v>92</v>
      </c>
      <c r="B99" s="176"/>
      <c r="C99" s="176"/>
      <c r="D99" s="177"/>
      <c r="E99" s="181"/>
      <c r="F99" s="181"/>
      <c r="G99" s="181"/>
      <c r="H99" s="181"/>
      <c r="I99" s="178"/>
      <c r="J99" s="181"/>
      <c r="K99" s="178"/>
      <c r="L99" s="179"/>
      <c r="M99" s="178"/>
      <c r="N99" s="178"/>
      <c r="O99" s="178"/>
      <c r="P99" s="178"/>
    </row>
    <row r="100" spans="1:16" x14ac:dyDescent="0.25">
      <c r="A100" s="8">
        <f t="shared" si="6"/>
        <v>93</v>
      </c>
      <c r="B100" s="176"/>
      <c r="C100" s="176"/>
      <c r="D100" s="177"/>
      <c r="E100" s="181"/>
      <c r="F100" s="181"/>
      <c r="G100" s="181"/>
      <c r="H100" s="181"/>
      <c r="I100" s="178"/>
      <c r="J100" s="181"/>
      <c r="K100" s="178"/>
      <c r="L100" s="179"/>
      <c r="M100" s="178"/>
      <c r="N100" s="178"/>
      <c r="O100" s="178"/>
      <c r="P100" s="178"/>
    </row>
    <row r="101" spans="1:16" x14ac:dyDescent="0.25">
      <c r="A101" s="8">
        <f t="shared" si="6"/>
        <v>94</v>
      </c>
      <c r="B101" s="176"/>
      <c r="C101" s="176"/>
      <c r="D101" s="177"/>
      <c r="E101" s="181"/>
      <c r="F101" s="181"/>
      <c r="G101" s="181"/>
      <c r="H101" s="181"/>
      <c r="I101" s="178"/>
      <c r="J101" s="181"/>
      <c r="K101" s="178"/>
      <c r="L101" s="179"/>
      <c r="M101" s="178"/>
      <c r="N101" s="178"/>
      <c r="O101" s="178"/>
      <c r="P101" s="178"/>
    </row>
    <row r="102" spans="1:16" x14ac:dyDescent="0.25">
      <c r="A102" s="8">
        <f t="shared" si="6"/>
        <v>95</v>
      </c>
      <c r="B102" s="176"/>
      <c r="C102" s="176"/>
      <c r="D102" s="177"/>
      <c r="E102" s="181"/>
      <c r="F102" s="181"/>
      <c r="G102" s="181"/>
      <c r="H102" s="181"/>
      <c r="I102" s="178"/>
      <c r="J102" s="181"/>
      <c r="K102" s="178"/>
      <c r="L102" s="179"/>
      <c r="M102" s="178"/>
      <c r="N102" s="178"/>
      <c r="O102" s="178"/>
      <c r="P102" s="178"/>
    </row>
    <row r="103" spans="1:16" x14ac:dyDescent="0.25">
      <c r="A103" s="8">
        <f t="shared" si="6"/>
        <v>96</v>
      </c>
      <c r="B103" s="176"/>
      <c r="C103" s="176"/>
      <c r="D103" s="177"/>
      <c r="E103" s="181"/>
      <c r="F103" s="181"/>
      <c r="G103" s="181"/>
      <c r="H103" s="181"/>
      <c r="I103" s="178"/>
      <c r="J103" s="181"/>
      <c r="K103" s="178"/>
      <c r="L103" s="179"/>
      <c r="M103" s="178"/>
      <c r="N103" s="178"/>
      <c r="O103" s="178"/>
      <c r="P103" s="178"/>
    </row>
    <row r="104" spans="1:16" x14ac:dyDescent="0.25">
      <c r="A104" s="8">
        <f t="shared" si="6"/>
        <v>97</v>
      </c>
      <c r="B104" s="176"/>
      <c r="C104" s="176"/>
      <c r="D104" s="177"/>
      <c r="E104" s="181"/>
      <c r="F104" s="181"/>
      <c r="G104" s="181"/>
      <c r="H104" s="181"/>
      <c r="I104" s="178"/>
      <c r="J104" s="181"/>
      <c r="K104" s="178"/>
      <c r="L104" s="179"/>
      <c r="M104" s="178"/>
      <c r="N104" s="178"/>
      <c r="O104" s="178"/>
      <c r="P104" s="178"/>
    </row>
    <row r="105" spans="1:16" x14ac:dyDescent="0.25">
      <c r="A105" s="8">
        <f t="shared" si="6"/>
        <v>98</v>
      </c>
      <c r="B105" s="176"/>
      <c r="C105" s="176"/>
      <c r="D105" s="177"/>
      <c r="E105" s="181"/>
      <c r="F105" s="181"/>
      <c r="G105" s="181"/>
      <c r="H105" s="181"/>
      <c r="I105" s="178"/>
      <c r="J105" s="181"/>
      <c r="K105" s="178"/>
      <c r="L105" s="179"/>
      <c r="M105" s="178"/>
      <c r="N105" s="178"/>
      <c r="O105" s="178"/>
      <c r="P105" s="178"/>
    </row>
    <row r="106" spans="1:16" x14ac:dyDescent="0.25">
      <c r="A106" s="8">
        <f t="shared" si="6"/>
        <v>99</v>
      </c>
      <c r="B106" s="176"/>
      <c r="C106" s="176"/>
      <c r="D106" s="177"/>
      <c r="E106" s="181"/>
      <c r="F106" s="181"/>
      <c r="G106" s="181"/>
      <c r="H106" s="181"/>
      <c r="I106" s="178"/>
      <c r="J106" s="181"/>
      <c r="K106" s="178"/>
      <c r="L106" s="179"/>
      <c r="M106" s="178"/>
      <c r="N106" s="178"/>
      <c r="O106" s="178"/>
      <c r="P106" s="178"/>
    </row>
    <row r="107" spans="1:16" x14ac:dyDescent="0.25">
      <c r="A107" s="8">
        <f t="shared" si="6"/>
        <v>100</v>
      </c>
      <c r="B107" s="176"/>
      <c r="C107" s="176"/>
      <c r="D107" s="177"/>
      <c r="E107" s="181"/>
      <c r="F107" s="181"/>
      <c r="G107" s="181"/>
      <c r="H107" s="181"/>
      <c r="I107" s="178"/>
      <c r="J107" s="181"/>
      <c r="K107" s="178"/>
      <c r="L107" s="179"/>
      <c r="M107" s="178"/>
      <c r="N107" s="178"/>
      <c r="O107" s="178"/>
      <c r="P107" s="178"/>
    </row>
    <row r="108" spans="1:16" x14ac:dyDescent="0.25">
      <c r="A108" s="8">
        <f t="shared" si="6"/>
        <v>101</v>
      </c>
      <c r="B108" s="176"/>
      <c r="C108" s="176"/>
      <c r="D108" s="177"/>
      <c r="E108" s="181"/>
      <c r="F108" s="181"/>
      <c r="G108" s="181"/>
      <c r="H108" s="181"/>
      <c r="I108" s="178"/>
      <c r="J108" s="181"/>
      <c r="K108" s="178"/>
      <c r="L108" s="179"/>
      <c r="M108" s="178"/>
      <c r="N108" s="178"/>
      <c r="O108" s="178"/>
      <c r="P108" s="178"/>
    </row>
    <row r="109" spans="1:16" x14ac:dyDescent="0.25">
      <c r="A109" s="8">
        <f t="shared" si="6"/>
        <v>102</v>
      </c>
      <c r="B109" s="176"/>
      <c r="C109" s="176"/>
      <c r="D109" s="177"/>
      <c r="E109" s="181"/>
      <c r="F109" s="181"/>
      <c r="G109" s="181"/>
      <c r="H109" s="181"/>
      <c r="I109" s="178"/>
      <c r="J109" s="181"/>
      <c r="K109" s="178"/>
      <c r="L109" s="179"/>
      <c r="M109" s="178"/>
      <c r="N109" s="178"/>
      <c r="O109" s="178"/>
      <c r="P109" s="178"/>
    </row>
    <row r="110" spans="1:16" x14ac:dyDescent="0.25">
      <c r="A110" s="8">
        <f t="shared" si="6"/>
        <v>103</v>
      </c>
      <c r="B110" s="176"/>
      <c r="C110" s="176"/>
      <c r="D110" s="177"/>
      <c r="E110" s="181"/>
      <c r="F110" s="181"/>
      <c r="G110" s="181"/>
      <c r="H110" s="181"/>
      <c r="I110" s="178"/>
      <c r="J110" s="181"/>
      <c r="K110" s="178"/>
      <c r="L110" s="179"/>
      <c r="M110" s="178"/>
      <c r="N110" s="178"/>
      <c r="O110" s="178"/>
      <c r="P110" s="178"/>
    </row>
    <row r="111" spans="1:16" x14ac:dyDescent="0.25">
      <c r="A111" s="8">
        <f t="shared" si="6"/>
        <v>104</v>
      </c>
      <c r="B111" s="176"/>
      <c r="C111" s="176"/>
      <c r="D111" s="177"/>
      <c r="E111" s="181"/>
      <c r="F111" s="181"/>
      <c r="G111" s="181"/>
      <c r="H111" s="181"/>
      <c r="I111" s="178"/>
      <c r="J111" s="181"/>
      <c r="K111" s="178"/>
      <c r="L111" s="179"/>
      <c r="M111" s="178"/>
      <c r="N111" s="178"/>
      <c r="O111" s="178"/>
      <c r="P111" s="178"/>
    </row>
    <row r="112" spans="1:16" x14ac:dyDescent="0.25">
      <c r="A112" s="8">
        <f t="shared" si="6"/>
        <v>105</v>
      </c>
      <c r="B112" s="176"/>
      <c r="C112" s="176"/>
      <c r="D112" s="177"/>
      <c r="E112" s="181"/>
      <c r="F112" s="181"/>
      <c r="G112" s="181"/>
      <c r="H112" s="181"/>
      <c r="I112" s="178"/>
      <c r="J112" s="181"/>
      <c r="K112" s="178"/>
      <c r="L112" s="179"/>
      <c r="M112" s="178"/>
      <c r="N112" s="178"/>
      <c r="O112" s="178"/>
      <c r="P112" s="178"/>
    </row>
    <row r="113" spans="1:16" x14ac:dyDescent="0.25">
      <c r="A113" s="8">
        <f t="shared" si="6"/>
        <v>106</v>
      </c>
      <c r="B113" s="176"/>
      <c r="C113" s="176"/>
      <c r="D113" s="177"/>
      <c r="E113" s="181"/>
      <c r="F113" s="181"/>
      <c r="G113" s="181"/>
      <c r="H113" s="181"/>
      <c r="I113" s="178"/>
      <c r="J113" s="181"/>
      <c r="K113" s="178"/>
      <c r="L113" s="179"/>
      <c r="M113" s="178"/>
      <c r="N113" s="178"/>
      <c r="O113" s="178"/>
      <c r="P113" s="178"/>
    </row>
    <row r="114" spans="1:16" x14ac:dyDescent="0.25">
      <c r="A114" s="8">
        <f t="shared" si="6"/>
        <v>107</v>
      </c>
      <c r="B114" s="176"/>
      <c r="C114" s="176"/>
      <c r="D114" s="177"/>
      <c r="E114" s="181"/>
      <c r="F114" s="181"/>
      <c r="G114" s="181"/>
      <c r="H114" s="181"/>
      <c r="I114" s="178"/>
      <c r="J114" s="181"/>
      <c r="K114" s="178"/>
      <c r="L114" s="179"/>
      <c r="M114" s="178"/>
      <c r="N114" s="178"/>
      <c r="O114" s="178"/>
      <c r="P114" s="178"/>
    </row>
    <row r="115" spans="1:16" x14ac:dyDescent="0.25">
      <c r="A115" s="8">
        <f t="shared" si="6"/>
        <v>108</v>
      </c>
      <c r="B115" s="176"/>
      <c r="C115" s="176"/>
      <c r="D115" s="177"/>
      <c r="E115" s="181"/>
      <c r="F115" s="181"/>
      <c r="G115" s="181"/>
      <c r="H115" s="181"/>
      <c r="I115" s="178"/>
      <c r="J115" s="181"/>
      <c r="K115" s="178"/>
      <c r="L115" s="179"/>
      <c r="M115" s="178"/>
      <c r="N115" s="178"/>
      <c r="O115" s="178"/>
      <c r="P115" s="178"/>
    </row>
    <row r="116" spans="1:16" x14ac:dyDescent="0.25">
      <c r="A116" s="8">
        <f t="shared" si="6"/>
        <v>109</v>
      </c>
      <c r="B116" s="176"/>
      <c r="C116" s="176"/>
      <c r="D116" s="177"/>
      <c r="E116" s="181"/>
      <c r="F116" s="181"/>
      <c r="G116" s="181"/>
      <c r="H116" s="181"/>
      <c r="I116" s="178"/>
      <c r="J116" s="181"/>
      <c r="K116" s="178"/>
      <c r="L116" s="179"/>
      <c r="M116" s="178"/>
      <c r="N116" s="178"/>
      <c r="O116" s="178"/>
      <c r="P116" s="178"/>
    </row>
    <row r="117" spans="1:16" x14ac:dyDescent="0.25">
      <c r="A117" s="8">
        <f t="shared" si="6"/>
        <v>110</v>
      </c>
      <c r="B117" s="176"/>
      <c r="C117" s="176"/>
      <c r="D117" s="177"/>
      <c r="E117" s="181"/>
      <c r="F117" s="181"/>
      <c r="G117" s="181"/>
      <c r="H117" s="181"/>
      <c r="I117" s="178"/>
      <c r="J117" s="181"/>
      <c r="K117" s="178"/>
      <c r="L117" s="179"/>
      <c r="M117" s="178"/>
      <c r="N117" s="178"/>
      <c r="O117" s="178"/>
      <c r="P117" s="178"/>
    </row>
    <row r="118" spans="1:16" x14ac:dyDescent="0.25">
      <c r="A118" s="8">
        <f t="shared" si="6"/>
        <v>111</v>
      </c>
      <c r="B118" s="176"/>
      <c r="C118" s="176"/>
      <c r="D118" s="177"/>
      <c r="E118" s="181"/>
      <c r="F118" s="181"/>
      <c r="G118" s="181"/>
      <c r="H118" s="181"/>
      <c r="I118" s="178"/>
      <c r="J118" s="181"/>
      <c r="K118" s="178"/>
      <c r="L118" s="179"/>
      <c r="M118" s="178"/>
      <c r="N118" s="178"/>
      <c r="O118" s="178"/>
      <c r="P118" s="178"/>
    </row>
    <row r="119" spans="1:16" x14ac:dyDescent="0.25">
      <c r="A119" s="8">
        <f t="shared" si="6"/>
        <v>112</v>
      </c>
      <c r="B119" s="176"/>
      <c r="C119" s="176"/>
      <c r="D119" s="177"/>
      <c r="E119" s="181"/>
      <c r="F119" s="181"/>
      <c r="G119" s="181"/>
      <c r="H119" s="181"/>
      <c r="I119" s="178"/>
      <c r="J119" s="181"/>
      <c r="K119" s="178"/>
      <c r="L119" s="179"/>
      <c r="M119" s="178"/>
      <c r="N119" s="178"/>
      <c r="O119" s="178"/>
      <c r="P119" s="178"/>
    </row>
    <row r="120" spans="1:16" x14ac:dyDescent="0.25">
      <c r="A120" s="8">
        <f t="shared" si="6"/>
        <v>113</v>
      </c>
      <c r="B120" s="176"/>
      <c r="C120" s="176"/>
      <c r="D120" s="177"/>
      <c r="E120" s="181"/>
      <c r="F120" s="181"/>
      <c r="G120" s="181"/>
      <c r="H120" s="181"/>
      <c r="I120" s="178"/>
      <c r="J120" s="181"/>
      <c r="K120" s="178"/>
      <c r="L120" s="179"/>
      <c r="M120" s="178"/>
      <c r="N120" s="178"/>
      <c r="O120" s="178"/>
      <c r="P120" s="178"/>
    </row>
    <row r="121" spans="1:16" x14ac:dyDescent="0.25">
      <c r="A121" s="8">
        <f t="shared" si="6"/>
        <v>114</v>
      </c>
      <c r="B121" s="176"/>
      <c r="C121" s="176"/>
      <c r="D121" s="177"/>
      <c r="E121" s="181"/>
      <c r="F121" s="181"/>
      <c r="G121" s="181"/>
      <c r="H121" s="181"/>
      <c r="I121" s="178"/>
      <c r="J121" s="181"/>
      <c r="K121" s="178"/>
      <c r="L121" s="179"/>
      <c r="M121" s="178"/>
      <c r="N121" s="178"/>
      <c r="O121" s="178"/>
      <c r="P121" s="178"/>
    </row>
    <row r="122" spans="1:16" x14ac:dyDescent="0.25">
      <c r="A122" s="8">
        <f t="shared" si="6"/>
        <v>115</v>
      </c>
      <c r="B122" s="176"/>
      <c r="C122" s="176"/>
      <c r="D122" s="177"/>
      <c r="E122" s="181"/>
      <c r="F122" s="181"/>
      <c r="G122" s="181"/>
      <c r="H122" s="181"/>
      <c r="I122" s="178"/>
      <c r="J122" s="181"/>
      <c r="K122" s="178"/>
      <c r="L122" s="179"/>
      <c r="M122" s="178"/>
      <c r="N122" s="178"/>
      <c r="O122" s="178"/>
      <c r="P122" s="178"/>
    </row>
    <row r="123" spans="1:16" x14ac:dyDescent="0.25">
      <c r="A123" s="8">
        <f t="shared" si="6"/>
        <v>116</v>
      </c>
      <c r="B123" s="176"/>
      <c r="C123" s="176"/>
      <c r="D123" s="177"/>
      <c r="E123" s="181"/>
      <c r="F123" s="181"/>
      <c r="G123" s="181"/>
      <c r="H123" s="181"/>
      <c r="I123" s="178"/>
      <c r="J123" s="181"/>
      <c r="K123" s="178"/>
      <c r="L123" s="179"/>
      <c r="M123" s="178"/>
      <c r="N123" s="178"/>
      <c r="O123" s="178"/>
      <c r="P123" s="178"/>
    </row>
    <row r="124" spans="1:16" x14ac:dyDescent="0.25">
      <c r="A124" s="8">
        <f t="shared" si="6"/>
        <v>117</v>
      </c>
      <c r="B124" s="176"/>
      <c r="C124" s="176"/>
      <c r="D124" s="177"/>
      <c r="E124" s="181"/>
      <c r="F124" s="181"/>
      <c r="G124" s="181"/>
      <c r="H124" s="181"/>
      <c r="I124" s="178"/>
      <c r="J124" s="181"/>
      <c r="K124" s="178"/>
      <c r="L124" s="179"/>
      <c r="M124" s="178"/>
      <c r="N124" s="178"/>
      <c r="O124" s="178"/>
      <c r="P124" s="178"/>
    </row>
    <row r="125" spans="1:16" x14ac:dyDescent="0.25">
      <c r="A125" s="8">
        <f t="shared" si="6"/>
        <v>118</v>
      </c>
      <c r="B125" s="176"/>
      <c r="C125" s="176"/>
      <c r="D125" s="177"/>
      <c r="E125" s="181"/>
      <c r="F125" s="181"/>
      <c r="G125" s="181"/>
      <c r="H125" s="181"/>
      <c r="I125" s="178"/>
      <c r="J125" s="181"/>
      <c r="K125" s="178"/>
      <c r="L125" s="179"/>
      <c r="M125" s="178"/>
      <c r="N125" s="178"/>
      <c r="O125" s="178"/>
      <c r="P125" s="178"/>
    </row>
    <row r="126" spans="1:16" x14ac:dyDescent="0.25">
      <c r="A126" s="8">
        <f t="shared" si="6"/>
        <v>119</v>
      </c>
      <c r="B126" s="176"/>
      <c r="C126" s="176"/>
      <c r="D126" s="177"/>
      <c r="E126" s="181"/>
      <c r="F126" s="181"/>
      <c r="G126" s="181"/>
      <c r="H126" s="181"/>
      <c r="I126" s="178"/>
      <c r="J126" s="181"/>
      <c r="K126" s="178"/>
      <c r="L126" s="179"/>
      <c r="M126" s="178"/>
      <c r="N126" s="178"/>
      <c r="O126" s="178"/>
      <c r="P126" s="178"/>
    </row>
    <row r="127" spans="1:16" x14ac:dyDescent="0.25">
      <c r="A127" s="8">
        <f t="shared" si="6"/>
        <v>120</v>
      </c>
      <c r="B127" s="176"/>
      <c r="C127" s="176"/>
      <c r="D127" s="177"/>
      <c r="E127" s="181"/>
      <c r="F127" s="181"/>
      <c r="G127" s="181"/>
      <c r="H127" s="181"/>
      <c r="I127" s="178"/>
      <c r="J127" s="181"/>
      <c r="K127" s="178"/>
      <c r="L127" s="179"/>
      <c r="M127" s="178"/>
      <c r="N127" s="178"/>
      <c r="O127" s="178"/>
      <c r="P127" s="178"/>
    </row>
    <row r="128" spans="1:16" x14ac:dyDescent="0.25">
      <c r="A128" s="8">
        <f t="shared" si="6"/>
        <v>121</v>
      </c>
      <c r="B128" s="176"/>
      <c r="C128" s="176"/>
      <c r="D128" s="177"/>
      <c r="E128" s="181"/>
      <c r="F128" s="181"/>
      <c r="G128" s="181"/>
      <c r="H128" s="181"/>
      <c r="I128" s="178"/>
      <c r="J128" s="181"/>
      <c r="K128" s="178"/>
      <c r="L128" s="179"/>
      <c r="M128" s="178"/>
      <c r="N128" s="178"/>
      <c r="O128" s="178"/>
      <c r="P128" s="178"/>
    </row>
    <row r="129" spans="1:16" x14ac:dyDescent="0.25">
      <c r="A129" s="8">
        <f t="shared" si="6"/>
        <v>122</v>
      </c>
      <c r="B129" s="176"/>
      <c r="C129" s="176"/>
      <c r="D129" s="177"/>
      <c r="E129" s="181"/>
      <c r="F129" s="181"/>
      <c r="G129" s="181"/>
      <c r="H129" s="181"/>
      <c r="I129" s="178"/>
      <c r="J129" s="181"/>
      <c r="K129" s="178"/>
      <c r="L129" s="179"/>
      <c r="M129" s="178"/>
      <c r="N129" s="178"/>
      <c r="O129" s="178"/>
      <c r="P129" s="178"/>
    </row>
    <row r="130" spans="1:16" x14ac:dyDescent="0.25">
      <c r="A130" s="8">
        <f t="shared" si="6"/>
        <v>123</v>
      </c>
      <c r="B130" s="176"/>
      <c r="C130" s="176"/>
      <c r="D130" s="177"/>
      <c r="E130" s="181"/>
      <c r="F130" s="181"/>
      <c r="G130" s="181"/>
      <c r="H130" s="181"/>
      <c r="I130" s="178"/>
      <c r="J130" s="181"/>
      <c r="K130" s="178"/>
      <c r="L130" s="179"/>
      <c r="M130" s="178"/>
      <c r="N130" s="178"/>
      <c r="O130" s="178"/>
      <c r="P130" s="178"/>
    </row>
    <row r="131" spans="1:16" x14ac:dyDescent="0.25">
      <c r="A131" s="8">
        <f t="shared" si="6"/>
        <v>124</v>
      </c>
      <c r="B131" s="176"/>
      <c r="C131" s="176"/>
      <c r="D131" s="177"/>
      <c r="E131" s="181"/>
      <c r="F131" s="181"/>
      <c r="G131" s="181"/>
      <c r="H131" s="181"/>
      <c r="I131" s="178"/>
      <c r="J131" s="181"/>
      <c r="K131" s="178"/>
      <c r="L131" s="179"/>
      <c r="M131" s="178"/>
      <c r="N131" s="178"/>
      <c r="O131" s="178"/>
      <c r="P131" s="178"/>
    </row>
    <row r="132" spans="1:16" x14ac:dyDescent="0.25">
      <c r="A132" s="8">
        <f t="shared" si="6"/>
        <v>125</v>
      </c>
      <c r="B132" s="176"/>
      <c r="C132" s="176"/>
      <c r="D132" s="177"/>
      <c r="E132" s="181"/>
      <c r="F132" s="181"/>
      <c r="G132" s="181"/>
      <c r="H132" s="181"/>
      <c r="I132" s="178"/>
      <c r="J132" s="181"/>
      <c r="K132" s="178"/>
      <c r="L132" s="179"/>
      <c r="M132" s="178"/>
      <c r="N132" s="178"/>
      <c r="O132" s="178"/>
      <c r="P132" s="178"/>
    </row>
    <row r="133" spans="1:16" x14ac:dyDescent="0.25">
      <c r="A133" s="8">
        <f t="shared" si="6"/>
        <v>126</v>
      </c>
      <c r="B133" s="176"/>
      <c r="C133" s="176"/>
      <c r="D133" s="177"/>
      <c r="E133" s="181"/>
      <c r="F133" s="181"/>
      <c r="G133" s="181"/>
      <c r="H133" s="181"/>
      <c r="I133" s="178"/>
      <c r="J133" s="181"/>
      <c r="K133" s="178"/>
      <c r="L133" s="179"/>
      <c r="M133" s="178"/>
      <c r="N133" s="178"/>
      <c r="O133" s="178"/>
      <c r="P133" s="178"/>
    </row>
    <row r="134" spans="1:16" x14ac:dyDescent="0.25">
      <c r="A134" s="8">
        <f t="shared" si="6"/>
        <v>127</v>
      </c>
      <c r="B134" s="176"/>
      <c r="C134" s="176"/>
      <c r="D134" s="177"/>
      <c r="E134" s="181"/>
      <c r="F134" s="181"/>
      <c r="G134" s="181"/>
      <c r="H134" s="181"/>
      <c r="I134" s="178"/>
      <c r="J134" s="181"/>
      <c r="K134" s="178"/>
      <c r="L134" s="179"/>
      <c r="M134" s="178"/>
      <c r="N134" s="178"/>
      <c r="O134" s="178"/>
      <c r="P134" s="178"/>
    </row>
    <row r="135" spans="1:16" x14ac:dyDescent="0.25">
      <c r="A135" s="8">
        <f t="shared" si="6"/>
        <v>128</v>
      </c>
      <c r="B135" s="176"/>
      <c r="C135" s="176"/>
      <c r="D135" s="177"/>
      <c r="E135" s="181"/>
      <c r="F135" s="181"/>
      <c r="G135" s="181"/>
      <c r="H135" s="181"/>
      <c r="I135" s="178"/>
      <c r="J135" s="181"/>
      <c r="K135" s="178"/>
      <c r="L135" s="179"/>
      <c r="M135" s="178"/>
      <c r="N135" s="178"/>
      <c r="O135" s="178"/>
      <c r="P135" s="178"/>
    </row>
    <row r="136" spans="1:16" x14ac:dyDescent="0.25">
      <c r="A136" s="8">
        <f t="shared" si="6"/>
        <v>129</v>
      </c>
      <c r="B136" s="176"/>
      <c r="C136" s="176"/>
      <c r="D136" s="177"/>
      <c r="E136" s="181"/>
      <c r="F136" s="181"/>
      <c r="G136" s="181"/>
      <c r="H136" s="181"/>
      <c r="I136" s="178"/>
      <c r="J136" s="181"/>
      <c r="K136" s="178"/>
      <c r="L136" s="179"/>
      <c r="M136" s="178"/>
      <c r="N136" s="178"/>
      <c r="O136" s="178"/>
      <c r="P136" s="178"/>
    </row>
    <row r="137" spans="1:16" x14ac:dyDescent="0.25">
      <c r="A137" s="8">
        <f t="shared" si="6"/>
        <v>130</v>
      </c>
      <c r="B137" s="176"/>
      <c r="C137" s="176"/>
      <c r="D137" s="177"/>
      <c r="E137" s="181"/>
      <c r="F137" s="181"/>
      <c r="G137" s="181"/>
      <c r="H137" s="181"/>
      <c r="I137" s="178"/>
      <c r="J137" s="181"/>
      <c r="K137" s="178"/>
      <c r="L137" s="179"/>
      <c r="M137" s="178"/>
      <c r="N137" s="178"/>
      <c r="O137" s="178"/>
      <c r="P137" s="178"/>
    </row>
    <row r="138" spans="1:16" x14ac:dyDescent="0.25">
      <c r="A138" s="8">
        <f t="shared" ref="A138:A201" si="7">+A137+1</f>
        <v>131</v>
      </c>
      <c r="B138" s="176"/>
      <c r="C138" s="176"/>
      <c r="D138" s="177"/>
      <c r="E138" s="181"/>
      <c r="F138" s="181"/>
      <c r="G138" s="181"/>
      <c r="H138" s="181"/>
      <c r="I138" s="178"/>
      <c r="J138" s="181"/>
      <c r="K138" s="178"/>
      <c r="L138" s="179"/>
      <c r="M138" s="178"/>
      <c r="N138" s="178"/>
      <c r="O138" s="178"/>
      <c r="P138" s="178"/>
    </row>
    <row r="139" spans="1:16" x14ac:dyDescent="0.25">
      <c r="A139" s="8">
        <f t="shared" si="7"/>
        <v>132</v>
      </c>
      <c r="B139" s="176"/>
      <c r="C139" s="176"/>
      <c r="D139" s="177"/>
      <c r="E139" s="181"/>
      <c r="F139" s="181"/>
      <c r="G139" s="181"/>
      <c r="H139" s="181"/>
      <c r="I139" s="178"/>
      <c r="J139" s="181"/>
      <c r="K139" s="178"/>
      <c r="L139" s="179"/>
      <c r="M139" s="178"/>
      <c r="N139" s="178"/>
      <c r="O139" s="178"/>
      <c r="P139" s="178"/>
    </row>
    <row r="140" spans="1:16" x14ac:dyDescent="0.25">
      <c r="A140" s="8">
        <f t="shared" si="7"/>
        <v>133</v>
      </c>
      <c r="B140" s="176"/>
      <c r="C140" s="176"/>
      <c r="D140" s="177"/>
      <c r="E140" s="181"/>
      <c r="F140" s="181"/>
      <c r="G140" s="181"/>
      <c r="H140" s="181"/>
      <c r="I140" s="178"/>
      <c r="J140" s="181"/>
      <c r="K140" s="178"/>
      <c r="L140" s="179"/>
      <c r="M140" s="178"/>
      <c r="N140" s="178"/>
      <c r="O140" s="178"/>
      <c r="P140" s="178"/>
    </row>
    <row r="141" spans="1:16" x14ac:dyDescent="0.25">
      <c r="A141" s="8">
        <f t="shared" si="7"/>
        <v>134</v>
      </c>
      <c r="B141" s="176"/>
      <c r="C141" s="176"/>
      <c r="D141" s="177"/>
      <c r="E141" s="181"/>
      <c r="F141" s="181"/>
      <c r="G141" s="181"/>
      <c r="H141" s="181"/>
      <c r="I141" s="178"/>
      <c r="J141" s="181"/>
      <c r="K141" s="178"/>
      <c r="L141" s="179"/>
      <c r="M141" s="178"/>
      <c r="N141" s="178"/>
      <c r="O141" s="178"/>
      <c r="P141" s="178"/>
    </row>
    <row r="142" spans="1:16" x14ac:dyDescent="0.25">
      <c r="A142" s="8">
        <f t="shared" si="7"/>
        <v>135</v>
      </c>
      <c r="B142" s="176"/>
      <c r="C142" s="176"/>
      <c r="D142" s="177"/>
      <c r="E142" s="181"/>
      <c r="F142" s="181"/>
      <c r="G142" s="181"/>
      <c r="H142" s="181"/>
      <c r="I142" s="178"/>
      <c r="J142" s="181"/>
      <c r="K142" s="178"/>
      <c r="L142" s="179"/>
      <c r="M142" s="178"/>
      <c r="N142" s="178"/>
      <c r="O142" s="178"/>
      <c r="P142" s="178"/>
    </row>
    <row r="143" spans="1:16" x14ac:dyDescent="0.25">
      <c r="A143" s="8">
        <f t="shared" si="7"/>
        <v>136</v>
      </c>
      <c r="B143" s="176"/>
      <c r="C143" s="176"/>
      <c r="D143" s="177"/>
      <c r="E143" s="181"/>
      <c r="F143" s="181"/>
      <c r="G143" s="181"/>
      <c r="H143" s="181"/>
      <c r="I143" s="178"/>
      <c r="J143" s="181"/>
      <c r="K143" s="178"/>
      <c r="L143" s="179"/>
      <c r="M143" s="178"/>
      <c r="N143" s="178"/>
      <c r="O143" s="178"/>
      <c r="P143" s="178"/>
    </row>
    <row r="144" spans="1:16" x14ac:dyDescent="0.25">
      <c r="A144" s="8">
        <f t="shared" si="7"/>
        <v>137</v>
      </c>
      <c r="B144" s="176"/>
      <c r="C144" s="176"/>
      <c r="D144" s="177"/>
      <c r="E144" s="181"/>
      <c r="F144" s="181"/>
      <c r="G144" s="181"/>
      <c r="H144" s="181"/>
      <c r="I144" s="178"/>
      <c r="J144" s="181"/>
      <c r="K144" s="178"/>
      <c r="L144" s="179"/>
      <c r="M144" s="178"/>
      <c r="N144" s="178"/>
      <c r="O144" s="178"/>
      <c r="P144" s="178"/>
    </row>
    <row r="145" spans="1:16" x14ac:dyDescent="0.25">
      <c r="A145" s="8">
        <f t="shared" si="7"/>
        <v>138</v>
      </c>
      <c r="B145" s="176"/>
      <c r="C145" s="176"/>
      <c r="D145" s="177"/>
      <c r="E145" s="181"/>
      <c r="F145" s="181"/>
      <c r="G145" s="181"/>
      <c r="H145" s="181"/>
      <c r="I145" s="178"/>
      <c r="J145" s="181"/>
      <c r="K145" s="178"/>
      <c r="L145" s="179"/>
      <c r="M145" s="178"/>
      <c r="N145" s="178"/>
      <c r="O145" s="178"/>
      <c r="P145" s="178"/>
    </row>
    <row r="146" spans="1:16" x14ac:dyDescent="0.25">
      <c r="A146" s="8">
        <f t="shared" si="7"/>
        <v>139</v>
      </c>
      <c r="B146" s="176"/>
      <c r="C146" s="176"/>
      <c r="D146" s="177"/>
      <c r="E146" s="181"/>
      <c r="F146" s="181"/>
      <c r="G146" s="181"/>
      <c r="H146" s="181"/>
      <c r="I146" s="178"/>
      <c r="J146" s="181"/>
      <c r="K146" s="178"/>
      <c r="L146" s="179"/>
      <c r="M146" s="178"/>
      <c r="N146" s="178"/>
      <c r="O146" s="178"/>
      <c r="P146" s="178"/>
    </row>
    <row r="147" spans="1:16" x14ac:dyDescent="0.25">
      <c r="A147" s="8">
        <f t="shared" si="7"/>
        <v>140</v>
      </c>
      <c r="B147" s="176"/>
      <c r="C147" s="176"/>
      <c r="D147" s="177"/>
      <c r="E147" s="181"/>
      <c r="F147" s="181"/>
      <c r="G147" s="181"/>
      <c r="H147" s="181"/>
      <c r="I147" s="178"/>
      <c r="J147" s="181"/>
      <c r="K147" s="178"/>
      <c r="L147" s="179"/>
      <c r="M147" s="178"/>
      <c r="N147" s="178"/>
      <c r="O147" s="178"/>
      <c r="P147" s="178"/>
    </row>
    <row r="148" spans="1:16" x14ac:dyDescent="0.25">
      <c r="A148" s="8">
        <f t="shared" si="7"/>
        <v>141</v>
      </c>
      <c r="B148" s="176"/>
      <c r="C148" s="176"/>
      <c r="D148" s="177"/>
      <c r="E148" s="181"/>
      <c r="F148" s="181"/>
      <c r="G148" s="181"/>
      <c r="H148" s="181"/>
      <c r="I148" s="178"/>
      <c r="J148" s="181"/>
      <c r="K148" s="178"/>
      <c r="L148" s="179"/>
      <c r="M148" s="178"/>
      <c r="N148" s="178"/>
      <c r="O148" s="178"/>
      <c r="P148" s="178"/>
    </row>
    <row r="149" spans="1:16" x14ac:dyDescent="0.25">
      <c r="A149" s="8">
        <f t="shared" si="7"/>
        <v>142</v>
      </c>
      <c r="B149" s="176"/>
      <c r="C149" s="176"/>
      <c r="D149" s="177"/>
      <c r="E149" s="181"/>
      <c r="F149" s="181"/>
      <c r="G149" s="181"/>
      <c r="H149" s="181"/>
      <c r="I149" s="178"/>
      <c r="J149" s="181"/>
      <c r="K149" s="178"/>
      <c r="L149" s="179"/>
      <c r="M149" s="178"/>
      <c r="N149" s="178"/>
      <c r="O149" s="178"/>
      <c r="P149" s="178"/>
    </row>
    <row r="150" spans="1:16" x14ac:dyDescent="0.25">
      <c r="A150" s="8">
        <f t="shared" si="7"/>
        <v>143</v>
      </c>
      <c r="B150" s="176"/>
      <c r="C150" s="176"/>
      <c r="D150" s="177"/>
      <c r="E150" s="181"/>
      <c r="F150" s="181"/>
      <c r="G150" s="181"/>
      <c r="H150" s="181"/>
      <c r="I150" s="178"/>
      <c r="J150" s="181"/>
      <c r="K150" s="178"/>
      <c r="L150" s="179"/>
      <c r="M150" s="178"/>
      <c r="N150" s="178"/>
      <c r="O150" s="178"/>
      <c r="P150" s="178"/>
    </row>
    <row r="151" spans="1:16" x14ac:dyDescent="0.25">
      <c r="A151" s="8">
        <f t="shared" si="7"/>
        <v>144</v>
      </c>
      <c r="B151" s="176"/>
      <c r="C151" s="176"/>
      <c r="D151" s="177"/>
      <c r="E151" s="181"/>
      <c r="F151" s="181"/>
      <c r="G151" s="181"/>
      <c r="H151" s="181"/>
      <c r="I151" s="178"/>
      <c r="J151" s="181"/>
      <c r="K151" s="178"/>
      <c r="L151" s="179"/>
      <c r="M151" s="178"/>
      <c r="N151" s="178"/>
      <c r="O151" s="178"/>
      <c r="P151" s="178"/>
    </row>
    <row r="152" spans="1:16" x14ac:dyDescent="0.25">
      <c r="A152" s="8">
        <f t="shared" si="7"/>
        <v>145</v>
      </c>
      <c r="B152" s="176"/>
      <c r="C152" s="176"/>
      <c r="D152" s="177"/>
      <c r="E152" s="181"/>
      <c r="F152" s="181"/>
      <c r="G152" s="181"/>
      <c r="H152" s="181"/>
      <c r="I152" s="178"/>
      <c r="J152" s="181"/>
      <c r="K152" s="178"/>
      <c r="L152" s="179"/>
      <c r="M152" s="178"/>
      <c r="N152" s="178"/>
      <c r="O152" s="178"/>
      <c r="P152" s="178"/>
    </row>
    <row r="153" spans="1:16" x14ac:dyDescent="0.25">
      <c r="A153" s="8">
        <f t="shared" si="7"/>
        <v>146</v>
      </c>
      <c r="B153" s="176"/>
      <c r="C153" s="176"/>
      <c r="D153" s="177"/>
      <c r="E153" s="181"/>
      <c r="F153" s="181"/>
      <c r="G153" s="181"/>
      <c r="H153" s="181"/>
      <c r="I153" s="178"/>
      <c r="J153" s="181"/>
      <c r="K153" s="178"/>
      <c r="L153" s="179"/>
      <c r="M153" s="178"/>
      <c r="N153" s="178"/>
      <c r="O153" s="178"/>
      <c r="P153" s="178"/>
    </row>
    <row r="154" spans="1:16" x14ac:dyDescent="0.25">
      <c r="A154" s="8">
        <f t="shared" si="7"/>
        <v>147</v>
      </c>
      <c r="B154" s="176"/>
      <c r="C154" s="176"/>
      <c r="D154" s="177"/>
      <c r="E154" s="181"/>
      <c r="F154" s="181"/>
      <c r="G154" s="181"/>
      <c r="H154" s="181"/>
      <c r="I154" s="178"/>
      <c r="J154" s="181"/>
      <c r="K154" s="178"/>
      <c r="L154" s="179"/>
      <c r="M154" s="178"/>
      <c r="N154" s="178"/>
      <c r="O154" s="178"/>
      <c r="P154" s="178"/>
    </row>
    <row r="155" spans="1:16" x14ac:dyDescent="0.25">
      <c r="A155" s="8">
        <f t="shared" si="7"/>
        <v>148</v>
      </c>
      <c r="B155" s="176"/>
      <c r="C155" s="176"/>
      <c r="D155" s="177"/>
      <c r="E155" s="181"/>
      <c r="F155" s="181"/>
      <c r="G155" s="181"/>
      <c r="H155" s="181"/>
      <c r="I155" s="178"/>
      <c r="J155" s="181"/>
      <c r="K155" s="178"/>
      <c r="L155" s="179"/>
      <c r="M155" s="178"/>
      <c r="N155" s="178"/>
      <c r="O155" s="178"/>
      <c r="P155" s="178"/>
    </row>
    <row r="156" spans="1:16" x14ac:dyDescent="0.25">
      <c r="A156" s="8">
        <f t="shared" si="7"/>
        <v>149</v>
      </c>
      <c r="B156" s="176"/>
      <c r="C156" s="176"/>
      <c r="D156" s="177"/>
      <c r="E156" s="181"/>
      <c r="F156" s="181"/>
      <c r="G156" s="181"/>
      <c r="H156" s="181"/>
      <c r="I156" s="178"/>
      <c r="J156" s="181"/>
      <c r="K156" s="178"/>
      <c r="L156" s="179"/>
      <c r="M156" s="178"/>
      <c r="N156" s="178"/>
      <c r="O156" s="178"/>
      <c r="P156" s="178"/>
    </row>
    <row r="157" spans="1:16" x14ac:dyDescent="0.25">
      <c r="A157" s="8">
        <f t="shared" si="7"/>
        <v>150</v>
      </c>
      <c r="B157" s="176"/>
      <c r="C157" s="176"/>
      <c r="D157" s="177"/>
      <c r="E157" s="181"/>
      <c r="F157" s="181"/>
      <c r="G157" s="181"/>
      <c r="H157" s="181"/>
      <c r="I157" s="178"/>
      <c r="J157" s="181"/>
      <c r="K157" s="178"/>
      <c r="L157" s="179"/>
      <c r="M157" s="178"/>
      <c r="N157" s="178"/>
      <c r="O157" s="178"/>
      <c r="P157" s="178"/>
    </row>
    <row r="158" spans="1:16" x14ac:dyDescent="0.25">
      <c r="A158" s="8">
        <f t="shared" si="7"/>
        <v>151</v>
      </c>
      <c r="B158" s="176"/>
      <c r="C158" s="176"/>
      <c r="D158" s="177"/>
      <c r="E158" s="181"/>
      <c r="F158" s="181"/>
      <c r="G158" s="181"/>
      <c r="H158" s="181"/>
      <c r="I158" s="178"/>
      <c r="J158" s="181"/>
      <c r="K158" s="178"/>
      <c r="L158" s="179"/>
      <c r="M158" s="178"/>
      <c r="N158" s="178"/>
      <c r="O158" s="178"/>
      <c r="P158" s="178"/>
    </row>
    <row r="159" spans="1:16" x14ac:dyDescent="0.25">
      <c r="A159" s="8">
        <f t="shared" si="7"/>
        <v>152</v>
      </c>
      <c r="B159" s="176"/>
      <c r="C159" s="176"/>
      <c r="D159" s="177"/>
      <c r="E159" s="181"/>
      <c r="F159" s="181"/>
      <c r="G159" s="181"/>
      <c r="H159" s="181"/>
      <c r="I159" s="178"/>
      <c r="J159" s="181"/>
      <c r="K159" s="178"/>
      <c r="L159" s="179"/>
      <c r="M159" s="178"/>
      <c r="N159" s="178"/>
      <c r="O159" s="178"/>
      <c r="P159" s="178"/>
    </row>
    <row r="160" spans="1:16" x14ac:dyDescent="0.25">
      <c r="A160" s="8">
        <f t="shared" si="7"/>
        <v>153</v>
      </c>
      <c r="B160" s="176"/>
      <c r="C160" s="176"/>
      <c r="D160" s="177"/>
      <c r="E160" s="181"/>
      <c r="F160" s="181"/>
      <c r="G160" s="181"/>
      <c r="H160" s="181"/>
      <c r="I160" s="178"/>
      <c r="J160" s="181"/>
      <c r="K160" s="178"/>
      <c r="L160" s="179"/>
      <c r="M160" s="178"/>
      <c r="N160" s="178"/>
      <c r="O160" s="178"/>
      <c r="P160" s="178"/>
    </row>
    <row r="161" spans="1:16" x14ac:dyDescent="0.25">
      <c r="A161" s="8">
        <f t="shared" si="7"/>
        <v>154</v>
      </c>
      <c r="B161" s="176"/>
      <c r="C161" s="176"/>
      <c r="D161" s="177"/>
      <c r="E161" s="181"/>
      <c r="F161" s="181"/>
      <c r="G161" s="181"/>
      <c r="H161" s="181"/>
      <c r="I161" s="178"/>
      <c r="J161" s="181"/>
      <c r="K161" s="178"/>
      <c r="L161" s="179"/>
      <c r="M161" s="178"/>
      <c r="N161" s="178"/>
      <c r="O161" s="178"/>
      <c r="P161" s="178"/>
    </row>
    <row r="162" spans="1:16" x14ac:dyDescent="0.25">
      <c r="A162" s="8">
        <f t="shared" si="7"/>
        <v>155</v>
      </c>
      <c r="B162" s="176"/>
      <c r="C162" s="176"/>
      <c r="D162" s="177"/>
      <c r="E162" s="181"/>
      <c r="F162" s="181"/>
      <c r="G162" s="181"/>
      <c r="H162" s="181"/>
      <c r="I162" s="178"/>
      <c r="J162" s="181"/>
      <c r="K162" s="178"/>
      <c r="L162" s="179"/>
      <c r="M162" s="178"/>
      <c r="N162" s="178"/>
      <c r="O162" s="178"/>
      <c r="P162" s="178"/>
    </row>
    <row r="163" spans="1:16" x14ac:dyDescent="0.25">
      <c r="A163" s="8">
        <f t="shared" si="7"/>
        <v>156</v>
      </c>
      <c r="B163" s="176"/>
      <c r="C163" s="176"/>
      <c r="D163" s="177"/>
      <c r="E163" s="181"/>
      <c r="F163" s="181"/>
      <c r="G163" s="181"/>
      <c r="H163" s="181"/>
      <c r="I163" s="178"/>
      <c r="J163" s="181"/>
      <c r="K163" s="178"/>
      <c r="L163" s="179"/>
      <c r="M163" s="178"/>
      <c r="N163" s="178"/>
      <c r="O163" s="178"/>
      <c r="P163" s="178"/>
    </row>
    <row r="164" spans="1:16" x14ac:dyDescent="0.25">
      <c r="A164" s="8">
        <f t="shared" si="7"/>
        <v>157</v>
      </c>
      <c r="B164" s="176"/>
      <c r="C164" s="176"/>
      <c r="D164" s="177"/>
      <c r="E164" s="181"/>
      <c r="F164" s="181"/>
      <c r="G164" s="181"/>
      <c r="H164" s="181"/>
      <c r="I164" s="178"/>
      <c r="J164" s="181"/>
      <c r="K164" s="178"/>
      <c r="L164" s="179"/>
      <c r="M164" s="178"/>
      <c r="N164" s="178"/>
      <c r="O164" s="178"/>
      <c r="P164" s="178"/>
    </row>
    <row r="165" spans="1:16" x14ac:dyDescent="0.25">
      <c r="A165" s="8">
        <f t="shared" si="7"/>
        <v>158</v>
      </c>
      <c r="B165" s="176"/>
      <c r="C165" s="176"/>
      <c r="D165" s="177"/>
      <c r="E165" s="181"/>
      <c r="F165" s="181"/>
      <c r="G165" s="181"/>
      <c r="H165" s="181"/>
      <c r="I165" s="178"/>
      <c r="J165" s="181"/>
      <c r="K165" s="178"/>
      <c r="L165" s="179"/>
      <c r="M165" s="178"/>
      <c r="N165" s="178"/>
      <c r="O165" s="178"/>
      <c r="P165" s="178"/>
    </row>
    <row r="166" spans="1:16" x14ac:dyDescent="0.25">
      <c r="A166" s="8">
        <f t="shared" si="7"/>
        <v>159</v>
      </c>
      <c r="B166" s="176"/>
      <c r="C166" s="176"/>
      <c r="D166" s="177"/>
      <c r="E166" s="181"/>
      <c r="F166" s="181"/>
      <c r="G166" s="181"/>
      <c r="H166" s="181"/>
      <c r="I166" s="178"/>
      <c r="J166" s="181"/>
      <c r="K166" s="178"/>
      <c r="L166" s="179"/>
      <c r="M166" s="178"/>
      <c r="N166" s="178"/>
      <c r="O166" s="178"/>
      <c r="P166" s="178"/>
    </row>
    <row r="167" spans="1:16" x14ac:dyDescent="0.25">
      <c r="A167" s="8">
        <f t="shared" si="7"/>
        <v>160</v>
      </c>
      <c r="B167" s="176"/>
      <c r="C167" s="176"/>
      <c r="D167" s="177"/>
      <c r="E167" s="181"/>
      <c r="F167" s="181"/>
      <c r="G167" s="181"/>
      <c r="H167" s="181"/>
      <c r="I167" s="178"/>
      <c r="J167" s="181"/>
      <c r="K167" s="178"/>
      <c r="L167" s="179"/>
      <c r="M167" s="178"/>
      <c r="N167" s="178"/>
      <c r="O167" s="178"/>
      <c r="P167" s="178"/>
    </row>
    <row r="168" spans="1:16" x14ac:dyDescent="0.25">
      <c r="A168" s="8">
        <f t="shared" si="7"/>
        <v>161</v>
      </c>
      <c r="B168" s="176"/>
      <c r="C168" s="176"/>
      <c r="D168" s="177"/>
      <c r="E168" s="181"/>
      <c r="F168" s="181"/>
      <c r="G168" s="181"/>
      <c r="H168" s="181"/>
      <c r="I168" s="178"/>
      <c r="J168" s="181"/>
      <c r="K168" s="178"/>
      <c r="L168" s="179"/>
      <c r="M168" s="178"/>
      <c r="N168" s="178"/>
      <c r="O168" s="178"/>
      <c r="P168" s="178"/>
    </row>
    <row r="169" spans="1:16" x14ac:dyDescent="0.25">
      <c r="A169" s="8">
        <f t="shared" si="7"/>
        <v>162</v>
      </c>
      <c r="B169" s="176"/>
      <c r="C169" s="176"/>
      <c r="D169" s="177"/>
      <c r="E169" s="181"/>
      <c r="F169" s="181"/>
      <c r="G169" s="181"/>
      <c r="H169" s="181"/>
      <c r="I169" s="178"/>
      <c r="J169" s="181"/>
      <c r="K169" s="178"/>
      <c r="L169" s="179"/>
      <c r="M169" s="178"/>
      <c r="N169" s="178"/>
      <c r="O169" s="178"/>
      <c r="P169" s="178"/>
    </row>
    <row r="170" spans="1:16" x14ac:dyDescent="0.25">
      <c r="A170" s="8">
        <f t="shared" si="7"/>
        <v>163</v>
      </c>
      <c r="B170" s="176"/>
      <c r="C170" s="176"/>
      <c r="D170" s="177"/>
      <c r="E170" s="181"/>
      <c r="F170" s="181"/>
      <c r="G170" s="181"/>
      <c r="H170" s="181"/>
      <c r="I170" s="178"/>
      <c r="J170" s="181"/>
      <c r="K170" s="178"/>
      <c r="L170" s="179"/>
      <c r="M170" s="178"/>
      <c r="N170" s="178"/>
      <c r="O170" s="178"/>
      <c r="P170" s="178"/>
    </row>
    <row r="171" spans="1:16" x14ac:dyDescent="0.25">
      <c r="A171" s="8">
        <f t="shared" si="7"/>
        <v>164</v>
      </c>
      <c r="B171" s="176"/>
      <c r="C171" s="176"/>
      <c r="D171" s="177"/>
      <c r="E171" s="181"/>
      <c r="F171" s="181"/>
      <c r="G171" s="181"/>
      <c r="H171" s="181"/>
      <c r="I171" s="178"/>
      <c r="J171" s="181"/>
      <c r="K171" s="178"/>
      <c r="L171" s="179"/>
      <c r="M171" s="178"/>
      <c r="N171" s="178"/>
      <c r="O171" s="178"/>
      <c r="P171" s="178"/>
    </row>
    <row r="172" spans="1:16" x14ac:dyDescent="0.25">
      <c r="A172" s="8">
        <f t="shared" si="7"/>
        <v>165</v>
      </c>
      <c r="B172" s="176"/>
      <c r="C172" s="176"/>
      <c r="D172" s="177"/>
      <c r="E172" s="181"/>
      <c r="F172" s="181"/>
      <c r="G172" s="181"/>
      <c r="H172" s="181"/>
      <c r="I172" s="178"/>
      <c r="J172" s="181"/>
      <c r="K172" s="178"/>
      <c r="L172" s="179"/>
      <c r="M172" s="178"/>
      <c r="N172" s="178"/>
      <c r="O172" s="178"/>
      <c r="P172" s="178"/>
    </row>
    <row r="173" spans="1:16" x14ac:dyDescent="0.25">
      <c r="A173" s="8">
        <f t="shared" si="7"/>
        <v>166</v>
      </c>
      <c r="B173" s="176"/>
      <c r="C173" s="176"/>
      <c r="D173" s="177"/>
      <c r="E173" s="181"/>
      <c r="F173" s="181"/>
      <c r="G173" s="181"/>
      <c r="H173" s="181"/>
      <c r="I173" s="178"/>
      <c r="J173" s="181"/>
      <c r="K173" s="178"/>
      <c r="L173" s="179"/>
      <c r="M173" s="178"/>
      <c r="N173" s="178"/>
      <c r="O173" s="178"/>
      <c r="P173" s="178"/>
    </row>
    <row r="174" spans="1:16" x14ac:dyDescent="0.25">
      <c r="A174" s="8">
        <f t="shared" si="7"/>
        <v>167</v>
      </c>
      <c r="B174" s="176"/>
      <c r="C174" s="176"/>
      <c r="D174" s="177"/>
      <c r="E174" s="181"/>
      <c r="F174" s="181"/>
      <c r="G174" s="181"/>
      <c r="H174" s="181"/>
      <c r="I174" s="178"/>
      <c r="J174" s="181"/>
      <c r="K174" s="178"/>
      <c r="L174" s="179"/>
      <c r="M174" s="178"/>
      <c r="N174" s="178"/>
      <c r="O174" s="178"/>
      <c r="P174" s="178"/>
    </row>
    <row r="175" spans="1:16" x14ac:dyDescent="0.25">
      <c r="A175" s="8">
        <f t="shared" si="7"/>
        <v>168</v>
      </c>
      <c r="B175" s="176"/>
      <c r="C175" s="176"/>
      <c r="D175" s="177"/>
      <c r="E175" s="181"/>
      <c r="F175" s="181"/>
      <c r="G175" s="181"/>
      <c r="H175" s="181"/>
      <c r="I175" s="178"/>
      <c r="J175" s="181"/>
      <c r="K175" s="178"/>
      <c r="L175" s="179"/>
      <c r="M175" s="178"/>
      <c r="N175" s="178"/>
      <c r="O175" s="178"/>
      <c r="P175" s="178"/>
    </row>
    <row r="176" spans="1:16" x14ac:dyDescent="0.25">
      <c r="A176" s="8">
        <f t="shared" si="7"/>
        <v>169</v>
      </c>
      <c r="B176" s="176"/>
      <c r="C176" s="176"/>
      <c r="D176" s="177"/>
      <c r="E176" s="181"/>
      <c r="F176" s="181"/>
      <c r="G176" s="181"/>
      <c r="H176" s="181"/>
      <c r="I176" s="178"/>
      <c r="J176" s="181"/>
      <c r="K176" s="178"/>
      <c r="L176" s="179"/>
      <c r="M176" s="178"/>
      <c r="N176" s="178"/>
      <c r="O176" s="178"/>
      <c r="P176" s="178"/>
    </row>
    <row r="177" spans="1:16" x14ac:dyDescent="0.25">
      <c r="A177" s="8">
        <f t="shared" si="7"/>
        <v>170</v>
      </c>
      <c r="B177" s="176"/>
      <c r="C177" s="176"/>
      <c r="D177" s="177"/>
      <c r="E177" s="181"/>
      <c r="F177" s="181"/>
      <c r="G177" s="181"/>
      <c r="H177" s="181"/>
      <c r="I177" s="178"/>
      <c r="J177" s="181"/>
      <c r="K177" s="178"/>
      <c r="L177" s="179"/>
      <c r="M177" s="178"/>
      <c r="N177" s="178"/>
      <c r="O177" s="178"/>
      <c r="P177" s="178"/>
    </row>
    <row r="178" spans="1:16" x14ac:dyDescent="0.25">
      <c r="A178" s="8">
        <f t="shared" si="7"/>
        <v>171</v>
      </c>
      <c r="B178" s="176"/>
      <c r="C178" s="176"/>
      <c r="D178" s="177"/>
      <c r="E178" s="181"/>
      <c r="F178" s="181"/>
      <c r="G178" s="181"/>
      <c r="H178" s="181"/>
      <c r="I178" s="178"/>
      <c r="J178" s="181"/>
      <c r="K178" s="178"/>
      <c r="L178" s="179"/>
      <c r="M178" s="178"/>
      <c r="N178" s="178"/>
      <c r="O178" s="178"/>
      <c r="P178" s="178"/>
    </row>
    <row r="179" spans="1:16" x14ac:dyDescent="0.25">
      <c r="A179" s="8">
        <f t="shared" si="7"/>
        <v>172</v>
      </c>
      <c r="B179" s="176"/>
      <c r="C179" s="176"/>
      <c r="D179" s="177"/>
      <c r="E179" s="181"/>
      <c r="F179" s="181"/>
      <c r="G179" s="181"/>
      <c r="H179" s="181"/>
      <c r="I179" s="178"/>
      <c r="J179" s="181"/>
      <c r="K179" s="178"/>
      <c r="L179" s="179"/>
      <c r="M179" s="178"/>
      <c r="N179" s="178"/>
      <c r="O179" s="178"/>
      <c r="P179" s="178"/>
    </row>
    <row r="180" spans="1:16" x14ac:dyDescent="0.25">
      <c r="A180" s="8">
        <f t="shared" si="7"/>
        <v>173</v>
      </c>
      <c r="B180" s="176"/>
      <c r="C180" s="176"/>
      <c r="D180" s="177"/>
      <c r="E180" s="181"/>
      <c r="F180" s="181"/>
      <c r="G180" s="181"/>
      <c r="H180" s="181"/>
      <c r="I180" s="178"/>
      <c r="J180" s="181"/>
      <c r="K180" s="178"/>
      <c r="L180" s="179"/>
      <c r="M180" s="178"/>
      <c r="N180" s="178"/>
      <c r="O180" s="178"/>
      <c r="P180" s="178"/>
    </row>
    <row r="181" spans="1:16" x14ac:dyDescent="0.25">
      <c r="A181" s="8">
        <f t="shared" si="7"/>
        <v>174</v>
      </c>
      <c r="B181" s="176"/>
      <c r="C181" s="176"/>
      <c r="D181" s="177"/>
      <c r="E181" s="181"/>
      <c r="F181" s="181"/>
      <c r="G181" s="181"/>
      <c r="H181" s="181"/>
      <c r="I181" s="178"/>
      <c r="J181" s="181"/>
      <c r="K181" s="178"/>
      <c r="L181" s="179"/>
      <c r="M181" s="178"/>
      <c r="N181" s="178"/>
      <c r="O181" s="178"/>
      <c r="P181" s="178"/>
    </row>
    <row r="182" spans="1:16" x14ac:dyDescent="0.25">
      <c r="A182" s="8">
        <f t="shared" si="7"/>
        <v>175</v>
      </c>
      <c r="B182" s="176"/>
      <c r="C182" s="176"/>
      <c r="D182" s="177"/>
      <c r="E182" s="181"/>
      <c r="F182" s="181"/>
      <c r="G182" s="181"/>
      <c r="H182" s="181"/>
      <c r="I182" s="178"/>
      <c r="J182" s="181"/>
      <c r="K182" s="178"/>
      <c r="L182" s="179"/>
      <c r="M182" s="178"/>
      <c r="N182" s="178"/>
      <c r="O182" s="178"/>
      <c r="P182" s="178"/>
    </row>
    <row r="183" spans="1:16" x14ac:dyDescent="0.25">
      <c r="A183" s="8">
        <f t="shared" si="7"/>
        <v>176</v>
      </c>
      <c r="B183" s="176"/>
      <c r="C183" s="176"/>
      <c r="D183" s="177"/>
      <c r="E183" s="181"/>
      <c r="F183" s="181"/>
      <c r="G183" s="181"/>
      <c r="H183" s="181"/>
      <c r="I183" s="178"/>
      <c r="J183" s="181"/>
      <c r="K183" s="178"/>
      <c r="L183" s="179"/>
      <c r="M183" s="178"/>
      <c r="N183" s="178"/>
      <c r="O183" s="178"/>
      <c r="P183" s="178"/>
    </row>
    <row r="184" spans="1:16" x14ac:dyDescent="0.25">
      <c r="A184" s="8">
        <f t="shared" si="7"/>
        <v>177</v>
      </c>
      <c r="B184" s="176"/>
      <c r="C184" s="176"/>
      <c r="D184" s="177"/>
      <c r="E184" s="181"/>
      <c r="F184" s="181"/>
      <c r="G184" s="181"/>
      <c r="H184" s="181"/>
      <c r="I184" s="178"/>
      <c r="J184" s="181"/>
      <c r="K184" s="178"/>
      <c r="L184" s="179"/>
      <c r="M184" s="178"/>
      <c r="N184" s="178"/>
      <c r="O184" s="178"/>
      <c r="P184" s="178"/>
    </row>
    <row r="185" spans="1:16" x14ac:dyDescent="0.25">
      <c r="A185" s="8">
        <f t="shared" si="7"/>
        <v>178</v>
      </c>
      <c r="B185" s="176"/>
      <c r="C185" s="176"/>
      <c r="D185" s="177"/>
      <c r="E185" s="181"/>
      <c r="F185" s="181"/>
      <c r="G185" s="181"/>
      <c r="H185" s="181"/>
      <c r="I185" s="178"/>
      <c r="J185" s="181"/>
      <c r="K185" s="178"/>
      <c r="L185" s="179"/>
      <c r="M185" s="178"/>
      <c r="N185" s="178"/>
      <c r="O185" s="178"/>
      <c r="P185" s="178"/>
    </row>
    <row r="186" spans="1:16" x14ac:dyDescent="0.25">
      <c r="A186" s="8">
        <f t="shared" si="7"/>
        <v>179</v>
      </c>
      <c r="B186" s="176"/>
      <c r="C186" s="176"/>
      <c r="D186" s="177"/>
      <c r="E186" s="181"/>
      <c r="F186" s="181"/>
      <c r="G186" s="181"/>
      <c r="H186" s="181"/>
      <c r="I186" s="178"/>
      <c r="J186" s="181"/>
      <c r="K186" s="178"/>
      <c r="L186" s="179"/>
      <c r="M186" s="178"/>
      <c r="N186" s="178"/>
      <c r="O186" s="178"/>
      <c r="P186" s="178"/>
    </row>
    <row r="187" spans="1:16" x14ac:dyDescent="0.25">
      <c r="A187" s="8">
        <f t="shared" si="7"/>
        <v>180</v>
      </c>
      <c r="B187" s="176"/>
      <c r="C187" s="176"/>
      <c r="D187" s="177"/>
      <c r="E187" s="181"/>
      <c r="F187" s="181"/>
      <c r="G187" s="181"/>
      <c r="H187" s="181"/>
      <c r="I187" s="178"/>
      <c r="J187" s="181"/>
      <c r="K187" s="178"/>
      <c r="L187" s="179"/>
      <c r="M187" s="178"/>
      <c r="N187" s="178"/>
      <c r="O187" s="178"/>
      <c r="P187" s="178"/>
    </row>
    <row r="188" spans="1:16" x14ac:dyDescent="0.25">
      <c r="A188" s="8">
        <f t="shared" si="7"/>
        <v>181</v>
      </c>
      <c r="B188" s="176"/>
      <c r="C188" s="176"/>
      <c r="D188" s="177"/>
      <c r="E188" s="181"/>
      <c r="F188" s="181"/>
      <c r="G188" s="181"/>
      <c r="H188" s="181"/>
      <c r="I188" s="178"/>
      <c r="J188" s="181"/>
      <c r="K188" s="178"/>
      <c r="L188" s="179"/>
      <c r="M188" s="178"/>
      <c r="N188" s="178"/>
      <c r="O188" s="178"/>
      <c r="P188" s="178"/>
    </row>
    <row r="189" spans="1:16" x14ac:dyDescent="0.25">
      <c r="A189" s="8">
        <f t="shared" si="7"/>
        <v>182</v>
      </c>
      <c r="B189" s="176"/>
      <c r="C189" s="176"/>
      <c r="D189" s="177"/>
      <c r="E189" s="181"/>
      <c r="F189" s="181"/>
      <c r="G189" s="181"/>
      <c r="H189" s="181"/>
      <c r="I189" s="178"/>
      <c r="J189" s="181"/>
      <c r="K189" s="178"/>
      <c r="L189" s="179"/>
      <c r="M189" s="178"/>
      <c r="N189" s="178"/>
      <c r="O189" s="178"/>
      <c r="P189" s="178"/>
    </row>
    <row r="190" spans="1:16" x14ac:dyDescent="0.25">
      <c r="A190" s="8">
        <f t="shared" si="7"/>
        <v>183</v>
      </c>
      <c r="B190" s="176"/>
      <c r="C190" s="176"/>
      <c r="D190" s="177"/>
      <c r="E190" s="181"/>
      <c r="F190" s="181"/>
      <c r="G190" s="181"/>
      <c r="H190" s="181"/>
      <c r="I190" s="178"/>
      <c r="J190" s="181"/>
      <c r="K190" s="178"/>
      <c r="L190" s="179"/>
      <c r="M190" s="178"/>
      <c r="N190" s="178"/>
      <c r="O190" s="178"/>
      <c r="P190" s="178"/>
    </row>
    <row r="191" spans="1:16" x14ac:dyDescent="0.25">
      <c r="A191" s="8">
        <f t="shared" si="7"/>
        <v>184</v>
      </c>
      <c r="B191" s="176"/>
      <c r="C191" s="176"/>
      <c r="D191" s="177"/>
      <c r="E191" s="181"/>
      <c r="F191" s="181"/>
      <c r="G191" s="181"/>
      <c r="H191" s="181"/>
      <c r="I191" s="178"/>
      <c r="J191" s="181"/>
      <c r="K191" s="178"/>
      <c r="L191" s="179"/>
      <c r="M191" s="178"/>
      <c r="N191" s="178"/>
      <c r="O191" s="178"/>
      <c r="P191" s="178"/>
    </row>
    <row r="192" spans="1:16" x14ac:dyDescent="0.25">
      <c r="A192" s="8">
        <f t="shared" si="7"/>
        <v>185</v>
      </c>
      <c r="B192" s="176"/>
      <c r="C192" s="176"/>
      <c r="D192" s="177"/>
      <c r="E192" s="181"/>
      <c r="F192" s="181"/>
      <c r="G192" s="181"/>
      <c r="H192" s="181"/>
      <c r="I192" s="178"/>
      <c r="J192" s="181"/>
      <c r="K192" s="178"/>
      <c r="L192" s="179"/>
      <c r="M192" s="178"/>
      <c r="N192" s="178"/>
      <c r="O192" s="178"/>
      <c r="P192" s="178"/>
    </row>
    <row r="193" spans="1:16" x14ac:dyDescent="0.25">
      <c r="A193" s="8">
        <f t="shared" si="7"/>
        <v>186</v>
      </c>
      <c r="B193" s="176"/>
      <c r="C193" s="176"/>
      <c r="D193" s="177"/>
      <c r="E193" s="181"/>
      <c r="F193" s="181"/>
      <c r="G193" s="181"/>
      <c r="H193" s="181"/>
      <c r="I193" s="178"/>
      <c r="J193" s="181"/>
      <c r="K193" s="178"/>
      <c r="L193" s="179"/>
      <c r="M193" s="178"/>
      <c r="N193" s="178"/>
      <c r="O193" s="178"/>
      <c r="P193" s="178"/>
    </row>
    <row r="194" spans="1:16" x14ac:dyDescent="0.25">
      <c r="A194" s="8">
        <f t="shared" si="7"/>
        <v>187</v>
      </c>
      <c r="B194" s="176"/>
      <c r="C194" s="176"/>
      <c r="D194" s="177"/>
      <c r="E194" s="181"/>
      <c r="F194" s="181"/>
      <c r="G194" s="181"/>
      <c r="H194" s="181"/>
      <c r="I194" s="178"/>
      <c r="J194" s="181"/>
      <c r="K194" s="178"/>
      <c r="L194" s="179"/>
      <c r="M194" s="178"/>
      <c r="N194" s="178"/>
      <c r="O194" s="178"/>
      <c r="P194" s="178"/>
    </row>
    <row r="195" spans="1:16" x14ac:dyDescent="0.25">
      <c r="A195" s="8">
        <f t="shared" si="7"/>
        <v>188</v>
      </c>
      <c r="B195" s="176"/>
      <c r="C195" s="176"/>
      <c r="D195" s="177"/>
      <c r="E195" s="181"/>
      <c r="F195" s="181"/>
      <c r="G195" s="181"/>
      <c r="H195" s="181"/>
      <c r="I195" s="178"/>
      <c r="J195" s="181"/>
      <c r="K195" s="178"/>
      <c r="L195" s="179"/>
      <c r="M195" s="178"/>
      <c r="N195" s="178"/>
      <c r="O195" s="178"/>
      <c r="P195" s="178"/>
    </row>
    <row r="196" spans="1:16" x14ac:dyDescent="0.25">
      <c r="A196" s="8">
        <f t="shared" si="7"/>
        <v>189</v>
      </c>
      <c r="B196" s="176"/>
      <c r="C196" s="176"/>
      <c r="D196" s="177"/>
      <c r="E196" s="181"/>
      <c r="F196" s="181"/>
      <c r="G196" s="181"/>
      <c r="H196" s="181"/>
      <c r="I196" s="178"/>
      <c r="J196" s="181"/>
      <c r="K196" s="178"/>
      <c r="L196" s="179"/>
      <c r="M196" s="178"/>
      <c r="N196" s="178"/>
      <c r="O196" s="178"/>
      <c r="P196" s="178"/>
    </row>
    <row r="197" spans="1:16" x14ac:dyDescent="0.25">
      <c r="A197" s="8">
        <f t="shared" si="7"/>
        <v>190</v>
      </c>
      <c r="B197" s="176"/>
      <c r="C197" s="176"/>
      <c r="D197" s="177"/>
      <c r="E197" s="181"/>
      <c r="F197" s="181"/>
      <c r="G197" s="181"/>
      <c r="H197" s="181"/>
      <c r="I197" s="178"/>
      <c r="J197" s="181"/>
      <c r="K197" s="178"/>
      <c r="L197" s="179"/>
      <c r="M197" s="178"/>
      <c r="N197" s="178"/>
      <c r="O197" s="178"/>
      <c r="P197" s="178"/>
    </row>
    <row r="198" spans="1:16" x14ac:dyDescent="0.25">
      <c r="A198" s="8">
        <f t="shared" si="7"/>
        <v>191</v>
      </c>
      <c r="B198" s="176"/>
      <c r="C198" s="176"/>
      <c r="D198" s="177"/>
      <c r="E198" s="181"/>
      <c r="F198" s="181"/>
      <c r="G198" s="181"/>
      <c r="H198" s="181"/>
      <c r="I198" s="178"/>
      <c r="J198" s="181"/>
      <c r="K198" s="178"/>
      <c r="L198" s="179"/>
      <c r="M198" s="178"/>
      <c r="N198" s="178"/>
      <c r="O198" s="178"/>
      <c r="P198" s="178"/>
    </row>
    <row r="199" spans="1:16" x14ac:dyDescent="0.25">
      <c r="A199" s="8">
        <f t="shared" si="7"/>
        <v>192</v>
      </c>
      <c r="B199" s="176"/>
      <c r="C199" s="176"/>
      <c r="D199" s="177"/>
      <c r="E199" s="181"/>
      <c r="F199" s="181"/>
      <c r="G199" s="181"/>
      <c r="H199" s="181"/>
      <c r="I199" s="178"/>
      <c r="J199" s="181"/>
      <c r="K199" s="178"/>
      <c r="L199" s="179"/>
      <c r="M199" s="178"/>
      <c r="N199" s="178"/>
      <c r="O199" s="178"/>
      <c r="P199" s="178"/>
    </row>
    <row r="200" spans="1:16" x14ac:dyDescent="0.25">
      <c r="A200" s="8">
        <f t="shared" si="7"/>
        <v>193</v>
      </c>
      <c r="B200" s="176"/>
      <c r="C200" s="176"/>
      <c r="D200" s="177"/>
      <c r="E200" s="181"/>
      <c r="F200" s="181"/>
      <c r="G200" s="181"/>
      <c r="H200" s="181"/>
      <c r="I200" s="178"/>
      <c r="J200" s="181"/>
      <c r="K200" s="178"/>
      <c r="L200" s="179"/>
      <c r="M200" s="178"/>
      <c r="N200" s="178"/>
      <c r="O200" s="178"/>
      <c r="P200" s="178"/>
    </row>
    <row r="201" spans="1:16" x14ac:dyDescent="0.25">
      <c r="A201" s="8">
        <f t="shared" si="7"/>
        <v>194</v>
      </c>
      <c r="B201" s="176"/>
      <c r="C201" s="176"/>
      <c r="D201" s="177"/>
      <c r="E201" s="181"/>
      <c r="F201" s="181"/>
      <c r="G201" s="181"/>
      <c r="H201" s="181"/>
      <c r="I201" s="178"/>
      <c r="J201" s="181"/>
      <c r="K201" s="178"/>
      <c r="L201" s="179"/>
      <c r="M201" s="178"/>
      <c r="N201" s="178"/>
      <c r="O201" s="178"/>
      <c r="P201" s="178"/>
    </row>
    <row r="202" spans="1:16" x14ac:dyDescent="0.25">
      <c r="A202" s="8">
        <f t="shared" ref="A202:A207" si="8">+A201+1</f>
        <v>195</v>
      </c>
      <c r="B202" s="176"/>
      <c r="C202" s="176"/>
      <c r="D202" s="177"/>
      <c r="E202" s="181"/>
      <c r="F202" s="181"/>
      <c r="G202" s="181"/>
      <c r="H202" s="181"/>
      <c r="I202" s="178"/>
      <c r="J202" s="181"/>
      <c r="K202" s="178"/>
      <c r="L202" s="179"/>
      <c r="M202" s="178"/>
      <c r="N202" s="178"/>
      <c r="O202" s="178"/>
      <c r="P202" s="178"/>
    </row>
    <row r="203" spans="1:16" x14ac:dyDescent="0.25">
      <c r="A203" s="8">
        <f t="shared" si="8"/>
        <v>196</v>
      </c>
      <c r="B203" s="176"/>
      <c r="C203" s="176"/>
      <c r="D203" s="177"/>
      <c r="E203" s="181"/>
      <c r="F203" s="181"/>
      <c r="G203" s="181"/>
      <c r="H203" s="181"/>
      <c r="I203" s="178"/>
      <c r="J203" s="181"/>
      <c r="K203" s="178"/>
      <c r="L203" s="179"/>
      <c r="M203" s="178"/>
      <c r="N203" s="178"/>
      <c r="O203" s="178"/>
      <c r="P203" s="178"/>
    </row>
    <row r="204" spans="1:16" x14ac:dyDescent="0.25">
      <c r="A204" s="8">
        <f t="shared" si="8"/>
        <v>197</v>
      </c>
      <c r="B204" s="176"/>
      <c r="C204" s="176"/>
      <c r="D204" s="177"/>
      <c r="E204" s="181"/>
      <c r="F204" s="181"/>
      <c r="G204" s="181"/>
      <c r="H204" s="181"/>
      <c r="I204" s="178"/>
      <c r="J204" s="181"/>
      <c r="K204" s="178"/>
      <c r="L204" s="179"/>
      <c r="M204" s="178"/>
      <c r="N204" s="178"/>
      <c r="O204" s="178"/>
      <c r="P204" s="178"/>
    </row>
    <row r="205" spans="1:16" x14ac:dyDescent="0.25">
      <c r="A205" s="8">
        <f t="shared" si="8"/>
        <v>198</v>
      </c>
      <c r="B205" s="176"/>
      <c r="C205" s="176"/>
      <c r="D205" s="177"/>
      <c r="E205" s="181"/>
      <c r="F205" s="181"/>
      <c r="G205" s="181"/>
      <c r="H205" s="181"/>
      <c r="I205" s="178"/>
      <c r="J205" s="181"/>
      <c r="K205" s="178"/>
      <c r="L205" s="179"/>
      <c r="M205" s="178"/>
      <c r="N205" s="178"/>
      <c r="O205" s="178"/>
      <c r="P205" s="178"/>
    </row>
    <row r="206" spans="1:16" x14ac:dyDescent="0.25">
      <c r="A206" s="8">
        <f t="shared" si="8"/>
        <v>199</v>
      </c>
      <c r="B206" s="176"/>
      <c r="C206" s="176"/>
      <c r="D206" s="177"/>
      <c r="E206" s="181"/>
      <c r="F206" s="181"/>
      <c r="G206" s="181"/>
      <c r="H206" s="181"/>
      <c r="I206" s="178"/>
      <c r="J206" s="181"/>
      <c r="K206" s="178"/>
      <c r="L206" s="179"/>
      <c r="M206" s="178"/>
      <c r="N206" s="178"/>
      <c r="O206" s="178"/>
      <c r="P206" s="178"/>
    </row>
    <row r="207" spans="1:16" x14ac:dyDescent="0.25">
      <c r="A207" s="8">
        <f t="shared" si="8"/>
        <v>200</v>
      </c>
      <c r="B207" s="176"/>
      <c r="C207" s="176"/>
      <c r="D207" s="177"/>
      <c r="E207" s="181"/>
      <c r="F207" s="181"/>
      <c r="G207" s="181"/>
      <c r="H207" s="181"/>
      <c r="I207" s="178"/>
      <c r="J207" s="181"/>
      <c r="K207" s="178"/>
      <c r="L207" s="179"/>
      <c r="M207" s="178"/>
      <c r="N207" s="178"/>
      <c r="O207" s="178"/>
      <c r="P207" s="178"/>
    </row>
  </sheetData>
  <sheetProtection selectLockedCells="1"/>
  <sortState xmlns:xlrd2="http://schemas.microsoft.com/office/spreadsheetml/2017/richdata2" ref="B8:R16">
    <sortCondition ref="M8:M16"/>
    <sortCondition ref="B8:B16"/>
  </sortState>
  <mergeCells count="3">
    <mergeCell ref="A1:B1"/>
    <mergeCell ref="I4:M4"/>
    <mergeCell ref="B4:C4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ConsyBrackets">
              <controlPr defaultSize="0" print="0" autoFill="0" autoPict="0">
                <anchor moveWithCells="1" sizeWithCells="1">
                  <from>
                    <xdr:col>16</xdr:col>
                    <xdr:colOff>247650</xdr:colOff>
                    <xdr:row>2</xdr:row>
                    <xdr:rowOff>85725</xdr:rowOff>
                  </from>
                  <to>
                    <xdr:col>20</xdr:col>
                    <xdr:colOff>228600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>
                <anchor moveWithCells="1" sizeWithCells="1">
                  <from>
                    <xdr:col>2</xdr:col>
                    <xdr:colOff>400050</xdr:colOff>
                    <xdr:row>2</xdr:row>
                    <xdr:rowOff>9525</xdr:rowOff>
                  </from>
                  <to>
                    <xdr:col>3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onsyBrackets">
              <controlPr defaultSize="0" print="0" autoFill="0" autoPict="0">
                <anchor moveWithCells="1" sizeWithCells="1">
                  <from>
                    <xdr:col>21</xdr:col>
                    <xdr:colOff>247650</xdr:colOff>
                    <xdr:row>2</xdr:row>
                    <xdr:rowOff>85725</xdr:rowOff>
                  </from>
                  <to>
                    <xdr:col>33</xdr:col>
                    <xdr:colOff>190500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R156"/>
  <sheetViews>
    <sheetView workbookViewId="0"/>
  </sheetViews>
  <sheetFormatPr defaultColWidth="21.28515625" defaultRowHeight="9" customHeight="1" x14ac:dyDescent="0.15"/>
  <cols>
    <col min="1" max="1" width="3.85546875" style="234" customWidth="1"/>
    <col min="2" max="7" width="30.7109375" style="234" customWidth="1"/>
    <col min="8" max="8" width="9.28515625" style="222" customWidth="1"/>
    <col min="9" max="9" width="7.7109375" style="230" hidden="1" customWidth="1"/>
    <col min="10" max="11" width="5.5703125" style="230" hidden="1" customWidth="1"/>
    <col min="12" max="13" width="3.5703125" style="230" hidden="1" customWidth="1"/>
    <col min="14" max="14" width="4.7109375" style="230" hidden="1" customWidth="1"/>
    <col min="15" max="15" width="21" style="231" hidden="1" customWidth="1"/>
    <col min="16" max="16" width="9.28515625" style="230" hidden="1" customWidth="1"/>
    <col min="17" max="17" width="21.28515625" style="231" hidden="1" customWidth="1"/>
    <col min="18" max="18" width="11.140625" style="230" hidden="1" customWidth="1"/>
    <col min="19" max="16384" width="21.28515625" style="222"/>
  </cols>
  <sheetData>
    <row r="1" spans="1:18" ht="24.95" customHeight="1" x14ac:dyDescent="0.25">
      <c r="A1" s="260"/>
      <c r="B1" s="261" t="s">
        <v>175</v>
      </c>
      <c r="C1" s="260"/>
      <c r="D1" s="262"/>
      <c r="E1" s="220"/>
      <c r="F1" s="220"/>
      <c r="G1" s="220"/>
      <c r="I1" s="223"/>
      <c r="J1" s="224" t="s">
        <v>136</v>
      </c>
      <c r="K1" s="225" t="s">
        <v>137</v>
      </c>
      <c r="L1" s="226" t="s">
        <v>138</v>
      </c>
      <c r="M1" s="226" t="s">
        <v>139</v>
      </c>
      <c r="N1" s="223"/>
      <c r="O1" s="223"/>
      <c r="P1" s="223"/>
      <c r="Q1" s="223"/>
      <c r="R1" s="223"/>
    </row>
    <row r="2" spans="1:18" ht="24.95" customHeight="1" x14ac:dyDescent="0.25">
      <c r="A2" s="260"/>
      <c r="B2" s="263" t="s">
        <v>162</v>
      </c>
      <c r="C2" s="263" t="s">
        <v>163</v>
      </c>
      <c r="D2" s="263" t="s">
        <v>164</v>
      </c>
      <c r="E2" s="248" t="s">
        <v>165</v>
      </c>
      <c r="F2" s="248" t="s">
        <v>166</v>
      </c>
      <c r="G2" s="248" t="s">
        <v>167</v>
      </c>
      <c r="I2" s="230" t="s">
        <v>141</v>
      </c>
      <c r="J2" s="217">
        <v>9</v>
      </c>
      <c r="K2" s="230">
        <v>12.75</v>
      </c>
      <c r="L2" s="230">
        <v>25</v>
      </c>
      <c r="M2" s="230">
        <v>25</v>
      </c>
    </row>
    <row r="3" spans="1:18" ht="24.95" customHeight="1" x14ac:dyDescent="0.25">
      <c r="A3" s="260"/>
      <c r="B3" s="272" t="s">
        <v>139</v>
      </c>
      <c r="C3" s="273">
        <v>2</v>
      </c>
      <c r="D3" s="274"/>
      <c r="E3" s="249"/>
      <c r="F3" s="254"/>
      <c r="G3" s="249"/>
      <c r="I3" s="230" t="s">
        <v>142</v>
      </c>
      <c r="J3" s="230">
        <v>20.57</v>
      </c>
      <c r="K3" s="230">
        <v>25</v>
      </c>
      <c r="L3" s="230">
        <v>30</v>
      </c>
      <c r="M3" s="230">
        <v>30</v>
      </c>
    </row>
    <row r="4" spans="1:18" ht="24.95" customHeight="1" x14ac:dyDescent="0.25">
      <c r="A4" s="264">
        <v>1</v>
      </c>
      <c r="B4" s="265"/>
      <c r="C4" s="266"/>
      <c r="D4" s="266"/>
      <c r="E4" s="220"/>
      <c r="I4" s="230" t="s">
        <v>143</v>
      </c>
      <c r="J4" s="230">
        <v>7</v>
      </c>
      <c r="K4" s="230">
        <v>10</v>
      </c>
      <c r="L4" s="230">
        <v>12</v>
      </c>
      <c r="M4" s="230">
        <v>12</v>
      </c>
    </row>
    <row r="5" spans="1:18" ht="24.95" customHeight="1" x14ac:dyDescent="0.25">
      <c r="A5" s="264"/>
      <c r="B5" s="267"/>
      <c r="C5" s="265"/>
      <c r="D5" s="266"/>
      <c r="E5" s="220"/>
      <c r="I5" s="230" t="s">
        <v>144</v>
      </c>
      <c r="J5" s="230" t="s">
        <v>145</v>
      </c>
      <c r="K5" s="230" t="s">
        <v>146</v>
      </c>
      <c r="L5" s="230" t="s">
        <v>147</v>
      </c>
      <c r="M5" s="230" t="s">
        <v>148</v>
      </c>
    </row>
    <row r="6" spans="1:18" ht="24.95" customHeight="1" x14ac:dyDescent="0.25">
      <c r="A6" s="264">
        <v>4</v>
      </c>
      <c r="B6" s="268"/>
      <c r="C6" s="269"/>
      <c r="D6" s="270"/>
      <c r="E6" s="238"/>
      <c r="F6" s="238"/>
      <c r="G6" s="238"/>
      <c r="I6" s="230" t="s">
        <v>149</v>
      </c>
      <c r="J6" s="230">
        <v>66</v>
      </c>
      <c r="K6" s="230">
        <v>34</v>
      </c>
      <c r="L6" s="230">
        <v>18</v>
      </c>
      <c r="M6" s="230">
        <v>10</v>
      </c>
    </row>
    <row r="7" spans="1:18" ht="24.95" customHeight="1" x14ac:dyDescent="0.25">
      <c r="A7" s="264"/>
      <c r="B7" s="260"/>
      <c r="C7" s="269"/>
      <c r="D7" s="270"/>
      <c r="E7" s="238"/>
      <c r="F7" s="238"/>
      <c r="G7" s="238"/>
    </row>
    <row r="8" spans="1:18" ht="24.95" customHeight="1" x14ac:dyDescent="0.25">
      <c r="A8" s="264">
        <v>3</v>
      </c>
      <c r="B8" s="265"/>
      <c r="C8" s="269"/>
      <c r="D8" s="260"/>
      <c r="E8" s="238"/>
      <c r="J8" s="230" t="s">
        <v>150</v>
      </c>
    </row>
    <row r="9" spans="1:18" ht="24.95" customHeight="1" x14ac:dyDescent="0.25">
      <c r="A9" s="264"/>
      <c r="B9" s="267"/>
      <c r="C9" s="268"/>
      <c r="D9" s="271"/>
      <c r="E9" s="238"/>
      <c r="F9" s="238"/>
      <c r="G9" s="238"/>
      <c r="I9" s="230">
        <v>1</v>
      </c>
      <c r="J9" s="230">
        <v>4</v>
      </c>
      <c r="K9" s="230">
        <v>4</v>
      </c>
      <c r="L9" s="217">
        <v>4</v>
      </c>
      <c r="M9" s="217">
        <v>4</v>
      </c>
    </row>
    <row r="10" spans="1:18" ht="24.95" customHeight="1" x14ac:dyDescent="0.25">
      <c r="A10" s="264">
        <v>2</v>
      </c>
      <c r="B10" s="268"/>
      <c r="C10" s="270"/>
      <c r="D10" s="261"/>
      <c r="E10" s="238"/>
      <c r="F10" s="238"/>
      <c r="G10" s="238"/>
      <c r="I10" s="230">
        <v>2</v>
      </c>
      <c r="J10" s="230">
        <v>66</v>
      </c>
      <c r="K10" s="230">
        <v>34</v>
      </c>
      <c r="L10" s="217">
        <v>18</v>
      </c>
      <c r="M10" s="217">
        <v>10</v>
      </c>
    </row>
    <row r="11" spans="1:18" ht="9" customHeight="1" x14ac:dyDescent="0.15">
      <c r="A11" s="232"/>
      <c r="B11" s="239"/>
      <c r="C11" s="238"/>
      <c r="D11" s="221"/>
      <c r="E11" s="238"/>
      <c r="F11" s="238"/>
      <c r="G11" s="238"/>
      <c r="I11" s="230">
        <v>3</v>
      </c>
      <c r="J11" s="230">
        <v>36</v>
      </c>
      <c r="K11" s="230">
        <v>20</v>
      </c>
      <c r="L11" s="217">
        <v>12</v>
      </c>
      <c r="M11" s="217">
        <v>8</v>
      </c>
    </row>
    <row r="12" spans="1:18" ht="9" customHeight="1" x14ac:dyDescent="0.15">
      <c r="A12" s="232"/>
      <c r="B12" s="233"/>
      <c r="C12" s="238"/>
      <c r="D12" s="221"/>
      <c r="E12" s="239"/>
      <c r="F12" s="238"/>
      <c r="G12" s="238"/>
      <c r="I12" s="230">
        <v>4</v>
      </c>
      <c r="J12" s="230">
        <v>34</v>
      </c>
      <c r="K12" s="230">
        <v>18</v>
      </c>
      <c r="L12" s="217">
        <v>10</v>
      </c>
      <c r="M12" s="217">
        <v>6</v>
      </c>
    </row>
    <row r="13" spans="1:18" ht="9" hidden="1" customHeight="1" x14ac:dyDescent="0.15">
      <c r="A13" s="232"/>
      <c r="B13" s="235"/>
      <c r="C13" s="233"/>
      <c r="D13" s="237"/>
      <c r="E13" s="240"/>
      <c r="F13" s="238"/>
      <c r="G13" s="238"/>
      <c r="I13" s="230">
        <v>5</v>
      </c>
      <c r="J13" s="230">
        <v>20</v>
      </c>
      <c r="K13" s="230">
        <v>12</v>
      </c>
      <c r="L13" s="217">
        <v>8</v>
      </c>
      <c r="M13" s="217"/>
    </row>
    <row r="14" spans="1:18" ht="9" hidden="1" customHeight="1" x14ac:dyDescent="0.15">
      <c r="A14" s="232"/>
      <c r="B14" s="236"/>
      <c r="C14" s="237"/>
      <c r="D14" s="237"/>
      <c r="E14" s="237"/>
      <c r="F14" s="238"/>
      <c r="G14" s="238"/>
      <c r="I14" s="230">
        <v>6</v>
      </c>
      <c r="J14" s="230">
        <v>50</v>
      </c>
      <c r="K14" s="230">
        <v>26</v>
      </c>
      <c r="L14" s="217">
        <v>14</v>
      </c>
      <c r="M14" s="217"/>
    </row>
    <row r="15" spans="1:18" ht="9" hidden="1" customHeight="1" x14ac:dyDescent="0.15">
      <c r="A15" s="227"/>
      <c r="B15" s="239"/>
      <c r="C15" s="237"/>
      <c r="D15" s="237"/>
      <c r="E15" s="237"/>
      <c r="F15" s="221"/>
      <c r="G15" s="221"/>
      <c r="I15" s="230">
        <v>7</v>
      </c>
      <c r="J15" s="230">
        <v>52</v>
      </c>
      <c r="K15" s="230">
        <v>28</v>
      </c>
      <c r="L15" s="217">
        <v>16</v>
      </c>
      <c r="M15" s="217"/>
    </row>
    <row r="16" spans="1:18" ht="9" hidden="1" customHeight="1" x14ac:dyDescent="0.15">
      <c r="A16" s="232"/>
      <c r="B16" s="233"/>
      <c r="C16" s="237"/>
      <c r="D16" s="236"/>
      <c r="E16" s="237"/>
      <c r="F16" s="238"/>
      <c r="G16" s="238"/>
      <c r="I16" s="230">
        <v>8</v>
      </c>
      <c r="J16" s="230">
        <v>18</v>
      </c>
      <c r="K16" s="230">
        <v>10</v>
      </c>
      <c r="L16" s="217">
        <v>6</v>
      </c>
      <c r="M16" s="217"/>
    </row>
    <row r="17" spans="1:13" ht="9" hidden="1" customHeight="1" x14ac:dyDescent="0.15">
      <c r="A17" s="232"/>
      <c r="B17" s="235"/>
      <c r="C17" s="236"/>
      <c r="D17" s="238"/>
      <c r="E17" s="237"/>
      <c r="F17" s="238"/>
      <c r="G17" s="238"/>
      <c r="I17" s="230">
        <v>9</v>
      </c>
      <c r="J17" s="230">
        <v>12</v>
      </c>
      <c r="K17" s="230">
        <v>8</v>
      </c>
      <c r="L17" s="217"/>
      <c r="M17" s="217"/>
    </row>
    <row r="18" spans="1:13" ht="9" hidden="1" customHeight="1" x14ac:dyDescent="0.15">
      <c r="A18" s="232"/>
      <c r="B18" s="236"/>
      <c r="C18" s="238"/>
      <c r="D18" s="238"/>
      <c r="E18" s="237"/>
      <c r="F18" s="238"/>
      <c r="G18" s="238"/>
      <c r="I18" s="230">
        <v>10</v>
      </c>
      <c r="J18" s="230">
        <v>58</v>
      </c>
      <c r="K18" s="230">
        <v>30</v>
      </c>
      <c r="L18" s="217"/>
      <c r="M18" s="217"/>
    </row>
    <row r="19" spans="1:13" ht="9" hidden="1" customHeight="1" x14ac:dyDescent="0.15">
      <c r="A19" s="232"/>
      <c r="B19" s="239"/>
      <c r="C19" s="238"/>
      <c r="D19" s="238"/>
      <c r="E19" s="237"/>
      <c r="F19" s="238"/>
      <c r="G19" s="238"/>
      <c r="I19" s="230">
        <v>11</v>
      </c>
      <c r="J19" s="230">
        <v>44</v>
      </c>
      <c r="K19" s="230">
        <v>24</v>
      </c>
      <c r="L19" s="217"/>
      <c r="M19" s="217"/>
    </row>
    <row r="20" spans="1:13" ht="9" hidden="1" customHeight="1" x14ac:dyDescent="0.15">
      <c r="A20" s="232"/>
      <c r="B20" s="233"/>
      <c r="C20" s="238"/>
      <c r="D20" s="238"/>
      <c r="E20" s="237"/>
      <c r="F20" s="239"/>
      <c r="G20" s="238"/>
      <c r="I20" s="230">
        <v>12</v>
      </c>
      <c r="J20" s="230">
        <v>26</v>
      </c>
      <c r="K20" s="230">
        <v>14</v>
      </c>
      <c r="L20" s="217"/>
      <c r="M20" s="217"/>
    </row>
    <row r="21" spans="1:13" ht="9" hidden="1" customHeight="1" x14ac:dyDescent="0.15">
      <c r="A21" s="232"/>
      <c r="B21" s="235"/>
      <c r="C21" s="233"/>
      <c r="D21" s="238"/>
      <c r="E21" s="237"/>
      <c r="F21" s="240"/>
      <c r="G21" s="238"/>
      <c r="I21" s="230">
        <v>13</v>
      </c>
      <c r="J21" s="230">
        <v>28</v>
      </c>
      <c r="K21" s="230">
        <v>16</v>
      </c>
      <c r="L21" s="217"/>
      <c r="M21" s="217"/>
    </row>
    <row r="22" spans="1:13" ht="9" hidden="1" customHeight="1" x14ac:dyDescent="0.15">
      <c r="A22" s="232"/>
      <c r="B22" s="236"/>
      <c r="C22" s="237"/>
      <c r="D22" s="238"/>
      <c r="E22" s="237"/>
      <c r="F22" s="237"/>
      <c r="G22" s="238"/>
      <c r="I22" s="230">
        <v>14</v>
      </c>
      <c r="J22" s="230">
        <v>42</v>
      </c>
      <c r="K22" s="230">
        <v>22</v>
      </c>
      <c r="L22" s="217"/>
      <c r="M22" s="217"/>
    </row>
    <row r="23" spans="1:13" ht="9" hidden="1" customHeight="1" x14ac:dyDescent="0.15">
      <c r="A23" s="232"/>
      <c r="B23" s="239"/>
      <c r="C23" s="237"/>
      <c r="D23" s="238"/>
      <c r="E23" s="237"/>
      <c r="F23" s="237"/>
      <c r="G23" s="238"/>
      <c r="I23" s="230">
        <v>15</v>
      </c>
      <c r="J23" s="230">
        <v>60</v>
      </c>
      <c r="K23" s="230">
        <v>32</v>
      </c>
      <c r="L23" s="217"/>
      <c r="M23" s="217"/>
    </row>
    <row r="24" spans="1:13" ht="9" hidden="1" customHeight="1" x14ac:dyDescent="0.15">
      <c r="A24" s="232"/>
      <c r="B24" s="233"/>
      <c r="C24" s="237"/>
      <c r="D24" s="233"/>
      <c r="E24" s="237"/>
      <c r="F24" s="237"/>
      <c r="G24" s="238"/>
      <c r="I24" s="230">
        <v>16</v>
      </c>
      <c r="J24" s="230">
        <v>10</v>
      </c>
      <c r="K24" s="230">
        <v>6</v>
      </c>
      <c r="L24" s="217"/>
      <c r="M24" s="217"/>
    </row>
    <row r="25" spans="1:13" ht="9" hidden="1" customHeight="1" x14ac:dyDescent="0.15">
      <c r="A25" s="232"/>
      <c r="B25" s="235"/>
      <c r="C25" s="236"/>
      <c r="D25" s="237"/>
      <c r="E25" s="237"/>
      <c r="F25" s="237"/>
      <c r="G25" s="238"/>
      <c r="I25" s="230">
        <v>17</v>
      </c>
      <c r="J25" s="230">
        <v>8</v>
      </c>
      <c r="L25" s="217"/>
      <c r="M25" s="217"/>
    </row>
    <row r="26" spans="1:13" ht="9" hidden="1" customHeight="1" x14ac:dyDescent="0.15">
      <c r="A26" s="232"/>
      <c r="B26" s="236"/>
      <c r="C26" s="238"/>
      <c r="D26" s="237"/>
      <c r="E26" s="237"/>
      <c r="F26" s="237"/>
      <c r="G26" s="238"/>
      <c r="I26" s="230">
        <v>18</v>
      </c>
      <c r="J26" s="230">
        <v>62</v>
      </c>
      <c r="L26" s="217"/>
      <c r="M26" s="217"/>
    </row>
    <row r="27" spans="1:13" ht="9" hidden="1" customHeight="1" x14ac:dyDescent="0.15">
      <c r="A27" s="227"/>
      <c r="B27" s="239"/>
      <c r="C27" s="221"/>
      <c r="D27" s="237"/>
      <c r="E27" s="237"/>
      <c r="F27" s="237"/>
      <c r="G27" s="221"/>
      <c r="I27" s="230">
        <v>19</v>
      </c>
      <c r="J27" s="230">
        <v>40</v>
      </c>
      <c r="L27" s="217"/>
      <c r="M27" s="217"/>
    </row>
    <row r="28" spans="1:13" ht="9" hidden="1" customHeight="1" x14ac:dyDescent="0.15">
      <c r="A28" s="232"/>
      <c r="B28" s="233"/>
      <c r="C28" s="238"/>
      <c r="D28" s="237"/>
      <c r="E28" s="236"/>
      <c r="F28" s="237"/>
      <c r="G28" s="238"/>
      <c r="I28" s="230">
        <v>20</v>
      </c>
      <c r="J28" s="230">
        <v>30</v>
      </c>
      <c r="L28" s="217"/>
      <c r="M28" s="217"/>
    </row>
    <row r="29" spans="1:13" ht="9" hidden="1" customHeight="1" x14ac:dyDescent="0.15">
      <c r="A29" s="232"/>
      <c r="B29" s="235"/>
      <c r="C29" s="233"/>
      <c r="D29" s="237"/>
      <c r="E29" s="238"/>
      <c r="F29" s="237"/>
      <c r="G29" s="238"/>
      <c r="I29" s="230">
        <v>21</v>
      </c>
      <c r="J29" s="230">
        <v>24</v>
      </c>
      <c r="L29" s="217"/>
      <c r="M29" s="217"/>
    </row>
    <row r="30" spans="1:13" ht="9" hidden="1" customHeight="1" x14ac:dyDescent="0.15">
      <c r="A30" s="232"/>
      <c r="B30" s="236"/>
      <c r="C30" s="237"/>
      <c r="D30" s="237"/>
      <c r="E30" s="238"/>
      <c r="F30" s="237"/>
      <c r="G30" s="238"/>
      <c r="I30" s="230">
        <v>22</v>
      </c>
      <c r="J30" s="230">
        <v>46</v>
      </c>
      <c r="L30" s="217"/>
      <c r="M30" s="217"/>
    </row>
    <row r="31" spans="1:13" ht="9" hidden="1" customHeight="1" x14ac:dyDescent="0.15">
      <c r="A31" s="232"/>
      <c r="B31" s="239"/>
      <c r="C31" s="237"/>
      <c r="D31" s="237"/>
      <c r="E31" s="238"/>
      <c r="F31" s="237"/>
      <c r="G31" s="238"/>
      <c r="I31" s="230">
        <v>23</v>
      </c>
      <c r="J31" s="230">
        <v>56</v>
      </c>
      <c r="L31" s="217"/>
      <c r="M31" s="217"/>
    </row>
    <row r="32" spans="1:13" ht="9" hidden="1" customHeight="1" x14ac:dyDescent="0.15">
      <c r="A32" s="232"/>
      <c r="B32" s="233"/>
      <c r="C32" s="237"/>
      <c r="D32" s="236"/>
      <c r="E32" s="238"/>
      <c r="F32" s="237"/>
      <c r="G32" s="238"/>
      <c r="I32" s="230">
        <v>24</v>
      </c>
      <c r="J32" s="230">
        <v>14</v>
      </c>
      <c r="L32" s="217"/>
      <c r="M32" s="217"/>
    </row>
    <row r="33" spans="1:15" ht="9" hidden="1" customHeight="1" x14ac:dyDescent="0.15">
      <c r="A33" s="232"/>
      <c r="B33" s="235"/>
      <c r="C33" s="236"/>
      <c r="D33" s="238"/>
      <c r="E33" s="238"/>
      <c r="F33" s="237"/>
      <c r="G33" s="238"/>
      <c r="I33" s="230">
        <v>25</v>
      </c>
      <c r="J33" s="230">
        <v>16</v>
      </c>
      <c r="L33" s="217"/>
      <c r="M33" s="217"/>
    </row>
    <row r="34" spans="1:15" ht="9" hidden="1" customHeight="1" x14ac:dyDescent="0.15">
      <c r="A34" s="232"/>
      <c r="B34" s="236"/>
      <c r="C34" s="238"/>
      <c r="D34" s="238"/>
      <c r="E34" s="238"/>
      <c r="F34" s="237"/>
      <c r="G34" s="238"/>
      <c r="I34" s="230">
        <v>26</v>
      </c>
      <c r="J34" s="230">
        <v>54</v>
      </c>
      <c r="L34" s="217"/>
      <c r="M34" s="217"/>
    </row>
    <row r="35" spans="1:15" ht="9" hidden="1" customHeight="1" x14ac:dyDescent="0.15">
      <c r="A35" s="232"/>
      <c r="B35" s="239"/>
      <c r="C35" s="238"/>
      <c r="D35" s="238"/>
      <c r="E35" s="238"/>
      <c r="F35" s="237"/>
      <c r="G35" s="238"/>
      <c r="I35" s="230">
        <v>27</v>
      </c>
      <c r="J35" s="230">
        <v>48</v>
      </c>
      <c r="L35" s="217"/>
      <c r="M35" s="217"/>
    </row>
    <row r="36" spans="1:15" ht="9" hidden="1" customHeight="1" x14ac:dyDescent="0.15">
      <c r="A36" s="232"/>
      <c r="B36" s="233"/>
      <c r="C36" s="238"/>
      <c r="D36" s="238"/>
      <c r="E36" s="238"/>
      <c r="F36" s="237"/>
      <c r="G36" s="233"/>
      <c r="I36" s="230">
        <v>28</v>
      </c>
      <c r="J36" s="230">
        <v>22</v>
      </c>
      <c r="L36" s="217"/>
      <c r="M36" s="217"/>
    </row>
    <row r="37" spans="1:15" ht="9" hidden="1" customHeight="1" x14ac:dyDescent="0.15">
      <c r="A37" s="232"/>
      <c r="B37" s="235"/>
      <c r="C37" s="233"/>
      <c r="D37" s="238"/>
      <c r="E37" s="238"/>
      <c r="F37" s="237"/>
      <c r="G37" s="238"/>
      <c r="I37" s="230">
        <v>29</v>
      </c>
      <c r="J37" s="230">
        <v>32</v>
      </c>
      <c r="L37" s="217"/>
      <c r="M37" s="217"/>
    </row>
    <row r="38" spans="1:15" ht="9" hidden="1" customHeight="1" x14ac:dyDescent="0.15">
      <c r="A38" s="232"/>
      <c r="B38" s="236"/>
      <c r="C38" s="237"/>
      <c r="D38" s="238"/>
      <c r="E38" s="238"/>
      <c r="F38" s="237"/>
      <c r="G38" s="238"/>
      <c r="I38" s="230">
        <v>30</v>
      </c>
      <c r="J38" s="230">
        <v>38</v>
      </c>
      <c r="L38" s="217"/>
      <c r="M38" s="217"/>
    </row>
    <row r="39" spans="1:15" ht="9" hidden="1" customHeight="1" x14ac:dyDescent="0.15">
      <c r="A39" s="232"/>
      <c r="B39" s="239"/>
      <c r="C39" s="237"/>
      <c r="D39" s="238"/>
      <c r="E39" s="238"/>
      <c r="F39" s="237"/>
      <c r="G39" s="238"/>
      <c r="I39" s="230">
        <v>31</v>
      </c>
      <c r="J39" s="230">
        <v>64</v>
      </c>
      <c r="L39" s="217"/>
      <c r="M39" s="217"/>
    </row>
    <row r="40" spans="1:15" ht="9" hidden="1" customHeight="1" x14ac:dyDescent="0.15">
      <c r="A40" s="232"/>
      <c r="B40" s="233"/>
      <c r="C40" s="237"/>
      <c r="D40" s="233"/>
      <c r="E40" s="238"/>
      <c r="F40" s="237"/>
      <c r="G40" s="238"/>
      <c r="I40" s="230">
        <v>32</v>
      </c>
      <c r="J40" s="230">
        <v>6</v>
      </c>
      <c r="L40" s="217"/>
      <c r="M40" s="217"/>
    </row>
    <row r="41" spans="1:15" ht="9" hidden="1" customHeight="1" x14ac:dyDescent="0.15">
      <c r="A41" s="232"/>
      <c r="B41" s="235"/>
      <c r="C41" s="236"/>
      <c r="D41" s="240"/>
      <c r="E41" s="238"/>
      <c r="F41" s="237"/>
      <c r="G41" s="238"/>
      <c r="L41" s="217"/>
      <c r="M41" s="217"/>
    </row>
    <row r="42" spans="1:15" ht="9" hidden="1" customHeight="1" x14ac:dyDescent="0.15">
      <c r="A42" s="232"/>
      <c r="B42" s="236"/>
      <c r="C42" s="238"/>
      <c r="D42" s="237"/>
      <c r="E42" s="238"/>
      <c r="F42" s="237"/>
      <c r="G42" s="238"/>
      <c r="L42" s="217"/>
      <c r="M42" s="217"/>
    </row>
    <row r="43" spans="1:15" ht="9" hidden="1" customHeight="1" x14ac:dyDescent="0.15">
      <c r="A43" s="232"/>
      <c r="B43" s="239"/>
      <c r="C43" s="238"/>
      <c r="D43" s="237"/>
      <c r="E43" s="238"/>
      <c r="F43" s="237"/>
      <c r="G43" s="238"/>
      <c r="L43" s="217"/>
      <c r="M43" s="217"/>
    </row>
    <row r="44" spans="1:15" ht="9" hidden="1" customHeight="1" x14ac:dyDescent="0.15">
      <c r="A44" s="232"/>
      <c r="B44" s="233"/>
      <c r="C44" s="238"/>
      <c r="D44" s="237"/>
      <c r="E44" s="233"/>
      <c r="F44" s="237"/>
      <c r="G44" s="238"/>
      <c r="I44" s="229"/>
      <c r="J44" s="227" t="s">
        <v>136</v>
      </c>
      <c r="K44" s="228" t="s">
        <v>137</v>
      </c>
      <c r="L44" s="228" t="s">
        <v>138</v>
      </c>
      <c r="M44" s="228" t="s">
        <v>139</v>
      </c>
      <c r="N44" s="227">
        <v>2</v>
      </c>
      <c r="O44" s="229"/>
    </row>
    <row r="45" spans="1:15" ht="9" hidden="1" customHeight="1" x14ac:dyDescent="0.15">
      <c r="A45" s="232"/>
      <c r="B45" s="235"/>
      <c r="C45" s="233"/>
      <c r="D45" s="237"/>
      <c r="E45" s="240"/>
      <c r="F45" s="237"/>
      <c r="G45" s="238"/>
      <c r="I45" s="229" t="s">
        <v>151</v>
      </c>
      <c r="J45" s="229" t="s">
        <v>152</v>
      </c>
      <c r="K45" s="229" t="s">
        <v>146</v>
      </c>
      <c r="L45" s="227" t="s">
        <v>147</v>
      </c>
      <c r="M45" s="227" t="s">
        <v>148</v>
      </c>
      <c r="N45" s="229"/>
      <c r="O45" s="220"/>
    </row>
    <row r="46" spans="1:15" ht="9" hidden="1" customHeight="1" x14ac:dyDescent="0.15">
      <c r="A46" s="232"/>
      <c r="B46" s="236"/>
      <c r="C46" s="237"/>
      <c r="D46" s="237"/>
      <c r="E46" s="237"/>
      <c r="F46" s="237"/>
      <c r="G46" s="238"/>
      <c r="L46" s="217"/>
      <c r="M46" s="217"/>
    </row>
    <row r="47" spans="1:15" ht="9" hidden="1" customHeight="1" x14ac:dyDescent="0.15">
      <c r="A47" s="232"/>
      <c r="B47" s="239"/>
      <c r="C47" s="237"/>
      <c r="D47" s="237"/>
      <c r="E47" s="237"/>
      <c r="F47" s="237"/>
      <c r="G47" s="238"/>
      <c r="L47" s="217"/>
      <c r="M47" s="217"/>
    </row>
    <row r="48" spans="1:15" ht="9" hidden="1" customHeight="1" x14ac:dyDescent="0.15">
      <c r="A48" s="232"/>
      <c r="B48" s="233"/>
      <c r="C48" s="237"/>
      <c r="D48" s="241"/>
      <c r="E48" s="237"/>
      <c r="F48" s="237"/>
      <c r="G48" s="238"/>
      <c r="L48" s="217"/>
      <c r="M48" s="217"/>
    </row>
    <row r="49" spans="1:13" ht="9" hidden="1" customHeight="1" x14ac:dyDescent="0.15">
      <c r="A49" s="232"/>
      <c r="B49" s="235"/>
      <c r="C49" s="236"/>
      <c r="D49" s="238"/>
      <c r="E49" s="237"/>
      <c r="F49" s="237"/>
      <c r="G49" s="238"/>
      <c r="L49" s="217"/>
      <c r="M49" s="217"/>
    </row>
    <row r="50" spans="1:13" ht="9" hidden="1" customHeight="1" x14ac:dyDescent="0.15">
      <c r="A50" s="232"/>
      <c r="B50" s="236"/>
      <c r="C50" s="238"/>
      <c r="D50" s="238"/>
      <c r="E50" s="237"/>
      <c r="F50" s="237"/>
      <c r="G50" s="238"/>
      <c r="L50" s="217"/>
      <c r="M50" s="217"/>
    </row>
    <row r="51" spans="1:13" ht="9" hidden="1" customHeight="1" x14ac:dyDescent="0.15">
      <c r="A51" s="232"/>
      <c r="B51" s="239"/>
      <c r="C51" s="238"/>
      <c r="D51" s="238"/>
      <c r="E51" s="237"/>
      <c r="F51" s="237"/>
      <c r="G51" s="238"/>
      <c r="M51" s="217"/>
    </row>
    <row r="52" spans="1:13" ht="9" hidden="1" customHeight="1" x14ac:dyDescent="0.15">
      <c r="A52" s="232"/>
      <c r="B52" s="233"/>
      <c r="C52" s="238"/>
      <c r="D52" s="238"/>
      <c r="E52" s="237"/>
      <c r="F52" s="241"/>
      <c r="G52" s="238"/>
      <c r="M52" s="217"/>
    </row>
    <row r="53" spans="1:13" ht="9" hidden="1" customHeight="1" x14ac:dyDescent="0.15">
      <c r="A53" s="232"/>
      <c r="B53" s="235"/>
      <c r="C53" s="233"/>
      <c r="D53" s="238"/>
      <c r="E53" s="237"/>
      <c r="F53" s="238"/>
      <c r="G53" s="238"/>
      <c r="M53" s="217"/>
    </row>
    <row r="54" spans="1:13" ht="9" hidden="1" customHeight="1" x14ac:dyDescent="0.15">
      <c r="A54" s="232"/>
      <c r="B54" s="236"/>
      <c r="C54" s="237"/>
      <c r="D54" s="238"/>
      <c r="E54" s="237"/>
      <c r="F54" s="238"/>
      <c r="G54" s="238"/>
      <c r="M54" s="217"/>
    </row>
    <row r="55" spans="1:13" ht="9" hidden="1" customHeight="1" x14ac:dyDescent="0.15">
      <c r="A55" s="232"/>
      <c r="B55" s="239"/>
      <c r="C55" s="237"/>
      <c r="D55" s="238"/>
      <c r="E55" s="237"/>
      <c r="F55" s="238"/>
      <c r="G55" s="238"/>
      <c r="M55" s="217"/>
    </row>
    <row r="56" spans="1:13" ht="9" hidden="1" customHeight="1" x14ac:dyDescent="0.15">
      <c r="A56" s="232"/>
      <c r="B56" s="233"/>
      <c r="C56" s="237"/>
      <c r="D56" s="233"/>
      <c r="E56" s="237"/>
      <c r="F56" s="238"/>
      <c r="G56" s="238"/>
      <c r="M56" s="217"/>
    </row>
    <row r="57" spans="1:13" ht="9" hidden="1" customHeight="1" x14ac:dyDescent="0.15">
      <c r="A57" s="232"/>
      <c r="B57" s="235"/>
      <c r="C57" s="236"/>
      <c r="D57" s="240"/>
      <c r="E57" s="237"/>
      <c r="F57" s="238"/>
      <c r="G57" s="238"/>
      <c r="M57" s="217"/>
    </row>
    <row r="58" spans="1:13" ht="9" hidden="1" customHeight="1" x14ac:dyDescent="0.15">
      <c r="A58" s="232"/>
      <c r="B58" s="236"/>
      <c r="C58" s="238"/>
      <c r="D58" s="237"/>
      <c r="E58" s="237"/>
      <c r="F58" s="238"/>
      <c r="G58" s="238"/>
      <c r="M58" s="217"/>
    </row>
    <row r="59" spans="1:13" ht="9" hidden="1" customHeight="1" x14ac:dyDescent="0.15">
      <c r="A59" s="232"/>
      <c r="B59" s="239"/>
      <c r="C59" s="238"/>
      <c r="D59" s="237"/>
      <c r="E59" s="237"/>
      <c r="F59" s="238"/>
      <c r="G59" s="238"/>
      <c r="M59" s="217"/>
    </row>
    <row r="60" spans="1:13" ht="9" hidden="1" customHeight="1" x14ac:dyDescent="0.15">
      <c r="A60" s="232"/>
      <c r="B60" s="233"/>
      <c r="C60" s="238"/>
      <c r="D60" s="237"/>
      <c r="E60" s="241"/>
      <c r="F60" s="238"/>
      <c r="G60" s="238"/>
      <c r="M60" s="217"/>
    </row>
    <row r="61" spans="1:13" ht="9" hidden="1" customHeight="1" x14ac:dyDescent="0.15">
      <c r="A61" s="232"/>
      <c r="B61" s="235"/>
      <c r="C61" s="233"/>
      <c r="D61" s="237"/>
      <c r="E61" s="238"/>
      <c r="F61" s="238"/>
      <c r="G61" s="238"/>
      <c r="M61" s="217"/>
    </row>
    <row r="62" spans="1:13" ht="9" hidden="1" customHeight="1" x14ac:dyDescent="0.15">
      <c r="A62" s="232"/>
      <c r="B62" s="236"/>
      <c r="C62" s="237"/>
      <c r="D62" s="237"/>
      <c r="E62" s="238"/>
      <c r="F62" s="238"/>
      <c r="G62" s="238"/>
      <c r="M62" s="217"/>
    </row>
    <row r="63" spans="1:13" ht="9" hidden="1" customHeight="1" x14ac:dyDescent="0.15">
      <c r="A63" s="232"/>
      <c r="B63" s="239"/>
      <c r="C63" s="237"/>
      <c r="D63" s="237"/>
      <c r="E63" s="238"/>
      <c r="F63" s="238"/>
      <c r="G63" s="238"/>
      <c r="M63" s="217"/>
    </row>
    <row r="64" spans="1:13" ht="9" hidden="1" customHeight="1" x14ac:dyDescent="0.15">
      <c r="A64" s="232"/>
      <c r="B64" s="233"/>
      <c r="C64" s="237"/>
      <c r="D64" s="236"/>
      <c r="E64" s="238"/>
      <c r="F64" s="238"/>
      <c r="G64" s="238"/>
      <c r="M64" s="217"/>
    </row>
    <row r="65" spans="1:13" ht="9" hidden="1" customHeight="1" x14ac:dyDescent="0.15">
      <c r="A65" s="232"/>
      <c r="B65" s="235"/>
      <c r="C65" s="236"/>
      <c r="D65" s="238"/>
      <c r="E65" s="238"/>
      <c r="F65" s="238"/>
      <c r="G65" s="238"/>
      <c r="M65" s="242"/>
    </row>
    <row r="66" spans="1:13" ht="9" hidden="1" customHeight="1" x14ac:dyDescent="0.15">
      <c r="A66" s="232"/>
      <c r="B66" s="236"/>
      <c r="C66" s="238"/>
      <c r="D66" s="238"/>
      <c r="E66" s="238"/>
      <c r="F66" s="238"/>
      <c r="G66" s="238"/>
      <c r="M66" s="243"/>
    </row>
    <row r="67" spans="1:13" ht="9" hidden="1" customHeight="1" x14ac:dyDescent="0.15">
      <c r="A67" s="232"/>
      <c r="B67" s="244"/>
      <c r="C67" s="238"/>
      <c r="D67" s="238"/>
      <c r="E67" s="238"/>
      <c r="F67" s="238"/>
      <c r="G67" s="238"/>
    </row>
    <row r="68" spans="1:13" ht="9" hidden="1" customHeight="1" x14ac:dyDescent="0.15"/>
    <row r="69" spans="1:13" ht="9" hidden="1" customHeight="1" x14ac:dyDescent="0.15">
      <c r="A69" s="234" t="s">
        <v>153</v>
      </c>
    </row>
    <row r="70" spans="1:13" ht="9" hidden="1" customHeight="1" x14ac:dyDescent="0.15">
      <c r="B70" s="234" t="s">
        <v>154</v>
      </c>
      <c r="C70" s="234" t="s">
        <v>155</v>
      </c>
      <c r="D70" s="234" t="s">
        <v>156</v>
      </c>
      <c r="E70" s="234" t="s">
        <v>157</v>
      </c>
    </row>
    <row r="71" spans="1:13" ht="9" hidden="1" customHeight="1" x14ac:dyDescent="0.15">
      <c r="A71" s="234">
        <v>1</v>
      </c>
      <c r="B71" s="234" t="s">
        <v>158</v>
      </c>
      <c r="C71" s="234">
        <v>3</v>
      </c>
    </row>
    <row r="72" spans="1:13" ht="9" hidden="1" customHeight="1" x14ac:dyDescent="0.15">
      <c r="A72" s="234">
        <v>2</v>
      </c>
      <c r="B72" s="234" t="s">
        <v>159</v>
      </c>
      <c r="C72" s="234">
        <v>2</v>
      </c>
    </row>
    <row r="73" spans="1:13" ht="9" hidden="1" customHeight="1" x14ac:dyDescent="0.15">
      <c r="A73" s="234">
        <v>3</v>
      </c>
      <c r="B73" s="234" t="s">
        <v>148</v>
      </c>
      <c r="C73" s="234">
        <v>1</v>
      </c>
      <c r="G73" s="222"/>
    </row>
    <row r="74" spans="1:13" ht="9" hidden="1" customHeight="1" x14ac:dyDescent="0.15">
      <c r="A74" s="234">
        <v>4</v>
      </c>
      <c r="B74" s="234" t="s">
        <v>147</v>
      </c>
      <c r="C74" s="234">
        <v>0</v>
      </c>
      <c r="G74" s="245"/>
    </row>
    <row r="75" spans="1:13" ht="9" hidden="1" customHeight="1" x14ac:dyDescent="0.15">
      <c r="A75" s="234">
        <v>5</v>
      </c>
      <c r="B75" s="234" t="s">
        <v>146</v>
      </c>
      <c r="C75" s="234">
        <v>0</v>
      </c>
    </row>
    <row r="76" spans="1:13" ht="9" hidden="1" customHeight="1" x14ac:dyDescent="0.15">
      <c r="A76" s="234">
        <v>6</v>
      </c>
      <c r="B76" s="234" t="s">
        <v>145</v>
      </c>
      <c r="C76" s="234">
        <v>0</v>
      </c>
    </row>
    <row r="77" spans="1:13" ht="9" hidden="1" customHeight="1" x14ac:dyDescent="0.15"/>
    <row r="78" spans="1:13" ht="9" hidden="1" customHeight="1" x14ac:dyDescent="0.15"/>
    <row r="79" spans="1:13" ht="9" hidden="1" customHeight="1" x14ac:dyDescent="0.15"/>
    <row r="80" spans="1:13" ht="9" hidden="1" customHeight="1" x14ac:dyDescent="0.15"/>
    <row r="81" spans="1:7" ht="9" hidden="1" customHeight="1" x14ac:dyDescent="0.15"/>
    <row r="82" spans="1:7" ht="9" hidden="1" customHeight="1" x14ac:dyDescent="0.15"/>
    <row r="83" spans="1:7" ht="9" hidden="1" customHeight="1" x14ac:dyDescent="0.15">
      <c r="A83" s="234" t="s">
        <v>160</v>
      </c>
    </row>
    <row r="84" spans="1:7" ht="9" hidden="1" customHeight="1" x14ac:dyDescent="0.15">
      <c r="B84" s="234">
        <v>4</v>
      </c>
      <c r="C84" s="234">
        <v>5</v>
      </c>
      <c r="D84" s="234">
        <v>8</v>
      </c>
      <c r="E84" s="234">
        <v>12</v>
      </c>
      <c r="F84" s="234">
        <v>20</v>
      </c>
      <c r="G84" s="234">
        <v>36</v>
      </c>
    </row>
    <row r="85" spans="1:7" ht="9" hidden="1" customHeight="1" x14ac:dyDescent="0.15">
      <c r="B85" s="234">
        <v>6</v>
      </c>
      <c r="C85" s="234">
        <v>5</v>
      </c>
      <c r="D85" s="234">
        <v>8</v>
      </c>
      <c r="E85" s="234">
        <v>12</v>
      </c>
      <c r="F85" s="234">
        <v>20</v>
      </c>
      <c r="G85" s="234">
        <v>36</v>
      </c>
    </row>
    <row r="86" spans="1:7" ht="9" hidden="1" customHeight="1" x14ac:dyDescent="0.15">
      <c r="B86" s="234">
        <v>8</v>
      </c>
      <c r="C86" s="234">
        <v>9</v>
      </c>
      <c r="D86" s="234">
        <v>8</v>
      </c>
      <c r="E86" s="234">
        <v>12</v>
      </c>
      <c r="F86" s="234">
        <v>20</v>
      </c>
      <c r="G86" s="234">
        <v>36</v>
      </c>
    </row>
    <row r="87" spans="1:7" ht="9" hidden="1" customHeight="1" x14ac:dyDescent="0.15">
      <c r="B87" s="234">
        <v>10</v>
      </c>
      <c r="C87" s="234">
        <v>9</v>
      </c>
      <c r="D87" s="234">
        <v>8</v>
      </c>
      <c r="E87" s="234">
        <v>12</v>
      </c>
      <c r="F87" s="234">
        <v>20</v>
      </c>
      <c r="G87" s="234">
        <v>36</v>
      </c>
    </row>
    <row r="88" spans="1:7" ht="9" hidden="1" customHeight="1" x14ac:dyDescent="0.15">
      <c r="B88" s="234">
        <v>12</v>
      </c>
      <c r="C88" s="234">
        <v>13</v>
      </c>
      <c r="D88" s="234">
        <v>16</v>
      </c>
      <c r="E88" s="234">
        <v>12</v>
      </c>
      <c r="F88" s="234">
        <v>20</v>
      </c>
      <c r="G88" s="234">
        <v>36</v>
      </c>
    </row>
    <row r="89" spans="1:7" ht="9" hidden="1" customHeight="1" x14ac:dyDescent="0.15">
      <c r="B89" s="234">
        <v>14</v>
      </c>
      <c r="C89" s="234">
        <v>13</v>
      </c>
      <c r="D89" s="234">
        <v>16</v>
      </c>
      <c r="E89" s="234">
        <v>12</v>
      </c>
      <c r="F89" s="234">
        <v>20</v>
      </c>
      <c r="G89" s="234">
        <v>36</v>
      </c>
    </row>
    <row r="90" spans="1:7" ht="9" hidden="1" customHeight="1" x14ac:dyDescent="0.15">
      <c r="B90" s="234">
        <v>16</v>
      </c>
      <c r="C90" s="234">
        <v>17</v>
      </c>
      <c r="D90" s="234">
        <v>16</v>
      </c>
      <c r="E90" s="234">
        <v>12</v>
      </c>
      <c r="F90" s="234">
        <v>20</v>
      </c>
      <c r="G90" s="234">
        <v>36</v>
      </c>
    </row>
    <row r="91" spans="1:7" ht="9" hidden="1" customHeight="1" x14ac:dyDescent="0.15">
      <c r="B91" s="234">
        <v>18</v>
      </c>
      <c r="C91" s="234">
        <v>17</v>
      </c>
      <c r="D91" s="234">
        <v>16</v>
      </c>
      <c r="E91" s="234">
        <v>12</v>
      </c>
      <c r="F91" s="234">
        <v>20</v>
      </c>
      <c r="G91" s="234">
        <v>36</v>
      </c>
    </row>
    <row r="92" spans="1:7" ht="9" hidden="1" customHeight="1" x14ac:dyDescent="0.15">
      <c r="B92" s="234">
        <v>20</v>
      </c>
      <c r="C92" s="234">
        <v>21</v>
      </c>
      <c r="D92" s="234">
        <v>24</v>
      </c>
      <c r="E92" s="234">
        <v>28</v>
      </c>
      <c r="F92" s="234">
        <v>20</v>
      </c>
      <c r="G92" s="234">
        <v>36</v>
      </c>
    </row>
    <row r="93" spans="1:7" ht="9" hidden="1" customHeight="1" x14ac:dyDescent="0.15">
      <c r="B93" s="234">
        <v>22</v>
      </c>
      <c r="C93" s="234">
        <v>21</v>
      </c>
      <c r="D93" s="234">
        <v>24</v>
      </c>
      <c r="E93" s="234">
        <v>28</v>
      </c>
      <c r="F93" s="234">
        <v>20</v>
      </c>
      <c r="G93" s="234">
        <v>36</v>
      </c>
    </row>
    <row r="94" spans="1:7" ht="9" hidden="1" customHeight="1" x14ac:dyDescent="0.15">
      <c r="B94" s="234">
        <v>24</v>
      </c>
      <c r="C94" s="234">
        <v>25</v>
      </c>
      <c r="D94" s="234">
        <v>24</v>
      </c>
      <c r="E94" s="234">
        <v>28</v>
      </c>
      <c r="F94" s="234">
        <v>20</v>
      </c>
      <c r="G94" s="234">
        <v>36</v>
      </c>
    </row>
    <row r="95" spans="1:7" ht="9" hidden="1" customHeight="1" x14ac:dyDescent="0.15">
      <c r="B95" s="234">
        <v>26</v>
      </c>
      <c r="C95" s="234">
        <v>25</v>
      </c>
      <c r="D95" s="234">
        <v>24</v>
      </c>
      <c r="E95" s="234">
        <v>28</v>
      </c>
      <c r="F95" s="234">
        <v>20</v>
      </c>
      <c r="G95" s="234">
        <v>36</v>
      </c>
    </row>
    <row r="96" spans="1:7" ht="9" hidden="1" customHeight="1" x14ac:dyDescent="0.15">
      <c r="B96" s="234">
        <v>28</v>
      </c>
      <c r="C96" s="234">
        <v>29</v>
      </c>
      <c r="D96" s="234">
        <v>32</v>
      </c>
      <c r="E96" s="234">
        <v>28</v>
      </c>
      <c r="F96" s="234">
        <v>20</v>
      </c>
      <c r="G96" s="234">
        <v>36</v>
      </c>
    </row>
    <row r="97" spans="2:7" ht="9" hidden="1" customHeight="1" x14ac:dyDescent="0.15">
      <c r="B97" s="234">
        <v>30</v>
      </c>
      <c r="C97" s="234">
        <v>29</v>
      </c>
      <c r="D97" s="234">
        <v>32</v>
      </c>
      <c r="E97" s="234">
        <v>28</v>
      </c>
      <c r="F97" s="234">
        <v>20</v>
      </c>
      <c r="G97" s="234">
        <v>36</v>
      </c>
    </row>
    <row r="98" spans="2:7" ht="9" hidden="1" customHeight="1" x14ac:dyDescent="0.15">
      <c r="B98" s="234">
        <v>32</v>
      </c>
      <c r="C98" s="234">
        <v>33</v>
      </c>
      <c r="D98" s="234">
        <v>32</v>
      </c>
      <c r="E98" s="234">
        <v>28</v>
      </c>
      <c r="F98" s="234">
        <v>20</v>
      </c>
      <c r="G98" s="234">
        <v>36</v>
      </c>
    </row>
    <row r="99" spans="2:7" ht="9" hidden="1" customHeight="1" x14ac:dyDescent="0.15">
      <c r="B99" s="234">
        <v>34</v>
      </c>
      <c r="C99" s="234">
        <v>33</v>
      </c>
      <c r="D99" s="234">
        <v>32</v>
      </c>
      <c r="E99" s="234">
        <v>28</v>
      </c>
      <c r="F99" s="234">
        <v>20</v>
      </c>
      <c r="G99" s="234">
        <v>36</v>
      </c>
    </row>
    <row r="100" spans="2:7" ht="9" hidden="1" customHeight="1" x14ac:dyDescent="0.15">
      <c r="B100" s="234">
        <v>36</v>
      </c>
      <c r="C100" s="234">
        <v>37</v>
      </c>
      <c r="D100" s="234">
        <v>40</v>
      </c>
      <c r="E100" s="234">
        <v>44</v>
      </c>
      <c r="F100" s="234">
        <v>52</v>
      </c>
      <c r="G100" s="234">
        <v>36</v>
      </c>
    </row>
    <row r="101" spans="2:7" ht="9" hidden="1" customHeight="1" x14ac:dyDescent="0.15">
      <c r="B101" s="234">
        <v>38</v>
      </c>
      <c r="C101" s="234">
        <v>37</v>
      </c>
      <c r="D101" s="234">
        <v>40</v>
      </c>
      <c r="E101" s="234">
        <v>44</v>
      </c>
      <c r="F101" s="234">
        <v>52</v>
      </c>
      <c r="G101" s="234">
        <v>36</v>
      </c>
    </row>
    <row r="102" spans="2:7" ht="9" hidden="1" customHeight="1" x14ac:dyDescent="0.15">
      <c r="B102" s="234">
        <v>40</v>
      </c>
      <c r="C102" s="234">
        <v>41</v>
      </c>
      <c r="D102" s="234">
        <v>40</v>
      </c>
      <c r="E102" s="234">
        <v>44</v>
      </c>
      <c r="F102" s="234">
        <v>52</v>
      </c>
      <c r="G102" s="234">
        <v>36</v>
      </c>
    </row>
    <row r="103" spans="2:7" ht="9" hidden="1" customHeight="1" x14ac:dyDescent="0.15">
      <c r="B103" s="234">
        <v>42</v>
      </c>
      <c r="C103" s="234">
        <v>41</v>
      </c>
      <c r="D103" s="234">
        <v>40</v>
      </c>
      <c r="E103" s="234">
        <v>44</v>
      </c>
      <c r="F103" s="234">
        <v>52</v>
      </c>
      <c r="G103" s="234">
        <v>36</v>
      </c>
    </row>
    <row r="104" spans="2:7" ht="9" hidden="1" customHeight="1" x14ac:dyDescent="0.15">
      <c r="B104" s="234">
        <v>44</v>
      </c>
      <c r="C104" s="234">
        <v>45</v>
      </c>
      <c r="D104" s="234">
        <v>48</v>
      </c>
      <c r="E104" s="234">
        <v>44</v>
      </c>
      <c r="F104" s="234">
        <v>52</v>
      </c>
      <c r="G104" s="234">
        <v>36</v>
      </c>
    </row>
    <row r="105" spans="2:7" ht="9" hidden="1" customHeight="1" x14ac:dyDescent="0.15">
      <c r="B105" s="234">
        <v>46</v>
      </c>
      <c r="C105" s="234">
        <v>45</v>
      </c>
      <c r="D105" s="234">
        <v>48</v>
      </c>
      <c r="E105" s="234">
        <v>44</v>
      </c>
      <c r="F105" s="234">
        <v>52</v>
      </c>
      <c r="G105" s="234">
        <v>36</v>
      </c>
    </row>
    <row r="106" spans="2:7" ht="9" hidden="1" customHeight="1" x14ac:dyDescent="0.15">
      <c r="B106" s="234">
        <v>48</v>
      </c>
      <c r="C106" s="234">
        <v>49</v>
      </c>
      <c r="D106" s="234">
        <v>48</v>
      </c>
      <c r="E106" s="234">
        <v>44</v>
      </c>
      <c r="F106" s="234">
        <v>52</v>
      </c>
      <c r="G106" s="234">
        <v>36</v>
      </c>
    </row>
    <row r="107" spans="2:7" ht="9" hidden="1" customHeight="1" x14ac:dyDescent="0.15">
      <c r="B107" s="234">
        <v>50</v>
      </c>
      <c r="C107" s="234">
        <v>49</v>
      </c>
      <c r="D107" s="234">
        <v>48</v>
      </c>
      <c r="E107" s="234">
        <v>44</v>
      </c>
      <c r="F107" s="234">
        <v>52</v>
      </c>
      <c r="G107" s="234">
        <v>36</v>
      </c>
    </row>
    <row r="108" spans="2:7" ht="9" hidden="1" customHeight="1" x14ac:dyDescent="0.15">
      <c r="B108" s="234">
        <v>52</v>
      </c>
      <c r="C108" s="234">
        <v>53</v>
      </c>
      <c r="D108" s="234">
        <v>56</v>
      </c>
      <c r="E108" s="234">
        <v>60</v>
      </c>
      <c r="F108" s="234">
        <v>52</v>
      </c>
      <c r="G108" s="234">
        <v>36</v>
      </c>
    </row>
    <row r="109" spans="2:7" ht="9" hidden="1" customHeight="1" x14ac:dyDescent="0.15">
      <c r="B109" s="234">
        <v>54</v>
      </c>
      <c r="C109" s="234">
        <v>53</v>
      </c>
      <c r="D109" s="234">
        <v>56</v>
      </c>
      <c r="E109" s="234">
        <v>60</v>
      </c>
      <c r="F109" s="234">
        <v>52</v>
      </c>
      <c r="G109" s="234">
        <v>36</v>
      </c>
    </row>
    <row r="110" spans="2:7" ht="9" hidden="1" customHeight="1" x14ac:dyDescent="0.15">
      <c r="B110" s="234">
        <v>56</v>
      </c>
      <c r="C110" s="234">
        <v>57</v>
      </c>
      <c r="D110" s="234">
        <v>56</v>
      </c>
      <c r="E110" s="234">
        <v>60</v>
      </c>
      <c r="F110" s="234">
        <v>52</v>
      </c>
      <c r="G110" s="234">
        <v>36</v>
      </c>
    </row>
    <row r="111" spans="2:7" ht="9" hidden="1" customHeight="1" x14ac:dyDescent="0.15">
      <c r="B111" s="234">
        <v>58</v>
      </c>
      <c r="C111" s="234">
        <v>57</v>
      </c>
      <c r="D111" s="234">
        <v>56</v>
      </c>
      <c r="E111" s="234">
        <v>60</v>
      </c>
      <c r="F111" s="234">
        <v>52</v>
      </c>
      <c r="G111" s="234">
        <v>36</v>
      </c>
    </row>
    <row r="112" spans="2:7" ht="9" hidden="1" customHeight="1" x14ac:dyDescent="0.15">
      <c r="B112" s="234">
        <v>60</v>
      </c>
      <c r="C112" s="234">
        <v>61</v>
      </c>
      <c r="D112" s="234">
        <v>64</v>
      </c>
      <c r="E112" s="234">
        <v>60</v>
      </c>
      <c r="F112" s="234">
        <v>52</v>
      </c>
      <c r="G112" s="234">
        <v>36</v>
      </c>
    </row>
    <row r="113" spans="1:7" ht="9" hidden="1" customHeight="1" x14ac:dyDescent="0.15">
      <c r="B113" s="234">
        <v>62</v>
      </c>
      <c r="C113" s="234">
        <v>61</v>
      </c>
      <c r="D113" s="234">
        <v>64</v>
      </c>
      <c r="E113" s="234">
        <v>60</v>
      </c>
      <c r="F113" s="234">
        <v>52</v>
      </c>
      <c r="G113" s="234">
        <v>36</v>
      </c>
    </row>
    <row r="114" spans="1:7" ht="9" hidden="1" customHeight="1" x14ac:dyDescent="0.15">
      <c r="B114" s="234">
        <v>64</v>
      </c>
      <c r="C114" s="234">
        <v>65</v>
      </c>
      <c r="D114" s="234">
        <v>64</v>
      </c>
      <c r="E114" s="234">
        <v>60</v>
      </c>
      <c r="F114" s="234">
        <v>52</v>
      </c>
      <c r="G114" s="234">
        <v>36</v>
      </c>
    </row>
    <row r="115" spans="1:7" ht="9" hidden="1" customHeight="1" x14ac:dyDescent="0.15">
      <c r="B115" s="234">
        <v>66</v>
      </c>
      <c r="C115" s="234">
        <v>65</v>
      </c>
      <c r="D115" s="234">
        <v>64</v>
      </c>
      <c r="E115" s="234">
        <v>60</v>
      </c>
      <c r="F115" s="234">
        <v>52</v>
      </c>
      <c r="G115" s="234">
        <v>36</v>
      </c>
    </row>
    <row r="116" spans="1:7" ht="9" hidden="1" customHeight="1" x14ac:dyDescent="0.15"/>
    <row r="117" spans="1:7" ht="9" hidden="1" customHeight="1" x14ac:dyDescent="0.15"/>
    <row r="118" spans="1:7" ht="9" hidden="1" customHeight="1" x14ac:dyDescent="0.15"/>
    <row r="119" spans="1:7" ht="9" hidden="1" customHeight="1" x14ac:dyDescent="0.15"/>
    <row r="120" spans="1:7" ht="9" hidden="1" customHeight="1" x14ac:dyDescent="0.15"/>
    <row r="121" spans="1:7" ht="9" hidden="1" customHeight="1" x14ac:dyDescent="0.15"/>
    <row r="122" spans="1:7" ht="9" hidden="1" customHeight="1" x14ac:dyDescent="0.15"/>
    <row r="123" spans="1:7" ht="9" hidden="1" customHeight="1" x14ac:dyDescent="0.15">
      <c r="A123" s="234" t="s">
        <v>161</v>
      </c>
    </row>
    <row r="124" spans="1:7" ht="9" hidden="1" customHeight="1" x14ac:dyDescent="0.15">
      <c r="A124" s="234">
        <v>4</v>
      </c>
      <c r="B124" s="234">
        <v>6</v>
      </c>
      <c r="C124" s="234">
        <v>9</v>
      </c>
      <c r="D124" s="234">
        <v>16</v>
      </c>
      <c r="E124" s="234">
        <v>28</v>
      </c>
      <c r="F124" s="234">
        <v>52</v>
      </c>
      <c r="G124" s="234">
        <v>1</v>
      </c>
    </row>
    <row r="125" spans="1:7" ht="9" hidden="1" customHeight="1" x14ac:dyDescent="0.15">
      <c r="A125" s="234">
        <v>6</v>
      </c>
      <c r="B125" s="234">
        <v>4</v>
      </c>
      <c r="C125" s="234">
        <v>9</v>
      </c>
      <c r="D125" s="234">
        <v>16</v>
      </c>
      <c r="E125" s="234">
        <v>28</v>
      </c>
      <c r="F125" s="234">
        <v>52</v>
      </c>
      <c r="G125" s="234">
        <v>2</v>
      </c>
    </row>
    <row r="126" spans="1:7" ht="9" hidden="1" customHeight="1" x14ac:dyDescent="0.15">
      <c r="A126" s="234">
        <v>8</v>
      </c>
      <c r="B126" s="234">
        <v>10</v>
      </c>
      <c r="C126" s="234">
        <v>5</v>
      </c>
      <c r="D126" s="234">
        <v>16</v>
      </c>
      <c r="E126" s="234">
        <v>28</v>
      </c>
      <c r="F126" s="234">
        <v>52</v>
      </c>
      <c r="G126" s="234">
        <v>3</v>
      </c>
    </row>
    <row r="127" spans="1:7" ht="9" hidden="1" customHeight="1" x14ac:dyDescent="0.15">
      <c r="A127" s="234">
        <v>10</v>
      </c>
      <c r="B127" s="234">
        <v>8</v>
      </c>
      <c r="C127" s="234">
        <v>5</v>
      </c>
      <c r="D127" s="234">
        <v>16</v>
      </c>
      <c r="E127" s="234">
        <v>28</v>
      </c>
      <c r="F127" s="234">
        <v>52</v>
      </c>
      <c r="G127" s="234">
        <v>4</v>
      </c>
    </row>
    <row r="128" spans="1:7" ht="9" hidden="1" customHeight="1" x14ac:dyDescent="0.15">
      <c r="A128" s="234">
        <v>12</v>
      </c>
      <c r="B128" s="234">
        <v>14</v>
      </c>
      <c r="C128" s="234">
        <v>17</v>
      </c>
      <c r="D128" s="234">
        <v>8</v>
      </c>
      <c r="E128" s="234">
        <v>28</v>
      </c>
      <c r="F128" s="234">
        <v>52</v>
      </c>
      <c r="G128" s="234">
        <v>5</v>
      </c>
    </row>
    <row r="129" spans="1:7" ht="9" hidden="1" customHeight="1" x14ac:dyDescent="0.15">
      <c r="A129" s="234">
        <v>14</v>
      </c>
      <c r="B129" s="234">
        <v>12</v>
      </c>
      <c r="C129" s="234">
        <v>17</v>
      </c>
      <c r="D129" s="234">
        <v>8</v>
      </c>
      <c r="E129" s="234">
        <v>28</v>
      </c>
      <c r="F129" s="234">
        <v>52</v>
      </c>
      <c r="G129" s="234">
        <v>6</v>
      </c>
    </row>
    <row r="130" spans="1:7" ht="9" hidden="1" customHeight="1" x14ac:dyDescent="0.15">
      <c r="A130" s="234">
        <v>16</v>
      </c>
      <c r="B130" s="234">
        <v>18</v>
      </c>
      <c r="C130" s="234">
        <v>13</v>
      </c>
      <c r="D130" s="234">
        <v>8</v>
      </c>
      <c r="E130" s="234">
        <v>28</v>
      </c>
      <c r="F130" s="234">
        <v>52</v>
      </c>
      <c r="G130" s="234">
        <v>7</v>
      </c>
    </row>
    <row r="131" spans="1:7" ht="9" hidden="1" customHeight="1" x14ac:dyDescent="0.15">
      <c r="A131" s="234">
        <v>18</v>
      </c>
      <c r="B131" s="234">
        <v>16</v>
      </c>
      <c r="C131" s="234">
        <v>13</v>
      </c>
      <c r="D131" s="234">
        <v>8</v>
      </c>
      <c r="E131" s="234">
        <v>28</v>
      </c>
      <c r="F131" s="234">
        <v>52</v>
      </c>
      <c r="G131" s="234">
        <v>8</v>
      </c>
    </row>
    <row r="132" spans="1:7" ht="9" hidden="1" customHeight="1" x14ac:dyDescent="0.15">
      <c r="A132" s="234">
        <v>20</v>
      </c>
      <c r="B132" s="234">
        <v>22</v>
      </c>
      <c r="C132" s="234">
        <v>25</v>
      </c>
      <c r="D132" s="234">
        <v>32</v>
      </c>
      <c r="E132" s="234">
        <v>12</v>
      </c>
      <c r="F132" s="234">
        <v>52</v>
      </c>
      <c r="G132" s="234">
        <v>9</v>
      </c>
    </row>
    <row r="133" spans="1:7" ht="9" hidden="1" customHeight="1" x14ac:dyDescent="0.15">
      <c r="A133" s="234">
        <v>22</v>
      </c>
      <c r="B133" s="234">
        <v>20</v>
      </c>
      <c r="C133" s="234">
        <v>25</v>
      </c>
      <c r="D133" s="234">
        <v>32</v>
      </c>
      <c r="E133" s="234">
        <v>12</v>
      </c>
      <c r="F133" s="234">
        <v>52</v>
      </c>
      <c r="G133" s="234">
        <v>10</v>
      </c>
    </row>
    <row r="134" spans="1:7" ht="9" hidden="1" customHeight="1" x14ac:dyDescent="0.15">
      <c r="A134" s="234">
        <v>24</v>
      </c>
      <c r="B134" s="234">
        <v>26</v>
      </c>
      <c r="C134" s="234">
        <v>21</v>
      </c>
      <c r="D134" s="234">
        <v>32</v>
      </c>
      <c r="E134" s="234">
        <v>12</v>
      </c>
      <c r="F134" s="234">
        <v>52</v>
      </c>
      <c r="G134" s="234">
        <v>11</v>
      </c>
    </row>
    <row r="135" spans="1:7" ht="9" hidden="1" customHeight="1" x14ac:dyDescent="0.15">
      <c r="A135" s="234">
        <v>26</v>
      </c>
      <c r="B135" s="234">
        <v>24</v>
      </c>
      <c r="C135" s="234">
        <v>21</v>
      </c>
      <c r="D135" s="234">
        <v>32</v>
      </c>
      <c r="E135" s="234">
        <v>12</v>
      </c>
      <c r="F135" s="234">
        <v>52</v>
      </c>
      <c r="G135" s="234">
        <v>12</v>
      </c>
    </row>
    <row r="136" spans="1:7" ht="9" hidden="1" customHeight="1" x14ac:dyDescent="0.15">
      <c r="A136" s="234">
        <v>28</v>
      </c>
      <c r="B136" s="234">
        <v>30</v>
      </c>
      <c r="C136" s="234">
        <v>33</v>
      </c>
      <c r="D136" s="234">
        <v>24</v>
      </c>
      <c r="E136" s="234">
        <v>12</v>
      </c>
      <c r="F136" s="234">
        <v>52</v>
      </c>
      <c r="G136" s="234">
        <v>13</v>
      </c>
    </row>
    <row r="137" spans="1:7" ht="9" hidden="1" customHeight="1" x14ac:dyDescent="0.15">
      <c r="A137" s="234">
        <v>30</v>
      </c>
      <c r="B137" s="234">
        <v>28</v>
      </c>
      <c r="C137" s="234">
        <v>33</v>
      </c>
      <c r="D137" s="234">
        <v>24</v>
      </c>
      <c r="E137" s="234">
        <v>12</v>
      </c>
      <c r="F137" s="234">
        <v>52</v>
      </c>
      <c r="G137" s="234">
        <v>14</v>
      </c>
    </row>
    <row r="138" spans="1:7" ht="9" hidden="1" customHeight="1" x14ac:dyDescent="0.15">
      <c r="A138" s="234">
        <v>32</v>
      </c>
      <c r="B138" s="234">
        <v>34</v>
      </c>
      <c r="C138" s="234">
        <v>29</v>
      </c>
      <c r="D138" s="234">
        <v>24</v>
      </c>
      <c r="E138" s="234">
        <v>12</v>
      </c>
      <c r="F138" s="234">
        <v>52</v>
      </c>
      <c r="G138" s="234">
        <v>15</v>
      </c>
    </row>
    <row r="139" spans="1:7" ht="9" hidden="1" customHeight="1" x14ac:dyDescent="0.15">
      <c r="A139" s="234">
        <v>34</v>
      </c>
      <c r="B139" s="234">
        <v>32</v>
      </c>
      <c r="C139" s="234">
        <v>29</v>
      </c>
      <c r="D139" s="234">
        <v>24</v>
      </c>
      <c r="E139" s="234">
        <v>12</v>
      </c>
      <c r="F139" s="234">
        <v>52</v>
      </c>
      <c r="G139" s="234">
        <v>16</v>
      </c>
    </row>
    <row r="140" spans="1:7" ht="9" hidden="1" customHeight="1" x14ac:dyDescent="0.15">
      <c r="A140" s="234">
        <v>36</v>
      </c>
      <c r="B140" s="234">
        <v>38</v>
      </c>
      <c r="C140" s="234">
        <v>41</v>
      </c>
      <c r="D140" s="234">
        <v>48</v>
      </c>
      <c r="E140" s="234">
        <v>60</v>
      </c>
      <c r="F140" s="234">
        <v>20</v>
      </c>
      <c r="G140" s="234">
        <v>17</v>
      </c>
    </row>
    <row r="141" spans="1:7" ht="9" hidden="1" customHeight="1" x14ac:dyDescent="0.15">
      <c r="A141" s="234">
        <v>38</v>
      </c>
      <c r="B141" s="234">
        <v>36</v>
      </c>
      <c r="C141" s="234">
        <v>41</v>
      </c>
      <c r="D141" s="234">
        <v>48</v>
      </c>
      <c r="E141" s="234">
        <v>60</v>
      </c>
      <c r="F141" s="234">
        <v>20</v>
      </c>
      <c r="G141" s="234">
        <v>18</v>
      </c>
    </row>
    <row r="142" spans="1:7" ht="9" hidden="1" customHeight="1" x14ac:dyDescent="0.15">
      <c r="A142" s="234">
        <v>40</v>
      </c>
      <c r="B142" s="234">
        <v>42</v>
      </c>
      <c r="C142" s="234">
        <v>37</v>
      </c>
      <c r="D142" s="234">
        <v>48</v>
      </c>
      <c r="E142" s="234">
        <v>60</v>
      </c>
      <c r="F142" s="234">
        <v>20</v>
      </c>
      <c r="G142" s="234">
        <v>19</v>
      </c>
    </row>
    <row r="143" spans="1:7" ht="9" hidden="1" customHeight="1" x14ac:dyDescent="0.15">
      <c r="A143" s="234">
        <v>42</v>
      </c>
      <c r="B143" s="234">
        <v>40</v>
      </c>
      <c r="C143" s="234">
        <v>37</v>
      </c>
      <c r="D143" s="234">
        <v>48</v>
      </c>
      <c r="E143" s="234">
        <v>60</v>
      </c>
      <c r="F143" s="234">
        <v>20</v>
      </c>
      <c r="G143" s="234">
        <v>20</v>
      </c>
    </row>
    <row r="144" spans="1:7" ht="9" hidden="1" customHeight="1" x14ac:dyDescent="0.15">
      <c r="A144" s="234">
        <v>44</v>
      </c>
      <c r="B144" s="234">
        <v>46</v>
      </c>
      <c r="C144" s="234">
        <v>49</v>
      </c>
      <c r="D144" s="234">
        <v>40</v>
      </c>
      <c r="E144" s="234">
        <v>60</v>
      </c>
      <c r="F144" s="234">
        <v>20</v>
      </c>
      <c r="G144" s="234">
        <v>21</v>
      </c>
    </row>
    <row r="145" spans="1:7" ht="9" hidden="1" customHeight="1" x14ac:dyDescent="0.15">
      <c r="A145" s="234">
        <v>46</v>
      </c>
      <c r="B145" s="234">
        <v>44</v>
      </c>
      <c r="C145" s="234">
        <v>49</v>
      </c>
      <c r="D145" s="234">
        <v>40</v>
      </c>
      <c r="E145" s="234">
        <v>60</v>
      </c>
      <c r="F145" s="234">
        <v>20</v>
      </c>
      <c r="G145" s="234">
        <v>22</v>
      </c>
    </row>
    <row r="146" spans="1:7" ht="9" hidden="1" customHeight="1" x14ac:dyDescent="0.15">
      <c r="A146" s="234">
        <v>48</v>
      </c>
      <c r="B146" s="234">
        <v>50</v>
      </c>
      <c r="C146" s="234">
        <v>45</v>
      </c>
      <c r="D146" s="234">
        <v>40</v>
      </c>
      <c r="E146" s="234">
        <v>60</v>
      </c>
      <c r="F146" s="234">
        <v>20</v>
      </c>
      <c r="G146" s="234">
        <v>23</v>
      </c>
    </row>
    <row r="147" spans="1:7" ht="9" hidden="1" customHeight="1" x14ac:dyDescent="0.15">
      <c r="A147" s="234">
        <v>50</v>
      </c>
      <c r="B147" s="234">
        <v>48</v>
      </c>
      <c r="C147" s="234">
        <v>45</v>
      </c>
      <c r="D147" s="234">
        <v>40</v>
      </c>
      <c r="E147" s="234">
        <v>60</v>
      </c>
      <c r="F147" s="234">
        <v>20</v>
      </c>
      <c r="G147" s="234">
        <v>24</v>
      </c>
    </row>
    <row r="148" spans="1:7" ht="9" hidden="1" customHeight="1" x14ac:dyDescent="0.15">
      <c r="A148" s="234">
        <v>52</v>
      </c>
      <c r="B148" s="234">
        <v>54</v>
      </c>
      <c r="C148" s="234">
        <v>57</v>
      </c>
      <c r="D148" s="234">
        <v>64</v>
      </c>
      <c r="E148" s="234">
        <v>44</v>
      </c>
      <c r="F148" s="234">
        <v>20</v>
      </c>
      <c r="G148" s="234">
        <v>25</v>
      </c>
    </row>
    <row r="149" spans="1:7" ht="9" hidden="1" customHeight="1" x14ac:dyDescent="0.15">
      <c r="A149" s="234">
        <v>54</v>
      </c>
      <c r="B149" s="234">
        <v>52</v>
      </c>
      <c r="C149" s="234">
        <v>57</v>
      </c>
      <c r="D149" s="234">
        <v>64</v>
      </c>
      <c r="E149" s="234">
        <v>44</v>
      </c>
      <c r="F149" s="234">
        <v>20</v>
      </c>
      <c r="G149" s="234">
        <v>26</v>
      </c>
    </row>
    <row r="150" spans="1:7" ht="9" hidden="1" customHeight="1" x14ac:dyDescent="0.15">
      <c r="A150" s="234">
        <v>56</v>
      </c>
      <c r="B150" s="234">
        <v>58</v>
      </c>
      <c r="C150" s="234">
        <v>53</v>
      </c>
      <c r="D150" s="234">
        <v>64</v>
      </c>
      <c r="E150" s="234">
        <v>44</v>
      </c>
      <c r="F150" s="234">
        <v>20</v>
      </c>
      <c r="G150" s="234">
        <v>27</v>
      </c>
    </row>
    <row r="151" spans="1:7" ht="9" hidden="1" customHeight="1" x14ac:dyDescent="0.15">
      <c r="A151" s="234">
        <v>58</v>
      </c>
      <c r="B151" s="234">
        <v>56</v>
      </c>
      <c r="C151" s="234">
        <v>53</v>
      </c>
      <c r="D151" s="234">
        <v>64</v>
      </c>
      <c r="E151" s="234">
        <v>44</v>
      </c>
      <c r="F151" s="234">
        <v>20</v>
      </c>
      <c r="G151" s="234">
        <v>28</v>
      </c>
    </row>
    <row r="152" spans="1:7" ht="9" hidden="1" customHeight="1" x14ac:dyDescent="0.15">
      <c r="A152" s="234">
        <v>60</v>
      </c>
      <c r="B152" s="234">
        <v>62</v>
      </c>
      <c r="C152" s="234">
        <v>65</v>
      </c>
      <c r="D152" s="234">
        <v>56</v>
      </c>
      <c r="E152" s="234">
        <v>44</v>
      </c>
      <c r="F152" s="234">
        <v>20</v>
      </c>
      <c r="G152" s="234">
        <v>29</v>
      </c>
    </row>
    <row r="153" spans="1:7" ht="9" hidden="1" customHeight="1" x14ac:dyDescent="0.15">
      <c r="A153" s="234">
        <v>62</v>
      </c>
      <c r="B153" s="234">
        <v>60</v>
      </c>
      <c r="C153" s="234">
        <v>65</v>
      </c>
      <c r="D153" s="234">
        <v>56</v>
      </c>
      <c r="E153" s="234">
        <v>44</v>
      </c>
      <c r="F153" s="234">
        <v>20</v>
      </c>
      <c r="G153" s="234">
        <v>30</v>
      </c>
    </row>
    <row r="154" spans="1:7" ht="9" hidden="1" customHeight="1" x14ac:dyDescent="0.15">
      <c r="A154" s="234">
        <v>64</v>
      </c>
      <c r="B154" s="234">
        <v>66</v>
      </c>
      <c r="C154" s="234">
        <v>61</v>
      </c>
      <c r="D154" s="234">
        <v>56</v>
      </c>
      <c r="E154" s="234">
        <v>44</v>
      </c>
      <c r="F154" s="234">
        <v>20</v>
      </c>
      <c r="G154" s="234">
        <v>31</v>
      </c>
    </row>
    <row r="155" spans="1:7" ht="9" hidden="1" customHeight="1" x14ac:dyDescent="0.15">
      <c r="A155" s="234">
        <v>66</v>
      </c>
      <c r="B155" s="234">
        <v>64</v>
      </c>
      <c r="C155" s="234">
        <v>61</v>
      </c>
      <c r="D155" s="234">
        <v>56</v>
      </c>
      <c r="E155" s="234">
        <v>44</v>
      </c>
      <c r="F155" s="234">
        <v>20</v>
      </c>
      <c r="G155" s="234">
        <v>32</v>
      </c>
    </row>
    <row r="156" spans="1:7" ht="9" hidden="1" customHeight="1" x14ac:dyDescent="0.15"/>
  </sheetData>
  <pageMargins left="0.25" right="0.25" top="0.25" bottom="0.2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6.85546875" style="128" customWidth="1"/>
    <col min="2" max="2" width="34.85546875" style="127" customWidth="1"/>
    <col min="3" max="3" width="24.140625" style="127" customWidth="1"/>
    <col min="4" max="4" width="13.85546875" style="128" customWidth="1"/>
    <col min="5" max="5" width="9.140625" style="128"/>
    <col min="6" max="16384" width="9.140625" style="212"/>
  </cols>
  <sheetData>
    <row r="1" spans="1:18" x14ac:dyDescent="0.35">
      <c r="A1" s="125" t="s">
        <v>27</v>
      </c>
      <c r="B1" s="126" t="s">
        <v>186</v>
      </c>
      <c r="C1" s="169" t="str">
        <f>+[2]Setup!B3</f>
        <v>Main</v>
      </c>
      <c r="G1" s="129" t="s">
        <v>29</v>
      </c>
      <c r="H1" s="212" t="s">
        <v>33</v>
      </c>
    </row>
    <row r="2" spans="1:18" x14ac:dyDescent="0.35">
      <c r="A2" s="130">
        <f>+[2]Setup!E25</f>
        <v>10</v>
      </c>
      <c r="B2" s="127" t="s">
        <v>26</v>
      </c>
      <c r="C2" s="131" t="s">
        <v>25</v>
      </c>
      <c r="D2" s="132">
        <v>0</v>
      </c>
      <c r="G2" s="253"/>
      <c r="H2" s="137"/>
    </row>
    <row r="3" spans="1:18" x14ac:dyDescent="0.35">
      <c r="C3" s="131" t="s">
        <v>34</v>
      </c>
      <c r="D3" s="132">
        <v>0</v>
      </c>
      <c r="G3" s="253"/>
      <c r="H3" s="137"/>
    </row>
    <row r="5" spans="1:18" x14ac:dyDescent="0.35">
      <c r="B5" s="133" t="s">
        <v>0</v>
      </c>
      <c r="C5" s="134" t="s">
        <v>1</v>
      </c>
      <c r="D5" s="135" t="s">
        <v>2</v>
      </c>
      <c r="E5" s="252" t="s">
        <v>172</v>
      </c>
    </row>
    <row r="6" spans="1:18" x14ac:dyDescent="0.35">
      <c r="A6" s="136">
        <v>1</v>
      </c>
      <c r="B6" s="115" t="s">
        <v>86</v>
      </c>
      <c r="C6" s="115" t="s">
        <v>86</v>
      </c>
      <c r="D6" s="116" t="s">
        <v>86</v>
      </c>
      <c r="E6" s="117" t="s">
        <v>86</v>
      </c>
    </row>
    <row r="7" spans="1:18" x14ac:dyDescent="0.35">
      <c r="A7" s="136"/>
      <c r="B7" s="115" t="s">
        <v>86</v>
      </c>
      <c r="C7" s="115" t="s">
        <v>86</v>
      </c>
      <c r="D7" s="116" t="s">
        <v>86</v>
      </c>
      <c r="E7" s="117" t="s">
        <v>86</v>
      </c>
    </row>
    <row r="8" spans="1:18" x14ac:dyDescent="0.35">
      <c r="A8" s="136"/>
      <c r="B8" s="115" t="s">
        <v>86</v>
      </c>
      <c r="C8" s="115" t="s">
        <v>86</v>
      </c>
      <c r="D8" s="116" t="s">
        <v>86</v>
      </c>
      <c r="E8" s="117" t="s">
        <v>86</v>
      </c>
    </row>
    <row r="9" spans="1:18" x14ac:dyDescent="0.35">
      <c r="A9" s="136"/>
      <c r="B9" s="115" t="s">
        <v>86</v>
      </c>
      <c r="C9" s="115" t="s">
        <v>86</v>
      </c>
      <c r="D9" s="116" t="s">
        <v>86</v>
      </c>
      <c r="E9" s="117" t="s">
        <v>86</v>
      </c>
    </row>
    <row r="10" spans="1:18" x14ac:dyDescent="0.35">
      <c r="A10" s="136"/>
      <c r="B10" s="115" t="s">
        <v>86</v>
      </c>
      <c r="C10" s="115" t="s">
        <v>86</v>
      </c>
      <c r="D10" s="116" t="s">
        <v>86</v>
      </c>
      <c r="E10" s="117" t="s">
        <v>86</v>
      </c>
    </row>
    <row r="11" spans="1:18" x14ac:dyDescent="0.35">
      <c r="A11" s="136"/>
      <c r="B11" s="115" t="s">
        <v>86</v>
      </c>
      <c r="C11" s="115" t="s">
        <v>86</v>
      </c>
      <c r="D11" s="116" t="s">
        <v>86</v>
      </c>
      <c r="E11" s="117" t="s">
        <v>86</v>
      </c>
      <c r="Q11" s="137"/>
      <c r="R11" s="137"/>
    </row>
    <row r="12" spans="1:18" x14ac:dyDescent="0.35">
      <c r="A12" s="136"/>
      <c r="B12" s="115" t="s">
        <v>86</v>
      </c>
      <c r="C12" s="115" t="s">
        <v>86</v>
      </c>
      <c r="D12" s="116" t="s">
        <v>86</v>
      </c>
      <c r="E12" s="117" t="s">
        <v>86</v>
      </c>
      <c r="Q12" s="137"/>
    </row>
    <row r="13" spans="1:18" x14ac:dyDescent="0.35">
      <c r="A13" s="138"/>
      <c r="B13" s="118" t="s">
        <v>86</v>
      </c>
      <c r="C13" s="118" t="s">
        <v>86</v>
      </c>
      <c r="D13" s="119" t="s">
        <v>86</v>
      </c>
      <c r="E13" s="120" t="s">
        <v>86</v>
      </c>
    </row>
    <row r="14" spans="1:18" x14ac:dyDescent="0.35">
      <c r="A14" s="136"/>
      <c r="B14" s="115" t="s">
        <v>86</v>
      </c>
      <c r="C14" s="115" t="s">
        <v>86</v>
      </c>
      <c r="D14" s="116" t="s">
        <v>86</v>
      </c>
      <c r="E14" s="117" t="s">
        <v>86</v>
      </c>
      <c r="Q14" s="137"/>
      <c r="R14" s="137"/>
    </row>
    <row r="15" spans="1:18" x14ac:dyDescent="0.35">
      <c r="A15" s="138"/>
      <c r="B15" s="118" t="s">
        <v>86</v>
      </c>
      <c r="C15" s="118" t="s">
        <v>86</v>
      </c>
      <c r="D15" s="119" t="s">
        <v>86</v>
      </c>
      <c r="E15" s="120" t="s">
        <v>86</v>
      </c>
      <c r="Q15" s="137"/>
      <c r="R15" s="137"/>
    </row>
    <row r="16" spans="1:18" x14ac:dyDescent="0.35">
      <c r="A16" s="138"/>
      <c r="B16" s="121" t="s">
        <v>86</v>
      </c>
      <c r="C16" s="121" t="s">
        <v>86</v>
      </c>
      <c r="D16" s="122" t="s">
        <v>86</v>
      </c>
      <c r="E16" s="122" t="s">
        <v>86</v>
      </c>
      <c r="Q16" s="137"/>
      <c r="R16" s="137"/>
    </row>
    <row r="17" spans="1:19" x14ac:dyDescent="0.35">
      <c r="A17" s="136"/>
      <c r="B17" s="123" t="s">
        <v>86</v>
      </c>
      <c r="C17" s="123" t="s">
        <v>86</v>
      </c>
      <c r="D17" s="124" t="s">
        <v>86</v>
      </c>
      <c r="E17" s="124" t="s">
        <v>86</v>
      </c>
      <c r="Q17" s="137"/>
      <c r="R17" s="137"/>
    </row>
    <row r="18" spans="1:19" x14ac:dyDescent="0.35">
      <c r="A18" s="136"/>
      <c r="B18" s="123" t="s">
        <v>86</v>
      </c>
      <c r="C18" s="123" t="s">
        <v>86</v>
      </c>
      <c r="D18" s="124" t="s">
        <v>86</v>
      </c>
      <c r="E18" s="124" t="s">
        <v>86</v>
      </c>
    </row>
    <row r="19" spans="1:19" x14ac:dyDescent="0.35">
      <c r="A19" s="136"/>
      <c r="B19" s="123" t="s">
        <v>86</v>
      </c>
      <c r="C19" s="123" t="s">
        <v>86</v>
      </c>
      <c r="D19" s="124" t="s">
        <v>86</v>
      </c>
      <c r="E19" s="124" t="s">
        <v>86</v>
      </c>
    </row>
    <row r="20" spans="1:19" x14ac:dyDescent="0.35">
      <c r="A20" s="136"/>
      <c r="B20" s="123" t="s">
        <v>86</v>
      </c>
      <c r="C20" s="123" t="s">
        <v>86</v>
      </c>
      <c r="D20" s="124" t="s">
        <v>86</v>
      </c>
      <c r="E20" s="124" t="s">
        <v>86</v>
      </c>
    </row>
    <row r="21" spans="1:19" x14ac:dyDescent="0.35">
      <c r="A21" s="136"/>
      <c r="B21" s="123" t="s">
        <v>86</v>
      </c>
      <c r="C21" s="123" t="s">
        <v>86</v>
      </c>
      <c r="D21" s="124" t="s">
        <v>86</v>
      </c>
      <c r="E21" s="124" t="s">
        <v>86</v>
      </c>
      <c r="Q21" s="137"/>
    </row>
    <row r="22" spans="1:19" x14ac:dyDescent="0.35">
      <c r="A22" s="136"/>
      <c r="B22" s="123" t="s">
        <v>86</v>
      </c>
      <c r="C22" s="123" t="s">
        <v>86</v>
      </c>
      <c r="D22" s="124" t="s">
        <v>86</v>
      </c>
      <c r="E22" s="124" t="s">
        <v>86</v>
      </c>
      <c r="Q22" s="137"/>
      <c r="R22" s="137"/>
      <c r="S22" s="137">
        <v>45</v>
      </c>
    </row>
    <row r="23" spans="1:19" x14ac:dyDescent="0.35">
      <c r="A23" s="136"/>
      <c r="B23" s="123" t="s">
        <v>86</v>
      </c>
      <c r="C23" s="123" t="s">
        <v>86</v>
      </c>
      <c r="D23" s="124" t="s">
        <v>86</v>
      </c>
      <c r="E23" s="124" t="s">
        <v>86</v>
      </c>
      <c r="Q23" s="137"/>
      <c r="R23" s="137"/>
    </row>
    <row r="24" spans="1:19" x14ac:dyDescent="0.35">
      <c r="A24" s="136"/>
      <c r="B24" s="123" t="s">
        <v>86</v>
      </c>
      <c r="C24" s="123" t="s">
        <v>86</v>
      </c>
      <c r="D24" s="124" t="s">
        <v>86</v>
      </c>
      <c r="E24" s="124" t="s">
        <v>86</v>
      </c>
    </row>
    <row r="25" spans="1:19" x14ac:dyDescent="0.35">
      <c r="A25" s="136"/>
      <c r="B25" s="123" t="s">
        <v>86</v>
      </c>
      <c r="C25" s="123" t="s">
        <v>86</v>
      </c>
      <c r="D25" s="124" t="s">
        <v>86</v>
      </c>
      <c r="E25" s="124" t="s">
        <v>86</v>
      </c>
    </row>
    <row r="26" spans="1:19" x14ac:dyDescent="0.35">
      <c r="A26" s="136"/>
      <c r="B26" s="123" t="s">
        <v>86</v>
      </c>
      <c r="C26" s="123" t="s">
        <v>86</v>
      </c>
      <c r="D26" s="124" t="s">
        <v>86</v>
      </c>
      <c r="E26" s="124" t="s">
        <v>86</v>
      </c>
    </row>
    <row r="27" spans="1:19" x14ac:dyDescent="0.35">
      <c r="A27" s="136"/>
      <c r="B27" s="123" t="s">
        <v>86</v>
      </c>
      <c r="C27" s="123" t="s">
        <v>86</v>
      </c>
      <c r="D27" s="124" t="s">
        <v>86</v>
      </c>
      <c r="E27" s="124" t="s">
        <v>86</v>
      </c>
      <c r="Q27" s="137"/>
      <c r="R27" s="137"/>
      <c r="S27" s="137">
        <v>55</v>
      </c>
    </row>
    <row r="28" spans="1:19" x14ac:dyDescent="0.35">
      <c r="A28" s="136"/>
      <c r="B28" s="123" t="s">
        <v>86</v>
      </c>
      <c r="C28" s="123" t="s">
        <v>86</v>
      </c>
      <c r="D28" s="124" t="s">
        <v>86</v>
      </c>
      <c r="E28" s="124" t="s">
        <v>86</v>
      </c>
    </row>
    <row r="29" spans="1:19" x14ac:dyDescent="0.35">
      <c r="A29" s="136"/>
      <c r="B29" s="123" t="s">
        <v>86</v>
      </c>
      <c r="C29" s="123" t="s">
        <v>86</v>
      </c>
      <c r="D29" s="124" t="s">
        <v>86</v>
      </c>
      <c r="E29" s="124" t="s">
        <v>86</v>
      </c>
    </row>
    <row r="30" spans="1:19" x14ac:dyDescent="0.35">
      <c r="A30" s="136"/>
      <c r="B30" s="123" t="s">
        <v>86</v>
      </c>
      <c r="C30" s="123" t="s">
        <v>86</v>
      </c>
      <c r="D30" s="124" t="s">
        <v>86</v>
      </c>
      <c r="E30" s="124" t="s">
        <v>86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30"/>
  <sheetViews>
    <sheetView workbookViewId="0">
      <selection activeCell="B6" sqref="B6"/>
    </sheetView>
  </sheetViews>
  <sheetFormatPr defaultRowHeight="21" x14ac:dyDescent="0.35"/>
  <cols>
    <col min="1" max="1" width="6.85546875" style="128" customWidth="1"/>
    <col min="2" max="2" width="34.85546875" style="127" customWidth="1"/>
    <col min="3" max="3" width="24.140625" style="127" customWidth="1"/>
    <col min="4" max="4" width="13.85546875" style="128" customWidth="1"/>
    <col min="5" max="5" width="9.140625" style="128"/>
    <col min="6" max="16384" width="9.140625" style="212"/>
  </cols>
  <sheetData>
    <row r="1" spans="1:18" x14ac:dyDescent="0.35">
      <c r="A1" s="125" t="s">
        <v>30</v>
      </c>
      <c r="B1" s="126" t="s">
        <v>186</v>
      </c>
      <c r="C1" s="169" t="str">
        <f>+[2]Setup!B3</f>
        <v>Main</v>
      </c>
      <c r="G1" s="129" t="s">
        <v>29</v>
      </c>
      <c r="H1" s="212" t="s">
        <v>33</v>
      </c>
    </row>
    <row r="2" spans="1:18" x14ac:dyDescent="0.35">
      <c r="A2" s="130">
        <f>+Setup!F25</f>
        <v>0</v>
      </c>
      <c r="B2" s="127" t="s">
        <v>26</v>
      </c>
      <c r="C2" s="131" t="s">
        <v>25</v>
      </c>
      <c r="D2" s="132">
        <v>0</v>
      </c>
    </row>
    <row r="3" spans="1:18" x14ac:dyDescent="0.35">
      <c r="C3" s="131" t="s">
        <v>34</v>
      </c>
      <c r="D3" s="132">
        <v>0</v>
      </c>
    </row>
    <row r="5" spans="1:18" x14ac:dyDescent="0.35">
      <c r="B5" s="133" t="s">
        <v>0</v>
      </c>
      <c r="C5" s="134" t="s">
        <v>1</v>
      </c>
      <c r="D5" s="135" t="s">
        <v>2</v>
      </c>
      <c r="E5" s="135" t="s">
        <v>28</v>
      </c>
    </row>
    <row r="6" spans="1:18" x14ac:dyDescent="0.35">
      <c r="A6" s="136">
        <v>1</v>
      </c>
      <c r="B6" s="115" t="s">
        <v>86</v>
      </c>
      <c r="C6" s="115" t="s">
        <v>86</v>
      </c>
      <c r="D6" s="116" t="s">
        <v>86</v>
      </c>
      <c r="E6" s="117" t="s">
        <v>86</v>
      </c>
    </row>
    <row r="7" spans="1:18" x14ac:dyDescent="0.35">
      <c r="A7" s="136"/>
      <c r="B7" s="115" t="s">
        <v>86</v>
      </c>
      <c r="C7" s="115" t="s">
        <v>86</v>
      </c>
      <c r="D7" s="116" t="s">
        <v>86</v>
      </c>
      <c r="E7" s="117" t="s">
        <v>86</v>
      </c>
    </row>
    <row r="8" spans="1:18" x14ac:dyDescent="0.35">
      <c r="A8" s="136"/>
      <c r="B8" s="115" t="s">
        <v>86</v>
      </c>
      <c r="C8" s="115" t="s">
        <v>86</v>
      </c>
      <c r="D8" s="116" t="s">
        <v>86</v>
      </c>
      <c r="E8" s="117" t="s">
        <v>86</v>
      </c>
    </row>
    <row r="9" spans="1:18" x14ac:dyDescent="0.35">
      <c r="A9" s="136"/>
      <c r="B9" s="115" t="s">
        <v>86</v>
      </c>
      <c r="C9" s="115" t="s">
        <v>86</v>
      </c>
      <c r="D9" s="116" t="s">
        <v>86</v>
      </c>
      <c r="E9" s="117" t="s">
        <v>86</v>
      </c>
    </row>
    <row r="10" spans="1:18" x14ac:dyDescent="0.35">
      <c r="A10" s="136"/>
      <c r="B10" s="115" t="s">
        <v>86</v>
      </c>
      <c r="C10" s="115" t="s">
        <v>86</v>
      </c>
      <c r="D10" s="116" t="s">
        <v>86</v>
      </c>
      <c r="E10" s="117" t="s">
        <v>86</v>
      </c>
    </row>
    <row r="11" spans="1:18" x14ac:dyDescent="0.35">
      <c r="A11" s="136"/>
      <c r="B11" s="115" t="s">
        <v>86</v>
      </c>
      <c r="C11" s="115" t="s">
        <v>86</v>
      </c>
      <c r="D11" s="116" t="s">
        <v>86</v>
      </c>
      <c r="E11" s="117" t="s">
        <v>86</v>
      </c>
      <c r="Q11" s="137"/>
      <c r="R11" s="137"/>
    </row>
    <row r="12" spans="1:18" x14ac:dyDescent="0.35">
      <c r="A12" s="136"/>
      <c r="B12" s="115" t="s">
        <v>86</v>
      </c>
      <c r="C12" s="115" t="s">
        <v>86</v>
      </c>
      <c r="D12" s="116" t="s">
        <v>86</v>
      </c>
      <c r="E12" s="117" t="s">
        <v>86</v>
      </c>
      <c r="Q12" s="137"/>
    </row>
    <row r="13" spans="1:18" x14ac:dyDescent="0.35">
      <c r="A13" s="138"/>
      <c r="B13" s="118" t="s">
        <v>86</v>
      </c>
      <c r="C13" s="118" t="s">
        <v>86</v>
      </c>
      <c r="D13" s="119" t="s">
        <v>86</v>
      </c>
      <c r="E13" s="120" t="s">
        <v>86</v>
      </c>
    </row>
    <row r="14" spans="1:18" x14ac:dyDescent="0.35">
      <c r="A14" s="136"/>
      <c r="B14" s="115" t="s">
        <v>86</v>
      </c>
      <c r="C14" s="115" t="s">
        <v>86</v>
      </c>
      <c r="D14" s="116" t="s">
        <v>86</v>
      </c>
      <c r="E14" s="117" t="s">
        <v>86</v>
      </c>
      <c r="Q14" s="137"/>
      <c r="R14" s="137"/>
    </row>
    <row r="15" spans="1:18" x14ac:dyDescent="0.35">
      <c r="A15" s="138"/>
      <c r="B15" s="118" t="s">
        <v>86</v>
      </c>
      <c r="C15" s="118" t="s">
        <v>86</v>
      </c>
      <c r="D15" s="119" t="s">
        <v>86</v>
      </c>
      <c r="E15" s="120" t="s">
        <v>86</v>
      </c>
      <c r="Q15" s="137"/>
      <c r="R15" s="137"/>
    </row>
    <row r="16" spans="1:18" x14ac:dyDescent="0.35">
      <c r="A16" s="138"/>
      <c r="B16" s="121" t="s">
        <v>86</v>
      </c>
      <c r="C16" s="121" t="s">
        <v>86</v>
      </c>
      <c r="D16" s="122" t="s">
        <v>86</v>
      </c>
      <c r="E16" s="122" t="s">
        <v>86</v>
      </c>
      <c r="Q16" s="137"/>
      <c r="R16" s="137"/>
    </row>
    <row r="17" spans="1:19" x14ac:dyDescent="0.35">
      <c r="A17" s="136"/>
      <c r="B17" s="123" t="s">
        <v>86</v>
      </c>
      <c r="C17" s="123" t="s">
        <v>86</v>
      </c>
      <c r="D17" s="124" t="s">
        <v>86</v>
      </c>
      <c r="E17" s="124" t="s">
        <v>86</v>
      </c>
      <c r="Q17" s="137"/>
      <c r="R17" s="137"/>
    </row>
    <row r="18" spans="1:19" x14ac:dyDescent="0.35">
      <c r="A18" s="136"/>
      <c r="B18" s="123" t="s">
        <v>86</v>
      </c>
      <c r="C18" s="123" t="s">
        <v>86</v>
      </c>
      <c r="D18" s="124" t="s">
        <v>86</v>
      </c>
      <c r="E18" s="124" t="s">
        <v>86</v>
      </c>
    </row>
    <row r="19" spans="1:19" x14ac:dyDescent="0.35">
      <c r="A19" s="136"/>
      <c r="B19" s="123" t="s">
        <v>86</v>
      </c>
      <c r="C19" s="123" t="s">
        <v>86</v>
      </c>
      <c r="D19" s="124" t="s">
        <v>86</v>
      </c>
      <c r="E19" s="124" t="s">
        <v>86</v>
      </c>
    </row>
    <row r="20" spans="1:19" x14ac:dyDescent="0.35">
      <c r="A20" s="136"/>
      <c r="B20" s="123" t="s">
        <v>86</v>
      </c>
      <c r="C20" s="123" t="s">
        <v>86</v>
      </c>
      <c r="D20" s="124" t="s">
        <v>86</v>
      </c>
      <c r="E20" s="124" t="s">
        <v>86</v>
      </c>
    </row>
    <row r="21" spans="1:19" x14ac:dyDescent="0.35">
      <c r="A21" s="136"/>
      <c r="B21" s="123" t="s">
        <v>86</v>
      </c>
      <c r="C21" s="123" t="s">
        <v>86</v>
      </c>
      <c r="D21" s="124" t="s">
        <v>86</v>
      </c>
      <c r="E21" s="124" t="s">
        <v>86</v>
      </c>
      <c r="Q21" s="137"/>
    </row>
    <row r="22" spans="1:19" x14ac:dyDescent="0.35">
      <c r="A22" s="136"/>
      <c r="B22" s="123" t="s">
        <v>86</v>
      </c>
      <c r="C22" s="123" t="s">
        <v>86</v>
      </c>
      <c r="D22" s="124" t="s">
        <v>86</v>
      </c>
      <c r="E22" s="124" t="s">
        <v>86</v>
      </c>
      <c r="Q22" s="137"/>
      <c r="R22" s="137"/>
      <c r="S22" s="137">
        <v>45</v>
      </c>
    </row>
    <row r="23" spans="1:19" x14ac:dyDescent="0.35">
      <c r="A23" s="136"/>
      <c r="B23" s="123" t="s">
        <v>86</v>
      </c>
      <c r="C23" s="123" t="s">
        <v>86</v>
      </c>
      <c r="D23" s="124" t="s">
        <v>86</v>
      </c>
      <c r="E23" s="124" t="s">
        <v>86</v>
      </c>
      <c r="Q23" s="137"/>
      <c r="R23" s="137"/>
    </row>
    <row r="24" spans="1:19" x14ac:dyDescent="0.35">
      <c r="A24" s="136"/>
      <c r="B24" s="123" t="s">
        <v>86</v>
      </c>
      <c r="C24" s="123" t="s">
        <v>86</v>
      </c>
      <c r="D24" s="124" t="s">
        <v>86</v>
      </c>
      <c r="E24" s="124" t="s">
        <v>86</v>
      </c>
    </row>
    <row r="25" spans="1:19" x14ac:dyDescent="0.35">
      <c r="A25" s="136"/>
      <c r="B25" s="123" t="s">
        <v>86</v>
      </c>
      <c r="C25" s="123" t="s">
        <v>86</v>
      </c>
      <c r="D25" s="124" t="s">
        <v>86</v>
      </c>
      <c r="E25" s="124" t="s">
        <v>86</v>
      </c>
    </row>
    <row r="26" spans="1:19" x14ac:dyDescent="0.35">
      <c r="A26" s="136"/>
      <c r="B26" s="123" t="s">
        <v>86</v>
      </c>
      <c r="C26" s="123" t="s">
        <v>86</v>
      </c>
      <c r="D26" s="124" t="s">
        <v>86</v>
      </c>
      <c r="E26" s="124" t="s">
        <v>86</v>
      </c>
    </row>
    <row r="27" spans="1:19" x14ac:dyDescent="0.35">
      <c r="A27" s="136"/>
      <c r="B27" s="123" t="s">
        <v>86</v>
      </c>
      <c r="C27" s="123" t="s">
        <v>86</v>
      </c>
      <c r="D27" s="124" t="s">
        <v>86</v>
      </c>
      <c r="E27" s="124" t="s">
        <v>86</v>
      </c>
      <c r="Q27" s="137"/>
      <c r="R27" s="137"/>
      <c r="S27" s="137">
        <v>55</v>
      </c>
    </row>
    <row r="28" spans="1:19" x14ac:dyDescent="0.35">
      <c r="A28" s="136"/>
      <c r="B28" s="123" t="s">
        <v>86</v>
      </c>
      <c r="C28" s="123" t="s">
        <v>86</v>
      </c>
      <c r="D28" s="124" t="s">
        <v>86</v>
      </c>
      <c r="E28" s="124" t="s">
        <v>86</v>
      </c>
    </row>
    <row r="29" spans="1:19" x14ac:dyDescent="0.35">
      <c r="A29" s="136"/>
      <c r="B29" s="123" t="s">
        <v>86</v>
      </c>
      <c r="C29" s="123" t="s">
        <v>86</v>
      </c>
      <c r="D29" s="124" t="s">
        <v>86</v>
      </c>
      <c r="E29" s="124" t="s">
        <v>86</v>
      </c>
    </row>
    <row r="30" spans="1:19" x14ac:dyDescent="0.35">
      <c r="A30" s="136"/>
      <c r="B30" s="123" t="s">
        <v>86</v>
      </c>
      <c r="C30" s="123" t="s">
        <v>86</v>
      </c>
      <c r="D30" s="124" t="s">
        <v>86</v>
      </c>
      <c r="E30" s="124" t="s">
        <v>86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H30"/>
  <sheetViews>
    <sheetView workbookViewId="0">
      <selection activeCell="B6" sqref="B6"/>
    </sheetView>
  </sheetViews>
  <sheetFormatPr defaultRowHeight="21" x14ac:dyDescent="0.35"/>
  <cols>
    <col min="1" max="1" width="6.85546875" style="69" customWidth="1"/>
    <col min="2" max="2" width="34.85546875" style="68" customWidth="1"/>
    <col min="3" max="3" width="24.140625" style="68" customWidth="1"/>
    <col min="4" max="4" width="13.85546875" style="69" customWidth="1"/>
    <col min="5" max="5" width="9.140625" style="69"/>
    <col min="6" max="16384" width="9.140625" style="192"/>
  </cols>
  <sheetData>
    <row r="1" spans="1:8" x14ac:dyDescent="0.35">
      <c r="A1" s="74" t="s">
        <v>31</v>
      </c>
      <c r="B1" s="67" t="s">
        <v>186</v>
      </c>
      <c r="C1" s="169" t="str">
        <f>+[2]Setup!B3</f>
        <v>Main</v>
      </c>
      <c r="G1" s="145" t="s">
        <v>29</v>
      </c>
      <c r="H1" s="192" t="s">
        <v>32</v>
      </c>
    </row>
    <row r="2" spans="1:8" x14ac:dyDescent="0.35">
      <c r="A2" s="130">
        <f>+Setup!G25</f>
        <v>0</v>
      </c>
      <c r="B2" s="68" t="s">
        <v>26</v>
      </c>
      <c r="C2" s="70" t="s">
        <v>25</v>
      </c>
      <c r="D2" s="71">
        <v>0</v>
      </c>
    </row>
    <row r="3" spans="1:8" x14ac:dyDescent="0.35">
      <c r="A3" s="72"/>
      <c r="C3" s="70" t="s">
        <v>34</v>
      </c>
      <c r="D3" s="132">
        <v>0</v>
      </c>
    </row>
    <row r="5" spans="1:8" x14ac:dyDescent="0.35">
      <c r="B5" s="75" t="s">
        <v>0</v>
      </c>
      <c r="C5" s="76" t="s">
        <v>1</v>
      </c>
      <c r="D5" s="77" t="s">
        <v>2</v>
      </c>
      <c r="E5" s="77" t="s">
        <v>28</v>
      </c>
    </row>
    <row r="6" spans="1:8" x14ac:dyDescent="0.35">
      <c r="A6" s="73">
        <v>1</v>
      </c>
      <c r="B6" s="115" t="s">
        <v>86</v>
      </c>
      <c r="C6" s="115" t="s">
        <v>86</v>
      </c>
      <c r="D6" s="116" t="s">
        <v>86</v>
      </c>
      <c r="E6" s="117" t="s">
        <v>86</v>
      </c>
    </row>
    <row r="7" spans="1:8" x14ac:dyDescent="0.35">
      <c r="A7" s="73"/>
      <c r="B7" s="115" t="s">
        <v>86</v>
      </c>
      <c r="C7" s="115" t="s">
        <v>86</v>
      </c>
      <c r="D7" s="116" t="s">
        <v>86</v>
      </c>
      <c r="E7" s="117" t="s">
        <v>86</v>
      </c>
    </row>
    <row r="8" spans="1:8" x14ac:dyDescent="0.35">
      <c r="A8" s="73"/>
      <c r="B8" s="115" t="s">
        <v>86</v>
      </c>
      <c r="C8" s="115" t="s">
        <v>86</v>
      </c>
      <c r="D8" s="116" t="s">
        <v>86</v>
      </c>
      <c r="E8" s="117" t="s">
        <v>86</v>
      </c>
    </row>
    <row r="9" spans="1:8" x14ac:dyDescent="0.35">
      <c r="A9" s="73"/>
      <c r="B9" s="115" t="s">
        <v>86</v>
      </c>
      <c r="C9" s="115" t="s">
        <v>86</v>
      </c>
      <c r="D9" s="116" t="s">
        <v>86</v>
      </c>
      <c r="E9" s="117" t="s">
        <v>86</v>
      </c>
    </row>
    <row r="10" spans="1:8" x14ac:dyDescent="0.35">
      <c r="A10" s="73"/>
      <c r="B10" s="115" t="s">
        <v>86</v>
      </c>
      <c r="C10" s="115" t="s">
        <v>86</v>
      </c>
      <c r="D10" s="116" t="s">
        <v>86</v>
      </c>
      <c r="E10" s="117" t="s">
        <v>86</v>
      </c>
    </row>
    <row r="11" spans="1:8" x14ac:dyDescent="0.35">
      <c r="A11" s="73"/>
      <c r="B11" s="115" t="s">
        <v>86</v>
      </c>
      <c r="C11" s="115" t="s">
        <v>86</v>
      </c>
      <c r="D11" s="116" t="s">
        <v>86</v>
      </c>
      <c r="E11" s="117" t="s">
        <v>86</v>
      </c>
    </row>
    <row r="12" spans="1:8" x14ac:dyDescent="0.35">
      <c r="A12" s="78"/>
      <c r="B12" s="118" t="s">
        <v>86</v>
      </c>
      <c r="C12" s="118" t="s">
        <v>86</v>
      </c>
      <c r="D12" s="119" t="s">
        <v>86</v>
      </c>
      <c r="E12" s="120" t="s">
        <v>86</v>
      </c>
    </row>
    <row r="13" spans="1:8" x14ac:dyDescent="0.35">
      <c r="A13" s="73"/>
      <c r="B13" s="115" t="s">
        <v>86</v>
      </c>
      <c r="C13" s="115" t="s">
        <v>86</v>
      </c>
      <c r="D13" s="116" t="s">
        <v>86</v>
      </c>
      <c r="E13" s="117" t="s">
        <v>86</v>
      </c>
    </row>
    <row r="14" spans="1:8" x14ac:dyDescent="0.35">
      <c r="A14" s="78"/>
      <c r="B14" s="121" t="s">
        <v>86</v>
      </c>
      <c r="C14" s="121" t="s">
        <v>86</v>
      </c>
      <c r="D14" s="122" t="s">
        <v>86</v>
      </c>
      <c r="E14" s="122" t="s">
        <v>86</v>
      </c>
    </row>
    <row r="15" spans="1:8" x14ac:dyDescent="0.35">
      <c r="A15" s="73"/>
      <c r="B15" s="123" t="s">
        <v>86</v>
      </c>
      <c r="C15" s="123" t="s">
        <v>86</v>
      </c>
      <c r="D15" s="124" t="s">
        <v>86</v>
      </c>
      <c r="E15" s="124" t="s">
        <v>86</v>
      </c>
    </row>
    <row r="16" spans="1:8" x14ac:dyDescent="0.35">
      <c r="A16" s="73"/>
      <c r="B16" s="123" t="s">
        <v>86</v>
      </c>
      <c r="C16" s="123" t="s">
        <v>86</v>
      </c>
      <c r="D16" s="124" t="s">
        <v>86</v>
      </c>
      <c r="E16" s="124" t="s">
        <v>86</v>
      </c>
    </row>
    <row r="17" spans="1:5" x14ac:dyDescent="0.35">
      <c r="A17" s="73"/>
      <c r="B17" s="123" t="s">
        <v>86</v>
      </c>
      <c r="C17" s="123" t="s">
        <v>86</v>
      </c>
      <c r="D17" s="124" t="s">
        <v>86</v>
      </c>
      <c r="E17" s="124" t="s">
        <v>86</v>
      </c>
    </row>
    <row r="18" spans="1:5" x14ac:dyDescent="0.35">
      <c r="A18" s="73"/>
      <c r="B18" s="123" t="s">
        <v>86</v>
      </c>
      <c r="C18" s="123" t="s">
        <v>86</v>
      </c>
      <c r="D18" s="124" t="s">
        <v>86</v>
      </c>
      <c r="E18" s="124" t="s">
        <v>86</v>
      </c>
    </row>
    <row r="19" spans="1:5" x14ac:dyDescent="0.35">
      <c r="A19" s="73"/>
      <c r="B19" s="123" t="s">
        <v>86</v>
      </c>
      <c r="C19" s="123" t="s">
        <v>86</v>
      </c>
      <c r="D19" s="124" t="s">
        <v>86</v>
      </c>
      <c r="E19" s="124" t="s">
        <v>86</v>
      </c>
    </row>
    <row r="20" spans="1:5" x14ac:dyDescent="0.35">
      <c r="A20" s="73"/>
      <c r="B20" s="123" t="s">
        <v>86</v>
      </c>
      <c r="C20" s="123" t="s">
        <v>86</v>
      </c>
      <c r="D20" s="124" t="s">
        <v>86</v>
      </c>
      <c r="E20" s="124" t="s">
        <v>86</v>
      </c>
    </row>
    <row r="21" spans="1:5" x14ac:dyDescent="0.35">
      <c r="A21" s="73"/>
      <c r="B21" s="123" t="s">
        <v>86</v>
      </c>
      <c r="C21" s="123" t="s">
        <v>86</v>
      </c>
      <c r="D21" s="124" t="s">
        <v>86</v>
      </c>
      <c r="E21" s="124" t="s">
        <v>86</v>
      </c>
    </row>
    <row r="22" spans="1:5" x14ac:dyDescent="0.35">
      <c r="A22" s="73"/>
      <c r="B22" s="123" t="s">
        <v>86</v>
      </c>
      <c r="C22" s="123" t="s">
        <v>86</v>
      </c>
      <c r="D22" s="124" t="s">
        <v>86</v>
      </c>
      <c r="E22" s="124" t="s">
        <v>86</v>
      </c>
    </row>
    <row r="23" spans="1:5" x14ac:dyDescent="0.35">
      <c r="A23" s="73"/>
      <c r="B23" s="123" t="s">
        <v>86</v>
      </c>
      <c r="C23" s="123" t="s">
        <v>86</v>
      </c>
      <c r="D23" s="124" t="s">
        <v>86</v>
      </c>
      <c r="E23" s="124" t="s">
        <v>86</v>
      </c>
    </row>
    <row r="24" spans="1:5" x14ac:dyDescent="0.35">
      <c r="A24" s="73"/>
      <c r="B24" s="123" t="s">
        <v>86</v>
      </c>
      <c r="C24" s="123" t="s">
        <v>86</v>
      </c>
      <c r="D24" s="124" t="s">
        <v>86</v>
      </c>
      <c r="E24" s="124" t="s">
        <v>86</v>
      </c>
    </row>
    <row r="25" spans="1:5" x14ac:dyDescent="0.35">
      <c r="A25" s="73"/>
      <c r="B25" s="123" t="s">
        <v>86</v>
      </c>
      <c r="C25" s="123" t="s">
        <v>86</v>
      </c>
      <c r="D25" s="124" t="s">
        <v>86</v>
      </c>
      <c r="E25" s="124" t="s">
        <v>86</v>
      </c>
    </row>
    <row r="26" spans="1:5" x14ac:dyDescent="0.35">
      <c r="A26" s="73"/>
      <c r="B26" s="123" t="s">
        <v>86</v>
      </c>
      <c r="C26" s="123" t="s">
        <v>86</v>
      </c>
      <c r="D26" s="124" t="s">
        <v>86</v>
      </c>
      <c r="E26" s="124" t="s">
        <v>86</v>
      </c>
    </row>
    <row r="27" spans="1:5" x14ac:dyDescent="0.35">
      <c r="A27" s="73"/>
      <c r="B27" s="123" t="s">
        <v>86</v>
      </c>
      <c r="C27" s="123" t="s">
        <v>86</v>
      </c>
      <c r="D27" s="124" t="s">
        <v>86</v>
      </c>
      <c r="E27" s="124" t="s">
        <v>86</v>
      </c>
    </row>
    <row r="28" spans="1:5" x14ac:dyDescent="0.35">
      <c r="A28" s="73"/>
      <c r="B28" s="123" t="s">
        <v>86</v>
      </c>
      <c r="C28" s="123" t="s">
        <v>86</v>
      </c>
      <c r="D28" s="124" t="s">
        <v>86</v>
      </c>
      <c r="E28" s="124" t="s">
        <v>86</v>
      </c>
    </row>
    <row r="29" spans="1:5" x14ac:dyDescent="0.35">
      <c r="A29" s="73"/>
      <c r="B29" s="123" t="s">
        <v>86</v>
      </c>
      <c r="C29" s="123" t="s">
        <v>86</v>
      </c>
      <c r="D29" s="124" t="s">
        <v>86</v>
      </c>
      <c r="E29" s="124" t="s">
        <v>86</v>
      </c>
    </row>
    <row r="30" spans="1:5" x14ac:dyDescent="0.35">
      <c r="A30" s="73"/>
      <c r="B30" s="123" t="s">
        <v>86</v>
      </c>
      <c r="C30" s="123" t="s">
        <v>86</v>
      </c>
      <c r="D30" s="124" t="s">
        <v>86</v>
      </c>
      <c r="E30" s="124" t="s">
        <v>86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H30"/>
  <sheetViews>
    <sheetView workbookViewId="0">
      <selection activeCell="B7" sqref="B7"/>
    </sheetView>
  </sheetViews>
  <sheetFormatPr defaultRowHeight="21" x14ac:dyDescent="0.35"/>
  <cols>
    <col min="1" max="1" width="6.85546875" style="92" customWidth="1"/>
    <col min="2" max="2" width="34.85546875" style="68" customWidth="1"/>
    <col min="3" max="3" width="24.140625" style="68" customWidth="1"/>
    <col min="4" max="4" width="13.85546875" style="68" customWidth="1"/>
    <col min="5" max="5" width="9.140625" style="68"/>
    <col min="6" max="16384" width="9.140625" style="192"/>
  </cols>
  <sheetData>
    <row r="1" spans="1:8" x14ac:dyDescent="0.35">
      <c r="A1" s="90" t="s">
        <v>130</v>
      </c>
      <c r="B1" s="67" t="s">
        <v>186</v>
      </c>
      <c r="C1" s="169" t="str">
        <f>+[2]Setup!B3</f>
        <v>Main</v>
      </c>
      <c r="D1" s="69"/>
      <c r="G1" s="145" t="s">
        <v>29</v>
      </c>
      <c r="H1" s="192" t="s">
        <v>32</v>
      </c>
    </row>
    <row r="2" spans="1:8" x14ac:dyDescent="0.35">
      <c r="A2" s="130">
        <f>+Setup!H25</f>
        <v>0</v>
      </c>
      <c r="B2" s="68" t="s">
        <v>26</v>
      </c>
      <c r="C2" s="70" t="s">
        <v>25</v>
      </c>
      <c r="D2" s="71">
        <v>0</v>
      </c>
    </row>
    <row r="3" spans="1:8" x14ac:dyDescent="0.35">
      <c r="A3" s="91"/>
      <c r="C3" s="70" t="s">
        <v>34</v>
      </c>
      <c r="D3" s="132">
        <v>0</v>
      </c>
    </row>
    <row r="4" spans="1:8" x14ac:dyDescent="0.35">
      <c r="D4" s="69"/>
    </row>
    <row r="5" spans="1:8" x14ac:dyDescent="0.35">
      <c r="B5" s="75" t="s">
        <v>0</v>
      </c>
      <c r="C5" s="76" t="s">
        <v>1</v>
      </c>
      <c r="D5" s="77" t="s">
        <v>2</v>
      </c>
      <c r="E5" s="77" t="s">
        <v>28</v>
      </c>
    </row>
    <row r="6" spans="1:8" x14ac:dyDescent="0.35">
      <c r="A6" s="93">
        <v>1</v>
      </c>
      <c r="B6" s="115" t="s">
        <v>86</v>
      </c>
      <c r="C6" s="115" t="s">
        <v>86</v>
      </c>
      <c r="D6" s="116" t="s">
        <v>86</v>
      </c>
      <c r="E6" s="117" t="s">
        <v>86</v>
      </c>
    </row>
    <row r="7" spans="1:8" x14ac:dyDescent="0.35">
      <c r="A7" s="94"/>
      <c r="B7" s="121" t="s">
        <v>86</v>
      </c>
      <c r="C7" s="121" t="s">
        <v>86</v>
      </c>
      <c r="D7" s="121" t="s">
        <v>86</v>
      </c>
      <c r="E7" s="120" t="s">
        <v>86</v>
      </c>
    </row>
    <row r="8" spans="1:8" x14ac:dyDescent="0.35">
      <c r="A8" s="93"/>
      <c r="B8" s="123" t="s">
        <v>86</v>
      </c>
      <c r="C8" s="123" t="s">
        <v>86</v>
      </c>
      <c r="D8" s="123" t="s">
        <v>86</v>
      </c>
      <c r="E8" s="117" t="s">
        <v>86</v>
      </c>
    </row>
    <row r="9" spans="1:8" x14ac:dyDescent="0.35">
      <c r="A9" s="93"/>
      <c r="B9" s="123" t="s">
        <v>86</v>
      </c>
      <c r="C9" s="123" t="s">
        <v>86</v>
      </c>
      <c r="D9" s="123" t="s">
        <v>86</v>
      </c>
      <c r="E9" s="117" t="s">
        <v>86</v>
      </c>
    </row>
    <row r="10" spans="1:8" x14ac:dyDescent="0.35">
      <c r="A10" s="93"/>
      <c r="B10" s="123" t="s">
        <v>86</v>
      </c>
      <c r="C10" s="123" t="s">
        <v>86</v>
      </c>
      <c r="D10" s="123" t="s">
        <v>86</v>
      </c>
      <c r="E10" s="117" t="s">
        <v>86</v>
      </c>
    </row>
    <row r="11" spans="1:8" x14ac:dyDescent="0.35">
      <c r="A11" s="93"/>
      <c r="B11" s="123" t="s">
        <v>86</v>
      </c>
      <c r="C11" s="123" t="s">
        <v>86</v>
      </c>
      <c r="D11" s="123" t="s">
        <v>86</v>
      </c>
      <c r="E11" s="117" t="s">
        <v>86</v>
      </c>
    </row>
    <row r="12" spans="1:8" x14ac:dyDescent="0.35">
      <c r="A12" s="93"/>
      <c r="B12" s="123" t="s">
        <v>86</v>
      </c>
      <c r="C12" s="123" t="s">
        <v>86</v>
      </c>
      <c r="D12" s="123" t="s">
        <v>86</v>
      </c>
      <c r="E12" s="117" t="s">
        <v>86</v>
      </c>
    </row>
    <row r="13" spans="1:8" x14ac:dyDescent="0.35">
      <c r="A13" s="93"/>
      <c r="B13" s="123" t="s">
        <v>86</v>
      </c>
      <c r="C13" s="123" t="s">
        <v>86</v>
      </c>
      <c r="D13" s="123" t="s">
        <v>86</v>
      </c>
      <c r="E13" s="117" t="s">
        <v>86</v>
      </c>
    </row>
    <row r="14" spans="1:8" x14ac:dyDescent="0.35">
      <c r="A14" s="93"/>
      <c r="B14" s="123" t="s">
        <v>86</v>
      </c>
      <c r="C14" s="123" t="s">
        <v>86</v>
      </c>
      <c r="D14" s="123" t="s">
        <v>86</v>
      </c>
      <c r="E14" s="117" t="s">
        <v>86</v>
      </c>
    </row>
    <row r="15" spans="1:8" x14ac:dyDescent="0.35">
      <c r="A15" s="93"/>
      <c r="B15" s="123" t="s">
        <v>86</v>
      </c>
      <c r="C15" s="123" t="s">
        <v>86</v>
      </c>
      <c r="D15" s="123" t="s">
        <v>86</v>
      </c>
      <c r="E15" s="117" t="s">
        <v>86</v>
      </c>
    </row>
    <row r="16" spans="1:8" x14ac:dyDescent="0.35">
      <c r="A16" s="93"/>
      <c r="B16" s="123" t="s">
        <v>86</v>
      </c>
      <c r="C16" s="123" t="s">
        <v>86</v>
      </c>
      <c r="D16" s="123" t="s">
        <v>86</v>
      </c>
      <c r="E16" s="117" t="s">
        <v>86</v>
      </c>
    </row>
    <row r="17" spans="1:5" x14ac:dyDescent="0.35">
      <c r="A17" s="94"/>
      <c r="B17" s="121" t="s">
        <v>86</v>
      </c>
      <c r="C17" s="121" t="s">
        <v>86</v>
      </c>
      <c r="D17" s="121" t="s">
        <v>86</v>
      </c>
      <c r="E17" s="121" t="s">
        <v>86</v>
      </c>
    </row>
    <row r="18" spans="1:5" x14ac:dyDescent="0.35">
      <c r="A18" s="93"/>
      <c r="B18" s="123" t="s">
        <v>86</v>
      </c>
      <c r="C18" s="123" t="s">
        <v>86</v>
      </c>
      <c r="D18" s="123" t="s">
        <v>86</v>
      </c>
      <c r="E18" s="123" t="s">
        <v>86</v>
      </c>
    </row>
    <row r="19" spans="1:5" x14ac:dyDescent="0.35">
      <c r="A19" s="93"/>
      <c r="B19" s="123" t="s">
        <v>86</v>
      </c>
      <c r="C19" s="123" t="s">
        <v>86</v>
      </c>
      <c r="D19" s="123" t="s">
        <v>86</v>
      </c>
      <c r="E19" s="123" t="s">
        <v>86</v>
      </c>
    </row>
    <row r="20" spans="1:5" x14ac:dyDescent="0.35">
      <c r="A20" s="93"/>
      <c r="B20" s="123" t="s">
        <v>86</v>
      </c>
      <c r="C20" s="123" t="s">
        <v>86</v>
      </c>
      <c r="D20" s="123" t="s">
        <v>86</v>
      </c>
      <c r="E20" s="123" t="s">
        <v>86</v>
      </c>
    </row>
    <row r="21" spans="1:5" x14ac:dyDescent="0.35">
      <c r="A21" s="93"/>
      <c r="B21" s="123" t="s">
        <v>86</v>
      </c>
      <c r="C21" s="123" t="s">
        <v>86</v>
      </c>
      <c r="D21" s="123" t="s">
        <v>86</v>
      </c>
      <c r="E21" s="123" t="s">
        <v>86</v>
      </c>
    </row>
    <row r="22" spans="1:5" x14ac:dyDescent="0.35">
      <c r="A22" s="93"/>
      <c r="B22" s="123" t="s">
        <v>86</v>
      </c>
      <c r="C22" s="123" t="s">
        <v>86</v>
      </c>
      <c r="D22" s="123" t="s">
        <v>86</v>
      </c>
      <c r="E22" s="123" t="s">
        <v>86</v>
      </c>
    </row>
    <row r="23" spans="1:5" x14ac:dyDescent="0.35">
      <c r="A23" s="93"/>
      <c r="B23" s="123" t="s">
        <v>86</v>
      </c>
      <c r="C23" s="123" t="s">
        <v>86</v>
      </c>
      <c r="D23" s="123" t="s">
        <v>86</v>
      </c>
      <c r="E23" s="123" t="s">
        <v>86</v>
      </c>
    </row>
    <row r="24" spans="1:5" x14ac:dyDescent="0.35">
      <c r="A24" s="93"/>
      <c r="B24" s="123" t="s">
        <v>86</v>
      </c>
      <c r="C24" s="123" t="s">
        <v>86</v>
      </c>
      <c r="D24" s="123" t="s">
        <v>86</v>
      </c>
      <c r="E24" s="123" t="s">
        <v>86</v>
      </c>
    </row>
    <row r="25" spans="1:5" x14ac:dyDescent="0.35">
      <c r="A25" s="93"/>
      <c r="B25" s="123" t="s">
        <v>86</v>
      </c>
      <c r="C25" s="123" t="s">
        <v>86</v>
      </c>
      <c r="D25" s="123" t="s">
        <v>86</v>
      </c>
      <c r="E25" s="123" t="s">
        <v>86</v>
      </c>
    </row>
    <row r="26" spans="1:5" x14ac:dyDescent="0.35">
      <c r="A26" s="93"/>
      <c r="B26" s="123" t="s">
        <v>86</v>
      </c>
      <c r="C26" s="123" t="s">
        <v>86</v>
      </c>
      <c r="D26" s="123" t="s">
        <v>86</v>
      </c>
      <c r="E26" s="123" t="s">
        <v>86</v>
      </c>
    </row>
    <row r="27" spans="1:5" x14ac:dyDescent="0.35">
      <c r="A27" s="93"/>
      <c r="B27" s="123" t="s">
        <v>86</v>
      </c>
      <c r="C27" s="123" t="s">
        <v>86</v>
      </c>
      <c r="D27" s="123" t="s">
        <v>86</v>
      </c>
      <c r="E27" s="123" t="s">
        <v>86</v>
      </c>
    </row>
    <row r="28" spans="1:5" x14ac:dyDescent="0.35">
      <c r="A28" s="93"/>
      <c r="B28" s="123" t="s">
        <v>86</v>
      </c>
      <c r="C28" s="123" t="s">
        <v>86</v>
      </c>
      <c r="D28" s="123" t="s">
        <v>86</v>
      </c>
      <c r="E28" s="123" t="s">
        <v>86</v>
      </c>
    </row>
    <row r="29" spans="1:5" x14ac:dyDescent="0.35">
      <c r="A29" s="93"/>
      <c r="B29" s="123" t="s">
        <v>86</v>
      </c>
      <c r="C29" s="123" t="s">
        <v>86</v>
      </c>
      <c r="D29" s="123" t="s">
        <v>86</v>
      </c>
      <c r="E29" s="123" t="s">
        <v>86</v>
      </c>
    </row>
    <row r="30" spans="1:5" x14ac:dyDescent="0.35">
      <c r="A30" s="93"/>
      <c r="B30" s="123" t="s">
        <v>86</v>
      </c>
      <c r="C30" s="123" t="s">
        <v>86</v>
      </c>
      <c r="D30" s="123" t="s">
        <v>86</v>
      </c>
      <c r="E30" s="123" t="s">
        <v>86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41"/>
  <sheetViews>
    <sheetView workbookViewId="0">
      <selection activeCell="B10" sqref="B10"/>
    </sheetView>
  </sheetViews>
  <sheetFormatPr defaultRowHeight="18.75" x14ac:dyDescent="0.3"/>
  <cols>
    <col min="1" max="1" width="7" style="55" customWidth="1"/>
    <col min="2" max="2" width="28.5703125" style="55" customWidth="1"/>
    <col min="3" max="3" width="24.7109375" style="55" customWidth="1"/>
    <col min="4" max="4" width="12.7109375" style="55" customWidth="1"/>
    <col min="5" max="16384" width="9.140625" style="55"/>
  </cols>
  <sheetData>
    <row r="1" spans="1:6" ht="21" x14ac:dyDescent="0.35">
      <c r="A1" s="57" t="s">
        <v>65</v>
      </c>
      <c r="C1" s="169" t="str">
        <f>+Setup!B3</f>
        <v>Consolation</v>
      </c>
    </row>
    <row r="3" spans="1:6" ht="21" x14ac:dyDescent="0.35">
      <c r="A3" s="300" t="str">
        <f>+Entries!A2</f>
        <v>Wine Country Winter Open</v>
      </c>
      <c r="B3" s="300"/>
      <c r="C3" s="300"/>
      <c r="D3" s="169"/>
    </row>
    <row r="4" spans="1:6" x14ac:dyDescent="0.3">
      <c r="A4" s="301">
        <f>+Setup!B9</f>
        <v>0</v>
      </c>
      <c r="B4" s="301"/>
      <c r="C4" s="59"/>
    </row>
    <row r="5" spans="1:6" x14ac:dyDescent="0.3">
      <c r="A5" s="302" t="str">
        <f>+Setup!B19</f>
        <v>Roland Hall, Yvonne Bowers, Michael Rogers, Cheryl Von Scyoc</v>
      </c>
      <c r="B5" s="300"/>
      <c r="C5" s="60" t="s">
        <v>63</v>
      </c>
    </row>
    <row r="6" spans="1:6" x14ac:dyDescent="0.3">
      <c r="A6" s="65">
        <f>+Setup!B13</f>
        <v>8</v>
      </c>
      <c r="B6" s="60" t="s">
        <v>71</v>
      </c>
      <c r="C6" s="59"/>
    </row>
    <row r="7" spans="1:6" x14ac:dyDescent="0.3">
      <c r="A7" s="65">
        <f>+Entries!B10</f>
        <v>0</v>
      </c>
      <c r="B7" s="303" t="s">
        <v>69</v>
      </c>
      <c r="C7" s="303"/>
    </row>
    <row r="8" spans="1:6" x14ac:dyDescent="0.3">
      <c r="A8" s="65">
        <f>+Results!A6</f>
        <v>0</v>
      </c>
      <c r="B8" s="97" t="s">
        <v>24</v>
      </c>
    </row>
    <row r="9" spans="1:6" x14ac:dyDescent="0.3">
      <c r="A9" s="58"/>
      <c r="B9" s="61" t="s">
        <v>0</v>
      </c>
      <c r="C9" s="61" t="s">
        <v>1</v>
      </c>
      <c r="D9" s="62" t="s">
        <v>2</v>
      </c>
      <c r="E9" s="64" t="s">
        <v>68</v>
      </c>
      <c r="F9" s="64" t="s">
        <v>67</v>
      </c>
    </row>
    <row r="10" spans="1:6" x14ac:dyDescent="0.3">
      <c r="A10" s="63">
        <v>1</v>
      </c>
      <c r="B10" s="111"/>
      <c r="C10" s="111"/>
      <c r="D10" s="110"/>
      <c r="E10" s="110"/>
      <c r="F10" s="110"/>
    </row>
    <row r="11" spans="1:6" x14ac:dyDescent="0.3">
      <c r="A11" s="63">
        <f>+A10+1</f>
        <v>2</v>
      </c>
      <c r="B11" s="111"/>
      <c r="C11" s="111"/>
      <c r="D11" s="110"/>
      <c r="E11" s="110"/>
      <c r="F11" s="110"/>
    </row>
    <row r="12" spans="1:6" x14ac:dyDescent="0.3">
      <c r="A12" s="63">
        <f t="shared" ref="A12:A41" si="0">+A11+1</f>
        <v>3</v>
      </c>
      <c r="B12" s="111"/>
      <c r="C12" s="111"/>
      <c r="D12" s="110"/>
      <c r="E12" s="110"/>
      <c r="F12" s="110"/>
    </row>
    <row r="13" spans="1:6" x14ac:dyDescent="0.3">
      <c r="A13" s="63">
        <f t="shared" si="0"/>
        <v>4</v>
      </c>
      <c r="B13" s="111"/>
      <c r="C13" s="111"/>
      <c r="D13" s="110"/>
      <c r="E13" s="110"/>
      <c r="F13" s="110"/>
    </row>
    <row r="14" spans="1:6" x14ac:dyDescent="0.3">
      <c r="A14" s="63">
        <f t="shared" si="0"/>
        <v>5</v>
      </c>
      <c r="B14" s="111"/>
      <c r="C14" s="111"/>
      <c r="D14" s="110"/>
      <c r="E14" s="110"/>
      <c r="F14" s="110"/>
    </row>
    <row r="15" spans="1:6" x14ac:dyDescent="0.3">
      <c r="A15" s="63">
        <f t="shared" si="0"/>
        <v>6</v>
      </c>
      <c r="B15" s="111"/>
      <c r="C15" s="111"/>
      <c r="D15" s="110"/>
      <c r="E15" s="110"/>
      <c r="F15" s="110"/>
    </row>
    <row r="16" spans="1:6" x14ac:dyDescent="0.3">
      <c r="A16" s="63">
        <f t="shared" si="0"/>
        <v>7</v>
      </c>
      <c r="B16" s="111"/>
      <c r="C16" s="111"/>
      <c r="D16" s="110"/>
      <c r="E16" s="110"/>
      <c r="F16" s="110"/>
    </row>
    <row r="17" spans="1:6" x14ac:dyDescent="0.3">
      <c r="A17" s="63">
        <f t="shared" si="0"/>
        <v>8</v>
      </c>
      <c r="B17" s="111"/>
      <c r="C17" s="111"/>
      <c r="D17" s="110"/>
      <c r="E17" s="110"/>
      <c r="F17" s="110"/>
    </row>
    <row r="18" spans="1:6" x14ac:dyDescent="0.3">
      <c r="A18" s="63">
        <f t="shared" si="0"/>
        <v>9</v>
      </c>
      <c r="B18" s="111"/>
      <c r="C18" s="111"/>
      <c r="D18" s="110"/>
      <c r="E18" s="110"/>
      <c r="F18" s="110"/>
    </row>
    <row r="19" spans="1:6" x14ac:dyDescent="0.3">
      <c r="A19" s="63">
        <f t="shared" si="0"/>
        <v>10</v>
      </c>
      <c r="B19" s="111"/>
      <c r="C19" s="111"/>
      <c r="D19" s="110"/>
      <c r="E19" s="110"/>
      <c r="F19" s="110"/>
    </row>
    <row r="20" spans="1:6" x14ac:dyDescent="0.3">
      <c r="A20" s="63">
        <f t="shared" si="0"/>
        <v>11</v>
      </c>
      <c r="B20" s="111"/>
      <c r="C20" s="111"/>
      <c r="D20" s="110"/>
      <c r="E20" s="110"/>
      <c r="F20" s="110"/>
    </row>
    <row r="21" spans="1:6" x14ac:dyDescent="0.3">
      <c r="A21" s="63">
        <f t="shared" si="0"/>
        <v>12</v>
      </c>
      <c r="B21" s="111"/>
      <c r="C21" s="111"/>
      <c r="D21" s="110"/>
      <c r="E21" s="110"/>
      <c r="F21" s="110"/>
    </row>
    <row r="22" spans="1:6" x14ac:dyDescent="0.3">
      <c r="A22" s="63">
        <f t="shared" si="0"/>
        <v>13</v>
      </c>
      <c r="B22" s="111"/>
      <c r="C22" s="111"/>
      <c r="D22" s="110"/>
      <c r="E22" s="110"/>
      <c r="F22" s="110"/>
    </row>
    <row r="23" spans="1:6" x14ac:dyDescent="0.3">
      <c r="A23" s="63">
        <f t="shared" si="0"/>
        <v>14</v>
      </c>
      <c r="B23" s="111"/>
      <c r="C23" s="111"/>
      <c r="D23" s="110"/>
      <c r="E23" s="110"/>
      <c r="F23" s="110"/>
    </row>
    <row r="24" spans="1:6" x14ac:dyDescent="0.3">
      <c r="A24" s="63">
        <f t="shared" si="0"/>
        <v>15</v>
      </c>
      <c r="B24" s="111"/>
      <c r="C24" s="111"/>
      <c r="D24" s="110"/>
      <c r="E24" s="110"/>
      <c r="F24" s="110"/>
    </row>
    <row r="25" spans="1:6" x14ac:dyDescent="0.3">
      <c r="A25" s="63">
        <f t="shared" si="0"/>
        <v>16</v>
      </c>
      <c r="B25" s="111"/>
      <c r="C25" s="111"/>
      <c r="D25" s="110"/>
      <c r="E25" s="110"/>
      <c r="F25" s="110"/>
    </row>
    <row r="26" spans="1:6" x14ac:dyDescent="0.3">
      <c r="A26" s="63">
        <f t="shared" si="0"/>
        <v>17</v>
      </c>
      <c r="B26" s="111"/>
      <c r="C26" s="111"/>
      <c r="D26" s="110"/>
      <c r="E26" s="110"/>
      <c r="F26" s="110"/>
    </row>
    <row r="27" spans="1:6" x14ac:dyDescent="0.3">
      <c r="A27" s="63">
        <f t="shared" si="0"/>
        <v>18</v>
      </c>
      <c r="B27" s="111"/>
      <c r="C27" s="111"/>
      <c r="D27" s="110"/>
      <c r="E27" s="110"/>
      <c r="F27" s="110"/>
    </row>
    <row r="28" spans="1:6" x14ac:dyDescent="0.3">
      <c r="A28" s="63">
        <f t="shared" si="0"/>
        <v>19</v>
      </c>
      <c r="B28" s="111"/>
      <c r="C28" s="111"/>
      <c r="D28" s="110"/>
      <c r="E28" s="110"/>
      <c r="F28" s="110"/>
    </row>
    <row r="29" spans="1:6" x14ac:dyDescent="0.3">
      <c r="A29" s="63">
        <f t="shared" si="0"/>
        <v>20</v>
      </c>
      <c r="B29" s="111"/>
      <c r="C29" s="111"/>
      <c r="D29" s="110"/>
      <c r="E29" s="110"/>
      <c r="F29" s="110"/>
    </row>
    <row r="30" spans="1:6" x14ac:dyDescent="0.3">
      <c r="A30" s="63">
        <f t="shared" si="0"/>
        <v>21</v>
      </c>
      <c r="B30" s="111"/>
      <c r="C30" s="111"/>
      <c r="D30" s="110"/>
      <c r="E30" s="110"/>
      <c r="F30" s="110"/>
    </row>
    <row r="31" spans="1:6" x14ac:dyDescent="0.3">
      <c r="A31" s="63">
        <f t="shared" si="0"/>
        <v>22</v>
      </c>
      <c r="B31" s="111"/>
      <c r="C31" s="111"/>
      <c r="D31" s="110"/>
      <c r="E31" s="110"/>
      <c r="F31" s="110"/>
    </row>
    <row r="32" spans="1:6" x14ac:dyDescent="0.3">
      <c r="A32" s="63">
        <f t="shared" si="0"/>
        <v>23</v>
      </c>
      <c r="B32" s="111"/>
      <c r="C32" s="111"/>
      <c r="D32" s="110"/>
      <c r="E32" s="110"/>
      <c r="F32" s="110"/>
    </row>
    <row r="33" spans="1:6" x14ac:dyDescent="0.3">
      <c r="A33" s="63">
        <f t="shared" si="0"/>
        <v>24</v>
      </c>
      <c r="B33" s="111"/>
      <c r="C33" s="111"/>
      <c r="D33" s="110"/>
      <c r="E33" s="110"/>
      <c r="F33" s="110"/>
    </row>
    <row r="34" spans="1:6" x14ac:dyDescent="0.3">
      <c r="A34" s="63">
        <f t="shared" si="0"/>
        <v>25</v>
      </c>
      <c r="B34" s="111"/>
      <c r="C34" s="111"/>
      <c r="D34" s="110"/>
      <c r="E34" s="110"/>
      <c r="F34" s="110"/>
    </row>
    <row r="35" spans="1:6" x14ac:dyDescent="0.3">
      <c r="A35" s="63">
        <f t="shared" si="0"/>
        <v>26</v>
      </c>
      <c r="B35" s="111"/>
      <c r="C35" s="111"/>
      <c r="D35" s="110"/>
      <c r="E35" s="110"/>
      <c r="F35" s="110"/>
    </row>
    <row r="36" spans="1:6" x14ac:dyDescent="0.3">
      <c r="A36" s="63">
        <f t="shared" si="0"/>
        <v>27</v>
      </c>
      <c r="B36" s="111"/>
      <c r="C36" s="111"/>
      <c r="D36" s="110"/>
      <c r="E36" s="110"/>
      <c r="F36" s="110"/>
    </row>
    <row r="37" spans="1:6" x14ac:dyDescent="0.3">
      <c r="A37" s="63">
        <f t="shared" si="0"/>
        <v>28</v>
      </c>
      <c r="B37" s="111"/>
      <c r="C37" s="111"/>
      <c r="D37" s="110"/>
      <c r="E37" s="110"/>
      <c r="F37" s="110"/>
    </row>
    <row r="38" spans="1:6" x14ac:dyDescent="0.3">
      <c r="A38" s="63">
        <f t="shared" si="0"/>
        <v>29</v>
      </c>
      <c r="B38" s="111"/>
      <c r="C38" s="111"/>
      <c r="D38" s="110"/>
      <c r="E38" s="110"/>
      <c r="F38" s="110"/>
    </row>
    <row r="39" spans="1:6" x14ac:dyDescent="0.3">
      <c r="A39" s="63">
        <f t="shared" si="0"/>
        <v>30</v>
      </c>
      <c r="B39" s="111"/>
      <c r="C39" s="111"/>
      <c r="D39" s="110"/>
      <c r="E39" s="110"/>
      <c r="F39" s="110"/>
    </row>
    <row r="40" spans="1:6" x14ac:dyDescent="0.3">
      <c r="A40" s="63">
        <f t="shared" si="0"/>
        <v>31</v>
      </c>
      <c r="B40" s="111"/>
      <c r="C40" s="111"/>
      <c r="D40" s="110"/>
      <c r="E40" s="110"/>
      <c r="F40" s="110"/>
    </row>
    <row r="41" spans="1:6" x14ac:dyDescent="0.3">
      <c r="A41" s="63">
        <f t="shared" si="0"/>
        <v>32</v>
      </c>
      <c r="B41" s="111"/>
      <c r="C41" s="111"/>
      <c r="D41" s="110"/>
      <c r="E41" s="110"/>
      <c r="F41" s="110"/>
    </row>
  </sheetData>
  <sheetProtection sheet="1" objects="1" scenarios="1"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R41"/>
  <sheetViews>
    <sheetView workbookViewId="0">
      <selection activeCell="B10" sqref="B10"/>
    </sheetView>
  </sheetViews>
  <sheetFormatPr defaultRowHeight="18.75" x14ac:dyDescent="0.3"/>
  <cols>
    <col min="1" max="1" width="6.7109375" style="57" customWidth="1"/>
    <col min="2" max="2" width="28.5703125" style="59" customWidth="1"/>
    <col min="3" max="3" width="24.7109375" style="59" customWidth="1"/>
    <col min="4" max="4" width="12.7109375" style="58" customWidth="1"/>
    <col min="5" max="5" width="10.28515625" style="58" customWidth="1"/>
    <col min="6" max="6" width="11.140625" style="58" customWidth="1"/>
    <col min="7" max="16384" width="9.140625" style="57"/>
  </cols>
  <sheetData>
    <row r="1" spans="1:18" ht="21" x14ac:dyDescent="0.35">
      <c r="A1" s="57" t="s">
        <v>62</v>
      </c>
      <c r="C1" s="169" t="str">
        <f>+Setup!B3</f>
        <v>Consolation</v>
      </c>
      <c r="J1" s="103"/>
      <c r="K1" s="59"/>
      <c r="L1" s="59"/>
      <c r="M1" s="58"/>
      <c r="N1" s="58"/>
      <c r="O1" s="58"/>
    </row>
    <row r="2" spans="1:18" x14ac:dyDescent="0.3">
      <c r="J2" s="103"/>
      <c r="K2" s="59"/>
      <c r="L2" s="59"/>
      <c r="M2" s="58"/>
      <c r="N2" s="58"/>
      <c r="O2" s="58"/>
    </row>
    <row r="3" spans="1:18" x14ac:dyDescent="0.3">
      <c r="A3" s="304" t="str">
        <f>+Entries!A2</f>
        <v>Wine Country Winter Open</v>
      </c>
      <c r="B3" s="304"/>
      <c r="C3" s="304"/>
      <c r="E3" s="59"/>
      <c r="F3" s="59"/>
      <c r="J3" s="300"/>
      <c r="K3" s="300"/>
      <c r="L3" s="300"/>
      <c r="M3" s="58"/>
      <c r="N3" s="59"/>
      <c r="O3" s="59"/>
    </row>
    <row r="4" spans="1:18" x14ac:dyDescent="0.3">
      <c r="A4" s="301">
        <f>+Setup!B9</f>
        <v>0</v>
      </c>
      <c r="B4" s="301"/>
      <c r="J4" s="301"/>
      <c r="K4" s="301"/>
      <c r="L4" s="59"/>
      <c r="M4" s="58"/>
      <c r="N4" s="58"/>
      <c r="O4" s="58"/>
      <c r="R4" s="142"/>
    </row>
    <row r="5" spans="1:18" x14ac:dyDescent="0.3">
      <c r="A5" s="302" t="str">
        <f>+Setup!B19</f>
        <v>Roland Hall, Yvonne Bowers, Michael Rogers, Cheryl Von Scyoc</v>
      </c>
      <c r="B5" s="300"/>
      <c r="C5" s="60" t="s">
        <v>63</v>
      </c>
      <c r="J5" s="300"/>
      <c r="K5" s="300"/>
      <c r="L5" s="104"/>
      <c r="M5" s="58"/>
      <c r="N5" s="58"/>
      <c r="O5" s="58"/>
    </row>
    <row r="6" spans="1:18" x14ac:dyDescent="0.3">
      <c r="A6" s="65">
        <f>+Setup!B13</f>
        <v>8</v>
      </c>
      <c r="B6" s="167" t="s">
        <v>71</v>
      </c>
      <c r="J6" s="103"/>
      <c r="K6" s="104"/>
      <c r="L6" s="59"/>
      <c r="M6" s="58"/>
      <c r="N6" s="58"/>
      <c r="O6" s="58"/>
    </row>
    <row r="7" spans="1:18" x14ac:dyDescent="0.3">
      <c r="A7" s="65">
        <f>+Entries!B10</f>
        <v>0</v>
      </c>
      <c r="B7" s="303" t="s">
        <v>69</v>
      </c>
      <c r="C7" s="303"/>
      <c r="J7" s="65"/>
      <c r="K7" s="303"/>
      <c r="L7" s="303"/>
      <c r="M7" s="58"/>
      <c r="N7" s="58"/>
      <c r="O7" s="58"/>
    </row>
    <row r="8" spans="1:18" x14ac:dyDescent="0.3">
      <c r="A8" s="65">
        <f>+Results!A6</f>
        <v>0</v>
      </c>
      <c r="B8" s="97" t="s">
        <v>24</v>
      </c>
      <c r="J8" s="65"/>
      <c r="K8" s="97"/>
      <c r="L8" s="59"/>
      <c r="M8" s="58"/>
      <c r="N8" s="58"/>
      <c r="O8" s="58"/>
    </row>
    <row r="9" spans="1:18" x14ac:dyDescent="0.3">
      <c r="A9" s="58"/>
      <c r="B9" s="61" t="s">
        <v>0</v>
      </c>
      <c r="C9" s="61" t="s">
        <v>1</v>
      </c>
      <c r="D9" s="62" t="s">
        <v>2</v>
      </c>
      <c r="E9" s="64" t="s">
        <v>66</v>
      </c>
      <c r="F9" s="64" t="s">
        <v>67</v>
      </c>
    </row>
    <row r="10" spans="1:18" x14ac:dyDescent="0.3">
      <c r="A10" s="112">
        <v>1</v>
      </c>
      <c r="B10" s="111"/>
      <c r="C10" s="111"/>
      <c r="D10" s="110"/>
      <c r="E10" s="110"/>
      <c r="F10" s="110"/>
    </row>
    <row r="11" spans="1:18" x14ac:dyDescent="0.3">
      <c r="A11" s="112">
        <f>+A10+1</f>
        <v>2</v>
      </c>
      <c r="B11" s="111"/>
      <c r="C11" s="111"/>
      <c r="D11" s="110"/>
      <c r="E11" s="110"/>
      <c r="F11" s="110"/>
    </row>
    <row r="12" spans="1:18" x14ac:dyDescent="0.3">
      <c r="A12" s="112">
        <f t="shared" ref="A12:A41" si="0">+A11+1</f>
        <v>3</v>
      </c>
      <c r="B12" s="111"/>
      <c r="C12" s="111"/>
      <c r="D12" s="110"/>
      <c r="E12" s="110"/>
      <c r="F12" s="110"/>
    </row>
    <row r="13" spans="1:18" x14ac:dyDescent="0.3">
      <c r="A13" s="112">
        <f t="shared" si="0"/>
        <v>4</v>
      </c>
      <c r="B13" s="111"/>
      <c r="C13" s="111"/>
      <c r="D13" s="110"/>
      <c r="E13" s="110"/>
      <c r="F13" s="110"/>
    </row>
    <row r="14" spans="1:18" x14ac:dyDescent="0.3">
      <c r="A14" s="112">
        <f t="shared" si="0"/>
        <v>5</v>
      </c>
      <c r="B14" s="111"/>
      <c r="C14" s="111"/>
      <c r="D14" s="110"/>
      <c r="E14" s="110"/>
      <c r="F14" s="110"/>
    </row>
    <row r="15" spans="1:18" x14ac:dyDescent="0.3">
      <c r="A15" s="112">
        <f t="shared" si="0"/>
        <v>6</v>
      </c>
      <c r="B15" s="111"/>
      <c r="C15" s="111"/>
      <c r="D15" s="110"/>
      <c r="E15" s="110"/>
      <c r="F15" s="110"/>
    </row>
    <row r="16" spans="1:18" x14ac:dyDescent="0.3">
      <c r="A16" s="112">
        <f t="shared" si="0"/>
        <v>7</v>
      </c>
      <c r="B16" s="111"/>
      <c r="C16" s="111"/>
      <c r="D16" s="110"/>
      <c r="E16" s="110"/>
      <c r="F16" s="110"/>
    </row>
    <row r="17" spans="1:6" x14ac:dyDescent="0.3">
      <c r="A17" s="112">
        <f t="shared" si="0"/>
        <v>8</v>
      </c>
      <c r="B17" s="111"/>
      <c r="C17" s="111"/>
      <c r="D17" s="110"/>
      <c r="E17" s="110"/>
      <c r="F17" s="110"/>
    </row>
    <row r="18" spans="1:6" x14ac:dyDescent="0.3">
      <c r="A18" s="112">
        <f t="shared" si="0"/>
        <v>9</v>
      </c>
      <c r="B18" s="111"/>
      <c r="C18" s="111"/>
      <c r="D18" s="110"/>
      <c r="E18" s="110"/>
      <c r="F18" s="110"/>
    </row>
    <row r="19" spans="1:6" x14ac:dyDescent="0.3">
      <c r="A19" s="112">
        <f t="shared" si="0"/>
        <v>10</v>
      </c>
      <c r="B19" s="111"/>
      <c r="C19" s="111"/>
      <c r="D19" s="110"/>
      <c r="E19" s="110"/>
      <c r="F19" s="110"/>
    </row>
    <row r="20" spans="1:6" x14ac:dyDescent="0.3">
      <c r="A20" s="112">
        <f t="shared" si="0"/>
        <v>11</v>
      </c>
      <c r="B20" s="111"/>
      <c r="C20" s="111"/>
      <c r="D20" s="110"/>
      <c r="E20" s="110"/>
      <c r="F20" s="110"/>
    </row>
    <row r="21" spans="1:6" x14ac:dyDescent="0.3">
      <c r="A21" s="112">
        <f t="shared" si="0"/>
        <v>12</v>
      </c>
      <c r="B21" s="111"/>
      <c r="C21" s="111"/>
      <c r="D21" s="110"/>
      <c r="E21" s="110"/>
      <c r="F21" s="110"/>
    </row>
    <row r="22" spans="1:6" x14ac:dyDescent="0.3">
      <c r="A22" s="112">
        <f t="shared" si="0"/>
        <v>13</v>
      </c>
      <c r="B22" s="111"/>
      <c r="C22" s="111"/>
      <c r="D22" s="110"/>
      <c r="E22" s="110"/>
      <c r="F22" s="110"/>
    </row>
    <row r="23" spans="1:6" x14ac:dyDescent="0.3">
      <c r="A23" s="112">
        <f t="shared" si="0"/>
        <v>14</v>
      </c>
      <c r="B23" s="111"/>
      <c r="C23" s="111"/>
      <c r="D23" s="110"/>
      <c r="E23" s="110"/>
      <c r="F23" s="110"/>
    </row>
    <row r="24" spans="1:6" x14ac:dyDescent="0.3">
      <c r="A24" s="112">
        <f t="shared" si="0"/>
        <v>15</v>
      </c>
      <c r="B24" s="111"/>
      <c r="C24" s="111"/>
      <c r="D24" s="110"/>
      <c r="E24" s="110"/>
      <c r="F24" s="110"/>
    </row>
    <row r="25" spans="1:6" x14ac:dyDescent="0.3">
      <c r="A25" s="112">
        <f t="shared" si="0"/>
        <v>16</v>
      </c>
      <c r="B25" s="111"/>
      <c r="C25" s="111"/>
      <c r="D25" s="110"/>
      <c r="E25" s="110"/>
      <c r="F25" s="110"/>
    </row>
    <row r="26" spans="1:6" x14ac:dyDescent="0.3">
      <c r="A26" s="112">
        <f t="shared" si="0"/>
        <v>17</v>
      </c>
      <c r="B26" s="111"/>
      <c r="C26" s="111"/>
      <c r="D26" s="110"/>
      <c r="E26" s="110"/>
      <c r="F26" s="110"/>
    </row>
    <row r="27" spans="1:6" x14ac:dyDescent="0.3">
      <c r="A27" s="112">
        <f t="shared" si="0"/>
        <v>18</v>
      </c>
      <c r="B27" s="111"/>
      <c r="C27" s="111"/>
      <c r="D27" s="110"/>
      <c r="E27" s="110"/>
      <c r="F27" s="110"/>
    </row>
    <row r="28" spans="1:6" x14ac:dyDescent="0.3">
      <c r="A28" s="112">
        <f t="shared" si="0"/>
        <v>19</v>
      </c>
      <c r="B28" s="111"/>
      <c r="C28" s="111"/>
      <c r="D28" s="110"/>
      <c r="E28" s="110"/>
      <c r="F28" s="110"/>
    </row>
    <row r="29" spans="1:6" x14ac:dyDescent="0.3">
      <c r="A29" s="112">
        <f t="shared" si="0"/>
        <v>20</v>
      </c>
      <c r="B29" s="111"/>
      <c r="C29" s="111"/>
      <c r="D29" s="110"/>
      <c r="E29" s="110"/>
      <c r="F29" s="110"/>
    </row>
    <row r="30" spans="1:6" x14ac:dyDescent="0.3">
      <c r="A30" s="112">
        <f t="shared" si="0"/>
        <v>21</v>
      </c>
      <c r="B30" s="111"/>
      <c r="C30" s="111"/>
      <c r="D30" s="110"/>
      <c r="E30" s="110"/>
      <c r="F30" s="110"/>
    </row>
    <row r="31" spans="1:6" x14ac:dyDescent="0.3">
      <c r="A31" s="112">
        <f t="shared" si="0"/>
        <v>22</v>
      </c>
      <c r="B31" s="111"/>
      <c r="C31" s="111"/>
      <c r="D31" s="110"/>
      <c r="E31" s="110"/>
      <c r="F31" s="110"/>
    </row>
    <row r="32" spans="1:6" x14ac:dyDescent="0.3">
      <c r="A32" s="112">
        <f t="shared" si="0"/>
        <v>23</v>
      </c>
      <c r="B32" s="111"/>
      <c r="C32" s="111"/>
      <c r="D32" s="110"/>
      <c r="E32" s="110"/>
      <c r="F32" s="110"/>
    </row>
    <row r="33" spans="1:6" x14ac:dyDescent="0.3">
      <c r="A33" s="112">
        <f t="shared" si="0"/>
        <v>24</v>
      </c>
      <c r="B33" s="111"/>
      <c r="C33" s="111"/>
      <c r="D33" s="110"/>
      <c r="E33" s="110"/>
      <c r="F33" s="110"/>
    </row>
    <row r="34" spans="1:6" x14ac:dyDescent="0.3">
      <c r="A34" s="112">
        <f t="shared" si="0"/>
        <v>25</v>
      </c>
      <c r="B34" s="111"/>
      <c r="C34" s="111"/>
      <c r="D34" s="110"/>
      <c r="E34" s="110"/>
      <c r="F34" s="110"/>
    </row>
    <row r="35" spans="1:6" x14ac:dyDescent="0.3">
      <c r="A35" s="112">
        <f t="shared" si="0"/>
        <v>26</v>
      </c>
      <c r="B35" s="111"/>
      <c r="C35" s="111"/>
      <c r="D35" s="110"/>
      <c r="E35" s="110"/>
      <c r="F35" s="110"/>
    </row>
    <row r="36" spans="1:6" x14ac:dyDescent="0.3">
      <c r="A36" s="112">
        <f t="shared" si="0"/>
        <v>27</v>
      </c>
      <c r="B36" s="111"/>
      <c r="C36" s="111"/>
      <c r="D36" s="110"/>
      <c r="E36" s="110"/>
      <c r="F36" s="110"/>
    </row>
    <row r="37" spans="1:6" x14ac:dyDescent="0.3">
      <c r="A37" s="112">
        <f t="shared" si="0"/>
        <v>28</v>
      </c>
      <c r="B37" s="111"/>
      <c r="C37" s="111"/>
      <c r="D37" s="110"/>
      <c r="E37" s="110"/>
      <c r="F37" s="110"/>
    </row>
    <row r="38" spans="1:6" x14ac:dyDescent="0.3">
      <c r="A38" s="112">
        <f t="shared" si="0"/>
        <v>29</v>
      </c>
      <c r="B38" s="111"/>
      <c r="C38" s="111"/>
      <c r="D38" s="110"/>
      <c r="E38" s="110"/>
      <c r="F38" s="110"/>
    </row>
    <row r="39" spans="1:6" x14ac:dyDescent="0.3">
      <c r="A39" s="112">
        <f t="shared" si="0"/>
        <v>30</v>
      </c>
      <c r="B39" s="111"/>
      <c r="C39" s="111"/>
      <c r="D39" s="110"/>
      <c r="E39" s="110"/>
      <c r="F39" s="110"/>
    </row>
    <row r="40" spans="1:6" x14ac:dyDescent="0.3">
      <c r="A40" s="112">
        <f t="shared" si="0"/>
        <v>31</v>
      </c>
      <c r="B40" s="111"/>
      <c r="C40" s="111"/>
      <c r="D40" s="110"/>
      <c r="E40" s="110"/>
      <c r="F40" s="110"/>
    </row>
    <row r="41" spans="1:6" x14ac:dyDescent="0.3">
      <c r="A41" s="112">
        <f t="shared" si="0"/>
        <v>32</v>
      </c>
      <c r="B41" s="111"/>
      <c r="C41" s="111"/>
      <c r="D41" s="110"/>
      <c r="E41" s="110"/>
      <c r="F41" s="110"/>
    </row>
  </sheetData>
  <sheetProtection sheet="1" objects="1" scenarios="1"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T41"/>
  <sheetViews>
    <sheetView workbookViewId="0">
      <selection activeCell="B10" sqref="B10"/>
    </sheetView>
  </sheetViews>
  <sheetFormatPr defaultRowHeight="15" x14ac:dyDescent="0.25"/>
  <cols>
    <col min="1" max="1" width="7" style="20" customWidth="1"/>
    <col min="2" max="2" width="25.5703125" style="20" customWidth="1"/>
    <col min="3" max="3" width="19.42578125" style="20" customWidth="1"/>
    <col min="4" max="4" width="12.7109375" style="20" customWidth="1"/>
    <col min="5" max="6" width="9.140625" style="20"/>
    <col min="7" max="7" width="8" style="85" customWidth="1"/>
    <col min="8" max="8" width="7.5703125" style="85" customWidth="1"/>
    <col min="9" max="9" width="6.140625" style="89" customWidth="1"/>
    <col min="10" max="10" width="2.7109375" style="89" customWidth="1"/>
    <col min="11" max="11" width="8.28515625" style="34" customWidth="1"/>
    <col min="12" max="12" width="6.42578125" style="34" customWidth="1"/>
    <col min="13" max="13" width="9.28515625" style="34" customWidth="1"/>
    <col min="14" max="14" width="9.85546875" style="20" customWidth="1"/>
    <col min="15" max="19" width="9.140625" style="95" hidden="1" customWidth="1"/>
    <col min="20" max="16384" width="9.140625" style="20"/>
  </cols>
  <sheetData>
    <row r="1" spans="1:20" ht="15.75" x14ac:dyDescent="0.25">
      <c r="A1" s="20" t="s">
        <v>64</v>
      </c>
      <c r="D1" s="170" t="str">
        <f>+Setup!B3</f>
        <v>Consolation</v>
      </c>
      <c r="N1" s="37" t="s">
        <v>99</v>
      </c>
      <c r="T1" s="98" t="s">
        <v>54</v>
      </c>
    </row>
    <row r="3" spans="1:20" x14ac:dyDescent="0.25">
      <c r="A3" s="305" t="str">
        <f>+Entries!A2</f>
        <v>Wine Country Winter Open</v>
      </c>
      <c r="B3" s="305"/>
      <c r="C3" s="305"/>
    </row>
    <row r="4" spans="1:20" x14ac:dyDescent="0.25">
      <c r="A4" s="306">
        <f>+Setup!B9</f>
        <v>0</v>
      </c>
      <c r="B4" s="306"/>
      <c r="C4" s="84"/>
    </row>
    <row r="5" spans="1:20" x14ac:dyDescent="0.25">
      <c r="A5" s="307" t="str">
        <f>+Setup!B19</f>
        <v>Roland Hall, Yvonne Bowers, Michael Rogers, Cheryl Von Scyoc</v>
      </c>
      <c r="B5" s="305"/>
      <c r="C5" s="56" t="s">
        <v>59</v>
      </c>
    </row>
    <row r="6" spans="1:20" x14ac:dyDescent="0.25">
      <c r="A6" s="87">
        <f>+Setup!B13</f>
        <v>8</v>
      </c>
      <c r="B6" s="168" t="s">
        <v>71</v>
      </c>
      <c r="C6" s="84"/>
    </row>
    <row r="7" spans="1:20" x14ac:dyDescent="0.25">
      <c r="A7" s="87">
        <f>+Entries!B10</f>
        <v>0</v>
      </c>
      <c r="B7" s="308" t="s">
        <v>69</v>
      </c>
      <c r="C7" s="308"/>
    </row>
    <row r="8" spans="1:20" x14ac:dyDescent="0.25">
      <c r="A8" s="87">
        <f>+Results!A6</f>
        <v>0</v>
      </c>
      <c r="B8" s="96" t="s">
        <v>24</v>
      </c>
    </row>
    <row r="9" spans="1:20" ht="34.5" customHeight="1" x14ac:dyDescent="0.25">
      <c r="A9" s="18"/>
      <c r="B9" s="5" t="s">
        <v>0</v>
      </c>
      <c r="C9" s="6" t="s">
        <v>1</v>
      </c>
      <c r="D9" s="7" t="s">
        <v>2</v>
      </c>
      <c r="E9" s="88" t="s">
        <v>66</v>
      </c>
      <c r="F9" s="88" t="s">
        <v>67</v>
      </c>
      <c r="G9" s="13" t="s">
        <v>68</v>
      </c>
      <c r="H9" s="13" t="s">
        <v>73</v>
      </c>
      <c r="I9" s="13" t="s">
        <v>72</v>
      </c>
      <c r="J9" s="13"/>
      <c r="K9" s="49" t="s">
        <v>70</v>
      </c>
      <c r="L9" s="49" t="s">
        <v>77</v>
      </c>
      <c r="M9" s="49" t="s">
        <v>78</v>
      </c>
      <c r="O9" s="95" t="s">
        <v>82</v>
      </c>
      <c r="P9" s="95" t="s">
        <v>79</v>
      </c>
      <c r="Q9" s="166" t="s">
        <v>80</v>
      </c>
      <c r="R9" s="95" t="s">
        <v>81</v>
      </c>
      <c r="S9" s="95" t="s">
        <v>80</v>
      </c>
    </row>
    <row r="10" spans="1:20" x14ac:dyDescent="0.25">
      <c r="A10" s="88">
        <v>1</v>
      </c>
      <c r="B10" s="113"/>
      <c r="C10" s="113"/>
      <c r="D10" s="114"/>
      <c r="E10" s="114"/>
      <c r="F10" s="114"/>
      <c r="G10" s="82"/>
      <c r="H10" s="82"/>
      <c r="I10" s="82" t="str">
        <f>IF(F10&gt;0,F10+H10,"")</f>
        <v/>
      </c>
      <c r="J10" s="82"/>
      <c r="K10" s="109"/>
      <c r="L10" s="109"/>
      <c r="M10" s="109" t="str">
        <f t="shared" ref="M10:M41" si="0">IF(K10&gt;0,K10+L10,"")</f>
        <v/>
      </c>
      <c r="O10" s="139">
        <f>SUM(P10:S10)</f>
        <v>40</v>
      </c>
      <c r="P10" s="139">
        <v>40</v>
      </c>
      <c r="Q10" s="139"/>
      <c r="R10" s="139"/>
      <c r="S10" s="139"/>
    </row>
    <row r="11" spans="1:20" x14ac:dyDescent="0.25">
      <c r="A11" s="88">
        <f>+A10+1</f>
        <v>2</v>
      </c>
      <c r="B11" s="113"/>
      <c r="C11" s="113"/>
      <c r="D11" s="114"/>
      <c r="E11" s="114"/>
      <c r="F11" s="114"/>
      <c r="G11" s="82"/>
      <c r="H11" s="82"/>
      <c r="I11" s="82" t="str">
        <f t="shared" ref="I11:I41" si="1">IF(F11&gt;0,F11+H11,"")</f>
        <v/>
      </c>
      <c r="J11" s="82"/>
      <c r="K11" s="109"/>
      <c r="L11" s="109"/>
      <c r="M11" s="109" t="str">
        <f t="shared" si="0"/>
        <v/>
      </c>
      <c r="O11" s="139">
        <f t="shared" ref="O11:O41" si="2">SUM(P11:S11)</f>
        <v>0</v>
      </c>
      <c r="P11" s="139"/>
      <c r="Q11" s="139"/>
      <c r="R11" s="139"/>
      <c r="S11" s="139"/>
    </row>
    <row r="12" spans="1:20" x14ac:dyDescent="0.25">
      <c r="A12" s="88">
        <f t="shared" ref="A12:A41" si="3">+A11+1</f>
        <v>3</v>
      </c>
      <c r="B12" s="113"/>
      <c r="C12" s="113"/>
      <c r="D12" s="114"/>
      <c r="E12" s="114"/>
      <c r="F12" s="114"/>
      <c r="G12" s="82"/>
      <c r="H12" s="82"/>
      <c r="I12" s="82" t="str">
        <f t="shared" si="1"/>
        <v/>
      </c>
      <c r="J12" s="82"/>
      <c r="K12" s="109"/>
      <c r="L12" s="109"/>
      <c r="M12" s="109" t="str">
        <f t="shared" si="0"/>
        <v/>
      </c>
      <c r="O12" s="139">
        <f t="shared" si="2"/>
        <v>0</v>
      </c>
      <c r="P12" s="139"/>
      <c r="Q12" s="139"/>
      <c r="R12" s="139"/>
      <c r="S12" s="139"/>
    </row>
    <row r="13" spans="1:20" x14ac:dyDescent="0.25">
      <c r="A13" s="88">
        <f t="shared" si="3"/>
        <v>4</v>
      </c>
      <c r="B13" s="113"/>
      <c r="C13" s="113"/>
      <c r="D13" s="114"/>
      <c r="E13" s="114"/>
      <c r="F13" s="114"/>
      <c r="G13" s="82"/>
      <c r="H13" s="82"/>
      <c r="I13" s="82" t="str">
        <f t="shared" si="1"/>
        <v/>
      </c>
      <c r="J13" s="82"/>
      <c r="K13" s="109"/>
      <c r="L13" s="109"/>
      <c r="M13" s="109" t="str">
        <f t="shared" si="0"/>
        <v/>
      </c>
      <c r="O13" s="139">
        <f t="shared" si="2"/>
        <v>0</v>
      </c>
      <c r="P13" s="139"/>
      <c r="Q13" s="139"/>
      <c r="R13" s="139"/>
      <c r="S13" s="139"/>
    </row>
    <row r="14" spans="1:20" x14ac:dyDescent="0.25">
      <c r="A14" s="88">
        <f t="shared" si="3"/>
        <v>5</v>
      </c>
      <c r="B14" s="113"/>
      <c r="C14" s="113"/>
      <c r="D14" s="114"/>
      <c r="E14" s="114"/>
      <c r="F14" s="114"/>
      <c r="G14" s="82"/>
      <c r="H14" s="82"/>
      <c r="I14" s="82" t="str">
        <f t="shared" si="1"/>
        <v/>
      </c>
      <c r="J14" s="82"/>
      <c r="K14" s="109"/>
      <c r="L14" s="109"/>
      <c r="M14" s="109" t="str">
        <f t="shared" si="0"/>
        <v/>
      </c>
      <c r="O14" s="139">
        <f t="shared" si="2"/>
        <v>0</v>
      </c>
      <c r="P14" s="139"/>
      <c r="Q14" s="139"/>
      <c r="R14" s="139"/>
      <c r="S14" s="139"/>
    </row>
    <row r="15" spans="1:20" x14ac:dyDescent="0.25">
      <c r="A15" s="88">
        <f t="shared" si="3"/>
        <v>6</v>
      </c>
      <c r="B15" s="113"/>
      <c r="C15" s="113"/>
      <c r="D15" s="114"/>
      <c r="E15" s="114"/>
      <c r="F15" s="114"/>
      <c r="G15" s="82"/>
      <c r="H15" s="82"/>
      <c r="I15" s="82" t="str">
        <f t="shared" si="1"/>
        <v/>
      </c>
      <c r="J15" s="82"/>
      <c r="K15" s="109"/>
      <c r="L15" s="109"/>
      <c r="M15" s="109" t="str">
        <f t="shared" si="0"/>
        <v/>
      </c>
      <c r="O15" s="139">
        <f t="shared" si="2"/>
        <v>40</v>
      </c>
      <c r="P15" s="139">
        <v>40</v>
      </c>
      <c r="Q15" s="139"/>
      <c r="R15" s="139"/>
      <c r="S15" s="139"/>
    </row>
    <row r="16" spans="1:20" x14ac:dyDescent="0.25">
      <c r="A16" s="88">
        <f t="shared" si="3"/>
        <v>7</v>
      </c>
      <c r="B16" s="113"/>
      <c r="C16" s="113"/>
      <c r="D16" s="114"/>
      <c r="E16" s="114"/>
      <c r="F16" s="114"/>
      <c r="G16" s="82"/>
      <c r="H16" s="82"/>
      <c r="I16" s="82" t="str">
        <f t="shared" si="1"/>
        <v/>
      </c>
      <c r="J16" s="82"/>
      <c r="K16" s="109"/>
      <c r="L16" s="109"/>
      <c r="M16" s="109" t="str">
        <f t="shared" si="0"/>
        <v/>
      </c>
      <c r="O16" s="139">
        <f t="shared" si="2"/>
        <v>0</v>
      </c>
      <c r="P16" s="139"/>
      <c r="Q16" s="139"/>
      <c r="R16" s="139"/>
      <c r="S16" s="139"/>
    </row>
    <row r="17" spans="1:19" x14ac:dyDescent="0.25">
      <c r="A17" s="88">
        <f t="shared" si="3"/>
        <v>8</v>
      </c>
      <c r="B17" s="113"/>
      <c r="C17" s="113"/>
      <c r="D17" s="114"/>
      <c r="E17" s="114"/>
      <c r="F17" s="114"/>
      <c r="G17" s="82"/>
      <c r="H17" s="82"/>
      <c r="I17" s="82" t="str">
        <f t="shared" si="1"/>
        <v/>
      </c>
      <c r="J17" s="82"/>
      <c r="K17" s="109"/>
      <c r="L17" s="109"/>
      <c r="M17" s="109" t="str">
        <f t="shared" si="0"/>
        <v/>
      </c>
      <c r="O17" s="139">
        <f t="shared" si="2"/>
        <v>0</v>
      </c>
      <c r="P17" s="139"/>
      <c r="Q17" s="139"/>
      <c r="R17" s="139"/>
      <c r="S17" s="139"/>
    </row>
    <row r="18" spans="1:19" x14ac:dyDescent="0.25">
      <c r="A18" s="88">
        <f t="shared" si="3"/>
        <v>9</v>
      </c>
      <c r="B18" s="113"/>
      <c r="C18" s="113"/>
      <c r="D18" s="114"/>
      <c r="E18" s="114"/>
      <c r="F18" s="114"/>
      <c r="G18" s="82"/>
      <c r="H18" s="82"/>
      <c r="I18" s="82" t="str">
        <f t="shared" si="1"/>
        <v/>
      </c>
      <c r="J18" s="82"/>
      <c r="K18" s="109"/>
      <c r="L18" s="109"/>
      <c r="M18" s="109" t="str">
        <f t="shared" si="0"/>
        <v/>
      </c>
      <c r="O18" s="139">
        <f t="shared" si="2"/>
        <v>0</v>
      </c>
      <c r="P18" s="139"/>
      <c r="Q18" s="139"/>
      <c r="R18" s="139"/>
      <c r="S18" s="139"/>
    </row>
    <row r="19" spans="1:19" x14ac:dyDescent="0.25">
      <c r="A19" s="88">
        <f t="shared" si="3"/>
        <v>10</v>
      </c>
      <c r="B19" s="113"/>
      <c r="C19" s="113"/>
      <c r="D19" s="114"/>
      <c r="E19" s="114"/>
      <c r="F19" s="114"/>
      <c r="G19" s="82"/>
      <c r="H19" s="82"/>
      <c r="I19" s="82" t="str">
        <f t="shared" si="1"/>
        <v/>
      </c>
      <c r="J19" s="82"/>
      <c r="K19" s="109"/>
      <c r="L19" s="109"/>
      <c r="M19" s="109" t="str">
        <f t="shared" si="0"/>
        <v/>
      </c>
      <c r="O19" s="139">
        <f t="shared" si="2"/>
        <v>0</v>
      </c>
      <c r="P19" s="139"/>
      <c r="Q19" s="139"/>
      <c r="R19" s="139"/>
      <c r="S19" s="139"/>
    </row>
    <row r="20" spans="1:19" x14ac:dyDescent="0.25">
      <c r="A20" s="88">
        <f t="shared" si="3"/>
        <v>11</v>
      </c>
      <c r="B20" s="113"/>
      <c r="C20" s="113"/>
      <c r="D20" s="114"/>
      <c r="E20" s="114"/>
      <c r="F20" s="114"/>
      <c r="G20" s="82"/>
      <c r="H20" s="82"/>
      <c r="I20" s="82" t="str">
        <f t="shared" si="1"/>
        <v/>
      </c>
      <c r="J20" s="82"/>
      <c r="K20" s="109"/>
      <c r="L20" s="109"/>
      <c r="M20" s="109" t="str">
        <f t="shared" si="0"/>
        <v/>
      </c>
      <c r="O20" s="139">
        <f t="shared" si="2"/>
        <v>0</v>
      </c>
      <c r="P20" s="139"/>
      <c r="Q20" s="139"/>
      <c r="R20" s="139"/>
      <c r="S20" s="139"/>
    </row>
    <row r="21" spans="1:19" x14ac:dyDescent="0.25">
      <c r="A21" s="88">
        <f t="shared" si="3"/>
        <v>12</v>
      </c>
      <c r="B21" s="113"/>
      <c r="C21" s="113"/>
      <c r="D21" s="114"/>
      <c r="E21" s="114"/>
      <c r="F21" s="114"/>
      <c r="G21" s="82"/>
      <c r="H21" s="82"/>
      <c r="I21" s="82" t="str">
        <f t="shared" si="1"/>
        <v/>
      </c>
      <c r="J21" s="82"/>
      <c r="K21" s="109"/>
      <c r="L21" s="109"/>
      <c r="M21" s="109" t="str">
        <f t="shared" si="0"/>
        <v/>
      </c>
      <c r="O21" s="139">
        <f t="shared" si="2"/>
        <v>0</v>
      </c>
      <c r="P21" s="139"/>
      <c r="Q21" s="139"/>
      <c r="R21" s="139"/>
      <c r="S21" s="139"/>
    </row>
    <row r="22" spans="1:19" x14ac:dyDescent="0.25">
      <c r="A22" s="88">
        <f t="shared" si="3"/>
        <v>13</v>
      </c>
      <c r="B22" s="113"/>
      <c r="C22" s="113"/>
      <c r="D22" s="114"/>
      <c r="E22" s="114"/>
      <c r="F22" s="114"/>
      <c r="G22" s="82"/>
      <c r="H22" s="82"/>
      <c r="I22" s="82" t="str">
        <f t="shared" si="1"/>
        <v/>
      </c>
      <c r="J22" s="82"/>
      <c r="K22" s="109"/>
      <c r="L22" s="109"/>
      <c r="M22" s="109" t="str">
        <f t="shared" si="0"/>
        <v/>
      </c>
      <c r="O22" s="139">
        <f t="shared" si="2"/>
        <v>0</v>
      </c>
      <c r="P22" s="139"/>
      <c r="Q22" s="139"/>
      <c r="R22" s="139"/>
      <c r="S22" s="139"/>
    </row>
    <row r="23" spans="1:19" x14ac:dyDescent="0.25">
      <c r="A23" s="88">
        <f t="shared" si="3"/>
        <v>14</v>
      </c>
      <c r="B23" s="113"/>
      <c r="C23" s="113"/>
      <c r="D23" s="114"/>
      <c r="E23" s="114"/>
      <c r="F23" s="114"/>
      <c r="G23" s="82"/>
      <c r="H23" s="82"/>
      <c r="I23" s="82" t="str">
        <f t="shared" si="1"/>
        <v/>
      </c>
      <c r="J23" s="82"/>
      <c r="K23" s="109"/>
      <c r="L23" s="109"/>
      <c r="M23" s="109" t="str">
        <f t="shared" si="0"/>
        <v/>
      </c>
      <c r="O23" s="139">
        <f t="shared" si="2"/>
        <v>0</v>
      </c>
      <c r="P23" s="139"/>
      <c r="Q23" s="139"/>
      <c r="R23" s="139"/>
      <c r="S23" s="139"/>
    </row>
    <row r="24" spans="1:19" x14ac:dyDescent="0.25">
      <c r="A24" s="88">
        <f t="shared" si="3"/>
        <v>15</v>
      </c>
      <c r="B24" s="113"/>
      <c r="C24" s="113"/>
      <c r="D24" s="114"/>
      <c r="E24" s="114"/>
      <c r="F24" s="114"/>
      <c r="G24" s="82"/>
      <c r="H24" s="82"/>
      <c r="I24" s="82" t="str">
        <f t="shared" si="1"/>
        <v/>
      </c>
      <c r="J24" s="82"/>
      <c r="K24" s="109"/>
      <c r="L24" s="109"/>
      <c r="M24" s="109" t="str">
        <f t="shared" si="0"/>
        <v/>
      </c>
      <c r="O24" s="139">
        <f t="shared" si="2"/>
        <v>0</v>
      </c>
      <c r="P24" s="139"/>
      <c r="Q24" s="139"/>
      <c r="R24" s="139"/>
      <c r="S24" s="139"/>
    </row>
    <row r="25" spans="1:19" x14ac:dyDescent="0.25">
      <c r="A25" s="88">
        <f t="shared" si="3"/>
        <v>16</v>
      </c>
      <c r="B25" s="113"/>
      <c r="C25" s="113"/>
      <c r="D25" s="114"/>
      <c r="E25" s="114"/>
      <c r="F25" s="114"/>
      <c r="G25" s="82"/>
      <c r="H25" s="82"/>
      <c r="I25" s="82" t="str">
        <f t="shared" si="1"/>
        <v/>
      </c>
      <c r="J25" s="82"/>
      <c r="K25" s="109"/>
      <c r="L25" s="109"/>
      <c r="M25" s="109" t="str">
        <f t="shared" si="0"/>
        <v/>
      </c>
      <c r="O25" s="139">
        <f t="shared" si="2"/>
        <v>0</v>
      </c>
      <c r="P25" s="139"/>
      <c r="Q25" s="139"/>
      <c r="R25" s="139"/>
      <c r="S25" s="139"/>
    </row>
    <row r="26" spans="1:19" x14ac:dyDescent="0.25">
      <c r="A26" s="88">
        <f t="shared" si="3"/>
        <v>17</v>
      </c>
      <c r="B26" s="113"/>
      <c r="C26" s="113"/>
      <c r="D26" s="114"/>
      <c r="E26" s="114"/>
      <c r="F26" s="114"/>
      <c r="G26" s="82"/>
      <c r="H26" s="82"/>
      <c r="I26" s="82" t="str">
        <f t="shared" si="1"/>
        <v/>
      </c>
      <c r="J26" s="82"/>
      <c r="K26" s="109"/>
      <c r="L26" s="109"/>
      <c r="M26" s="109" t="str">
        <f t="shared" si="0"/>
        <v/>
      </c>
      <c r="O26" s="139">
        <f t="shared" si="2"/>
        <v>0</v>
      </c>
      <c r="P26" s="139"/>
      <c r="Q26" s="139"/>
      <c r="R26" s="139"/>
      <c r="S26" s="139"/>
    </row>
    <row r="27" spans="1:19" x14ac:dyDescent="0.25">
      <c r="A27" s="88">
        <f t="shared" si="3"/>
        <v>18</v>
      </c>
      <c r="B27" s="113"/>
      <c r="C27" s="113"/>
      <c r="D27" s="114"/>
      <c r="E27" s="114"/>
      <c r="F27" s="114"/>
      <c r="G27" s="82"/>
      <c r="H27" s="82"/>
      <c r="I27" s="82" t="str">
        <f t="shared" si="1"/>
        <v/>
      </c>
      <c r="J27" s="82"/>
      <c r="K27" s="109"/>
      <c r="L27" s="109"/>
      <c r="M27" s="109" t="str">
        <f t="shared" si="0"/>
        <v/>
      </c>
      <c r="O27" s="139">
        <f t="shared" si="2"/>
        <v>0</v>
      </c>
      <c r="P27" s="139"/>
      <c r="Q27" s="139"/>
      <c r="R27" s="139"/>
      <c r="S27" s="139"/>
    </row>
    <row r="28" spans="1:19" x14ac:dyDescent="0.25">
      <c r="A28" s="88">
        <f t="shared" si="3"/>
        <v>19</v>
      </c>
      <c r="B28" s="113"/>
      <c r="C28" s="113"/>
      <c r="D28" s="114"/>
      <c r="E28" s="114"/>
      <c r="F28" s="114"/>
      <c r="G28" s="82"/>
      <c r="H28" s="82"/>
      <c r="I28" s="82" t="str">
        <f t="shared" si="1"/>
        <v/>
      </c>
      <c r="J28" s="82"/>
      <c r="K28" s="109"/>
      <c r="L28" s="109"/>
      <c r="M28" s="109" t="str">
        <f t="shared" si="0"/>
        <v/>
      </c>
      <c r="O28" s="139">
        <f t="shared" si="2"/>
        <v>0</v>
      </c>
      <c r="P28" s="139"/>
      <c r="Q28" s="139"/>
      <c r="R28" s="139"/>
      <c r="S28" s="139"/>
    </row>
    <row r="29" spans="1:19" x14ac:dyDescent="0.25">
      <c r="A29" s="88">
        <f t="shared" si="3"/>
        <v>20</v>
      </c>
      <c r="B29" s="113"/>
      <c r="C29" s="113"/>
      <c r="D29" s="114"/>
      <c r="E29" s="114"/>
      <c r="F29" s="114"/>
      <c r="G29" s="82"/>
      <c r="H29" s="82"/>
      <c r="I29" s="82" t="str">
        <f t="shared" si="1"/>
        <v/>
      </c>
      <c r="J29" s="82"/>
      <c r="K29" s="109"/>
      <c r="L29" s="109"/>
      <c r="M29" s="109" t="str">
        <f t="shared" si="0"/>
        <v/>
      </c>
      <c r="O29" s="139">
        <f t="shared" si="2"/>
        <v>0</v>
      </c>
      <c r="P29" s="139"/>
      <c r="Q29" s="139"/>
      <c r="R29" s="139"/>
      <c r="S29" s="139"/>
    </row>
    <row r="30" spans="1:19" x14ac:dyDescent="0.25">
      <c r="A30" s="88">
        <f t="shared" si="3"/>
        <v>21</v>
      </c>
      <c r="B30" s="113"/>
      <c r="C30" s="113"/>
      <c r="D30" s="114"/>
      <c r="E30" s="114"/>
      <c r="F30" s="114"/>
      <c r="G30" s="82"/>
      <c r="H30" s="82"/>
      <c r="I30" s="82" t="str">
        <f t="shared" si="1"/>
        <v/>
      </c>
      <c r="J30" s="82"/>
      <c r="K30" s="109"/>
      <c r="L30" s="109"/>
      <c r="M30" s="109" t="str">
        <f t="shared" si="0"/>
        <v/>
      </c>
      <c r="O30" s="139">
        <f t="shared" si="2"/>
        <v>0</v>
      </c>
      <c r="P30" s="139"/>
      <c r="Q30" s="139"/>
      <c r="R30" s="139"/>
      <c r="S30" s="139"/>
    </row>
    <row r="31" spans="1:19" x14ac:dyDescent="0.25">
      <c r="A31" s="88">
        <f t="shared" si="3"/>
        <v>22</v>
      </c>
      <c r="B31" s="113"/>
      <c r="C31" s="113"/>
      <c r="D31" s="114"/>
      <c r="E31" s="114"/>
      <c r="F31" s="114"/>
      <c r="G31" s="82"/>
      <c r="H31" s="82"/>
      <c r="I31" s="82" t="str">
        <f t="shared" si="1"/>
        <v/>
      </c>
      <c r="J31" s="82"/>
      <c r="K31" s="109"/>
      <c r="L31" s="109"/>
      <c r="M31" s="109" t="str">
        <f t="shared" si="0"/>
        <v/>
      </c>
      <c r="O31" s="139">
        <f t="shared" si="2"/>
        <v>0</v>
      </c>
      <c r="P31" s="139"/>
      <c r="Q31" s="139"/>
      <c r="R31" s="139"/>
      <c r="S31" s="139"/>
    </row>
    <row r="32" spans="1:19" x14ac:dyDescent="0.25">
      <c r="A32" s="88">
        <f t="shared" si="3"/>
        <v>23</v>
      </c>
      <c r="B32" s="113"/>
      <c r="C32" s="113"/>
      <c r="D32" s="114"/>
      <c r="E32" s="114"/>
      <c r="F32" s="114"/>
      <c r="G32" s="82"/>
      <c r="H32" s="82"/>
      <c r="I32" s="82" t="str">
        <f t="shared" si="1"/>
        <v/>
      </c>
      <c r="J32" s="82"/>
      <c r="K32" s="109"/>
      <c r="L32" s="109"/>
      <c r="M32" s="109" t="str">
        <f t="shared" si="0"/>
        <v/>
      </c>
      <c r="O32" s="139">
        <f t="shared" si="2"/>
        <v>0</v>
      </c>
      <c r="P32" s="139"/>
      <c r="Q32" s="139"/>
      <c r="R32" s="139"/>
      <c r="S32" s="139"/>
    </row>
    <row r="33" spans="1:19" x14ac:dyDescent="0.25">
      <c r="A33" s="88">
        <f t="shared" si="3"/>
        <v>24</v>
      </c>
      <c r="B33" s="113"/>
      <c r="C33" s="113"/>
      <c r="D33" s="114"/>
      <c r="E33" s="114"/>
      <c r="F33" s="114"/>
      <c r="G33" s="82"/>
      <c r="H33" s="82"/>
      <c r="I33" s="82" t="str">
        <f t="shared" si="1"/>
        <v/>
      </c>
      <c r="J33" s="82"/>
      <c r="K33" s="109"/>
      <c r="L33" s="109"/>
      <c r="M33" s="109" t="str">
        <f t="shared" si="0"/>
        <v/>
      </c>
      <c r="O33" s="139">
        <f t="shared" si="2"/>
        <v>0</v>
      </c>
      <c r="P33" s="139"/>
      <c r="Q33" s="139"/>
      <c r="R33" s="139"/>
      <c r="S33" s="139"/>
    </row>
    <row r="34" spans="1:19" x14ac:dyDescent="0.25">
      <c r="A34" s="88">
        <f t="shared" si="3"/>
        <v>25</v>
      </c>
      <c r="B34" s="113"/>
      <c r="C34" s="113"/>
      <c r="D34" s="114"/>
      <c r="E34" s="114"/>
      <c r="F34" s="114"/>
      <c r="G34" s="82"/>
      <c r="H34" s="82"/>
      <c r="I34" s="82" t="str">
        <f t="shared" si="1"/>
        <v/>
      </c>
      <c r="J34" s="82"/>
      <c r="K34" s="109"/>
      <c r="L34" s="109"/>
      <c r="M34" s="109" t="str">
        <f t="shared" si="0"/>
        <v/>
      </c>
      <c r="O34" s="139">
        <f t="shared" si="2"/>
        <v>0</v>
      </c>
      <c r="P34" s="139"/>
      <c r="Q34" s="139"/>
      <c r="R34" s="139"/>
      <c r="S34" s="139"/>
    </row>
    <row r="35" spans="1:19" x14ac:dyDescent="0.25">
      <c r="A35" s="88">
        <f t="shared" si="3"/>
        <v>26</v>
      </c>
      <c r="B35" s="113"/>
      <c r="C35" s="113"/>
      <c r="D35" s="114"/>
      <c r="E35" s="114"/>
      <c r="F35" s="114"/>
      <c r="G35" s="82"/>
      <c r="H35" s="82"/>
      <c r="I35" s="82" t="str">
        <f t="shared" si="1"/>
        <v/>
      </c>
      <c r="J35" s="82"/>
      <c r="K35" s="109"/>
      <c r="L35" s="109"/>
      <c r="M35" s="109" t="str">
        <f t="shared" si="0"/>
        <v/>
      </c>
      <c r="O35" s="139">
        <f t="shared" si="2"/>
        <v>0</v>
      </c>
      <c r="P35" s="139"/>
      <c r="Q35" s="139"/>
      <c r="R35" s="139"/>
      <c r="S35" s="139"/>
    </row>
    <row r="36" spans="1:19" x14ac:dyDescent="0.25">
      <c r="A36" s="88">
        <f t="shared" si="3"/>
        <v>27</v>
      </c>
      <c r="B36" s="113"/>
      <c r="C36" s="113"/>
      <c r="D36" s="114"/>
      <c r="E36" s="114"/>
      <c r="F36" s="114"/>
      <c r="G36" s="82"/>
      <c r="H36" s="82"/>
      <c r="I36" s="82" t="str">
        <f t="shared" si="1"/>
        <v/>
      </c>
      <c r="J36" s="82"/>
      <c r="K36" s="109"/>
      <c r="L36" s="109"/>
      <c r="M36" s="109" t="str">
        <f t="shared" si="0"/>
        <v/>
      </c>
      <c r="O36" s="139">
        <f t="shared" si="2"/>
        <v>0</v>
      </c>
      <c r="P36" s="139"/>
      <c r="Q36" s="139"/>
      <c r="R36" s="139"/>
      <c r="S36" s="139"/>
    </row>
    <row r="37" spans="1:19" x14ac:dyDescent="0.25">
      <c r="A37" s="88">
        <f t="shared" si="3"/>
        <v>28</v>
      </c>
      <c r="B37" s="113"/>
      <c r="C37" s="113"/>
      <c r="D37" s="114"/>
      <c r="E37" s="114"/>
      <c r="F37" s="114"/>
      <c r="G37" s="82"/>
      <c r="H37" s="82"/>
      <c r="I37" s="82" t="str">
        <f t="shared" si="1"/>
        <v/>
      </c>
      <c r="J37" s="82"/>
      <c r="K37" s="109"/>
      <c r="L37" s="109"/>
      <c r="M37" s="109" t="str">
        <f t="shared" si="0"/>
        <v/>
      </c>
      <c r="O37" s="139">
        <f t="shared" si="2"/>
        <v>0</v>
      </c>
      <c r="P37" s="139"/>
      <c r="Q37" s="139"/>
      <c r="R37" s="139"/>
      <c r="S37" s="139"/>
    </row>
    <row r="38" spans="1:19" x14ac:dyDescent="0.25">
      <c r="A38" s="88">
        <f t="shared" si="3"/>
        <v>29</v>
      </c>
      <c r="B38" s="113"/>
      <c r="C38" s="113"/>
      <c r="D38" s="114"/>
      <c r="E38" s="114"/>
      <c r="F38" s="114"/>
      <c r="G38" s="82"/>
      <c r="H38" s="82"/>
      <c r="I38" s="82" t="str">
        <f t="shared" si="1"/>
        <v/>
      </c>
      <c r="J38" s="82"/>
      <c r="K38" s="109"/>
      <c r="L38" s="109"/>
      <c r="M38" s="109" t="str">
        <f t="shared" si="0"/>
        <v/>
      </c>
      <c r="O38" s="139">
        <f t="shared" si="2"/>
        <v>0</v>
      </c>
      <c r="P38" s="139"/>
      <c r="Q38" s="139"/>
      <c r="R38" s="139"/>
      <c r="S38" s="139"/>
    </row>
    <row r="39" spans="1:19" x14ac:dyDescent="0.25">
      <c r="A39" s="88">
        <f t="shared" si="3"/>
        <v>30</v>
      </c>
      <c r="B39" s="113"/>
      <c r="C39" s="113"/>
      <c r="D39" s="114"/>
      <c r="E39" s="114"/>
      <c r="F39" s="114"/>
      <c r="G39" s="82"/>
      <c r="H39" s="82"/>
      <c r="I39" s="82" t="str">
        <f t="shared" si="1"/>
        <v/>
      </c>
      <c r="J39" s="82"/>
      <c r="K39" s="109"/>
      <c r="L39" s="109"/>
      <c r="M39" s="109" t="str">
        <f t="shared" si="0"/>
        <v/>
      </c>
      <c r="O39" s="139">
        <f t="shared" si="2"/>
        <v>0</v>
      </c>
      <c r="P39" s="139"/>
      <c r="Q39" s="139"/>
      <c r="R39" s="139"/>
      <c r="S39" s="139"/>
    </row>
    <row r="40" spans="1:19" x14ac:dyDescent="0.25">
      <c r="A40" s="88">
        <f t="shared" si="3"/>
        <v>31</v>
      </c>
      <c r="B40" s="113"/>
      <c r="C40" s="113"/>
      <c r="D40" s="114"/>
      <c r="E40" s="114"/>
      <c r="F40" s="114"/>
      <c r="G40" s="82"/>
      <c r="H40" s="82"/>
      <c r="I40" s="82" t="str">
        <f t="shared" si="1"/>
        <v/>
      </c>
      <c r="J40" s="82"/>
      <c r="K40" s="109"/>
      <c r="L40" s="109"/>
      <c r="M40" s="109" t="str">
        <f t="shared" si="0"/>
        <v/>
      </c>
      <c r="O40" s="139">
        <f t="shared" si="2"/>
        <v>0</v>
      </c>
      <c r="P40" s="139"/>
      <c r="Q40" s="139"/>
      <c r="R40" s="139"/>
      <c r="S40" s="139"/>
    </row>
    <row r="41" spans="1:19" x14ac:dyDescent="0.25">
      <c r="A41" s="88">
        <f t="shared" si="3"/>
        <v>32</v>
      </c>
      <c r="B41" s="113"/>
      <c r="C41" s="113"/>
      <c r="D41" s="114"/>
      <c r="E41" s="114"/>
      <c r="F41" s="114"/>
      <c r="G41" s="82"/>
      <c r="H41" s="82"/>
      <c r="I41" s="82" t="str">
        <f t="shared" si="1"/>
        <v/>
      </c>
      <c r="J41" s="82"/>
      <c r="K41" s="109"/>
      <c r="L41" s="109"/>
      <c r="M41" s="109" t="str">
        <f t="shared" si="0"/>
        <v/>
      </c>
      <c r="O41" s="139">
        <f t="shared" si="2"/>
        <v>0</v>
      </c>
      <c r="P41" s="139"/>
      <c r="Q41" s="139"/>
      <c r="R41" s="139"/>
      <c r="S41" s="139"/>
    </row>
  </sheetData>
  <sheetProtection sheet="1" objects="1" scenarios="1"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C3:D12"/>
  <sheetViews>
    <sheetView workbookViewId="0">
      <selection activeCell="D12" sqref="D12"/>
    </sheetView>
  </sheetViews>
  <sheetFormatPr defaultRowHeight="15" x14ac:dyDescent="0.25"/>
  <sheetData>
    <row r="3" spans="3:4" x14ac:dyDescent="0.25">
      <c r="C3">
        <f>35/4</f>
        <v>8.75</v>
      </c>
      <c r="D3">
        <f>35*10</f>
        <v>350</v>
      </c>
    </row>
    <row r="4" spans="3:4" x14ac:dyDescent="0.25">
      <c r="D4">
        <f>+D3/9</f>
        <v>38.888888888888886</v>
      </c>
    </row>
    <row r="9" spans="3:4" x14ac:dyDescent="0.25">
      <c r="D9">
        <f>32/4</f>
        <v>8</v>
      </c>
    </row>
    <row r="10" spans="3:4" x14ac:dyDescent="0.25">
      <c r="D10" s="192" t="s">
        <v>170</v>
      </c>
    </row>
    <row r="11" spans="3:4" x14ac:dyDescent="0.25">
      <c r="D11" s="192" t="s">
        <v>171</v>
      </c>
    </row>
    <row r="12" spans="3:4" x14ac:dyDescent="0.25">
      <c r="D12">
        <f>340/8</f>
        <v>42.5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Setup</vt:lpstr>
      <vt:lpstr>Entries</vt:lpstr>
      <vt:lpstr>Results</vt:lpstr>
      <vt:lpstr>Bracket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Sheet1</vt:lpstr>
      <vt:lpstr>Bracket!Print_Area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2017-04-16T20:03:49Z</cp:lastPrinted>
  <dcterms:created xsi:type="dcterms:W3CDTF">2014-07-12T17:55:34Z</dcterms:created>
  <dcterms:modified xsi:type="dcterms:W3CDTF">2023-01-31T01:54:58Z</dcterms:modified>
</cp:coreProperties>
</file>