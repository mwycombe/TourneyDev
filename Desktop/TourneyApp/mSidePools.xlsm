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TourneyDev\Common\TourneyApp\"/>
    </mc:Choice>
  </mc:AlternateContent>
  <xr:revisionPtr revIDLastSave="0" documentId="13_ncr:1_{DFF52D55-E547-4661-8941-BEA6829CC398}" xr6:coauthVersionLast="47" xr6:coauthVersionMax="47" xr10:uidLastSave="{00000000-0000-0000-0000-000000000000}"/>
  <bookViews>
    <workbookView minimized="1" xWindow="390" yWindow="390" windowWidth="27900" windowHeight="15600" xr2:uid="{00000000-000D-0000-FFFF-FFFF00000000}"/>
  </bookViews>
  <sheets>
    <sheet name="Grad01" sheetId="7" r:id="rId1"/>
    <sheet name="Grad02" sheetId="8" r:id="rId2"/>
    <sheet name="Grad03" sheetId="9" r:id="rId3"/>
    <sheet name="Grad04" sheetId="15" r:id="rId4"/>
    <sheet name="PrtGrad01" sheetId="10" r:id="rId5"/>
    <sheet name="PrtGrad02" sheetId="11" r:id="rId6"/>
    <sheet name="PrtGrad03" sheetId="12" r:id="rId7"/>
    <sheet name="PrtGrad04" sheetId="16" r:id="rId8"/>
    <sheet name="by%1in6" sheetId="4" state="hidden" r:id="rId9"/>
    <sheet name="by%1in8" sheetId="13" state="hidden" r:id="rId10"/>
    <sheet name="EX" sheetId="5" state="hidden" r:id="rId11"/>
  </sheets>
  <functionGroups builtInGroupCount="19"/>
  <externalReferences>
    <externalReference r:id="rId12"/>
  </externalReferences>
  <definedNames>
    <definedName name="_xlnm.Print_Area" localSheetId="8">'by%1in6'!$A$1:$AZ$52</definedName>
    <definedName name="_xlnm.Print_Area" localSheetId="9">'by%1in8'!$A$23:$Q$37</definedName>
    <definedName name="_xlnm.Print_Area" localSheetId="10">EX!$A$1:$AP$39</definedName>
    <definedName name="_xlnm.Print_Titles" localSheetId="8">'by%1in6'!$A:$B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13" l="1"/>
  <c r="U4" i="13" s="1"/>
  <c r="T8" i="13"/>
  <c r="E23" i="13"/>
  <c r="F23" i="13" s="1"/>
  <c r="G23" i="13" s="1"/>
  <c r="H23" i="13" s="1"/>
  <c r="I23" i="13" s="1"/>
  <c r="J23" i="13" s="1"/>
  <c r="K23" i="13" s="1"/>
  <c r="L23" i="13" s="1"/>
  <c r="M23" i="13" s="1"/>
  <c r="N23" i="13" s="1"/>
  <c r="O23" i="13" s="1"/>
  <c r="P23" i="13" s="1"/>
  <c r="A7" i="15"/>
  <c r="A5" i="15"/>
  <c r="U3" i="13" l="1"/>
  <c r="U7" i="13"/>
  <c r="U6" i="13"/>
  <c r="U5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A25" i="13"/>
  <c r="A26" i="13" s="1"/>
  <c r="A27" i="13" s="1"/>
  <c r="A28" i="13" s="1"/>
  <c r="A29" i="13" s="1"/>
  <c r="A30" i="13" s="1"/>
  <c r="A31" i="13" s="1"/>
  <c r="A32" i="13" s="1"/>
  <c r="A33" i="13" s="1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A4" i="13"/>
  <c r="A5" i="13" s="1"/>
  <c r="A6" i="13" s="1"/>
  <c r="A7" i="13" s="1"/>
  <c r="A8" i="13" s="1"/>
  <c r="A9" i="13" s="1"/>
  <c r="A10" i="13" s="1"/>
  <c r="A11" i="13" s="1"/>
  <c r="A12" i="13" s="1"/>
  <c r="I39" i="13" l="1"/>
  <c r="M39" i="13"/>
  <c r="E39" i="13"/>
  <c r="I4" i="15"/>
  <c r="D39" i="13"/>
  <c r="H39" i="13"/>
  <c r="L39" i="13"/>
  <c r="P39" i="13"/>
  <c r="G39" i="13"/>
  <c r="K39" i="13"/>
  <c r="O39" i="13"/>
  <c r="F39" i="13"/>
  <c r="J39" i="13"/>
  <c r="N39" i="13"/>
  <c r="O4" i="15" l="1"/>
  <c r="M4" i="15" s="1"/>
  <c r="K4" i="15"/>
  <c r="A7" i="9"/>
  <c r="A7" i="8"/>
  <c r="A7" i="7"/>
  <c r="A5" i="7" l="1"/>
  <c r="A5" i="9" l="1"/>
  <c r="A5" i="8"/>
  <c r="M32" i="4" l="1"/>
  <c r="M36" i="4" s="1"/>
  <c r="O4" i="9" l="1"/>
  <c r="I4" i="8"/>
  <c r="I4" i="9"/>
  <c r="K4" i="9"/>
  <c r="O4" i="8"/>
  <c r="K4" i="8"/>
  <c r="AI10" i="5"/>
  <c r="AI16" i="5"/>
  <c r="AI8" i="5"/>
  <c r="M4" i="9" l="1"/>
  <c r="M4" i="8"/>
  <c r="O4" i="7"/>
  <c r="K4" i="7"/>
  <c r="I4" i="7"/>
  <c r="AK34" i="5"/>
  <c r="AP34" i="5" s="1"/>
  <c r="AK33" i="5"/>
  <c r="AP33" i="5" s="1"/>
  <c r="AK32" i="5"/>
  <c r="AP32" i="5" s="1"/>
  <c r="AK31" i="5"/>
  <c r="AP31" i="5" s="1"/>
  <c r="AK30" i="5"/>
  <c r="AP30" i="5" s="1"/>
  <c r="AK29" i="5"/>
  <c r="AP29" i="5" s="1"/>
  <c r="AK28" i="5"/>
  <c r="AP28" i="5" s="1"/>
  <c r="AK27" i="5"/>
  <c r="AP27" i="5" s="1"/>
  <c r="AK26" i="5"/>
  <c r="AP26" i="5" s="1"/>
  <c r="AK25" i="5"/>
  <c r="AP25" i="5" s="1"/>
  <c r="AK24" i="5"/>
  <c r="AP24" i="5" s="1"/>
  <c r="AK23" i="5"/>
  <c r="AP23" i="5" s="1"/>
  <c r="AK22" i="5"/>
  <c r="AP22" i="5" s="1"/>
  <c r="AK21" i="5"/>
  <c r="AP21" i="5" s="1"/>
  <c r="AK20" i="5"/>
  <c r="AP20" i="5" s="1"/>
  <c r="AK19" i="5"/>
  <c r="AP19" i="5" s="1"/>
  <c r="AK18" i="5"/>
  <c r="AP18" i="5" s="1"/>
  <c r="AK17" i="5"/>
  <c r="AP17" i="5" s="1"/>
  <c r="AK16" i="5"/>
  <c r="AP16" i="5" s="1"/>
  <c r="AK15" i="5"/>
  <c r="AP15" i="5" s="1"/>
  <c r="AK14" i="5"/>
  <c r="AP14" i="5" s="1"/>
  <c r="AK13" i="5"/>
  <c r="AP13" i="5" s="1"/>
  <c r="AK12" i="5"/>
  <c r="AP12" i="5" s="1"/>
  <c r="AK11" i="5"/>
  <c r="AP11" i="5" s="1"/>
  <c r="AK10" i="5"/>
  <c r="AP10" i="5" s="1"/>
  <c r="AK9" i="5"/>
  <c r="AP9" i="5" s="1"/>
  <c r="AK8" i="5"/>
  <c r="AP8" i="5" s="1"/>
  <c r="AK7" i="5"/>
  <c r="AP7" i="5" s="1"/>
  <c r="AG36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7" i="5"/>
  <c r="AD36" i="5"/>
  <c r="M4" i="7" l="1"/>
  <c r="AP36" i="5"/>
  <c r="AK36" i="5"/>
  <c r="AI36" i="5"/>
  <c r="AA36" i="5"/>
  <c r="AD39" i="5" s="1"/>
</calcChain>
</file>

<file path=xl/sharedStrings.xml><?xml version="1.0" encoding="utf-8"?>
<sst xmlns="http://schemas.openxmlformats.org/spreadsheetml/2006/main" count="654" uniqueCount="213">
  <si>
    <t>players:</t>
  </si>
  <si>
    <t>pays:</t>
  </si>
  <si>
    <t>1-6</t>
  </si>
  <si>
    <t>7-12</t>
  </si>
  <si>
    <t>13-18</t>
  </si>
  <si>
    <t>19-24</t>
  </si>
  <si>
    <t>25-30</t>
  </si>
  <si>
    <t>31-36</t>
  </si>
  <si>
    <t>37-42</t>
  </si>
  <si>
    <t>43-48</t>
  </si>
  <si>
    <t>49-54</t>
  </si>
  <si>
    <t>55-60</t>
  </si>
  <si>
    <t>61-66</t>
  </si>
  <si>
    <t>67-72</t>
  </si>
  <si>
    <t>73-78</t>
  </si>
  <si>
    <t>79-84</t>
  </si>
  <si>
    <t>85-90</t>
  </si>
  <si>
    <t>91-96</t>
  </si>
  <si>
    <t>97-102</t>
  </si>
  <si>
    <t>103-108</t>
  </si>
  <si>
    <t>109-114</t>
  </si>
  <si>
    <t>115-120</t>
  </si>
  <si>
    <t>121-126</t>
  </si>
  <si>
    <t>127-132</t>
  </si>
  <si>
    <t>133-138</t>
  </si>
  <si>
    <t>139-144</t>
  </si>
  <si>
    <t>145-150</t>
  </si>
  <si>
    <t>151-156</t>
  </si>
  <si>
    <t>157-162</t>
  </si>
  <si>
    <t>163-168</t>
  </si>
  <si>
    <t>169-174</t>
  </si>
  <si>
    <t>175-180</t>
  </si>
  <si>
    <t>181-186</t>
  </si>
  <si>
    <t>187-192</t>
  </si>
  <si>
    <t>193-198</t>
  </si>
  <si>
    <t>199-204</t>
  </si>
  <si>
    <t>205-210</t>
  </si>
  <si>
    <t>211-216</t>
  </si>
  <si>
    <t>217-222</t>
  </si>
  <si>
    <t>223-228</t>
  </si>
  <si>
    <t>229-234</t>
  </si>
  <si>
    <t>235-240</t>
  </si>
  <si>
    <t>241-246</t>
  </si>
  <si>
    <t>247-252</t>
  </si>
  <si>
    <t>253-258</t>
  </si>
  <si>
    <t>259-264</t>
  </si>
  <si>
    <t>265-270</t>
  </si>
  <si>
    <t>271-276</t>
  </si>
  <si>
    <t>277-282</t>
  </si>
  <si>
    <t>283-288</t>
  </si>
  <si>
    <t>289-294</t>
  </si>
  <si>
    <t>295-300</t>
  </si>
  <si>
    <t>GRAND NATIONAL 33</t>
  </si>
  <si>
    <t>PAYS 1:6</t>
  </si>
  <si>
    <t>ENTER NUMBER OF PLAYERS IN POOL:</t>
  </si>
  <si>
    <t>ENTER SIDE POOL AMOUNT ($10, $20, or $50):</t>
  </si>
  <si>
    <t>CONSULT TABLE ABOVE FOR PAYOUTS</t>
  </si>
  <si>
    <t>TOTAL IN PRIZE POOL (DOUBLE CHECK)</t>
  </si>
  <si>
    <t>MULTIPLY THE PRIZE POOL BY THE % SHOWN</t>
  </si>
  <si>
    <t>x</t>
  </si>
  <si>
    <t>=</t>
  </si>
  <si>
    <t>EXAMPLE</t>
  </si>
  <si>
    <t>$20 POOL WITH 165 PLAYERS</t>
  </si>
  <si>
    <t>165</t>
  </si>
  <si>
    <t>x $3,300</t>
  </si>
  <si>
    <t>ROUNDED</t>
  </si>
  <si>
    <t>CONSULT TABLE</t>
  </si>
  <si>
    <t>ROUND</t>
  </si>
  <si>
    <t>ADJUST BY OVER/UNDER</t>
  </si>
  <si>
    <t>ADJUST</t>
  </si>
  <si>
    <t>REVISED</t>
  </si>
  <si>
    <t>PAYOUTS</t>
  </si>
  <si>
    <t>165 players = 28 pays</t>
  </si>
  <si>
    <t>MULTIPLY % BY PRIZE POOL</t>
  </si>
  <si>
    <t>SIDE POOL PAYOUTS</t>
  </si>
  <si>
    <t>OVER</t>
  </si>
  <si>
    <t>SEE EXAMPLE PAGE</t>
  </si>
  <si>
    <t>ACTUAL</t>
  </si>
  <si>
    <t>ROUND UP OR DOWN TO NEAREST $5, ADD OR SUBTRACT REMAINDER WHERE MAKES SENSE</t>
  </si>
  <si>
    <t>M</t>
  </si>
  <si>
    <t>Number of Entries</t>
  </si>
  <si>
    <t>Entry Fee</t>
  </si>
  <si>
    <t>Ctrl r</t>
  </si>
  <si>
    <t>Calculate Payoffs</t>
  </si>
  <si>
    <t>Pot</t>
  </si>
  <si>
    <t>C</t>
  </si>
  <si>
    <t>D</t>
  </si>
  <si>
    <t>Muliply</t>
  </si>
  <si>
    <t>by</t>
  </si>
  <si>
    <t>Prize Pool</t>
  </si>
  <si>
    <t>Rounded</t>
  </si>
  <si>
    <t>Over/Under</t>
  </si>
  <si>
    <t>Payouts</t>
  </si>
  <si>
    <t>(Manual)</t>
  </si>
  <si>
    <t>Adjust by</t>
  </si>
  <si>
    <t>(Calc)</t>
  </si>
  <si>
    <t>E</t>
  </si>
  <si>
    <t>F</t>
  </si>
  <si>
    <t>G</t>
  </si>
  <si>
    <t>H</t>
  </si>
  <si>
    <t>I</t>
  </si>
  <si>
    <t>J</t>
  </si>
  <si>
    <t>K</t>
  </si>
  <si>
    <t>L</t>
  </si>
  <si>
    <t>N</t>
  </si>
  <si>
    <t>O</t>
  </si>
  <si>
    <t>P</t>
  </si>
  <si>
    <t>Q</t>
  </si>
  <si>
    <t>R</t>
  </si>
  <si>
    <t>T</t>
  </si>
  <si>
    <t>V</t>
  </si>
  <si>
    <t>Z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</si>
  <si>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</si>
  <si>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</si>
  <si>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</si>
  <si>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</si>
  <si>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</si>
  <si>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</si>
  <si>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</si>
  <si>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</si>
  <si>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</si>
  <si>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</si>
  <si>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</si>
  <si>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</si>
  <si>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</si>
  <si>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</si>
  <si>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</si>
  <si>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</si>
  <si>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</si>
  <si>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</si>
  <si>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</si>
  <si>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</si>
  <si>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</si>
  <si>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</si>
  <si>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</si>
  <si>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</si>
  <si>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</si>
  <si>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Basic</t>
  </si>
  <si>
    <t>Amts</t>
  </si>
  <si>
    <t>No. Pd</t>
  </si>
  <si>
    <t>Final</t>
  </si>
  <si>
    <t>Range:</t>
  </si>
  <si>
    <t>1.</t>
  </si>
  <si>
    <t>Instructions</t>
  </si>
  <si>
    <t>Enter Entry Fee (A2)</t>
  </si>
  <si>
    <t>2.</t>
  </si>
  <si>
    <t>Number of Entries (A3)</t>
  </si>
  <si>
    <t>3.</t>
  </si>
  <si>
    <t>4.</t>
  </si>
  <si>
    <t>-Will Round to nearest $5.00 (col K)</t>
  </si>
  <si>
    <t xml:space="preserve">Adjust amts in Col M. </t>
  </si>
  <si>
    <t xml:space="preserve">For example: </t>
  </si>
  <si>
    <t>-Cell M4 will show imbalance amt, if any</t>
  </si>
  <si>
    <r>
      <t xml:space="preserve">-enter </t>
    </r>
    <r>
      <rPr>
        <b/>
        <sz val="11"/>
        <color theme="1"/>
        <rFont val="Calibri"/>
        <family val="2"/>
        <scheme val="minor"/>
      </rPr>
      <t>$20</t>
    </r>
    <r>
      <rPr>
        <sz val="11"/>
        <color theme="1"/>
        <rFont val="Calibri"/>
        <family val="2"/>
        <scheme val="minor"/>
      </rPr>
      <t xml:space="preserve"> Fee, </t>
    </r>
    <r>
      <rPr>
        <b/>
        <sz val="11"/>
        <color theme="1"/>
        <rFont val="Calibri"/>
        <family val="2"/>
        <scheme val="minor"/>
      </rPr>
      <t>50</t>
    </r>
    <r>
      <rPr>
        <sz val="11"/>
        <color theme="1"/>
        <rFont val="Calibri"/>
        <family val="2"/>
        <scheme val="minor"/>
      </rPr>
      <t xml:space="preserve"> Entrants</t>
    </r>
  </si>
  <si>
    <r>
      <t>-Then, Entering "</t>
    </r>
    <r>
      <rPr>
        <b/>
        <sz val="11"/>
        <color theme="1"/>
        <rFont val="Calibri"/>
        <family val="2"/>
        <scheme val="minor"/>
      </rPr>
      <t>-5</t>
    </r>
    <r>
      <rPr>
        <sz val="11"/>
        <color theme="1"/>
        <rFont val="Calibri"/>
        <family val="2"/>
        <scheme val="minor"/>
      </rPr>
      <t>" in Cell M5 will correct imbalance</t>
    </r>
  </si>
  <si>
    <t xml:space="preserve">Source: Brion Neeley </t>
  </si>
  <si>
    <t>01</t>
  </si>
  <si>
    <t>02</t>
  </si>
  <si>
    <t>03</t>
  </si>
  <si>
    <t>Number of Winners</t>
  </si>
  <si>
    <r>
      <t xml:space="preserve">With RosterResults open, </t>
    </r>
    <r>
      <rPr>
        <b/>
        <sz val="14"/>
        <color theme="1"/>
        <rFont val="Calibri"/>
        <family val="2"/>
        <scheme val="minor"/>
      </rPr>
      <t>Ctrl u</t>
    </r>
    <r>
      <rPr>
        <sz val="11"/>
        <color theme="1"/>
        <rFont val="Calibri"/>
        <family val="2"/>
        <scheme val="minor"/>
      </rPr>
      <t xml:space="preserve"> will copy total no. entries to this xlsm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</si>
  <si>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r</t>
    </r>
  </si>
  <si>
    <r>
      <t xml:space="preserve">Press </t>
    </r>
    <r>
      <rPr>
        <b/>
        <sz val="11"/>
        <color theme="1"/>
        <rFont val="Calibri"/>
        <family val="2"/>
        <scheme val="minor"/>
      </rPr>
      <t>Ctrl r</t>
    </r>
  </si>
  <si>
    <t>&lt;--hidden</t>
  </si>
  <si>
    <t>Manual Use</t>
  </si>
  <si>
    <t>Bring in "real" numbers from RosterResults</t>
  </si>
  <si>
    <t>Automatic Use</t>
  </si>
  <si>
    <r>
      <t xml:space="preserve">-Touch </t>
    </r>
    <r>
      <rPr>
        <b/>
        <sz val="11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</si>
  <si>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</si>
  <si>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t>U</t>
  </si>
  <si>
    <t>W</t>
  </si>
  <si>
    <t>X</t>
  </si>
  <si>
    <t>hidden--&gt;</t>
  </si>
  <si>
    <t>Rank</t>
  </si>
  <si>
    <t>Amt</t>
  </si>
  <si>
    <t>9-16</t>
  </si>
  <si>
    <t>17-24</t>
  </si>
  <si>
    <t>25-32</t>
  </si>
  <si>
    <t>33-40</t>
  </si>
  <si>
    <t>41-48</t>
  </si>
  <si>
    <t>49-56</t>
  </si>
  <si>
    <t>57-64</t>
  </si>
  <si>
    <t>65-72</t>
  </si>
  <si>
    <t>71-80</t>
  </si>
  <si>
    <t>81-88</t>
  </si>
  <si>
    <t>89-96</t>
  </si>
  <si>
    <t>97-104</t>
  </si>
  <si>
    <t>105-112</t>
  </si>
  <si>
    <t>Pays</t>
  </si>
  <si>
    <t>Cash based on $10 Entry fee</t>
  </si>
  <si>
    <t>04</t>
  </si>
  <si>
    <r>
      <t xml:space="preserve">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PrtGrad01-04</t>
    </r>
  </si>
  <si>
    <t xml:space="preserve">Do any adjustments, then </t>
  </si>
  <si>
    <t>16</t>
  </si>
  <si>
    <t>#Plyrs</t>
  </si>
  <si>
    <t>1-8</t>
  </si>
  <si>
    <t>1</t>
  </si>
  <si>
    <t>*** Will do ALL Active Graduated Pools ***</t>
  </si>
  <si>
    <t>*** Per Individual Sheet, NOT All ***</t>
  </si>
  <si>
    <t>Not Active</t>
  </si>
  <si>
    <t>Sheets("By%1in8").Visible = True</t>
  </si>
  <si>
    <t>Sheets("By%1in6").Visible = True</t>
  </si>
  <si>
    <t>S</t>
  </si>
  <si>
    <t>AA</t>
  </si>
  <si>
    <t>BA</t>
  </si>
  <si>
    <t>BB</t>
  </si>
  <si>
    <t>BC</t>
  </si>
  <si>
    <t>BD</t>
  </si>
  <si>
    <t>BE</t>
  </si>
  <si>
    <t>BF</t>
  </si>
  <si>
    <t>BG</t>
  </si>
  <si>
    <t>BH</t>
  </si>
  <si>
    <t>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</si>
</sst>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164" formatCode="0.0%"/>
    <numFmt numFmtId="165" formatCode="&quot;$&quot;#,##0"/>
    <numFmt numFmtId="166" formatCode="&quot;$&quot;#,##0.00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64" fontId="2" fillId="0" borderId="0" xfId="0" applyNumberFormat="1" applyFont="1"/>
    <xf numFmtId="6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0" xfId="0" quotePrefix="1" applyNumberFormat="1" applyFont="1"/>
    <xf numFmtId="164" fontId="2" fillId="0" borderId="0" xfId="0" quotePrefix="1" applyNumberFormat="1" applyFont="1" applyAlignment="1">
      <alignment horizontal="center"/>
    </xf>
    <xf numFmtId="10" fontId="0" fillId="0" borderId="0" xfId="0" applyNumberFormat="1"/>
    <xf numFmtId="10" fontId="0" fillId="0" borderId="0" xfId="0" applyNumberFormat="1" applyAlignment="1">
      <alignment horizontal="center"/>
    </xf>
    <xf numFmtId="164" fontId="0" fillId="0" borderId="0" xfId="0" applyNumberFormat="1" applyBorder="1"/>
    <xf numFmtId="164" fontId="2" fillId="0" borderId="0" xfId="0" applyNumberFormat="1" applyFont="1" applyBorder="1"/>
    <xf numFmtId="164" fontId="2" fillId="0" borderId="0" xfId="0" applyNumberFormat="1" applyFont="1" applyBorder="1" applyAlignment="1">
      <alignment horizontal="center"/>
    </xf>
    <xf numFmtId="38" fontId="2" fillId="0" borderId="0" xfId="0" applyNumberFormat="1" applyFont="1" applyBorder="1"/>
    <xf numFmtId="10" fontId="0" fillId="0" borderId="0" xfId="0" applyNumberFormat="1" applyBorder="1"/>
    <xf numFmtId="6" fontId="2" fillId="0" borderId="0" xfId="0" applyNumberFormat="1" applyFon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0" fillId="0" borderId="6" xfId="0" applyNumberFormat="1" applyBorder="1"/>
    <xf numFmtId="10" fontId="0" fillId="0" borderId="7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7" xfId="0" applyBorder="1"/>
    <xf numFmtId="0" fontId="0" fillId="0" borderId="6" xfId="0" applyBorder="1"/>
    <xf numFmtId="164" fontId="0" fillId="0" borderId="2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" fontId="0" fillId="0" borderId="12" xfId="0" quotePrefix="1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64" fontId="0" fillId="0" borderId="14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quotePrefix="1" applyNumberFormat="1" applyBorder="1" applyAlignment="1">
      <alignment horizontal="center"/>
    </xf>
    <xf numFmtId="165" fontId="0" fillId="0" borderId="7" xfId="0" applyNumberFormat="1" applyBorder="1"/>
    <xf numFmtId="165" fontId="0" fillId="0" borderId="6" xfId="0" applyNumberFormat="1" applyBorder="1"/>
    <xf numFmtId="6" fontId="1" fillId="0" borderId="0" xfId="0" quotePrefix="1" applyNumberFormat="1" applyFont="1" applyBorder="1"/>
    <xf numFmtId="10" fontId="1" fillId="0" borderId="0" xfId="0" quotePrefix="1" applyNumberFormat="1" applyFont="1" applyBorder="1" applyAlignment="1">
      <alignment horizontal="center"/>
    </xf>
    <xf numFmtId="1" fontId="3" fillId="0" borderId="12" xfId="0" quotePrefix="1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6" fontId="1" fillId="0" borderId="0" xfId="0" quotePrefix="1" applyNumberFormat="1" applyFont="1" applyBorder="1" applyAlignment="1">
      <alignment horizontal="center"/>
    </xf>
    <xf numFmtId="1" fontId="0" fillId="0" borderId="0" xfId="0" quotePrefix="1" applyNumberForma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0" xfId="0" applyBorder="1"/>
    <xf numFmtId="166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5" fontId="0" fillId="0" borderId="0" xfId="0" applyNumberFormat="1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0" fontId="0" fillId="0" borderId="0" xfId="0" applyFont="1"/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quotePrefix="1" applyNumberFormat="1" applyFont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0" xfId="0" applyNumberFormat="1" applyFont="1"/>
    <xf numFmtId="164" fontId="0" fillId="0" borderId="1" xfId="0" applyNumberFormat="1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3" xfId="0" applyNumberFormat="1" applyFont="1" applyBorder="1" applyAlignment="1">
      <alignment horizontal="center"/>
    </xf>
    <xf numFmtId="10" fontId="0" fillId="0" borderId="0" xfId="0" applyNumberFormat="1" applyFont="1"/>
    <xf numFmtId="164" fontId="0" fillId="0" borderId="0" xfId="0" applyNumberFormat="1" applyFont="1"/>
    <xf numFmtId="10" fontId="0" fillId="0" borderId="0" xfId="0" applyNumberFormat="1" applyFont="1" applyAlignment="1">
      <alignment horizontal="center"/>
    </xf>
    <xf numFmtId="10" fontId="0" fillId="0" borderId="4" xfId="0" applyNumberFormat="1" applyFont="1" applyBorder="1"/>
    <xf numFmtId="10" fontId="0" fillId="0" borderId="5" xfId="0" applyNumberFormat="1" applyFont="1" applyBorder="1"/>
    <xf numFmtId="10" fontId="0" fillId="0" borderId="3" xfId="0" applyNumberFormat="1" applyFont="1" applyBorder="1"/>
    <xf numFmtId="6" fontId="0" fillId="0" borderId="0" xfId="0" applyNumberFormat="1" applyFont="1" applyBorder="1"/>
    <xf numFmtId="10" fontId="0" fillId="0" borderId="6" xfId="0" applyNumberFormat="1" applyFont="1" applyBorder="1"/>
    <xf numFmtId="6" fontId="0" fillId="0" borderId="0" xfId="0" applyNumberFormat="1" applyFont="1" applyBorder="1" applyAlignment="1">
      <alignment horizontal="center"/>
    </xf>
    <xf numFmtId="10" fontId="0" fillId="0" borderId="7" xfId="0" applyNumberFormat="1" applyFont="1" applyBorder="1"/>
    <xf numFmtId="10" fontId="0" fillId="0" borderId="8" xfId="0" applyNumberFormat="1" applyFont="1" applyBorder="1"/>
    <xf numFmtId="10" fontId="0" fillId="0" borderId="9" xfId="0" applyNumberFormat="1" applyFont="1" applyBorder="1" applyAlignment="1">
      <alignment horizontal="center"/>
    </xf>
    <xf numFmtId="10" fontId="0" fillId="0" borderId="10" xfId="0" applyNumberFormat="1" applyFont="1" applyBorder="1"/>
    <xf numFmtId="164" fontId="0" fillId="0" borderId="0" xfId="0" applyNumberFormat="1" applyFont="1" applyBorder="1"/>
    <xf numFmtId="38" fontId="0" fillId="0" borderId="0" xfId="0" applyNumberFormat="1" applyFont="1" applyBorder="1"/>
    <xf numFmtId="10" fontId="0" fillId="0" borderId="0" xfId="0" applyNumberFormat="1" applyFont="1" applyBorder="1"/>
    <xf numFmtId="164" fontId="0" fillId="0" borderId="0" xfId="0" quotePrefix="1" applyNumberFormat="1" applyFont="1"/>
    <xf numFmtId="10" fontId="0" fillId="0" borderId="5" xfId="0" applyNumberFormat="1" applyFont="1" applyBorder="1" applyAlignment="1">
      <alignment horizontal="center"/>
    </xf>
    <xf numFmtId="6" fontId="0" fillId="0" borderId="0" xfId="0" applyNumberFormat="1" applyFont="1"/>
    <xf numFmtId="164" fontId="0" fillId="0" borderId="0" xfId="0" quotePrefix="1" applyNumberFormat="1" applyFont="1" applyAlignment="1">
      <alignment horizontal="center"/>
    </xf>
    <xf numFmtId="3" fontId="0" fillId="0" borderId="0" xfId="0" applyNumberFormat="1" applyFont="1" applyBorder="1" applyAlignment="1">
      <alignment horizontal="center"/>
    </xf>
    <xf numFmtId="10" fontId="0" fillId="0" borderId="9" xfId="0" applyNumberFormat="1" applyFont="1" applyBorder="1"/>
    <xf numFmtId="0" fontId="0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quotePrefix="1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" fontId="3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3" fillId="0" borderId="0" xfId="0" applyFont="1"/>
    <xf numFmtId="0" fontId="3" fillId="0" borderId="0" xfId="0" quotePrefix="1" applyFont="1" applyAlignment="1">
      <alignment horizontal="center"/>
    </xf>
    <xf numFmtId="1" fontId="0" fillId="0" borderId="0" xfId="0" applyNumberFormat="1" applyAlignment="1">
      <alignment horizontal="right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65" fontId="5" fillId="0" borderId="0" xfId="0" applyNumberFormat="1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3" fillId="0" borderId="18" xfId="0" applyNumberFormat="1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Alignment="1">
      <alignment horizontal="right"/>
    </xf>
    <xf numFmtId="7" fontId="0" fillId="0" borderId="0" xfId="0" applyNumberFormat="1"/>
    <xf numFmtId="0" fontId="7" fillId="0" borderId="0" xfId="0" quotePrefix="1" applyFont="1" applyAlignment="1">
      <alignment horizontal="center"/>
    </xf>
    <xf numFmtId="0" fontId="7" fillId="0" borderId="0" xfId="0" quotePrefix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center"/>
    </xf>
    <xf numFmtId="165" fontId="7" fillId="0" borderId="0" xfId="0" applyNumberFormat="1" applyFont="1" applyBorder="1" applyAlignment="1">
      <alignment horizontal="center"/>
    </xf>
    <xf numFmtId="49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" fontId="0" fillId="0" borderId="0" xfId="0" applyNumberFormat="1"/>
    <xf numFmtId="0" fontId="3" fillId="0" borderId="11" xfId="0" applyFont="1" applyBorder="1"/>
    <xf numFmtId="0" fontId="3" fillId="0" borderId="1" xfId="0" applyFont="1" applyBorder="1"/>
    <xf numFmtId="1" fontId="3" fillId="0" borderId="1" xfId="0" applyNumberFormat="1" applyFont="1" applyBorder="1" applyAlignment="1">
      <alignment horizontal="right"/>
    </xf>
    <xf numFmtId="0" fontId="3" fillId="0" borderId="1" xfId="0" applyFont="1" applyBorder="1" applyAlignment="1">
      <alignment horizontal="center"/>
    </xf>
    <xf numFmtId="1" fontId="3" fillId="0" borderId="0" xfId="0" applyNumberFormat="1" applyFont="1" applyAlignment="1">
      <alignment horizontal="left"/>
    </xf>
    <xf numFmtId="49" fontId="0" fillId="0" borderId="16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righ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21</xdr:row>
          <xdr:rowOff>76200</xdr:rowOff>
        </xdr:from>
        <xdr:to>
          <xdr:col>1</xdr:col>
          <xdr:colOff>1000125</xdr:colOff>
          <xdr:row>23</xdr:row>
          <xdr:rowOff>57150</xdr:rowOff>
        </xdr:to>
        <xdr:sp macro="" textlink="">
          <xdr:nvSpPr>
            <xdr:cNvPr id="4100" name="Naviga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24</xdr:row>
          <xdr:rowOff>85725</xdr:rowOff>
        </xdr:from>
        <xdr:to>
          <xdr:col>1</xdr:col>
          <xdr:colOff>1000125</xdr:colOff>
          <xdr:row>26</xdr:row>
          <xdr:rowOff>114300</xdr:rowOff>
        </xdr:to>
        <xdr:sp macro="" textlink="">
          <xdr:nvSpPr>
            <xdr:cNvPr id="4101" name="NextOperati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13</xdr:row>
          <xdr:rowOff>9525</xdr:rowOff>
        </xdr:from>
        <xdr:to>
          <xdr:col>1</xdr:col>
          <xdr:colOff>1057275</xdr:colOff>
          <xdr:row>14</xdr:row>
          <xdr:rowOff>180975</xdr:rowOff>
        </xdr:to>
        <xdr:sp macro="" textlink="">
          <xdr:nvSpPr>
            <xdr:cNvPr id="4104" name="CreateMainPoolPrintSheet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Pool Print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1038225</xdr:colOff>
          <xdr:row>13</xdr:row>
          <xdr:rowOff>219075</xdr:rowOff>
        </xdr:to>
        <xdr:sp macro="" textlink="">
          <xdr:nvSpPr>
            <xdr:cNvPr id="6149" name="Navigate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9525</xdr:rowOff>
        </xdr:from>
        <xdr:to>
          <xdr:col>1</xdr:col>
          <xdr:colOff>1038225</xdr:colOff>
          <xdr:row>17</xdr:row>
          <xdr:rowOff>38100</xdr:rowOff>
        </xdr:to>
        <xdr:sp macro="" textlink="">
          <xdr:nvSpPr>
            <xdr:cNvPr id="6150" name="NextOperation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1038225</xdr:colOff>
          <xdr:row>13</xdr:row>
          <xdr:rowOff>219075</xdr:rowOff>
        </xdr:to>
        <xdr:sp macro="" textlink="">
          <xdr:nvSpPr>
            <xdr:cNvPr id="3077" name="Navigat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9525</xdr:rowOff>
        </xdr:from>
        <xdr:to>
          <xdr:col>1</xdr:col>
          <xdr:colOff>1038225</xdr:colOff>
          <xdr:row>17</xdr:row>
          <xdr:rowOff>38100</xdr:rowOff>
        </xdr:to>
        <xdr:sp macro="" textlink="">
          <xdr:nvSpPr>
            <xdr:cNvPr id="3078" name="NextOperati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1038225</xdr:colOff>
          <xdr:row>13</xdr:row>
          <xdr:rowOff>219075</xdr:rowOff>
        </xdr:to>
        <xdr:sp macro="" textlink="">
          <xdr:nvSpPr>
            <xdr:cNvPr id="7173" name="Navigat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9525</xdr:rowOff>
        </xdr:from>
        <xdr:to>
          <xdr:col>1</xdr:col>
          <xdr:colOff>1038225</xdr:colOff>
          <xdr:row>17</xdr:row>
          <xdr:rowOff>38100</xdr:rowOff>
        </xdr:to>
        <xdr:sp macro="" textlink="">
          <xdr:nvSpPr>
            <xdr:cNvPr id="7174" name="NextOperatio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0"/>
  <sheetViews>
    <sheetView tabSelected="1" workbookViewId="0">
      <selection activeCell="A2" sqref="A2"/>
    </sheetView>
  </sheetViews>
  <sheetFormatPr defaultRowHeight="15" x14ac:dyDescent="0.25"/>
  <cols>
    <col min="1" max="1" width="9.140625" style="1"/>
    <col min="2" max="2" width="20" customWidth="1"/>
    <col min="3" max="3" width="9.140625" style="1"/>
    <col min="4" max="4" width="2" style="1" customWidth="1"/>
    <col min="6" max="6" width="1.28515625" customWidth="1"/>
    <col min="7" max="7" width="10" style="1" customWidth="1"/>
    <col min="8" max="8" width="1.140625" style="1" customWidth="1"/>
    <col min="10" max="10" width="1.5703125" customWidth="1"/>
    <col min="11" max="11" width="10.28515625" style="1" customWidth="1"/>
    <col min="12" max="12" width="1.42578125" customWidth="1"/>
    <col min="13" max="13" width="11.42578125" style="1" customWidth="1"/>
    <col min="14" max="14" width="1.42578125" customWidth="1"/>
    <col min="15" max="15" width="9.140625" style="1"/>
    <col min="16" max="16" width="2.7109375" customWidth="1"/>
    <col min="17" max="17" width="6" style="1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3" ht="21.75" thickBot="1" x14ac:dyDescent="0.4">
      <c r="A1" s="103" t="s">
        <v>156</v>
      </c>
      <c r="B1" s="122" t="s">
        <v>199</v>
      </c>
      <c r="D1" s="57"/>
      <c r="E1" s="94"/>
      <c r="F1" s="58"/>
      <c r="G1" s="91" t="s">
        <v>87</v>
      </c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</row>
    <row r="2" spans="1:23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I2" s="4" t="s">
        <v>137</v>
      </c>
      <c r="K2" s="87"/>
      <c r="M2" s="87" t="s">
        <v>91</v>
      </c>
      <c r="O2" s="87" t="s">
        <v>92</v>
      </c>
      <c r="S2" s="1" t="s">
        <v>86</v>
      </c>
      <c r="T2" s="112"/>
      <c r="U2" s="112"/>
      <c r="V2" s="112"/>
    </row>
    <row r="3" spans="1:23" ht="16.5" thickTop="1" thickBot="1" x14ac:dyDescent="0.3">
      <c r="A3" s="109">
        <v>0</v>
      </c>
      <c r="B3" s="53" t="s">
        <v>80</v>
      </c>
      <c r="C3" s="102" t="s">
        <v>141</v>
      </c>
      <c r="E3" s="121"/>
      <c r="F3" s="57"/>
      <c r="G3" s="92" t="s">
        <v>89</v>
      </c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3" ht="19.5" thickTop="1" x14ac:dyDescent="0.3">
      <c r="A4" s="54"/>
      <c r="B4" s="53"/>
      <c r="C4" s="1" t="s">
        <v>139</v>
      </c>
      <c r="E4" s="1"/>
      <c r="F4" s="57"/>
      <c r="G4" s="92"/>
      <c r="I4" s="95">
        <f>SUM(I5:I397)</f>
        <v>0</v>
      </c>
      <c r="K4" s="95">
        <f>SUM(K5:K397)</f>
        <v>0</v>
      </c>
      <c r="M4" s="96">
        <f>I4-O4</f>
        <v>0</v>
      </c>
      <c r="O4" s="59">
        <f>SUM(O5:O397)</f>
        <v>0</v>
      </c>
      <c r="Q4" s="100" t="s">
        <v>143</v>
      </c>
      <c r="S4" s="1" t="s">
        <v>97</v>
      </c>
    </row>
    <row r="5" spans="1:23" x14ac:dyDescent="0.25">
      <c r="A5" s="55">
        <f>+A3*A2</f>
        <v>0</v>
      </c>
      <c r="B5" s="53" t="s">
        <v>84</v>
      </c>
      <c r="C5" s="87"/>
      <c r="D5" s="87"/>
      <c r="E5" s="48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3" x14ac:dyDescent="0.25">
      <c r="C6" s="87"/>
      <c r="D6" s="87"/>
      <c r="E6" s="48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3" x14ac:dyDescent="0.25">
      <c r="A7" s="93">
        <f>+E4</f>
        <v>0</v>
      </c>
      <c r="B7" t="s">
        <v>159</v>
      </c>
      <c r="C7" s="87"/>
      <c r="D7" s="87"/>
      <c r="E7" s="48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3" x14ac:dyDescent="0.25">
      <c r="C8" s="87"/>
      <c r="D8" s="87"/>
      <c r="E8" s="48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3" x14ac:dyDescent="0.25">
      <c r="A9" s="54" t="s">
        <v>82</v>
      </c>
      <c r="B9" t="s">
        <v>83</v>
      </c>
      <c r="C9" s="87"/>
      <c r="D9" s="87"/>
      <c r="E9" s="48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3" x14ac:dyDescent="0.25">
      <c r="A10" s="87"/>
      <c r="B10" s="87"/>
      <c r="C10" s="87"/>
      <c r="D10" s="87"/>
      <c r="E10" s="48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3" x14ac:dyDescent="0.25">
      <c r="B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3" x14ac:dyDescent="0.25"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3" x14ac:dyDescent="0.25"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3" ht="18.75" x14ac:dyDescent="0.3"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3" x14ac:dyDescent="0.25"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3" ht="18.75" x14ac:dyDescent="0.3">
      <c r="C16" s="87"/>
      <c r="D16" s="87"/>
      <c r="E16" s="47"/>
      <c r="F16" s="48"/>
      <c r="G16" s="88"/>
      <c r="H16" s="87"/>
      <c r="I16" s="89"/>
      <c r="J16" s="48"/>
      <c r="K16" s="90"/>
      <c r="L16" s="48"/>
      <c r="M16" s="107"/>
      <c r="N16" s="48"/>
      <c r="O16" s="90"/>
      <c r="Q16" s="1">
        <v>5</v>
      </c>
      <c r="R16" s="98" t="s">
        <v>168</v>
      </c>
      <c r="S16" s="1" t="s">
        <v>108</v>
      </c>
    </row>
    <row r="17" spans="1:19" x14ac:dyDescent="0.25">
      <c r="C17" s="87"/>
      <c r="D17" s="87"/>
      <c r="E17" s="47"/>
      <c r="F17" s="48"/>
      <c r="G17" s="88"/>
      <c r="H17" s="87"/>
      <c r="I17" s="89"/>
      <c r="J17" s="48"/>
      <c r="K17" s="90"/>
      <c r="L17" s="48"/>
      <c r="M17" s="107"/>
      <c r="N17" s="48"/>
      <c r="O17" s="90"/>
      <c r="S17" s="1" t="s">
        <v>202</v>
      </c>
    </row>
    <row r="18" spans="1:19" x14ac:dyDescent="0.25">
      <c r="C18" s="87"/>
      <c r="D18" s="87"/>
      <c r="E18" s="47"/>
      <c r="F18" s="48"/>
      <c r="G18" s="88"/>
      <c r="H18" s="87"/>
      <c r="I18" s="89"/>
      <c r="J18" s="48"/>
      <c r="K18" s="90"/>
      <c r="L18" s="48"/>
      <c r="M18" s="107"/>
      <c r="N18" s="48"/>
      <c r="O18" s="90"/>
      <c r="Q18" s="100" t="s">
        <v>166</v>
      </c>
      <c r="S18" s="1" t="s">
        <v>109</v>
      </c>
    </row>
    <row r="19" spans="1:19" x14ac:dyDescent="0.25">
      <c r="C19" s="87"/>
      <c r="D19" s="87"/>
      <c r="E19" s="47"/>
      <c r="F19" s="48"/>
      <c r="G19" s="88"/>
      <c r="H19" s="87"/>
      <c r="I19" s="89"/>
      <c r="J19" s="48"/>
      <c r="K19" s="90"/>
      <c r="L19" s="48"/>
      <c r="M19" s="107"/>
      <c r="N19" s="48"/>
      <c r="O19" s="90"/>
      <c r="R19" s="100" t="s">
        <v>165</v>
      </c>
      <c r="S19" s="1" t="s">
        <v>110</v>
      </c>
    </row>
    <row r="20" spans="1:19" ht="18.75" x14ac:dyDescent="0.3">
      <c r="C20" s="87"/>
      <c r="D20" s="87"/>
      <c r="E20" s="47"/>
      <c r="F20" s="48"/>
      <c r="G20" s="88"/>
      <c r="H20" s="87"/>
      <c r="I20" s="89"/>
      <c r="J20" s="48"/>
      <c r="K20" s="90"/>
      <c r="L20" s="48"/>
      <c r="M20" s="107"/>
      <c r="N20" s="48"/>
      <c r="O20" s="90"/>
      <c r="Q20" s="99" t="s">
        <v>142</v>
      </c>
      <c r="R20" t="s">
        <v>160</v>
      </c>
      <c r="S20" s="1" t="s">
        <v>169</v>
      </c>
    </row>
    <row r="21" spans="1:19" x14ac:dyDescent="0.25">
      <c r="C21" s="87"/>
      <c r="D21" s="87"/>
      <c r="E21" s="47"/>
      <c r="F21" s="48"/>
      <c r="G21" s="88"/>
      <c r="H21" s="87"/>
      <c r="I21" s="89"/>
      <c r="J21" s="48"/>
      <c r="K21" s="90"/>
      <c r="L21" s="48"/>
      <c r="M21" s="107"/>
      <c r="N21" s="48"/>
      <c r="O21" s="90"/>
      <c r="R21" s="100" t="s">
        <v>197</v>
      </c>
      <c r="S21" s="1" t="s">
        <v>110</v>
      </c>
    </row>
    <row r="22" spans="1:19" x14ac:dyDescent="0.25">
      <c r="C22" s="87"/>
      <c r="D22" s="87"/>
      <c r="E22" s="47"/>
      <c r="F22" s="48"/>
      <c r="G22" s="88"/>
      <c r="H22" s="87"/>
      <c r="I22" s="89"/>
      <c r="J22" s="48"/>
      <c r="K22" s="90"/>
      <c r="L22" s="48"/>
      <c r="M22" s="107"/>
      <c r="N22" s="48"/>
      <c r="O22" s="90"/>
      <c r="Q22" s="99" t="s">
        <v>145</v>
      </c>
      <c r="R22" t="s">
        <v>192</v>
      </c>
      <c r="S22" s="1" t="s">
        <v>170</v>
      </c>
    </row>
    <row r="23" spans="1:19" ht="18.75" x14ac:dyDescent="0.3">
      <c r="C23" s="87"/>
      <c r="D23" s="87"/>
      <c r="E23" s="47"/>
      <c r="F23" s="48"/>
      <c r="G23" s="88"/>
      <c r="H23" s="87"/>
      <c r="I23" s="89"/>
      <c r="J23" s="48"/>
      <c r="K23" s="90"/>
      <c r="L23" s="48"/>
      <c r="M23" s="107"/>
      <c r="N23" s="48"/>
      <c r="O23" s="90"/>
      <c r="R23" t="s">
        <v>191</v>
      </c>
      <c r="S23" s="1" t="s">
        <v>171</v>
      </c>
    </row>
    <row r="24" spans="1:19" x14ac:dyDescent="0.25">
      <c r="C24" s="87"/>
      <c r="D24" s="87"/>
      <c r="E24" s="47"/>
      <c r="F24" s="48"/>
      <c r="G24" s="88"/>
      <c r="H24" s="87"/>
      <c r="I24" s="89"/>
      <c r="J24" s="48"/>
      <c r="K24" s="90"/>
      <c r="L24" s="48"/>
      <c r="M24" s="107"/>
      <c r="N24" s="48"/>
      <c r="O24" s="90"/>
      <c r="R24" s="100" t="s">
        <v>198</v>
      </c>
      <c r="S24" s="1" t="s">
        <v>111</v>
      </c>
    </row>
    <row r="25" spans="1:19" x14ac:dyDescent="0.25">
      <c r="C25" s="87"/>
      <c r="D25" s="87"/>
      <c r="E25" s="47"/>
      <c r="F25" s="48"/>
      <c r="G25" s="88"/>
      <c r="H25" s="87"/>
      <c r="I25" s="89"/>
      <c r="J25" s="48"/>
      <c r="K25" s="90"/>
      <c r="L25" s="48"/>
      <c r="M25" s="107"/>
      <c r="N25" s="48"/>
      <c r="O25" s="90"/>
      <c r="S25" s="1" t="s">
        <v>203</v>
      </c>
    </row>
    <row r="26" spans="1:19" x14ac:dyDescent="0.25">
      <c r="C26" s="87"/>
      <c r="D26" s="87"/>
      <c r="E26" s="47"/>
      <c r="F26" s="48"/>
      <c r="G26" s="88"/>
      <c r="H26" s="87"/>
      <c r="I26" s="89"/>
      <c r="J26" s="48"/>
      <c r="K26" s="90"/>
      <c r="L26" s="48"/>
      <c r="M26" s="107"/>
      <c r="N26" s="48"/>
      <c r="O26" s="90"/>
      <c r="S26" s="1" t="s">
        <v>112</v>
      </c>
    </row>
    <row r="27" spans="1:19" x14ac:dyDescent="0.25">
      <c r="C27" s="87"/>
      <c r="D27" s="87"/>
      <c r="E27" s="47"/>
      <c r="F27" s="48"/>
      <c r="G27" s="88"/>
      <c r="H27" s="87"/>
      <c r="I27" s="89"/>
      <c r="J27" s="48"/>
      <c r="K27" s="90"/>
      <c r="L27" s="48"/>
      <c r="M27" s="107"/>
      <c r="N27" s="48"/>
      <c r="O27" s="90"/>
      <c r="S27" s="1" t="s">
        <v>113</v>
      </c>
    </row>
    <row r="28" spans="1:19" x14ac:dyDescent="0.25">
      <c r="C28" s="87"/>
      <c r="D28" s="87"/>
      <c r="E28" s="47"/>
      <c r="F28" s="48"/>
      <c r="G28" s="88"/>
      <c r="H28" s="87"/>
      <c r="I28" s="89"/>
      <c r="J28" s="48"/>
      <c r="K28" s="90"/>
      <c r="L28" s="48"/>
      <c r="M28" s="107"/>
      <c r="N28" s="48"/>
      <c r="O28" s="90"/>
      <c r="S28" s="1" t="s">
        <v>114</v>
      </c>
    </row>
    <row r="29" spans="1:19" x14ac:dyDescent="0.25">
      <c r="C29" s="87"/>
      <c r="D29" s="87"/>
      <c r="E29" s="47"/>
      <c r="F29" s="48"/>
      <c r="G29" s="88"/>
      <c r="H29" s="87"/>
      <c r="I29" s="89"/>
      <c r="J29" s="48"/>
      <c r="K29" s="90"/>
      <c r="L29" s="48"/>
      <c r="M29" s="107"/>
      <c r="N29" s="48"/>
      <c r="O29" s="90"/>
      <c r="S29" s="1" t="s">
        <v>115</v>
      </c>
    </row>
    <row r="30" spans="1:19" x14ac:dyDescent="0.25">
      <c r="C30" s="87"/>
      <c r="D30" s="87"/>
      <c r="E30" s="47"/>
      <c r="F30" s="48"/>
      <c r="G30" s="88"/>
      <c r="H30" s="87"/>
      <c r="I30" s="89"/>
      <c r="J30" s="48"/>
      <c r="K30" s="90"/>
      <c r="L30" s="48"/>
      <c r="M30" s="107"/>
      <c r="N30" s="48"/>
      <c r="O30" s="90"/>
      <c r="S30" s="1" t="s">
        <v>116</v>
      </c>
    </row>
    <row r="31" spans="1:19" x14ac:dyDescent="0.25">
      <c r="A31" s="54"/>
      <c r="C31" s="87"/>
      <c r="D31" s="87"/>
      <c r="E31" s="47"/>
      <c r="F31" s="48"/>
      <c r="G31" s="88"/>
      <c r="H31" s="87"/>
      <c r="I31" s="89"/>
      <c r="J31" s="48"/>
      <c r="K31" s="90"/>
      <c r="L31" s="48"/>
      <c r="M31" s="107"/>
      <c r="N31" s="48"/>
      <c r="O31" s="90"/>
      <c r="S31" s="1" t="s">
        <v>117</v>
      </c>
    </row>
    <row r="32" spans="1:19" x14ac:dyDescent="0.25">
      <c r="C32" s="87"/>
      <c r="D32" s="87"/>
      <c r="E32" s="47"/>
      <c r="F32" s="48"/>
      <c r="G32" s="88"/>
      <c r="H32" s="87"/>
      <c r="I32" s="89"/>
      <c r="J32" s="48"/>
      <c r="K32" s="90"/>
      <c r="L32" s="48"/>
      <c r="M32" s="107"/>
      <c r="N32" s="48"/>
      <c r="O32" s="90"/>
      <c r="S32" s="1" t="s">
        <v>118</v>
      </c>
    </row>
    <row r="33" spans="3:19" x14ac:dyDescent="0.25">
      <c r="C33" s="87"/>
      <c r="D33" s="87"/>
      <c r="E33" s="47"/>
      <c r="F33" s="48"/>
      <c r="G33" s="88"/>
      <c r="H33" s="87"/>
      <c r="I33" s="89"/>
      <c r="J33" s="48"/>
      <c r="K33" s="90"/>
      <c r="L33" s="48"/>
      <c r="M33" s="107"/>
      <c r="N33" s="48"/>
      <c r="O33" s="90"/>
      <c r="S33" s="1" t="s">
        <v>119</v>
      </c>
    </row>
    <row r="34" spans="3:19" x14ac:dyDescent="0.25">
      <c r="C34" s="87"/>
      <c r="D34" s="87"/>
      <c r="E34" s="47"/>
      <c r="F34" s="48"/>
      <c r="G34" s="88"/>
      <c r="H34" s="87"/>
      <c r="I34" s="89"/>
      <c r="J34" s="48"/>
      <c r="K34" s="90"/>
      <c r="L34" s="48"/>
      <c r="M34" s="107"/>
      <c r="N34" s="48"/>
      <c r="O34" s="90"/>
      <c r="S34" s="1" t="s">
        <v>120</v>
      </c>
    </row>
    <row r="35" spans="3:19" x14ac:dyDescent="0.25">
      <c r="C35" s="87"/>
      <c r="D35" s="87"/>
      <c r="E35" s="47"/>
      <c r="F35" s="48"/>
      <c r="G35" s="88"/>
      <c r="H35" s="87"/>
      <c r="I35" s="89"/>
      <c r="J35" s="48"/>
      <c r="K35" s="90"/>
      <c r="L35" s="48"/>
      <c r="M35" s="107"/>
      <c r="N35" s="48"/>
      <c r="O35" s="90"/>
      <c r="S35" s="1" t="s">
        <v>121</v>
      </c>
    </row>
    <row r="36" spans="3:19" x14ac:dyDescent="0.25">
      <c r="C36" s="87"/>
      <c r="D36" s="87"/>
      <c r="E36" s="47"/>
      <c r="F36" s="48"/>
      <c r="G36" s="88"/>
      <c r="H36" s="87"/>
      <c r="I36" s="89"/>
      <c r="J36" s="48"/>
      <c r="K36" s="90"/>
      <c r="L36" s="48"/>
      <c r="M36" s="107"/>
      <c r="N36" s="48"/>
      <c r="O36" s="90"/>
      <c r="S36" s="1" t="s">
        <v>122</v>
      </c>
    </row>
    <row r="37" spans="3:19" x14ac:dyDescent="0.25">
      <c r="C37" s="87"/>
      <c r="D37" s="87"/>
      <c r="E37" s="47"/>
      <c r="F37" s="48"/>
      <c r="G37" s="88"/>
      <c r="H37" s="87"/>
      <c r="I37" s="89"/>
      <c r="J37" s="48"/>
      <c r="K37" s="90"/>
      <c r="L37" s="48"/>
      <c r="M37" s="87"/>
      <c r="N37" s="48"/>
      <c r="O37" s="90"/>
      <c r="S37" s="1" t="s">
        <v>123</v>
      </c>
    </row>
    <row r="38" spans="3:19" x14ac:dyDescent="0.25">
      <c r="C38" s="87"/>
      <c r="D38" s="87"/>
      <c r="E38" s="47"/>
      <c r="F38" s="48"/>
      <c r="G38" s="88"/>
      <c r="H38" s="87"/>
      <c r="I38" s="89"/>
      <c r="J38" s="48"/>
      <c r="K38" s="90"/>
      <c r="L38" s="48"/>
      <c r="M38" s="87"/>
      <c r="N38" s="48"/>
      <c r="O38" s="90"/>
      <c r="S38" s="1" t="s">
        <v>124</v>
      </c>
    </row>
    <row r="39" spans="3:19" x14ac:dyDescent="0.25">
      <c r="C39" s="87"/>
      <c r="D39" s="87"/>
      <c r="E39" s="47"/>
      <c r="F39" s="48"/>
      <c r="G39" s="88"/>
      <c r="H39" s="87"/>
      <c r="I39" s="89"/>
      <c r="J39" s="48"/>
      <c r="K39" s="90"/>
      <c r="L39" s="48"/>
      <c r="M39" s="87"/>
      <c r="N39" s="48"/>
      <c r="O39" s="90"/>
      <c r="S39" s="1" t="s">
        <v>125</v>
      </c>
    </row>
    <row r="40" spans="3:19" x14ac:dyDescent="0.25">
      <c r="C40" s="87"/>
      <c r="D40" s="87"/>
      <c r="E40" s="47"/>
      <c r="F40" s="48"/>
      <c r="G40" s="88"/>
      <c r="H40" s="87"/>
      <c r="I40" s="89"/>
      <c r="J40" s="48"/>
      <c r="K40" s="90"/>
      <c r="L40" s="48"/>
      <c r="M40" s="87"/>
      <c r="N40" s="48"/>
      <c r="O40" s="90"/>
      <c r="S40" s="1" t="s">
        <v>126</v>
      </c>
    </row>
    <row r="41" spans="3:19" x14ac:dyDescent="0.25">
      <c r="C41" s="87"/>
      <c r="D41" s="87"/>
      <c r="E41" s="47"/>
      <c r="F41" s="48"/>
      <c r="G41" s="88"/>
      <c r="H41" s="87"/>
      <c r="I41" s="89"/>
      <c r="J41" s="48"/>
      <c r="K41" s="90"/>
      <c r="L41" s="48"/>
      <c r="M41" s="87"/>
      <c r="N41" s="48"/>
      <c r="O41" s="90"/>
      <c r="S41" s="1" t="s">
        <v>127</v>
      </c>
    </row>
    <row r="42" spans="3:19" x14ac:dyDescent="0.25">
      <c r="C42" s="87"/>
      <c r="D42" s="87"/>
      <c r="E42" s="47"/>
      <c r="F42" s="48"/>
      <c r="G42" s="88"/>
      <c r="H42" s="87"/>
      <c r="I42" s="89"/>
      <c r="J42" s="48"/>
      <c r="K42" s="90"/>
      <c r="L42" s="48"/>
      <c r="M42" s="87"/>
      <c r="N42" s="48"/>
      <c r="O42" s="90"/>
      <c r="S42" s="1" t="s">
        <v>128</v>
      </c>
    </row>
    <row r="43" spans="3:19" x14ac:dyDescent="0.25">
      <c r="C43" s="87"/>
      <c r="D43" s="87"/>
      <c r="E43" s="47"/>
      <c r="F43" s="48"/>
      <c r="G43" s="88"/>
      <c r="H43" s="87"/>
      <c r="I43" s="89"/>
      <c r="J43" s="48"/>
      <c r="K43" s="90"/>
      <c r="L43" s="48"/>
      <c r="M43" s="87"/>
      <c r="N43" s="48"/>
      <c r="O43" s="90"/>
      <c r="S43" s="1" t="s">
        <v>129</v>
      </c>
    </row>
    <row r="44" spans="3:19" x14ac:dyDescent="0.25">
      <c r="C44" s="87"/>
      <c r="D44" s="87"/>
      <c r="E44" s="48"/>
      <c r="F44" s="48"/>
      <c r="G44" s="87"/>
      <c r="H44" s="87"/>
      <c r="I44" s="48"/>
      <c r="J44" s="48"/>
      <c r="K44" s="87"/>
      <c r="L44" s="48"/>
      <c r="M44" s="87"/>
      <c r="N44" s="48"/>
      <c r="O44" s="87"/>
      <c r="S44" s="1" t="s">
        <v>130</v>
      </c>
    </row>
    <row r="45" spans="3:19" x14ac:dyDescent="0.25">
      <c r="C45" s="87"/>
      <c r="D45" s="87"/>
      <c r="E45" s="48"/>
      <c r="F45" s="48"/>
      <c r="G45" s="87"/>
      <c r="H45" s="87"/>
      <c r="I45" s="48"/>
      <c r="J45" s="48"/>
      <c r="K45" s="87"/>
      <c r="L45" s="48"/>
      <c r="M45" s="87"/>
      <c r="N45" s="48"/>
      <c r="O45" s="87"/>
      <c r="S45" s="1" t="s">
        <v>131</v>
      </c>
    </row>
    <row r="46" spans="3:19" x14ac:dyDescent="0.25">
      <c r="C46" s="87"/>
      <c r="D46" s="87"/>
      <c r="E46" s="48"/>
      <c r="F46" s="48"/>
      <c r="G46" s="87"/>
      <c r="H46" s="87"/>
      <c r="I46" s="48"/>
      <c r="J46" s="48"/>
      <c r="K46" s="87"/>
      <c r="L46" s="48"/>
      <c r="M46" s="87"/>
      <c r="N46" s="48"/>
      <c r="O46" s="87"/>
      <c r="S46" s="1" t="s">
        <v>132</v>
      </c>
    </row>
    <row r="47" spans="3:19" x14ac:dyDescent="0.25">
      <c r="C47" s="87"/>
      <c r="D47" s="87"/>
      <c r="E47" s="48"/>
      <c r="F47" s="48"/>
      <c r="G47" s="87"/>
      <c r="H47" s="87"/>
      <c r="I47" s="48"/>
      <c r="J47" s="48"/>
      <c r="K47" s="87"/>
      <c r="L47" s="48"/>
      <c r="M47" s="87"/>
      <c r="N47" s="48"/>
      <c r="O47" s="87"/>
      <c r="S47" s="1" t="s">
        <v>133</v>
      </c>
    </row>
    <row r="48" spans="3:19" x14ac:dyDescent="0.25">
      <c r="C48" s="87"/>
      <c r="D48" s="87"/>
      <c r="E48" s="48"/>
      <c r="F48" s="48"/>
      <c r="G48" s="87"/>
      <c r="H48" s="87"/>
      <c r="I48" s="48"/>
      <c r="J48" s="48"/>
      <c r="K48" s="87"/>
      <c r="L48" s="48"/>
      <c r="M48" s="87"/>
      <c r="N48" s="48"/>
      <c r="O48" s="87"/>
      <c r="S48" s="1" t="s">
        <v>134</v>
      </c>
    </row>
    <row r="49" spans="3:19" x14ac:dyDescent="0.25">
      <c r="C49" s="87"/>
      <c r="D49" s="87"/>
      <c r="E49" s="48"/>
      <c r="F49" s="48"/>
      <c r="G49" s="87"/>
      <c r="H49" s="87"/>
      <c r="I49" s="48"/>
      <c r="J49" s="48"/>
      <c r="K49" s="87"/>
      <c r="L49" s="48"/>
      <c r="M49" s="87"/>
      <c r="N49" s="48"/>
      <c r="O49" s="87"/>
      <c r="S49" s="1" t="s">
        <v>135</v>
      </c>
    </row>
    <row r="50" spans="3:19" x14ac:dyDescent="0.25">
      <c r="C50" s="87"/>
      <c r="D50" s="87"/>
      <c r="E50" s="48"/>
      <c r="F50" s="48"/>
      <c r="G50" s="87"/>
      <c r="H50" s="87"/>
      <c r="I50" s="48"/>
      <c r="J50" s="48"/>
      <c r="K50" s="87"/>
      <c r="L50" s="48"/>
      <c r="M50" s="87"/>
      <c r="N50" s="48"/>
      <c r="O50" s="87"/>
      <c r="S50" s="1" t="s">
        <v>136</v>
      </c>
    </row>
    <row r="51" spans="3:19" x14ac:dyDescent="0.25">
      <c r="C51" s="87"/>
      <c r="D51" s="87"/>
      <c r="E51" s="48"/>
      <c r="F51" s="48"/>
      <c r="G51" s="87"/>
      <c r="H51" s="87"/>
      <c r="I51" s="48"/>
      <c r="J51" s="48"/>
      <c r="K51" s="87"/>
      <c r="L51" s="48"/>
      <c r="M51" s="87"/>
      <c r="N51" s="48"/>
      <c r="O51" s="87"/>
      <c r="S51" s="1" t="s">
        <v>204</v>
      </c>
    </row>
    <row r="52" spans="3:19" x14ac:dyDescent="0.25">
      <c r="C52" s="87"/>
      <c r="D52" s="87"/>
      <c r="E52" s="48"/>
      <c r="F52" s="48"/>
      <c r="G52" s="87"/>
      <c r="H52" s="87"/>
      <c r="I52" s="48"/>
      <c r="J52" s="48"/>
      <c r="K52" s="87"/>
      <c r="L52" s="48"/>
      <c r="M52" s="87"/>
      <c r="N52" s="48"/>
      <c r="O52" s="87"/>
      <c r="S52" s="1" t="s">
        <v>205</v>
      </c>
    </row>
    <row r="53" spans="3:19" x14ac:dyDescent="0.25">
      <c r="C53" s="87"/>
      <c r="D53" s="87"/>
      <c r="E53" s="48"/>
      <c r="F53" s="48"/>
      <c r="G53" s="87"/>
      <c r="H53" s="87"/>
      <c r="I53" s="48"/>
      <c r="J53" s="48"/>
      <c r="K53" s="87"/>
      <c r="L53" s="48"/>
      <c r="M53" s="87"/>
      <c r="N53" s="48"/>
      <c r="O53" s="87"/>
      <c r="S53" s="1" t="s">
        <v>206</v>
      </c>
    </row>
    <row r="54" spans="3:19" x14ac:dyDescent="0.25">
      <c r="C54" s="87"/>
      <c r="D54" s="87"/>
      <c r="E54" s="48"/>
      <c r="F54" s="48"/>
      <c r="G54" s="87"/>
      <c r="H54" s="87"/>
      <c r="I54" s="48"/>
      <c r="J54" s="48"/>
      <c r="K54" s="87"/>
      <c r="L54" s="48"/>
      <c r="M54" s="87"/>
      <c r="N54" s="48"/>
      <c r="O54" s="87"/>
      <c r="S54" s="1" t="s">
        <v>207</v>
      </c>
    </row>
    <row r="55" spans="3:19" x14ac:dyDescent="0.25">
      <c r="C55" s="87"/>
      <c r="D55" s="87"/>
      <c r="E55" s="48"/>
      <c r="F55" s="48"/>
      <c r="G55" s="87"/>
      <c r="H55" s="87"/>
      <c r="I55" s="48"/>
      <c r="J55" s="48"/>
      <c r="K55" s="87"/>
      <c r="L55" s="48"/>
      <c r="M55" s="87"/>
      <c r="N55" s="48"/>
      <c r="O55" s="87"/>
      <c r="S55" s="1" t="s">
        <v>208</v>
      </c>
    </row>
    <row r="56" spans="3:19" x14ac:dyDescent="0.25">
      <c r="C56" s="87"/>
      <c r="D56" s="87"/>
      <c r="E56" s="48"/>
      <c r="F56" s="48"/>
      <c r="G56" s="87"/>
      <c r="H56" s="87"/>
      <c r="I56" s="48"/>
      <c r="J56" s="48"/>
      <c r="K56" s="87"/>
      <c r="L56" s="48"/>
      <c r="M56" s="87"/>
      <c r="N56" s="48"/>
      <c r="O56" s="87"/>
      <c r="S56" s="1" t="s">
        <v>209</v>
      </c>
    </row>
    <row r="57" spans="3:19" x14ac:dyDescent="0.25">
      <c r="C57" s="87"/>
      <c r="D57" s="87"/>
      <c r="E57" s="48"/>
      <c r="F57" s="48"/>
      <c r="G57" s="87"/>
      <c r="H57" s="87"/>
      <c r="I57" s="48"/>
      <c r="J57" s="48"/>
      <c r="K57" s="87"/>
      <c r="L57" s="48"/>
      <c r="M57" s="87"/>
      <c r="N57" s="48"/>
      <c r="O57" s="87"/>
      <c r="S57" s="1" t="s">
        <v>210</v>
      </c>
    </row>
    <row r="58" spans="3:19" x14ac:dyDescent="0.25">
      <c r="C58" s="87"/>
      <c r="D58" s="87"/>
      <c r="E58" s="48"/>
      <c r="F58" s="48"/>
      <c r="G58" s="87"/>
      <c r="H58" s="87"/>
      <c r="I58" s="48"/>
      <c r="J58" s="48"/>
      <c r="K58" s="87"/>
      <c r="L58" s="48"/>
      <c r="M58" s="87"/>
      <c r="N58" s="48"/>
      <c r="O58" s="87"/>
      <c r="S58" s="1" t="s">
        <v>211</v>
      </c>
    </row>
    <row r="59" spans="3:19" x14ac:dyDescent="0.25">
      <c r="C59" s="87"/>
      <c r="D59" s="87"/>
      <c r="E59" s="48"/>
      <c r="F59" s="48"/>
      <c r="G59" s="87"/>
      <c r="H59" s="87"/>
      <c r="I59" s="48"/>
      <c r="J59" s="48"/>
      <c r="K59" s="87"/>
      <c r="L59" s="48"/>
      <c r="M59" s="87"/>
      <c r="N59" s="48"/>
      <c r="O59" s="87"/>
      <c r="S59" s="1" t="s">
        <v>212</v>
      </c>
    </row>
    <row r="60" spans="3:19" x14ac:dyDescent="0.25">
      <c r="C60" s="87"/>
      <c r="D60" s="87"/>
      <c r="E60" s="48"/>
      <c r="F60" s="48"/>
      <c r="G60" s="87"/>
      <c r="H60" s="87"/>
      <c r="I60" s="48"/>
      <c r="J60" s="48"/>
      <c r="K60" s="87"/>
      <c r="L60" s="48"/>
      <c r="M60" s="87"/>
      <c r="N60" s="48"/>
      <c r="O60" s="87"/>
    </row>
    <row r="61" spans="3:19" x14ac:dyDescent="0.25">
      <c r="C61" s="87"/>
      <c r="D61" s="87"/>
      <c r="E61" s="48"/>
      <c r="F61" s="48"/>
      <c r="G61" s="87"/>
      <c r="H61" s="87"/>
      <c r="I61" s="48"/>
      <c r="J61" s="48"/>
      <c r="K61" s="87"/>
      <c r="L61" s="48"/>
      <c r="M61" s="87"/>
      <c r="N61" s="48"/>
      <c r="O61" s="87"/>
    </row>
    <row r="62" spans="3:19" x14ac:dyDescent="0.25">
      <c r="C62" s="87"/>
      <c r="D62" s="87"/>
      <c r="E62" s="48"/>
      <c r="F62" s="48"/>
      <c r="G62" s="87"/>
      <c r="H62" s="87"/>
      <c r="I62" s="48"/>
      <c r="J62" s="48"/>
      <c r="K62" s="87"/>
      <c r="L62" s="48"/>
      <c r="M62" s="87"/>
      <c r="N62" s="48"/>
      <c r="O62" s="87"/>
    </row>
    <row r="63" spans="3:19" x14ac:dyDescent="0.25">
      <c r="C63" s="87"/>
      <c r="D63" s="87"/>
      <c r="E63" s="48"/>
      <c r="F63" s="48"/>
      <c r="G63" s="87"/>
      <c r="H63" s="87"/>
      <c r="I63" s="48"/>
      <c r="J63" s="48"/>
      <c r="K63" s="87"/>
      <c r="L63" s="48"/>
      <c r="M63" s="87"/>
      <c r="N63" s="48"/>
      <c r="O63" s="87"/>
    </row>
    <row r="64" spans="3:19" x14ac:dyDescent="0.25">
      <c r="C64" s="87"/>
      <c r="D64" s="87"/>
      <c r="E64" s="48"/>
      <c r="F64" s="48"/>
      <c r="G64" s="87"/>
      <c r="H64" s="87"/>
      <c r="I64" s="48"/>
      <c r="J64" s="48"/>
      <c r="K64" s="87"/>
      <c r="L64" s="48"/>
      <c r="M64" s="87"/>
      <c r="N64" s="48"/>
      <c r="O64" s="87"/>
    </row>
    <row r="65" spans="3:15" x14ac:dyDescent="0.25">
      <c r="C65" s="87"/>
      <c r="D65" s="87"/>
      <c r="E65" s="48"/>
      <c r="F65" s="48"/>
      <c r="G65" s="87"/>
      <c r="H65" s="87"/>
      <c r="I65" s="48"/>
      <c r="J65" s="48"/>
      <c r="K65" s="87"/>
      <c r="L65" s="48"/>
      <c r="M65" s="87"/>
      <c r="N65" s="48"/>
      <c r="O65" s="87"/>
    </row>
    <row r="66" spans="3:15" x14ac:dyDescent="0.25">
      <c r="C66" s="87"/>
      <c r="D66" s="87"/>
      <c r="E66" s="48"/>
      <c r="F66" s="48"/>
      <c r="G66" s="87"/>
      <c r="H66" s="87"/>
      <c r="I66" s="48"/>
      <c r="J66" s="48"/>
      <c r="K66" s="87"/>
      <c r="L66" s="48"/>
      <c r="M66" s="87"/>
      <c r="N66" s="48"/>
      <c r="O66" s="87"/>
    </row>
    <row r="67" spans="3:15" x14ac:dyDescent="0.25">
      <c r="C67" s="87"/>
      <c r="D67" s="87"/>
      <c r="E67" s="48"/>
      <c r="F67" s="48"/>
      <c r="G67" s="87"/>
      <c r="H67" s="87"/>
      <c r="I67" s="48"/>
      <c r="J67" s="48"/>
      <c r="K67" s="87"/>
      <c r="L67" s="48"/>
      <c r="M67" s="87"/>
      <c r="N67" s="48"/>
      <c r="O67" s="87"/>
    </row>
    <row r="68" spans="3:15" x14ac:dyDescent="0.25">
      <c r="C68" s="87"/>
      <c r="D68" s="87"/>
      <c r="E68" s="48"/>
      <c r="F68" s="48"/>
      <c r="G68" s="87"/>
      <c r="H68" s="87"/>
      <c r="I68" s="48"/>
      <c r="J68" s="48"/>
      <c r="K68" s="87"/>
      <c r="L68" s="48"/>
      <c r="M68" s="87"/>
      <c r="N68" s="48"/>
      <c r="O68" s="87"/>
    </row>
    <row r="69" spans="3:15" x14ac:dyDescent="0.25">
      <c r="C69" s="87"/>
      <c r="D69" s="87"/>
      <c r="E69" s="48"/>
      <c r="F69" s="48"/>
      <c r="G69" s="87"/>
      <c r="H69" s="87"/>
      <c r="I69" s="48"/>
      <c r="J69" s="48"/>
      <c r="K69" s="87"/>
      <c r="L69" s="48"/>
      <c r="M69" s="87"/>
      <c r="N69" s="48"/>
      <c r="O69" s="87"/>
    </row>
    <row r="70" spans="3:15" x14ac:dyDescent="0.25">
      <c r="C70" s="87"/>
      <c r="D70" s="87"/>
      <c r="E70" s="48"/>
      <c r="F70" s="48"/>
      <c r="G70" s="87"/>
      <c r="H70" s="87"/>
      <c r="I70" s="48"/>
      <c r="J70" s="48"/>
      <c r="K70" s="87"/>
      <c r="L70" s="48"/>
      <c r="M70" s="87"/>
      <c r="N70" s="48"/>
      <c r="O70" s="87"/>
    </row>
    <row r="71" spans="3:15" x14ac:dyDescent="0.25">
      <c r="C71" s="87"/>
      <c r="D71" s="87"/>
      <c r="E71" s="48"/>
      <c r="F71" s="48"/>
      <c r="G71" s="87"/>
      <c r="H71" s="87"/>
      <c r="I71" s="48"/>
      <c r="J71" s="48"/>
      <c r="K71" s="87"/>
      <c r="L71" s="48"/>
      <c r="M71" s="87"/>
      <c r="N71" s="48"/>
      <c r="O71" s="87"/>
    </row>
    <row r="72" spans="3:15" x14ac:dyDescent="0.25">
      <c r="C72" s="87"/>
      <c r="D72" s="87"/>
      <c r="E72" s="48"/>
      <c r="F72" s="48"/>
      <c r="G72" s="87"/>
      <c r="H72" s="87"/>
      <c r="I72" s="48"/>
      <c r="J72" s="48"/>
      <c r="K72" s="87"/>
      <c r="L72" s="48"/>
      <c r="M72" s="87"/>
      <c r="N72" s="48"/>
      <c r="O72" s="87"/>
    </row>
    <row r="73" spans="3:15" x14ac:dyDescent="0.25">
      <c r="C73" s="87"/>
      <c r="D73" s="87"/>
      <c r="E73" s="48"/>
      <c r="F73" s="48"/>
      <c r="G73" s="87"/>
      <c r="H73" s="87"/>
      <c r="I73" s="48"/>
      <c r="J73" s="48"/>
      <c r="K73" s="87"/>
      <c r="L73" s="48"/>
      <c r="M73" s="87"/>
      <c r="N73" s="48"/>
      <c r="O73" s="87"/>
    </row>
    <row r="74" spans="3:15" x14ac:dyDescent="0.25">
      <c r="C74" s="87"/>
      <c r="D74" s="87"/>
      <c r="E74" s="48"/>
      <c r="F74" s="48"/>
      <c r="G74" s="87"/>
      <c r="H74" s="87"/>
      <c r="I74" s="48"/>
      <c r="J74" s="48"/>
      <c r="K74" s="87"/>
      <c r="L74" s="48"/>
      <c r="M74" s="87"/>
      <c r="N74" s="48"/>
      <c r="O74" s="87"/>
    </row>
    <row r="75" spans="3:15" x14ac:dyDescent="0.25">
      <c r="C75" s="87"/>
      <c r="D75" s="87"/>
      <c r="E75" s="48"/>
      <c r="F75" s="48"/>
      <c r="G75" s="87"/>
      <c r="H75" s="87"/>
      <c r="I75" s="48"/>
      <c r="J75" s="48"/>
      <c r="K75" s="87"/>
      <c r="L75" s="48"/>
      <c r="M75" s="87"/>
      <c r="N75" s="48"/>
      <c r="O75" s="87"/>
    </row>
    <row r="76" spans="3:15" x14ac:dyDescent="0.25">
      <c r="C76" s="87"/>
      <c r="D76" s="87"/>
      <c r="E76" s="48"/>
      <c r="F76" s="48"/>
      <c r="G76" s="87"/>
      <c r="H76" s="87"/>
      <c r="I76" s="48"/>
      <c r="J76" s="48"/>
      <c r="K76" s="87"/>
      <c r="L76" s="48"/>
      <c r="M76" s="87"/>
      <c r="N76" s="48"/>
      <c r="O76" s="87"/>
    </row>
    <row r="77" spans="3:15" x14ac:dyDescent="0.25">
      <c r="C77" s="87"/>
      <c r="D77" s="87"/>
      <c r="E77" s="48"/>
      <c r="F77" s="48"/>
      <c r="G77" s="87"/>
      <c r="H77" s="87"/>
      <c r="I77" s="48"/>
      <c r="J77" s="48"/>
      <c r="K77" s="87"/>
      <c r="L77" s="48"/>
      <c r="M77" s="87"/>
      <c r="N77" s="48"/>
      <c r="O77" s="87"/>
    </row>
    <row r="78" spans="3:15" x14ac:dyDescent="0.25">
      <c r="C78" s="87"/>
      <c r="D78" s="87"/>
      <c r="E78" s="48"/>
      <c r="F78" s="48"/>
      <c r="G78" s="87"/>
      <c r="H78" s="87"/>
      <c r="I78" s="48"/>
      <c r="J78" s="48"/>
      <c r="K78" s="87"/>
      <c r="L78" s="48"/>
      <c r="M78" s="87"/>
      <c r="N78" s="48"/>
      <c r="O78" s="87"/>
    </row>
    <row r="79" spans="3:15" x14ac:dyDescent="0.25">
      <c r="C79" s="87"/>
      <c r="D79" s="87"/>
      <c r="E79" s="48"/>
      <c r="F79" s="48"/>
      <c r="G79" s="87"/>
      <c r="H79" s="87"/>
      <c r="I79" s="48"/>
      <c r="J79" s="48"/>
      <c r="K79" s="87"/>
      <c r="L79" s="48"/>
      <c r="M79" s="87"/>
      <c r="N79" s="48"/>
      <c r="O79" s="87"/>
    </row>
    <row r="80" spans="3:15" x14ac:dyDescent="0.25">
      <c r="C80" s="87"/>
      <c r="D80" s="87"/>
      <c r="E80" s="48"/>
      <c r="F80" s="48"/>
      <c r="G80" s="87"/>
      <c r="H80" s="87"/>
      <c r="I80" s="48"/>
      <c r="J80" s="48"/>
      <c r="K80" s="87"/>
      <c r="L80" s="48"/>
      <c r="M80" s="87"/>
      <c r="N80" s="48"/>
      <c r="O80" s="87"/>
    </row>
    <row r="81" spans="3:15" x14ac:dyDescent="0.25">
      <c r="C81" s="87"/>
      <c r="D81" s="87"/>
      <c r="E81" s="48"/>
      <c r="F81" s="48"/>
      <c r="G81" s="87"/>
      <c r="H81" s="87"/>
      <c r="I81" s="48"/>
      <c r="J81" s="48"/>
      <c r="K81" s="87"/>
      <c r="L81" s="48"/>
      <c r="M81" s="87"/>
      <c r="N81" s="48"/>
      <c r="O81" s="87"/>
    </row>
    <row r="82" spans="3:15" x14ac:dyDescent="0.25">
      <c r="C82" s="87"/>
      <c r="D82" s="87"/>
      <c r="E82" s="48"/>
      <c r="F82" s="48"/>
      <c r="G82" s="87"/>
      <c r="H82" s="87"/>
      <c r="I82" s="48"/>
      <c r="J82" s="48"/>
      <c r="K82" s="87"/>
      <c r="L82" s="48"/>
      <c r="M82" s="87"/>
      <c r="N82" s="48"/>
      <c r="O82" s="87"/>
    </row>
    <row r="83" spans="3:15" x14ac:dyDescent="0.25">
      <c r="C83" s="87"/>
      <c r="D83" s="87"/>
      <c r="E83" s="48"/>
      <c r="F83" s="48"/>
      <c r="G83" s="87"/>
      <c r="H83" s="87"/>
      <c r="I83" s="48"/>
      <c r="J83" s="48"/>
      <c r="K83" s="87"/>
      <c r="L83" s="48"/>
      <c r="M83" s="87"/>
      <c r="N83" s="48"/>
      <c r="O83" s="87"/>
    </row>
    <row r="84" spans="3:15" x14ac:dyDescent="0.25">
      <c r="C84" s="87"/>
      <c r="D84" s="87"/>
      <c r="E84" s="48"/>
      <c r="F84" s="48"/>
      <c r="G84" s="87"/>
      <c r="H84" s="87"/>
      <c r="I84" s="48"/>
      <c r="J84" s="48"/>
      <c r="K84" s="87"/>
      <c r="L84" s="48"/>
      <c r="M84" s="87"/>
      <c r="N84" s="48"/>
      <c r="O84" s="87"/>
    </row>
    <row r="85" spans="3:15" x14ac:dyDescent="0.25">
      <c r="C85" s="87"/>
      <c r="D85" s="87"/>
      <c r="E85" s="48"/>
      <c r="F85" s="48"/>
      <c r="G85" s="87"/>
      <c r="H85" s="87"/>
      <c r="I85" s="48"/>
      <c r="J85" s="48"/>
      <c r="K85" s="87"/>
      <c r="L85" s="48"/>
      <c r="M85" s="87"/>
      <c r="N85" s="48"/>
      <c r="O85" s="87"/>
    </row>
    <row r="86" spans="3:15" x14ac:dyDescent="0.25">
      <c r="C86" s="87"/>
      <c r="D86" s="87"/>
      <c r="E86" s="48"/>
      <c r="F86" s="48"/>
      <c r="G86" s="87"/>
      <c r="H86" s="87"/>
      <c r="I86" s="48"/>
      <c r="J86" s="48"/>
      <c r="K86" s="87"/>
      <c r="L86" s="48"/>
      <c r="M86" s="87"/>
      <c r="N86" s="48"/>
      <c r="O86" s="87"/>
    </row>
    <row r="87" spans="3:15" x14ac:dyDescent="0.25">
      <c r="C87" s="87"/>
      <c r="D87" s="87"/>
      <c r="E87" s="48"/>
      <c r="F87" s="48"/>
      <c r="G87" s="87"/>
      <c r="H87" s="87"/>
      <c r="I87" s="48"/>
      <c r="J87" s="48"/>
      <c r="K87" s="87"/>
      <c r="L87" s="48"/>
      <c r="M87" s="87"/>
      <c r="N87" s="48"/>
      <c r="O87" s="87"/>
    </row>
    <row r="88" spans="3:15" x14ac:dyDescent="0.25">
      <c r="C88" s="87"/>
      <c r="D88" s="87"/>
      <c r="E88" s="48"/>
      <c r="F88" s="48"/>
      <c r="G88" s="87"/>
      <c r="H88" s="87"/>
      <c r="I88" s="48"/>
      <c r="J88" s="48"/>
      <c r="K88" s="87"/>
      <c r="L88" s="48"/>
      <c r="M88" s="87"/>
      <c r="N88" s="48"/>
      <c r="O88" s="87"/>
    </row>
    <row r="89" spans="3:15" x14ac:dyDescent="0.25">
      <c r="C89" s="87"/>
      <c r="D89" s="87"/>
      <c r="E89" s="48"/>
      <c r="F89" s="48"/>
      <c r="G89" s="87"/>
      <c r="H89" s="87"/>
      <c r="I89" s="48"/>
      <c r="J89" s="48"/>
      <c r="K89" s="87"/>
      <c r="L89" s="48"/>
      <c r="M89" s="87"/>
      <c r="N89" s="48"/>
      <c r="O89" s="87"/>
    </row>
    <row r="90" spans="3:15" x14ac:dyDescent="0.25">
      <c r="C90" s="87"/>
      <c r="D90" s="87"/>
      <c r="E90" s="48"/>
      <c r="F90" s="48"/>
      <c r="G90" s="87"/>
      <c r="H90" s="87"/>
      <c r="I90" s="48"/>
      <c r="J90" s="48"/>
      <c r="K90" s="87"/>
      <c r="L90" s="48"/>
      <c r="M90" s="87"/>
      <c r="N90" s="48"/>
      <c r="O90" s="87"/>
    </row>
    <row r="91" spans="3:15" x14ac:dyDescent="0.25">
      <c r="C91" s="87"/>
      <c r="D91" s="87"/>
      <c r="E91" s="48"/>
      <c r="F91" s="48"/>
      <c r="G91" s="87"/>
      <c r="H91" s="87"/>
      <c r="I91" s="48"/>
      <c r="J91" s="48"/>
      <c r="K91" s="87"/>
      <c r="L91" s="48"/>
      <c r="M91" s="87"/>
      <c r="N91" s="48"/>
      <c r="O91" s="87"/>
    </row>
    <row r="92" spans="3:15" x14ac:dyDescent="0.25">
      <c r="C92" s="87"/>
      <c r="D92" s="87"/>
      <c r="E92" s="48"/>
      <c r="F92" s="48"/>
      <c r="G92" s="87"/>
      <c r="H92" s="87"/>
      <c r="I92" s="48"/>
      <c r="J92" s="48"/>
      <c r="K92" s="87"/>
      <c r="L92" s="48"/>
      <c r="M92" s="87"/>
      <c r="N92" s="48"/>
      <c r="O92" s="87"/>
    </row>
    <row r="93" spans="3:15" x14ac:dyDescent="0.25">
      <c r="C93" s="87"/>
      <c r="D93" s="87"/>
      <c r="E93" s="48"/>
      <c r="F93" s="48"/>
      <c r="G93" s="87"/>
      <c r="H93" s="87"/>
      <c r="I93" s="48"/>
      <c r="J93" s="48"/>
      <c r="K93" s="87"/>
      <c r="L93" s="48"/>
      <c r="M93" s="87"/>
      <c r="N93" s="48"/>
      <c r="O93" s="87"/>
    </row>
    <row r="94" spans="3:15" x14ac:dyDescent="0.25">
      <c r="C94" s="87"/>
      <c r="D94" s="87"/>
      <c r="E94" s="48"/>
      <c r="F94" s="48"/>
      <c r="G94" s="87"/>
      <c r="H94" s="87"/>
      <c r="I94" s="48"/>
      <c r="J94" s="48"/>
      <c r="K94" s="87"/>
      <c r="L94" s="48"/>
      <c r="M94" s="87"/>
      <c r="N94" s="48"/>
      <c r="O94" s="87"/>
    </row>
    <row r="95" spans="3:15" x14ac:dyDescent="0.25">
      <c r="C95" s="87"/>
      <c r="D95" s="87"/>
      <c r="E95" s="48"/>
      <c r="F95" s="48"/>
      <c r="G95" s="87"/>
      <c r="H95" s="87"/>
      <c r="I95" s="48"/>
      <c r="J95" s="48"/>
      <c r="K95" s="87"/>
      <c r="L95" s="48"/>
      <c r="M95" s="87"/>
      <c r="N95" s="48"/>
      <c r="O95" s="87"/>
    </row>
    <row r="96" spans="3:15" x14ac:dyDescent="0.25">
      <c r="C96" s="87"/>
      <c r="D96" s="87"/>
      <c r="E96" s="48"/>
      <c r="F96" s="48"/>
      <c r="G96" s="87"/>
      <c r="H96" s="87"/>
      <c r="I96" s="48"/>
      <c r="J96" s="48"/>
      <c r="K96" s="87"/>
      <c r="L96" s="48"/>
      <c r="M96" s="87"/>
      <c r="N96" s="48"/>
      <c r="O96" s="87"/>
    </row>
    <row r="97" spans="3:15" x14ac:dyDescent="0.25">
      <c r="C97" s="87"/>
      <c r="D97" s="87"/>
      <c r="E97" s="48"/>
      <c r="F97" s="48"/>
      <c r="G97" s="87"/>
      <c r="H97" s="87"/>
      <c r="I97" s="48"/>
      <c r="J97" s="48"/>
      <c r="K97" s="87"/>
      <c r="L97" s="48"/>
      <c r="M97" s="87"/>
      <c r="N97" s="48"/>
      <c r="O97" s="87"/>
    </row>
    <row r="98" spans="3:15" x14ac:dyDescent="0.25">
      <c r="C98" s="87"/>
      <c r="D98" s="87"/>
      <c r="E98" s="48"/>
      <c r="F98" s="48"/>
      <c r="G98" s="87"/>
      <c r="H98" s="87"/>
      <c r="I98" s="48"/>
      <c r="J98" s="48"/>
      <c r="K98" s="87"/>
      <c r="L98" s="48"/>
      <c r="M98" s="87"/>
      <c r="N98" s="48"/>
      <c r="O98" s="87"/>
    </row>
    <row r="99" spans="3:15" x14ac:dyDescent="0.25">
      <c r="C99" s="87"/>
      <c r="D99" s="87"/>
      <c r="E99" s="48"/>
      <c r="F99" s="48"/>
      <c r="G99" s="87"/>
      <c r="H99" s="87"/>
      <c r="I99" s="48"/>
      <c r="J99" s="48"/>
      <c r="K99" s="87"/>
      <c r="L99" s="48"/>
      <c r="M99" s="87"/>
      <c r="N99" s="48"/>
      <c r="O99" s="87"/>
    </row>
    <row r="100" spans="3:15" x14ac:dyDescent="0.25">
      <c r="C100" s="87"/>
      <c r="D100" s="87"/>
      <c r="E100" s="48"/>
      <c r="F100" s="48"/>
      <c r="G100" s="87"/>
      <c r="H100" s="87"/>
      <c r="I100" s="48"/>
      <c r="J100" s="48"/>
      <c r="K100" s="87"/>
      <c r="L100" s="48"/>
      <c r="M100" s="87"/>
      <c r="N100" s="48"/>
      <c r="O100" s="8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Navigate">
              <controlPr defaultSize="0" print="0" autoFill="0" autoPict="0" macro="[1]!NewStartup_Click">
                <anchor moveWithCells="1" sizeWithCells="1">
                  <from>
                    <xdr:col>0</xdr:col>
                    <xdr:colOff>581025</xdr:colOff>
                    <xdr:row>21</xdr:row>
                    <xdr:rowOff>76200</xdr:rowOff>
                  </from>
                  <to>
                    <xdr:col>1</xdr:col>
                    <xdr:colOff>1000125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NextOperation">
              <controlPr defaultSize="0" print="0" autoFill="0" autoPict="0">
                <anchor moveWithCells="1" sizeWithCells="1">
                  <from>
                    <xdr:col>0</xdr:col>
                    <xdr:colOff>581025</xdr:colOff>
                    <xdr:row>24</xdr:row>
                    <xdr:rowOff>85725</xdr:rowOff>
                  </from>
                  <to>
                    <xdr:col>1</xdr:col>
                    <xdr:colOff>1000125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CreateMainPoolPrintSheets">
              <controlPr defaultSize="0" print="0" autoFill="0" autoPict="0" macro="[1]!NewStartup_Click">
                <anchor moveWithCells="1" siz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1057275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style="1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6" ht="21.75" thickBot="1" x14ac:dyDescent="0.4">
      <c r="A1" s="103" t="s">
        <v>157</v>
      </c>
      <c r="B1" s="122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36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S17" s="1" t="s">
        <v>202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109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R19" s="100" t="s">
        <v>165</v>
      </c>
      <c r="S19" s="1" t="s">
        <v>110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169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R21" s="100" t="s">
        <v>197</v>
      </c>
      <c r="S21" s="1" t="s">
        <v>110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192</v>
      </c>
      <c r="S22" s="1" t="s">
        <v>170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R23" t="s">
        <v>191</v>
      </c>
      <c r="S23" s="1" t="s">
        <v>171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R24" s="100" t="s">
        <v>198</v>
      </c>
      <c r="S24" s="1" t="s">
        <v>111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203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112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113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114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115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116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117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118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119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120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121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122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123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124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125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126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127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128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129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130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131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132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133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134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135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S51" s="1" t="s">
        <v>204</v>
      </c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S52" s="1" t="s">
        <v>205</v>
      </c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S53" s="1" t="s">
        <v>206</v>
      </c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S54" s="1" t="s">
        <v>207</v>
      </c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S55" s="1" t="s">
        <v>208</v>
      </c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S56" s="1" t="s">
        <v>209</v>
      </c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S57" s="1" t="s">
        <v>210</v>
      </c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S58" s="1" t="s">
        <v>211</v>
      </c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S59" s="1" t="s">
        <v>212</v>
      </c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Navigate">
              <controlPr defaultSize="0" print="0" autoFill="0" autoPict="0" macro="[1]!NewStartup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1038225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NextOperation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15</xdr:row>
                    <xdr:rowOff>9525</xdr:rowOff>
                  </from>
                  <to>
                    <xdr:col>1</xdr:col>
                    <xdr:colOff>1038225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  <col min="19" max="19" width="9.140625" style="1" hidden="1" customWidth="1"/>
    <col min="20" max="22" width="9.140625" hidden="1" customWidth="1"/>
    <col min="23" max="23" width="9.140625" customWidth="1"/>
  </cols>
  <sheetData>
    <row r="1" spans="1:26" ht="21.75" thickBot="1" x14ac:dyDescent="0.4">
      <c r="A1" s="103" t="s">
        <v>158</v>
      </c>
      <c r="B1" s="122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36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  <c r="S15" s="1" t="s">
        <v>107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  <c r="S17" s="1" t="s">
        <v>202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109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  <c r="S19" s="1" t="s">
        <v>110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169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197</v>
      </c>
      <c r="S21" s="1" t="s">
        <v>110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192</v>
      </c>
      <c r="S22" s="1" t="s">
        <v>170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191</v>
      </c>
      <c r="S23" s="1" t="s">
        <v>171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R24" s="100" t="s">
        <v>198</v>
      </c>
      <c r="S24" s="1" t="s">
        <v>111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203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R26" t="s">
        <v>200</v>
      </c>
      <c r="S26" s="1" t="s">
        <v>112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R27" t="s">
        <v>201</v>
      </c>
      <c r="S27" s="1" t="s">
        <v>113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114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115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116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117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118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119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120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121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122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123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124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125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126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127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128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129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130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131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132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133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134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135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S51" s="1" t="s">
        <v>204</v>
      </c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S52" s="1" t="s">
        <v>205</v>
      </c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S53" s="1" t="s">
        <v>206</v>
      </c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S54" s="1" t="s">
        <v>207</v>
      </c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S55" s="1" t="s">
        <v>208</v>
      </c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S56" s="1" t="s">
        <v>209</v>
      </c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S57" s="1" t="s">
        <v>210</v>
      </c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S58" s="1" t="s">
        <v>211</v>
      </c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S59" s="1" t="s">
        <v>212</v>
      </c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Navigate">
              <controlPr defaultSize="0" print="0" autoFill="0" autoPict="0" macro="[1]!NewStartup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1038225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NextOperation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15</xdr:row>
                    <xdr:rowOff>9525</xdr:rowOff>
                  </from>
                  <to>
                    <xdr:col>1</xdr:col>
                    <xdr:colOff>1038225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6" ht="21.75" thickBot="1" x14ac:dyDescent="0.4">
      <c r="A1" s="103" t="s">
        <v>190</v>
      </c>
      <c r="B1" s="122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21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8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  <c r="S15" s="1" t="s">
        <v>107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  <c r="S17" s="1" t="s">
        <v>202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109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  <c r="S19" s="1" t="s">
        <v>110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169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197</v>
      </c>
      <c r="S21" s="1" t="s">
        <v>110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192</v>
      </c>
      <c r="S22" s="1" t="s">
        <v>170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191</v>
      </c>
      <c r="S23" s="1" t="s">
        <v>171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Q24" s="1"/>
      <c r="R24" s="100" t="s">
        <v>198</v>
      </c>
      <c r="S24" s="1" t="s">
        <v>111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203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112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113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114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115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116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117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118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119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120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121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122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123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124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125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126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127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128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129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130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131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132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133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134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135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S51" s="1" t="s">
        <v>204</v>
      </c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S52" s="1" t="s">
        <v>205</v>
      </c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S53" s="1" t="s">
        <v>206</v>
      </c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S54" s="1" t="s">
        <v>207</v>
      </c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S55" s="1" t="s">
        <v>208</v>
      </c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S56" s="1" t="s">
        <v>209</v>
      </c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S57" s="1" t="s">
        <v>210</v>
      </c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S58" s="1" t="s">
        <v>211</v>
      </c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S59" s="1" t="s">
        <v>212</v>
      </c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3" name="Navigate">
              <controlPr defaultSize="0" print="0" autoFill="0" autoPict="0" macro="[1]!NewStartup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1038225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4" name="NextOperation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15</xdr:row>
                    <xdr:rowOff>9525</xdr:rowOff>
                  </from>
                  <to>
                    <xdr:col>1</xdr:col>
                    <xdr:colOff>1038225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25"/>
  <sheetViews>
    <sheetView workbookViewId="0"/>
  </sheetViews>
  <sheetFormatPr defaultRowHeight="33.75" x14ac:dyDescent="0.5"/>
  <cols>
    <col min="1" max="1" width="15.85546875" style="117" customWidth="1"/>
    <col min="2" max="2" width="42.85546875" style="117" customWidth="1"/>
    <col min="3" max="3" width="3.85546875" style="117" customWidth="1"/>
    <col min="4" max="4" width="11.7109375" style="116" customWidth="1"/>
    <col min="5" max="5" width="15.5703125" style="115" customWidth="1"/>
    <col min="6" max="6" width="11.5703125" style="115" customWidth="1"/>
    <col min="7" max="16384" width="9.140625" style="117"/>
  </cols>
  <sheetData>
    <row r="1" spans="1:6" x14ac:dyDescent="0.5">
      <c r="A1" s="113" t="s">
        <v>156</v>
      </c>
      <c r="B1" s="118" t="s">
        <v>199</v>
      </c>
      <c r="C1" s="114"/>
      <c r="D1" s="113"/>
      <c r="F1" s="116"/>
    </row>
    <row r="2" spans="1:6" x14ac:dyDescent="0.5">
      <c r="A2" s="113"/>
      <c r="B2" s="114"/>
      <c r="C2" s="114"/>
      <c r="D2" s="113"/>
      <c r="F2" s="116"/>
    </row>
    <row r="3" spans="1:6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</row>
    <row r="4" spans="1:6" x14ac:dyDescent="0.5">
      <c r="A4" s="115"/>
      <c r="B4" s="118"/>
      <c r="C4" s="118"/>
      <c r="E4" s="120"/>
      <c r="F4" s="120"/>
    </row>
    <row r="5" spans="1:6" x14ac:dyDescent="0.5">
      <c r="A5" s="116">
        <v>0</v>
      </c>
      <c r="B5" s="117" t="s">
        <v>80</v>
      </c>
      <c r="E5" s="120"/>
      <c r="F5" s="120"/>
    </row>
    <row r="6" spans="1:6" x14ac:dyDescent="0.5">
      <c r="A6" s="116"/>
      <c r="E6" s="120"/>
      <c r="F6" s="120"/>
    </row>
    <row r="7" spans="1:6" x14ac:dyDescent="0.5">
      <c r="A7" s="115">
        <v>0</v>
      </c>
      <c r="B7" s="117" t="s">
        <v>84</v>
      </c>
      <c r="E7" s="120"/>
      <c r="F7" s="120"/>
    </row>
    <row r="8" spans="1:6" x14ac:dyDescent="0.5">
      <c r="A8" s="116"/>
      <c r="E8" s="120"/>
      <c r="F8" s="120"/>
    </row>
    <row r="9" spans="1:6" x14ac:dyDescent="0.5">
      <c r="A9" s="116">
        <v>0</v>
      </c>
      <c r="B9" s="117" t="s">
        <v>159</v>
      </c>
      <c r="E9" s="120"/>
      <c r="F9" s="120"/>
    </row>
    <row r="10" spans="1:6" x14ac:dyDescent="0.5">
      <c r="A10" s="116"/>
      <c r="E10" s="120"/>
      <c r="F10" s="120"/>
    </row>
    <row r="11" spans="1:6" x14ac:dyDescent="0.5">
      <c r="A11" s="116"/>
      <c r="E11" s="120"/>
      <c r="F11" s="120"/>
    </row>
    <row r="12" spans="1:6" x14ac:dyDescent="0.5">
      <c r="A12" s="116"/>
      <c r="E12" s="120"/>
      <c r="F12" s="120"/>
    </row>
    <row r="13" spans="1:6" x14ac:dyDescent="0.5">
      <c r="A13" s="116"/>
      <c r="E13" s="120"/>
      <c r="F13" s="120"/>
    </row>
    <row r="14" spans="1:6" x14ac:dyDescent="0.5">
      <c r="A14" s="116"/>
      <c r="E14" s="120"/>
      <c r="F14" s="120"/>
    </row>
    <row r="15" spans="1:6" x14ac:dyDescent="0.5">
      <c r="A15" s="116"/>
      <c r="E15" s="120"/>
      <c r="F15" s="120"/>
    </row>
    <row r="16" spans="1:6" x14ac:dyDescent="0.5">
      <c r="E16" s="120"/>
      <c r="F16" s="120"/>
    </row>
    <row r="17" spans="5:6" x14ac:dyDescent="0.5">
      <c r="E17" s="120"/>
      <c r="F17" s="120"/>
    </row>
    <row r="18" spans="5:6" x14ac:dyDescent="0.5">
      <c r="E18" s="120"/>
      <c r="F18" s="120"/>
    </row>
    <row r="19" spans="5:6" x14ac:dyDescent="0.5">
      <c r="E19" s="120"/>
      <c r="F19" s="120"/>
    </row>
    <row r="20" spans="5:6" x14ac:dyDescent="0.5">
      <c r="E20" s="120"/>
      <c r="F20" s="120"/>
    </row>
    <row r="21" spans="5:6" x14ac:dyDescent="0.5">
      <c r="E21" s="120"/>
      <c r="F21" s="120"/>
    </row>
    <row r="22" spans="5:6" x14ac:dyDescent="0.5">
      <c r="E22" s="120"/>
      <c r="F22" s="120"/>
    </row>
    <row r="23" spans="5:6" x14ac:dyDescent="0.5">
      <c r="E23" s="120"/>
      <c r="F23" s="120"/>
    </row>
    <row r="24" spans="5:6" x14ac:dyDescent="0.5">
      <c r="E24" s="120"/>
      <c r="F24" s="120"/>
    </row>
    <row r="25" spans="5:6" x14ac:dyDescent="0.5">
      <c r="E25" s="120"/>
      <c r="F25" s="120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52"/>
  <sheetViews>
    <sheetView workbookViewId="0"/>
  </sheetViews>
  <sheetFormatPr defaultRowHeight="21" x14ac:dyDescent="0.35"/>
  <cols>
    <col min="1" max="1" width="15.85546875" customWidth="1"/>
    <col min="2" max="2" width="42.85546875" customWidth="1"/>
    <col min="3" max="3" width="3.85546875" style="105" customWidth="1"/>
    <col min="4" max="4" width="11.7109375" style="104" customWidth="1"/>
    <col min="5" max="5" width="15.5703125" style="106" customWidth="1"/>
    <col min="6" max="6" width="9.140625" style="105"/>
  </cols>
  <sheetData>
    <row r="1" spans="1:9" ht="33.75" x14ac:dyDescent="0.5">
      <c r="A1" s="113" t="s">
        <v>157</v>
      </c>
      <c r="B1" s="118" t="s">
        <v>199</v>
      </c>
      <c r="C1" s="114"/>
      <c r="D1" s="113"/>
      <c r="E1" s="115"/>
      <c r="G1" s="105"/>
      <c r="H1" s="105"/>
      <c r="I1" s="105"/>
    </row>
    <row r="2" spans="1:9" ht="33.75" x14ac:dyDescent="0.5">
      <c r="A2" s="113"/>
      <c r="B2" s="114"/>
      <c r="C2" s="114"/>
      <c r="D2" s="113"/>
      <c r="E2" s="115"/>
      <c r="G2" s="10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G3" s="105"/>
      <c r="H3" s="105"/>
      <c r="I3" s="105"/>
    </row>
    <row r="4" spans="1:9" ht="33.75" x14ac:dyDescent="0.5">
      <c r="A4" s="115"/>
      <c r="B4" s="118"/>
      <c r="C4" s="118"/>
      <c r="D4" s="116"/>
      <c r="E4" s="120"/>
      <c r="G4" s="105"/>
      <c r="H4" s="105"/>
      <c r="I4" s="105"/>
    </row>
    <row r="5" spans="1:9" ht="33.75" x14ac:dyDescent="0.5">
      <c r="A5" s="116">
        <v>36</v>
      </c>
      <c r="B5" s="117" t="s">
        <v>80</v>
      </c>
      <c r="C5" s="117"/>
      <c r="D5" s="116"/>
      <c r="E5" s="120"/>
      <c r="G5" s="105"/>
      <c r="H5" s="105"/>
      <c r="I5" s="105"/>
    </row>
    <row r="6" spans="1:9" ht="33.75" x14ac:dyDescent="0.5">
      <c r="A6" s="116"/>
      <c r="B6" s="117"/>
      <c r="C6" s="117"/>
      <c r="D6" s="116"/>
      <c r="E6" s="120"/>
      <c r="G6" s="105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G7" s="105"/>
      <c r="H7" s="105"/>
      <c r="I7" s="105"/>
    </row>
    <row r="8" spans="1:9" ht="33.75" x14ac:dyDescent="0.5">
      <c r="A8" s="116"/>
      <c r="B8" s="117"/>
      <c r="C8" s="117"/>
      <c r="D8" s="116"/>
      <c r="E8" s="120"/>
      <c r="G8" s="105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G9" s="105"/>
      <c r="H9" s="105"/>
      <c r="I9" s="105"/>
    </row>
    <row r="10" spans="1:9" ht="33.75" x14ac:dyDescent="0.5">
      <c r="A10" s="116"/>
      <c r="B10" s="117"/>
      <c r="C10" s="117"/>
      <c r="D10" s="116"/>
      <c r="E10" s="120"/>
      <c r="G10" s="105"/>
      <c r="H10" s="105"/>
      <c r="I10" s="105"/>
    </row>
    <row r="11" spans="1:9" ht="33.75" x14ac:dyDescent="0.5">
      <c r="A11" s="116"/>
      <c r="B11" s="117"/>
      <c r="C11" s="117"/>
      <c r="D11" s="116"/>
      <c r="E11" s="120"/>
      <c r="G11" s="105"/>
      <c r="H11" s="105"/>
      <c r="I11" s="105"/>
    </row>
    <row r="12" spans="1:9" ht="33.75" x14ac:dyDescent="0.5">
      <c r="A12" s="116"/>
      <c r="B12" s="117"/>
      <c r="C12" s="117"/>
      <c r="D12" s="116"/>
      <c r="E12" s="120"/>
      <c r="G12" s="105"/>
      <c r="H12" s="105"/>
      <c r="I12" s="105"/>
    </row>
    <row r="13" spans="1:9" ht="33.75" x14ac:dyDescent="0.5">
      <c r="A13" s="116"/>
      <c r="B13" s="117"/>
      <c r="C13" s="117"/>
      <c r="D13" s="116"/>
      <c r="E13" s="120"/>
      <c r="G13" s="105"/>
      <c r="H13" s="105"/>
      <c r="I13" s="105"/>
    </row>
    <row r="14" spans="1:9" ht="33.75" x14ac:dyDescent="0.5">
      <c r="A14" s="116"/>
      <c r="B14" s="117"/>
      <c r="C14" s="117"/>
      <c r="D14" s="116"/>
      <c r="E14" s="120"/>
      <c r="G14" s="105"/>
      <c r="H14" s="105"/>
      <c r="I14" s="105"/>
    </row>
    <row r="15" spans="1:9" ht="33.75" x14ac:dyDescent="0.5">
      <c r="A15" s="116"/>
      <c r="B15" s="117"/>
      <c r="C15" s="117"/>
      <c r="D15" s="116"/>
      <c r="E15" s="120"/>
      <c r="G15" s="105"/>
      <c r="H15" s="105"/>
      <c r="I15" s="105"/>
    </row>
    <row r="16" spans="1:9" ht="33.75" x14ac:dyDescent="0.5">
      <c r="A16" s="117"/>
      <c r="B16" s="117"/>
      <c r="C16" s="117"/>
      <c r="D16" s="116"/>
      <c r="E16" s="120"/>
      <c r="G16" s="105"/>
      <c r="H16" s="105"/>
      <c r="I16" s="105"/>
    </row>
    <row r="17" spans="1:9" ht="33.75" x14ac:dyDescent="0.5">
      <c r="A17" s="117"/>
      <c r="B17" s="117"/>
      <c r="C17" s="117"/>
      <c r="D17" s="116"/>
      <c r="E17" s="120"/>
      <c r="G17" s="105"/>
      <c r="H17" s="105"/>
      <c r="I17" s="105"/>
    </row>
    <row r="18" spans="1:9" ht="33.75" x14ac:dyDescent="0.5">
      <c r="A18" s="117"/>
      <c r="B18" s="117"/>
      <c r="C18" s="117"/>
      <c r="D18" s="116"/>
      <c r="E18" s="120"/>
      <c r="G18" s="105"/>
      <c r="H18" s="105"/>
      <c r="I18" s="105"/>
    </row>
    <row r="19" spans="1:9" ht="33.75" x14ac:dyDescent="0.5">
      <c r="A19" s="117"/>
      <c r="B19" s="117"/>
      <c r="C19" s="117"/>
      <c r="D19" s="116"/>
      <c r="E19" s="120"/>
      <c r="G19" s="105"/>
      <c r="H19" s="105"/>
      <c r="I19" s="105"/>
    </row>
    <row r="20" spans="1:9" ht="33.75" x14ac:dyDescent="0.5">
      <c r="A20" s="117"/>
      <c r="B20" s="117"/>
      <c r="C20" s="117"/>
      <c r="D20" s="116"/>
      <c r="E20" s="120"/>
      <c r="G20" s="105"/>
      <c r="H20" s="105"/>
      <c r="I20" s="105"/>
    </row>
    <row r="21" spans="1:9" ht="33.75" x14ac:dyDescent="0.5">
      <c r="A21" s="117"/>
      <c r="B21" s="117"/>
      <c r="C21" s="117"/>
      <c r="D21" s="116"/>
      <c r="E21" s="120"/>
      <c r="G21" s="105"/>
      <c r="H21" s="105"/>
      <c r="I21" s="105"/>
    </row>
    <row r="22" spans="1:9" ht="33.75" x14ac:dyDescent="0.5">
      <c r="A22" s="117"/>
      <c r="B22" s="117"/>
      <c r="C22" s="117"/>
      <c r="D22" s="116"/>
      <c r="E22" s="120"/>
      <c r="G22" s="105"/>
      <c r="H22" s="105"/>
      <c r="I22" s="105"/>
    </row>
    <row r="23" spans="1:9" ht="33.75" x14ac:dyDescent="0.5">
      <c r="A23" s="117"/>
      <c r="B23" s="117"/>
      <c r="C23" s="117"/>
      <c r="D23" s="116"/>
      <c r="E23" s="120"/>
      <c r="G23" s="105"/>
      <c r="H23" s="105"/>
      <c r="I23" s="105"/>
    </row>
    <row r="24" spans="1:9" ht="33.75" x14ac:dyDescent="0.5">
      <c r="A24" s="117"/>
      <c r="B24" s="117"/>
      <c r="C24" s="117"/>
      <c r="D24" s="116"/>
      <c r="E24" s="120"/>
      <c r="G24" s="105"/>
      <c r="H24" s="105"/>
      <c r="I24" s="105"/>
    </row>
    <row r="25" spans="1:9" ht="33.75" x14ac:dyDescent="0.5">
      <c r="A25" s="117"/>
      <c r="B25" s="117"/>
      <c r="C25" s="117"/>
      <c r="D25" s="116"/>
      <c r="E25" s="120"/>
      <c r="G25" s="105"/>
      <c r="H25" s="105"/>
      <c r="I25" s="105"/>
    </row>
    <row r="26" spans="1:9" ht="33.75" x14ac:dyDescent="0.5">
      <c r="A26" s="117"/>
      <c r="B26" s="117"/>
      <c r="C26" s="117"/>
      <c r="D26" s="116"/>
      <c r="E26" s="115"/>
      <c r="G26" s="105"/>
      <c r="H26" s="105"/>
      <c r="I26" s="105"/>
    </row>
    <row r="27" spans="1:9" ht="33.75" x14ac:dyDescent="0.5">
      <c r="A27" s="117"/>
      <c r="B27" s="117"/>
      <c r="C27" s="117"/>
      <c r="D27" s="116"/>
      <c r="E27" s="115"/>
      <c r="G27" s="105"/>
      <c r="H27" s="105"/>
      <c r="I27" s="105"/>
    </row>
    <row r="28" spans="1:9" ht="33.75" x14ac:dyDescent="0.5">
      <c r="A28" s="117"/>
      <c r="B28" s="117"/>
      <c r="C28" s="117"/>
      <c r="D28" s="116"/>
      <c r="E28" s="115"/>
      <c r="G28" s="105"/>
      <c r="H28" s="105"/>
      <c r="I28" s="105"/>
    </row>
    <row r="29" spans="1:9" ht="33.75" x14ac:dyDescent="0.5">
      <c r="A29" s="117"/>
      <c r="B29" s="117"/>
      <c r="C29" s="117"/>
      <c r="D29" s="116"/>
      <c r="E29" s="115"/>
      <c r="G29" s="105"/>
      <c r="H29" s="105"/>
      <c r="I29" s="105"/>
    </row>
    <row r="30" spans="1:9" ht="33.75" x14ac:dyDescent="0.5">
      <c r="A30" s="117"/>
      <c r="B30" s="117"/>
      <c r="C30" s="117"/>
      <c r="D30" s="116"/>
      <c r="E30" s="115"/>
      <c r="G30" s="105"/>
      <c r="H30" s="105"/>
      <c r="I30" s="105"/>
    </row>
    <row r="31" spans="1:9" ht="33.75" x14ac:dyDescent="0.5">
      <c r="A31" s="117"/>
      <c r="B31" s="117"/>
      <c r="C31" s="117"/>
      <c r="D31" s="116"/>
      <c r="E31" s="115"/>
      <c r="G31" s="105"/>
      <c r="H31" s="105"/>
      <c r="I31" s="105"/>
    </row>
    <row r="32" spans="1:9" ht="33.75" x14ac:dyDescent="0.5">
      <c r="A32" s="117"/>
      <c r="B32" s="117"/>
      <c r="C32" s="117"/>
      <c r="D32" s="116"/>
      <c r="E32" s="115"/>
      <c r="G32" s="105"/>
      <c r="H32" s="105"/>
      <c r="I32" s="105"/>
    </row>
    <row r="33" spans="1:9" ht="33.75" x14ac:dyDescent="0.5">
      <c r="A33" s="117"/>
      <c r="B33" s="117"/>
      <c r="C33" s="117"/>
      <c r="D33" s="116"/>
      <c r="E33" s="115"/>
      <c r="G33" s="10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52"/>
  <sheetViews>
    <sheetView workbookViewId="0"/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158</v>
      </c>
      <c r="B1" s="118" t="s">
        <v>199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36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I52"/>
  <sheetViews>
    <sheetView workbookViewId="0"/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190</v>
      </c>
      <c r="B1" s="118" t="s">
        <v>199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21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pageSetUpPr fitToPage="1"/>
  </sheetPr>
  <dimension ref="A1:BA53"/>
  <sheetViews>
    <sheetView zoomScale="75" zoomScaleNormal="75" workbookViewId="0">
      <selection activeCell="F1" sqref="F1:F6"/>
    </sheetView>
  </sheetViews>
  <sheetFormatPr defaultRowHeight="15" x14ac:dyDescent="0.25"/>
  <cols>
    <col min="1" max="1" width="4.28515625" style="86" bestFit="1" customWidth="1"/>
    <col min="2" max="52" width="10.140625" style="53" customWidth="1"/>
    <col min="53" max="16384" width="9.140625" style="53"/>
  </cols>
  <sheetData>
    <row r="1" spans="1:53" s="93" customFormat="1" x14ac:dyDescent="0.25">
      <c r="B1" s="93" t="s">
        <v>0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7" t="s">
        <v>8</v>
      </c>
      <c r="J1" s="97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7" t="s">
        <v>39</v>
      </c>
      <c r="AO1" s="97" t="s">
        <v>40</v>
      </c>
      <c r="AP1" s="97" t="s">
        <v>41</v>
      </c>
      <c r="AQ1" s="97" t="s">
        <v>42</v>
      </c>
      <c r="AR1" s="97" t="s">
        <v>43</v>
      </c>
      <c r="AS1" s="97" t="s">
        <v>44</v>
      </c>
      <c r="AT1" s="97" t="s">
        <v>45</v>
      </c>
      <c r="AU1" s="97" t="s">
        <v>46</v>
      </c>
      <c r="AV1" s="97" t="s">
        <v>47</v>
      </c>
      <c r="AW1" s="97" t="s">
        <v>48</v>
      </c>
      <c r="AX1" s="97" t="s">
        <v>49</v>
      </c>
      <c r="AY1" s="97" t="s">
        <v>50</v>
      </c>
      <c r="AZ1" s="97" t="s">
        <v>51</v>
      </c>
      <c r="BA1" s="95"/>
    </row>
    <row r="2" spans="1:53" s="93" customFormat="1" x14ac:dyDescent="0.25">
      <c r="B2" s="93" t="s">
        <v>1</v>
      </c>
      <c r="C2" s="93">
        <v>1</v>
      </c>
      <c r="D2" s="93">
        <v>2</v>
      </c>
      <c r="E2" s="93">
        <v>3</v>
      </c>
      <c r="F2" s="93">
        <v>4</v>
      </c>
      <c r="G2" s="93">
        <v>5</v>
      </c>
      <c r="H2" s="93">
        <v>6</v>
      </c>
      <c r="I2" s="93">
        <v>7</v>
      </c>
      <c r="J2" s="93">
        <v>8</v>
      </c>
      <c r="K2" s="93">
        <v>9</v>
      </c>
      <c r="L2" s="93">
        <v>10</v>
      </c>
      <c r="M2" s="93">
        <v>11</v>
      </c>
      <c r="N2" s="93">
        <v>12</v>
      </c>
      <c r="O2" s="93">
        <v>13</v>
      </c>
      <c r="P2" s="93">
        <v>14</v>
      </c>
      <c r="Q2" s="93">
        <v>15</v>
      </c>
      <c r="R2" s="93">
        <v>16</v>
      </c>
      <c r="S2" s="93">
        <v>17</v>
      </c>
      <c r="T2" s="93">
        <v>18</v>
      </c>
      <c r="U2" s="93">
        <v>19</v>
      </c>
      <c r="V2" s="93">
        <v>20</v>
      </c>
      <c r="W2" s="93">
        <v>21</v>
      </c>
      <c r="X2" s="93">
        <v>22</v>
      </c>
      <c r="Y2" s="93">
        <v>23</v>
      </c>
      <c r="Z2" s="93">
        <v>24</v>
      </c>
      <c r="AA2" s="93">
        <v>25</v>
      </c>
      <c r="AB2" s="93">
        <v>26</v>
      </c>
      <c r="AC2" s="93">
        <v>27</v>
      </c>
      <c r="AD2" s="93">
        <v>28</v>
      </c>
      <c r="AE2" s="93">
        <v>29</v>
      </c>
      <c r="AF2" s="93">
        <v>30</v>
      </c>
      <c r="AG2" s="93">
        <v>31</v>
      </c>
      <c r="AH2" s="93">
        <v>32</v>
      </c>
      <c r="AI2" s="93">
        <v>33</v>
      </c>
      <c r="AJ2" s="93">
        <v>34</v>
      </c>
      <c r="AK2" s="93">
        <v>35</v>
      </c>
      <c r="AL2" s="93">
        <v>36</v>
      </c>
      <c r="AM2" s="93">
        <v>37</v>
      </c>
      <c r="AN2" s="93">
        <v>38</v>
      </c>
      <c r="AO2" s="93">
        <v>39</v>
      </c>
      <c r="AP2" s="93">
        <v>40</v>
      </c>
      <c r="AQ2" s="93">
        <v>41</v>
      </c>
      <c r="AR2" s="93">
        <v>42</v>
      </c>
      <c r="AS2" s="93">
        <v>43</v>
      </c>
      <c r="AT2" s="93">
        <v>44</v>
      </c>
      <c r="AU2" s="93">
        <v>45</v>
      </c>
      <c r="AV2" s="93">
        <v>46</v>
      </c>
      <c r="AW2" s="93">
        <v>47</v>
      </c>
      <c r="AX2" s="93">
        <v>48</v>
      </c>
      <c r="AY2" s="93">
        <v>49</v>
      </c>
      <c r="AZ2" s="93">
        <v>50</v>
      </c>
      <c r="BA2" s="95"/>
    </row>
    <row r="3" spans="1:53" ht="20.25" customHeight="1" x14ac:dyDescent="0.25">
      <c r="A3" s="57">
        <v>1</v>
      </c>
      <c r="B3" s="60"/>
      <c r="C3" s="61">
        <v>1</v>
      </c>
      <c r="D3" s="61">
        <v>0.58299999999999996</v>
      </c>
      <c r="E3" s="61">
        <v>0.41699999999999998</v>
      </c>
      <c r="F3" s="61">
        <v>0.33300000000000002</v>
      </c>
      <c r="G3" s="61">
        <v>0.28299999999999997</v>
      </c>
      <c r="H3" s="61">
        <v>0.23599999999999999</v>
      </c>
      <c r="I3" s="61">
        <v>0.214</v>
      </c>
      <c r="J3" s="61">
        <v>0.19800000000000001</v>
      </c>
      <c r="K3" s="61">
        <v>0.185</v>
      </c>
      <c r="L3" s="61">
        <v>0.17499999999999999</v>
      </c>
      <c r="M3" s="61">
        <v>0.17399999999999999</v>
      </c>
      <c r="N3" s="61">
        <v>0.17399999999999999</v>
      </c>
      <c r="O3" s="61">
        <v>0.17299999999999999</v>
      </c>
      <c r="P3" s="61">
        <v>0.17299999999999999</v>
      </c>
      <c r="Q3" s="61">
        <v>0.17799999999999999</v>
      </c>
      <c r="R3" s="61">
        <v>0.17699999999999999</v>
      </c>
      <c r="S3" s="61">
        <v>0.17599999999999999</v>
      </c>
      <c r="T3" s="61">
        <v>0.17599999999999999</v>
      </c>
      <c r="U3" s="61">
        <v>0.17599999999999999</v>
      </c>
      <c r="V3" s="61">
        <v>0.17499999999999999</v>
      </c>
      <c r="W3" s="61">
        <v>0.17499999999999999</v>
      </c>
      <c r="X3" s="61">
        <v>0.17399999999999999</v>
      </c>
      <c r="Y3" s="61">
        <v>0.17399999999999999</v>
      </c>
      <c r="Z3" s="61">
        <v>0.17399999999999999</v>
      </c>
      <c r="AA3" s="61">
        <v>0.17499999999999999</v>
      </c>
      <c r="AB3" s="61">
        <v>0.17599999999999999</v>
      </c>
      <c r="AC3" s="61">
        <v>0.17599999999999999</v>
      </c>
      <c r="AD3" s="61">
        <v>0.17599999999999999</v>
      </c>
      <c r="AE3" s="61">
        <v>0.17599999999999999</v>
      </c>
      <c r="AF3" s="61">
        <v>0.17499999999999999</v>
      </c>
      <c r="AG3" s="61">
        <v>0.17499999999999999</v>
      </c>
      <c r="AH3" s="61">
        <v>0.17499999999999999</v>
      </c>
      <c r="AI3" s="61">
        <v>0.17499999999999999</v>
      </c>
      <c r="AJ3" s="61">
        <v>0.17599999999999999</v>
      </c>
      <c r="AK3" s="61">
        <v>0.17599999999999999</v>
      </c>
      <c r="AL3" s="61">
        <v>0.17599999999999999</v>
      </c>
      <c r="AM3" s="61">
        <v>0.17599999999999999</v>
      </c>
      <c r="AN3" s="61">
        <v>0.17499999999999999</v>
      </c>
      <c r="AO3" s="61">
        <v>0.17499999999999999</v>
      </c>
      <c r="AP3" s="61">
        <v>0.17599999999999999</v>
      </c>
      <c r="AQ3" s="61">
        <v>0.17499999999999999</v>
      </c>
      <c r="AR3" s="61">
        <v>0.17499999999999999</v>
      </c>
      <c r="AS3" s="61">
        <v>0.17399999999999999</v>
      </c>
      <c r="AT3" s="61">
        <v>0.17399999999999999</v>
      </c>
      <c r="AU3" s="61">
        <v>0.17499999999999999</v>
      </c>
      <c r="AV3" s="61">
        <v>0.17699999999999999</v>
      </c>
      <c r="AW3" s="61">
        <v>0.17599999999999999</v>
      </c>
      <c r="AX3" s="61">
        <v>0.17499999999999999</v>
      </c>
      <c r="AY3" s="61">
        <v>0.17499999999999999</v>
      </c>
      <c r="AZ3" s="61">
        <v>0.17499999999999999</v>
      </c>
    </row>
    <row r="4" spans="1:53" ht="20.25" customHeight="1" x14ac:dyDescent="0.25">
      <c r="A4" s="57">
        <v>2</v>
      </c>
      <c r="C4" s="62"/>
      <c r="D4" s="61">
        <v>0.41699999999999998</v>
      </c>
      <c r="E4" s="61">
        <v>0.33300000000000002</v>
      </c>
      <c r="F4" s="61">
        <v>0.25</v>
      </c>
      <c r="G4" s="61">
        <v>0.217</v>
      </c>
      <c r="H4" s="61">
        <v>0.18</v>
      </c>
      <c r="I4" s="61">
        <v>0.16700000000000001</v>
      </c>
      <c r="J4" s="61">
        <v>0.156</v>
      </c>
      <c r="K4" s="61">
        <v>0.13900000000000001</v>
      </c>
      <c r="L4" s="61">
        <v>0.13300000000000001</v>
      </c>
      <c r="M4" s="61">
        <v>0.129</v>
      </c>
      <c r="N4" s="61">
        <v>0.125</v>
      </c>
      <c r="O4" s="61">
        <v>0.122</v>
      </c>
      <c r="P4" s="61">
        <v>0.125</v>
      </c>
      <c r="Q4" s="61">
        <v>0.128</v>
      </c>
      <c r="R4" s="61">
        <v>0.125</v>
      </c>
      <c r="S4" s="61">
        <v>0.127</v>
      </c>
      <c r="T4" s="61">
        <v>0.125</v>
      </c>
      <c r="U4" s="61">
        <v>0.127</v>
      </c>
      <c r="V4" s="61">
        <v>0.125</v>
      </c>
      <c r="W4" s="61">
        <v>0.127</v>
      </c>
      <c r="X4" s="61">
        <v>0.125</v>
      </c>
      <c r="Y4" s="61">
        <v>0.127</v>
      </c>
      <c r="Z4" s="61">
        <v>0.125</v>
      </c>
      <c r="AA4" s="61">
        <v>0.127</v>
      </c>
      <c r="AB4" s="61">
        <v>0.125</v>
      </c>
      <c r="AC4" s="61">
        <v>0.127</v>
      </c>
      <c r="AD4" s="61">
        <v>0.125</v>
      </c>
      <c r="AE4" s="61">
        <v>0.126</v>
      </c>
      <c r="AF4" s="61">
        <v>0.126</v>
      </c>
      <c r="AG4" s="61">
        <v>0.126</v>
      </c>
      <c r="AH4" s="61">
        <v>0.125</v>
      </c>
      <c r="AI4" s="61">
        <v>0.126</v>
      </c>
      <c r="AJ4" s="61">
        <v>0.126</v>
      </c>
      <c r="AK4" s="61">
        <v>0.126</v>
      </c>
      <c r="AL4" s="61">
        <v>0.125</v>
      </c>
      <c r="AM4" s="61">
        <v>0.126</v>
      </c>
      <c r="AN4" s="61">
        <v>0.125</v>
      </c>
      <c r="AO4" s="61">
        <v>0.126</v>
      </c>
      <c r="AP4" s="61">
        <v>0.126</v>
      </c>
      <c r="AQ4" s="61">
        <v>0.126</v>
      </c>
      <c r="AR4" s="61">
        <v>0.126</v>
      </c>
      <c r="AS4" s="61">
        <v>0.125</v>
      </c>
      <c r="AT4" s="61">
        <v>0.125</v>
      </c>
      <c r="AU4" s="61">
        <v>0.125</v>
      </c>
      <c r="AV4" s="61">
        <v>0.126</v>
      </c>
      <c r="AW4" s="61">
        <v>0.126</v>
      </c>
      <c r="AX4" s="61">
        <v>0.125</v>
      </c>
      <c r="AY4" s="61">
        <v>0.126</v>
      </c>
      <c r="AZ4" s="61">
        <v>0.125</v>
      </c>
    </row>
    <row r="5" spans="1:53" ht="20.25" customHeight="1" x14ac:dyDescent="0.25">
      <c r="A5" s="57">
        <v>3</v>
      </c>
      <c r="C5" s="62"/>
      <c r="D5" s="62"/>
      <c r="E5" s="61">
        <v>0.25</v>
      </c>
      <c r="F5" s="61">
        <v>0.22900000000000001</v>
      </c>
      <c r="G5" s="61">
        <v>0.183</v>
      </c>
      <c r="H5" s="61">
        <v>0.16700000000000001</v>
      </c>
      <c r="I5" s="61">
        <v>0.155</v>
      </c>
      <c r="J5" s="61">
        <v>0.13500000000000001</v>
      </c>
      <c r="K5" s="61">
        <v>0.13</v>
      </c>
      <c r="L5" s="61">
        <v>0.11700000000000001</v>
      </c>
      <c r="M5" s="61">
        <v>0.114</v>
      </c>
      <c r="N5" s="61">
        <v>0.111</v>
      </c>
      <c r="O5" s="61">
        <v>0.109</v>
      </c>
      <c r="P5" s="61">
        <v>0.107</v>
      </c>
      <c r="Q5" s="61">
        <v>0.106</v>
      </c>
      <c r="R5" s="61">
        <v>0.104</v>
      </c>
      <c r="S5" s="61">
        <v>0.10299999999999999</v>
      </c>
      <c r="T5" s="61">
        <v>0.10199999999999999</v>
      </c>
      <c r="U5" s="61">
        <v>0.10100000000000001</v>
      </c>
      <c r="V5" s="61">
        <v>0.1</v>
      </c>
      <c r="W5" s="61">
        <v>9.9000000000000005E-2</v>
      </c>
      <c r="X5" s="61">
        <v>9.8000000000000004E-2</v>
      </c>
      <c r="Y5" s="61">
        <v>9.8000000000000004E-2</v>
      </c>
      <c r="Z5" s="61">
        <v>9.7000000000000003E-2</v>
      </c>
      <c r="AA5" s="61">
        <v>9.8000000000000004E-2</v>
      </c>
      <c r="AB5" s="61">
        <v>9.9000000000000005E-2</v>
      </c>
      <c r="AC5" s="61">
        <v>0.10199999999999999</v>
      </c>
      <c r="AD5" s="61">
        <v>0.10100000000000001</v>
      </c>
      <c r="AE5" s="61">
        <v>0.10100000000000001</v>
      </c>
      <c r="AF5" s="61">
        <v>0.1</v>
      </c>
      <c r="AG5" s="61">
        <v>9.9000000000000005E-2</v>
      </c>
      <c r="AH5" s="61">
        <v>9.9000000000000005E-2</v>
      </c>
      <c r="AI5" s="61">
        <v>9.8000000000000004E-2</v>
      </c>
      <c r="AJ5" s="61">
        <v>9.8000000000000004E-2</v>
      </c>
      <c r="AK5" s="61">
        <v>9.8000000000000004E-2</v>
      </c>
      <c r="AL5" s="61">
        <v>9.7000000000000003E-2</v>
      </c>
      <c r="AM5" s="61">
        <v>9.9000000000000005E-2</v>
      </c>
      <c r="AN5" s="61">
        <v>9.9000000000000005E-2</v>
      </c>
      <c r="AO5" s="61">
        <v>9.9000000000000005E-2</v>
      </c>
      <c r="AP5" s="61">
        <v>9.9000000000000005E-2</v>
      </c>
      <c r="AQ5" s="61">
        <v>9.8000000000000004E-2</v>
      </c>
      <c r="AR5" s="61">
        <v>9.7000000000000003E-2</v>
      </c>
      <c r="AS5" s="61">
        <v>9.7000000000000003E-2</v>
      </c>
      <c r="AT5" s="61">
        <v>9.7000000000000003E-2</v>
      </c>
      <c r="AU5" s="61">
        <v>9.6000000000000002E-2</v>
      </c>
      <c r="AV5" s="61">
        <v>9.8000000000000004E-2</v>
      </c>
      <c r="AW5" s="61">
        <v>9.8000000000000004E-2</v>
      </c>
      <c r="AX5" s="61">
        <v>9.7000000000000003E-2</v>
      </c>
      <c r="AY5" s="61">
        <v>9.7000000000000003E-2</v>
      </c>
      <c r="AZ5" s="61">
        <v>9.7000000000000003E-2</v>
      </c>
    </row>
    <row r="6" spans="1:53" ht="20.25" customHeight="1" x14ac:dyDescent="0.25">
      <c r="A6" s="57">
        <v>4</v>
      </c>
      <c r="C6" s="62"/>
      <c r="D6" s="62"/>
      <c r="E6" s="62"/>
      <c r="F6" s="61">
        <v>0.188</v>
      </c>
      <c r="G6" s="61">
        <v>0.16700000000000001</v>
      </c>
      <c r="H6" s="61">
        <v>0.153</v>
      </c>
      <c r="I6" s="61">
        <v>0.14299999999999999</v>
      </c>
      <c r="J6" s="61">
        <v>0.125</v>
      </c>
      <c r="K6" s="61">
        <v>0.12</v>
      </c>
      <c r="L6" s="61">
        <v>0.108</v>
      </c>
      <c r="M6" s="61">
        <v>0.106</v>
      </c>
      <c r="N6" s="61">
        <v>0.104</v>
      </c>
      <c r="O6" s="61">
        <v>0.10299999999999999</v>
      </c>
      <c r="P6" s="61">
        <v>9.5000000000000001E-2</v>
      </c>
      <c r="Q6" s="61">
        <v>9.4E-2</v>
      </c>
      <c r="R6" s="61">
        <v>9.4E-2</v>
      </c>
      <c r="S6" s="61">
        <v>9.2999999999999999E-2</v>
      </c>
      <c r="T6" s="61">
        <v>9.0999999999999998E-2</v>
      </c>
      <c r="U6" s="61">
        <v>8.8999999999999996E-2</v>
      </c>
      <c r="V6" s="61">
        <v>8.7999999999999995E-2</v>
      </c>
      <c r="W6" s="61">
        <v>8.3000000000000004E-2</v>
      </c>
      <c r="X6" s="61">
        <v>8.3000000000000004E-2</v>
      </c>
      <c r="Y6" s="61">
        <v>0.08</v>
      </c>
      <c r="Z6" s="61">
        <v>0.08</v>
      </c>
      <c r="AA6" s="61">
        <v>7.8E-2</v>
      </c>
      <c r="AB6" s="61">
        <v>7.6999999999999999E-2</v>
      </c>
      <c r="AC6" s="61">
        <v>7.3999999999999996E-2</v>
      </c>
      <c r="AD6" s="61">
        <v>7.3999999999999996E-2</v>
      </c>
      <c r="AE6" s="61">
        <v>7.3999999999999996E-2</v>
      </c>
      <c r="AF6" s="61">
        <v>7.1999999999999995E-2</v>
      </c>
      <c r="AG6" s="61">
        <v>7.2999999999999995E-2</v>
      </c>
      <c r="AH6" s="61">
        <v>7.2999999999999995E-2</v>
      </c>
      <c r="AI6" s="61">
        <v>7.2999999999999995E-2</v>
      </c>
      <c r="AJ6" s="61">
        <v>7.3999999999999996E-2</v>
      </c>
      <c r="AK6" s="61">
        <v>7.3999999999999996E-2</v>
      </c>
      <c r="AL6" s="61">
        <v>7.3999999999999996E-2</v>
      </c>
      <c r="AM6" s="61">
        <v>7.1999999999999995E-2</v>
      </c>
      <c r="AN6" s="61">
        <v>7.1999999999999995E-2</v>
      </c>
      <c r="AO6" s="61">
        <v>7.2999999999999995E-2</v>
      </c>
      <c r="AP6" s="61">
        <v>7.2999999999999995E-2</v>
      </c>
      <c r="AQ6" s="61">
        <v>7.1999999999999995E-2</v>
      </c>
      <c r="AR6" s="61">
        <v>7.0999999999999994E-2</v>
      </c>
      <c r="AS6" s="61">
        <v>7.0999999999999994E-2</v>
      </c>
      <c r="AT6" s="61">
        <v>7.1999999999999995E-2</v>
      </c>
      <c r="AU6" s="61">
        <v>7.0999999999999994E-2</v>
      </c>
      <c r="AV6" s="61">
        <v>7.0999999999999994E-2</v>
      </c>
      <c r="AW6" s="61">
        <v>7.0000000000000007E-2</v>
      </c>
      <c r="AX6" s="61">
        <v>6.9000000000000006E-2</v>
      </c>
      <c r="AY6" s="61">
        <v>7.0000000000000007E-2</v>
      </c>
      <c r="AZ6" s="61">
        <v>7.0000000000000007E-2</v>
      </c>
    </row>
    <row r="7" spans="1:53" ht="20.25" customHeight="1" x14ac:dyDescent="0.25">
      <c r="A7" s="57">
        <v>5</v>
      </c>
      <c r="B7" s="100" t="s">
        <v>155</v>
      </c>
      <c r="C7" s="62"/>
      <c r="D7" s="62"/>
      <c r="E7" s="62"/>
      <c r="F7" s="62"/>
      <c r="G7" s="61">
        <v>0.15</v>
      </c>
      <c r="H7" s="61">
        <v>0.13900000000000001</v>
      </c>
      <c r="I7" s="61">
        <v>0.13100000000000001</v>
      </c>
      <c r="J7" s="61">
        <v>0.115</v>
      </c>
      <c r="K7" s="61">
        <v>0.111</v>
      </c>
      <c r="L7" s="61">
        <v>0.1</v>
      </c>
      <c r="M7" s="61">
        <v>9.8000000000000004E-2</v>
      </c>
      <c r="N7" s="61">
        <v>9.7000000000000003E-2</v>
      </c>
      <c r="O7" s="61">
        <v>9.6000000000000002E-2</v>
      </c>
      <c r="P7" s="61">
        <v>8.8999999999999996E-2</v>
      </c>
      <c r="Q7" s="61">
        <v>8.3000000000000004E-2</v>
      </c>
      <c r="R7" s="61">
        <v>7.8E-2</v>
      </c>
      <c r="S7" s="61">
        <v>7.3999999999999996E-2</v>
      </c>
      <c r="T7" s="61">
        <v>7.3999999999999996E-2</v>
      </c>
      <c r="U7" s="61">
        <v>7.0000000000000007E-2</v>
      </c>
      <c r="V7" s="61">
        <v>7.0000000000000007E-2</v>
      </c>
      <c r="W7" s="61">
        <v>6.7000000000000004E-2</v>
      </c>
      <c r="X7" s="61">
        <v>6.4000000000000001E-2</v>
      </c>
      <c r="Y7" s="61">
        <v>6.2E-2</v>
      </c>
      <c r="Z7" s="61">
        <v>6.2E-2</v>
      </c>
      <c r="AA7" s="61">
        <v>0.06</v>
      </c>
      <c r="AB7" s="61">
        <v>6.0999999999999999E-2</v>
      </c>
      <c r="AC7" s="61">
        <v>5.8999999999999997E-2</v>
      </c>
      <c r="AD7" s="61">
        <v>5.7000000000000002E-2</v>
      </c>
      <c r="AE7" s="61">
        <v>5.5E-2</v>
      </c>
      <c r="AF7" s="61">
        <v>5.5E-2</v>
      </c>
      <c r="AG7" s="61">
        <v>5.3999999999999999E-2</v>
      </c>
      <c r="AH7" s="61">
        <v>5.1999999999999998E-2</v>
      </c>
      <c r="AI7" s="61">
        <v>5.1999999999999998E-2</v>
      </c>
      <c r="AJ7" s="61">
        <v>5.0999999999999997E-2</v>
      </c>
      <c r="AK7" s="61">
        <v>5.1999999999999998E-2</v>
      </c>
      <c r="AL7" s="61">
        <v>5.2999999999999999E-2</v>
      </c>
      <c r="AM7" s="61">
        <v>5.3999999999999999E-2</v>
      </c>
      <c r="AN7" s="61">
        <v>5.5E-2</v>
      </c>
      <c r="AO7" s="61">
        <v>5.6000000000000001E-2</v>
      </c>
      <c r="AP7" s="61">
        <v>5.7000000000000002E-2</v>
      </c>
      <c r="AQ7" s="61">
        <v>5.7000000000000002E-2</v>
      </c>
      <c r="AR7" s="61">
        <v>5.6000000000000001E-2</v>
      </c>
      <c r="AS7" s="61">
        <v>5.6000000000000001E-2</v>
      </c>
      <c r="AT7" s="61">
        <v>5.7000000000000002E-2</v>
      </c>
      <c r="AU7" s="61">
        <v>5.6000000000000001E-2</v>
      </c>
      <c r="AV7" s="61">
        <v>5.7000000000000002E-2</v>
      </c>
      <c r="AW7" s="61">
        <v>5.7000000000000002E-2</v>
      </c>
      <c r="AX7" s="61">
        <v>5.6000000000000001E-2</v>
      </c>
      <c r="AY7" s="61">
        <v>5.3999999999999999E-2</v>
      </c>
      <c r="AZ7" s="61">
        <v>5.2999999999999999E-2</v>
      </c>
    </row>
    <row r="8" spans="1:53" ht="20.25" customHeight="1" x14ac:dyDescent="0.25">
      <c r="A8" s="57">
        <v>6</v>
      </c>
      <c r="C8" s="62"/>
      <c r="D8" s="62"/>
      <c r="E8" s="62"/>
      <c r="F8" s="62"/>
      <c r="G8" s="62"/>
      <c r="H8" s="61">
        <v>0.125</v>
      </c>
      <c r="I8" s="61">
        <v>0.107</v>
      </c>
      <c r="J8" s="61">
        <v>0.104</v>
      </c>
      <c r="K8" s="61">
        <v>9.2999999999999999E-2</v>
      </c>
      <c r="L8" s="61">
        <v>9.1999999999999998E-2</v>
      </c>
      <c r="M8" s="61">
        <v>9.0999999999999998E-2</v>
      </c>
      <c r="N8" s="61">
        <v>0.09</v>
      </c>
      <c r="O8" s="61">
        <v>8.3000000000000004E-2</v>
      </c>
      <c r="P8" s="61">
        <v>7.6999999999999999E-2</v>
      </c>
      <c r="Q8" s="61">
        <v>7.1999999999999995E-2</v>
      </c>
      <c r="R8" s="61">
        <v>6.8000000000000005E-2</v>
      </c>
      <c r="S8" s="61">
        <v>6.4000000000000001E-2</v>
      </c>
      <c r="T8" s="61">
        <v>0.06</v>
      </c>
      <c r="U8" s="61">
        <v>5.7000000000000002E-2</v>
      </c>
      <c r="V8" s="61">
        <v>5.8000000000000003E-2</v>
      </c>
      <c r="W8" s="61">
        <v>0.06</v>
      </c>
      <c r="X8" s="61">
        <v>5.7000000000000002E-2</v>
      </c>
      <c r="Y8" s="61">
        <v>5.3999999999999999E-2</v>
      </c>
      <c r="Z8" s="61">
        <v>5.6000000000000001E-2</v>
      </c>
      <c r="AA8" s="61">
        <v>5.2999999999999999E-2</v>
      </c>
      <c r="AB8" s="61">
        <v>5.3999999999999999E-2</v>
      </c>
      <c r="AC8" s="61">
        <v>5.1999999999999998E-2</v>
      </c>
      <c r="AD8" s="61">
        <v>5.0999999999999997E-2</v>
      </c>
      <c r="AE8" s="61">
        <v>4.9000000000000002E-2</v>
      </c>
      <c r="AF8" s="61">
        <v>4.7E-2</v>
      </c>
      <c r="AG8" s="61">
        <v>4.8000000000000001E-2</v>
      </c>
      <c r="AH8" s="61">
        <v>4.7E-2</v>
      </c>
      <c r="AI8" s="61">
        <v>4.4999999999999998E-2</v>
      </c>
      <c r="AJ8" s="61">
        <v>4.3999999999999997E-2</v>
      </c>
      <c r="AK8" s="61">
        <v>4.2000000000000003E-2</v>
      </c>
      <c r="AL8" s="61">
        <v>4.2000000000000003E-2</v>
      </c>
      <c r="AM8" s="61">
        <v>4.1000000000000002E-2</v>
      </c>
      <c r="AN8" s="61">
        <v>4.2000000000000003E-2</v>
      </c>
      <c r="AO8" s="61">
        <v>4.3999999999999997E-2</v>
      </c>
      <c r="AP8" s="61">
        <v>4.3999999999999997E-2</v>
      </c>
      <c r="AQ8" s="61">
        <v>4.2999999999999997E-2</v>
      </c>
      <c r="AR8" s="61">
        <v>4.3999999999999997E-2</v>
      </c>
      <c r="AS8" s="61">
        <v>4.2000000000000003E-2</v>
      </c>
      <c r="AT8" s="61">
        <v>4.2000000000000003E-2</v>
      </c>
      <c r="AU8" s="61">
        <v>4.1000000000000002E-2</v>
      </c>
      <c r="AV8" s="61">
        <v>4.2000000000000003E-2</v>
      </c>
      <c r="AW8" s="61">
        <v>4.1000000000000002E-2</v>
      </c>
      <c r="AX8" s="61">
        <v>4.2000000000000003E-2</v>
      </c>
      <c r="AY8" s="61">
        <v>4.2999999999999997E-2</v>
      </c>
      <c r="AZ8" s="61">
        <v>4.2999999999999997E-2</v>
      </c>
    </row>
    <row r="9" spans="1:53" ht="20.25" customHeight="1" x14ac:dyDescent="0.25">
      <c r="A9" s="57">
        <v>7</v>
      </c>
      <c r="C9" s="62"/>
      <c r="D9" s="62"/>
      <c r="E9" s="62"/>
      <c r="F9" s="62"/>
      <c r="G9" s="62"/>
      <c r="H9" s="62"/>
      <c r="I9" s="61">
        <v>8.3000000000000004E-2</v>
      </c>
      <c r="J9" s="61">
        <v>9.4E-2</v>
      </c>
      <c r="K9" s="61">
        <v>8.3000000000000004E-2</v>
      </c>
      <c r="L9" s="61">
        <v>8.3000000000000004E-2</v>
      </c>
      <c r="M9" s="61">
        <v>8.3000000000000004E-2</v>
      </c>
      <c r="N9" s="61">
        <v>7.5999999999999998E-2</v>
      </c>
      <c r="O9" s="61">
        <v>7.0999999999999994E-2</v>
      </c>
      <c r="P9" s="61">
        <v>6.5000000000000002E-2</v>
      </c>
      <c r="Q9" s="61">
        <v>6.0999999999999999E-2</v>
      </c>
      <c r="R9" s="61">
        <v>5.7000000000000002E-2</v>
      </c>
      <c r="S9" s="61">
        <v>5.3999999999999999E-2</v>
      </c>
      <c r="T9" s="61">
        <v>5.6000000000000001E-2</v>
      </c>
      <c r="U9" s="61">
        <v>5.2999999999999999E-2</v>
      </c>
      <c r="V9" s="61">
        <v>5.3999999999999999E-2</v>
      </c>
      <c r="W9" s="61">
        <v>5.1999999999999998E-2</v>
      </c>
      <c r="X9" s="61">
        <v>4.9000000000000002E-2</v>
      </c>
      <c r="Y9" s="61">
        <v>4.7E-2</v>
      </c>
      <c r="Z9" s="61">
        <v>4.4999999999999998E-2</v>
      </c>
      <c r="AA9" s="61">
        <v>4.2999999999999997E-2</v>
      </c>
      <c r="AB9" s="61">
        <v>4.2000000000000003E-2</v>
      </c>
      <c r="AC9" s="61">
        <v>4.2999999999999997E-2</v>
      </c>
      <c r="AD9" s="61">
        <v>4.4999999999999998E-2</v>
      </c>
      <c r="AE9" s="61">
        <v>4.2999999999999997E-2</v>
      </c>
      <c r="AF9" s="61">
        <v>4.3999999999999997E-2</v>
      </c>
      <c r="AG9" s="61">
        <v>4.2999999999999997E-2</v>
      </c>
      <c r="AH9" s="61">
        <v>4.2000000000000003E-2</v>
      </c>
      <c r="AI9" s="61">
        <v>0.04</v>
      </c>
      <c r="AJ9" s="61">
        <v>3.9E-2</v>
      </c>
      <c r="AK9" s="61">
        <v>3.6999999999999998E-2</v>
      </c>
      <c r="AL9" s="61">
        <v>3.6999999999999998E-2</v>
      </c>
      <c r="AM9" s="61">
        <v>3.5999999999999997E-2</v>
      </c>
      <c r="AN9" s="61">
        <v>3.4000000000000002E-2</v>
      </c>
      <c r="AO9" s="61">
        <v>3.4000000000000002E-2</v>
      </c>
      <c r="AP9" s="61">
        <v>3.4000000000000002E-2</v>
      </c>
      <c r="AQ9" s="61">
        <v>3.3000000000000002E-2</v>
      </c>
      <c r="AR9" s="61">
        <v>3.4000000000000002E-2</v>
      </c>
      <c r="AS9" s="61">
        <v>3.4000000000000002E-2</v>
      </c>
      <c r="AT9" s="61">
        <v>3.4000000000000002E-2</v>
      </c>
      <c r="AU9" s="61">
        <v>3.3000000000000002E-2</v>
      </c>
      <c r="AV9" s="61">
        <v>3.3000000000000002E-2</v>
      </c>
      <c r="AW9" s="61">
        <v>3.1E-2</v>
      </c>
      <c r="AX9" s="61">
        <v>3.1E-2</v>
      </c>
      <c r="AY9" s="61">
        <v>3.1E-2</v>
      </c>
      <c r="AZ9" s="61">
        <v>0.03</v>
      </c>
    </row>
    <row r="10" spans="1:53" ht="20.25" customHeight="1" x14ac:dyDescent="0.25">
      <c r="A10" s="57">
        <v>8</v>
      </c>
      <c r="C10" s="62"/>
      <c r="D10" s="62"/>
      <c r="E10" s="62"/>
      <c r="F10" s="62"/>
      <c r="G10" s="62"/>
      <c r="H10" s="62"/>
      <c r="I10" s="62"/>
      <c r="J10" s="61">
        <v>7.2999999999999995E-2</v>
      </c>
      <c r="K10" s="61">
        <v>7.3999999999999996E-2</v>
      </c>
      <c r="L10" s="61">
        <v>7.4999999999999997E-2</v>
      </c>
      <c r="M10" s="61">
        <v>6.8000000000000005E-2</v>
      </c>
      <c r="N10" s="61">
        <v>6.3E-2</v>
      </c>
      <c r="O10" s="61">
        <v>5.8000000000000003E-2</v>
      </c>
      <c r="P10" s="61">
        <v>5.2999999999999999E-2</v>
      </c>
      <c r="Q10" s="61">
        <v>0.05</v>
      </c>
      <c r="R10" s="61">
        <v>5.1999999999999998E-2</v>
      </c>
      <c r="S10" s="61">
        <v>4.9000000000000002E-2</v>
      </c>
      <c r="T10" s="61">
        <v>5.0999999999999997E-2</v>
      </c>
      <c r="U10" s="61">
        <v>4.8000000000000001E-2</v>
      </c>
      <c r="V10" s="61">
        <v>4.5999999999999999E-2</v>
      </c>
      <c r="W10" s="61">
        <v>4.3999999999999997E-2</v>
      </c>
      <c r="X10" s="61">
        <v>4.2000000000000003E-2</v>
      </c>
      <c r="Y10" s="61">
        <v>0.04</v>
      </c>
      <c r="Z10" s="61">
        <v>3.7999999999999999E-2</v>
      </c>
      <c r="AA10" s="61">
        <v>3.6999999999999998E-2</v>
      </c>
      <c r="AB10" s="61">
        <v>3.5000000000000003E-2</v>
      </c>
      <c r="AC10" s="61">
        <v>3.4000000000000002E-2</v>
      </c>
      <c r="AD10" s="61">
        <v>3.2000000000000001E-2</v>
      </c>
      <c r="AE10" s="61">
        <v>3.3000000000000002E-2</v>
      </c>
      <c r="AF10" s="61">
        <v>3.3000000000000002E-2</v>
      </c>
      <c r="AG10" s="61">
        <v>3.2000000000000001E-2</v>
      </c>
      <c r="AH10" s="61">
        <v>3.2000000000000001E-2</v>
      </c>
      <c r="AI10" s="61">
        <v>0.03</v>
      </c>
      <c r="AJ10" s="61">
        <v>2.9000000000000001E-2</v>
      </c>
      <c r="AK10" s="61">
        <v>2.8000000000000001E-2</v>
      </c>
      <c r="AL10" s="61">
        <v>2.8000000000000001E-2</v>
      </c>
      <c r="AM10" s="61">
        <v>2.7E-2</v>
      </c>
      <c r="AN10" s="61">
        <v>2.5999999999999999E-2</v>
      </c>
      <c r="AO10" s="61">
        <v>2.5999999999999999E-2</v>
      </c>
      <c r="AP10" s="61">
        <v>2.5999999999999999E-2</v>
      </c>
      <c r="AQ10" s="61">
        <v>2.5000000000000001E-2</v>
      </c>
      <c r="AR10" s="61">
        <v>2.5999999999999999E-2</v>
      </c>
      <c r="AS10" s="61">
        <v>2.5999999999999999E-2</v>
      </c>
      <c r="AT10" s="61">
        <v>2.7E-2</v>
      </c>
      <c r="AU10" s="61">
        <v>2.5999999999999999E-2</v>
      </c>
      <c r="AV10" s="61">
        <v>2.7E-2</v>
      </c>
      <c r="AW10" s="61">
        <v>2.7E-2</v>
      </c>
      <c r="AX10" s="61">
        <v>2.7E-2</v>
      </c>
      <c r="AY10" s="61">
        <v>2.7E-2</v>
      </c>
      <c r="AZ10" s="61">
        <v>2.7E-2</v>
      </c>
    </row>
    <row r="11" spans="1:53" ht="20.25" customHeight="1" x14ac:dyDescent="0.25">
      <c r="A11" s="57">
        <v>9</v>
      </c>
      <c r="C11" s="62"/>
      <c r="D11" s="62"/>
      <c r="E11" s="62"/>
      <c r="F11" s="62"/>
      <c r="G11" s="62"/>
      <c r="H11" s="62"/>
      <c r="I11" s="62"/>
      <c r="J11" s="62"/>
      <c r="K11" s="61">
        <v>6.5000000000000002E-2</v>
      </c>
      <c r="L11" s="61">
        <v>6.7000000000000004E-2</v>
      </c>
      <c r="M11" s="61">
        <v>5.2999999999999999E-2</v>
      </c>
      <c r="N11" s="61">
        <v>4.8000000000000001E-2</v>
      </c>
      <c r="O11" s="61">
        <v>4.4999999999999998E-2</v>
      </c>
      <c r="P11" s="61">
        <v>4.2000000000000003E-2</v>
      </c>
      <c r="Q11" s="61">
        <v>3.9E-2</v>
      </c>
      <c r="R11" s="61">
        <v>4.2000000000000003E-2</v>
      </c>
      <c r="S11" s="61">
        <v>4.3999999999999997E-2</v>
      </c>
      <c r="T11" s="61">
        <v>4.2000000000000003E-2</v>
      </c>
      <c r="U11" s="61">
        <v>3.9E-2</v>
      </c>
      <c r="V11" s="61">
        <v>3.6999999999999998E-2</v>
      </c>
      <c r="W11" s="61">
        <v>3.5999999999999997E-2</v>
      </c>
      <c r="X11" s="61">
        <v>3.7999999999999999E-2</v>
      </c>
      <c r="Y11" s="61">
        <v>3.5999999999999997E-2</v>
      </c>
      <c r="Z11" s="61">
        <v>3.5000000000000003E-2</v>
      </c>
      <c r="AA11" s="61">
        <v>3.3000000000000002E-2</v>
      </c>
      <c r="AB11" s="61">
        <v>3.2000000000000001E-2</v>
      </c>
      <c r="AC11" s="61">
        <v>3.1E-2</v>
      </c>
      <c r="AD11" s="61">
        <v>0.03</v>
      </c>
      <c r="AE11" s="61">
        <v>2.9000000000000001E-2</v>
      </c>
      <c r="AF11" s="61">
        <v>2.8000000000000001E-2</v>
      </c>
      <c r="AG11" s="61">
        <v>2.7E-2</v>
      </c>
      <c r="AH11" s="61">
        <v>2.5999999999999999E-2</v>
      </c>
      <c r="AI11" s="61">
        <v>2.5000000000000001E-2</v>
      </c>
      <c r="AJ11" s="61">
        <v>2.5999999999999999E-2</v>
      </c>
      <c r="AK11" s="61">
        <v>2.5999999999999999E-2</v>
      </c>
      <c r="AL11" s="61">
        <v>2.8000000000000001E-2</v>
      </c>
      <c r="AM11" s="61">
        <v>2.7E-2</v>
      </c>
      <c r="AN11" s="61">
        <v>2.5999999999999999E-2</v>
      </c>
      <c r="AO11" s="61">
        <v>2.5999999999999999E-2</v>
      </c>
      <c r="AP11" s="61">
        <v>2.5999999999999999E-2</v>
      </c>
      <c r="AQ11" s="61">
        <v>2.4E-2</v>
      </c>
      <c r="AR11" s="61">
        <v>2.3E-2</v>
      </c>
      <c r="AS11" s="61">
        <v>2.3E-2</v>
      </c>
      <c r="AT11" s="61">
        <v>2.3E-2</v>
      </c>
      <c r="AU11" s="61">
        <v>2.1999999999999999E-2</v>
      </c>
      <c r="AV11" s="61">
        <v>2.1999999999999999E-2</v>
      </c>
      <c r="AW11" s="61">
        <v>2.1000000000000001E-2</v>
      </c>
      <c r="AX11" s="61">
        <v>0.02</v>
      </c>
      <c r="AY11" s="61">
        <v>0.02</v>
      </c>
      <c r="AZ11" s="61">
        <v>2.1000000000000001E-2</v>
      </c>
    </row>
    <row r="12" spans="1:53" ht="20.25" customHeight="1" x14ac:dyDescent="0.25">
      <c r="A12" s="57">
        <v>10</v>
      </c>
      <c r="C12" s="62"/>
      <c r="D12" s="62"/>
      <c r="E12" s="62"/>
      <c r="F12" s="62"/>
      <c r="G12" s="62"/>
      <c r="H12" s="62"/>
      <c r="I12" s="62"/>
      <c r="J12" s="62"/>
      <c r="K12" s="62"/>
      <c r="L12" s="61">
        <v>0.05</v>
      </c>
      <c r="M12" s="61">
        <v>4.4999999999999998E-2</v>
      </c>
      <c r="N12" s="61">
        <v>4.2000000000000003E-2</v>
      </c>
      <c r="O12" s="61">
        <v>3.7999999999999999E-2</v>
      </c>
      <c r="P12" s="61">
        <v>4.2000000000000003E-2</v>
      </c>
      <c r="Q12" s="61">
        <v>3.9E-2</v>
      </c>
      <c r="R12" s="61">
        <v>3.6999999999999998E-2</v>
      </c>
      <c r="S12" s="61">
        <v>3.4000000000000002E-2</v>
      </c>
      <c r="T12" s="61">
        <v>3.2000000000000001E-2</v>
      </c>
      <c r="U12" s="61">
        <v>3.1E-2</v>
      </c>
      <c r="V12" s="61">
        <v>3.2000000000000001E-2</v>
      </c>
      <c r="W12" s="61">
        <v>3.2000000000000001E-2</v>
      </c>
      <c r="X12" s="61">
        <v>3.4000000000000002E-2</v>
      </c>
      <c r="Y12" s="61">
        <v>3.3000000000000002E-2</v>
      </c>
      <c r="Z12" s="61">
        <v>0.03</v>
      </c>
      <c r="AA12" s="61">
        <v>0.03</v>
      </c>
      <c r="AB12" s="61">
        <v>2.9000000000000001E-2</v>
      </c>
      <c r="AC12" s="61">
        <v>2.8000000000000001E-2</v>
      </c>
      <c r="AD12" s="61">
        <v>2.9000000000000001E-2</v>
      </c>
      <c r="AE12" s="61">
        <v>2.9000000000000001E-2</v>
      </c>
      <c r="AF12" s="61">
        <v>2.8000000000000001E-2</v>
      </c>
      <c r="AG12" s="61">
        <v>2.7E-2</v>
      </c>
      <c r="AH12" s="61">
        <v>2.5999999999999999E-2</v>
      </c>
      <c r="AI12" s="61">
        <v>2.5000000000000001E-2</v>
      </c>
      <c r="AJ12" s="61">
        <v>2.5000000000000001E-2</v>
      </c>
      <c r="AK12" s="61">
        <v>2.3E-2</v>
      </c>
      <c r="AL12" s="61">
        <v>2.3E-2</v>
      </c>
      <c r="AM12" s="61">
        <v>2.3E-2</v>
      </c>
      <c r="AN12" s="61">
        <v>2.1999999999999999E-2</v>
      </c>
      <c r="AO12" s="61">
        <v>2.1000000000000001E-2</v>
      </c>
      <c r="AP12" s="61">
        <v>2.3E-2</v>
      </c>
      <c r="AQ12" s="61">
        <v>2.3E-2</v>
      </c>
      <c r="AR12" s="61">
        <v>2.1000000000000001E-2</v>
      </c>
      <c r="AS12" s="61">
        <v>0.02</v>
      </c>
      <c r="AT12" s="61">
        <v>0.02</v>
      </c>
      <c r="AU12" s="61">
        <v>0.02</v>
      </c>
      <c r="AV12" s="61">
        <v>0.02</v>
      </c>
      <c r="AW12" s="61">
        <v>0.02</v>
      </c>
      <c r="AX12" s="61">
        <v>0.02</v>
      </c>
      <c r="AY12" s="61">
        <v>0.02</v>
      </c>
      <c r="AZ12" s="61">
        <v>0.02</v>
      </c>
    </row>
    <row r="13" spans="1:53" ht="20.25" customHeight="1" x14ac:dyDescent="0.25">
      <c r="A13" s="57">
        <v>11</v>
      </c>
      <c r="C13" s="62"/>
      <c r="D13" s="62"/>
      <c r="E13" s="62"/>
      <c r="F13" s="62"/>
      <c r="G13" s="62"/>
      <c r="H13" s="62"/>
      <c r="J13" s="62"/>
      <c r="K13" s="62"/>
      <c r="L13" s="63"/>
      <c r="M13" s="61">
        <v>3.9E-2</v>
      </c>
      <c r="N13" s="61">
        <v>3.5000000000000003E-2</v>
      </c>
      <c r="O13" s="61">
        <v>3.7999999999999999E-2</v>
      </c>
      <c r="P13" s="61">
        <v>3.5999999999999997E-2</v>
      </c>
      <c r="Q13" s="61">
        <v>3.3000000000000002E-2</v>
      </c>
      <c r="R13" s="61">
        <v>3.1E-2</v>
      </c>
      <c r="S13" s="61">
        <v>2.9000000000000001E-2</v>
      </c>
      <c r="T13" s="61">
        <v>2.8000000000000001E-2</v>
      </c>
      <c r="U13" s="61">
        <v>2.7E-2</v>
      </c>
      <c r="V13" s="61">
        <v>2.5999999999999999E-2</v>
      </c>
      <c r="W13" s="61">
        <v>2.8000000000000001E-2</v>
      </c>
      <c r="X13" s="61">
        <v>0.03</v>
      </c>
      <c r="Y13" s="61">
        <v>2.9000000000000001E-2</v>
      </c>
      <c r="Z13" s="61">
        <v>2.8000000000000001E-2</v>
      </c>
      <c r="AA13" s="61">
        <v>2.7E-2</v>
      </c>
      <c r="AB13" s="61">
        <v>2.5999999999999999E-2</v>
      </c>
      <c r="AC13" s="61">
        <v>2.5000000000000001E-2</v>
      </c>
      <c r="AD13" s="61">
        <v>2.4E-2</v>
      </c>
      <c r="AE13" s="61">
        <v>2.3E-2</v>
      </c>
      <c r="AF13" s="61">
        <v>2.1999999999999999E-2</v>
      </c>
      <c r="AG13" s="61">
        <v>2.1999999999999999E-2</v>
      </c>
      <c r="AH13" s="61">
        <v>2.5999999999999999E-2</v>
      </c>
      <c r="AI13" s="61">
        <v>2.5000000000000001E-2</v>
      </c>
      <c r="AJ13" s="61">
        <v>2.5000000000000001E-2</v>
      </c>
      <c r="AK13" s="61">
        <v>2.3E-2</v>
      </c>
      <c r="AL13" s="61">
        <v>2.3E-2</v>
      </c>
      <c r="AM13" s="61">
        <v>2.3E-2</v>
      </c>
      <c r="AN13" s="61">
        <v>2.1999999999999999E-2</v>
      </c>
      <c r="AO13" s="61">
        <v>2.1000000000000001E-2</v>
      </c>
      <c r="AP13" s="61">
        <v>2.1000000000000001E-2</v>
      </c>
      <c r="AQ13" s="61">
        <v>0.02</v>
      </c>
      <c r="AR13" s="61">
        <v>1.9E-2</v>
      </c>
      <c r="AS13" s="61">
        <v>1.9E-2</v>
      </c>
      <c r="AT13" s="61">
        <v>1.9E-2</v>
      </c>
      <c r="AU13" s="61">
        <v>1.7999999999999999E-2</v>
      </c>
      <c r="AV13" s="61">
        <v>1.7999999999999999E-2</v>
      </c>
      <c r="AW13" s="61">
        <v>1.7999999999999999E-2</v>
      </c>
      <c r="AX13" s="61">
        <v>1.7000000000000001E-2</v>
      </c>
      <c r="AY13" s="61">
        <v>1.7000000000000001E-2</v>
      </c>
      <c r="AZ13" s="61">
        <v>1.7000000000000001E-2</v>
      </c>
    </row>
    <row r="14" spans="1:53" ht="20.25" customHeight="1" x14ac:dyDescent="0.25">
      <c r="A14" s="57">
        <v>12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1">
        <v>3.5000000000000003E-2</v>
      </c>
      <c r="O14" s="61">
        <v>3.2000000000000001E-2</v>
      </c>
      <c r="P14" s="61">
        <v>3.5999999999999997E-2</v>
      </c>
      <c r="Q14" s="61">
        <v>3.3000000000000002E-2</v>
      </c>
      <c r="R14" s="61">
        <v>3.1E-2</v>
      </c>
      <c r="S14" s="61">
        <v>2.9000000000000001E-2</v>
      </c>
      <c r="T14" s="61">
        <v>2.8000000000000001E-2</v>
      </c>
      <c r="U14" s="61">
        <v>2.5999999999999999E-2</v>
      </c>
      <c r="V14" s="61">
        <v>2.5000000000000001E-2</v>
      </c>
      <c r="W14" s="61">
        <v>2.4E-2</v>
      </c>
      <c r="X14" s="61">
        <v>2.3E-2</v>
      </c>
      <c r="Y14" s="61">
        <v>2.5999999999999999E-2</v>
      </c>
      <c r="Z14" s="61">
        <v>2.8000000000000001E-2</v>
      </c>
      <c r="AA14" s="61">
        <v>2.7E-2</v>
      </c>
      <c r="AB14" s="61">
        <v>2.5999999999999999E-2</v>
      </c>
      <c r="AC14" s="61">
        <v>2.5000000000000001E-2</v>
      </c>
      <c r="AD14" s="61">
        <v>2.4E-2</v>
      </c>
      <c r="AE14" s="61">
        <v>2.3E-2</v>
      </c>
      <c r="AF14" s="61">
        <v>2.1999999999999999E-2</v>
      </c>
      <c r="AG14" s="61">
        <v>2.1999999999999999E-2</v>
      </c>
      <c r="AH14" s="61">
        <v>2.1000000000000001E-2</v>
      </c>
      <c r="AI14" s="61">
        <v>0.02</v>
      </c>
      <c r="AJ14" s="61">
        <v>2.1000000000000001E-2</v>
      </c>
      <c r="AK14" s="61">
        <v>2.1000000000000001E-2</v>
      </c>
      <c r="AL14" s="61">
        <v>2.3E-2</v>
      </c>
      <c r="AM14" s="61">
        <v>2.3E-2</v>
      </c>
      <c r="AN14" s="61">
        <v>2.1999999999999999E-2</v>
      </c>
      <c r="AO14" s="61">
        <v>2.1000000000000001E-2</v>
      </c>
      <c r="AP14" s="61">
        <v>2.1000000000000001E-2</v>
      </c>
      <c r="AQ14" s="61">
        <v>0.02</v>
      </c>
      <c r="AR14" s="61">
        <v>1.9E-2</v>
      </c>
      <c r="AS14" s="61">
        <v>1.9E-2</v>
      </c>
      <c r="AT14" s="61">
        <v>1.9E-2</v>
      </c>
      <c r="AU14" s="61">
        <v>1.7999999999999999E-2</v>
      </c>
      <c r="AV14" s="61">
        <v>1.7999999999999999E-2</v>
      </c>
      <c r="AW14" s="61">
        <v>1.7999999999999999E-2</v>
      </c>
      <c r="AX14" s="61">
        <v>1.7000000000000001E-2</v>
      </c>
      <c r="AY14" s="61">
        <v>1.7000000000000001E-2</v>
      </c>
      <c r="AZ14" s="61">
        <v>1.7000000000000001E-2</v>
      </c>
    </row>
    <row r="15" spans="1:53" ht="20.25" customHeight="1" x14ac:dyDescent="0.25">
      <c r="A15" s="57">
        <v>13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1">
        <v>3.2000000000000001E-2</v>
      </c>
      <c r="P15" s="61">
        <v>0.03</v>
      </c>
      <c r="Q15" s="61">
        <v>2.8000000000000001E-2</v>
      </c>
      <c r="R15" s="61">
        <v>2.5999999999999999E-2</v>
      </c>
      <c r="S15" s="61">
        <v>2.9000000000000001E-2</v>
      </c>
      <c r="T15" s="61">
        <v>2.8000000000000001E-2</v>
      </c>
      <c r="U15" s="61">
        <v>2.5999999999999999E-2</v>
      </c>
      <c r="V15" s="61">
        <v>2.5000000000000001E-2</v>
      </c>
      <c r="W15" s="61">
        <v>2.4E-2</v>
      </c>
      <c r="X15" s="61">
        <v>2.3E-2</v>
      </c>
      <c r="Y15" s="61">
        <v>2.1999999999999999E-2</v>
      </c>
      <c r="Z15" s="61">
        <v>2.1999999999999999E-2</v>
      </c>
      <c r="AA15" s="61">
        <v>2.1999999999999999E-2</v>
      </c>
      <c r="AB15" s="61">
        <v>2.1999999999999999E-2</v>
      </c>
      <c r="AC15" s="61">
        <v>2.1999999999999999E-2</v>
      </c>
      <c r="AD15" s="61">
        <v>0.02</v>
      </c>
      <c r="AE15" s="61">
        <v>2.1000000000000001E-2</v>
      </c>
      <c r="AF15" s="61">
        <v>2.1999999999999999E-2</v>
      </c>
      <c r="AG15" s="61">
        <v>2.1999999999999999E-2</v>
      </c>
      <c r="AH15" s="61">
        <v>2.1000000000000001E-2</v>
      </c>
      <c r="AI15" s="61">
        <v>0.02</v>
      </c>
      <c r="AJ15" s="61">
        <v>0.02</v>
      </c>
      <c r="AK15" s="61">
        <v>1.9E-2</v>
      </c>
      <c r="AL15" s="61">
        <v>1.7999999999999999E-2</v>
      </c>
      <c r="AM15" s="61">
        <v>1.7999999999999999E-2</v>
      </c>
      <c r="AN15" s="61">
        <v>1.7000000000000001E-2</v>
      </c>
      <c r="AO15" s="61">
        <v>1.7000000000000001E-2</v>
      </c>
      <c r="AP15" s="61">
        <v>1.7000000000000001E-2</v>
      </c>
      <c r="AQ15" s="61">
        <v>1.7000000000000001E-2</v>
      </c>
      <c r="AR15" s="61">
        <v>1.7000000000000001E-2</v>
      </c>
      <c r="AS15" s="61">
        <v>1.7000000000000001E-2</v>
      </c>
      <c r="AT15" s="61">
        <v>1.7000000000000001E-2</v>
      </c>
      <c r="AU15" s="61">
        <v>1.6E-2</v>
      </c>
      <c r="AV15" s="61">
        <v>1.6E-2</v>
      </c>
      <c r="AW15" s="61">
        <v>1.6E-2</v>
      </c>
      <c r="AX15" s="61">
        <v>1.4999999999999999E-2</v>
      </c>
      <c r="AY15" s="61">
        <v>1.4999999999999999E-2</v>
      </c>
      <c r="AZ15" s="61">
        <v>1.4999999999999999E-2</v>
      </c>
    </row>
    <row r="16" spans="1:53" ht="20.25" customHeight="1" x14ac:dyDescent="0.25">
      <c r="A16" s="57">
        <v>14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1">
        <v>0.03</v>
      </c>
      <c r="Q16" s="61">
        <v>2.8000000000000001E-2</v>
      </c>
      <c r="R16" s="61">
        <v>2.5999999999999999E-2</v>
      </c>
      <c r="S16" s="61">
        <v>2.5000000000000001E-2</v>
      </c>
      <c r="T16" s="61">
        <v>2.3E-2</v>
      </c>
      <c r="U16" s="61">
        <v>2.5999999999999999E-2</v>
      </c>
      <c r="V16" s="61">
        <v>2.5000000000000001E-2</v>
      </c>
      <c r="W16" s="61">
        <v>2.4E-2</v>
      </c>
      <c r="X16" s="61">
        <v>2.3E-2</v>
      </c>
      <c r="Y16" s="61">
        <v>2.1999999999999999E-2</v>
      </c>
      <c r="Z16" s="61">
        <v>2.1000000000000001E-2</v>
      </c>
      <c r="AA16" s="61">
        <v>0.02</v>
      </c>
      <c r="AB16" s="61">
        <v>1.9E-2</v>
      </c>
      <c r="AC16" s="61">
        <v>0.02</v>
      </c>
      <c r="AD16" s="61">
        <v>0.02</v>
      </c>
      <c r="AE16" s="61">
        <v>2.1000000000000001E-2</v>
      </c>
      <c r="AF16" s="61">
        <v>0.02</v>
      </c>
      <c r="AG16" s="61">
        <v>1.9E-2</v>
      </c>
      <c r="AH16" s="61">
        <v>0.02</v>
      </c>
      <c r="AI16" s="61">
        <v>0.02</v>
      </c>
      <c r="AJ16" s="61">
        <v>0.02</v>
      </c>
      <c r="AK16" s="61">
        <v>1.9E-2</v>
      </c>
      <c r="AL16" s="61">
        <v>1.7999999999999999E-2</v>
      </c>
      <c r="AM16" s="61">
        <v>1.7999999999999999E-2</v>
      </c>
      <c r="AN16" s="61">
        <v>1.7000000000000001E-2</v>
      </c>
      <c r="AO16" s="61">
        <v>1.7000000000000001E-2</v>
      </c>
      <c r="AP16" s="61">
        <v>1.7000000000000001E-2</v>
      </c>
      <c r="AQ16" s="61">
        <v>1.7000000000000001E-2</v>
      </c>
      <c r="AR16" s="61">
        <v>1.6E-2</v>
      </c>
      <c r="AS16" s="61">
        <v>1.4999999999999999E-2</v>
      </c>
      <c r="AT16" s="61">
        <v>1.4999999999999999E-2</v>
      </c>
      <c r="AU16" s="61">
        <v>1.4E-2</v>
      </c>
      <c r="AV16" s="61">
        <v>1.4E-2</v>
      </c>
      <c r="AW16" s="61">
        <v>1.4E-2</v>
      </c>
      <c r="AX16" s="61">
        <v>1.4E-2</v>
      </c>
      <c r="AY16" s="61">
        <v>1.4E-2</v>
      </c>
      <c r="AZ16" s="61">
        <v>1.2999999999999999E-2</v>
      </c>
    </row>
    <row r="17" spans="1:52" ht="20.25" customHeight="1" x14ac:dyDescent="0.25">
      <c r="A17" s="57">
        <v>15</v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1">
        <v>2.8000000000000001E-2</v>
      </c>
      <c r="R17" s="61">
        <v>2.5999999999999999E-2</v>
      </c>
      <c r="S17" s="61">
        <v>2.5000000000000001E-2</v>
      </c>
      <c r="T17" s="61">
        <v>2.3E-2</v>
      </c>
      <c r="U17" s="61">
        <v>2.1999999999999999E-2</v>
      </c>
      <c r="V17" s="61">
        <v>2.1000000000000001E-2</v>
      </c>
      <c r="W17" s="61">
        <v>0.02</v>
      </c>
      <c r="X17" s="61">
        <v>0.02</v>
      </c>
      <c r="Y17" s="61">
        <v>2.1999999999999999E-2</v>
      </c>
      <c r="Z17" s="61">
        <v>2.1000000000000001E-2</v>
      </c>
      <c r="AA17" s="61">
        <v>0.02</v>
      </c>
      <c r="AB17" s="61">
        <v>1.9E-2</v>
      </c>
      <c r="AC17" s="61">
        <v>0.02</v>
      </c>
      <c r="AD17" s="61">
        <v>1.7999999999999999E-2</v>
      </c>
      <c r="AE17" s="61">
        <v>1.7999999999999999E-2</v>
      </c>
      <c r="AF17" s="61">
        <v>1.7000000000000001E-2</v>
      </c>
      <c r="AG17" s="61">
        <v>1.6E-2</v>
      </c>
      <c r="AH17" s="61">
        <v>1.7000000000000001E-2</v>
      </c>
      <c r="AI17" s="61">
        <v>1.6E-2</v>
      </c>
      <c r="AJ17" s="61">
        <v>1.4999999999999999E-2</v>
      </c>
      <c r="AK17" s="61">
        <v>1.4E-2</v>
      </c>
      <c r="AL17" s="61">
        <v>1.4E-2</v>
      </c>
      <c r="AM17" s="61">
        <v>1.4E-2</v>
      </c>
      <c r="AN17" s="61">
        <v>1.2999999999999999E-2</v>
      </c>
      <c r="AO17" s="61">
        <v>1.2999999999999999E-2</v>
      </c>
      <c r="AP17" s="61">
        <v>1.2999999999999999E-2</v>
      </c>
      <c r="AQ17" s="61">
        <v>1.2999999999999999E-2</v>
      </c>
      <c r="AR17" s="61">
        <v>1.2E-2</v>
      </c>
      <c r="AS17" s="61">
        <v>1.0999999999999999E-2</v>
      </c>
      <c r="AT17" s="61">
        <v>1.0999999999999999E-2</v>
      </c>
      <c r="AU17" s="61">
        <v>1.0999999999999999E-2</v>
      </c>
      <c r="AV17" s="61">
        <v>1.0999999999999999E-2</v>
      </c>
      <c r="AW17" s="61">
        <v>0.01</v>
      </c>
      <c r="AX17" s="61">
        <v>0.01</v>
      </c>
      <c r="AY17" s="61">
        <v>0.01</v>
      </c>
      <c r="AZ17" s="61">
        <v>1.0999999999999999E-2</v>
      </c>
    </row>
    <row r="18" spans="1:52" ht="20.25" customHeight="1" x14ac:dyDescent="0.25">
      <c r="A18" s="57">
        <v>16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1">
        <v>2.5999999999999999E-2</v>
      </c>
      <c r="S18" s="61">
        <v>2.5000000000000001E-2</v>
      </c>
      <c r="T18" s="61">
        <v>2.3E-2</v>
      </c>
      <c r="U18" s="61">
        <v>2.1999999999999999E-2</v>
      </c>
      <c r="V18" s="61">
        <v>2.1000000000000001E-2</v>
      </c>
      <c r="W18" s="61">
        <v>0.02</v>
      </c>
      <c r="X18" s="61">
        <v>1.9E-2</v>
      </c>
      <c r="Y18" s="61">
        <v>1.7999999999999999E-2</v>
      </c>
      <c r="Z18" s="61">
        <v>1.7000000000000001E-2</v>
      </c>
      <c r="AA18" s="61">
        <v>1.7000000000000001E-2</v>
      </c>
      <c r="AB18" s="61">
        <v>1.6E-2</v>
      </c>
      <c r="AC18" s="61">
        <v>1.4999999999999999E-2</v>
      </c>
      <c r="AD18" s="61">
        <v>1.4999999999999999E-2</v>
      </c>
      <c r="AE18" s="61">
        <v>1.7999999999999999E-2</v>
      </c>
      <c r="AF18" s="61">
        <v>1.7000000000000001E-2</v>
      </c>
      <c r="AG18" s="61">
        <v>1.6E-2</v>
      </c>
      <c r="AH18" s="61">
        <v>1.7000000000000001E-2</v>
      </c>
      <c r="AI18" s="61">
        <v>1.6E-2</v>
      </c>
      <c r="AJ18" s="61">
        <v>1.4999999999999999E-2</v>
      </c>
      <c r="AK18" s="61">
        <v>1.4E-2</v>
      </c>
      <c r="AL18" s="61">
        <v>1.4E-2</v>
      </c>
      <c r="AM18" s="61">
        <v>1.4E-2</v>
      </c>
      <c r="AN18" s="61">
        <v>1.2999999999999999E-2</v>
      </c>
      <c r="AO18" s="61">
        <v>1.2999999999999999E-2</v>
      </c>
      <c r="AP18" s="61">
        <v>1.2999999999999999E-2</v>
      </c>
      <c r="AQ18" s="61">
        <v>1.2999999999999999E-2</v>
      </c>
      <c r="AR18" s="61">
        <v>1.2E-2</v>
      </c>
      <c r="AS18" s="61">
        <v>1.0999999999999999E-2</v>
      </c>
      <c r="AT18" s="61">
        <v>1.0999999999999999E-2</v>
      </c>
      <c r="AU18" s="61">
        <v>1.0999999999999999E-2</v>
      </c>
      <c r="AV18" s="61">
        <v>0.01</v>
      </c>
      <c r="AW18" s="61">
        <v>0.01</v>
      </c>
      <c r="AX18" s="61">
        <v>0.01</v>
      </c>
      <c r="AY18" s="61">
        <v>0.01</v>
      </c>
      <c r="AZ18" s="61">
        <v>0.01</v>
      </c>
    </row>
    <row r="19" spans="1:52" ht="20.25" customHeight="1" x14ac:dyDescent="0.25">
      <c r="A19" s="57">
        <v>17</v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1">
        <v>0.02</v>
      </c>
      <c r="T19" s="61">
        <v>1.9E-2</v>
      </c>
      <c r="U19" s="61">
        <v>2.1999999999999999E-2</v>
      </c>
      <c r="V19" s="61">
        <v>2.1000000000000001E-2</v>
      </c>
      <c r="W19" s="61">
        <v>0.02</v>
      </c>
      <c r="X19" s="61">
        <v>1.9E-2</v>
      </c>
      <c r="Y19" s="61">
        <v>1.7999999999999999E-2</v>
      </c>
      <c r="Z19" s="61">
        <v>1.7000000000000001E-2</v>
      </c>
      <c r="AA19" s="61">
        <v>1.7000000000000001E-2</v>
      </c>
      <c r="AB19" s="61">
        <v>1.6E-2</v>
      </c>
      <c r="AC19" s="61">
        <v>1.4999999999999999E-2</v>
      </c>
      <c r="AD19" s="61">
        <v>1.4999999999999999E-2</v>
      </c>
      <c r="AE19" s="61">
        <v>1.4E-2</v>
      </c>
      <c r="AF19" s="61">
        <v>1.4E-2</v>
      </c>
      <c r="AG19" s="61">
        <v>1.2999999999999999E-2</v>
      </c>
      <c r="AH19" s="61">
        <v>1.2999999999999999E-2</v>
      </c>
      <c r="AI19" s="61">
        <v>1.2999999999999999E-2</v>
      </c>
      <c r="AJ19" s="61">
        <v>1.2E-2</v>
      </c>
      <c r="AK19" s="61">
        <v>1.2E-2</v>
      </c>
      <c r="AL19" s="61">
        <v>1.2E-2</v>
      </c>
      <c r="AM19" s="61">
        <v>1.0999999999999999E-2</v>
      </c>
      <c r="AN19" s="61">
        <v>1.2999999999999999E-2</v>
      </c>
      <c r="AO19" s="61">
        <v>0.01</v>
      </c>
      <c r="AP19" s="61">
        <v>0.01</v>
      </c>
      <c r="AQ19" s="61">
        <v>0.01</v>
      </c>
      <c r="AR19" s="61">
        <v>0.01</v>
      </c>
      <c r="AS19" s="61">
        <v>0.01</v>
      </c>
      <c r="AT19" s="61">
        <v>8.9999999999999993E-3</v>
      </c>
      <c r="AU19" s="61">
        <v>8.9999999999999993E-3</v>
      </c>
      <c r="AV19" s="61">
        <v>8.9999999999999993E-3</v>
      </c>
      <c r="AW19" s="61">
        <v>8.9999999999999993E-3</v>
      </c>
      <c r="AX19" s="61">
        <v>0.01</v>
      </c>
      <c r="AY19" s="61">
        <v>0.01</v>
      </c>
      <c r="AZ19" s="61">
        <v>0.01</v>
      </c>
    </row>
    <row r="20" spans="1:52" ht="20.25" customHeight="1" x14ac:dyDescent="0.25">
      <c r="A20" s="57">
        <v>18</v>
      </c>
      <c r="C20" s="62"/>
      <c r="D20" s="62"/>
      <c r="E20" s="62"/>
      <c r="F20" s="62"/>
      <c r="G20" s="62"/>
      <c r="H20" s="62"/>
      <c r="I20" s="62"/>
      <c r="J20" s="62"/>
      <c r="L20" s="62"/>
      <c r="M20" s="62"/>
      <c r="N20" s="62"/>
      <c r="O20" s="62"/>
      <c r="P20" s="62"/>
      <c r="Q20" s="62"/>
      <c r="R20" s="62"/>
      <c r="S20" s="62"/>
      <c r="T20" s="61">
        <v>1.9E-2</v>
      </c>
      <c r="U20" s="61">
        <v>1.9E-2</v>
      </c>
      <c r="V20" s="61">
        <v>1.7000000000000001E-2</v>
      </c>
      <c r="W20" s="61">
        <v>0.02</v>
      </c>
      <c r="X20" s="61">
        <v>1.9E-2</v>
      </c>
      <c r="Y20" s="61">
        <v>1.7999999999999999E-2</v>
      </c>
      <c r="Z20" s="61">
        <v>1.7000000000000001E-2</v>
      </c>
      <c r="AA20" s="61">
        <v>1.7000000000000001E-2</v>
      </c>
      <c r="AB20" s="61">
        <v>1.6E-2</v>
      </c>
      <c r="AC20" s="61">
        <v>1.4999999999999999E-2</v>
      </c>
      <c r="AD20" s="61">
        <v>1.4999999999999999E-2</v>
      </c>
      <c r="AE20" s="61">
        <v>1.4E-2</v>
      </c>
      <c r="AF20" s="61">
        <v>1.4E-2</v>
      </c>
      <c r="AG20" s="61">
        <v>1.2999999999999999E-2</v>
      </c>
      <c r="AH20" s="61">
        <v>1.2999999999999999E-2</v>
      </c>
      <c r="AI20" s="61">
        <v>1.2999999999999999E-2</v>
      </c>
      <c r="AJ20" s="61">
        <v>1.2E-2</v>
      </c>
      <c r="AK20" s="61">
        <v>1.2E-2</v>
      </c>
      <c r="AL20" s="61">
        <v>1.2E-2</v>
      </c>
      <c r="AM20" s="61">
        <v>1.0999999999999999E-2</v>
      </c>
      <c r="AN20" s="61">
        <v>1.0999999999999999E-2</v>
      </c>
      <c r="AO20" s="61">
        <v>0.01</v>
      </c>
      <c r="AP20" s="61">
        <v>0.01</v>
      </c>
      <c r="AQ20" s="61">
        <v>0.01</v>
      </c>
      <c r="AR20" s="61">
        <v>0.01</v>
      </c>
      <c r="AS20" s="61">
        <v>0.01</v>
      </c>
      <c r="AT20" s="61">
        <v>8.9999999999999993E-3</v>
      </c>
      <c r="AU20" s="61">
        <v>8.9999999999999993E-3</v>
      </c>
      <c r="AV20" s="61">
        <v>8.9999999999999993E-3</v>
      </c>
      <c r="AW20" s="61">
        <v>8.9999999999999993E-3</v>
      </c>
      <c r="AX20" s="61">
        <v>8.9999999999999993E-3</v>
      </c>
      <c r="AY20" s="61">
        <v>8.9999999999999993E-3</v>
      </c>
      <c r="AZ20" s="61">
        <v>8.0000000000000002E-3</v>
      </c>
    </row>
    <row r="21" spans="1:52" ht="20.25" customHeight="1" x14ac:dyDescent="0.25">
      <c r="A21" s="57">
        <v>19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1">
        <v>1.9E-2</v>
      </c>
      <c r="V21" s="61">
        <v>1.7000000000000001E-2</v>
      </c>
      <c r="W21" s="61">
        <v>1.4999999999999999E-2</v>
      </c>
      <c r="X21" s="61">
        <v>1.4999999999999999E-2</v>
      </c>
      <c r="Y21" s="61">
        <v>1.7999999999999999E-2</v>
      </c>
      <c r="Z21" s="61">
        <v>1.7000000000000001E-2</v>
      </c>
      <c r="AA21" s="61">
        <v>1.7000000000000001E-2</v>
      </c>
      <c r="AB21" s="61">
        <v>1.6E-2</v>
      </c>
      <c r="AC21" s="61">
        <v>1.4999999999999999E-2</v>
      </c>
      <c r="AD21" s="61">
        <v>1.4999999999999999E-2</v>
      </c>
      <c r="AE21" s="61">
        <v>1.4E-2</v>
      </c>
      <c r="AF21" s="61">
        <v>1.4E-2</v>
      </c>
      <c r="AG21" s="61">
        <v>1.2999999999999999E-2</v>
      </c>
      <c r="AH21" s="61">
        <v>1.2999999999999999E-2</v>
      </c>
      <c r="AI21" s="61">
        <v>1.2999999999999999E-2</v>
      </c>
      <c r="AJ21" s="61">
        <v>1.2E-2</v>
      </c>
      <c r="AK21" s="61">
        <v>1.2E-2</v>
      </c>
      <c r="AL21" s="61">
        <v>1.2E-2</v>
      </c>
      <c r="AM21" s="61">
        <v>1.0999999999999999E-2</v>
      </c>
      <c r="AN21" s="61">
        <v>1.0999999999999999E-2</v>
      </c>
      <c r="AO21" s="61">
        <v>0.01</v>
      </c>
      <c r="AP21" s="61">
        <v>0.01</v>
      </c>
      <c r="AQ21" s="61">
        <v>0.01</v>
      </c>
      <c r="AR21" s="61">
        <v>0.01</v>
      </c>
      <c r="AS21" s="61">
        <v>0.01</v>
      </c>
      <c r="AT21" s="61">
        <v>8.9999999999999993E-3</v>
      </c>
      <c r="AU21" s="61">
        <v>8.9999999999999993E-3</v>
      </c>
      <c r="AV21" s="61">
        <v>8.9999999999999993E-3</v>
      </c>
      <c r="AW21" s="61">
        <v>8.9999999999999993E-3</v>
      </c>
      <c r="AX21" s="61">
        <v>8.9999999999999993E-3</v>
      </c>
      <c r="AY21" s="61">
        <v>8.9999999999999993E-3</v>
      </c>
      <c r="AZ21" s="61">
        <v>8.0000000000000002E-3</v>
      </c>
    </row>
    <row r="22" spans="1:52" ht="20.25" customHeight="1" x14ac:dyDescent="0.25">
      <c r="A22" s="57">
        <v>20</v>
      </c>
      <c r="C22" s="64"/>
      <c r="D22" s="65" t="s">
        <v>74</v>
      </c>
      <c r="E22" s="65"/>
      <c r="F22" s="65"/>
      <c r="G22" s="65"/>
      <c r="H22" s="65"/>
      <c r="I22" s="65"/>
      <c r="J22" s="65"/>
      <c r="K22" s="65"/>
      <c r="L22" s="64"/>
      <c r="M22" s="64"/>
      <c r="N22" s="66"/>
      <c r="O22" s="66"/>
      <c r="P22" s="66"/>
      <c r="Q22" s="62"/>
      <c r="R22" s="62"/>
      <c r="S22" s="62"/>
      <c r="T22" s="62"/>
      <c r="U22" s="62"/>
      <c r="V22" s="61">
        <v>1.7000000000000001E-2</v>
      </c>
      <c r="W22" s="61">
        <v>1.4999999999999999E-2</v>
      </c>
      <c r="X22" s="61">
        <v>1.4999999999999999E-2</v>
      </c>
      <c r="Y22" s="61">
        <v>1.4E-2</v>
      </c>
      <c r="Z22" s="61">
        <v>1.4E-2</v>
      </c>
      <c r="AA22" s="61">
        <v>1.7000000000000001E-2</v>
      </c>
      <c r="AB22" s="61">
        <v>1.6E-2</v>
      </c>
      <c r="AC22" s="61">
        <v>1.4999999999999999E-2</v>
      </c>
      <c r="AD22" s="61">
        <v>1.4999999999999999E-2</v>
      </c>
      <c r="AE22" s="61">
        <v>1.4E-2</v>
      </c>
      <c r="AF22" s="61">
        <v>1.4E-2</v>
      </c>
      <c r="AG22" s="61">
        <v>1.2999999999999999E-2</v>
      </c>
      <c r="AH22" s="61">
        <v>1.2999999999999999E-2</v>
      </c>
      <c r="AI22" s="61">
        <v>1.2999999999999999E-2</v>
      </c>
      <c r="AJ22" s="61">
        <v>1.2E-2</v>
      </c>
      <c r="AK22" s="61">
        <v>1.2E-2</v>
      </c>
      <c r="AL22" s="61">
        <v>1.2E-2</v>
      </c>
      <c r="AM22" s="61">
        <v>1.0999999999999999E-2</v>
      </c>
      <c r="AN22" s="61">
        <v>1.0999999999999999E-2</v>
      </c>
      <c r="AO22" s="61">
        <v>0.01</v>
      </c>
      <c r="AP22" s="61">
        <v>0.01</v>
      </c>
      <c r="AQ22" s="61">
        <v>0.01</v>
      </c>
      <c r="AR22" s="61">
        <v>0.01</v>
      </c>
      <c r="AS22" s="61">
        <v>0.01</v>
      </c>
      <c r="AT22" s="61">
        <v>8.9999999999999993E-3</v>
      </c>
      <c r="AU22" s="61">
        <v>8.9999999999999993E-3</v>
      </c>
      <c r="AV22" s="61">
        <v>8.9999999999999993E-3</v>
      </c>
      <c r="AW22" s="61">
        <v>8.9999999999999993E-3</v>
      </c>
      <c r="AX22" s="61">
        <v>8.9999999999999993E-3</v>
      </c>
      <c r="AY22" s="61">
        <v>8.9999999999999993E-3</v>
      </c>
      <c r="AZ22" s="61">
        <v>8.0000000000000002E-3</v>
      </c>
    </row>
    <row r="23" spans="1:52" ht="20.25" customHeight="1" x14ac:dyDescent="0.25">
      <c r="A23" s="57">
        <v>21</v>
      </c>
      <c r="C23" s="64"/>
      <c r="D23" s="65"/>
      <c r="E23" s="65"/>
      <c r="F23" s="65"/>
      <c r="G23" s="65"/>
      <c r="H23" s="65"/>
      <c r="I23" s="65"/>
      <c r="J23" s="65"/>
      <c r="K23" s="65"/>
      <c r="L23" s="64"/>
      <c r="M23" s="64"/>
      <c r="N23" s="66"/>
      <c r="O23" s="66"/>
      <c r="P23" s="66"/>
      <c r="Q23" s="62"/>
      <c r="R23" s="62"/>
      <c r="S23" s="62"/>
      <c r="T23" s="62"/>
      <c r="U23" s="62"/>
      <c r="V23" s="62"/>
      <c r="W23" s="61">
        <v>1.4999999999999999E-2</v>
      </c>
      <c r="X23" s="61">
        <v>1.4999999999999999E-2</v>
      </c>
      <c r="Y23" s="61">
        <v>1.4E-2</v>
      </c>
      <c r="Z23" s="61">
        <v>1.4E-2</v>
      </c>
      <c r="AA23" s="61">
        <v>1.2999999999999999E-2</v>
      </c>
      <c r="AB23" s="61">
        <v>1.2999999999999999E-2</v>
      </c>
      <c r="AC23" s="61">
        <v>1.4999999999999999E-2</v>
      </c>
      <c r="AD23" s="61">
        <v>1.4999999999999999E-2</v>
      </c>
      <c r="AE23" s="61">
        <v>1.4E-2</v>
      </c>
      <c r="AF23" s="61">
        <v>1.4E-2</v>
      </c>
      <c r="AG23" s="61">
        <v>1.2999999999999999E-2</v>
      </c>
      <c r="AH23" s="61">
        <v>1.2999999999999999E-2</v>
      </c>
      <c r="AI23" s="61">
        <v>1.2999999999999999E-2</v>
      </c>
      <c r="AJ23" s="61">
        <v>1.2E-2</v>
      </c>
      <c r="AK23" s="61">
        <v>1.2E-2</v>
      </c>
      <c r="AL23" s="61">
        <v>1.2E-2</v>
      </c>
      <c r="AM23" s="61">
        <v>1.0999999999999999E-2</v>
      </c>
      <c r="AN23" s="61">
        <v>1.0999999999999999E-2</v>
      </c>
      <c r="AO23" s="61">
        <v>0.01</v>
      </c>
      <c r="AP23" s="61">
        <v>0.01</v>
      </c>
      <c r="AQ23" s="61">
        <v>0.01</v>
      </c>
      <c r="AR23" s="61">
        <v>0.01</v>
      </c>
      <c r="AS23" s="61">
        <v>0.01</v>
      </c>
      <c r="AT23" s="61">
        <v>8.9999999999999993E-3</v>
      </c>
      <c r="AU23" s="61">
        <v>8.9999999999999993E-3</v>
      </c>
      <c r="AV23" s="61">
        <v>8.9999999999999993E-3</v>
      </c>
      <c r="AW23" s="61">
        <v>8.9999999999999993E-3</v>
      </c>
      <c r="AX23" s="61">
        <v>8.9999999999999993E-3</v>
      </c>
      <c r="AY23" s="61">
        <v>8.9999999999999993E-3</v>
      </c>
      <c r="AZ23" s="61">
        <v>8.0000000000000002E-3</v>
      </c>
    </row>
    <row r="24" spans="1:52" ht="20.25" customHeight="1" x14ac:dyDescent="0.25">
      <c r="A24" s="57">
        <v>22</v>
      </c>
      <c r="C24" s="64"/>
      <c r="D24" s="65" t="s">
        <v>52</v>
      </c>
      <c r="E24" s="65"/>
      <c r="F24" s="65"/>
      <c r="G24" s="65"/>
      <c r="H24" s="65"/>
      <c r="I24" s="65"/>
      <c r="J24" s="65"/>
      <c r="K24" s="65"/>
      <c r="L24" s="64"/>
      <c r="M24" s="64"/>
      <c r="N24" s="66"/>
      <c r="O24" s="66"/>
      <c r="P24" s="66"/>
      <c r="Q24" s="62"/>
      <c r="R24" s="62"/>
      <c r="S24" s="62"/>
      <c r="T24" s="62"/>
      <c r="U24" s="62"/>
      <c r="V24" s="62"/>
      <c r="W24" s="62"/>
      <c r="X24" s="61">
        <v>1.4999999999999999E-2</v>
      </c>
      <c r="Y24" s="61">
        <v>1.4E-2</v>
      </c>
      <c r="Z24" s="61">
        <v>1.4E-2</v>
      </c>
      <c r="AA24" s="61">
        <v>1.2999999999999999E-2</v>
      </c>
      <c r="AB24" s="61">
        <v>1.2999999999999999E-2</v>
      </c>
      <c r="AC24" s="61">
        <v>1.2E-2</v>
      </c>
      <c r="AD24" s="61">
        <v>1.2E-2</v>
      </c>
      <c r="AE24" s="61">
        <v>1.4E-2</v>
      </c>
      <c r="AF24" s="61">
        <v>1.4E-2</v>
      </c>
      <c r="AG24" s="61">
        <v>1.2999999999999999E-2</v>
      </c>
      <c r="AH24" s="61">
        <v>1.2999999999999999E-2</v>
      </c>
      <c r="AI24" s="61">
        <v>1.2999999999999999E-2</v>
      </c>
      <c r="AJ24" s="61">
        <v>1.2E-2</v>
      </c>
      <c r="AK24" s="61">
        <v>1.2E-2</v>
      </c>
      <c r="AL24" s="61">
        <v>1.2E-2</v>
      </c>
      <c r="AM24" s="61">
        <v>1.0999999999999999E-2</v>
      </c>
      <c r="AN24" s="61">
        <v>1.0999999999999999E-2</v>
      </c>
      <c r="AO24" s="61">
        <v>0.01</v>
      </c>
      <c r="AP24" s="61">
        <v>0.01</v>
      </c>
      <c r="AQ24" s="61">
        <v>0.01</v>
      </c>
      <c r="AR24" s="61">
        <v>0.01</v>
      </c>
      <c r="AS24" s="61">
        <v>0.01</v>
      </c>
      <c r="AT24" s="61">
        <v>8.9999999999999993E-3</v>
      </c>
      <c r="AU24" s="61">
        <v>8.9999999999999993E-3</v>
      </c>
      <c r="AV24" s="61">
        <v>8.9999999999999993E-3</v>
      </c>
      <c r="AW24" s="61">
        <v>8.9999999999999993E-3</v>
      </c>
      <c r="AX24" s="61">
        <v>8.9999999999999993E-3</v>
      </c>
      <c r="AY24" s="61">
        <v>8.9999999999999993E-3</v>
      </c>
      <c r="AZ24" s="61">
        <v>8.0000000000000002E-3</v>
      </c>
    </row>
    <row r="25" spans="1:52" ht="20.25" customHeight="1" x14ac:dyDescent="0.25">
      <c r="A25" s="57">
        <v>23</v>
      </c>
      <c r="C25" s="64"/>
      <c r="D25" s="65"/>
      <c r="E25" s="65"/>
      <c r="F25" s="65"/>
      <c r="G25" s="65"/>
      <c r="H25" s="65"/>
      <c r="I25" s="65"/>
      <c r="J25" s="65"/>
      <c r="K25" s="65"/>
      <c r="L25" s="64"/>
      <c r="M25" s="64"/>
      <c r="N25" s="66"/>
      <c r="O25" s="66"/>
      <c r="P25" s="66"/>
      <c r="Q25" s="62"/>
      <c r="R25" s="62"/>
      <c r="S25" s="62"/>
      <c r="T25" s="62"/>
      <c r="U25" s="62"/>
      <c r="V25" s="62"/>
      <c r="W25" s="62"/>
      <c r="X25" s="62"/>
      <c r="Y25" s="61">
        <v>1.4E-2</v>
      </c>
      <c r="Z25" s="61">
        <v>1.4E-2</v>
      </c>
      <c r="AA25" s="61">
        <v>1.2999999999999999E-2</v>
      </c>
      <c r="AB25" s="61">
        <v>1.2999999999999999E-2</v>
      </c>
      <c r="AC25" s="61">
        <v>1.2E-2</v>
      </c>
      <c r="AD25" s="61">
        <v>1.2E-2</v>
      </c>
      <c r="AE25" s="61">
        <v>1.0999999999999999E-2</v>
      </c>
      <c r="AF25" s="61">
        <v>1.0999999999999999E-2</v>
      </c>
      <c r="AG25" s="61">
        <v>1.2999999999999999E-2</v>
      </c>
      <c r="AH25" s="61">
        <v>1.2999999999999999E-2</v>
      </c>
      <c r="AI25" s="61">
        <v>1.2999999999999999E-2</v>
      </c>
      <c r="AJ25" s="61">
        <v>1.2E-2</v>
      </c>
      <c r="AK25" s="61">
        <v>1.2E-2</v>
      </c>
      <c r="AL25" s="61">
        <v>1.2E-2</v>
      </c>
      <c r="AM25" s="61">
        <v>1.0999999999999999E-2</v>
      </c>
      <c r="AN25" s="61">
        <v>1.0999999999999999E-2</v>
      </c>
      <c r="AO25" s="61">
        <v>0.01</v>
      </c>
      <c r="AP25" s="61">
        <v>0.01</v>
      </c>
      <c r="AQ25" s="61">
        <v>0.01</v>
      </c>
      <c r="AR25" s="61">
        <v>0.01</v>
      </c>
      <c r="AS25" s="61">
        <v>0.01</v>
      </c>
      <c r="AT25" s="61">
        <v>8.9999999999999993E-3</v>
      </c>
      <c r="AU25" s="61">
        <v>8.9999999999999993E-3</v>
      </c>
      <c r="AV25" s="61">
        <v>8.9999999999999993E-3</v>
      </c>
      <c r="AW25" s="61">
        <v>8.9999999999999993E-3</v>
      </c>
      <c r="AX25" s="61">
        <v>8.9999999999999993E-3</v>
      </c>
      <c r="AY25" s="61">
        <v>8.0000000000000002E-3</v>
      </c>
      <c r="AZ25" s="61">
        <v>8.0000000000000002E-3</v>
      </c>
    </row>
    <row r="26" spans="1:52" ht="20.25" customHeight="1" x14ac:dyDescent="0.25">
      <c r="A26" s="57">
        <v>24</v>
      </c>
      <c r="C26" s="64"/>
      <c r="D26" s="65" t="s">
        <v>53</v>
      </c>
      <c r="E26" s="65"/>
      <c r="F26" s="65"/>
      <c r="G26" s="65"/>
      <c r="H26" s="65"/>
      <c r="I26" s="65"/>
      <c r="J26" s="65"/>
      <c r="K26" s="65"/>
      <c r="L26" s="64"/>
      <c r="M26" s="64"/>
      <c r="N26" s="64"/>
      <c r="O26" s="64"/>
      <c r="P26" s="64"/>
      <c r="Q26" s="65"/>
      <c r="R26" s="65"/>
      <c r="S26" s="65"/>
      <c r="T26" s="65"/>
      <c r="U26" s="65"/>
      <c r="V26" s="62"/>
      <c r="W26" s="62"/>
      <c r="X26" s="62"/>
      <c r="Y26" s="62"/>
      <c r="Z26" s="61">
        <v>1.4E-2</v>
      </c>
      <c r="AA26" s="61">
        <v>1.2999999999999999E-2</v>
      </c>
      <c r="AB26" s="61">
        <v>1.2999999999999999E-2</v>
      </c>
      <c r="AC26" s="61">
        <v>1.2E-2</v>
      </c>
      <c r="AD26" s="61">
        <v>1.2E-2</v>
      </c>
      <c r="AE26" s="61">
        <v>1.0999999999999999E-2</v>
      </c>
      <c r="AF26" s="61">
        <v>1.0999999999999999E-2</v>
      </c>
      <c r="AG26" s="61">
        <v>1.0999999999999999E-2</v>
      </c>
      <c r="AH26" s="61">
        <v>0.01</v>
      </c>
      <c r="AI26" s="61">
        <v>1.2999999999999999E-2</v>
      </c>
      <c r="AJ26" s="61">
        <v>1.2E-2</v>
      </c>
      <c r="AK26" s="61">
        <v>1.2E-2</v>
      </c>
      <c r="AL26" s="61">
        <v>1.2E-2</v>
      </c>
      <c r="AM26" s="61">
        <v>1.0999999999999999E-2</v>
      </c>
      <c r="AN26" s="61">
        <v>1.0999999999999999E-2</v>
      </c>
      <c r="AO26" s="61">
        <v>0.01</v>
      </c>
      <c r="AP26" s="61">
        <v>0.01</v>
      </c>
      <c r="AQ26" s="61">
        <v>0.01</v>
      </c>
      <c r="AR26" s="61">
        <v>0.01</v>
      </c>
      <c r="AS26" s="61">
        <v>0.01</v>
      </c>
      <c r="AT26" s="61">
        <v>8.9999999999999993E-3</v>
      </c>
      <c r="AU26" s="61">
        <v>8.9999999999999993E-3</v>
      </c>
      <c r="AV26" s="61">
        <v>8.9999999999999993E-3</v>
      </c>
      <c r="AW26" s="61">
        <v>8.9999999999999993E-3</v>
      </c>
      <c r="AX26" s="61">
        <v>8.9999999999999993E-3</v>
      </c>
      <c r="AY26" s="61">
        <v>8.0000000000000002E-3</v>
      </c>
      <c r="AZ26" s="61">
        <v>8.0000000000000002E-3</v>
      </c>
    </row>
    <row r="27" spans="1:52" ht="20.25" customHeight="1" x14ac:dyDescent="0.25">
      <c r="A27" s="57">
        <v>25</v>
      </c>
      <c r="C27" s="64"/>
      <c r="D27" s="65"/>
      <c r="E27" s="65"/>
      <c r="F27" s="65"/>
      <c r="G27" s="65"/>
      <c r="H27" s="65"/>
      <c r="I27" s="65"/>
      <c r="J27" s="65"/>
      <c r="K27" s="65"/>
      <c r="L27" s="67"/>
      <c r="M27" s="68"/>
      <c r="N27" s="69"/>
      <c r="O27" s="64"/>
      <c r="P27" s="64"/>
      <c r="Q27" s="65"/>
      <c r="R27" s="65"/>
      <c r="S27" s="65"/>
      <c r="T27" s="65"/>
      <c r="U27" s="65"/>
      <c r="V27" s="62"/>
      <c r="W27" s="62"/>
      <c r="X27" s="62"/>
      <c r="Y27" s="62"/>
      <c r="Z27" s="62"/>
      <c r="AA27" s="61">
        <v>1.2999999999999999E-2</v>
      </c>
      <c r="AB27" s="61">
        <v>1.2999999999999999E-2</v>
      </c>
      <c r="AC27" s="61">
        <v>1.2E-2</v>
      </c>
      <c r="AD27" s="61">
        <v>1.2E-2</v>
      </c>
      <c r="AE27" s="61">
        <v>1.0999999999999999E-2</v>
      </c>
      <c r="AF27" s="61">
        <v>1.0999999999999999E-2</v>
      </c>
      <c r="AG27" s="61">
        <v>1.0999999999999999E-2</v>
      </c>
      <c r="AH27" s="61">
        <v>0.01</v>
      </c>
      <c r="AI27" s="61">
        <v>0.01</v>
      </c>
      <c r="AJ27" s="61">
        <v>0.01</v>
      </c>
      <c r="AK27" s="61">
        <v>1.2E-2</v>
      </c>
      <c r="AL27" s="61">
        <v>1.2E-2</v>
      </c>
      <c r="AM27" s="61">
        <v>1.0999999999999999E-2</v>
      </c>
      <c r="AN27" s="61">
        <v>1.0999999999999999E-2</v>
      </c>
      <c r="AO27" s="61">
        <v>0.01</v>
      </c>
      <c r="AP27" s="61">
        <v>0.01</v>
      </c>
      <c r="AQ27" s="61">
        <v>0.01</v>
      </c>
      <c r="AR27" s="61">
        <v>0.01</v>
      </c>
      <c r="AS27" s="61">
        <v>0.01</v>
      </c>
      <c r="AT27" s="61">
        <v>8.9999999999999993E-3</v>
      </c>
      <c r="AU27" s="61">
        <v>8.9999999999999993E-3</v>
      </c>
      <c r="AV27" s="61">
        <v>8.9999999999999993E-3</v>
      </c>
      <c r="AW27" s="61">
        <v>8.9999999999999993E-3</v>
      </c>
      <c r="AX27" s="61">
        <v>8.9999999999999993E-3</v>
      </c>
      <c r="AY27" s="61">
        <v>8.0000000000000002E-3</v>
      </c>
      <c r="AZ27" s="61">
        <v>8.0000000000000002E-3</v>
      </c>
    </row>
    <row r="28" spans="1:52" ht="20.25" customHeight="1" x14ac:dyDescent="0.25">
      <c r="A28" s="57">
        <v>26</v>
      </c>
      <c r="C28" s="64"/>
      <c r="D28" s="65" t="s">
        <v>55</v>
      </c>
      <c r="E28" s="65"/>
      <c r="F28" s="65"/>
      <c r="G28" s="65"/>
      <c r="H28" s="65"/>
      <c r="I28" s="65"/>
      <c r="J28" s="65"/>
      <c r="K28" s="70"/>
      <c r="L28" s="71"/>
      <c r="M28" s="72">
        <v>20</v>
      </c>
      <c r="N28" s="73"/>
      <c r="O28" s="64"/>
      <c r="P28" s="64"/>
      <c r="Q28" s="65"/>
      <c r="R28" s="65"/>
      <c r="S28" s="65"/>
      <c r="T28" s="65"/>
      <c r="U28" s="65"/>
      <c r="V28" s="62"/>
      <c r="W28" s="62"/>
      <c r="X28" s="62"/>
      <c r="Y28" s="62"/>
      <c r="Z28" s="62"/>
      <c r="AA28" s="62"/>
      <c r="AB28" s="61">
        <v>1.2999999999999999E-2</v>
      </c>
      <c r="AC28" s="61">
        <v>1.2E-2</v>
      </c>
      <c r="AD28" s="61">
        <v>1.2E-2</v>
      </c>
      <c r="AE28" s="61">
        <v>1.0999999999999999E-2</v>
      </c>
      <c r="AF28" s="61">
        <v>1.0999999999999999E-2</v>
      </c>
      <c r="AG28" s="61">
        <v>1.0999999999999999E-2</v>
      </c>
      <c r="AH28" s="61">
        <v>0.01</v>
      </c>
      <c r="AI28" s="61">
        <v>0.01</v>
      </c>
      <c r="AJ28" s="61">
        <v>0.01</v>
      </c>
      <c r="AK28" s="61">
        <v>0.01</v>
      </c>
      <c r="AL28" s="61">
        <v>8.9999999999999993E-3</v>
      </c>
      <c r="AM28" s="61">
        <v>1.0999999999999999E-2</v>
      </c>
      <c r="AN28" s="61">
        <v>1.0999999999999999E-2</v>
      </c>
      <c r="AO28" s="61">
        <v>0.01</v>
      </c>
      <c r="AP28" s="61">
        <v>0.01</v>
      </c>
      <c r="AQ28" s="61">
        <v>0.01</v>
      </c>
      <c r="AR28" s="61">
        <v>0.01</v>
      </c>
      <c r="AS28" s="61">
        <v>0.01</v>
      </c>
      <c r="AT28" s="61">
        <v>8.9999999999999993E-3</v>
      </c>
      <c r="AU28" s="61">
        <v>8.9999999999999993E-3</v>
      </c>
      <c r="AV28" s="61">
        <v>8.9999999999999993E-3</v>
      </c>
      <c r="AW28" s="61">
        <v>8.9999999999999993E-3</v>
      </c>
      <c r="AX28" s="61">
        <v>8.9999999999999993E-3</v>
      </c>
      <c r="AY28" s="61">
        <v>8.0000000000000002E-3</v>
      </c>
      <c r="AZ28" s="61">
        <v>8.0000000000000002E-3</v>
      </c>
    </row>
    <row r="29" spans="1:52" ht="20.25" customHeight="1" x14ac:dyDescent="0.25">
      <c r="A29" s="57">
        <v>27</v>
      </c>
      <c r="C29" s="64"/>
      <c r="D29" s="65"/>
      <c r="E29" s="65"/>
      <c r="F29" s="65"/>
      <c r="G29" s="65"/>
      <c r="H29" s="65"/>
      <c r="I29" s="65"/>
      <c r="J29" s="65"/>
      <c r="K29" s="65"/>
      <c r="L29" s="74"/>
      <c r="M29" s="75"/>
      <c r="N29" s="76"/>
      <c r="O29" s="64"/>
      <c r="P29" s="64"/>
      <c r="Q29" s="65"/>
      <c r="R29" s="65"/>
      <c r="S29" s="65"/>
      <c r="T29" s="65"/>
      <c r="U29" s="65"/>
      <c r="V29" s="62"/>
      <c r="W29" s="62"/>
      <c r="X29" s="62"/>
      <c r="Y29" s="62"/>
      <c r="Z29" s="62"/>
      <c r="AA29" s="62"/>
      <c r="AB29" s="62"/>
      <c r="AC29" s="61">
        <v>1.2E-2</v>
      </c>
      <c r="AD29" s="61">
        <v>1.2E-2</v>
      </c>
      <c r="AE29" s="61">
        <v>1.0999999999999999E-2</v>
      </c>
      <c r="AF29" s="61">
        <v>1.0999999999999999E-2</v>
      </c>
      <c r="AG29" s="61">
        <v>1.0999999999999999E-2</v>
      </c>
      <c r="AH29" s="61">
        <v>0.01</v>
      </c>
      <c r="AI29" s="61">
        <v>0.01</v>
      </c>
      <c r="AJ29" s="61">
        <v>0.01</v>
      </c>
      <c r="AK29" s="61">
        <v>0.01</v>
      </c>
      <c r="AL29" s="61">
        <v>8.9999999999999993E-3</v>
      </c>
      <c r="AM29" s="61">
        <v>8.9999999999999993E-3</v>
      </c>
      <c r="AN29" s="61">
        <v>8.9999999999999993E-3</v>
      </c>
      <c r="AO29" s="61">
        <v>0.01</v>
      </c>
      <c r="AP29" s="61">
        <v>0.01</v>
      </c>
      <c r="AQ29" s="61">
        <v>0.01</v>
      </c>
      <c r="AR29" s="61">
        <v>0.01</v>
      </c>
      <c r="AS29" s="61">
        <v>0.01</v>
      </c>
      <c r="AT29" s="61">
        <v>8.9999999999999993E-3</v>
      </c>
      <c r="AU29" s="61">
        <v>8.9999999999999993E-3</v>
      </c>
      <c r="AV29" s="61">
        <v>8.9999999999999993E-3</v>
      </c>
      <c r="AW29" s="61">
        <v>8.9999999999999993E-3</v>
      </c>
      <c r="AX29" s="61">
        <v>8.9999999999999993E-3</v>
      </c>
      <c r="AY29" s="61">
        <v>8.0000000000000002E-3</v>
      </c>
      <c r="AZ29" s="61">
        <v>8.0000000000000002E-3</v>
      </c>
    </row>
    <row r="30" spans="1:52" ht="20.25" customHeight="1" x14ac:dyDescent="0.25">
      <c r="A30" s="57">
        <v>28</v>
      </c>
      <c r="C30" s="64"/>
      <c r="D30" s="77"/>
      <c r="E30" s="77"/>
      <c r="F30" s="77"/>
      <c r="G30" s="77"/>
      <c r="H30" s="77"/>
      <c r="I30" s="77"/>
      <c r="J30" s="47"/>
      <c r="K30" s="78"/>
      <c r="L30" s="79"/>
      <c r="M30" s="66"/>
      <c r="N30" s="64"/>
      <c r="O30" s="64"/>
      <c r="P30" s="64"/>
      <c r="Q30" s="65"/>
      <c r="R30" s="65"/>
      <c r="S30" s="65"/>
      <c r="T30" s="65"/>
      <c r="U30" s="65"/>
      <c r="V30" s="62"/>
      <c r="W30" s="62"/>
      <c r="X30" s="62"/>
      <c r="Y30" s="62"/>
      <c r="Z30" s="62"/>
      <c r="AA30" s="62"/>
      <c r="AB30" s="62"/>
      <c r="AC30" s="62"/>
      <c r="AD30" s="61">
        <v>1.2E-2</v>
      </c>
      <c r="AE30" s="61">
        <v>1.0999999999999999E-2</v>
      </c>
      <c r="AF30" s="61">
        <v>1.0999999999999999E-2</v>
      </c>
      <c r="AG30" s="61">
        <v>1.0999999999999999E-2</v>
      </c>
      <c r="AH30" s="61">
        <v>0.01</v>
      </c>
      <c r="AI30" s="61">
        <v>0.01</v>
      </c>
      <c r="AJ30" s="61">
        <v>0.01</v>
      </c>
      <c r="AK30" s="61">
        <v>0.01</v>
      </c>
      <c r="AL30" s="61">
        <v>8.9999999999999993E-3</v>
      </c>
      <c r="AM30" s="61">
        <v>8.9999999999999993E-3</v>
      </c>
      <c r="AN30" s="61">
        <v>8.9999999999999993E-3</v>
      </c>
      <c r="AO30" s="61">
        <v>8.9999999999999993E-3</v>
      </c>
      <c r="AP30" s="61">
        <v>8.0000000000000002E-3</v>
      </c>
      <c r="AQ30" s="61">
        <v>0.01</v>
      </c>
      <c r="AR30" s="61">
        <v>0.01</v>
      </c>
      <c r="AS30" s="61">
        <v>0.01</v>
      </c>
      <c r="AT30" s="61">
        <v>8.9999999999999993E-3</v>
      </c>
      <c r="AU30" s="61">
        <v>8.9999999999999993E-3</v>
      </c>
      <c r="AV30" s="61">
        <v>8.9999999999999993E-3</v>
      </c>
      <c r="AW30" s="61">
        <v>8.9999999999999993E-3</v>
      </c>
      <c r="AX30" s="61">
        <v>8.9999999999999993E-3</v>
      </c>
      <c r="AY30" s="61">
        <v>8.0000000000000002E-3</v>
      </c>
      <c r="AZ30" s="61">
        <v>8.0000000000000002E-3</v>
      </c>
    </row>
    <row r="31" spans="1:52" ht="20.25" customHeight="1" x14ac:dyDescent="0.25">
      <c r="A31" s="57">
        <v>29</v>
      </c>
      <c r="C31" s="64"/>
      <c r="D31" s="65"/>
      <c r="E31" s="65"/>
      <c r="F31" s="65"/>
      <c r="G31" s="65"/>
      <c r="H31" s="65"/>
      <c r="I31" s="65"/>
      <c r="J31" s="80"/>
      <c r="K31" s="65"/>
      <c r="L31" s="67"/>
      <c r="M31" s="81"/>
      <c r="N31" s="69"/>
      <c r="O31" s="64"/>
      <c r="P31" s="64"/>
      <c r="Q31" s="65"/>
      <c r="R31" s="65"/>
      <c r="S31" s="65"/>
      <c r="T31" s="65"/>
      <c r="U31" s="65"/>
      <c r="V31" s="62"/>
      <c r="W31" s="62"/>
      <c r="X31" s="62"/>
      <c r="Y31" s="62"/>
      <c r="Z31" s="62"/>
      <c r="AA31" s="62"/>
      <c r="AB31" s="62"/>
      <c r="AC31" s="62"/>
      <c r="AD31" s="62"/>
      <c r="AE31" s="61">
        <v>1.0999999999999999E-2</v>
      </c>
      <c r="AF31" s="61">
        <v>1.0999999999999999E-2</v>
      </c>
      <c r="AG31" s="61">
        <v>1.0999999999999999E-2</v>
      </c>
      <c r="AH31" s="61">
        <v>0.01</v>
      </c>
      <c r="AI31" s="61">
        <v>0.01</v>
      </c>
      <c r="AJ31" s="61">
        <v>0.01</v>
      </c>
      <c r="AK31" s="61">
        <v>0.01</v>
      </c>
      <c r="AL31" s="61">
        <v>8.9999999999999993E-3</v>
      </c>
      <c r="AM31" s="61">
        <v>8.9999999999999993E-3</v>
      </c>
      <c r="AN31" s="61">
        <v>8.9999999999999993E-3</v>
      </c>
      <c r="AO31" s="61">
        <v>8.9999999999999993E-3</v>
      </c>
      <c r="AP31" s="61">
        <v>8.0000000000000002E-3</v>
      </c>
      <c r="AQ31" s="61">
        <v>8.0000000000000002E-3</v>
      </c>
      <c r="AR31" s="61">
        <v>8.0000000000000002E-3</v>
      </c>
      <c r="AS31" s="61">
        <v>8.0000000000000002E-3</v>
      </c>
      <c r="AT31" s="61">
        <v>8.9999999999999993E-3</v>
      </c>
      <c r="AU31" s="61">
        <v>8.9999999999999993E-3</v>
      </c>
      <c r="AV31" s="61">
        <v>8.9999999999999993E-3</v>
      </c>
      <c r="AW31" s="61">
        <v>8.9999999999999993E-3</v>
      </c>
      <c r="AX31" s="61">
        <v>8.9999999999999993E-3</v>
      </c>
      <c r="AY31" s="61">
        <v>8.0000000000000002E-3</v>
      </c>
      <c r="AZ31" s="61">
        <v>8.0000000000000002E-3</v>
      </c>
    </row>
    <row r="32" spans="1:52" ht="20.25" customHeight="1" x14ac:dyDescent="0.25">
      <c r="A32" s="57">
        <v>30</v>
      </c>
      <c r="C32" s="64"/>
      <c r="D32" s="65" t="s">
        <v>54</v>
      </c>
      <c r="E32" s="65"/>
      <c r="F32" s="65"/>
      <c r="G32" s="65"/>
      <c r="H32" s="65"/>
      <c r="I32" s="65"/>
      <c r="J32" s="62" t="s">
        <v>59</v>
      </c>
      <c r="K32" s="82"/>
      <c r="L32" s="71"/>
      <c r="M32" s="59">
        <f>59</f>
        <v>59</v>
      </c>
      <c r="N32" s="73"/>
      <c r="O32" s="64"/>
      <c r="P32" s="64"/>
      <c r="Q32" s="65"/>
      <c r="R32" s="65"/>
      <c r="S32" s="65"/>
      <c r="T32" s="65"/>
      <c r="U32" s="65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1">
        <v>1.0999999999999999E-2</v>
      </c>
      <c r="AG32" s="61">
        <v>1.0999999999999999E-2</v>
      </c>
      <c r="AH32" s="61">
        <v>0.01</v>
      </c>
      <c r="AI32" s="61">
        <v>0.01</v>
      </c>
      <c r="AJ32" s="61">
        <v>0.01</v>
      </c>
      <c r="AK32" s="61">
        <v>0.01</v>
      </c>
      <c r="AL32" s="61">
        <v>8.9999999999999993E-3</v>
      </c>
      <c r="AM32" s="61">
        <v>8.9999999999999993E-3</v>
      </c>
      <c r="AN32" s="61">
        <v>8.9999999999999993E-3</v>
      </c>
      <c r="AO32" s="61">
        <v>8.9999999999999993E-3</v>
      </c>
      <c r="AP32" s="61">
        <v>8.0000000000000002E-3</v>
      </c>
      <c r="AQ32" s="61">
        <v>8.0000000000000002E-3</v>
      </c>
      <c r="AR32" s="61">
        <v>8.0000000000000002E-3</v>
      </c>
      <c r="AS32" s="61">
        <v>8.0000000000000002E-3</v>
      </c>
      <c r="AT32" s="61">
        <v>8.0000000000000002E-3</v>
      </c>
      <c r="AU32" s="61">
        <v>8.9999999999999993E-3</v>
      </c>
      <c r="AV32" s="61">
        <v>8.9999999999999993E-3</v>
      </c>
      <c r="AW32" s="61">
        <v>8.9999999999999993E-3</v>
      </c>
      <c r="AX32" s="61">
        <v>8.9999999999999993E-3</v>
      </c>
      <c r="AY32" s="61">
        <v>8.0000000000000002E-3</v>
      </c>
      <c r="AZ32" s="61">
        <v>8.0000000000000002E-3</v>
      </c>
    </row>
    <row r="33" spans="1:52" ht="20.25" customHeight="1" x14ac:dyDescent="0.25">
      <c r="A33" s="57">
        <v>31</v>
      </c>
      <c r="C33" s="64"/>
      <c r="D33" s="65"/>
      <c r="E33" s="65"/>
      <c r="F33" s="65"/>
      <c r="G33" s="65"/>
      <c r="H33" s="65"/>
      <c r="I33" s="65"/>
      <c r="J33" s="65"/>
      <c r="K33" s="65"/>
      <c r="L33" s="74"/>
      <c r="M33" s="75"/>
      <c r="N33" s="76"/>
      <c r="O33" s="64"/>
      <c r="P33" s="64"/>
      <c r="Q33" s="65"/>
      <c r="R33" s="65"/>
      <c r="S33" s="65"/>
      <c r="T33" s="65"/>
      <c r="U33" s="65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1">
        <v>1.0999999999999999E-2</v>
      </c>
      <c r="AH33" s="61">
        <v>0.01</v>
      </c>
      <c r="AI33" s="61">
        <v>0.01</v>
      </c>
      <c r="AJ33" s="61">
        <v>0.01</v>
      </c>
      <c r="AK33" s="61">
        <v>0.01</v>
      </c>
      <c r="AL33" s="61">
        <v>8.9999999999999993E-3</v>
      </c>
      <c r="AM33" s="61">
        <v>8.9999999999999993E-3</v>
      </c>
      <c r="AN33" s="61">
        <v>8.9999999999999993E-3</v>
      </c>
      <c r="AO33" s="61">
        <v>8.9999999999999993E-3</v>
      </c>
      <c r="AP33" s="61">
        <v>8.0000000000000002E-3</v>
      </c>
      <c r="AQ33" s="61">
        <v>8.0000000000000002E-3</v>
      </c>
      <c r="AR33" s="61">
        <v>8.0000000000000002E-3</v>
      </c>
      <c r="AS33" s="61">
        <v>8.0000000000000002E-3</v>
      </c>
      <c r="AT33" s="61">
        <v>8.0000000000000002E-3</v>
      </c>
      <c r="AU33" s="61">
        <v>8.9999999999999993E-3</v>
      </c>
      <c r="AV33" s="61">
        <v>8.9999999999999993E-3</v>
      </c>
      <c r="AW33" s="61">
        <v>8.9999999999999993E-3</v>
      </c>
      <c r="AX33" s="61">
        <v>8.9999999999999993E-3</v>
      </c>
      <c r="AY33" s="61">
        <v>8.0000000000000002E-3</v>
      </c>
      <c r="AZ33" s="61">
        <v>8.0000000000000002E-3</v>
      </c>
    </row>
    <row r="34" spans="1:52" ht="20.25" customHeight="1" x14ac:dyDescent="0.25">
      <c r="A34" s="57">
        <v>32</v>
      </c>
      <c r="C34" s="64"/>
      <c r="D34" s="65"/>
      <c r="E34" s="65"/>
      <c r="F34" s="65"/>
      <c r="G34" s="65"/>
      <c r="H34" s="65"/>
      <c r="I34" s="65"/>
      <c r="J34" s="65"/>
      <c r="K34" s="65"/>
      <c r="L34" s="64"/>
      <c r="M34" s="66"/>
      <c r="N34" s="64"/>
      <c r="O34" s="64"/>
      <c r="P34" s="64"/>
      <c r="Q34" s="65"/>
      <c r="R34" s="65"/>
      <c r="S34" s="65"/>
      <c r="T34" s="65"/>
      <c r="U34" s="65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1">
        <v>0.01</v>
      </c>
      <c r="AI34" s="61">
        <v>0.01</v>
      </c>
      <c r="AJ34" s="61">
        <v>0.01</v>
      </c>
      <c r="AK34" s="61">
        <v>0.01</v>
      </c>
      <c r="AL34" s="61">
        <v>8.9999999999999993E-3</v>
      </c>
      <c r="AM34" s="61">
        <v>8.9999999999999993E-3</v>
      </c>
      <c r="AN34" s="61">
        <v>8.9999999999999993E-3</v>
      </c>
      <c r="AO34" s="61">
        <v>8.9999999999999993E-3</v>
      </c>
      <c r="AP34" s="61">
        <v>8.0000000000000002E-3</v>
      </c>
      <c r="AQ34" s="61">
        <v>8.0000000000000002E-3</v>
      </c>
      <c r="AR34" s="61">
        <v>8.0000000000000002E-3</v>
      </c>
      <c r="AS34" s="61">
        <v>8.0000000000000002E-3</v>
      </c>
      <c r="AT34" s="61">
        <v>8.0000000000000002E-3</v>
      </c>
      <c r="AU34" s="61">
        <v>8.0000000000000002E-3</v>
      </c>
      <c r="AV34" s="61">
        <v>7.0000000000000001E-3</v>
      </c>
      <c r="AW34" s="61">
        <v>7.0000000000000001E-3</v>
      </c>
      <c r="AX34" s="61">
        <v>7.0000000000000001E-3</v>
      </c>
      <c r="AY34" s="61">
        <v>8.0000000000000002E-3</v>
      </c>
      <c r="AZ34" s="61">
        <v>8.0000000000000002E-3</v>
      </c>
    </row>
    <row r="35" spans="1:52" ht="20.25" customHeight="1" x14ac:dyDescent="0.25">
      <c r="A35" s="57">
        <v>33</v>
      </c>
      <c r="C35" s="64"/>
      <c r="D35" s="65"/>
      <c r="E35" s="65"/>
      <c r="F35" s="65"/>
      <c r="G35" s="65"/>
      <c r="H35" s="65"/>
      <c r="I35" s="65"/>
      <c r="J35" s="62"/>
      <c r="K35" s="78"/>
      <c r="L35" s="67"/>
      <c r="M35" s="81"/>
      <c r="N35" s="69"/>
      <c r="O35" s="64"/>
      <c r="P35" s="64"/>
      <c r="Q35" s="65"/>
      <c r="R35" s="65"/>
      <c r="S35" s="65"/>
      <c r="T35" s="65"/>
      <c r="U35" s="65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1">
        <v>0.01</v>
      </c>
      <c r="AJ35" s="61">
        <v>0.01</v>
      </c>
      <c r="AK35" s="61">
        <v>0.01</v>
      </c>
      <c r="AL35" s="61">
        <v>8.9999999999999993E-3</v>
      </c>
      <c r="AM35" s="61">
        <v>8.9999999999999993E-3</v>
      </c>
      <c r="AN35" s="61">
        <v>8.9999999999999993E-3</v>
      </c>
      <c r="AO35" s="61">
        <v>8.9999999999999993E-3</v>
      </c>
      <c r="AP35" s="61">
        <v>8.0000000000000002E-3</v>
      </c>
      <c r="AQ35" s="61">
        <v>8.0000000000000002E-3</v>
      </c>
      <c r="AR35" s="61">
        <v>8.0000000000000002E-3</v>
      </c>
      <c r="AS35" s="61">
        <v>8.0000000000000002E-3</v>
      </c>
      <c r="AT35" s="61">
        <v>8.0000000000000002E-3</v>
      </c>
      <c r="AU35" s="61">
        <v>8.0000000000000002E-3</v>
      </c>
      <c r="AV35" s="61">
        <v>7.0000000000000001E-3</v>
      </c>
      <c r="AW35" s="61">
        <v>7.0000000000000001E-3</v>
      </c>
      <c r="AX35" s="61">
        <v>7.0000000000000001E-3</v>
      </c>
      <c r="AY35" s="61">
        <v>7.0000000000000001E-3</v>
      </c>
      <c r="AZ35" s="61">
        <v>7.0000000000000001E-3</v>
      </c>
    </row>
    <row r="36" spans="1:52" ht="20.25" customHeight="1" x14ac:dyDescent="0.25">
      <c r="A36" s="57">
        <v>34</v>
      </c>
      <c r="C36" s="64"/>
      <c r="D36" s="65" t="s">
        <v>57</v>
      </c>
      <c r="E36" s="64"/>
      <c r="F36" s="64"/>
      <c r="G36" s="64"/>
      <c r="H36" s="64"/>
      <c r="I36" s="64"/>
      <c r="J36" s="83" t="s">
        <v>60</v>
      </c>
      <c r="K36" s="82"/>
      <c r="L36" s="71"/>
      <c r="M36" s="84">
        <f>+M28*M32</f>
        <v>1180</v>
      </c>
      <c r="N36" s="73"/>
      <c r="O36" s="64"/>
      <c r="P36" s="64"/>
      <c r="Q36" s="65"/>
      <c r="R36" s="65"/>
      <c r="S36" s="65"/>
      <c r="T36" s="65"/>
      <c r="U36" s="65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1">
        <v>0.01</v>
      </c>
      <c r="AK36" s="61">
        <v>0.01</v>
      </c>
      <c r="AL36" s="61">
        <v>8.9999999999999993E-3</v>
      </c>
      <c r="AM36" s="61">
        <v>8.9999999999999993E-3</v>
      </c>
      <c r="AN36" s="61">
        <v>8.9999999999999993E-3</v>
      </c>
      <c r="AO36" s="61">
        <v>8.9999999999999993E-3</v>
      </c>
      <c r="AP36" s="61">
        <v>8.0000000000000002E-3</v>
      </c>
      <c r="AQ36" s="61">
        <v>8.0000000000000002E-3</v>
      </c>
      <c r="AR36" s="61">
        <v>8.0000000000000002E-3</v>
      </c>
      <c r="AS36" s="61">
        <v>8.0000000000000002E-3</v>
      </c>
      <c r="AT36" s="61">
        <v>8.0000000000000002E-3</v>
      </c>
      <c r="AU36" s="61">
        <v>8.0000000000000002E-3</v>
      </c>
      <c r="AV36" s="61">
        <v>7.0000000000000001E-3</v>
      </c>
      <c r="AW36" s="61">
        <v>7.0000000000000001E-3</v>
      </c>
      <c r="AX36" s="61">
        <v>7.0000000000000001E-3</v>
      </c>
      <c r="AY36" s="61">
        <v>7.0000000000000001E-3</v>
      </c>
      <c r="AZ36" s="61">
        <v>7.0000000000000001E-3</v>
      </c>
    </row>
    <row r="37" spans="1:52" ht="20.25" customHeight="1" x14ac:dyDescent="0.25">
      <c r="A37" s="57">
        <v>35</v>
      </c>
      <c r="C37" s="64"/>
      <c r="D37" s="64"/>
      <c r="E37" s="64"/>
      <c r="F37" s="64"/>
      <c r="G37" s="64"/>
      <c r="H37" s="64"/>
      <c r="I37" s="64"/>
      <c r="J37" s="64"/>
      <c r="K37" s="64"/>
      <c r="L37" s="74"/>
      <c r="M37" s="85"/>
      <c r="N37" s="76"/>
      <c r="O37" s="64"/>
      <c r="P37" s="64"/>
      <c r="Q37" s="65"/>
      <c r="R37" s="65"/>
      <c r="S37" s="65"/>
      <c r="T37" s="65"/>
      <c r="U37" s="65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1">
        <v>0.01</v>
      </c>
      <c r="AL37" s="61">
        <v>8.9999999999999993E-3</v>
      </c>
      <c r="AM37" s="61">
        <v>8.9999999999999993E-3</v>
      </c>
      <c r="AN37" s="61">
        <v>8.9999999999999993E-3</v>
      </c>
      <c r="AO37" s="61">
        <v>8.9999999999999993E-3</v>
      </c>
      <c r="AP37" s="61">
        <v>8.0000000000000002E-3</v>
      </c>
      <c r="AQ37" s="61">
        <v>8.0000000000000002E-3</v>
      </c>
      <c r="AR37" s="61">
        <v>8.0000000000000002E-3</v>
      </c>
      <c r="AS37" s="61">
        <v>8.0000000000000002E-3</v>
      </c>
      <c r="AT37" s="61">
        <v>8.0000000000000002E-3</v>
      </c>
      <c r="AU37" s="61">
        <v>8.0000000000000002E-3</v>
      </c>
      <c r="AV37" s="61">
        <v>7.0000000000000001E-3</v>
      </c>
      <c r="AW37" s="61">
        <v>7.0000000000000001E-3</v>
      </c>
      <c r="AX37" s="61">
        <v>7.0000000000000001E-3</v>
      </c>
      <c r="AY37" s="61">
        <v>7.0000000000000001E-3</v>
      </c>
      <c r="AZ37" s="61">
        <v>7.0000000000000001E-3</v>
      </c>
    </row>
    <row r="38" spans="1:52" ht="20.25" customHeight="1" x14ac:dyDescent="0.25">
      <c r="A38" s="57">
        <v>36</v>
      </c>
      <c r="C38" s="64"/>
      <c r="D38" s="65"/>
      <c r="E38" s="64"/>
      <c r="F38" s="64"/>
      <c r="G38" s="64"/>
      <c r="H38" s="64"/>
      <c r="I38" s="64"/>
      <c r="J38" s="83"/>
      <c r="K38" s="82"/>
      <c r="L38" s="64"/>
      <c r="M38" s="64"/>
      <c r="N38" s="64"/>
      <c r="O38" s="64"/>
      <c r="P38" s="64"/>
      <c r="Q38" s="65"/>
      <c r="R38" s="65"/>
      <c r="S38" s="65"/>
      <c r="T38" s="65"/>
      <c r="U38" s="65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1">
        <v>8.9999999999999993E-3</v>
      </c>
      <c r="AM38" s="61">
        <v>8.9999999999999993E-3</v>
      </c>
      <c r="AN38" s="61">
        <v>8.9999999999999993E-3</v>
      </c>
      <c r="AO38" s="61">
        <v>8.9999999999999993E-3</v>
      </c>
      <c r="AP38" s="61">
        <v>8.0000000000000002E-3</v>
      </c>
      <c r="AQ38" s="61">
        <v>8.0000000000000002E-3</v>
      </c>
      <c r="AR38" s="61">
        <v>8.0000000000000002E-3</v>
      </c>
      <c r="AS38" s="61">
        <v>8.0000000000000002E-3</v>
      </c>
      <c r="AT38" s="61">
        <v>8.0000000000000002E-3</v>
      </c>
      <c r="AU38" s="61">
        <v>8.0000000000000002E-3</v>
      </c>
      <c r="AV38" s="61">
        <v>7.0000000000000001E-3</v>
      </c>
      <c r="AW38" s="61">
        <v>7.0000000000000001E-3</v>
      </c>
      <c r="AX38" s="61">
        <v>7.0000000000000001E-3</v>
      </c>
      <c r="AY38" s="61">
        <v>7.0000000000000001E-3</v>
      </c>
      <c r="AZ38" s="61">
        <v>7.0000000000000001E-3</v>
      </c>
    </row>
    <row r="39" spans="1:52" ht="20.25" customHeight="1" x14ac:dyDescent="0.25">
      <c r="A39" s="57">
        <v>37</v>
      </c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5"/>
      <c r="R39" s="65"/>
      <c r="S39" s="65"/>
      <c r="T39" s="65"/>
      <c r="U39" s="65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1">
        <v>8.9999999999999993E-3</v>
      </c>
      <c r="AN39" s="61">
        <v>8.9999999999999993E-3</v>
      </c>
      <c r="AO39" s="61">
        <v>8.9999999999999993E-3</v>
      </c>
      <c r="AP39" s="61">
        <v>8.0000000000000002E-3</v>
      </c>
      <c r="AQ39" s="61">
        <v>8.0000000000000002E-3</v>
      </c>
      <c r="AR39" s="61">
        <v>8.0000000000000002E-3</v>
      </c>
      <c r="AS39" s="61">
        <v>8.0000000000000002E-3</v>
      </c>
      <c r="AT39" s="61">
        <v>8.0000000000000002E-3</v>
      </c>
      <c r="AU39" s="61">
        <v>8.0000000000000002E-3</v>
      </c>
      <c r="AV39" s="61">
        <v>7.0000000000000001E-3</v>
      </c>
      <c r="AW39" s="61">
        <v>7.0000000000000001E-3</v>
      </c>
      <c r="AX39" s="61">
        <v>7.0000000000000001E-3</v>
      </c>
      <c r="AY39" s="61">
        <v>7.0000000000000001E-3</v>
      </c>
      <c r="AZ39" s="61">
        <v>7.0000000000000001E-3</v>
      </c>
    </row>
    <row r="40" spans="1:52" ht="20.25" customHeight="1" x14ac:dyDescent="0.25">
      <c r="A40" s="57">
        <v>38</v>
      </c>
      <c r="C40" s="64"/>
      <c r="D40" s="65" t="s">
        <v>56</v>
      </c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5"/>
      <c r="R40" s="65"/>
      <c r="S40" s="65"/>
      <c r="T40" s="65"/>
      <c r="U40" s="65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1">
        <v>8.9999999999999993E-3</v>
      </c>
      <c r="AO40" s="61">
        <v>8.9999999999999993E-3</v>
      </c>
      <c r="AP40" s="61">
        <v>8.0000000000000002E-3</v>
      </c>
      <c r="AQ40" s="61">
        <v>8.0000000000000002E-3</v>
      </c>
      <c r="AR40" s="61">
        <v>8.0000000000000002E-3</v>
      </c>
      <c r="AS40" s="61">
        <v>8.0000000000000002E-3</v>
      </c>
      <c r="AT40" s="61">
        <v>8.0000000000000002E-3</v>
      </c>
      <c r="AU40" s="61">
        <v>8.0000000000000002E-3</v>
      </c>
      <c r="AV40" s="61">
        <v>7.0000000000000001E-3</v>
      </c>
      <c r="AW40" s="61">
        <v>7.0000000000000001E-3</v>
      </c>
      <c r="AX40" s="61">
        <v>7.0000000000000001E-3</v>
      </c>
      <c r="AY40" s="61">
        <v>7.0000000000000001E-3</v>
      </c>
      <c r="AZ40" s="61">
        <v>7.0000000000000001E-3</v>
      </c>
    </row>
    <row r="41" spans="1:52" ht="20.25" customHeight="1" x14ac:dyDescent="0.25">
      <c r="A41" s="57">
        <v>39</v>
      </c>
      <c r="C41" s="64"/>
      <c r="D41" s="65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5"/>
      <c r="R41" s="65"/>
      <c r="S41" s="65"/>
      <c r="T41" s="65"/>
      <c r="U41" s="65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1">
        <v>8.9999999999999993E-3</v>
      </c>
      <c r="AP41" s="61">
        <v>8.0000000000000002E-3</v>
      </c>
      <c r="AQ41" s="61">
        <v>8.0000000000000002E-3</v>
      </c>
      <c r="AR41" s="61">
        <v>8.0000000000000002E-3</v>
      </c>
      <c r="AS41" s="61">
        <v>8.0000000000000002E-3</v>
      </c>
      <c r="AT41" s="61">
        <v>8.0000000000000002E-3</v>
      </c>
      <c r="AU41" s="61">
        <v>8.0000000000000002E-3</v>
      </c>
      <c r="AV41" s="61">
        <v>7.0000000000000001E-3</v>
      </c>
      <c r="AW41" s="61">
        <v>7.0000000000000001E-3</v>
      </c>
      <c r="AX41" s="61">
        <v>7.0000000000000001E-3</v>
      </c>
      <c r="AY41" s="61">
        <v>7.0000000000000001E-3</v>
      </c>
      <c r="AZ41" s="61">
        <v>7.0000000000000001E-3</v>
      </c>
    </row>
    <row r="42" spans="1:52" ht="20.25" customHeight="1" x14ac:dyDescent="0.25">
      <c r="A42" s="57">
        <v>40</v>
      </c>
      <c r="C42" s="64"/>
      <c r="D42" s="65" t="s">
        <v>58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5"/>
      <c r="R42" s="65"/>
      <c r="S42" s="65"/>
      <c r="T42" s="65"/>
      <c r="U42" s="65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1">
        <v>8.0000000000000002E-3</v>
      </c>
      <c r="AQ42" s="61">
        <v>8.0000000000000002E-3</v>
      </c>
      <c r="AR42" s="61">
        <v>8.0000000000000002E-3</v>
      </c>
      <c r="AS42" s="61">
        <v>8.0000000000000002E-3</v>
      </c>
      <c r="AT42" s="61">
        <v>8.0000000000000002E-3</v>
      </c>
      <c r="AU42" s="61">
        <v>8.0000000000000002E-3</v>
      </c>
      <c r="AV42" s="61">
        <v>7.0000000000000001E-3</v>
      </c>
      <c r="AW42" s="61">
        <v>7.0000000000000001E-3</v>
      </c>
      <c r="AX42" s="61">
        <v>7.0000000000000001E-3</v>
      </c>
      <c r="AY42" s="61">
        <v>7.0000000000000001E-3</v>
      </c>
      <c r="AZ42" s="61">
        <v>7.0000000000000001E-3</v>
      </c>
    </row>
    <row r="43" spans="1:52" ht="20.25" customHeight="1" x14ac:dyDescent="0.25">
      <c r="A43" s="57">
        <v>41</v>
      </c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5"/>
      <c r="R43" s="65"/>
      <c r="S43" s="65"/>
      <c r="T43" s="65"/>
      <c r="U43" s="65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1">
        <v>8.0000000000000002E-3</v>
      </c>
      <c r="AR43" s="61">
        <v>8.0000000000000002E-3</v>
      </c>
      <c r="AS43" s="61">
        <v>8.0000000000000002E-3</v>
      </c>
      <c r="AT43" s="61">
        <v>8.0000000000000002E-3</v>
      </c>
      <c r="AU43" s="61">
        <v>8.0000000000000002E-3</v>
      </c>
      <c r="AV43" s="61">
        <v>7.0000000000000001E-3</v>
      </c>
      <c r="AW43" s="61">
        <v>7.0000000000000001E-3</v>
      </c>
      <c r="AX43" s="61">
        <v>7.0000000000000001E-3</v>
      </c>
      <c r="AY43" s="61">
        <v>7.0000000000000001E-3</v>
      </c>
      <c r="AZ43" s="61">
        <v>7.0000000000000001E-3</v>
      </c>
    </row>
    <row r="44" spans="1:52" ht="20.25" customHeight="1" x14ac:dyDescent="0.25">
      <c r="A44" s="57">
        <v>42</v>
      </c>
      <c r="C44" s="64"/>
      <c r="D44" s="65" t="s">
        <v>78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5"/>
      <c r="R44" s="65"/>
      <c r="S44" s="65"/>
      <c r="T44" s="65"/>
      <c r="U44" s="65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1">
        <v>8.0000000000000002E-3</v>
      </c>
      <c r="AS44" s="61">
        <v>8.0000000000000002E-3</v>
      </c>
      <c r="AT44" s="61">
        <v>8.0000000000000002E-3</v>
      </c>
      <c r="AU44" s="61">
        <v>8.0000000000000002E-3</v>
      </c>
      <c r="AV44" s="61">
        <v>7.0000000000000001E-3</v>
      </c>
      <c r="AW44" s="61">
        <v>7.0000000000000001E-3</v>
      </c>
      <c r="AX44" s="61">
        <v>7.0000000000000001E-3</v>
      </c>
      <c r="AY44" s="61">
        <v>7.0000000000000001E-3</v>
      </c>
      <c r="AZ44" s="61">
        <v>7.0000000000000001E-3</v>
      </c>
    </row>
    <row r="45" spans="1:52" ht="20.25" customHeight="1" x14ac:dyDescent="0.25">
      <c r="A45" s="57">
        <v>43</v>
      </c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5"/>
      <c r="R45" s="65"/>
      <c r="S45" s="65"/>
      <c r="T45" s="65"/>
      <c r="U45" s="65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1">
        <v>8.0000000000000002E-3</v>
      </c>
      <c r="AT45" s="61">
        <v>8.0000000000000002E-3</v>
      </c>
      <c r="AU45" s="61">
        <v>8.0000000000000002E-3</v>
      </c>
      <c r="AV45" s="61">
        <v>7.0000000000000001E-3</v>
      </c>
      <c r="AW45" s="61">
        <v>7.0000000000000001E-3</v>
      </c>
      <c r="AX45" s="61">
        <v>7.0000000000000001E-3</v>
      </c>
      <c r="AY45" s="61">
        <v>7.0000000000000001E-3</v>
      </c>
      <c r="AZ45" s="61">
        <v>7.0000000000000001E-3</v>
      </c>
    </row>
    <row r="46" spans="1:52" ht="20.25" customHeight="1" x14ac:dyDescent="0.25">
      <c r="A46" s="57">
        <v>44</v>
      </c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5"/>
      <c r="R46" s="65"/>
      <c r="S46" s="65"/>
      <c r="T46" s="65"/>
      <c r="U46" s="65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1">
        <v>8.0000000000000002E-3</v>
      </c>
      <c r="AU46" s="61">
        <v>8.0000000000000002E-3</v>
      </c>
      <c r="AV46" s="61">
        <v>7.0000000000000001E-3</v>
      </c>
      <c r="AW46" s="61">
        <v>7.0000000000000001E-3</v>
      </c>
      <c r="AX46" s="61">
        <v>7.0000000000000001E-3</v>
      </c>
      <c r="AY46" s="61">
        <v>7.0000000000000001E-3</v>
      </c>
      <c r="AZ46" s="61">
        <v>7.0000000000000001E-3</v>
      </c>
    </row>
    <row r="47" spans="1:52" ht="20.25" customHeight="1" x14ac:dyDescent="0.25">
      <c r="A47" s="57">
        <v>45</v>
      </c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5"/>
      <c r="R47" s="65"/>
      <c r="S47" s="65"/>
      <c r="T47" s="65"/>
      <c r="U47" s="65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1">
        <v>8.0000000000000002E-3</v>
      </c>
      <c r="AV47" s="61">
        <v>7.0000000000000001E-3</v>
      </c>
      <c r="AW47" s="61">
        <v>7.0000000000000001E-3</v>
      </c>
      <c r="AX47" s="61">
        <v>7.0000000000000001E-3</v>
      </c>
      <c r="AY47" s="61">
        <v>7.0000000000000001E-3</v>
      </c>
      <c r="AZ47" s="61">
        <v>7.0000000000000001E-3</v>
      </c>
    </row>
    <row r="48" spans="1:52" ht="20.25" customHeight="1" x14ac:dyDescent="0.25">
      <c r="A48" s="57">
        <v>46</v>
      </c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5"/>
      <c r="R48" s="65"/>
      <c r="S48" s="65"/>
      <c r="T48" s="65"/>
      <c r="U48" s="65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1">
        <v>7.0000000000000001E-3</v>
      </c>
      <c r="AW48" s="61">
        <v>7.0000000000000001E-3</v>
      </c>
      <c r="AX48" s="61">
        <v>7.0000000000000001E-3</v>
      </c>
      <c r="AY48" s="61">
        <v>7.0000000000000001E-3</v>
      </c>
      <c r="AZ48" s="61">
        <v>7.0000000000000001E-3</v>
      </c>
    </row>
    <row r="49" spans="1:52" ht="20.25" customHeight="1" x14ac:dyDescent="0.25">
      <c r="A49" s="57">
        <v>47</v>
      </c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5"/>
      <c r="R49" s="65"/>
      <c r="S49" s="65"/>
      <c r="T49" s="65"/>
      <c r="U49" s="65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1">
        <v>7.0000000000000001E-3</v>
      </c>
      <c r="AX49" s="61">
        <v>7.0000000000000001E-3</v>
      </c>
      <c r="AY49" s="61">
        <v>7.0000000000000001E-3</v>
      </c>
      <c r="AZ49" s="61">
        <v>7.0000000000000001E-3</v>
      </c>
    </row>
    <row r="50" spans="1:52" ht="20.25" customHeight="1" x14ac:dyDescent="0.25">
      <c r="A50" s="57">
        <v>48</v>
      </c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5"/>
      <c r="R50" s="65"/>
      <c r="S50" s="65"/>
      <c r="T50" s="65"/>
      <c r="U50" s="65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1">
        <v>7.0000000000000001E-3</v>
      </c>
      <c r="AY50" s="61">
        <v>7.0000000000000001E-3</v>
      </c>
      <c r="AZ50" s="61">
        <v>7.0000000000000001E-3</v>
      </c>
    </row>
    <row r="51" spans="1:52" ht="20.25" customHeight="1" x14ac:dyDescent="0.25">
      <c r="A51" s="57">
        <v>49</v>
      </c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5"/>
      <c r="R51" s="65"/>
      <c r="S51" s="65"/>
      <c r="T51" s="65"/>
      <c r="U51" s="65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1">
        <v>7.0000000000000001E-3</v>
      </c>
      <c r="AZ51" s="61">
        <v>7.0000000000000001E-3</v>
      </c>
    </row>
    <row r="52" spans="1:52" ht="20.25" customHeight="1" x14ac:dyDescent="0.25">
      <c r="A52" s="57">
        <v>50</v>
      </c>
      <c r="C52" s="64"/>
      <c r="D52" s="65" t="s">
        <v>76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5"/>
      <c r="R52" s="65"/>
      <c r="S52" s="65"/>
      <c r="T52" s="65"/>
      <c r="U52" s="65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1">
        <v>7.0000000000000001E-3</v>
      </c>
    </row>
    <row r="53" spans="1:52" x14ac:dyDescent="0.25"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</row>
  </sheetData>
  <pageMargins left="0" right="0" top="0" bottom="0" header="0.3" footer="0.3"/>
  <pageSetup scale="57" fitToWidth="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U39"/>
  <sheetViews>
    <sheetView workbookViewId="0">
      <selection activeCell="H1" sqref="H1:H8"/>
    </sheetView>
  </sheetViews>
  <sheetFormatPr defaultRowHeight="15" x14ac:dyDescent="0.25"/>
  <cols>
    <col min="1" max="1" width="6.5703125" style="1" customWidth="1"/>
    <col min="18" max="21" width="9.140625" style="133"/>
  </cols>
  <sheetData>
    <row r="1" spans="1:21" s="121" customFormat="1" x14ac:dyDescent="0.25">
      <c r="B1" s="93" t="s">
        <v>0</v>
      </c>
      <c r="C1" s="131" t="s">
        <v>195</v>
      </c>
      <c r="D1" s="121" t="s">
        <v>175</v>
      </c>
      <c r="E1" s="121" t="s">
        <v>176</v>
      </c>
      <c r="F1" s="121" t="s">
        <v>177</v>
      </c>
      <c r="G1" s="121" t="s">
        <v>178</v>
      </c>
      <c r="H1" s="121" t="s">
        <v>179</v>
      </c>
      <c r="I1" s="121" t="s">
        <v>180</v>
      </c>
      <c r="J1" s="121" t="s">
        <v>181</v>
      </c>
      <c r="K1" s="121" t="s">
        <v>182</v>
      </c>
      <c r="L1" s="129" t="s">
        <v>183</v>
      </c>
      <c r="M1" s="121" t="s">
        <v>184</v>
      </c>
      <c r="N1" s="121" t="s">
        <v>185</v>
      </c>
      <c r="O1" s="121" t="s">
        <v>186</v>
      </c>
      <c r="P1" s="121" t="s">
        <v>187</v>
      </c>
      <c r="R1" s="132"/>
      <c r="S1" s="132"/>
      <c r="T1" s="132"/>
      <c r="U1" s="132"/>
    </row>
    <row r="2" spans="1:21" s="121" customFormat="1" x14ac:dyDescent="0.25">
      <c r="A2" s="121" t="s">
        <v>188</v>
      </c>
      <c r="B2" s="93" t="s">
        <v>1</v>
      </c>
      <c r="C2" s="131" t="s">
        <v>196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30">
        <v>10</v>
      </c>
      <c r="M2" s="1">
        <v>11</v>
      </c>
      <c r="N2" s="1">
        <v>12</v>
      </c>
      <c r="O2" s="1">
        <v>13</v>
      </c>
      <c r="P2" s="1">
        <v>14</v>
      </c>
      <c r="R2" s="132"/>
      <c r="S2" s="132"/>
      <c r="T2" s="126" t="s">
        <v>193</v>
      </c>
      <c r="U2" s="132">
        <f>+T2*10</f>
        <v>160</v>
      </c>
    </row>
    <row r="3" spans="1:21" x14ac:dyDescent="0.25">
      <c r="A3" s="1">
        <v>1</v>
      </c>
      <c r="C3" s="1">
        <v>1</v>
      </c>
      <c r="D3">
        <v>0.75</v>
      </c>
      <c r="E3">
        <v>0.5</v>
      </c>
      <c r="F3">
        <v>0.375</v>
      </c>
      <c r="G3">
        <v>0.3</v>
      </c>
      <c r="H3">
        <v>0.27083333333333331</v>
      </c>
      <c r="I3">
        <v>0.25</v>
      </c>
      <c r="J3">
        <v>0.234375</v>
      </c>
      <c r="K3">
        <v>0.22222222222222221</v>
      </c>
      <c r="L3" s="130">
        <v>0.2</v>
      </c>
      <c r="M3">
        <v>0.20454545454545456</v>
      </c>
      <c r="N3">
        <v>0.19791666666666666</v>
      </c>
      <c r="O3">
        <v>0.18269230769230768</v>
      </c>
      <c r="P3">
        <v>0.17857142857142858</v>
      </c>
      <c r="T3" s="124">
        <v>120</v>
      </c>
      <c r="U3" s="133">
        <f>+T3/U$2</f>
        <v>0.75</v>
      </c>
    </row>
    <row r="4" spans="1:21" x14ac:dyDescent="0.25">
      <c r="A4" s="1">
        <f>+A3+1</f>
        <v>2</v>
      </c>
      <c r="D4">
        <v>0.25</v>
      </c>
      <c r="E4">
        <v>0.33333333333333331</v>
      </c>
      <c r="F4">
        <v>0.28125</v>
      </c>
      <c r="G4">
        <v>0.25</v>
      </c>
      <c r="H4">
        <v>0.20833333333333334</v>
      </c>
      <c r="I4">
        <v>0.19642857142857142</v>
      </c>
      <c r="J4">
        <v>0.1875</v>
      </c>
      <c r="K4">
        <v>0.16666666666666666</v>
      </c>
      <c r="L4" s="130">
        <v>0.15</v>
      </c>
      <c r="M4">
        <v>0.15909090909090909</v>
      </c>
      <c r="N4">
        <v>0.15625</v>
      </c>
      <c r="O4">
        <v>0.14423076923076922</v>
      </c>
      <c r="P4">
        <v>0.14285714285714285</v>
      </c>
      <c r="T4" s="125">
        <v>40</v>
      </c>
      <c r="U4" s="133">
        <f>+T4/U$2</f>
        <v>0.25</v>
      </c>
    </row>
    <row r="5" spans="1:21" x14ac:dyDescent="0.25">
      <c r="A5" s="1">
        <f t="shared" ref="A5:A12" si="0">+A4+1</f>
        <v>3</v>
      </c>
      <c r="E5">
        <v>0.16666666666666666</v>
      </c>
      <c r="F5">
        <v>0.21875</v>
      </c>
      <c r="G5">
        <v>0.2</v>
      </c>
      <c r="H5">
        <v>0.16666666666666666</v>
      </c>
      <c r="I5">
        <v>0.16071428571428573</v>
      </c>
      <c r="J5">
        <v>0.15625</v>
      </c>
      <c r="K5">
        <v>0.1388888888888889</v>
      </c>
      <c r="L5" s="130">
        <v>0.125</v>
      </c>
      <c r="M5">
        <v>0.11363636363636363</v>
      </c>
      <c r="N5">
        <v>0.10416666666666667</v>
      </c>
      <c r="O5">
        <v>0.10576923076923077</v>
      </c>
      <c r="P5">
        <v>0.10714285714285714</v>
      </c>
      <c r="T5" s="125"/>
      <c r="U5" s="133">
        <f>+T5/U$2</f>
        <v>0</v>
      </c>
    </row>
    <row r="6" spans="1:21" x14ac:dyDescent="0.25">
      <c r="A6" s="1">
        <f t="shared" si="0"/>
        <v>4</v>
      </c>
      <c r="F6">
        <v>0.125</v>
      </c>
      <c r="G6">
        <v>0.15</v>
      </c>
      <c r="H6">
        <v>0.14583333333333334</v>
      </c>
      <c r="I6">
        <v>0.125</v>
      </c>
      <c r="J6">
        <v>0.109375</v>
      </c>
      <c r="K6">
        <v>0.1111111111111111</v>
      </c>
      <c r="L6" s="130">
        <v>0.1</v>
      </c>
      <c r="M6">
        <v>9.0909090909090912E-2</v>
      </c>
      <c r="N6">
        <v>8.3333333333333329E-2</v>
      </c>
      <c r="O6">
        <v>8.6538461538461536E-2</v>
      </c>
      <c r="P6">
        <v>8.9285714285714288E-2</v>
      </c>
      <c r="T6" s="125"/>
      <c r="U6" s="133">
        <f>+T6/U$2</f>
        <v>0</v>
      </c>
    </row>
    <row r="7" spans="1:21" x14ac:dyDescent="0.25">
      <c r="A7" s="1">
        <f t="shared" si="0"/>
        <v>5</v>
      </c>
      <c r="G7">
        <v>0.1</v>
      </c>
      <c r="H7">
        <v>0.125</v>
      </c>
      <c r="I7">
        <v>0.10714285714285714</v>
      </c>
      <c r="J7">
        <v>9.375E-2</v>
      </c>
      <c r="K7">
        <v>8.3333333333333329E-2</v>
      </c>
      <c r="L7" s="130">
        <v>0.1</v>
      </c>
      <c r="M7">
        <v>9.0909090909090912E-2</v>
      </c>
      <c r="N7">
        <v>8.3333333333333329E-2</v>
      </c>
      <c r="O7">
        <v>7.6923076923076927E-2</v>
      </c>
      <c r="P7">
        <v>7.1428571428571425E-2</v>
      </c>
      <c r="T7" s="125"/>
      <c r="U7" s="133">
        <f>+T7/U$2</f>
        <v>0</v>
      </c>
    </row>
    <row r="8" spans="1:21" x14ac:dyDescent="0.25">
      <c r="A8" s="1">
        <f t="shared" si="0"/>
        <v>6</v>
      </c>
      <c r="H8">
        <v>8.3333333333333329E-2</v>
      </c>
      <c r="I8">
        <v>8.9285714285714288E-2</v>
      </c>
      <c r="J8">
        <v>7.8125E-2</v>
      </c>
      <c r="K8">
        <v>8.3333333333333329E-2</v>
      </c>
      <c r="L8" s="130">
        <v>7.4999999999999997E-2</v>
      </c>
      <c r="M8">
        <v>6.8181818181818177E-2</v>
      </c>
      <c r="N8">
        <v>7.2916666666666671E-2</v>
      </c>
      <c r="O8">
        <v>7.6923076923076927E-2</v>
      </c>
      <c r="P8">
        <v>7.1428571428571425E-2</v>
      </c>
      <c r="T8" s="133">
        <f>SUM(T3:T7)</f>
        <v>160</v>
      </c>
    </row>
    <row r="9" spans="1:21" x14ac:dyDescent="0.25">
      <c r="A9" s="1">
        <f t="shared" si="0"/>
        <v>7</v>
      </c>
      <c r="I9">
        <v>7.1428571428571425E-2</v>
      </c>
      <c r="J9">
        <v>7.8125E-2</v>
      </c>
      <c r="K9">
        <v>6.9444444444444448E-2</v>
      </c>
      <c r="L9" s="130">
        <v>7.4999999999999997E-2</v>
      </c>
      <c r="M9">
        <v>6.8181818181818177E-2</v>
      </c>
      <c r="N9">
        <v>6.25E-2</v>
      </c>
      <c r="O9">
        <v>5.7692307692307696E-2</v>
      </c>
      <c r="P9">
        <v>5.3571428571428568E-2</v>
      </c>
    </row>
    <row r="10" spans="1:21" x14ac:dyDescent="0.25">
      <c r="A10" s="1">
        <f t="shared" si="0"/>
        <v>8</v>
      </c>
      <c r="J10">
        <v>6.25E-2</v>
      </c>
      <c r="K10">
        <v>6.9444444444444448E-2</v>
      </c>
      <c r="L10" s="130">
        <v>6.25E-2</v>
      </c>
      <c r="M10">
        <v>5.6818181818181816E-2</v>
      </c>
      <c r="N10">
        <v>5.2083333333333336E-2</v>
      </c>
      <c r="O10">
        <v>5.7692307692307696E-2</v>
      </c>
      <c r="P10">
        <v>5.3571428571428568E-2</v>
      </c>
    </row>
    <row r="11" spans="1:21" x14ac:dyDescent="0.25">
      <c r="A11" s="1">
        <f t="shared" si="0"/>
        <v>9</v>
      </c>
      <c r="K11">
        <v>5.5555555555555552E-2</v>
      </c>
      <c r="L11" s="130">
        <v>6.25E-2</v>
      </c>
      <c r="M11">
        <v>5.6818181818181816E-2</v>
      </c>
      <c r="N11">
        <v>5.2083333333333336E-2</v>
      </c>
      <c r="O11">
        <v>4.807692307692308E-2</v>
      </c>
      <c r="P11">
        <v>4.4642857142857144E-2</v>
      </c>
    </row>
    <row r="12" spans="1:21" x14ac:dyDescent="0.25">
      <c r="A12" s="1">
        <f t="shared" si="0"/>
        <v>10</v>
      </c>
      <c r="L12" s="130">
        <v>0.05</v>
      </c>
      <c r="M12">
        <v>4.5454545454545456E-2</v>
      </c>
      <c r="N12">
        <v>5.2083333333333336E-2</v>
      </c>
      <c r="O12">
        <v>4.807692307692308E-2</v>
      </c>
      <c r="P12">
        <v>4.4642857142857144E-2</v>
      </c>
    </row>
    <row r="13" spans="1:21" x14ac:dyDescent="0.25">
      <c r="A13" s="1">
        <v>11</v>
      </c>
      <c r="M13">
        <v>4.5454545454545456E-2</v>
      </c>
      <c r="N13">
        <v>4.1666666666666664E-2</v>
      </c>
      <c r="O13">
        <v>3.8461538461538464E-2</v>
      </c>
      <c r="P13">
        <v>3.5714285714285712E-2</v>
      </c>
    </row>
    <row r="14" spans="1:21" x14ac:dyDescent="0.25">
      <c r="A14" s="1">
        <v>12</v>
      </c>
      <c r="N14">
        <v>4.1666666666666664E-2</v>
      </c>
      <c r="O14">
        <v>3.8461538461538464E-2</v>
      </c>
      <c r="P14">
        <v>3.5714285714285712E-2</v>
      </c>
    </row>
    <row r="15" spans="1:21" x14ac:dyDescent="0.25">
      <c r="A15" s="1">
        <v>13</v>
      </c>
      <c r="O15">
        <v>3.8461538461538464E-2</v>
      </c>
      <c r="P15">
        <v>3.5714285714285712E-2</v>
      </c>
    </row>
    <row r="16" spans="1:21" x14ac:dyDescent="0.25">
      <c r="A16" s="1">
        <v>14</v>
      </c>
      <c r="O16">
        <v>0</v>
      </c>
      <c r="P16">
        <v>3.5714285714285712E-2</v>
      </c>
    </row>
    <row r="19" spans="1:21" x14ac:dyDescent="0.25">
      <c r="A19" s="122" t="s">
        <v>189</v>
      </c>
    </row>
    <row r="20" spans="1:21" x14ac:dyDescent="0.25">
      <c r="D20" s="1">
        <f t="shared" ref="D20:K20" si="1">SUM(D24:D34)</f>
        <v>160</v>
      </c>
      <c r="E20" s="1">
        <f t="shared" si="1"/>
        <v>240</v>
      </c>
      <c r="F20" s="1">
        <f t="shared" si="1"/>
        <v>320</v>
      </c>
      <c r="G20" s="1">
        <f t="shared" si="1"/>
        <v>400</v>
      </c>
      <c r="H20" s="1">
        <f t="shared" si="1"/>
        <v>480</v>
      </c>
      <c r="I20" s="1">
        <f t="shared" si="1"/>
        <v>560</v>
      </c>
      <c r="J20" s="1">
        <f t="shared" si="1"/>
        <v>640</v>
      </c>
      <c r="K20" s="1">
        <f t="shared" si="1"/>
        <v>720</v>
      </c>
      <c r="L20" s="1">
        <f>SUM(L24:L34)</f>
        <v>800</v>
      </c>
      <c r="M20" s="1">
        <f>SUM(M24:M34)</f>
        <v>880</v>
      </c>
      <c r="N20" s="1">
        <f>SUM(N24:N37)</f>
        <v>960</v>
      </c>
      <c r="O20" s="1">
        <f>SUM(O24:O37)</f>
        <v>1040</v>
      </c>
      <c r="P20" s="1">
        <f>SUM(P24:P37)</f>
        <v>1120</v>
      </c>
    </row>
    <row r="21" spans="1:21" x14ac:dyDescent="0.25">
      <c r="D21" s="1">
        <v>2</v>
      </c>
      <c r="E21" s="1">
        <v>3</v>
      </c>
      <c r="F21" s="1">
        <v>4</v>
      </c>
      <c r="G21" s="1">
        <v>5</v>
      </c>
      <c r="H21" s="1">
        <v>6</v>
      </c>
      <c r="I21" s="1">
        <v>7</v>
      </c>
      <c r="J21" s="1">
        <v>8</v>
      </c>
      <c r="K21" s="1">
        <v>9</v>
      </c>
      <c r="L21" s="1">
        <v>10</v>
      </c>
      <c r="M21" s="1">
        <v>11</v>
      </c>
      <c r="N21" s="1">
        <v>12</v>
      </c>
      <c r="O21" s="1">
        <v>13</v>
      </c>
      <c r="P21" s="1">
        <v>14</v>
      </c>
    </row>
    <row r="22" spans="1:21" x14ac:dyDescent="0.25">
      <c r="A22" s="121"/>
      <c r="D22" s="121" t="s">
        <v>175</v>
      </c>
      <c r="E22" s="121" t="s">
        <v>176</v>
      </c>
      <c r="F22" s="121" t="s">
        <v>177</v>
      </c>
      <c r="G22" s="121" t="s">
        <v>178</v>
      </c>
      <c r="H22" s="121" t="s">
        <v>179</v>
      </c>
      <c r="I22" s="121" t="s">
        <v>180</v>
      </c>
      <c r="J22" s="121" t="s">
        <v>181</v>
      </c>
      <c r="K22" s="121" t="s">
        <v>182</v>
      </c>
      <c r="L22" s="121" t="s">
        <v>183</v>
      </c>
      <c r="M22" s="121" t="s">
        <v>184</v>
      </c>
      <c r="N22" s="121" t="s">
        <v>185</v>
      </c>
      <c r="O22" s="121" t="s">
        <v>186</v>
      </c>
      <c r="P22" s="121" t="s">
        <v>187</v>
      </c>
    </row>
    <row r="23" spans="1:21" s="123" customFormat="1" x14ac:dyDescent="0.25">
      <c r="D23" s="126" t="s">
        <v>193</v>
      </c>
      <c r="E23" s="126">
        <f>+D23+8</f>
        <v>24</v>
      </c>
      <c r="F23" s="126">
        <f t="shared" ref="F23:P23" si="2">+E23+8</f>
        <v>32</v>
      </c>
      <c r="G23" s="126">
        <f t="shared" si="2"/>
        <v>40</v>
      </c>
      <c r="H23" s="126">
        <f t="shared" si="2"/>
        <v>48</v>
      </c>
      <c r="I23" s="126">
        <f t="shared" si="2"/>
        <v>56</v>
      </c>
      <c r="J23" s="126">
        <f t="shared" si="2"/>
        <v>64</v>
      </c>
      <c r="K23" s="126">
        <f t="shared" si="2"/>
        <v>72</v>
      </c>
      <c r="L23" s="126">
        <f t="shared" si="2"/>
        <v>80</v>
      </c>
      <c r="M23" s="126">
        <f t="shared" si="2"/>
        <v>88</v>
      </c>
      <c r="N23" s="126">
        <f t="shared" si="2"/>
        <v>96</v>
      </c>
      <c r="O23" s="126">
        <f t="shared" si="2"/>
        <v>104</v>
      </c>
      <c r="P23" s="126">
        <f t="shared" si="2"/>
        <v>112</v>
      </c>
      <c r="Q23" s="128" t="s">
        <v>194</v>
      </c>
      <c r="R23" s="133"/>
      <c r="S23" s="133"/>
      <c r="T23" s="133"/>
      <c r="U23" s="133"/>
    </row>
    <row r="24" spans="1:21" x14ac:dyDescent="0.25">
      <c r="A24" s="127">
        <v>1</v>
      </c>
      <c r="D24" s="124">
        <v>120</v>
      </c>
      <c r="E24" s="125">
        <v>120</v>
      </c>
      <c r="F24" s="125">
        <v>120</v>
      </c>
      <c r="G24" s="125">
        <v>120</v>
      </c>
      <c r="H24" s="125">
        <v>130</v>
      </c>
      <c r="I24" s="125">
        <v>140</v>
      </c>
      <c r="J24" s="125">
        <v>150</v>
      </c>
      <c r="K24" s="125">
        <v>160</v>
      </c>
      <c r="L24" s="125">
        <v>160</v>
      </c>
      <c r="M24" s="125">
        <v>180</v>
      </c>
      <c r="N24" s="125">
        <v>190</v>
      </c>
      <c r="O24" s="125">
        <v>190</v>
      </c>
      <c r="P24" s="125">
        <v>200</v>
      </c>
    </row>
    <row r="25" spans="1:21" x14ac:dyDescent="0.25">
      <c r="A25" s="127">
        <f>+A24+1</f>
        <v>2</v>
      </c>
      <c r="D25" s="125">
        <v>40</v>
      </c>
      <c r="E25" s="125">
        <v>80</v>
      </c>
      <c r="F25" s="125">
        <v>90</v>
      </c>
      <c r="G25" s="125">
        <v>100</v>
      </c>
      <c r="H25" s="125">
        <v>100</v>
      </c>
      <c r="I25" s="125">
        <v>110</v>
      </c>
      <c r="J25" s="125">
        <v>120</v>
      </c>
      <c r="K25" s="125">
        <v>120</v>
      </c>
      <c r="L25" s="125">
        <v>120</v>
      </c>
      <c r="M25" s="125">
        <v>140</v>
      </c>
      <c r="N25" s="125">
        <v>150</v>
      </c>
      <c r="O25" s="125">
        <v>150</v>
      </c>
      <c r="P25" s="125">
        <v>160</v>
      </c>
    </row>
    <row r="26" spans="1:21" x14ac:dyDescent="0.25">
      <c r="A26" s="127">
        <f t="shared" ref="A26:A33" si="3">+A25+1</f>
        <v>3</v>
      </c>
      <c r="D26" s="125"/>
      <c r="E26" s="125">
        <v>40</v>
      </c>
      <c r="F26" s="125">
        <v>70</v>
      </c>
      <c r="G26" s="125">
        <v>80</v>
      </c>
      <c r="H26" s="125">
        <v>80</v>
      </c>
      <c r="I26" s="125">
        <v>90</v>
      </c>
      <c r="J26" s="125">
        <v>100</v>
      </c>
      <c r="K26" s="125">
        <v>100</v>
      </c>
      <c r="L26" s="125">
        <v>100</v>
      </c>
      <c r="M26" s="125">
        <v>100</v>
      </c>
      <c r="N26" s="125">
        <v>100</v>
      </c>
      <c r="O26" s="125">
        <v>110</v>
      </c>
      <c r="P26" s="125">
        <v>120</v>
      </c>
    </row>
    <row r="27" spans="1:21" x14ac:dyDescent="0.25">
      <c r="A27" s="127">
        <f t="shared" si="3"/>
        <v>4</v>
      </c>
      <c r="D27" s="125"/>
      <c r="E27" s="125"/>
      <c r="F27" s="125">
        <v>40</v>
      </c>
      <c r="G27" s="125">
        <v>60</v>
      </c>
      <c r="H27" s="125">
        <v>70</v>
      </c>
      <c r="I27" s="125">
        <v>70</v>
      </c>
      <c r="J27" s="125">
        <v>70</v>
      </c>
      <c r="K27" s="125">
        <v>80</v>
      </c>
      <c r="L27" s="125">
        <v>80</v>
      </c>
      <c r="M27" s="125">
        <v>80</v>
      </c>
      <c r="N27" s="125">
        <v>80</v>
      </c>
      <c r="O27" s="125">
        <v>90</v>
      </c>
      <c r="P27" s="125">
        <v>100</v>
      </c>
    </row>
    <row r="28" spans="1:21" x14ac:dyDescent="0.25">
      <c r="A28" s="127">
        <f t="shared" si="3"/>
        <v>5</v>
      </c>
      <c r="D28" s="125"/>
      <c r="E28" s="125"/>
      <c r="F28" s="125"/>
      <c r="G28" s="125">
        <v>40</v>
      </c>
      <c r="H28" s="125">
        <v>60</v>
      </c>
      <c r="I28" s="125">
        <v>60</v>
      </c>
      <c r="J28" s="125">
        <v>60</v>
      </c>
      <c r="K28" s="125">
        <v>60</v>
      </c>
      <c r="L28" s="125">
        <v>80</v>
      </c>
      <c r="M28" s="125">
        <v>80</v>
      </c>
      <c r="N28" s="125">
        <v>80</v>
      </c>
      <c r="O28" s="125">
        <v>80</v>
      </c>
      <c r="P28" s="125">
        <v>80</v>
      </c>
    </row>
    <row r="29" spans="1:21" x14ac:dyDescent="0.25">
      <c r="A29" s="127">
        <f t="shared" si="3"/>
        <v>6</v>
      </c>
      <c r="D29" s="125"/>
      <c r="E29" s="125"/>
      <c r="F29" s="125"/>
      <c r="G29" s="125"/>
      <c r="H29" s="125">
        <v>40</v>
      </c>
      <c r="I29" s="125">
        <v>50</v>
      </c>
      <c r="J29" s="125">
        <v>50</v>
      </c>
      <c r="K29" s="125">
        <v>60</v>
      </c>
      <c r="L29" s="125">
        <v>60</v>
      </c>
      <c r="M29" s="125">
        <v>60</v>
      </c>
      <c r="N29" s="125">
        <v>70</v>
      </c>
      <c r="O29" s="125">
        <v>80</v>
      </c>
      <c r="P29" s="125">
        <v>80</v>
      </c>
    </row>
    <row r="30" spans="1:21" x14ac:dyDescent="0.25">
      <c r="A30" s="127">
        <f t="shared" si="3"/>
        <v>7</v>
      </c>
      <c r="D30" s="125"/>
      <c r="E30" s="125"/>
      <c r="F30" s="125"/>
      <c r="G30" s="125"/>
      <c r="H30" s="125"/>
      <c r="I30" s="125">
        <v>40</v>
      </c>
      <c r="J30" s="125">
        <v>50</v>
      </c>
      <c r="K30" s="125">
        <v>50</v>
      </c>
      <c r="L30" s="125">
        <v>60</v>
      </c>
      <c r="M30" s="125">
        <v>60</v>
      </c>
      <c r="N30" s="125">
        <v>60</v>
      </c>
      <c r="O30" s="125">
        <v>60</v>
      </c>
      <c r="P30" s="125">
        <v>60</v>
      </c>
    </row>
    <row r="31" spans="1:21" x14ac:dyDescent="0.25">
      <c r="A31" s="127">
        <f t="shared" si="3"/>
        <v>8</v>
      </c>
      <c r="D31" s="125"/>
      <c r="E31" s="125"/>
      <c r="F31" s="125"/>
      <c r="G31" s="125"/>
      <c r="H31" s="125"/>
      <c r="I31" s="125"/>
      <c r="J31" s="125">
        <v>40</v>
      </c>
      <c r="K31" s="125">
        <v>50</v>
      </c>
      <c r="L31" s="125">
        <v>50</v>
      </c>
      <c r="M31" s="125">
        <v>50</v>
      </c>
      <c r="N31" s="125">
        <v>50</v>
      </c>
      <c r="O31" s="125">
        <v>60</v>
      </c>
      <c r="P31" s="125">
        <v>60</v>
      </c>
    </row>
    <row r="32" spans="1:21" x14ac:dyDescent="0.25">
      <c r="A32" s="127">
        <f t="shared" si="3"/>
        <v>9</v>
      </c>
      <c r="D32" s="125"/>
      <c r="E32" s="125"/>
      <c r="F32" s="125"/>
      <c r="G32" s="125"/>
      <c r="H32" s="125"/>
      <c r="I32" s="125"/>
      <c r="J32" s="125"/>
      <c r="K32" s="125">
        <v>40</v>
      </c>
      <c r="L32" s="125">
        <v>50</v>
      </c>
      <c r="M32" s="125">
        <v>50</v>
      </c>
      <c r="N32" s="125">
        <v>50</v>
      </c>
      <c r="O32" s="125">
        <v>50</v>
      </c>
      <c r="P32" s="125">
        <v>50</v>
      </c>
    </row>
    <row r="33" spans="1:16" x14ac:dyDescent="0.25">
      <c r="A33" s="127">
        <f t="shared" si="3"/>
        <v>10</v>
      </c>
      <c r="D33" s="125"/>
      <c r="E33" s="125"/>
      <c r="F33" s="125"/>
      <c r="G33" s="125"/>
      <c r="H33" s="125"/>
      <c r="I33" s="125"/>
      <c r="J33" s="125"/>
      <c r="K33" s="125"/>
      <c r="L33" s="125">
        <v>40</v>
      </c>
      <c r="M33" s="125">
        <v>40</v>
      </c>
      <c r="N33" s="125">
        <v>50</v>
      </c>
      <c r="O33" s="125">
        <v>50</v>
      </c>
      <c r="P33" s="125">
        <v>50</v>
      </c>
    </row>
    <row r="34" spans="1:16" x14ac:dyDescent="0.25">
      <c r="A34" s="127">
        <v>11</v>
      </c>
      <c r="D34" s="125"/>
      <c r="E34" s="125"/>
      <c r="F34" s="125"/>
      <c r="G34" s="125"/>
      <c r="H34" s="125"/>
      <c r="I34" s="125"/>
      <c r="J34" s="125"/>
      <c r="K34" s="125"/>
      <c r="L34" s="125"/>
      <c r="M34" s="125">
        <v>40</v>
      </c>
      <c r="N34" s="125">
        <v>40</v>
      </c>
      <c r="O34" s="125">
        <v>40</v>
      </c>
      <c r="P34" s="125">
        <v>40</v>
      </c>
    </row>
    <row r="35" spans="1:16" x14ac:dyDescent="0.25">
      <c r="A35" s="127">
        <v>12</v>
      </c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>
        <v>40</v>
      </c>
      <c r="O35" s="125">
        <v>40</v>
      </c>
      <c r="P35" s="125">
        <v>40</v>
      </c>
    </row>
    <row r="36" spans="1:16" x14ac:dyDescent="0.25">
      <c r="A36" s="127">
        <v>13</v>
      </c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>
        <v>40</v>
      </c>
      <c r="P36" s="125">
        <v>40</v>
      </c>
    </row>
    <row r="37" spans="1:16" x14ac:dyDescent="0.25">
      <c r="A37" s="127">
        <v>14</v>
      </c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>
        <v>40</v>
      </c>
    </row>
    <row r="38" spans="1:16" x14ac:dyDescent="0.25">
      <c r="D38">
        <f t="shared" ref="D38:P38" si="4">10*D21*8</f>
        <v>160</v>
      </c>
      <c r="E38">
        <f t="shared" si="4"/>
        <v>240</v>
      </c>
      <c r="F38">
        <f t="shared" si="4"/>
        <v>320</v>
      </c>
      <c r="G38">
        <f t="shared" si="4"/>
        <v>400</v>
      </c>
      <c r="H38">
        <f t="shared" si="4"/>
        <v>480</v>
      </c>
      <c r="I38">
        <f t="shared" si="4"/>
        <v>560</v>
      </c>
      <c r="J38">
        <f t="shared" si="4"/>
        <v>640</v>
      </c>
      <c r="K38">
        <f t="shared" si="4"/>
        <v>720</v>
      </c>
      <c r="L38">
        <f t="shared" si="4"/>
        <v>800</v>
      </c>
      <c r="M38">
        <f t="shared" si="4"/>
        <v>880</v>
      </c>
      <c r="N38">
        <f t="shared" si="4"/>
        <v>960</v>
      </c>
      <c r="O38">
        <f t="shared" si="4"/>
        <v>1040</v>
      </c>
      <c r="P38">
        <f t="shared" si="4"/>
        <v>1120</v>
      </c>
    </row>
    <row r="39" spans="1:16" x14ac:dyDescent="0.25">
      <c r="D39">
        <f t="shared" ref="D39:P39" si="5">+D38-D20</f>
        <v>0</v>
      </c>
      <c r="E39">
        <f t="shared" si="5"/>
        <v>0</v>
      </c>
      <c r="F39">
        <f t="shared" si="5"/>
        <v>0</v>
      </c>
      <c r="G39">
        <f t="shared" si="5"/>
        <v>0</v>
      </c>
      <c r="H39">
        <f t="shared" si="5"/>
        <v>0</v>
      </c>
      <c r="I39">
        <f t="shared" si="5"/>
        <v>0</v>
      </c>
      <c r="J39">
        <f t="shared" si="5"/>
        <v>0</v>
      </c>
      <c r="K39">
        <f t="shared" si="5"/>
        <v>0</v>
      </c>
      <c r="L39">
        <f t="shared" si="5"/>
        <v>0</v>
      </c>
      <c r="M39">
        <f t="shared" si="5"/>
        <v>0</v>
      </c>
      <c r="N39">
        <f t="shared" si="5"/>
        <v>0</v>
      </c>
      <c r="O39">
        <f t="shared" si="5"/>
        <v>0</v>
      </c>
      <c r="P39">
        <f t="shared" si="5"/>
        <v>0</v>
      </c>
    </row>
  </sheetData>
  <pageMargins left="0.2" right="0.2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pageSetUpPr fitToPage="1"/>
  </sheetPr>
  <dimension ref="A1:BA52"/>
  <sheetViews>
    <sheetView zoomScale="55" zoomScaleNormal="55" workbookViewId="0">
      <selection activeCell="J25" sqref="J25"/>
    </sheetView>
  </sheetViews>
  <sheetFormatPr defaultRowHeight="15" x14ac:dyDescent="0.25"/>
  <cols>
    <col min="1" max="4" width="10.140625" customWidth="1"/>
    <col min="5" max="6" width="7.42578125" bestFit="1" customWidth="1"/>
    <col min="7" max="7" width="7.7109375" bestFit="1" customWidth="1"/>
    <col min="8" max="8" width="5.5703125" customWidth="1"/>
    <col min="9" max="9" width="3.28515625" customWidth="1"/>
    <col min="10" max="10" width="11" bestFit="1" customWidth="1"/>
    <col min="11" max="11" width="3.28515625" customWidth="1"/>
    <col min="12" max="12" width="7.140625" bestFit="1" customWidth="1"/>
    <col min="13" max="13" width="4.5703125" customWidth="1"/>
    <col min="14" max="14" width="9" bestFit="1" customWidth="1"/>
    <col min="15" max="15" width="8.140625" bestFit="1" customWidth="1"/>
    <col min="16" max="16" width="8.7109375" bestFit="1" customWidth="1"/>
    <col min="17" max="17" width="11.5703125" bestFit="1" customWidth="1"/>
    <col min="18" max="18" width="9" bestFit="1" customWidth="1"/>
    <col min="19" max="19" width="8.7109375" bestFit="1" customWidth="1"/>
    <col min="20" max="20" width="8.42578125" bestFit="1" customWidth="1"/>
    <col min="21" max="21" width="8.7109375" bestFit="1" customWidth="1"/>
    <col min="22" max="22" width="4.28515625" bestFit="1" customWidth="1"/>
    <col min="23" max="23" width="9.28515625" bestFit="1" customWidth="1"/>
    <col min="24" max="24" width="5.42578125" customWidth="1"/>
    <col min="25" max="25" width="10" bestFit="1" customWidth="1"/>
    <col min="26" max="26" width="2.7109375" style="1" customWidth="1"/>
    <col min="27" max="27" width="9.7109375" bestFit="1" customWidth="1"/>
    <col min="28" max="28" width="8.42578125" customWidth="1"/>
    <col min="29" max="29" width="8.7109375" bestFit="1" customWidth="1"/>
    <col min="30" max="31" width="8.42578125" customWidth="1"/>
    <col min="32" max="32" width="8.7109375" bestFit="1" customWidth="1"/>
    <col min="33" max="33" width="12.28515625" bestFit="1" customWidth="1"/>
    <col min="34" max="34" width="5.42578125" customWidth="1"/>
    <col min="35" max="35" width="10" bestFit="1" customWidth="1"/>
    <col min="36" max="36" width="5.42578125" customWidth="1"/>
    <col min="37" max="37" width="10.85546875" customWidth="1"/>
    <col min="38" max="38" width="8.42578125" customWidth="1"/>
    <col min="39" max="39" width="8.7109375" bestFit="1" customWidth="1"/>
    <col min="40" max="40" width="4.28515625" bestFit="1" customWidth="1"/>
    <col min="41" max="41" width="5.42578125" customWidth="1"/>
    <col min="42" max="42" width="11.85546875" bestFit="1" customWidth="1"/>
    <col min="43" max="51" width="10.140625" customWidth="1"/>
    <col min="53" max="53" width="4.28515625" style="1" bestFit="1" customWidth="1"/>
  </cols>
  <sheetData>
    <row r="1" spans="1:51" ht="19.5" customHeight="1" x14ac:dyDescent="0.35">
      <c r="A1" s="5" t="s">
        <v>61</v>
      </c>
      <c r="L1" s="28"/>
      <c r="M1" s="5" t="s">
        <v>66</v>
      </c>
      <c r="N1" s="5"/>
      <c r="O1" s="12"/>
      <c r="P1" s="12"/>
      <c r="Q1" s="12"/>
      <c r="R1" s="12"/>
      <c r="S1" s="12"/>
      <c r="T1" s="28"/>
      <c r="U1" s="5" t="s">
        <v>73</v>
      </c>
      <c r="V1" s="12"/>
      <c r="W1" s="12"/>
      <c r="X1" s="12"/>
      <c r="Y1" s="12"/>
      <c r="Z1" s="35"/>
      <c r="AA1" s="12"/>
      <c r="AB1" s="28"/>
      <c r="AC1" s="5" t="s">
        <v>67</v>
      </c>
      <c r="AD1" s="12"/>
      <c r="AE1" s="28"/>
      <c r="AF1" s="5" t="s">
        <v>68</v>
      </c>
      <c r="AG1" s="12"/>
      <c r="AH1" s="12"/>
      <c r="AI1" s="12"/>
      <c r="AJ1" s="12"/>
      <c r="AK1" s="12"/>
      <c r="AL1" s="28"/>
      <c r="AM1" s="5" t="s">
        <v>71</v>
      </c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</row>
    <row r="2" spans="1:51" ht="19.5" customHeight="1" x14ac:dyDescent="0.35">
      <c r="A2" s="5"/>
      <c r="L2" s="28"/>
      <c r="M2" s="5" t="s">
        <v>72</v>
      </c>
      <c r="N2" s="5"/>
      <c r="O2" s="12"/>
      <c r="P2" s="12"/>
      <c r="Q2" s="12"/>
      <c r="R2" s="12"/>
      <c r="S2" s="12"/>
      <c r="T2" s="28"/>
      <c r="U2" s="29"/>
      <c r="V2" s="12"/>
      <c r="W2" s="12"/>
      <c r="X2" s="12"/>
      <c r="Y2" s="12"/>
      <c r="Z2" s="35"/>
      <c r="AA2" s="12"/>
      <c r="AB2" s="28"/>
      <c r="AC2" s="29"/>
      <c r="AD2" s="12"/>
      <c r="AE2" s="28"/>
      <c r="AF2" s="29"/>
      <c r="AG2" s="12"/>
      <c r="AH2" s="12"/>
      <c r="AI2" s="12"/>
      <c r="AJ2" s="12"/>
      <c r="AK2" s="12"/>
      <c r="AL2" s="28"/>
      <c r="AM2" s="29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</row>
    <row r="3" spans="1:51" ht="19.5" customHeight="1" thickBot="1" x14ac:dyDescent="0.4">
      <c r="A3" s="5"/>
      <c r="L3" s="28"/>
      <c r="M3" s="29"/>
      <c r="N3" s="48"/>
      <c r="O3" s="12"/>
      <c r="P3" s="12"/>
      <c r="Q3" s="12"/>
      <c r="R3" s="12"/>
      <c r="S3" s="12"/>
      <c r="T3" s="28"/>
      <c r="U3" s="29"/>
      <c r="V3" s="12"/>
      <c r="W3" s="12"/>
      <c r="X3" s="12"/>
      <c r="Y3" s="12"/>
      <c r="Z3" s="35"/>
      <c r="AA3" s="12"/>
      <c r="AB3" s="28"/>
      <c r="AC3" s="29"/>
      <c r="AD3" s="12"/>
      <c r="AE3" s="28"/>
      <c r="AF3" s="29"/>
      <c r="AG3" s="12"/>
      <c r="AH3" s="12"/>
      <c r="AI3" s="12"/>
      <c r="AJ3" s="12"/>
      <c r="AK3" s="12"/>
      <c r="AL3" s="28"/>
      <c r="AM3" s="29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</row>
    <row r="4" spans="1:51" ht="19.5" customHeight="1" x14ac:dyDescent="0.25">
      <c r="L4" s="28"/>
      <c r="M4" s="3"/>
      <c r="N4" s="3" t="s">
        <v>0</v>
      </c>
      <c r="O4" s="2" t="s">
        <v>27</v>
      </c>
      <c r="P4" s="2" t="s">
        <v>28</v>
      </c>
      <c r="Q4" s="41" t="s">
        <v>29</v>
      </c>
      <c r="R4" s="2" t="s">
        <v>30</v>
      </c>
      <c r="S4" s="2" t="s">
        <v>31</v>
      </c>
      <c r="T4" s="28"/>
      <c r="U4" s="29"/>
      <c r="V4" s="12"/>
      <c r="W4" s="32" t="s">
        <v>29</v>
      </c>
      <c r="X4" s="46"/>
      <c r="Y4" s="12"/>
      <c r="Z4" s="35"/>
      <c r="AA4" s="12"/>
      <c r="AB4" s="28"/>
      <c r="AC4" s="29"/>
      <c r="AD4" s="12"/>
      <c r="AE4" s="28"/>
      <c r="AF4" s="29"/>
      <c r="AG4" s="12"/>
      <c r="AH4" s="12"/>
      <c r="AI4" s="12"/>
      <c r="AJ4" s="12"/>
      <c r="AK4" s="12"/>
      <c r="AL4" s="28"/>
      <c r="AM4" s="29"/>
      <c r="AN4" s="12"/>
      <c r="AO4" s="12"/>
      <c r="AP4" s="35" t="s">
        <v>77</v>
      </c>
      <c r="AQ4" s="12"/>
      <c r="AR4" s="12"/>
      <c r="AS4" s="12"/>
      <c r="AT4" s="12"/>
      <c r="AU4" s="12"/>
      <c r="AV4" s="12"/>
      <c r="AW4" s="12"/>
      <c r="AX4" s="12"/>
      <c r="AY4" s="12"/>
    </row>
    <row r="5" spans="1:51" ht="19.5" customHeight="1" x14ac:dyDescent="0.25">
      <c r="L5" s="28"/>
      <c r="M5" s="3"/>
      <c r="N5" s="3" t="s">
        <v>1</v>
      </c>
      <c r="O5" s="3">
        <v>26</v>
      </c>
      <c r="P5" s="3">
        <v>27</v>
      </c>
      <c r="Q5" s="42">
        <v>28</v>
      </c>
      <c r="R5" s="3">
        <v>29</v>
      </c>
      <c r="S5" s="3">
        <v>30</v>
      </c>
      <c r="T5" s="28"/>
      <c r="U5" s="29"/>
      <c r="V5" s="12"/>
      <c r="W5" s="33">
        <v>28</v>
      </c>
      <c r="X5" s="4"/>
      <c r="Y5" s="12"/>
      <c r="Z5" s="35"/>
      <c r="AA5" s="12"/>
      <c r="AB5" s="28"/>
      <c r="AC5" s="29"/>
      <c r="AD5" s="12"/>
      <c r="AE5" s="28"/>
      <c r="AF5" s="29"/>
      <c r="AG5" s="12" t="s">
        <v>65</v>
      </c>
      <c r="AH5" s="12"/>
      <c r="AI5" s="12" t="s">
        <v>69</v>
      </c>
      <c r="AJ5" s="12"/>
      <c r="AK5" s="12" t="s">
        <v>70</v>
      </c>
      <c r="AL5" s="28"/>
      <c r="AM5" s="29"/>
      <c r="AN5" s="12"/>
      <c r="AO5" s="12"/>
      <c r="AP5" s="12" t="s">
        <v>71</v>
      </c>
      <c r="AQ5" s="12"/>
      <c r="AR5" s="12"/>
      <c r="AS5" s="12"/>
      <c r="AT5" s="12"/>
      <c r="AU5" s="12"/>
      <c r="AV5" s="12"/>
      <c r="AW5" s="12"/>
      <c r="AX5" s="12"/>
      <c r="AY5" s="12"/>
    </row>
    <row r="6" spans="1:51" ht="19.5" customHeight="1" x14ac:dyDescent="0.25">
      <c r="L6" s="28"/>
      <c r="M6" s="29"/>
      <c r="N6" s="48"/>
      <c r="O6" s="3"/>
      <c r="P6" s="3"/>
      <c r="Q6" s="42"/>
      <c r="R6" s="3"/>
      <c r="S6" s="3"/>
      <c r="T6" s="28"/>
      <c r="U6" s="29"/>
      <c r="V6" s="12"/>
      <c r="W6" s="33"/>
      <c r="X6" s="4"/>
      <c r="Y6" s="12"/>
      <c r="Z6" s="35"/>
      <c r="AA6" s="12"/>
      <c r="AB6" s="28"/>
      <c r="AC6" s="29"/>
      <c r="AD6" s="35"/>
      <c r="AE6" s="28"/>
      <c r="AF6" s="29"/>
      <c r="AG6" s="12"/>
      <c r="AH6" s="12"/>
      <c r="AI6" s="12"/>
      <c r="AJ6" s="12"/>
      <c r="AK6" s="12"/>
      <c r="AL6" s="28"/>
      <c r="AM6" s="29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</row>
    <row r="7" spans="1:51" ht="19.5" customHeight="1" x14ac:dyDescent="0.35">
      <c r="A7" s="5" t="s">
        <v>62</v>
      </c>
      <c r="L7" s="28"/>
      <c r="M7" s="29"/>
      <c r="N7" s="48"/>
      <c r="O7" s="26">
        <v>0.17599999999999999</v>
      </c>
      <c r="P7" s="30">
        <v>0.17599999999999999</v>
      </c>
      <c r="Q7" s="43">
        <v>0.17599999999999999</v>
      </c>
      <c r="R7" s="31">
        <v>0.17599999999999999</v>
      </c>
      <c r="S7" s="26">
        <v>0.17499999999999999</v>
      </c>
      <c r="T7" s="28"/>
      <c r="U7" s="29"/>
      <c r="V7" s="3">
        <v>1</v>
      </c>
      <c r="W7" s="34">
        <v>0.17599999999999999</v>
      </c>
      <c r="X7" s="47"/>
      <c r="Y7" s="12" t="s">
        <v>64</v>
      </c>
      <c r="Z7" s="36" t="s">
        <v>60</v>
      </c>
      <c r="AA7" s="49">
        <f>W7*3300</f>
        <v>580.79999999999995</v>
      </c>
      <c r="AB7" s="37"/>
      <c r="AC7" s="38"/>
      <c r="AD7" s="50">
        <v>580</v>
      </c>
      <c r="AE7" s="37"/>
      <c r="AF7" s="38"/>
      <c r="AG7" s="50">
        <v>580</v>
      </c>
      <c r="AH7" s="12"/>
      <c r="AI7" s="35"/>
      <c r="AJ7" s="12"/>
      <c r="AK7" s="51">
        <f t="shared" ref="AK7:AK12" si="0">AG7+AI7</f>
        <v>580</v>
      </c>
      <c r="AL7" s="37"/>
      <c r="AM7" s="38"/>
      <c r="AN7" s="3">
        <v>1</v>
      </c>
      <c r="AO7" s="12"/>
      <c r="AP7" s="51">
        <f>AK7</f>
        <v>580</v>
      </c>
      <c r="AQ7" s="12"/>
      <c r="AR7" s="12"/>
      <c r="AS7" s="12"/>
      <c r="AT7" s="12"/>
      <c r="AU7" s="12"/>
      <c r="AV7" s="12"/>
      <c r="AW7" s="12"/>
      <c r="AX7" s="12"/>
      <c r="AY7" s="12"/>
    </row>
    <row r="8" spans="1:51" ht="19.5" customHeight="1" x14ac:dyDescent="0.25">
      <c r="L8" s="28"/>
      <c r="M8" s="29"/>
      <c r="N8" s="48"/>
      <c r="O8" s="26">
        <v>0.125</v>
      </c>
      <c r="P8" s="30">
        <v>0.127</v>
      </c>
      <c r="Q8" s="43">
        <v>0.125</v>
      </c>
      <c r="R8" s="31">
        <v>0.126</v>
      </c>
      <c r="S8" s="26">
        <v>0.126</v>
      </c>
      <c r="T8" s="28"/>
      <c r="U8" s="29"/>
      <c r="V8" s="3">
        <v>2</v>
      </c>
      <c r="W8" s="34">
        <v>0.125</v>
      </c>
      <c r="X8" s="47"/>
      <c r="Y8" s="12" t="s">
        <v>64</v>
      </c>
      <c r="Z8" s="36" t="s">
        <v>60</v>
      </c>
      <c r="AA8" s="49">
        <f t="shared" ref="AA8:AA34" si="1">W8*3300</f>
        <v>412.5</v>
      </c>
      <c r="AB8" s="37"/>
      <c r="AC8" s="38"/>
      <c r="AD8" s="50">
        <v>415</v>
      </c>
      <c r="AE8" s="37"/>
      <c r="AF8" s="38"/>
      <c r="AG8" s="50">
        <v>415</v>
      </c>
      <c r="AH8" s="12"/>
      <c r="AI8" s="50">
        <f>-5</f>
        <v>-5</v>
      </c>
      <c r="AJ8" s="12"/>
      <c r="AK8" s="51">
        <f t="shared" si="0"/>
        <v>410</v>
      </c>
      <c r="AL8" s="37"/>
      <c r="AM8" s="38"/>
      <c r="AN8" s="3">
        <v>2</v>
      </c>
      <c r="AO8" s="12"/>
      <c r="AP8" s="51">
        <f t="shared" ref="AP8:AP34" si="2">AK8</f>
        <v>410</v>
      </c>
      <c r="AQ8" s="12"/>
      <c r="AR8" s="12"/>
      <c r="AS8" s="12"/>
      <c r="AT8" s="12"/>
      <c r="AU8" s="12"/>
      <c r="AV8" s="12"/>
      <c r="AW8" s="12"/>
      <c r="AX8" s="12"/>
      <c r="AY8" s="12"/>
    </row>
    <row r="9" spans="1:51" ht="19.5" customHeight="1" x14ac:dyDescent="0.25">
      <c r="L9" s="28"/>
      <c r="M9" s="29"/>
      <c r="N9" s="48"/>
      <c r="O9" s="26">
        <v>9.9000000000000005E-2</v>
      </c>
      <c r="P9" s="30">
        <v>0.10199999999999999</v>
      </c>
      <c r="Q9" s="43">
        <v>0.10100000000000001</v>
      </c>
      <c r="R9" s="31">
        <v>0.10100000000000001</v>
      </c>
      <c r="S9" s="26">
        <v>0.1</v>
      </c>
      <c r="T9" s="28"/>
      <c r="U9" s="29"/>
      <c r="V9" s="3">
        <v>3</v>
      </c>
      <c r="W9" s="34">
        <v>0.10100000000000001</v>
      </c>
      <c r="X9" s="47"/>
      <c r="Y9" s="12" t="s">
        <v>64</v>
      </c>
      <c r="Z9" s="36" t="s">
        <v>60</v>
      </c>
      <c r="AA9" s="49">
        <f t="shared" si="1"/>
        <v>333.3</v>
      </c>
      <c r="AB9" s="37"/>
      <c r="AC9" s="38"/>
      <c r="AD9" s="50">
        <v>335</v>
      </c>
      <c r="AE9" s="37"/>
      <c r="AF9" s="38"/>
      <c r="AG9" s="50">
        <v>335</v>
      </c>
      <c r="AH9" s="12"/>
      <c r="AI9" s="50"/>
      <c r="AJ9" s="12"/>
      <c r="AK9" s="51">
        <f t="shared" si="0"/>
        <v>335</v>
      </c>
      <c r="AL9" s="37"/>
      <c r="AM9" s="38"/>
      <c r="AN9" s="3">
        <v>3</v>
      </c>
      <c r="AO9" s="12"/>
      <c r="AP9" s="51">
        <f t="shared" si="2"/>
        <v>335</v>
      </c>
      <c r="AQ9" s="12"/>
      <c r="AR9" s="12"/>
      <c r="AS9" s="12"/>
      <c r="AT9" s="12"/>
      <c r="AU9" s="12"/>
      <c r="AV9" s="12"/>
      <c r="AW9" s="12"/>
      <c r="AX9" s="12"/>
      <c r="AY9" s="12"/>
    </row>
    <row r="10" spans="1:51" ht="19.5" customHeight="1" x14ac:dyDescent="0.25">
      <c r="L10" s="28"/>
      <c r="M10" s="29"/>
      <c r="N10" s="48"/>
      <c r="O10" s="26">
        <v>7.6999999999999999E-2</v>
      </c>
      <c r="P10" s="30">
        <v>7.3999999999999996E-2</v>
      </c>
      <c r="Q10" s="43">
        <v>7.3999999999999996E-2</v>
      </c>
      <c r="R10" s="31">
        <v>7.3999999999999996E-2</v>
      </c>
      <c r="S10" s="26">
        <v>7.1999999999999995E-2</v>
      </c>
      <c r="T10" s="28"/>
      <c r="U10" s="29"/>
      <c r="V10" s="3">
        <v>4</v>
      </c>
      <c r="W10" s="34">
        <v>7.3999999999999996E-2</v>
      </c>
      <c r="X10" s="47"/>
      <c r="Y10" s="12" t="s">
        <v>64</v>
      </c>
      <c r="Z10" s="36" t="s">
        <v>60</v>
      </c>
      <c r="AA10" s="49">
        <f t="shared" si="1"/>
        <v>244.2</v>
      </c>
      <c r="AB10" s="37"/>
      <c r="AC10" s="38"/>
      <c r="AD10" s="50">
        <v>245</v>
      </c>
      <c r="AE10" s="37"/>
      <c r="AF10" s="38"/>
      <c r="AG10" s="50">
        <v>245</v>
      </c>
      <c r="AH10" s="12"/>
      <c r="AI10" s="50">
        <f>-5</f>
        <v>-5</v>
      </c>
      <c r="AJ10" s="12"/>
      <c r="AK10" s="51">
        <f t="shared" si="0"/>
        <v>240</v>
      </c>
      <c r="AL10" s="37"/>
      <c r="AM10" s="38"/>
      <c r="AN10" s="3">
        <v>4</v>
      </c>
      <c r="AO10" s="12"/>
      <c r="AP10" s="51">
        <f t="shared" si="2"/>
        <v>240</v>
      </c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ht="19.5" customHeight="1" x14ac:dyDescent="0.35">
      <c r="A11" s="5"/>
      <c r="B11" s="5"/>
      <c r="C11" s="5"/>
      <c r="D11" s="5"/>
      <c r="E11" s="5"/>
      <c r="F11" s="5"/>
      <c r="G11" s="5"/>
      <c r="H11" s="5"/>
      <c r="I11" s="10"/>
      <c r="J11" s="10"/>
      <c r="K11" s="11"/>
      <c r="L11" s="28"/>
      <c r="M11" s="29"/>
      <c r="N11" s="48"/>
      <c r="O11" s="26">
        <v>6.0999999999999999E-2</v>
      </c>
      <c r="P11" s="30">
        <v>5.8999999999999997E-2</v>
      </c>
      <c r="Q11" s="43">
        <v>5.7000000000000002E-2</v>
      </c>
      <c r="R11" s="31">
        <v>5.5E-2</v>
      </c>
      <c r="S11" s="26">
        <v>5.5E-2</v>
      </c>
      <c r="T11" s="28"/>
      <c r="U11" s="29"/>
      <c r="V11" s="3">
        <v>5</v>
      </c>
      <c r="W11" s="34">
        <v>5.7000000000000002E-2</v>
      </c>
      <c r="X11" s="47"/>
      <c r="Y11" s="12" t="s">
        <v>64</v>
      </c>
      <c r="Z11" s="36" t="s">
        <v>60</v>
      </c>
      <c r="AA11" s="49">
        <f t="shared" si="1"/>
        <v>188.1</v>
      </c>
      <c r="AB11" s="37"/>
      <c r="AC11" s="38"/>
      <c r="AD11" s="50">
        <v>190</v>
      </c>
      <c r="AE11" s="37"/>
      <c r="AF11" s="38"/>
      <c r="AG11" s="50">
        <v>190</v>
      </c>
      <c r="AH11" s="12"/>
      <c r="AI11" s="35"/>
      <c r="AJ11" s="12"/>
      <c r="AK11" s="51">
        <f t="shared" si="0"/>
        <v>190</v>
      </c>
      <c r="AL11" s="37"/>
      <c r="AM11" s="38"/>
      <c r="AN11" s="3">
        <v>5</v>
      </c>
      <c r="AO11" s="12"/>
      <c r="AP11" s="51">
        <f t="shared" si="2"/>
        <v>190</v>
      </c>
      <c r="AQ11" s="12"/>
      <c r="AR11" s="12"/>
      <c r="AS11" s="12"/>
      <c r="AT11" s="12"/>
      <c r="AU11" s="12"/>
      <c r="AV11" s="12"/>
      <c r="AW11" s="12"/>
      <c r="AX11" s="12"/>
      <c r="AY11" s="12"/>
    </row>
    <row r="12" spans="1:51" ht="19.5" customHeight="1" x14ac:dyDescent="0.35">
      <c r="A12" s="5"/>
      <c r="B12" s="5"/>
      <c r="C12" s="5"/>
      <c r="D12" s="5"/>
      <c r="E12" s="5"/>
      <c r="F12" s="5"/>
      <c r="G12" s="5"/>
      <c r="H12" s="5"/>
      <c r="I12" s="10"/>
      <c r="J12" s="10"/>
      <c r="K12" s="11"/>
      <c r="L12" s="28"/>
      <c r="M12" s="29"/>
      <c r="N12" s="48"/>
      <c r="O12" s="26">
        <v>5.3999999999999999E-2</v>
      </c>
      <c r="P12" s="30">
        <v>5.1999999999999998E-2</v>
      </c>
      <c r="Q12" s="43">
        <v>5.0999999999999997E-2</v>
      </c>
      <c r="R12" s="31">
        <v>4.9000000000000002E-2</v>
      </c>
      <c r="S12" s="26">
        <v>4.7E-2</v>
      </c>
      <c r="T12" s="28"/>
      <c r="U12" s="29"/>
      <c r="V12" s="3">
        <v>6</v>
      </c>
      <c r="W12" s="34">
        <v>5.0999999999999997E-2</v>
      </c>
      <c r="X12" s="47"/>
      <c r="Y12" s="12" t="s">
        <v>64</v>
      </c>
      <c r="Z12" s="36" t="s">
        <v>60</v>
      </c>
      <c r="AA12" s="49">
        <f t="shared" si="1"/>
        <v>168.29999999999998</v>
      </c>
      <c r="AB12" s="37"/>
      <c r="AC12" s="38"/>
      <c r="AD12" s="50">
        <v>170</v>
      </c>
      <c r="AE12" s="37"/>
      <c r="AF12" s="38"/>
      <c r="AG12" s="50">
        <v>170</v>
      </c>
      <c r="AH12" s="12"/>
      <c r="AI12" s="35"/>
      <c r="AJ12" s="12"/>
      <c r="AK12" s="51">
        <f t="shared" si="0"/>
        <v>170</v>
      </c>
      <c r="AL12" s="37"/>
      <c r="AM12" s="38"/>
      <c r="AN12" s="3">
        <v>6</v>
      </c>
      <c r="AO12" s="12"/>
      <c r="AP12" s="51">
        <f t="shared" si="2"/>
        <v>170</v>
      </c>
      <c r="AQ12" s="12"/>
      <c r="AR12" s="12"/>
      <c r="AS12" s="12"/>
      <c r="AT12" s="12"/>
      <c r="AU12" s="12"/>
      <c r="AV12" s="12"/>
      <c r="AW12" s="12"/>
      <c r="AX12" s="12"/>
      <c r="AY12" s="12"/>
    </row>
    <row r="13" spans="1:51" ht="19.5" customHeight="1" x14ac:dyDescent="0.35">
      <c r="A13" s="5"/>
      <c r="B13" s="5"/>
      <c r="C13" s="5"/>
      <c r="D13" s="5"/>
      <c r="E13" s="5"/>
      <c r="F13" s="5"/>
      <c r="G13" s="5"/>
      <c r="H13" s="5"/>
      <c r="I13" s="10"/>
      <c r="J13" s="10"/>
      <c r="K13" s="11"/>
      <c r="L13" s="28"/>
      <c r="M13" s="29"/>
      <c r="N13" s="48"/>
      <c r="O13" s="26">
        <v>4.2000000000000003E-2</v>
      </c>
      <c r="P13" s="30">
        <v>4.2999999999999997E-2</v>
      </c>
      <c r="Q13" s="43">
        <v>4.4999999999999998E-2</v>
      </c>
      <c r="R13" s="31">
        <v>4.2999999999999997E-2</v>
      </c>
      <c r="S13" s="26">
        <v>4.3999999999999997E-2</v>
      </c>
      <c r="T13" s="28"/>
      <c r="U13" s="29"/>
      <c r="V13" s="3">
        <v>7</v>
      </c>
      <c r="W13" s="34">
        <v>4.4999999999999998E-2</v>
      </c>
      <c r="X13" s="47"/>
      <c r="Y13" s="12" t="s">
        <v>64</v>
      </c>
      <c r="Z13" s="36" t="s">
        <v>60</v>
      </c>
      <c r="AA13" s="49">
        <f t="shared" si="1"/>
        <v>148.5</v>
      </c>
      <c r="AB13" s="37"/>
      <c r="AC13" s="38"/>
      <c r="AD13" s="50">
        <v>150</v>
      </c>
      <c r="AE13" s="37"/>
      <c r="AF13" s="38"/>
      <c r="AG13" s="50">
        <v>150</v>
      </c>
      <c r="AH13" s="12"/>
      <c r="AI13" s="35"/>
      <c r="AJ13" s="12"/>
      <c r="AK13" s="51">
        <f t="shared" ref="AK13:AK34" si="3">AG13+AI13</f>
        <v>150</v>
      </c>
      <c r="AL13" s="37"/>
      <c r="AM13" s="38"/>
      <c r="AN13" s="3">
        <v>7</v>
      </c>
      <c r="AO13" s="12"/>
      <c r="AP13" s="51">
        <f t="shared" si="2"/>
        <v>150</v>
      </c>
      <c r="AQ13" s="12"/>
      <c r="AR13" s="12"/>
      <c r="AS13" s="12"/>
      <c r="AT13" s="12"/>
      <c r="AU13" s="12"/>
      <c r="AV13" s="12"/>
      <c r="AW13" s="12"/>
      <c r="AX13" s="12"/>
      <c r="AY13" s="12"/>
    </row>
    <row r="14" spans="1:51" ht="19.5" customHeight="1" x14ac:dyDescent="0.35">
      <c r="A14" s="5"/>
      <c r="B14" s="5"/>
      <c r="C14" s="5"/>
      <c r="D14" s="5"/>
      <c r="E14" s="5"/>
      <c r="F14" s="5"/>
      <c r="G14" s="5"/>
      <c r="H14" s="5"/>
      <c r="I14" s="10"/>
      <c r="J14" s="10"/>
      <c r="K14" s="11"/>
      <c r="L14" s="28"/>
      <c r="M14" s="29"/>
      <c r="N14" s="48"/>
      <c r="O14" s="26">
        <v>3.5000000000000003E-2</v>
      </c>
      <c r="P14" s="30">
        <v>3.4000000000000002E-2</v>
      </c>
      <c r="Q14" s="43">
        <v>3.2000000000000001E-2</v>
      </c>
      <c r="R14" s="31">
        <v>3.3000000000000002E-2</v>
      </c>
      <c r="S14" s="26">
        <v>3.3000000000000002E-2</v>
      </c>
      <c r="T14" s="28"/>
      <c r="U14" s="29"/>
      <c r="V14" s="3">
        <v>8</v>
      </c>
      <c r="W14" s="34">
        <v>3.2000000000000001E-2</v>
      </c>
      <c r="X14" s="47"/>
      <c r="Y14" s="12" t="s">
        <v>64</v>
      </c>
      <c r="Z14" s="36" t="s">
        <v>60</v>
      </c>
      <c r="AA14" s="49">
        <f t="shared" si="1"/>
        <v>105.60000000000001</v>
      </c>
      <c r="AB14" s="37"/>
      <c r="AC14" s="38"/>
      <c r="AD14" s="50">
        <v>105</v>
      </c>
      <c r="AE14" s="37"/>
      <c r="AF14" s="38"/>
      <c r="AG14" s="50">
        <v>105</v>
      </c>
      <c r="AH14" s="12"/>
      <c r="AI14" s="35"/>
      <c r="AJ14" s="12"/>
      <c r="AK14" s="51">
        <f t="shared" si="3"/>
        <v>105</v>
      </c>
      <c r="AL14" s="37"/>
      <c r="AM14" s="38"/>
      <c r="AN14" s="3">
        <v>8</v>
      </c>
      <c r="AO14" s="12"/>
      <c r="AP14" s="51">
        <f t="shared" si="2"/>
        <v>105</v>
      </c>
      <c r="AQ14" s="12"/>
      <c r="AR14" s="12"/>
      <c r="AS14" s="12"/>
      <c r="AT14" s="12"/>
      <c r="AU14" s="12"/>
      <c r="AV14" s="12"/>
      <c r="AW14" s="12"/>
      <c r="AX14" s="12"/>
      <c r="AY14" s="12"/>
    </row>
    <row r="15" spans="1:51" ht="19.5" customHeight="1" x14ac:dyDescent="0.35">
      <c r="A15" s="5"/>
      <c r="B15" s="5"/>
      <c r="C15" s="5"/>
      <c r="D15" s="5"/>
      <c r="E15" s="5"/>
      <c r="F15" s="5"/>
      <c r="G15" s="5"/>
      <c r="H15" s="5"/>
      <c r="I15" s="10"/>
      <c r="J15" s="10"/>
      <c r="K15" s="10"/>
      <c r="L15" s="28"/>
      <c r="M15" s="29"/>
      <c r="N15" s="48"/>
      <c r="O15" s="26">
        <v>3.2000000000000001E-2</v>
      </c>
      <c r="P15" s="30">
        <v>3.1E-2</v>
      </c>
      <c r="Q15" s="43">
        <v>0.03</v>
      </c>
      <c r="R15" s="31">
        <v>2.9000000000000001E-2</v>
      </c>
      <c r="S15" s="26">
        <v>2.8000000000000001E-2</v>
      </c>
      <c r="T15" s="28"/>
      <c r="U15" s="29"/>
      <c r="V15" s="3">
        <v>9</v>
      </c>
      <c r="W15" s="34">
        <v>0.03</v>
      </c>
      <c r="X15" s="47"/>
      <c r="Y15" s="12" t="s">
        <v>64</v>
      </c>
      <c r="Z15" s="36" t="s">
        <v>60</v>
      </c>
      <c r="AA15" s="49">
        <f t="shared" si="1"/>
        <v>99</v>
      </c>
      <c r="AB15" s="37"/>
      <c r="AC15" s="38"/>
      <c r="AD15" s="50">
        <v>100</v>
      </c>
      <c r="AE15" s="37"/>
      <c r="AF15" s="38"/>
      <c r="AG15" s="50">
        <v>100</v>
      </c>
      <c r="AH15" s="12"/>
      <c r="AI15" s="35"/>
      <c r="AJ15" s="12"/>
      <c r="AK15" s="51">
        <f t="shared" si="3"/>
        <v>100</v>
      </c>
      <c r="AL15" s="37"/>
      <c r="AM15" s="38"/>
      <c r="AN15" s="3">
        <v>9</v>
      </c>
      <c r="AO15" s="12"/>
      <c r="AP15" s="51">
        <f t="shared" si="2"/>
        <v>100</v>
      </c>
      <c r="AQ15" s="12"/>
      <c r="AR15" s="12"/>
      <c r="AS15" s="12"/>
      <c r="AT15" s="12"/>
      <c r="AU15" s="12"/>
      <c r="AV15" s="12"/>
      <c r="AW15" s="12"/>
      <c r="AX15" s="12"/>
      <c r="AY15" s="12"/>
    </row>
    <row r="16" spans="1:51" ht="19.5" customHeight="1" x14ac:dyDescent="0.35">
      <c r="A16" s="5"/>
      <c r="B16" s="5"/>
      <c r="C16" s="5"/>
      <c r="D16" s="5"/>
      <c r="E16" s="5"/>
      <c r="F16" s="5"/>
      <c r="G16" s="5"/>
      <c r="H16" s="5"/>
      <c r="I16" s="18"/>
      <c r="J16" s="19"/>
      <c r="K16" s="20"/>
      <c r="L16" s="28"/>
      <c r="M16" s="29"/>
      <c r="N16" s="48"/>
      <c r="O16" s="26">
        <v>2.9000000000000001E-2</v>
      </c>
      <c r="P16" s="30">
        <v>2.8000000000000001E-2</v>
      </c>
      <c r="Q16" s="43">
        <v>2.9000000000000001E-2</v>
      </c>
      <c r="R16" s="31">
        <v>2.9000000000000001E-2</v>
      </c>
      <c r="S16" s="26">
        <v>2.8000000000000001E-2</v>
      </c>
      <c r="T16" s="28"/>
      <c r="U16" s="29"/>
      <c r="V16" s="3">
        <v>10</v>
      </c>
      <c r="W16" s="34">
        <v>2.9000000000000001E-2</v>
      </c>
      <c r="X16" s="47"/>
      <c r="Y16" s="12" t="s">
        <v>64</v>
      </c>
      <c r="Z16" s="36" t="s">
        <v>60</v>
      </c>
      <c r="AA16" s="49">
        <f t="shared" si="1"/>
        <v>95.7</v>
      </c>
      <c r="AB16" s="37"/>
      <c r="AC16" s="38"/>
      <c r="AD16" s="50">
        <v>95</v>
      </c>
      <c r="AE16" s="37"/>
      <c r="AF16" s="38"/>
      <c r="AG16" s="50">
        <v>95</v>
      </c>
      <c r="AH16" s="12"/>
      <c r="AI16" s="50">
        <f>-5</f>
        <v>-5</v>
      </c>
      <c r="AJ16" s="12"/>
      <c r="AK16" s="51">
        <f t="shared" si="3"/>
        <v>90</v>
      </c>
      <c r="AL16" s="37"/>
      <c r="AM16" s="38"/>
      <c r="AN16" s="3">
        <v>10</v>
      </c>
      <c r="AO16" s="12"/>
      <c r="AP16" s="51">
        <f t="shared" si="2"/>
        <v>90</v>
      </c>
      <c r="AQ16" s="12"/>
      <c r="AR16" s="12"/>
      <c r="AS16" s="12"/>
      <c r="AT16" s="12"/>
      <c r="AU16" s="12"/>
      <c r="AV16" s="12"/>
      <c r="AW16" s="12"/>
      <c r="AX16" s="12"/>
      <c r="AY16" s="12"/>
    </row>
    <row r="17" spans="1:51" ht="19.5" customHeight="1" x14ac:dyDescent="0.35">
      <c r="A17" s="5" t="s">
        <v>55</v>
      </c>
      <c r="B17" s="5"/>
      <c r="C17" s="5"/>
      <c r="D17" s="5"/>
      <c r="E17" s="5"/>
      <c r="F17" s="5"/>
      <c r="G17" s="5"/>
      <c r="H17" s="17"/>
      <c r="I17" s="21"/>
      <c r="J17" s="45">
        <v>20</v>
      </c>
      <c r="K17" s="22"/>
      <c r="L17" s="28"/>
      <c r="M17" s="29"/>
      <c r="N17" s="48"/>
      <c r="O17" s="26">
        <v>2.5999999999999999E-2</v>
      </c>
      <c r="P17" s="30">
        <v>2.5000000000000001E-2</v>
      </c>
      <c r="Q17" s="43">
        <v>2.4E-2</v>
      </c>
      <c r="R17" s="31">
        <v>2.3E-2</v>
      </c>
      <c r="S17" s="26">
        <v>2.1999999999999999E-2</v>
      </c>
      <c r="T17" s="28"/>
      <c r="U17" s="29"/>
      <c r="V17" s="3">
        <v>11</v>
      </c>
      <c r="W17" s="34">
        <v>2.4E-2</v>
      </c>
      <c r="X17" s="47"/>
      <c r="Y17" s="12" t="s">
        <v>64</v>
      </c>
      <c r="Z17" s="36" t="s">
        <v>60</v>
      </c>
      <c r="AA17" s="49">
        <f t="shared" si="1"/>
        <v>79.2</v>
      </c>
      <c r="AB17" s="37"/>
      <c r="AC17" s="38"/>
      <c r="AD17" s="50">
        <v>80</v>
      </c>
      <c r="AE17" s="37"/>
      <c r="AF17" s="38"/>
      <c r="AG17" s="50">
        <v>80</v>
      </c>
      <c r="AH17" s="12"/>
      <c r="AI17" s="35"/>
      <c r="AJ17" s="12"/>
      <c r="AK17" s="51">
        <f t="shared" si="3"/>
        <v>80</v>
      </c>
      <c r="AL17" s="37"/>
      <c r="AM17" s="38"/>
      <c r="AN17" s="3">
        <v>11</v>
      </c>
      <c r="AO17" s="12"/>
      <c r="AP17" s="51">
        <f t="shared" si="2"/>
        <v>80</v>
      </c>
      <c r="AQ17" s="12"/>
      <c r="AR17" s="12"/>
      <c r="AS17" s="12"/>
      <c r="AT17" s="12"/>
      <c r="AU17" s="12"/>
      <c r="AV17" s="12"/>
      <c r="AW17" s="12"/>
      <c r="AX17" s="12"/>
      <c r="AY17" s="12"/>
    </row>
    <row r="18" spans="1:51" ht="19.5" customHeight="1" x14ac:dyDescent="0.35">
      <c r="A18" s="5"/>
      <c r="B18" s="5"/>
      <c r="C18" s="5"/>
      <c r="D18" s="5"/>
      <c r="E18" s="5"/>
      <c r="F18" s="5"/>
      <c r="G18" s="5"/>
      <c r="H18" s="5"/>
      <c r="I18" s="23"/>
      <c r="J18" s="24"/>
      <c r="K18" s="25"/>
      <c r="L18" s="28"/>
      <c r="M18" s="29"/>
      <c r="N18" s="48"/>
      <c r="O18" s="26">
        <v>2.5999999999999999E-2</v>
      </c>
      <c r="P18" s="30">
        <v>2.5000000000000001E-2</v>
      </c>
      <c r="Q18" s="43">
        <v>2.4E-2</v>
      </c>
      <c r="R18" s="31">
        <v>2.3E-2</v>
      </c>
      <c r="S18" s="26">
        <v>2.1999999999999999E-2</v>
      </c>
      <c r="T18" s="28"/>
      <c r="U18" s="29"/>
      <c r="V18" s="3">
        <v>12</v>
      </c>
      <c r="W18" s="34">
        <v>2.4E-2</v>
      </c>
      <c r="X18" s="35"/>
      <c r="Y18" s="12" t="s">
        <v>64</v>
      </c>
      <c r="Z18" s="36" t="s">
        <v>60</v>
      </c>
      <c r="AA18" s="49">
        <f t="shared" si="1"/>
        <v>79.2</v>
      </c>
      <c r="AB18" s="37"/>
      <c r="AC18" s="38"/>
      <c r="AD18" s="50">
        <v>80</v>
      </c>
      <c r="AE18" s="37"/>
      <c r="AF18" s="38"/>
      <c r="AG18" s="50">
        <v>80</v>
      </c>
      <c r="AH18" s="12"/>
      <c r="AI18" s="35"/>
      <c r="AJ18" s="12"/>
      <c r="AK18" s="51">
        <f t="shared" si="3"/>
        <v>80</v>
      </c>
      <c r="AL18" s="37"/>
      <c r="AM18" s="38"/>
      <c r="AN18" s="3">
        <v>12</v>
      </c>
      <c r="AO18" s="12"/>
      <c r="AP18" s="51">
        <f t="shared" si="2"/>
        <v>80</v>
      </c>
      <c r="AQ18" s="12"/>
      <c r="AR18" s="12"/>
      <c r="AS18" s="12"/>
      <c r="AT18" s="12"/>
      <c r="AU18" s="12"/>
      <c r="AV18" s="12"/>
      <c r="AW18" s="12"/>
      <c r="AX18" s="12"/>
      <c r="AY18" s="12"/>
    </row>
    <row r="19" spans="1:51" ht="19.5" customHeight="1" x14ac:dyDescent="0.35">
      <c r="A19" s="13"/>
      <c r="B19" s="13"/>
      <c r="C19" s="13"/>
      <c r="D19" s="13"/>
      <c r="E19" s="13"/>
      <c r="F19" s="13"/>
      <c r="G19" s="14"/>
      <c r="H19" s="15"/>
      <c r="I19" s="16"/>
      <c r="J19" s="10"/>
      <c r="K19" s="10"/>
      <c r="L19" s="28"/>
      <c r="M19" s="29"/>
      <c r="N19" s="48"/>
      <c r="O19" s="26">
        <v>2.1999999999999999E-2</v>
      </c>
      <c r="P19" s="30">
        <v>2.1999999999999999E-2</v>
      </c>
      <c r="Q19" s="43">
        <v>0.02</v>
      </c>
      <c r="R19" s="31">
        <v>2.1000000000000001E-2</v>
      </c>
      <c r="S19" s="26">
        <v>2.1999999999999999E-2</v>
      </c>
      <c r="T19" s="28"/>
      <c r="U19" s="29"/>
      <c r="V19" s="3">
        <v>13</v>
      </c>
      <c r="W19" s="34">
        <v>0.02</v>
      </c>
      <c r="X19" s="35"/>
      <c r="Y19" s="12" t="s">
        <v>64</v>
      </c>
      <c r="Z19" s="36" t="s">
        <v>60</v>
      </c>
      <c r="AA19" s="49">
        <f t="shared" si="1"/>
        <v>66</v>
      </c>
      <c r="AB19" s="37"/>
      <c r="AC19" s="38"/>
      <c r="AD19" s="50">
        <v>65</v>
      </c>
      <c r="AE19" s="37"/>
      <c r="AF19" s="38"/>
      <c r="AG19" s="50">
        <v>65</v>
      </c>
      <c r="AH19" s="12"/>
      <c r="AI19" s="35"/>
      <c r="AJ19" s="12"/>
      <c r="AK19" s="51">
        <f t="shared" si="3"/>
        <v>65</v>
      </c>
      <c r="AL19" s="37"/>
      <c r="AM19" s="38"/>
      <c r="AN19" s="3">
        <v>13</v>
      </c>
      <c r="AO19" s="12"/>
      <c r="AP19" s="51">
        <f t="shared" si="2"/>
        <v>65</v>
      </c>
      <c r="AQ19" s="12"/>
      <c r="AR19" s="12"/>
      <c r="AS19" s="12"/>
      <c r="AT19" s="12"/>
      <c r="AU19" s="12"/>
      <c r="AV19" s="12"/>
      <c r="AW19" s="12"/>
      <c r="AX19" s="12"/>
      <c r="AY19" s="12"/>
    </row>
    <row r="20" spans="1:51" ht="19.5" customHeight="1" x14ac:dyDescent="0.35">
      <c r="A20" s="5"/>
      <c r="B20" s="5"/>
      <c r="C20" s="5"/>
      <c r="D20" s="5"/>
      <c r="E20" s="5"/>
      <c r="F20" s="5"/>
      <c r="G20" s="8"/>
      <c r="H20" s="5"/>
      <c r="I20" s="18"/>
      <c r="J20" s="19"/>
      <c r="K20" s="20"/>
      <c r="L20" s="28"/>
      <c r="M20" s="29"/>
      <c r="N20" s="48"/>
      <c r="O20" s="26">
        <v>1.9E-2</v>
      </c>
      <c r="P20" s="30">
        <v>0.02</v>
      </c>
      <c r="Q20" s="43">
        <v>0.02</v>
      </c>
      <c r="R20" s="31">
        <v>2.1000000000000001E-2</v>
      </c>
      <c r="S20" s="26">
        <v>0.02</v>
      </c>
      <c r="T20" s="28"/>
      <c r="U20" s="29"/>
      <c r="V20" s="3">
        <v>14</v>
      </c>
      <c r="W20" s="34">
        <v>0.02</v>
      </c>
      <c r="X20" s="35"/>
      <c r="Y20" s="12" t="s">
        <v>64</v>
      </c>
      <c r="Z20" s="36" t="s">
        <v>60</v>
      </c>
      <c r="AA20" s="49">
        <f t="shared" si="1"/>
        <v>66</v>
      </c>
      <c r="AB20" s="37"/>
      <c r="AC20" s="38"/>
      <c r="AD20" s="50">
        <v>65</v>
      </c>
      <c r="AE20" s="37"/>
      <c r="AF20" s="38"/>
      <c r="AG20" s="50">
        <v>65</v>
      </c>
      <c r="AH20" s="12"/>
      <c r="AI20" s="35"/>
      <c r="AJ20" s="12"/>
      <c r="AK20" s="51">
        <f t="shared" si="3"/>
        <v>65</v>
      </c>
      <c r="AL20" s="37"/>
      <c r="AM20" s="38"/>
      <c r="AN20" s="3">
        <v>14</v>
      </c>
      <c r="AO20" s="12"/>
      <c r="AP20" s="51">
        <f t="shared" si="2"/>
        <v>65</v>
      </c>
      <c r="AQ20" s="12"/>
      <c r="AR20" s="12"/>
      <c r="AS20" s="12"/>
      <c r="AT20" s="12"/>
      <c r="AU20" s="12"/>
      <c r="AV20" s="12"/>
      <c r="AW20" s="12"/>
      <c r="AX20" s="12"/>
      <c r="AY20" s="12"/>
    </row>
    <row r="21" spans="1:51" ht="19.5" customHeight="1" x14ac:dyDescent="0.35">
      <c r="A21" s="5" t="s">
        <v>54</v>
      </c>
      <c r="B21" s="5"/>
      <c r="C21" s="5"/>
      <c r="D21" s="5"/>
      <c r="E21" s="5"/>
      <c r="F21" s="5"/>
      <c r="G21" s="7" t="s">
        <v>59</v>
      </c>
      <c r="H21" s="6"/>
      <c r="I21" s="21"/>
      <c r="J21" s="40" t="s">
        <v>63</v>
      </c>
      <c r="K21" s="22"/>
      <c r="L21" s="28"/>
      <c r="M21" s="29"/>
      <c r="N21" s="48"/>
      <c r="O21" s="26">
        <v>1.9E-2</v>
      </c>
      <c r="P21" s="30">
        <v>0.02</v>
      </c>
      <c r="Q21" s="43">
        <v>1.7999999999999999E-2</v>
      </c>
      <c r="R21" s="31">
        <v>1.7999999999999999E-2</v>
      </c>
      <c r="S21" s="26">
        <v>1.7000000000000001E-2</v>
      </c>
      <c r="T21" s="28"/>
      <c r="U21" s="29"/>
      <c r="V21" s="3">
        <v>15</v>
      </c>
      <c r="W21" s="34">
        <v>1.7999999999999999E-2</v>
      </c>
      <c r="X21" s="35"/>
      <c r="Y21" s="12" t="s">
        <v>64</v>
      </c>
      <c r="Z21" s="36" t="s">
        <v>60</v>
      </c>
      <c r="AA21" s="49">
        <f t="shared" si="1"/>
        <v>59.4</v>
      </c>
      <c r="AB21" s="37"/>
      <c r="AC21" s="38"/>
      <c r="AD21" s="50">
        <v>60</v>
      </c>
      <c r="AE21" s="37"/>
      <c r="AF21" s="38"/>
      <c r="AG21" s="50">
        <v>60</v>
      </c>
      <c r="AH21" s="12"/>
      <c r="AI21" s="35"/>
      <c r="AJ21" s="12"/>
      <c r="AK21" s="51">
        <f t="shared" si="3"/>
        <v>60</v>
      </c>
      <c r="AL21" s="37"/>
      <c r="AM21" s="38"/>
      <c r="AN21" s="3">
        <v>15</v>
      </c>
      <c r="AO21" s="12"/>
      <c r="AP21" s="51">
        <f t="shared" si="2"/>
        <v>60</v>
      </c>
      <c r="AQ21" s="12"/>
      <c r="AR21" s="12"/>
      <c r="AS21" s="12"/>
      <c r="AT21" s="12"/>
      <c r="AU21" s="12"/>
      <c r="AV21" s="12"/>
      <c r="AW21" s="12"/>
      <c r="AX21" s="12"/>
      <c r="AY21" s="12"/>
    </row>
    <row r="22" spans="1:51" ht="19.5" customHeight="1" x14ac:dyDescent="0.35">
      <c r="A22" s="5"/>
      <c r="B22" s="5"/>
      <c r="C22" s="5"/>
      <c r="D22" s="5"/>
      <c r="E22" s="5"/>
      <c r="F22" s="5"/>
      <c r="G22" s="5"/>
      <c r="H22" s="5"/>
      <c r="I22" s="23"/>
      <c r="J22" s="24"/>
      <c r="K22" s="25"/>
      <c r="L22" s="28"/>
      <c r="M22" s="29"/>
      <c r="N22" s="48"/>
      <c r="O22" s="26">
        <v>1.6E-2</v>
      </c>
      <c r="P22" s="30">
        <v>1.4999999999999999E-2</v>
      </c>
      <c r="Q22" s="43">
        <v>1.4999999999999999E-2</v>
      </c>
      <c r="R22" s="31">
        <v>1.7999999999999999E-2</v>
      </c>
      <c r="S22" s="26">
        <v>1.7000000000000001E-2</v>
      </c>
      <c r="T22" s="28"/>
      <c r="U22" s="29"/>
      <c r="V22" s="3">
        <v>16</v>
      </c>
      <c r="W22" s="34">
        <v>1.4999999999999999E-2</v>
      </c>
      <c r="X22" s="35"/>
      <c r="Y22" s="12" t="s">
        <v>64</v>
      </c>
      <c r="Z22" s="36" t="s">
        <v>60</v>
      </c>
      <c r="AA22" s="49">
        <f t="shared" si="1"/>
        <v>49.5</v>
      </c>
      <c r="AB22" s="37"/>
      <c r="AC22" s="38"/>
      <c r="AD22" s="50">
        <v>50</v>
      </c>
      <c r="AE22" s="37"/>
      <c r="AF22" s="38"/>
      <c r="AG22" s="50">
        <v>50</v>
      </c>
      <c r="AH22" s="12"/>
      <c r="AI22" s="50"/>
      <c r="AJ22" s="12"/>
      <c r="AK22" s="51">
        <f t="shared" si="3"/>
        <v>50</v>
      </c>
      <c r="AL22" s="37"/>
      <c r="AM22" s="38"/>
      <c r="AN22" s="3">
        <v>16</v>
      </c>
      <c r="AO22" s="12"/>
      <c r="AP22" s="51">
        <f t="shared" si="2"/>
        <v>50</v>
      </c>
      <c r="AQ22" s="12"/>
      <c r="AR22" s="12"/>
      <c r="AS22" s="12"/>
      <c r="AT22" s="12"/>
      <c r="AU22" s="12"/>
      <c r="AV22" s="12"/>
      <c r="AW22" s="12"/>
      <c r="AX22" s="12"/>
      <c r="AY22" s="12"/>
    </row>
    <row r="23" spans="1:51" ht="19.5" customHeight="1" x14ac:dyDescent="0.35">
      <c r="A23" s="5"/>
      <c r="B23" s="5"/>
      <c r="C23" s="5"/>
      <c r="D23" s="5"/>
      <c r="E23" s="5"/>
      <c r="F23" s="5"/>
      <c r="G23" s="5"/>
      <c r="H23" s="5"/>
      <c r="I23" s="10"/>
      <c r="J23" s="10"/>
      <c r="K23" s="10"/>
      <c r="L23" s="28"/>
      <c r="M23" s="29"/>
      <c r="N23" s="48"/>
      <c r="O23" s="26">
        <v>1.6E-2</v>
      </c>
      <c r="P23" s="30">
        <v>1.4999999999999999E-2</v>
      </c>
      <c r="Q23" s="43">
        <v>1.4999999999999999E-2</v>
      </c>
      <c r="R23" s="31">
        <v>1.4E-2</v>
      </c>
      <c r="S23" s="26">
        <v>1.4E-2</v>
      </c>
      <c r="T23" s="28"/>
      <c r="U23" s="29"/>
      <c r="V23" s="3">
        <v>17</v>
      </c>
      <c r="W23" s="34">
        <v>1.4999999999999999E-2</v>
      </c>
      <c r="X23" s="35"/>
      <c r="Y23" s="12" t="s">
        <v>64</v>
      </c>
      <c r="Z23" s="36" t="s">
        <v>60</v>
      </c>
      <c r="AA23" s="49">
        <f t="shared" si="1"/>
        <v>49.5</v>
      </c>
      <c r="AB23" s="37"/>
      <c r="AC23" s="38"/>
      <c r="AD23" s="50">
        <v>50</v>
      </c>
      <c r="AE23" s="37"/>
      <c r="AF23" s="38"/>
      <c r="AG23" s="50">
        <v>50</v>
      </c>
      <c r="AH23" s="12"/>
      <c r="AI23" s="50"/>
      <c r="AJ23" s="12"/>
      <c r="AK23" s="51">
        <f t="shared" si="3"/>
        <v>50</v>
      </c>
      <c r="AL23" s="37"/>
      <c r="AM23" s="38"/>
      <c r="AN23" s="3">
        <v>17</v>
      </c>
      <c r="AO23" s="12"/>
      <c r="AP23" s="51">
        <f t="shared" si="2"/>
        <v>50</v>
      </c>
      <c r="AQ23" s="12"/>
      <c r="AR23" s="12"/>
      <c r="AS23" s="12"/>
      <c r="AT23" s="12"/>
      <c r="AU23" s="12"/>
      <c r="AV23" s="12"/>
      <c r="AW23" s="12"/>
      <c r="AX23" s="12"/>
      <c r="AY23" s="12"/>
    </row>
    <row r="24" spans="1:51" ht="19.5" customHeight="1" x14ac:dyDescent="0.35">
      <c r="A24" s="5"/>
      <c r="B24" s="5"/>
      <c r="C24" s="5"/>
      <c r="D24" s="5"/>
      <c r="E24" s="5"/>
      <c r="F24" s="5"/>
      <c r="G24" s="7"/>
      <c r="H24" s="15"/>
      <c r="I24" s="18"/>
      <c r="J24" s="19"/>
      <c r="K24" s="20"/>
      <c r="L24" s="28"/>
      <c r="M24" s="29"/>
      <c r="N24" s="48"/>
      <c r="O24" s="26">
        <v>1.6E-2</v>
      </c>
      <c r="P24" s="30">
        <v>1.4999999999999999E-2</v>
      </c>
      <c r="Q24" s="43">
        <v>1.4999999999999999E-2</v>
      </c>
      <c r="R24" s="31">
        <v>1.4E-2</v>
      </c>
      <c r="S24" s="26">
        <v>1.4E-2</v>
      </c>
      <c r="T24" s="28"/>
      <c r="U24" s="29"/>
      <c r="V24" s="3">
        <v>18</v>
      </c>
      <c r="W24" s="34">
        <v>1.4999999999999999E-2</v>
      </c>
      <c r="X24" s="35"/>
      <c r="Y24" s="12" t="s">
        <v>64</v>
      </c>
      <c r="Z24" s="36" t="s">
        <v>60</v>
      </c>
      <c r="AA24" s="49">
        <f t="shared" si="1"/>
        <v>49.5</v>
      </c>
      <c r="AB24" s="37"/>
      <c r="AC24" s="38"/>
      <c r="AD24" s="50">
        <v>50</v>
      </c>
      <c r="AE24" s="37"/>
      <c r="AF24" s="38"/>
      <c r="AG24" s="50">
        <v>50</v>
      </c>
      <c r="AH24" s="12"/>
      <c r="AI24" s="50"/>
      <c r="AJ24" s="12"/>
      <c r="AK24" s="51">
        <f t="shared" si="3"/>
        <v>50</v>
      </c>
      <c r="AL24" s="37"/>
      <c r="AM24" s="38"/>
      <c r="AN24" s="3">
        <v>18</v>
      </c>
      <c r="AO24" s="12"/>
      <c r="AP24" s="51">
        <f t="shared" si="2"/>
        <v>50</v>
      </c>
      <c r="AQ24" s="12"/>
      <c r="AR24" s="12"/>
      <c r="AS24" s="12"/>
      <c r="AT24" s="12"/>
      <c r="AU24" s="12"/>
      <c r="AV24" s="12"/>
      <c r="AW24" s="12"/>
      <c r="AX24" s="12"/>
      <c r="AY24" s="12"/>
    </row>
    <row r="25" spans="1:51" ht="19.5" customHeight="1" x14ac:dyDescent="0.35">
      <c r="A25" s="5" t="s">
        <v>57</v>
      </c>
      <c r="B25" s="10"/>
      <c r="C25" s="10"/>
      <c r="D25" s="10"/>
      <c r="E25" s="10"/>
      <c r="F25" s="10"/>
      <c r="G25" s="9" t="s">
        <v>60</v>
      </c>
      <c r="H25" s="6"/>
      <c r="I25" s="21"/>
      <c r="J25" s="39">
        <v>3300</v>
      </c>
      <c r="K25" s="22"/>
      <c r="L25" s="28"/>
      <c r="M25" s="29"/>
      <c r="N25" s="48"/>
      <c r="O25" s="26">
        <v>1.6E-2</v>
      </c>
      <c r="P25" s="30">
        <v>1.4999999999999999E-2</v>
      </c>
      <c r="Q25" s="43">
        <v>1.4999999999999999E-2</v>
      </c>
      <c r="R25" s="31">
        <v>1.4E-2</v>
      </c>
      <c r="S25" s="26">
        <v>1.4E-2</v>
      </c>
      <c r="T25" s="28"/>
      <c r="U25" s="29"/>
      <c r="V25" s="3">
        <v>19</v>
      </c>
      <c r="W25" s="34">
        <v>1.4999999999999999E-2</v>
      </c>
      <c r="X25" s="35"/>
      <c r="Y25" s="12" t="s">
        <v>64</v>
      </c>
      <c r="Z25" s="36" t="s">
        <v>60</v>
      </c>
      <c r="AA25" s="49">
        <f t="shared" si="1"/>
        <v>49.5</v>
      </c>
      <c r="AB25" s="37"/>
      <c r="AC25" s="38"/>
      <c r="AD25" s="50">
        <v>50</v>
      </c>
      <c r="AE25" s="37"/>
      <c r="AF25" s="38"/>
      <c r="AG25" s="50">
        <v>50</v>
      </c>
      <c r="AH25" s="12"/>
      <c r="AI25" s="35"/>
      <c r="AJ25" s="12"/>
      <c r="AK25" s="51">
        <f t="shared" si="3"/>
        <v>50</v>
      </c>
      <c r="AL25" s="37"/>
      <c r="AM25" s="38"/>
      <c r="AN25" s="3">
        <v>19</v>
      </c>
      <c r="AO25" s="12"/>
      <c r="AP25" s="51">
        <f t="shared" si="2"/>
        <v>50</v>
      </c>
      <c r="AQ25" s="12"/>
      <c r="AR25" s="12"/>
      <c r="AS25" s="12"/>
      <c r="AT25" s="12"/>
      <c r="AU25" s="12"/>
      <c r="AV25" s="12"/>
      <c r="AW25" s="12"/>
      <c r="AX25" s="12"/>
      <c r="AY25" s="12"/>
    </row>
    <row r="26" spans="1:51" ht="19.5" customHeight="1" x14ac:dyDescent="0.25">
      <c r="A26" s="10"/>
      <c r="B26" s="10"/>
      <c r="C26" s="10"/>
      <c r="D26" s="10"/>
      <c r="E26" s="10"/>
      <c r="F26" s="10"/>
      <c r="G26" s="10"/>
      <c r="H26" s="10"/>
      <c r="I26" s="23"/>
      <c r="J26" s="24"/>
      <c r="K26" s="25"/>
      <c r="L26" s="28"/>
      <c r="M26" s="29"/>
      <c r="N26" s="48"/>
      <c r="O26" s="26">
        <v>1.6E-2</v>
      </c>
      <c r="P26" s="30">
        <v>1.4999999999999999E-2</v>
      </c>
      <c r="Q26" s="43">
        <v>1.4999999999999999E-2</v>
      </c>
      <c r="R26" s="31">
        <v>1.4E-2</v>
      </c>
      <c r="S26" s="26">
        <v>1.4E-2</v>
      </c>
      <c r="T26" s="28"/>
      <c r="U26" s="29"/>
      <c r="V26" s="3">
        <v>20</v>
      </c>
      <c r="W26" s="34">
        <v>1.4999999999999999E-2</v>
      </c>
      <c r="X26" s="35"/>
      <c r="Y26" s="12" t="s">
        <v>64</v>
      </c>
      <c r="Z26" s="36" t="s">
        <v>60</v>
      </c>
      <c r="AA26" s="49">
        <f t="shared" si="1"/>
        <v>49.5</v>
      </c>
      <c r="AB26" s="28"/>
      <c r="AC26" s="29"/>
      <c r="AD26" s="50">
        <v>50</v>
      </c>
      <c r="AE26" s="28"/>
      <c r="AF26" s="29"/>
      <c r="AG26" s="50">
        <v>50</v>
      </c>
      <c r="AH26" s="12"/>
      <c r="AI26" s="35"/>
      <c r="AJ26" s="12"/>
      <c r="AK26" s="51">
        <f t="shared" si="3"/>
        <v>50</v>
      </c>
      <c r="AL26" s="28"/>
      <c r="AM26" s="29"/>
      <c r="AN26" s="3">
        <v>20</v>
      </c>
      <c r="AO26" s="12"/>
      <c r="AP26" s="51">
        <f t="shared" si="2"/>
        <v>50</v>
      </c>
      <c r="AQ26" s="12"/>
      <c r="AR26" s="12"/>
      <c r="AS26" s="12"/>
      <c r="AT26" s="12"/>
      <c r="AU26" s="12"/>
      <c r="AV26" s="12"/>
      <c r="AW26" s="12"/>
      <c r="AX26" s="12"/>
      <c r="AY26" s="12"/>
    </row>
    <row r="27" spans="1:51" ht="19.5" customHeight="1" x14ac:dyDescent="0.25">
      <c r="L27" s="28"/>
      <c r="M27" s="29"/>
      <c r="N27" s="48"/>
      <c r="O27" s="26">
        <v>1.2999999999999999E-2</v>
      </c>
      <c r="P27" s="30">
        <v>1.4999999999999999E-2</v>
      </c>
      <c r="Q27" s="43">
        <v>1.4999999999999999E-2</v>
      </c>
      <c r="R27" s="31">
        <v>1.4E-2</v>
      </c>
      <c r="S27" s="26">
        <v>1.4E-2</v>
      </c>
      <c r="T27" s="28"/>
      <c r="U27" s="29"/>
      <c r="V27" s="3">
        <v>21</v>
      </c>
      <c r="W27" s="34">
        <v>1.4999999999999999E-2</v>
      </c>
      <c r="X27" s="35"/>
      <c r="Y27" s="12" t="s">
        <v>64</v>
      </c>
      <c r="Z27" s="36" t="s">
        <v>60</v>
      </c>
      <c r="AA27" s="49">
        <f t="shared" si="1"/>
        <v>49.5</v>
      </c>
      <c r="AB27" s="28"/>
      <c r="AC27" s="29"/>
      <c r="AD27" s="50">
        <v>50</v>
      </c>
      <c r="AE27" s="28"/>
      <c r="AF27" s="29"/>
      <c r="AG27" s="50">
        <v>50</v>
      </c>
      <c r="AH27" s="12"/>
      <c r="AI27" s="35"/>
      <c r="AJ27" s="12"/>
      <c r="AK27" s="51">
        <f t="shared" si="3"/>
        <v>50</v>
      </c>
      <c r="AL27" s="28"/>
      <c r="AM27" s="29"/>
      <c r="AN27" s="3">
        <v>21</v>
      </c>
      <c r="AO27" s="12"/>
      <c r="AP27" s="51">
        <f t="shared" si="2"/>
        <v>50</v>
      </c>
      <c r="AQ27" s="12"/>
      <c r="AR27" s="12"/>
      <c r="AS27" s="12"/>
      <c r="AT27" s="12"/>
      <c r="AU27" s="12"/>
      <c r="AV27" s="12"/>
      <c r="AW27" s="12"/>
      <c r="AX27" s="12"/>
      <c r="AY27" s="12"/>
    </row>
    <row r="28" spans="1:51" ht="19.5" customHeight="1" x14ac:dyDescent="0.25">
      <c r="L28" s="28"/>
      <c r="M28" s="29"/>
      <c r="N28" s="48"/>
      <c r="O28" s="26">
        <v>1.2999999999999999E-2</v>
      </c>
      <c r="P28" s="30">
        <v>1.2E-2</v>
      </c>
      <c r="Q28" s="43">
        <v>1.2E-2</v>
      </c>
      <c r="R28" s="31">
        <v>1.4E-2</v>
      </c>
      <c r="S28" s="26">
        <v>1.4E-2</v>
      </c>
      <c r="T28" s="28"/>
      <c r="U28" s="29"/>
      <c r="V28" s="3">
        <v>22</v>
      </c>
      <c r="W28" s="34">
        <v>1.2E-2</v>
      </c>
      <c r="X28" s="35"/>
      <c r="Y28" s="12" t="s">
        <v>64</v>
      </c>
      <c r="Z28" s="36" t="s">
        <v>60</v>
      </c>
      <c r="AA28" s="49">
        <f t="shared" si="1"/>
        <v>39.6</v>
      </c>
      <c r="AB28" s="28"/>
      <c r="AC28" s="29"/>
      <c r="AD28" s="50">
        <v>40</v>
      </c>
      <c r="AE28" s="28"/>
      <c r="AF28" s="29"/>
      <c r="AG28" s="50">
        <v>40</v>
      </c>
      <c r="AH28" s="12"/>
      <c r="AI28" s="35"/>
      <c r="AJ28" s="12"/>
      <c r="AK28" s="51">
        <f t="shared" si="3"/>
        <v>40</v>
      </c>
      <c r="AL28" s="28"/>
      <c r="AM28" s="29"/>
      <c r="AN28" s="3">
        <v>22</v>
      </c>
      <c r="AO28" s="12"/>
      <c r="AP28" s="51">
        <f t="shared" si="2"/>
        <v>40</v>
      </c>
      <c r="AQ28" s="12"/>
      <c r="AR28" s="12"/>
      <c r="AS28" s="12"/>
      <c r="AT28" s="12"/>
      <c r="AU28" s="12"/>
      <c r="AV28" s="12"/>
      <c r="AW28" s="12"/>
      <c r="AX28" s="12"/>
      <c r="AY28" s="12"/>
    </row>
    <row r="29" spans="1:51" ht="19.5" customHeight="1" x14ac:dyDescent="0.25">
      <c r="L29" s="28"/>
      <c r="M29" s="29"/>
      <c r="N29" s="48"/>
      <c r="O29" s="26">
        <v>1.2999999999999999E-2</v>
      </c>
      <c r="P29" s="30">
        <v>1.2E-2</v>
      </c>
      <c r="Q29" s="43">
        <v>1.2E-2</v>
      </c>
      <c r="R29" s="31">
        <v>1.0999999999999999E-2</v>
      </c>
      <c r="S29" s="26">
        <v>1.0999999999999999E-2</v>
      </c>
      <c r="T29" s="28"/>
      <c r="U29" s="29"/>
      <c r="V29" s="3">
        <v>23</v>
      </c>
      <c r="W29" s="34">
        <v>1.2E-2</v>
      </c>
      <c r="X29" s="35"/>
      <c r="Y29" s="12" t="s">
        <v>64</v>
      </c>
      <c r="Z29" s="36" t="s">
        <v>60</v>
      </c>
      <c r="AA29" s="49">
        <f t="shared" si="1"/>
        <v>39.6</v>
      </c>
      <c r="AB29" s="28"/>
      <c r="AC29" s="29"/>
      <c r="AD29" s="50">
        <v>40</v>
      </c>
      <c r="AE29" s="28"/>
      <c r="AF29" s="29"/>
      <c r="AG29" s="50">
        <v>40</v>
      </c>
      <c r="AH29" s="12"/>
      <c r="AI29" s="35"/>
      <c r="AJ29" s="12"/>
      <c r="AK29" s="51">
        <f t="shared" si="3"/>
        <v>40</v>
      </c>
      <c r="AL29" s="28"/>
      <c r="AM29" s="29"/>
      <c r="AN29" s="3">
        <v>23</v>
      </c>
      <c r="AO29" s="12"/>
      <c r="AP29" s="51">
        <f t="shared" si="2"/>
        <v>40</v>
      </c>
      <c r="AQ29" s="12"/>
      <c r="AR29" s="12"/>
      <c r="AS29" s="12"/>
      <c r="AT29" s="12"/>
      <c r="AU29" s="12"/>
      <c r="AV29" s="12"/>
      <c r="AW29" s="12"/>
      <c r="AX29" s="12"/>
      <c r="AY29" s="12"/>
    </row>
    <row r="30" spans="1:51" ht="19.5" customHeight="1" x14ac:dyDescent="0.25">
      <c r="L30" s="28"/>
      <c r="M30" s="29"/>
      <c r="N30" s="48"/>
      <c r="O30" s="26">
        <v>1.2999999999999999E-2</v>
      </c>
      <c r="P30" s="30">
        <v>1.2E-2</v>
      </c>
      <c r="Q30" s="43">
        <v>1.2E-2</v>
      </c>
      <c r="R30" s="31">
        <v>1.0999999999999999E-2</v>
      </c>
      <c r="S30" s="26">
        <v>1.0999999999999999E-2</v>
      </c>
      <c r="T30" s="28"/>
      <c r="U30" s="29"/>
      <c r="V30" s="3">
        <v>24</v>
      </c>
      <c r="W30" s="34">
        <v>1.2E-2</v>
      </c>
      <c r="X30" s="35"/>
      <c r="Y30" s="12" t="s">
        <v>64</v>
      </c>
      <c r="Z30" s="36" t="s">
        <v>60</v>
      </c>
      <c r="AA30" s="49">
        <f t="shared" si="1"/>
        <v>39.6</v>
      </c>
      <c r="AB30" s="28"/>
      <c r="AC30" s="29"/>
      <c r="AD30" s="50">
        <v>40</v>
      </c>
      <c r="AE30" s="28"/>
      <c r="AF30" s="29"/>
      <c r="AG30" s="50">
        <v>40</v>
      </c>
      <c r="AH30" s="12"/>
      <c r="AI30" s="35"/>
      <c r="AJ30" s="12"/>
      <c r="AK30" s="51">
        <f t="shared" si="3"/>
        <v>40</v>
      </c>
      <c r="AL30" s="28"/>
      <c r="AM30" s="29"/>
      <c r="AN30" s="3">
        <v>24</v>
      </c>
      <c r="AO30" s="12"/>
      <c r="AP30" s="51">
        <f t="shared" si="2"/>
        <v>40</v>
      </c>
      <c r="AQ30" s="12"/>
      <c r="AR30" s="12"/>
      <c r="AS30" s="12"/>
      <c r="AT30" s="12"/>
      <c r="AU30" s="12"/>
      <c r="AV30" s="12"/>
      <c r="AW30" s="12"/>
      <c r="AX30" s="12"/>
      <c r="AY30" s="12"/>
    </row>
    <row r="31" spans="1:51" ht="19.5" customHeight="1" x14ac:dyDescent="0.25">
      <c r="L31" s="28"/>
      <c r="M31" s="29"/>
      <c r="N31" s="48"/>
      <c r="O31" s="26">
        <v>1.2999999999999999E-2</v>
      </c>
      <c r="P31" s="30">
        <v>1.2E-2</v>
      </c>
      <c r="Q31" s="43">
        <v>1.2E-2</v>
      </c>
      <c r="R31" s="31">
        <v>1.0999999999999999E-2</v>
      </c>
      <c r="S31" s="26">
        <v>1.0999999999999999E-2</v>
      </c>
      <c r="T31" s="28"/>
      <c r="U31" s="29"/>
      <c r="V31" s="3">
        <v>25</v>
      </c>
      <c r="W31" s="34">
        <v>1.2E-2</v>
      </c>
      <c r="X31" s="35"/>
      <c r="Y31" s="12" t="s">
        <v>64</v>
      </c>
      <c r="Z31" s="36" t="s">
        <v>60</v>
      </c>
      <c r="AA31" s="49">
        <f t="shared" si="1"/>
        <v>39.6</v>
      </c>
      <c r="AB31" s="28"/>
      <c r="AC31" s="29"/>
      <c r="AD31" s="50">
        <v>40</v>
      </c>
      <c r="AE31" s="28"/>
      <c r="AF31" s="29"/>
      <c r="AG31" s="50">
        <v>40</v>
      </c>
      <c r="AH31" s="12"/>
      <c r="AI31" s="35"/>
      <c r="AJ31" s="12"/>
      <c r="AK31" s="51">
        <f t="shared" si="3"/>
        <v>40</v>
      </c>
      <c r="AL31" s="28"/>
      <c r="AM31" s="29"/>
      <c r="AN31" s="3">
        <v>25</v>
      </c>
      <c r="AO31" s="12"/>
      <c r="AP31" s="51">
        <f t="shared" si="2"/>
        <v>40</v>
      </c>
      <c r="AQ31" s="12"/>
      <c r="AR31" s="12"/>
      <c r="AS31" s="12"/>
      <c r="AT31" s="12"/>
      <c r="AU31" s="12"/>
      <c r="AV31" s="12"/>
      <c r="AW31" s="12"/>
      <c r="AX31" s="12"/>
      <c r="AY31" s="12"/>
    </row>
    <row r="32" spans="1:51" ht="19.5" customHeight="1" x14ac:dyDescent="0.25">
      <c r="L32" s="28"/>
      <c r="M32" s="29"/>
      <c r="N32" s="48"/>
      <c r="O32" s="26">
        <v>1.2999999999999999E-2</v>
      </c>
      <c r="P32" s="30">
        <v>1.2E-2</v>
      </c>
      <c r="Q32" s="43">
        <v>1.2E-2</v>
      </c>
      <c r="R32" s="31">
        <v>1.0999999999999999E-2</v>
      </c>
      <c r="S32" s="26">
        <v>1.0999999999999999E-2</v>
      </c>
      <c r="T32" s="28"/>
      <c r="U32" s="29"/>
      <c r="V32" s="3">
        <v>26</v>
      </c>
      <c r="W32" s="34">
        <v>1.2E-2</v>
      </c>
      <c r="X32" s="35"/>
      <c r="Y32" s="12" t="s">
        <v>64</v>
      </c>
      <c r="Z32" s="36" t="s">
        <v>60</v>
      </c>
      <c r="AA32" s="49">
        <f t="shared" si="1"/>
        <v>39.6</v>
      </c>
      <c r="AB32" s="28"/>
      <c r="AC32" s="29"/>
      <c r="AD32" s="50">
        <v>40</v>
      </c>
      <c r="AE32" s="28"/>
      <c r="AF32" s="29"/>
      <c r="AG32" s="50">
        <v>40</v>
      </c>
      <c r="AH32" s="12"/>
      <c r="AI32" s="35"/>
      <c r="AJ32" s="12"/>
      <c r="AK32" s="51">
        <f t="shared" si="3"/>
        <v>40</v>
      </c>
      <c r="AL32" s="28"/>
      <c r="AM32" s="29"/>
      <c r="AN32" s="3">
        <v>26</v>
      </c>
      <c r="AO32" s="12"/>
      <c r="AP32" s="51">
        <f t="shared" si="2"/>
        <v>40</v>
      </c>
      <c r="AQ32" s="12"/>
      <c r="AR32" s="12"/>
      <c r="AS32" s="12"/>
      <c r="AT32" s="12"/>
      <c r="AU32" s="12"/>
      <c r="AV32" s="12"/>
      <c r="AW32" s="12"/>
      <c r="AX32" s="12"/>
      <c r="AY32" s="12"/>
    </row>
    <row r="33" spans="12:51" ht="19.5" customHeight="1" x14ac:dyDescent="0.25">
      <c r="L33" s="28"/>
      <c r="M33" s="29"/>
      <c r="N33" s="48"/>
      <c r="O33" s="27"/>
      <c r="P33" s="30">
        <v>1.2E-2</v>
      </c>
      <c r="Q33" s="43">
        <v>1.2E-2</v>
      </c>
      <c r="R33" s="31">
        <v>1.0999999999999999E-2</v>
      </c>
      <c r="S33" s="26">
        <v>1.0999999999999999E-2</v>
      </c>
      <c r="T33" s="28"/>
      <c r="U33" s="29"/>
      <c r="V33" s="3">
        <v>27</v>
      </c>
      <c r="W33" s="34">
        <v>1.2E-2</v>
      </c>
      <c r="X33" s="35"/>
      <c r="Y33" s="12" t="s">
        <v>64</v>
      </c>
      <c r="Z33" s="36" t="s">
        <v>60</v>
      </c>
      <c r="AA33" s="49">
        <f t="shared" si="1"/>
        <v>39.6</v>
      </c>
      <c r="AB33" s="28"/>
      <c r="AC33" s="29"/>
      <c r="AD33" s="50">
        <v>40</v>
      </c>
      <c r="AE33" s="28"/>
      <c r="AF33" s="29"/>
      <c r="AG33" s="50">
        <v>40</v>
      </c>
      <c r="AH33" s="12"/>
      <c r="AI33" s="35"/>
      <c r="AJ33" s="12"/>
      <c r="AK33" s="51">
        <f t="shared" si="3"/>
        <v>40</v>
      </c>
      <c r="AL33" s="28"/>
      <c r="AM33" s="29"/>
      <c r="AN33" s="3">
        <v>27</v>
      </c>
      <c r="AO33" s="12"/>
      <c r="AP33" s="51">
        <f t="shared" si="2"/>
        <v>40</v>
      </c>
      <c r="AQ33" s="12"/>
      <c r="AR33" s="12"/>
      <c r="AS33" s="12"/>
      <c r="AT33" s="12"/>
      <c r="AU33" s="12"/>
      <c r="AV33" s="12"/>
      <c r="AW33" s="12"/>
      <c r="AX33" s="12"/>
      <c r="AY33" s="12"/>
    </row>
    <row r="34" spans="12:51" ht="19.5" customHeight="1" thickBot="1" x14ac:dyDescent="0.3">
      <c r="L34" s="28"/>
      <c r="M34" s="29"/>
      <c r="N34" s="48"/>
      <c r="O34" s="27"/>
      <c r="P34" s="27"/>
      <c r="Q34" s="44">
        <v>1.2E-2</v>
      </c>
      <c r="R34" s="31">
        <v>1.0999999999999999E-2</v>
      </c>
      <c r="S34" s="26">
        <v>1.0999999999999999E-2</v>
      </c>
      <c r="T34" s="28"/>
      <c r="U34" s="29"/>
      <c r="V34" s="3">
        <v>28</v>
      </c>
      <c r="W34" s="52">
        <v>1.2E-2</v>
      </c>
      <c r="X34" s="35"/>
      <c r="Y34" s="12" t="s">
        <v>64</v>
      </c>
      <c r="Z34" s="36" t="s">
        <v>60</v>
      </c>
      <c r="AA34" s="49">
        <f t="shared" si="1"/>
        <v>39.6</v>
      </c>
      <c r="AB34" s="28"/>
      <c r="AC34" s="29"/>
      <c r="AD34" s="50">
        <v>40</v>
      </c>
      <c r="AE34" s="28"/>
      <c r="AF34" s="29"/>
      <c r="AG34" s="50">
        <v>40</v>
      </c>
      <c r="AH34" s="12"/>
      <c r="AI34" s="35"/>
      <c r="AJ34" s="12"/>
      <c r="AK34" s="51">
        <f t="shared" si="3"/>
        <v>40</v>
      </c>
      <c r="AL34" s="28"/>
      <c r="AM34" s="29"/>
      <c r="AN34" s="3">
        <v>28</v>
      </c>
      <c r="AO34" s="12"/>
      <c r="AP34" s="51">
        <f t="shared" si="2"/>
        <v>40</v>
      </c>
      <c r="AQ34" s="12"/>
      <c r="AR34" s="12"/>
      <c r="AS34" s="12"/>
      <c r="AT34" s="12"/>
      <c r="AU34" s="12"/>
      <c r="AV34" s="12"/>
      <c r="AW34" s="12"/>
      <c r="AX34" s="12"/>
      <c r="AY34" s="12"/>
    </row>
    <row r="35" spans="12:51" ht="19.5" customHeight="1" x14ac:dyDescent="0.25">
      <c r="L35" s="28"/>
      <c r="M35" s="29"/>
      <c r="N35" s="48"/>
      <c r="O35" s="27"/>
      <c r="P35" s="27"/>
      <c r="Q35" s="27"/>
      <c r="R35" s="26">
        <v>1.0999999999999999E-2</v>
      </c>
      <c r="S35" s="26">
        <v>1.0999999999999999E-2</v>
      </c>
      <c r="T35" s="28"/>
      <c r="U35" s="29"/>
      <c r="V35" s="12"/>
      <c r="W35" s="12"/>
      <c r="X35" s="12"/>
      <c r="Y35" s="12"/>
      <c r="Z35" s="35"/>
      <c r="AA35" s="50"/>
      <c r="AB35" s="28"/>
      <c r="AC35" s="29"/>
      <c r="AD35" s="50"/>
      <c r="AE35" s="28"/>
      <c r="AF35" s="29"/>
      <c r="AG35" s="50"/>
      <c r="AH35" s="12"/>
      <c r="AI35" s="35"/>
      <c r="AJ35" s="12"/>
      <c r="AK35" s="35"/>
      <c r="AL35" s="28"/>
      <c r="AM35" s="29"/>
      <c r="AN35" s="12"/>
      <c r="AO35" s="12"/>
      <c r="AP35" s="35"/>
      <c r="AQ35" s="12"/>
      <c r="AR35" s="12"/>
      <c r="AS35" s="12"/>
      <c r="AT35" s="12"/>
      <c r="AU35" s="12"/>
      <c r="AV35" s="12"/>
      <c r="AW35" s="12"/>
      <c r="AX35" s="12"/>
      <c r="AY35" s="12"/>
    </row>
    <row r="36" spans="12:51" ht="19.5" customHeight="1" x14ac:dyDescent="0.25">
      <c r="L36" s="28"/>
      <c r="M36" s="29"/>
      <c r="N36" s="48"/>
      <c r="O36" s="27"/>
      <c r="P36" s="27"/>
      <c r="Q36" s="27"/>
      <c r="R36" s="27"/>
      <c r="S36" s="26">
        <v>1.0999999999999999E-2</v>
      </c>
      <c r="T36" s="28"/>
      <c r="U36" s="29"/>
      <c r="V36" s="12"/>
      <c r="W36" s="12"/>
      <c r="X36" s="12"/>
      <c r="Y36" s="12"/>
      <c r="Z36" s="35"/>
      <c r="AA36" s="50">
        <f>SUM(AA7:AA34)</f>
        <v>3299.9999999999986</v>
      </c>
      <c r="AB36" s="28"/>
      <c r="AC36" s="29"/>
      <c r="AD36" s="50">
        <f>SUM(AD7:AD34)</f>
        <v>3315</v>
      </c>
      <c r="AE36" s="28"/>
      <c r="AF36" s="29"/>
      <c r="AG36" s="50">
        <f>SUM(AG7:AG34)</f>
        <v>3315</v>
      </c>
      <c r="AH36" s="12"/>
      <c r="AI36" s="50">
        <f>SUM(AI7:AI34)</f>
        <v>-15</v>
      </c>
      <c r="AJ36" s="12"/>
      <c r="AK36" s="50">
        <f>SUM(AK7:AK34)</f>
        <v>3300</v>
      </c>
      <c r="AL36" s="28"/>
      <c r="AM36" s="29"/>
      <c r="AN36" s="12"/>
      <c r="AO36" s="12"/>
      <c r="AP36" s="50">
        <f>SUM(AP7:AP34)</f>
        <v>3300</v>
      </c>
      <c r="AQ36" s="12"/>
      <c r="AR36" s="12"/>
      <c r="AS36" s="12"/>
      <c r="AT36" s="12"/>
      <c r="AU36" s="12"/>
      <c r="AV36" s="12"/>
      <c r="AW36" s="12"/>
      <c r="AX36" s="12"/>
      <c r="AY36" s="12"/>
    </row>
    <row r="37" spans="12:51" ht="19.5" customHeight="1" x14ac:dyDescent="0.25">
      <c r="L37" s="28"/>
      <c r="M37" s="29"/>
      <c r="N37" s="48"/>
      <c r="O37" s="27"/>
      <c r="P37" s="27"/>
      <c r="Q37" s="27"/>
      <c r="R37" s="27"/>
      <c r="S37" s="27"/>
      <c r="T37" s="28"/>
      <c r="U37" s="29"/>
      <c r="V37" s="12"/>
      <c r="W37" s="12"/>
      <c r="X37" s="12"/>
      <c r="Y37" s="12"/>
      <c r="Z37" s="35"/>
      <c r="AA37" s="35"/>
      <c r="AB37" s="28"/>
      <c r="AC37" s="29"/>
      <c r="AD37" s="35"/>
      <c r="AE37" s="28"/>
      <c r="AF37" s="29"/>
      <c r="AG37" s="35"/>
      <c r="AH37" s="12"/>
      <c r="AI37" s="35"/>
      <c r="AJ37" s="12"/>
      <c r="AK37" s="35"/>
      <c r="AL37" s="28"/>
      <c r="AM37" s="29"/>
      <c r="AN37" s="12"/>
      <c r="AO37" s="12"/>
      <c r="AP37" s="35"/>
      <c r="AQ37" s="12"/>
      <c r="AR37" s="12"/>
      <c r="AS37" s="12"/>
      <c r="AT37" s="12"/>
      <c r="AU37" s="12"/>
      <c r="AV37" s="12"/>
      <c r="AW37" s="12"/>
      <c r="AX37" s="12"/>
      <c r="AY37" s="12"/>
    </row>
    <row r="38" spans="12:51" x14ac:dyDescent="0.25"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35"/>
      <c r="AA38" s="35"/>
      <c r="AB38" s="12"/>
      <c r="AC38" s="12"/>
      <c r="AD38" s="35" t="s">
        <v>75</v>
      </c>
      <c r="AE38" s="12"/>
      <c r="AF38" s="12"/>
      <c r="AG38" s="35"/>
      <c r="AH38" s="12"/>
      <c r="AI38" s="35"/>
      <c r="AJ38" s="12"/>
      <c r="AK38" s="35"/>
      <c r="AL38" s="12"/>
      <c r="AM38" s="12"/>
      <c r="AN38" s="12"/>
      <c r="AO38" s="12"/>
      <c r="AP38" s="35"/>
      <c r="AQ38" s="12"/>
      <c r="AR38" s="12"/>
      <c r="AS38" s="12"/>
      <c r="AT38" s="12"/>
      <c r="AU38" s="12"/>
      <c r="AV38" s="12"/>
      <c r="AW38" s="12"/>
      <c r="AX38" s="12"/>
      <c r="AY38" s="12"/>
    </row>
    <row r="39" spans="12:51" x14ac:dyDescent="0.25"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35"/>
      <c r="AA39" s="35"/>
      <c r="AB39" s="12"/>
      <c r="AC39" s="12"/>
      <c r="AD39" s="50">
        <f>AD36-AA36</f>
        <v>15.000000000001364</v>
      </c>
      <c r="AE39" s="12"/>
      <c r="AF39" s="12"/>
      <c r="AG39" s="12"/>
      <c r="AH39" s="12"/>
      <c r="AI39" s="35"/>
      <c r="AJ39" s="12"/>
      <c r="AK39" s="35"/>
      <c r="AL39" s="12"/>
      <c r="AM39" s="12"/>
      <c r="AN39" s="12"/>
      <c r="AO39" s="12"/>
      <c r="AP39" s="35"/>
      <c r="AQ39" s="12"/>
      <c r="AR39" s="12"/>
      <c r="AS39" s="12"/>
      <c r="AT39" s="12"/>
      <c r="AU39" s="12"/>
      <c r="AV39" s="12"/>
      <c r="AW39" s="12"/>
      <c r="AX39" s="12"/>
      <c r="AY39" s="12"/>
    </row>
    <row r="40" spans="12:51" x14ac:dyDescent="0.25"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35"/>
      <c r="AA40" s="12"/>
      <c r="AB40" s="12"/>
      <c r="AC40" s="12"/>
      <c r="AD40" s="35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5"/>
      <c r="AQ40" s="12"/>
      <c r="AR40" s="12"/>
      <c r="AS40" s="12"/>
      <c r="AT40" s="12"/>
      <c r="AU40" s="12"/>
      <c r="AV40" s="12"/>
      <c r="AW40" s="12"/>
      <c r="AX40" s="12"/>
      <c r="AY40" s="12"/>
    </row>
    <row r="41" spans="12:51" x14ac:dyDescent="0.25"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35"/>
      <c r="AA41" s="12"/>
      <c r="AB41" s="12"/>
      <c r="AC41" s="12"/>
      <c r="AD41" s="35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5"/>
      <c r="AQ41" s="12"/>
      <c r="AR41" s="12"/>
      <c r="AS41" s="12"/>
      <c r="AT41" s="12"/>
      <c r="AU41" s="12"/>
      <c r="AV41" s="12"/>
      <c r="AW41" s="12"/>
      <c r="AX41" s="12"/>
      <c r="AY41" s="12"/>
    </row>
    <row r="42" spans="12:51" x14ac:dyDescent="0.25"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35"/>
      <c r="AA42" s="12"/>
      <c r="AB42" s="12"/>
      <c r="AC42" s="12"/>
      <c r="AD42" s="35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5"/>
      <c r="AQ42" s="12"/>
      <c r="AR42" s="12"/>
      <c r="AS42" s="12"/>
      <c r="AT42" s="12"/>
      <c r="AU42" s="12"/>
      <c r="AV42" s="12"/>
      <c r="AW42" s="12"/>
      <c r="AX42" s="12"/>
      <c r="AY42" s="12"/>
    </row>
    <row r="43" spans="12:51" x14ac:dyDescent="0.25"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35"/>
      <c r="AA43" s="12"/>
      <c r="AB43" s="12"/>
      <c r="AC43" s="12"/>
      <c r="AD43" s="35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5"/>
      <c r="AQ43" s="12"/>
      <c r="AR43" s="12"/>
      <c r="AS43" s="12"/>
      <c r="AT43" s="12"/>
      <c r="AU43" s="12"/>
      <c r="AV43" s="12"/>
      <c r="AW43" s="12"/>
      <c r="AX43" s="12"/>
      <c r="AY43" s="12"/>
    </row>
    <row r="44" spans="12:51" x14ac:dyDescent="0.25"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35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5"/>
      <c r="AQ44" s="12"/>
      <c r="AR44" s="12"/>
      <c r="AS44" s="12"/>
      <c r="AT44" s="12"/>
      <c r="AU44" s="12"/>
      <c r="AV44" s="12"/>
      <c r="AW44" s="12"/>
      <c r="AX44" s="12"/>
      <c r="AY44" s="12"/>
    </row>
    <row r="45" spans="12:51" x14ac:dyDescent="0.25"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35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</row>
    <row r="46" spans="12:51" x14ac:dyDescent="0.25"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35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</row>
    <row r="47" spans="12:51" x14ac:dyDescent="0.25"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35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</row>
    <row r="48" spans="12:51" x14ac:dyDescent="0.25"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35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</row>
    <row r="49" spans="15:51" x14ac:dyDescent="0.25"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35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</row>
    <row r="50" spans="15:51" x14ac:dyDescent="0.25"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35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</row>
    <row r="51" spans="15:51" x14ac:dyDescent="0.25"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35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</row>
    <row r="52" spans="15:51" x14ac:dyDescent="0.25"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35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</row>
  </sheetData>
  <pageMargins left="0" right="0" top="0" bottom="0" header="0.3" footer="0.3"/>
  <pageSetup scale="4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Grad01</vt:lpstr>
      <vt:lpstr>Grad02</vt:lpstr>
      <vt:lpstr>Grad03</vt:lpstr>
      <vt:lpstr>Grad04</vt:lpstr>
      <vt:lpstr>PrtGrad01</vt:lpstr>
      <vt:lpstr>PrtGrad02</vt:lpstr>
      <vt:lpstr>PrtGrad03</vt:lpstr>
      <vt:lpstr>PrtGrad04</vt:lpstr>
      <vt:lpstr>by%1in6</vt:lpstr>
      <vt:lpstr>by%1in8</vt:lpstr>
      <vt:lpstr>EX</vt:lpstr>
      <vt:lpstr>'by%1in6'!Print_Area</vt:lpstr>
      <vt:lpstr>'by%1in8'!Print_Area</vt:lpstr>
      <vt:lpstr>EX!Print_Area</vt:lpstr>
      <vt:lpstr>'by%1in6'!Print_Titles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Brion Neeley</dc:creator>
  <cp:lastModifiedBy>MWycombe</cp:lastModifiedBy>
  <cp:lastPrinted>2018-04-21T20:32:22Z</cp:lastPrinted>
  <dcterms:created xsi:type="dcterms:W3CDTF">2014-04-08T22:53:01Z</dcterms:created>
  <dcterms:modified xsi:type="dcterms:W3CDTF">2023-01-31T01:54:57Z</dcterms:modified>
</cp:coreProperties>
</file>