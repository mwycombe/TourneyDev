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-120" yWindow="-120" windowWidth="20730" windowHeight="11760" tabRatio="720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7"/>
  <definedNames>
    <definedName name="FMFBenefitsAllEntryFields">PlayerBenefits!$A$11:$E$56</definedName>
    <definedName name="FMFBenefitsTotal">PlayerBenefits!$A$1</definedName>
    <definedName name="FMFBracketPayOffsAllEntries">BracketPayOffs!$A$6:$C$12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BracketsPayoffsPrintArea">BracketPayOffs!$A$1:$C$12</definedName>
    <definedName name="FMFExpensesAllentryFields">Expenses!$A$11:$G$60</definedName>
    <definedName name="FMFMiscExpensesTotal">Expenses!$A$1</definedName>
    <definedName name="FMFPayOffSignOffPrintArea">PayOffSignOff!$A$1:$E$27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SignOffAllEntries">PayOffSignOff!$A$4:$E$36</definedName>
    <definedName name="FMFSignOffAmountHdr">PayOffSignOff!$C$3</definedName>
    <definedName name="FMFSignOffBracketHdr">PayOffSignOff!$A$3</definedName>
    <definedName name="FMFSignOffSignatureHdr">PayOffSignOff!$E$3</definedName>
    <definedName name="FMFSummaryAccFee">MainSummary!$C$8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BracketPayOffs!$A$1:$C$12</definedName>
    <definedName name="_xlnm.Print_Area" localSheetId="1">Expenses!$A$6:$F$11</definedName>
    <definedName name="_xlnm.Print_Area" localSheetId="0">MainSummary!$A$15:$H$38</definedName>
    <definedName name="_xlnm.Print_Area" localSheetId="4">PayOffSignOff!$A$1:$E$27</definedName>
    <definedName name="_xlnm.Print_Area" localSheetId="2">PlayerBenefits!$A$6:$F$11</definedName>
    <definedName name="_xlnm.Print_Titles" localSheetId="0">MainSummary!#REF!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7" i="8" l="1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C5" i="8"/>
  <c r="C4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C11" i="6" l="1"/>
  <c r="C10" i="6"/>
  <c r="C9" i="6"/>
  <c r="C8" i="6"/>
  <c r="C7" i="6"/>
  <c r="C6" i="6"/>
  <c r="F206" i="1" l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D26" i="1" l="1"/>
  <c r="G15" i="1"/>
  <c r="E27" i="1" l="1"/>
  <c r="E26" i="1" s="1"/>
  <c r="A4" i="2"/>
  <c r="A1" i="2"/>
  <c r="A8" i="2" s="1"/>
  <c r="A1" i="3"/>
  <c r="B8" i="3" s="1"/>
  <c r="F21" i="1"/>
  <c r="F22" i="1" s="1"/>
  <c r="A24" i="1"/>
  <c r="A18" i="1"/>
  <c r="A17" i="1"/>
  <c r="A16" i="1"/>
  <c r="P3" i="9" l="1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B15" i="1" l="1"/>
  <c r="G22" i="1" l="1"/>
  <c r="D22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C9" i="1" l="1"/>
  <c r="A19" i="1" l="1"/>
  <c r="A20" i="1" l="1"/>
  <c r="A21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<sst xmlns="http://schemas.openxmlformats.org/spreadsheetml/2006/main" count="285" uniqueCount="184">
  <si>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</si>
  <si>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</si>
  <si>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</si>
  <si>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</si>
  <si>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</si>
  <si>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</si>
  <si>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</si>
  <si>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</si>
  <si>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</si>
  <si>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</si>
  <si>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</si>
  <si>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</si>
  <si>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</si>
  <si>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</si>
  <si>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</si>
  <si>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</si>
  <si>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</si>
  <si>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</si>
  <si>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</si>
  <si>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</si>
  <si>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</si>
  <si>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</si>
  <si>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</si>
  <si>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</si>
  <si>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</si>
  <si>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</si>
  <si>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</si>
  <si>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</si>
  <si>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</si>
  <si>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</si>
  <si>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</si>
  <si>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</si>
  <si>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</si>
  <si>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</si>
  <si>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</si>
  <si>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</si>
  <si>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</si>
  <si>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</si>
  <si>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</si>
  <si>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</si>
  <si>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</si>
  <si>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</si>
  <si>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</si>
  <si>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</si>
  <si>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</si>
  <si>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</si>
  <si>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</si>
  <si>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</si>
  <si>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</si>
  <si>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</si>
  <si>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</si>
  <si>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</si>
  <si>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</si>
  <si>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</si>
  <si>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</si>
  <si>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</si>
  <si>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</si>
  <si>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</si>
  <si>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</si>
  <si>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</si>
  <si>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</si>
  <si>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</si>
  <si>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</si>
  <si>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</si>
  <si>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</si>
  <si>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</si>
  <si>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</si>
  <si>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</si>
  <si>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</si>
  <si>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</si>
  <si>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</si>
  <si>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</si>
  <si>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</si>
  <si>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</si>
  <si>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</si>
  <si>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</si>
  <si>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</si>
  <si>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</si>
  <si>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</si>
  <si>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</si>
  <si>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</si>
  <si>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</si>
  <si>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</si>
  <si>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</si>
  <si>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</si>
  <si>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</si>
  <si>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</si>
  <si>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</si>
  <si>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</si>
  <si>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</si>
  <si>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</si>
  <si>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5 - 8</t>
  </si>
  <si>
    <t>Rank</t>
  </si>
  <si>
    <t xml:space="preserve">Start Print Area </t>
  </si>
  <si>
    <t>3 - 4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</si>
  <si>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</si>
  <si>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</si>
  <si>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</si>
  <si>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</si>
  <si>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</si>
  <si>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</si>
  <si>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</si>
  <si>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</si>
  <si>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</si>
  <si>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</si>
  <si>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9 - 16</t>
  </si>
  <si>
    <t>Total Expenses</t>
  </si>
  <si>
    <t>Tourney Name:</t>
  </si>
  <si>
    <t>No. Players:</t>
  </si>
  <si>
    <t>Entry Fee:</t>
  </si>
  <si>
    <t>Sanctioning Fee/Player:</t>
  </si>
  <si>
    <t>Comments</t>
  </si>
  <si>
    <t>17 - 32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</si>
  <si>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</si>
  <si>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</si>
  <si>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</si>
  <si>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</si>
  <si>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</si>
  <si>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</si>
  <si>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</si>
  <si>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</si>
  <si>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</si>
  <si>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</si>
  <si>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</si>
  <si>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</si>
  <si>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</si>
  <si>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</si>
  <si>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</si>
  <si>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</si>
  <si>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</si>
  <si>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Meals</t>
  </si>
  <si>
    <t>Total Player Benefits (excluding donation)</t>
  </si>
  <si>
    <t>Cash Received</t>
  </si>
  <si>
    <t>1</t>
  </si>
  <si>
    <t>2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</si>
  <si>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</si>
  <si>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</si>
  <si>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</si>
  <si>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</si>
  <si>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</si>
  <si>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</si>
  <si>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</si>
  <si>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</si>
  <si>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</si>
  <si>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</si>
  <si>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</si>
  <si>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</si>
  <si>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</si>
  <si>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</si>
  <si>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</si>
  <si>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</si>
  <si>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</si>
  <si>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</si>
  <si>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</si>
  <si>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</si>
  <si>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</si>
  <si>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</si>
  <si>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</si>
  <si>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</si>
  <si>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</si>
  <si>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15 Qualifiers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</si>
  <si>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</si>
  <si>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</si>
  <si>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</si>
  <si>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Drinks</t>
  </si>
  <si>
    <t>Total Player Benefits</t>
  </si>
  <si>
    <t>Napa Tourney</t>
  </si>
  <si>
    <t>Trophies</t>
  </si>
  <si>
    <t>Prizes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</si>
  <si>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</si>
  <si>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</si>
  <si>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</si>
  <si>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</si>
  <si>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</si>
  <si>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</si>
  <si>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</si>
  <si>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</si>
  <si>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</si>
  <si>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</si>
  <si>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</si>
  <si>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3-4</t>
  </si>
  <si>
    <t>5-8</t>
  </si>
  <si>
    <t>9-16</t>
  </si>
  <si>
    <t>Payoffs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</si>
</sst>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5" formatCode="&quot;$&quot;#,##0_);\(&quot;$&quot;#,##0\)"/>
    <numFmt numFmtId="44" formatCode="_(&quot;$&quot;* #,##0.00_);_(&quot;$&quot;* \(#,##0.00\);_(&quot;$&quot;* &quot;-&quot;??_);_(@_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2">
    <xf numFmtId="0" fontId="0" fillId="0" borderId="0"/>
    <xf numFmtId="44" fontId="18" fillId="0" borderId="0" applyFont="0" applyFill="0" applyBorder="0" applyAlignment="0" applyProtection="0"/>
  </cellStyleXfs>
  <cellXfs count="266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3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2" fillId="0" borderId="0" xfId="0" applyFont="1" applyAlignment="1" applyProtection="1">
      <alignment horizontal="right"/>
    </xf>
    <xf numFmtId="0" fontId="1" fillId="0" borderId="0" xfId="0" applyFont="1" applyProtection="1"/>
    <xf numFmtId="0" fontId="3" fillId="0" borderId="0" xfId="0" applyFont="1" applyProtection="1"/>
    <xf numFmtId="0" fontId="0" fillId="0" borderId="0" xfId="0" applyFont="1" applyProtection="1"/>
    <xf numFmtId="49" fontId="2" fillId="0" borderId="0" xfId="0" applyNumberFormat="1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8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7" fontId="0" fillId="0" borderId="0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2" fillId="0" borderId="0" xfId="0" applyFont="1" applyBorder="1" applyAlignment="1" applyProtection="1"/>
    <xf numFmtId="0" fontId="6" fillId="0" borderId="0" xfId="0" applyFont="1" applyBorder="1" applyAlignment="1" applyProtection="1"/>
    <xf numFmtId="0" fontId="2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2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2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6" fillId="0" borderId="0" xfId="0" quotePrefix="1" applyNumberFormat="1" applyFont="1" applyAlignment="1" applyProtection="1">
      <alignment horizontal="center"/>
    </xf>
    <xf numFmtId="164" fontId="4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9" fillId="0" borderId="0" xfId="0" quotePrefix="1" applyFont="1" applyProtection="1"/>
    <xf numFmtId="0" fontId="2" fillId="0" borderId="0" xfId="0" applyFont="1" applyProtection="1"/>
    <xf numFmtId="0" fontId="2" fillId="0" borderId="0" xfId="0" applyFont="1" applyBorder="1" applyAlignment="1" applyProtection="1">
      <alignment horizontal="right"/>
    </xf>
    <xf numFmtId="0" fontId="1" fillId="0" borderId="0" xfId="0" quotePrefix="1" applyFont="1" applyBorder="1" applyAlignment="1" applyProtection="1">
      <alignment horizontal="left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 applyProtection="1">
      <alignment horizontal="center" vertical="center"/>
    </xf>
    <xf numFmtId="0" fontId="0" fillId="0" borderId="3" xfId="0" applyBorder="1" applyProtection="1"/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49" fontId="0" fillId="0" borderId="0" xfId="0" applyNumberFormat="1" applyAlignment="1">
      <alignment horizontal="center"/>
    </xf>
    <xf numFmtId="0" fontId="0" fillId="0" borderId="0" xfId="0" applyAlignment="1" applyProtection="1">
      <alignment horizontal="left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0" fontId="12" fillId="0" borderId="1" xfId="0" applyFont="1" applyBorder="1" applyAlignment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protection locked="0"/>
    </xf>
    <xf numFmtId="165" fontId="12" fillId="0" borderId="1" xfId="0" applyNumberFormat="1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Border="1" applyProtection="1"/>
    <xf numFmtId="164" fontId="6" fillId="0" borderId="0" xfId="0" quotePrefix="1" applyNumberFormat="1" applyFont="1" applyBorder="1" applyAlignment="1" applyProtection="1">
      <alignment horizontal="center"/>
    </xf>
    <xf numFmtId="0" fontId="12" fillId="0" borderId="1" xfId="0" applyFont="1" applyBorder="1" applyProtection="1">
      <protection locked="0"/>
    </xf>
    <xf numFmtId="1" fontId="0" fillId="0" borderId="0" xfId="0" applyNumberFormat="1" applyProtection="1"/>
    <xf numFmtId="1" fontId="1" fillId="0" borderId="0" xfId="0" applyNumberFormat="1" applyFont="1" applyAlignment="1" applyProtection="1">
      <alignment vertical="center"/>
    </xf>
    <xf numFmtId="1" fontId="6" fillId="0" borderId="0" xfId="0" applyNumberFormat="1" applyFont="1" applyBorder="1" applyAlignment="1" applyProtection="1"/>
    <xf numFmtId="1" fontId="0" fillId="0" borderId="0" xfId="0" applyNumberFormat="1" applyBorder="1" applyProtection="1"/>
    <xf numFmtId="164" fontId="0" fillId="0" borderId="0" xfId="0" applyNumberFormat="1"/>
    <xf numFmtId="164" fontId="0" fillId="0" borderId="0" xfId="0" quotePrefix="1" applyNumberFormat="1"/>
    <xf numFmtId="164" fontId="0" fillId="2" borderId="0" xfId="0" applyNumberFormat="1" applyFill="1"/>
    <xf numFmtId="0" fontId="12" fillId="0" borderId="4" xfId="0" applyFont="1" applyBorder="1" applyProtection="1">
      <protection locked="0"/>
    </xf>
    <xf numFmtId="0" fontId="12" fillId="0" borderId="4" xfId="0" applyFont="1" applyBorder="1" applyProtection="1"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5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5" fillId="0" borderId="0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0" fontId="0" fillId="0" borderId="0" xfId="0" applyBorder="1" applyProtection="1"/>
    <xf numFmtId="0" fontId="12" fillId="0" borderId="4" xfId="0" applyFont="1" applyBorder="1" applyProtection="1">
      <protection locked="0"/>
    </xf>
    <xf numFmtId="0" fontId="12" fillId="0" borderId="1" xfId="0" applyFont="1" applyBorder="1" applyProtection="1">
      <protection locked="0"/>
    </xf>
    <xf numFmtId="0" fontId="1" fillId="0" borderId="0" xfId="0" applyFont="1" applyBorder="1" applyAlignment="1" applyProtection="1">
      <alignment horizontal="center" vertical="center" wrapText="1"/>
    </xf>
    <xf numFmtId="0" fontId="0" fillId="0" borderId="0" xfId="0" quotePrefix="1" applyAlignment="1" applyProtection="1">
      <alignment horizontal="left" vertical="center" wrapText="1"/>
    </xf>
    <xf numFmtId="0" fontId="0" fillId="0" borderId="0" xfId="0" quotePrefix="1" applyFont="1" applyAlignment="1" applyProtection="1">
      <alignment horizontal="left" vertical="center" wrapText="1"/>
    </xf>
    <xf numFmtId="0" fontId="1" fillId="0" borderId="0" xfId="0" applyFont="1" applyBorder="1" applyAlignment="1" applyProtection="1">
      <alignment horizontal="right" vertical="center" wrapText="1"/>
    </xf>
    <xf numFmtId="1" fontId="2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1" xfId="0" applyBorder="1" applyProtection="1"/>
    <xf numFmtId="0" fontId="0" fillId="0" borderId="0" xfId="0" applyBorder="1" applyProtection="1"/>
    <xf numFmtId="0" fontId="12" fillId="0" borderId="1" xfId="0" applyFont="1" applyBorder="1" applyProtection="1">
      <protection locked="0"/>
    </xf>
    <xf numFmtId="0" fontId="1" fillId="0" borderId="0" xfId="0" applyFont="1" applyAlignment="1">
      <alignment wrapText="1"/>
    </xf>
    <xf numFmtId="168" fontId="6" fillId="0" borderId="0" xfId="0" applyNumberFormat="1" applyFont="1" applyBorder="1" applyAlignment="1" applyProtection="1">
      <alignment horizontal="center"/>
    </xf>
    <xf numFmtId="1" fontId="1" fillId="0" borderId="5" xfId="0" applyNumberFormat="1" applyFont="1" applyBorder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1" fontId="12" fillId="0" borderId="13" xfId="0" applyNumberFormat="1" applyFont="1" applyBorder="1" applyAlignment="1" applyProtection="1">
      <alignment horizontal="center"/>
      <protection locked="0"/>
    </xf>
    <xf numFmtId="49" fontId="12" fillId="0" borderId="0" xfId="0" applyNumberFormat="1" applyFont="1" applyBorder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2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Border="1" applyAlignment="1">
      <alignment wrapText="1"/>
    </xf>
    <xf numFmtId="166" fontId="12" fillId="0" borderId="0" xfId="0" applyNumberFormat="1" applyFont="1" applyBorder="1" applyAlignment="1" applyProtection="1">
      <alignment horizontal="center"/>
      <protection locked="0"/>
    </xf>
    <xf numFmtId="165" fontId="12" fillId="0" borderId="0" xfId="0" applyNumberFormat="1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protection locked="0"/>
    </xf>
    <xf numFmtId="0" fontId="13" fillId="0" borderId="0" xfId="0" applyFont="1" applyBorder="1" applyAlignment="1" applyProtection="1">
      <alignment horizontal="center"/>
      <protection locked="0"/>
    </xf>
    <xf numFmtId="165" fontId="12" fillId="0" borderId="0" xfId="0" applyNumberFormat="1" applyFont="1" applyBorder="1" applyProtection="1">
      <protection locked="0"/>
    </xf>
    <xf numFmtId="0" fontId="12" fillId="0" borderId="0" xfId="0" applyFont="1" applyBorder="1" applyAlignment="1" applyProtection="1">
      <alignment horizontal="center"/>
      <protection locked="0"/>
    </xf>
    <xf numFmtId="0" fontId="12" fillId="0" borderId="0" xfId="0" applyFont="1" applyBorder="1" applyProtection="1">
      <protection locked="0"/>
    </xf>
    <xf numFmtId="1" fontId="12" fillId="0" borderId="0" xfId="0" applyNumberFormat="1" applyFont="1" applyBorder="1" applyAlignment="1" applyProtection="1">
      <alignment horizontal="center"/>
      <protection locked="0"/>
    </xf>
    <xf numFmtId="164" fontId="5" fillId="0" borderId="0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vertical="center"/>
    </xf>
    <xf numFmtId="0" fontId="0" fillId="0" borderId="0" xfId="0" applyBorder="1" applyAlignment="1" applyProtection="1"/>
    <xf numFmtId="167" fontId="0" fillId="0" borderId="0" xfId="0" quotePrefix="1" applyNumberFormat="1" applyAlignment="1" applyProtection="1"/>
    <xf numFmtId="167" fontId="0" fillId="0" borderId="0" xfId="0" applyNumberFormat="1" applyAlignment="1" applyProtection="1"/>
    <xf numFmtId="0" fontId="11" fillId="0" borderId="0" xfId="0" applyFont="1" applyAlignment="1">
      <alignment horizontal="center"/>
    </xf>
    <xf numFmtId="164" fontId="0" fillId="0" borderId="0" xfId="0" applyNumberFormat="1" applyProtection="1"/>
    <xf numFmtId="164" fontId="6" fillId="0" borderId="1" xfId="0" quotePrefix="1" applyNumberFormat="1" applyFont="1" applyBorder="1" applyAlignment="1" applyProtection="1">
      <alignment horizontal="center"/>
    </xf>
    <xf numFmtId="164" fontId="2" fillId="0" borderId="1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0" fontId="1" fillId="0" borderId="0" xfId="0" quotePrefix="1" applyFont="1" applyBorder="1" applyAlignment="1" applyProtection="1">
      <alignment horizontal="center"/>
    </xf>
    <xf numFmtId="49" fontId="1" fillId="0" borderId="15" xfId="0" applyNumberFormat="1" applyFont="1" applyBorder="1" applyAlignment="1" applyProtection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 applyProtection="1">
      <alignment horizontal="center"/>
    </xf>
    <xf numFmtId="164" fontId="0" fillId="0" borderId="15" xfId="0" applyNumberFormat="1" applyBorder="1" applyAlignment="1" applyProtection="1">
      <alignment horizontal="center"/>
    </xf>
    <xf numFmtId="164" fontId="0" fillId="0" borderId="15" xfId="0" applyNumberFormat="1" applyFont="1" applyBorder="1" applyAlignment="1" applyProtection="1">
      <alignment horizontal="center"/>
    </xf>
    <xf numFmtId="49" fontId="0" fillId="0" borderId="15" xfId="0" applyNumberFormat="1" applyBorder="1" applyAlignment="1" applyProtection="1">
      <alignment horizontal="center"/>
    </xf>
    <xf numFmtId="10" fontId="0" fillId="0" borderId="15" xfId="0" applyNumberFormat="1" applyBorder="1" applyAlignment="1">
      <alignment horizontal="center"/>
    </xf>
    <xf numFmtId="164" fontId="5" fillId="0" borderId="16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vertical="top"/>
    </xf>
    <xf numFmtId="0" fontId="14" fillId="0" borderId="0" xfId="0" quotePrefix="1" applyFont="1" applyAlignment="1">
      <alignment horizontal="center"/>
    </xf>
    <xf numFmtId="164" fontId="14" fillId="0" borderId="0" xfId="1" applyNumberFormat="1" applyFont="1" applyAlignment="1">
      <alignment horizontal="center"/>
    </xf>
    <xf numFmtId="0" fontId="1" fillId="0" borderId="15" xfId="0" applyFont="1" applyBorder="1" applyAlignment="1" applyProtection="1">
      <alignment horizontal="center" wrapText="1"/>
    </xf>
    <xf numFmtId="0" fontId="6" fillId="0" borderId="8" xfId="0" applyFont="1" applyBorder="1" applyAlignment="1" applyProtection="1">
      <alignment horizontal="center"/>
    </xf>
    <xf numFmtId="3" fontId="1" fillId="0" borderId="15" xfId="0" applyNumberFormat="1" applyFont="1" applyBorder="1" applyAlignment="1" applyProtection="1">
      <alignment horizontal="center" wrapText="1"/>
    </xf>
    <xf numFmtId="0" fontId="0" fillId="0" borderId="7" xfId="0" applyFont="1" applyBorder="1" applyAlignment="1" applyProtection="1">
      <alignment horizontal="left"/>
    </xf>
    <xf numFmtId="0" fontId="0" fillId="0" borderId="6" xfId="0" applyFont="1" applyBorder="1" applyAlignment="1" applyProtection="1">
      <alignment horizontal="left"/>
    </xf>
    <xf numFmtId="0" fontId="1" fillId="0" borderId="15" xfId="0" applyFont="1" applyBorder="1" applyAlignment="1" applyProtection="1">
      <alignment horizontal="center"/>
    </xf>
    <xf numFmtId="0" fontId="15" fillId="0" borderId="10" xfId="0" applyFont="1" applyBorder="1" applyAlignment="1" applyProtection="1">
      <alignment horizontal="center"/>
    </xf>
    <xf numFmtId="0" fontId="15" fillId="0" borderId="11" xfId="0" applyFont="1" applyBorder="1" applyAlignment="1" applyProtection="1">
      <alignment horizontal="center"/>
    </xf>
    <xf numFmtId="0" fontId="15" fillId="0" borderId="12" xfId="0" applyFont="1" applyBorder="1" applyAlignment="1" applyProtection="1">
      <alignment horizontal="center"/>
    </xf>
    <xf numFmtId="0" fontId="6" fillId="0" borderId="0" xfId="0" applyFont="1" applyAlignment="1" applyProtection="1">
      <alignment horizontal="right" vertical="center"/>
    </xf>
    <xf numFmtId="0" fontId="6" fillId="0" borderId="0" xfId="0" applyFont="1" applyBorder="1" applyAlignment="1" applyProtection="1"/>
    <xf numFmtId="0" fontId="16" fillId="0" borderId="0" xfId="0" applyFont="1" applyAlignment="1" applyProtection="1">
      <alignment horizontal="right"/>
    </xf>
    <xf numFmtId="0" fontId="16" fillId="0" borderId="0" xfId="0" applyFont="1" applyBorder="1" applyAlignment="1" applyProtection="1">
      <alignment horizontal="right"/>
    </xf>
    <xf numFmtId="1" fontId="1" fillId="0" borderId="15" xfId="0" applyNumberFormat="1" applyFont="1" applyBorder="1" applyAlignment="1" applyProtection="1">
      <alignment horizontal="center"/>
    </xf>
    <xf numFmtId="0" fontId="0" fillId="0" borderId="1" xfId="0" applyBorder="1" applyAlignment="1" applyProtection="1">
      <alignment horizontal="right"/>
    </xf>
    <xf numFmtId="49" fontId="7" fillId="0" borderId="0" xfId="0" applyNumberFormat="1" applyFont="1" applyBorder="1" applyAlignment="1" applyProtection="1">
      <alignment horizontal="left" vertical="center"/>
    </xf>
    <xf numFmtId="0" fontId="6" fillId="0" borderId="0" xfId="0" applyNumberFormat="1" applyFont="1" applyBorder="1" applyProtection="1">
      <protection locked="0"/>
    </xf>
    <xf numFmtId="14" fontId="6" fillId="0" borderId="0" xfId="0" applyNumberFormat="1" applyFont="1" applyAlignment="1" applyProtection="1">
      <alignment horizontal="center"/>
    </xf>
    <xf numFmtId="49" fontId="6" fillId="0" borderId="0" xfId="0" applyNumberFormat="1" applyFont="1" applyAlignment="1" applyProtection="1">
      <alignment horizontal="right"/>
    </xf>
    <xf numFmtId="49" fontId="6" fillId="0" borderId="0" xfId="0" applyNumberFormat="1" applyFont="1" applyProtection="1"/>
    <xf numFmtId="0" fontId="6" fillId="0" borderId="0" xfId="0" applyFont="1" applyAlignment="1" applyProtection="1">
      <alignment horizontal="right"/>
    </xf>
    <xf numFmtId="0" fontId="0" fillId="0" borderId="2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6" fillId="0" borderId="0" xfId="0" applyFont="1" applyBorder="1" applyAlignment="1" applyProtection="1">
      <alignment horizontal="right"/>
    </xf>
    <xf numFmtId="0" fontId="0" fillId="0" borderId="1" xfId="0" applyBorder="1" applyProtection="1"/>
    <xf numFmtId="0" fontId="0" fillId="0" borderId="2" xfId="0" applyBorder="1" applyProtection="1"/>
    <xf numFmtId="0" fontId="0" fillId="0" borderId="1" xfId="0" applyBorder="1" applyAlignment="1" applyProtection="1">
      <alignment horizontal="center" wrapText="1"/>
    </xf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5" xfId="0" applyBorder="1" applyProtection="1"/>
    <xf numFmtId="0" fontId="0" fillId="0" borderId="6" xfId="0" applyBorder="1" applyProtection="1"/>
    <xf numFmtId="164" fontId="3" fillId="0" borderId="0" xfId="0" applyNumberFormat="1" applyFont="1" applyAlignment="1" applyProtection="1">
      <alignment horizontal="center"/>
    </xf>
    <xf numFmtId="164" fontId="3" fillId="0" borderId="0" xfId="0" applyNumberFormat="1" applyFont="1" applyBorder="1" applyAlignment="1" applyProtection="1">
      <alignment horizontal="center"/>
    </xf>
    <xf numFmtId="4" fontId="12" fillId="0" borderId="1" xfId="0" applyNumberFormat="1" applyFont="1" applyBorder="1" applyAlignment="1" applyProtection="1">
      <alignment horizontal="left"/>
      <protection locked="0"/>
    </xf>
    <xf numFmtId="4" fontId="12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 applyProtection="1"/>
    <xf numFmtId="0" fontId="1" fillId="0" borderId="0" xfId="0" applyFont="1" applyAlignment="1" applyProtection="1">
      <alignment horizontal="left"/>
    </xf>
    <xf numFmtId="0" fontId="1" fillId="0" borderId="1" xfId="0" applyFont="1" applyBorder="1" applyProtection="1"/>
    <xf numFmtId="0" fontId="12" fillId="0" borderId="4" xfId="0" applyFont="1" applyBorder="1" applyProtection="1">
      <protection locked="0"/>
    </xf>
    <xf numFmtId="0" fontId="12" fillId="0" borderId="4" xfId="0" quotePrefix="1" applyFont="1" applyBorder="1" applyProtection="1">
      <protection locked="0"/>
    </xf>
    <xf numFmtId="0" fontId="12" fillId="0" borderId="1" xfId="0" applyFont="1" applyBorder="1" applyProtection="1">
      <protection locked="0"/>
    </xf>
    <xf numFmtId="4" fontId="12" fillId="0" borderId="0" xfId="0" applyNumberFormat="1" applyFont="1" applyBorder="1" applyAlignment="1" applyProtection="1">
      <alignment horizontal="left"/>
      <protection locked="0"/>
    </xf>
    <xf numFmtId="0" fontId="12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</xf>
    <xf numFmtId="167" fontId="1" fillId="0" borderId="0" xfId="0" applyNumberFormat="1" applyFont="1" applyProtection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7</xdr:row>
          <xdr:rowOff>238125</xdr:rowOff>
        </xdr:from>
        <xdr:to>
          <xdr:col>5</xdr:col>
          <xdr:colOff>657225</xdr:colOff>
          <xdr:row>9</xdr:row>
          <xdr:rowOff>228600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Financials 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4</xdr:row>
          <xdr:rowOff>238125</xdr:rowOff>
        </xdr:from>
        <xdr:to>
          <xdr:col>5</xdr:col>
          <xdr:colOff>657225</xdr:colOff>
          <xdr:row>6</xdr:row>
          <xdr:rowOff>190500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Main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7</xdr:row>
          <xdr:rowOff>238125</xdr:rowOff>
        </xdr:from>
        <xdr:to>
          <xdr:col>8</xdr:col>
          <xdr:colOff>266700</xdr:colOff>
          <xdr:row>9</xdr:row>
          <xdr:rowOff>219075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4</xdr:row>
          <xdr:rowOff>238125</xdr:rowOff>
        </xdr:from>
        <xdr:to>
          <xdr:col>8</xdr:col>
          <xdr:colOff>266700</xdr:colOff>
          <xdr:row>6</xdr:row>
          <xdr:rowOff>190500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Adjust Payoffs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Financials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Financials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06"/>
  <sheetViews>
    <sheetView tabSelected="1" zoomScale="115" zoomScaleNormal="115" workbookViewId="0">
      <selection activeCell="L9" sqref="L9"/>
    </sheetView>
  </sheetViews>
  <sheetFormatPr defaultRowHeight="15" x14ac:dyDescent="0.25"/>
  <cols>
    <col min="1" max="1" width="11.7109375" style="32" customWidth="1"/>
    <col min="2" max="2" width="14.5703125" style="47" customWidth="1"/>
    <col min="3" max="3" width="12" style="47" customWidth="1"/>
    <col min="4" max="4" width="12.28515625" style="32" customWidth="1"/>
    <col min="5" max="5" width="14.7109375" style="32" customWidth="1"/>
    <col min="6" max="6" width="14.42578125" style="45" customWidth="1"/>
    <col min="7" max="7" width="9.140625" style="32" customWidth="1"/>
    <col min="8" max="8" width="9.7109375" style="32" customWidth="1"/>
    <col min="9" max="9" width="9.28515625" style="32" customWidth="1"/>
    <col min="10" max="10" width="10.42578125" style="32" customWidth="1"/>
    <col min="11" max="11" width="16.7109375" style="45" customWidth="1"/>
    <col min="12" max="13" width="9.140625" style="32" customWidth="1"/>
    <col min="14" max="14" width="11.5703125" style="147" customWidth="1"/>
    <col min="15" max="15" width="6" style="147" customWidth="1"/>
    <col min="16" max="17" width="9.140625" style="147"/>
    <col min="18" max="16384" width="9.140625" style="32"/>
  </cols>
  <sheetData>
    <row r="1" spans="1:15" ht="20.25" customHeight="1" thickBot="1" x14ac:dyDescent="0.35">
      <c r="A1" s="40"/>
      <c r="B1" s="224" t="s">
        <v>161</v>
      </c>
      <c r="C1" s="225"/>
      <c r="D1" s="226"/>
      <c r="F1" s="95"/>
      <c r="H1" s="41"/>
    </row>
    <row r="2" spans="1:15" ht="12.75" customHeight="1" x14ac:dyDescent="0.3">
      <c r="A2" s="40"/>
      <c r="B2" s="42"/>
      <c r="C2" s="42"/>
      <c r="F2" s="32"/>
      <c r="K2" s="67"/>
    </row>
    <row r="3" spans="1:15" ht="35.25" customHeight="1" x14ac:dyDescent="0.3">
      <c r="A3" s="40"/>
      <c r="B3" s="233" t="s">
        <v>129</v>
      </c>
      <c r="C3" s="233"/>
      <c r="D3" s="233"/>
      <c r="E3" s="233"/>
      <c r="F3" s="32"/>
      <c r="K3" s="67"/>
    </row>
    <row r="4" spans="1:15" ht="20.25" customHeight="1" x14ac:dyDescent="0.25">
      <c r="A4" s="238" t="s">
        <v>107</v>
      </c>
      <c r="B4" s="238"/>
      <c r="C4" s="234" t="s">
        <v>166</v>
      </c>
      <c r="D4" s="234"/>
      <c r="E4" s="234"/>
      <c r="F4" s="234"/>
      <c r="G4" s="234"/>
      <c r="H4" s="234"/>
      <c r="I4" s="43"/>
      <c r="J4" s="166"/>
      <c r="K4" s="166"/>
      <c r="L4" s="166"/>
      <c r="M4" s="166"/>
      <c r="N4" s="166"/>
      <c r="O4" s="166"/>
    </row>
    <row r="5" spans="1:15" ht="18.75" x14ac:dyDescent="0.3">
      <c r="A5" s="236" t="s">
        <v>117</v>
      </c>
      <c r="B5" s="236"/>
      <c r="C5" s="178">
        <v>45045</v>
      </c>
      <c r="D5" s="44"/>
      <c r="E5" s="44"/>
      <c r="F5" s="44"/>
      <c r="G5" s="44"/>
      <c r="H5" s="44"/>
      <c r="I5" s="43"/>
      <c r="J5" s="166"/>
      <c r="K5" s="166"/>
      <c r="L5" s="166"/>
      <c r="M5" s="166"/>
      <c r="N5" s="166"/>
      <c r="O5" s="166"/>
    </row>
    <row r="6" spans="1:15" ht="21" x14ac:dyDescent="0.35">
      <c r="A6" s="241" t="s">
        <v>108</v>
      </c>
      <c r="B6" s="241"/>
      <c r="C6" s="171">
        <v>60</v>
      </c>
      <c r="D6" s="197"/>
      <c r="E6" s="197"/>
      <c r="F6" s="197"/>
      <c r="G6" s="70"/>
      <c r="H6" s="43"/>
      <c r="I6" s="94"/>
      <c r="J6" s="166"/>
      <c r="K6" s="166"/>
      <c r="L6" s="166"/>
      <c r="M6" s="166"/>
      <c r="N6" s="166"/>
      <c r="O6" s="166"/>
    </row>
    <row r="7" spans="1:15" ht="18.75" customHeight="1" x14ac:dyDescent="0.3">
      <c r="A7" s="238" t="s">
        <v>109</v>
      </c>
      <c r="B7" s="238"/>
      <c r="C7" s="172">
        <v>70</v>
      </c>
      <c r="D7" s="96"/>
      <c r="E7" s="97"/>
      <c r="G7" s="70"/>
      <c r="H7" s="43"/>
      <c r="I7" s="43"/>
      <c r="J7" s="166"/>
      <c r="K7" s="166"/>
      <c r="L7" s="166"/>
      <c r="M7" s="166"/>
      <c r="N7" s="166"/>
      <c r="O7" s="166"/>
    </row>
    <row r="8" spans="1:15" ht="18.75" customHeight="1" x14ac:dyDescent="0.3">
      <c r="A8" s="228" t="s">
        <v>110</v>
      </c>
      <c r="B8" s="228"/>
      <c r="C8" s="172">
        <v>3</v>
      </c>
      <c r="E8" s="43"/>
      <c r="F8" s="68"/>
      <c r="G8" s="43"/>
      <c r="H8" s="43"/>
      <c r="I8" s="43"/>
      <c r="J8" s="166"/>
      <c r="K8" s="166"/>
      <c r="L8" s="166"/>
      <c r="M8" s="166"/>
      <c r="N8" s="166"/>
      <c r="O8" s="166"/>
    </row>
    <row r="9" spans="1:15" ht="18.75" customHeight="1" x14ac:dyDescent="0.25">
      <c r="A9" s="227" t="s">
        <v>123</v>
      </c>
      <c r="B9" s="227"/>
      <c r="C9" s="101">
        <f>IF(D10&gt;0,+D10,D11*C6)</f>
        <v>300</v>
      </c>
      <c r="D9" s="196"/>
      <c r="E9" s="196"/>
      <c r="F9" s="196"/>
      <c r="G9" s="196"/>
      <c r="H9" s="169"/>
      <c r="I9" s="169"/>
      <c r="J9" s="169"/>
      <c r="N9" s="170"/>
      <c r="O9" s="148"/>
    </row>
    <row r="10" spans="1:15" ht="21.75" customHeight="1" x14ac:dyDescent="0.3">
      <c r="A10" s="229" t="s">
        <v>171</v>
      </c>
      <c r="B10" s="229"/>
      <c r="C10" s="230"/>
      <c r="D10" s="172">
        <v>0</v>
      </c>
    </row>
    <row r="11" spans="1:15" ht="18.75" x14ac:dyDescent="0.3">
      <c r="A11" s="241" t="s">
        <v>122</v>
      </c>
      <c r="B11" s="241"/>
      <c r="C11" s="241"/>
      <c r="D11" s="172">
        <v>5</v>
      </c>
      <c r="E11" s="215"/>
      <c r="F11" s="215"/>
      <c r="G11" s="215"/>
      <c r="H11" s="215"/>
      <c r="I11" s="215"/>
      <c r="J11" s="215"/>
      <c r="K11" s="135"/>
    </row>
    <row r="12" spans="1:15" x14ac:dyDescent="0.25">
      <c r="D12" s="43"/>
      <c r="E12" s="70"/>
      <c r="F12" s="71"/>
      <c r="G12" s="70"/>
      <c r="H12" s="43"/>
      <c r="I12" s="43"/>
    </row>
    <row r="13" spans="1:15" ht="18.75" x14ac:dyDescent="0.3">
      <c r="A13" s="250"/>
      <c r="B13" s="251"/>
      <c r="C13" s="173"/>
      <c r="D13" s="167"/>
      <c r="E13" s="168"/>
      <c r="F13" s="168"/>
      <c r="G13" s="168"/>
    </row>
    <row r="14" spans="1:15" x14ac:dyDescent="0.25">
      <c r="A14" s="32" t="s">
        <v>93</v>
      </c>
      <c r="B14" s="46"/>
      <c r="C14" s="46"/>
    </row>
    <row r="15" spans="1:15" ht="18.75" x14ac:dyDescent="0.3">
      <c r="A15" s="79" t="s">
        <v>128</v>
      </c>
      <c r="B15" s="237" t="str">
        <f>+C4</f>
        <v>Napa Tourney</v>
      </c>
      <c r="C15" s="237"/>
      <c r="D15" s="237"/>
      <c r="E15" s="237"/>
      <c r="F15" s="237"/>
      <c r="G15" s="235">
        <f>FMFSummaryTourneyDate</f>
        <v>45045</v>
      </c>
      <c r="H15" s="235"/>
    </row>
    <row r="16" spans="1:15" x14ac:dyDescent="0.25">
      <c r="A16" s="134">
        <f>FMFSummaryPlayerCount</f>
        <v>60</v>
      </c>
      <c r="B16" s="246" t="s">
        <v>121</v>
      </c>
      <c r="C16" s="247"/>
      <c r="E16" s="103"/>
      <c r="F16" s="39"/>
      <c r="G16" s="72"/>
    </row>
    <row r="17" spans="1:14" x14ac:dyDescent="0.25">
      <c r="A17" s="73">
        <f>FMFSummaryPlayerCount*FMFSummaryEntryFee</f>
        <v>4200</v>
      </c>
      <c r="B17" s="242" t="s">
        <v>1</v>
      </c>
      <c r="C17" s="242"/>
      <c r="E17" s="50"/>
      <c r="F17" s="104"/>
    </row>
    <row r="18" spans="1:14" x14ac:dyDescent="0.25">
      <c r="A18" s="73">
        <f>-FMFSummaryAccFee*FMFSummaryPlayerCount</f>
        <v>-180</v>
      </c>
      <c r="B18" s="242" t="s">
        <v>96</v>
      </c>
      <c r="C18" s="242"/>
      <c r="E18" s="105"/>
      <c r="F18" s="132"/>
    </row>
    <row r="19" spans="1:14" x14ac:dyDescent="0.25">
      <c r="A19" s="73">
        <f>-PlayerBenefits!A1-C9</f>
        <v>-908.82</v>
      </c>
      <c r="B19" s="243" t="s">
        <v>3</v>
      </c>
      <c r="C19" s="243"/>
      <c r="F19" s="32"/>
    </row>
    <row r="20" spans="1:14" ht="15" customHeight="1" x14ac:dyDescent="0.25">
      <c r="A20" s="73">
        <f>-D22</f>
        <v>0</v>
      </c>
      <c r="B20" s="245" t="s">
        <v>177</v>
      </c>
      <c r="C20" s="245"/>
      <c r="D20" s="102"/>
      <c r="E20" s="248" t="s">
        <v>113</v>
      </c>
      <c r="F20" s="249"/>
      <c r="G20" s="244" t="s">
        <v>79</v>
      </c>
      <c r="H20" s="239" t="s">
        <v>80</v>
      </c>
      <c r="J20" s="41"/>
    </row>
    <row r="21" spans="1:14" x14ac:dyDescent="0.25">
      <c r="A21" s="201">
        <f>SUM(A17:A20)</f>
        <v>3111.18</v>
      </c>
      <c r="E21" s="133" t="s">
        <v>81</v>
      </c>
      <c r="F21" s="48">
        <f>FMFSummaryEntryFee*0.15</f>
        <v>10.5</v>
      </c>
      <c r="G21" s="244"/>
      <c r="H21" s="240"/>
    </row>
    <row r="22" spans="1:14" x14ac:dyDescent="0.25">
      <c r="B22" s="232" t="s">
        <v>106</v>
      </c>
      <c r="C22" s="232"/>
      <c r="D22" s="73">
        <f>IF(G22&lt;=F22,ROUNDUP(G22,0),ROUNDUP(F22,0))</f>
        <v>0</v>
      </c>
      <c r="E22" s="133" t="s">
        <v>114</v>
      </c>
      <c r="F22" s="48">
        <f>FMFSummaryPerPlayerExpenseAllowed*FMFSummaryPlayerCount</f>
        <v>630</v>
      </c>
      <c r="G22" s="74">
        <f>+Expenses!A1</f>
        <v>0</v>
      </c>
      <c r="H22" s="48">
        <f>+F22-G22</f>
        <v>630</v>
      </c>
    </row>
    <row r="23" spans="1:14" ht="18.75" x14ac:dyDescent="0.3">
      <c r="B23" s="46"/>
      <c r="C23" s="46"/>
      <c r="D23" s="219" t="str">
        <f>IF(G22&gt;F22,"***Actual Expenses More Than Total Allowed***","")</f>
        <v/>
      </c>
      <c r="E23" s="219"/>
      <c r="F23" s="219"/>
      <c r="G23" s="219"/>
      <c r="H23" s="219"/>
      <c r="I23" s="75"/>
      <c r="J23" s="76"/>
      <c r="K23" s="76"/>
      <c r="L23" s="76"/>
      <c r="M23" s="76"/>
      <c r="N23" s="149"/>
    </row>
    <row r="24" spans="1:14" ht="18.75" x14ac:dyDescent="0.3">
      <c r="A24" s="204">
        <f>QUOTIENT(FMFSummaryPlayerCount,4)</f>
        <v>15</v>
      </c>
      <c r="B24" s="221" t="s">
        <v>82</v>
      </c>
      <c r="C24" s="222"/>
      <c r="F24" s="77" t="str">
        <f>IF(LEFT($B$3,1)="M","Main Tourney", "Consolation Tourney")</f>
        <v>Main Tourney</v>
      </c>
    </row>
    <row r="25" spans="1:14" ht="18.75" x14ac:dyDescent="0.3">
      <c r="B25" s="205" t="s">
        <v>179</v>
      </c>
      <c r="C25" s="78"/>
      <c r="D25" s="205" t="s">
        <v>178</v>
      </c>
      <c r="E25" s="79" t="s">
        <v>83</v>
      </c>
      <c r="H25" s="80"/>
    </row>
    <row r="26" spans="1:14" ht="18.75" x14ac:dyDescent="0.3">
      <c r="B26" s="202">
        <v>3049</v>
      </c>
      <c r="C26" s="206" t="s">
        <v>120</v>
      </c>
      <c r="D26" s="203">
        <f>SUM(D30:D206)</f>
        <v>3040</v>
      </c>
      <c r="E26" s="81">
        <f>FMFSummaryPrizePool - FMFSummaryRoundedPrizePool+-FMFsummaryAdjustments</f>
        <v>0</v>
      </c>
      <c r="F26" s="82"/>
      <c r="H26" s="83"/>
      <c r="J26" s="145"/>
      <c r="K26" s="39"/>
      <c r="L26" s="144"/>
      <c r="M26" s="144"/>
      <c r="N26" s="150"/>
    </row>
    <row r="27" spans="1:14" ht="18.75" x14ac:dyDescent="0.3">
      <c r="B27" s="46"/>
      <c r="C27" s="46"/>
      <c r="E27" s="84">
        <f>SUM(E30:E206)</f>
        <v>9</v>
      </c>
      <c r="F27" s="69" t="s">
        <v>84</v>
      </c>
      <c r="J27" s="144"/>
      <c r="K27" s="39"/>
      <c r="L27" s="144"/>
      <c r="M27" s="144"/>
      <c r="N27" s="150"/>
    </row>
    <row r="28" spans="1:14" x14ac:dyDescent="0.25">
      <c r="A28" s="231" t="s">
        <v>92</v>
      </c>
      <c r="B28" s="223" t="s">
        <v>85</v>
      </c>
      <c r="C28" s="218" t="s">
        <v>86</v>
      </c>
      <c r="D28" s="220" t="s">
        <v>87</v>
      </c>
      <c r="E28" s="218" t="s">
        <v>88</v>
      </c>
      <c r="F28" s="218" t="s">
        <v>89</v>
      </c>
      <c r="G28" s="218" t="s">
        <v>90</v>
      </c>
      <c r="J28" s="144"/>
      <c r="K28" s="39"/>
      <c r="L28" s="144"/>
      <c r="M28" s="144"/>
      <c r="N28" s="150"/>
    </row>
    <row r="29" spans="1:14" ht="15.75" thickBot="1" x14ac:dyDescent="0.3">
      <c r="A29" s="231"/>
      <c r="B29" s="223"/>
      <c r="C29" s="218"/>
      <c r="D29" s="220"/>
      <c r="E29" s="218"/>
      <c r="F29" s="218"/>
      <c r="G29" s="218"/>
      <c r="J29" s="144"/>
      <c r="K29" s="39"/>
      <c r="L29" s="144"/>
      <c r="M29" s="144"/>
      <c r="N29" s="150"/>
    </row>
    <row r="30" spans="1:14" ht="15.75" thickBot="1" x14ac:dyDescent="0.3">
      <c r="A30" s="207">
        <v>1</v>
      </c>
      <c r="B30" s="208">
        <v>0.29499999999999998</v>
      </c>
      <c r="C30" s="209">
        <v>899.45499999999993</v>
      </c>
      <c r="D30" s="210">
        <v>900</v>
      </c>
      <c r="E30" s="214">
        <v>9</v>
      </c>
      <c r="F30" s="211">
        <f>IF(D30&lt;&gt;"",D30+E30,"")</f>
        <v>909</v>
      </c>
      <c r="G30" s="212">
        <v>1</v>
      </c>
      <c r="H30" s="85"/>
      <c r="J30" s="66"/>
      <c r="K30" s="39"/>
      <c r="L30" s="144"/>
      <c r="M30" s="144"/>
      <c r="N30" s="150"/>
    </row>
    <row r="31" spans="1:14" ht="15.75" thickBot="1" x14ac:dyDescent="0.3">
      <c r="A31" s="207">
        <v>2</v>
      </c>
      <c r="B31" s="208">
        <v>0.20200000000000001</v>
      </c>
      <c r="C31" s="209">
        <v>615.89800000000002</v>
      </c>
      <c r="D31" s="210">
        <v>615</v>
      </c>
      <c r="E31" s="214"/>
      <c r="F31" s="211">
        <f t="shared" ref="F31:F94" si="0">IF(D31&lt;&gt;"",D31+E31,"")</f>
        <v>615</v>
      </c>
      <c r="G31" s="212">
        <v>2</v>
      </c>
      <c r="H31" s="85"/>
      <c r="J31" s="66"/>
      <c r="K31" s="39"/>
      <c r="L31" s="144"/>
      <c r="M31" s="144"/>
      <c r="N31" s="150"/>
    </row>
    <row r="32" spans="1:14" ht="15.75" thickBot="1" x14ac:dyDescent="0.3">
      <c r="A32" s="207">
        <v>3</v>
      </c>
      <c r="B32" s="213">
        <v>0.112</v>
      </c>
      <c r="C32" s="209">
        <v>341.488</v>
      </c>
      <c r="D32" s="210">
        <v>340</v>
      </c>
      <c r="E32" s="214"/>
      <c r="F32" s="211">
        <f t="shared" si="0"/>
        <v>340</v>
      </c>
      <c r="G32" s="212" t="s">
        <v>180</v>
      </c>
      <c r="H32" s="85"/>
      <c r="J32" s="37"/>
      <c r="K32" s="39"/>
      <c r="L32" s="144"/>
      <c r="M32" s="144"/>
      <c r="N32" s="150"/>
    </row>
    <row r="33" spans="1:14" ht="15.75" thickBot="1" x14ac:dyDescent="0.3">
      <c r="A33" s="207">
        <v>4</v>
      </c>
      <c r="B33" s="213">
        <v>0.112</v>
      </c>
      <c r="C33" s="209">
        <v>341.488</v>
      </c>
      <c r="D33" s="210">
        <v>340</v>
      </c>
      <c r="E33" s="214"/>
      <c r="F33" s="211">
        <f t="shared" si="0"/>
        <v>340</v>
      </c>
      <c r="G33" s="212" t="s">
        <v>180</v>
      </c>
      <c r="H33" s="85"/>
      <c r="J33" s="37"/>
      <c r="K33" s="39"/>
      <c r="L33" s="144"/>
      <c r="M33" s="144"/>
      <c r="N33" s="150"/>
    </row>
    <row r="34" spans="1:14" ht="15.75" thickBot="1" x14ac:dyDescent="0.3">
      <c r="A34" s="207">
        <v>5</v>
      </c>
      <c r="B34" s="208">
        <v>5.8000000000000003E-2</v>
      </c>
      <c r="C34" s="209">
        <v>176.84200000000001</v>
      </c>
      <c r="D34" s="210">
        <v>175</v>
      </c>
      <c r="E34" s="214"/>
      <c r="F34" s="211">
        <f t="shared" si="0"/>
        <v>175</v>
      </c>
      <c r="G34" s="212" t="s">
        <v>181</v>
      </c>
      <c r="H34" s="85"/>
      <c r="J34" s="66"/>
      <c r="K34" s="39"/>
      <c r="L34" s="144"/>
      <c r="M34" s="144"/>
      <c r="N34" s="150"/>
    </row>
    <row r="35" spans="1:14" ht="15.75" thickBot="1" x14ac:dyDescent="0.3">
      <c r="A35" s="207">
        <v>6</v>
      </c>
      <c r="B35" s="208">
        <v>5.8000000000000003E-2</v>
      </c>
      <c r="C35" s="209">
        <v>176.84200000000001</v>
      </c>
      <c r="D35" s="210">
        <v>175</v>
      </c>
      <c r="E35" s="214"/>
      <c r="F35" s="211">
        <f t="shared" si="0"/>
        <v>175</v>
      </c>
      <c r="G35" s="212" t="s">
        <v>181</v>
      </c>
      <c r="H35" s="85"/>
      <c r="J35" s="66"/>
      <c r="K35" s="39"/>
      <c r="L35" s="144"/>
      <c r="M35" s="144"/>
      <c r="N35" s="150"/>
    </row>
    <row r="36" spans="1:14" ht="15.75" thickBot="1" x14ac:dyDescent="0.3">
      <c r="A36" s="207">
        <v>7</v>
      </c>
      <c r="B36" s="208">
        <v>5.8000000000000003E-2</v>
      </c>
      <c r="C36" s="209">
        <v>176.84200000000001</v>
      </c>
      <c r="D36" s="210">
        <v>175</v>
      </c>
      <c r="E36" s="214"/>
      <c r="F36" s="211">
        <f t="shared" si="0"/>
        <v>175</v>
      </c>
      <c r="G36" s="212" t="s">
        <v>181</v>
      </c>
      <c r="H36" s="85"/>
      <c r="J36" s="66"/>
      <c r="K36" s="39"/>
      <c r="L36" s="144"/>
      <c r="M36" s="144"/>
      <c r="N36" s="150"/>
    </row>
    <row r="37" spans="1:14" ht="15.75" thickBot="1" x14ac:dyDescent="0.3">
      <c r="A37" s="207">
        <v>8</v>
      </c>
      <c r="B37" s="208">
        <v>5.8000000000000003E-2</v>
      </c>
      <c r="C37" s="209">
        <v>176.84200000000001</v>
      </c>
      <c r="D37" s="210">
        <v>175</v>
      </c>
      <c r="E37" s="214"/>
      <c r="F37" s="211">
        <f t="shared" si="0"/>
        <v>175</v>
      </c>
      <c r="G37" s="212" t="s">
        <v>181</v>
      </c>
      <c r="H37" s="85"/>
      <c r="J37" s="66"/>
      <c r="K37" s="39"/>
      <c r="L37" s="144"/>
      <c r="M37" s="144"/>
      <c r="N37" s="150"/>
    </row>
    <row r="38" spans="1:14" ht="15.75" thickBot="1" x14ac:dyDescent="0.3">
      <c r="A38" s="207">
        <v>9</v>
      </c>
      <c r="B38" s="208">
        <v>4.7E-2</v>
      </c>
      <c r="C38" s="209">
        <v>143.303</v>
      </c>
      <c r="D38" s="210">
        <v>145</v>
      </c>
      <c r="E38" s="214"/>
      <c r="F38" s="211">
        <f t="shared" si="0"/>
        <v>145</v>
      </c>
      <c r="G38" s="212" t="s">
        <v>182</v>
      </c>
      <c r="H38" s="85"/>
      <c r="J38" s="66"/>
      <c r="K38" s="39"/>
      <c r="L38" s="144"/>
      <c r="M38" s="144"/>
      <c r="N38" s="150"/>
    </row>
    <row r="39" spans="1:14" x14ac:dyDescent="0.25">
      <c r="A39" s="36"/>
      <c r="B39" s="22"/>
      <c r="C39" s="158"/>
      <c r="D39" s="159"/>
      <c r="E39" s="195"/>
      <c r="F39" s="161" t="str">
        <f t="shared" si="0"/>
        <v/>
      </c>
      <c r="G39" s="38"/>
      <c r="H39" s="85"/>
      <c r="J39" s="66"/>
      <c r="K39" s="39"/>
      <c r="L39" s="144"/>
      <c r="M39" s="144"/>
      <c r="N39" s="150"/>
    </row>
    <row r="40" spans="1:14" x14ac:dyDescent="0.25">
      <c r="A40" s="36"/>
      <c r="B40" s="22"/>
      <c r="C40" s="158"/>
      <c r="D40" s="159"/>
      <c r="E40" s="195"/>
      <c r="F40" s="161" t="str">
        <f t="shared" si="0"/>
        <v/>
      </c>
      <c r="G40" s="38"/>
      <c r="H40" s="85"/>
      <c r="J40" s="66"/>
      <c r="K40" s="39"/>
      <c r="L40" s="144"/>
      <c r="M40" s="144"/>
      <c r="N40" s="150"/>
    </row>
    <row r="41" spans="1:14" x14ac:dyDescent="0.25">
      <c r="A41" s="36"/>
      <c r="B41" s="22"/>
      <c r="C41" s="158"/>
      <c r="D41" s="159"/>
      <c r="E41" s="195"/>
      <c r="F41" s="161" t="str">
        <f t="shared" si="0"/>
        <v/>
      </c>
      <c r="G41" s="38"/>
      <c r="H41" s="85"/>
      <c r="J41" s="66"/>
      <c r="K41" s="39"/>
      <c r="L41" s="144"/>
      <c r="M41" s="144"/>
      <c r="N41" s="150"/>
    </row>
    <row r="42" spans="1:14" x14ac:dyDescent="0.25">
      <c r="A42" s="36"/>
      <c r="B42" s="22"/>
      <c r="C42" s="158"/>
      <c r="D42" s="159"/>
      <c r="E42" s="195"/>
      <c r="F42" s="161" t="str">
        <f t="shared" si="0"/>
        <v/>
      </c>
      <c r="G42" s="38"/>
      <c r="H42" s="85"/>
      <c r="J42" s="66"/>
      <c r="K42" s="39"/>
      <c r="L42" s="144"/>
      <c r="M42" s="144"/>
      <c r="N42" s="150"/>
    </row>
    <row r="43" spans="1:14" x14ac:dyDescent="0.25">
      <c r="A43" s="36"/>
      <c r="B43" s="22"/>
      <c r="C43" s="158"/>
      <c r="D43" s="159"/>
      <c r="E43" s="195"/>
      <c r="F43" s="161" t="str">
        <f t="shared" si="0"/>
        <v/>
      </c>
      <c r="G43" s="38"/>
      <c r="H43" s="85"/>
      <c r="J43" s="66"/>
      <c r="K43" s="39"/>
      <c r="L43" s="144"/>
      <c r="M43" s="144"/>
      <c r="N43" s="150"/>
    </row>
    <row r="44" spans="1:14" x14ac:dyDescent="0.25">
      <c r="A44" s="36"/>
      <c r="B44" s="22"/>
      <c r="C44" s="158"/>
      <c r="D44" s="159"/>
      <c r="E44" s="195"/>
      <c r="F44" s="161" t="str">
        <f t="shared" si="0"/>
        <v/>
      </c>
      <c r="G44" s="38"/>
      <c r="H44" s="85"/>
    </row>
    <row r="45" spans="1:14" x14ac:dyDescent="0.25">
      <c r="A45" s="36"/>
      <c r="B45" s="66"/>
      <c r="C45" s="158"/>
      <c r="D45" s="159"/>
      <c r="E45" s="160"/>
      <c r="F45" s="161" t="str">
        <f t="shared" si="0"/>
        <v/>
      </c>
      <c r="G45" s="38"/>
      <c r="H45" s="85"/>
    </row>
    <row r="46" spans="1:14" x14ac:dyDescent="0.25">
      <c r="A46" s="36"/>
      <c r="B46" s="66"/>
      <c r="C46" s="158"/>
      <c r="D46" s="159"/>
      <c r="E46" s="160"/>
      <c r="F46" s="161" t="str">
        <f t="shared" si="0"/>
        <v/>
      </c>
      <c r="G46" s="38"/>
      <c r="H46" s="85"/>
    </row>
    <row r="47" spans="1:14" x14ac:dyDescent="0.25">
      <c r="A47" s="36"/>
      <c r="B47" s="66"/>
      <c r="C47" s="158"/>
      <c r="D47" s="159"/>
      <c r="E47" s="160"/>
      <c r="F47" s="161" t="str">
        <f t="shared" si="0"/>
        <v/>
      </c>
      <c r="G47" s="38"/>
      <c r="H47" s="85"/>
    </row>
    <row r="48" spans="1:14" x14ac:dyDescent="0.25">
      <c r="A48" s="36"/>
      <c r="B48" s="66"/>
      <c r="C48" s="158"/>
      <c r="D48" s="159"/>
      <c r="E48" s="160"/>
      <c r="F48" s="161" t="str">
        <f t="shared" si="0"/>
        <v/>
      </c>
      <c r="G48" s="38"/>
      <c r="H48" s="85"/>
    </row>
    <row r="49" spans="1:8" x14ac:dyDescent="0.25">
      <c r="A49" s="36"/>
      <c r="B49" s="66"/>
      <c r="C49" s="158"/>
      <c r="D49" s="159"/>
      <c r="E49" s="160"/>
      <c r="F49" s="161" t="str">
        <f t="shared" si="0"/>
        <v/>
      </c>
      <c r="G49" s="38"/>
      <c r="H49" s="85"/>
    </row>
    <row r="50" spans="1:8" x14ac:dyDescent="0.25">
      <c r="A50" s="36"/>
      <c r="B50" s="66"/>
      <c r="C50" s="158"/>
      <c r="D50" s="159"/>
      <c r="E50" s="160"/>
      <c r="F50" s="161" t="str">
        <f t="shared" si="0"/>
        <v/>
      </c>
      <c r="G50" s="38"/>
      <c r="H50" s="85"/>
    </row>
    <row r="51" spans="1:8" x14ac:dyDescent="0.25">
      <c r="A51" s="36"/>
      <c r="B51" s="66"/>
      <c r="C51" s="158"/>
      <c r="D51" s="159"/>
      <c r="E51" s="160"/>
      <c r="F51" s="161" t="str">
        <f t="shared" si="0"/>
        <v/>
      </c>
      <c r="G51" s="38"/>
      <c r="H51" s="85"/>
    </row>
    <row r="52" spans="1:8" x14ac:dyDescent="0.25">
      <c r="A52" s="36"/>
      <c r="B52" s="66"/>
      <c r="C52" s="158"/>
      <c r="D52" s="159"/>
      <c r="E52" s="160"/>
      <c r="F52" s="161" t="str">
        <f t="shared" si="0"/>
        <v/>
      </c>
      <c r="G52" s="38"/>
      <c r="H52" s="85"/>
    </row>
    <row r="53" spans="1:8" x14ac:dyDescent="0.25">
      <c r="A53" s="36"/>
      <c r="B53" s="66"/>
      <c r="C53" s="158"/>
      <c r="D53" s="159"/>
      <c r="E53" s="160"/>
      <c r="F53" s="161" t="str">
        <f t="shared" si="0"/>
        <v/>
      </c>
      <c r="G53" s="38"/>
      <c r="H53" s="85"/>
    </row>
    <row r="54" spans="1:8" x14ac:dyDescent="0.25">
      <c r="A54" s="36"/>
      <c r="B54" s="66"/>
      <c r="C54" s="158"/>
      <c r="D54" s="159"/>
      <c r="E54" s="160"/>
      <c r="F54" s="161" t="str">
        <f t="shared" si="0"/>
        <v/>
      </c>
      <c r="G54" s="38"/>
      <c r="H54" s="85"/>
    </row>
    <row r="55" spans="1:8" x14ac:dyDescent="0.25">
      <c r="A55" s="36"/>
      <c r="B55" s="66"/>
      <c r="C55" s="158"/>
      <c r="D55" s="159"/>
      <c r="E55" s="160"/>
      <c r="F55" s="161" t="str">
        <f t="shared" si="0"/>
        <v/>
      </c>
      <c r="G55" s="38"/>
      <c r="H55" s="85"/>
    </row>
    <row r="56" spans="1:8" x14ac:dyDescent="0.25">
      <c r="A56" s="36"/>
      <c r="B56" s="66"/>
      <c r="C56" s="158"/>
      <c r="D56" s="159"/>
      <c r="E56" s="160"/>
      <c r="F56" s="161" t="str">
        <f t="shared" si="0"/>
        <v/>
      </c>
      <c r="G56" s="38"/>
      <c r="H56" s="85"/>
    </row>
    <row r="57" spans="1:8" x14ac:dyDescent="0.25">
      <c r="A57" s="36"/>
      <c r="B57" s="66"/>
      <c r="C57" s="158"/>
      <c r="D57" s="159"/>
      <c r="E57" s="160"/>
      <c r="F57" s="161" t="str">
        <f t="shared" si="0"/>
        <v/>
      </c>
      <c r="G57" s="38"/>
      <c r="H57" s="85"/>
    </row>
    <row r="58" spans="1:8" x14ac:dyDescent="0.25">
      <c r="A58" s="36"/>
      <c r="B58" s="66"/>
      <c r="C58" s="158"/>
      <c r="D58" s="159"/>
      <c r="E58" s="160"/>
      <c r="F58" s="161" t="str">
        <f t="shared" si="0"/>
        <v/>
      </c>
      <c r="G58" s="38"/>
      <c r="H58" s="85"/>
    </row>
    <row r="59" spans="1:8" x14ac:dyDescent="0.25">
      <c r="A59" s="36"/>
      <c r="B59" s="66"/>
      <c r="C59" s="158"/>
      <c r="D59" s="159"/>
      <c r="E59" s="160"/>
      <c r="F59" s="161" t="str">
        <f t="shared" si="0"/>
        <v/>
      </c>
      <c r="G59" s="38"/>
      <c r="H59" s="85"/>
    </row>
    <row r="60" spans="1:8" x14ac:dyDescent="0.25">
      <c r="A60" s="36"/>
      <c r="B60" s="66"/>
      <c r="C60" s="158"/>
      <c r="D60" s="159"/>
      <c r="E60" s="160"/>
      <c r="F60" s="161" t="str">
        <f t="shared" si="0"/>
        <v/>
      </c>
      <c r="G60" s="38"/>
      <c r="H60" s="85"/>
    </row>
    <row r="61" spans="1:8" x14ac:dyDescent="0.25">
      <c r="A61" s="36"/>
      <c r="B61" s="66"/>
      <c r="C61" s="158"/>
      <c r="D61" s="159"/>
      <c r="E61" s="160"/>
      <c r="F61" s="161" t="str">
        <f t="shared" si="0"/>
        <v/>
      </c>
      <c r="G61" s="38"/>
      <c r="H61" s="85"/>
    </row>
    <row r="62" spans="1:8" x14ac:dyDescent="0.25">
      <c r="A62" s="36"/>
      <c r="B62" s="37"/>
      <c r="C62" s="158"/>
      <c r="D62" s="159"/>
      <c r="E62" s="160"/>
      <c r="F62" s="161" t="str">
        <f t="shared" si="0"/>
        <v/>
      </c>
      <c r="G62" s="38"/>
      <c r="H62" s="85"/>
    </row>
    <row r="63" spans="1:8" x14ac:dyDescent="0.25">
      <c r="A63" s="36"/>
      <c r="B63" s="37"/>
      <c r="C63" s="158"/>
      <c r="D63" s="159"/>
      <c r="E63" s="160"/>
      <c r="F63" s="161" t="str">
        <f t="shared" si="0"/>
        <v/>
      </c>
      <c r="G63" s="38"/>
      <c r="H63" s="85"/>
    </row>
    <row r="64" spans="1:8" x14ac:dyDescent="0.25">
      <c r="A64" s="36"/>
      <c r="B64" s="37"/>
      <c r="C64" s="158"/>
      <c r="D64" s="159"/>
      <c r="E64" s="160"/>
      <c r="F64" s="161" t="str">
        <f t="shared" si="0"/>
        <v/>
      </c>
      <c r="G64" s="38"/>
      <c r="H64" s="85"/>
    </row>
    <row r="65" spans="1:8" x14ac:dyDescent="0.25">
      <c r="A65" s="36"/>
      <c r="B65" s="37"/>
      <c r="C65" s="158"/>
      <c r="D65" s="159"/>
      <c r="E65" s="160"/>
      <c r="F65" s="161" t="str">
        <f t="shared" si="0"/>
        <v/>
      </c>
      <c r="G65" s="38"/>
      <c r="H65" s="45"/>
    </row>
    <row r="66" spans="1:8" x14ac:dyDescent="0.25">
      <c r="A66" s="36"/>
      <c r="B66" s="37"/>
      <c r="C66" s="158"/>
      <c r="D66" s="159"/>
      <c r="E66" s="50"/>
      <c r="F66" s="161" t="str">
        <f t="shared" si="0"/>
        <v/>
      </c>
      <c r="G66" s="159"/>
      <c r="H66" s="45"/>
    </row>
    <row r="67" spans="1:8" x14ac:dyDescent="0.25">
      <c r="A67" s="36"/>
      <c r="B67" s="37"/>
      <c r="C67" s="158"/>
      <c r="D67" s="159"/>
      <c r="E67" s="50"/>
      <c r="F67" s="161" t="str">
        <f t="shared" si="0"/>
        <v/>
      </c>
      <c r="G67" s="159"/>
      <c r="H67" s="45"/>
    </row>
    <row r="68" spans="1:8" x14ac:dyDescent="0.25">
      <c r="A68" s="36"/>
      <c r="B68" s="39"/>
      <c r="C68" s="158"/>
      <c r="D68" s="159"/>
      <c r="E68" s="50"/>
      <c r="F68" s="161" t="str">
        <f t="shared" si="0"/>
        <v/>
      </c>
      <c r="G68" s="39"/>
      <c r="H68" s="45"/>
    </row>
    <row r="69" spans="1:8" x14ac:dyDescent="0.25">
      <c r="A69" s="36"/>
      <c r="B69" s="39"/>
      <c r="C69" s="158"/>
      <c r="D69" s="159"/>
      <c r="E69" s="50"/>
      <c r="F69" s="161" t="str">
        <f t="shared" si="0"/>
        <v/>
      </c>
      <c r="G69" s="39"/>
      <c r="H69" s="45"/>
    </row>
    <row r="70" spans="1:8" x14ac:dyDescent="0.25">
      <c r="A70" s="36"/>
      <c r="B70" s="39"/>
      <c r="C70" s="158"/>
      <c r="D70" s="159"/>
      <c r="E70" s="50"/>
      <c r="F70" s="161" t="str">
        <f t="shared" si="0"/>
        <v/>
      </c>
      <c r="G70" s="39"/>
      <c r="H70" s="45"/>
    </row>
    <row r="71" spans="1:8" x14ac:dyDescent="0.25">
      <c r="A71" s="36"/>
      <c r="B71" s="39"/>
      <c r="C71" s="158"/>
      <c r="D71" s="159"/>
      <c r="E71" s="50"/>
      <c r="F71" s="161" t="str">
        <f t="shared" si="0"/>
        <v/>
      </c>
      <c r="G71" s="39"/>
      <c r="H71" s="45"/>
    </row>
    <row r="72" spans="1:8" x14ac:dyDescent="0.25">
      <c r="A72" s="36"/>
      <c r="B72" s="39"/>
      <c r="C72" s="158"/>
      <c r="D72" s="159"/>
      <c r="E72" s="50"/>
      <c r="F72" s="161" t="str">
        <f t="shared" si="0"/>
        <v/>
      </c>
      <c r="G72" s="39"/>
      <c r="H72" s="45"/>
    </row>
    <row r="73" spans="1:8" x14ac:dyDescent="0.25">
      <c r="A73" s="163"/>
      <c r="B73" s="36"/>
      <c r="C73" s="162"/>
      <c r="D73" s="163"/>
      <c r="E73" s="163"/>
      <c r="F73" s="161" t="str">
        <f t="shared" si="0"/>
        <v/>
      </c>
      <c r="G73" s="163"/>
    </row>
    <row r="74" spans="1:8" x14ac:dyDescent="0.25">
      <c r="A74" s="163"/>
      <c r="B74" s="36"/>
      <c r="C74" s="162"/>
      <c r="D74" s="163"/>
      <c r="E74" s="163"/>
      <c r="F74" s="161" t="str">
        <f t="shared" si="0"/>
        <v/>
      </c>
      <c r="G74" s="163"/>
    </row>
    <row r="75" spans="1:8" x14ac:dyDescent="0.25">
      <c r="A75" s="163"/>
      <c r="B75" s="36"/>
      <c r="C75" s="162"/>
      <c r="D75" s="163"/>
      <c r="E75" s="163"/>
      <c r="F75" s="161" t="str">
        <f t="shared" si="0"/>
        <v/>
      </c>
      <c r="G75" s="163"/>
    </row>
    <row r="76" spans="1:8" x14ac:dyDescent="0.25">
      <c r="A76" s="163"/>
      <c r="B76" s="36"/>
      <c r="C76" s="162"/>
      <c r="D76" s="163"/>
      <c r="E76" s="163"/>
      <c r="F76" s="161" t="str">
        <f t="shared" si="0"/>
        <v/>
      </c>
      <c r="G76" s="163"/>
    </row>
    <row r="77" spans="1:8" x14ac:dyDescent="0.25">
      <c r="A77" s="163"/>
      <c r="B77" s="36"/>
      <c r="C77" s="162"/>
      <c r="D77" s="163"/>
      <c r="E77" s="163"/>
      <c r="F77" s="161" t="str">
        <f t="shared" si="0"/>
        <v/>
      </c>
      <c r="G77" s="163"/>
    </row>
    <row r="78" spans="1:8" x14ac:dyDescent="0.25">
      <c r="A78" s="163"/>
      <c r="B78" s="36"/>
      <c r="C78" s="162"/>
      <c r="D78" s="163"/>
      <c r="E78" s="163"/>
      <c r="F78" s="161" t="str">
        <f t="shared" si="0"/>
        <v/>
      </c>
      <c r="G78" s="163"/>
    </row>
    <row r="79" spans="1:8" x14ac:dyDescent="0.25">
      <c r="A79" s="163"/>
      <c r="B79" s="36"/>
      <c r="C79" s="162"/>
      <c r="D79" s="163"/>
      <c r="E79" s="163"/>
      <c r="F79" s="161" t="str">
        <f t="shared" si="0"/>
        <v/>
      </c>
      <c r="G79" s="163"/>
    </row>
    <row r="80" spans="1:8" x14ac:dyDescent="0.25">
      <c r="A80" s="163"/>
      <c r="B80" s="36"/>
      <c r="C80" s="162"/>
      <c r="D80" s="163"/>
      <c r="E80" s="163"/>
      <c r="F80" s="161" t="str">
        <f t="shared" si="0"/>
        <v/>
      </c>
      <c r="G80" s="163"/>
    </row>
    <row r="81" spans="1:7" x14ac:dyDescent="0.25">
      <c r="A81" s="163"/>
      <c r="B81" s="36"/>
      <c r="C81" s="162"/>
      <c r="D81" s="163"/>
      <c r="E81" s="163"/>
      <c r="F81" s="161" t="str">
        <f t="shared" si="0"/>
        <v/>
      </c>
      <c r="G81" s="163"/>
    </row>
    <row r="82" spans="1:7" x14ac:dyDescent="0.25">
      <c r="A82" s="163"/>
      <c r="B82" s="36"/>
      <c r="C82" s="162"/>
      <c r="D82" s="163"/>
      <c r="E82" s="163"/>
      <c r="F82" s="161" t="str">
        <f t="shared" si="0"/>
        <v/>
      </c>
      <c r="G82" s="163"/>
    </row>
    <row r="83" spans="1:7" x14ac:dyDescent="0.25">
      <c r="A83" s="163"/>
      <c r="B83" s="36"/>
      <c r="C83" s="162"/>
      <c r="D83" s="163"/>
      <c r="E83" s="163"/>
      <c r="F83" s="161" t="str">
        <f t="shared" si="0"/>
        <v/>
      </c>
      <c r="G83" s="163"/>
    </row>
    <row r="84" spans="1:7" x14ac:dyDescent="0.25">
      <c r="A84" s="163"/>
      <c r="B84" s="36"/>
      <c r="C84" s="162"/>
      <c r="D84" s="163"/>
      <c r="E84" s="163"/>
      <c r="F84" s="161" t="str">
        <f t="shared" si="0"/>
        <v/>
      </c>
      <c r="G84" s="163"/>
    </row>
    <row r="85" spans="1:7" x14ac:dyDescent="0.25">
      <c r="A85" s="163"/>
      <c r="B85" s="36"/>
      <c r="C85" s="162"/>
      <c r="D85" s="163"/>
      <c r="E85" s="163"/>
      <c r="F85" s="161" t="str">
        <f t="shared" si="0"/>
        <v/>
      </c>
      <c r="G85" s="163"/>
    </row>
    <row r="86" spans="1:7" x14ac:dyDescent="0.25">
      <c r="A86" s="163"/>
      <c r="B86" s="36"/>
      <c r="C86" s="162"/>
      <c r="D86" s="163"/>
      <c r="E86" s="163"/>
      <c r="F86" s="161" t="str">
        <f t="shared" si="0"/>
        <v/>
      </c>
      <c r="G86" s="163"/>
    </row>
    <row r="87" spans="1:7" x14ac:dyDescent="0.25">
      <c r="A87" s="163"/>
      <c r="B87" s="36"/>
      <c r="C87" s="162"/>
      <c r="D87" s="163"/>
      <c r="E87" s="163"/>
      <c r="F87" s="161" t="str">
        <f t="shared" si="0"/>
        <v/>
      </c>
      <c r="G87" s="163"/>
    </row>
    <row r="88" spans="1:7" x14ac:dyDescent="0.25">
      <c r="A88" s="163"/>
      <c r="B88" s="36"/>
      <c r="C88" s="162"/>
      <c r="D88" s="163"/>
      <c r="E88" s="163"/>
      <c r="F88" s="161" t="str">
        <f t="shared" si="0"/>
        <v/>
      </c>
      <c r="G88" s="163"/>
    </row>
    <row r="89" spans="1:7" x14ac:dyDescent="0.25">
      <c r="A89" s="163"/>
      <c r="B89" s="36"/>
      <c r="C89" s="162"/>
      <c r="D89" s="163"/>
      <c r="E89" s="163"/>
      <c r="F89" s="161" t="str">
        <f t="shared" si="0"/>
        <v/>
      </c>
      <c r="G89" s="163"/>
    </row>
    <row r="90" spans="1:7" x14ac:dyDescent="0.25">
      <c r="A90" s="163"/>
      <c r="B90" s="36"/>
      <c r="C90" s="162"/>
      <c r="D90" s="163"/>
      <c r="E90" s="163"/>
      <c r="F90" s="161" t="str">
        <f t="shared" si="0"/>
        <v/>
      </c>
      <c r="G90" s="163"/>
    </row>
    <row r="91" spans="1:7" x14ac:dyDescent="0.25">
      <c r="A91" s="163"/>
      <c r="B91" s="36"/>
      <c r="C91" s="162"/>
      <c r="D91" s="163"/>
      <c r="E91" s="163"/>
      <c r="F91" s="161" t="str">
        <f t="shared" si="0"/>
        <v/>
      </c>
      <c r="G91" s="163"/>
    </row>
    <row r="92" spans="1:7" x14ac:dyDescent="0.25">
      <c r="A92" s="163"/>
      <c r="B92" s="36"/>
      <c r="C92" s="162"/>
      <c r="D92" s="163"/>
      <c r="E92" s="163"/>
      <c r="F92" s="161" t="str">
        <f t="shared" si="0"/>
        <v/>
      </c>
      <c r="G92" s="163"/>
    </row>
    <row r="93" spans="1:7" x14ac:dyDescent="0.25">
      <c r="A93" s="163"/>
      <c r="B93" s="36"/>
      <c r="C93" s="162"/>
      <c r="D93" s="163"/>
      <c r="E93" s="163"/>
      <c r="F93" s="161" t="str">
        <f t="shared" si="0"/>
        <v/>
      </c>
      <c r="G93" s="163"/>
    </row>
    <row r="94" spans="1:7" x14ac:dyDescent="0.25">
      <c r="A94" s="163"/>
      <c r="B94" s="36"/>
      <c r="C94" s="162"/>
      <c r="D94" s="163"/>
      <c r="E94" s="163"/>
      <c r="F94" s="161" t="str">
        <f t="shared" si="0"/>
        <v/>
      </c>
      <c r="G94" s="163"/>
    </row>
    <row r="95" spans="1:7" x14ac:dyDescent="0.25">
      <c r="A95" s="163"/>
      <c r="B95" s="36"/>
      <c r="C95" s="36"/>
      <c r="D95" s="163"/>
      <c r="E95" s="163"/>
      <c r="F95" s="161" t="str">
        <f t="shared" ref="F95:F158" si="1">IF(D95&lt;&gt;"",D95+E95,"")</f>
        <v/>
      </c>
      <c r="G95" s="163"/>
    </row>
    <row r="96" spans="1:7" x14ac:dyDescent="0.25">
      <c r="A96" s="163"/>
      <c r="B96" s="36"/>
      <c r="C96" s="36"/>
      <c r="D96" s="163"/>
      <c r="E96" s="163"/>
      <c r="F96" s="161" t="str">
        <f t="shared" si="1"/>
        <v/>
      </c>
      <c r="G96" s="163"/>
    </row>
    <row r="97" spans="1:7" x14ac:dyDescent="0.25">
      <c r="A97" s="163"/>
      <c r="B97" s="36"/>
      <c r="C97" s="36"/>
      <c r="D97" s="163"/>
      <c r="E97" s="163"/>
      <c r="F97" s="161" t="str">
        <f t="shared" si="1"/>
        <v/>
      </c>
      <c r="G97" s="163"/>
    </row>
    <row r="98" spans="1:7" x14ac:dyDescent="0.25">
      <c r="A98" s="163"/>
      <c r="B98" s="36"/>
      <c r="C98" s="36"/>
      <c r="D98" s="163"/>
      <c r="E98" s="163"/>
      <c r="F98" s="161" t="str">
        <f t="shared" si="1"/>
        <v/>
      </c>
      <c r="G98" s="163"/>
    </row>
    <row r="99" spans="1:7" x14ac:dyDescent="0.25">
      <c r="A99" s="163"/>
      <c r="B99" s="36"/>
      <c r="C99" s="36"/>
      <c r="D99" s="163"/>
      <c r="E99" s="163"/>
      <c r="F99" s="161" t="str">
        <f t="shared" si="1"/>
        <v/>
      </c>
      <c r="G99" s="163"/>
    </row>
    <row r="100" spans="1:7" x14ac:dyDescent="0.25">
      <c r="A100" s="163"/>
      <c r="B100" s="36"/>
      <c r="C100" s="36"/>
      <c r="D100" s="163"/>
      <c r="E100" s="163"/>
      <c r="F100" s="161" t="str">
        <f t="shared" si="1"/>
        <v/>
      </c>
      <c r="G100" s="163"/>
    </row>
    <row r="101" spans="1:7" x14ac:dyDescent="0.25">
      <c r="A101" s="132"/>
      <c r="B101" s="36"/>
      <c r="C101" s="36"/>
      <c r="D101" s="132"/>
      <c r="E101" s="132"/>
      <c r="F101" s="161" t="str">
        <f t="shared" si="1"/>
        <v/>
      </c>
      <c r="G101" s="132"/>
    </row>
    <row r="102" spans="1:7" x14ac:dyDescent="0.25">
      <c r="A102" s="132"/>
      <c r="B102" s="36"/>
      <c r="C102" s="36"/>
      <c r="D102" s="132"/>
      <c r="E102" s="132"/>
      <c r="F102" s="161" t="str">
        <f t="shared" si="1"/>
        <v/>
      </c>
      <c r="G102" s="132"/>
    </row>
    <row r="103" spans="1:7" x14ac:dyDescent="0.25">
      <c r="A103" s="132"/>
      <c r="B103" s="36"/>
      <c r="C103" s="36"/>
      <c r="D103" s="132"/>
      <c r="E103" s="132"/>
      <c r="F103" s="161" t="str">
        <f t="shared" si="1"/>
        <v/>
      </c>
      <c r="G103" s="132"/>
    </row>
    <row r="104" spans="1:7" x14ac:dyDescent="0.25">
      <c r="A104" s="132"/>
      <c r="B104" s="36"/>
      <c r="C104" s="36"/>
      <c r="D104" s="132"/>
      <c r="E104" s="132"/>
      <c r="F104" s="161" t="str">
        <f t="shared" si="1"/>
        <v/>
      </c>
      <c r="G104" s="132"/>
    </row>
    <row r="105" spans="1:7" x14ac:dyDescent="0.25">
      <c r="A105" s="132"/>
      <c r="B105" s="36"/>
      <c r="C105" s="36"/>
      <c r="D105" s="132"/>
      <c r="E105" s="132"/>
      <c r="F105" s="161" t="str">
        <f t="shared" si="1"/>
        <v/>
      </c>
      <c r="G105" s="132"/>
    </row>
    <row r="106" spans="1:7" x14ac:dyDescent="0.25">
      <c r="F106" s="161" t="str">
        <f t="shared" si="1"/>
        <v/>
      </c>
    </row>
    <row r="107" spans="1:7" x14ac:dyDescent="0.25">
      <c r="F107" s="161" t="str">
        <f t="shared" si="1"/>
        <v/>
      </c>
    </row>
    <row r="108" spans="1:7" x14ac:dyDescent="0.25">
      <c r="F108" s="161" t="str">
        <f t="shared" si="1"/>
        <v/>
      </c>
    </row>
    <row r="109" spans="1:7" x14ac:dyDescent="0.25">
      <c r="F109" s="161" t="str">
        <f t="shared" si="1"/>
        <v/>
      </c>
    </row>
    <row r="110" spans="1:7" x14ac:dyDescent="0.25">
      <c r="F110" s="161" t="str">
        <f t="shared" si="1"/>
        <v/>
      </c>
    </row>
    <row r="111" spans="1:7" x14ac:dyDescent="0.25">
      <c r="F111" s="161" t="str">
        <f t="shared" si="1"/>
        <v/>
      </c>
    </row>
    <row r="112" spans="1:7" x14ac:dyDescent="0.25">
      <c r="F112" s="161" t="str">
        <f t="shared" si="1"/>
        <v/>
      </c>
    </row>
    <row r="113" spans="6:6" x14ac:dyDescent="0.25">
      <c r="F113" s="161" t="str">
        <f t="shared" si="1"/>
        <v/>
      </c>
    </row>
    <row r="114" spans="6:6" x14ac:dyDescent="0.25">
      <c r="F114" s="161" t="str">
        <f t="shared" si="1"/>
        <v/>
      </c>
    </row>
    <row r="115" spans="6:6" x14ac:dyDescent="0.25">
      <c r="F115" s="161" t="str">
        <f t="shared" si="1"/>
        <v/>
      </c>
    </row>
    <row r="116" spans="6:6" x14ac:dyDescent="0.25">
      <c r="F116" s="161" t="str">
        <f t="shared" si="1"/>
        <v/>
      </c>
    </row>
    <row r="117" spans="6:6" x14ac:dyDescent="0.25">
      <c r="F117" s="161" t="str">
        <f t="shared" si="1"/>
        <v/>
      </c>
    </row>
    <row r="118" spans="6:6" x14ac:dyDescent="0.25">
      <c r="F118" s="161" t="str">
        <f t="shared" si="1"/>
        <v/>
      </c>
    </row>
    <row r="119" spans="6:6" x14ac:dyDescent="0.25">
      <c r="F119" s="161" t="str">
        <f t="shared" si="1"/>
        <v/>
      </c>
    </row>
    <row r="120" spans="6:6" x14ac:dyDescent="0.25">
      <c r="F120" s="161" t="str">
        <f t="shared" si="1"/>
        <v/>
      </c>
    </row>
    <row r="121" spans="6:6" x14ac:dyDescent="0.25">
      <c r="F121" s="161" t="str">
        <f t="shared" si="1"/>
        <v/>
      </c>
    </row>
    <row r="122" spans="6:6" x14ac:dyDescent="0.25">
      <c r="F122" s="161" t="str">
        <f t="shared" si="1"/>
        <v/>
      </c>
    </row>
    <row r="123" spans="6:6" x14ac:dyDescent="0.25">
      <c r="F123" s="161" t="str">
        <f t="shared" si="1"/>
        <v/>
      </c>
    </row>
    <row r="124" spans="6:6" x14ac:dyDescent="0.25">
      <c r="F124" s="161" t="str">
        <f t="shared" si="1"/>
        <v/>
      </c>
    </row>
    <row r="125" spans="6:6" x14ac:dyDescent="0.25">
      <c r="F125" s="161" t="str">
        <f t="shared" si="1"/>
        <v/>
      </c>
    </row>
    <row r="126" spans="6:6" x14ac:dyDescent="0.25">
      <c r="F126" s="161" t="str">
        <f t="shared" si="1"/>
        <v/>
      </c>
    </row>
    <row r="127" spans="6:6" x14ac:dyDescent="0.25">
      <c r="F127" s="161" t="str">
        <f t="shared" si="1"/>
        <v/>
      </c>
    </row>
    <row r="128" spans="6:6" x14ac:dyDescent="0.25">
      <c r="F128" s="161" t="str">
        <f t="shared" si="1"/>
        <v/>
      </c>
    </row>
    <row r="129" spans="6:6" x14ac:dyDescent="0.25">
      <c r="F129" s="161" t="str">
        <f t="shared" si="1"/>
        <v/>
      </c>
    </row>
    <row r="130" spans="6:6" x14ac:dyDescent="0.25">
      <c r="F130" s="161" t="str">
        <f t="shared" si="1"/>
        <v/>
      </c>
    </row>
    <row r="131" spans="6:6" x14ac:dyDescent="0.25">
      <c r="F131" s="161" t="str">
        <f t="shared" si="1"/>
        <v/>
      </c>
    </row>
    <row r="132" spans="6:6" x14ac:dyDescent="0.25">
      <c r="F132" s="161" t="str">
        <f t="shared" si="1"/>
        <v/>
      </c>
    </row>
    <row r="133" spans="6:6" x14ac:dyDescent="0.25">
      <c r="F133" s="161" t="str">
        <f t="shared" si="1"/>
        <v/>
      </c>
    </row>
    <row r="134" spans="6:6" x14ac:dyDescent="0.25">
      <c r="F134" s="161" t="str">
        <f t="shared" si="1"/>
        <v/>
      </c>
    </row>
    <row r="135" spans="6:6" x14ac:dyDescent="0.25">
      <c r="F135" s="161" t="str">
        <f t="shared" si="1"/>
        <v/>
      </c>
    </row>
    <row r="136" spans="6:6" x14ac:dyDescent="0.25">
      <c r="F136" s="161" t="str">
        <f t="shared" si="1"/>
        <v/>
      </c>
    </row>
    <row r="137" spans="6:6" x14ac:dyDescent="0.25">
      <c r="F137" s="161" t="str">
        <f t="shared" si="1"/>
        <v/>
      </c>
    </row>
    <row r="138" spans="6:6" x14ac:dyDescent="0.25">
      <c r="F138" s="161" t="str">
        <f t="shared" si="1"/>
        <v/>
      </c>
    </row>
    <row r="139" spans="6:6" x14ac:dyDescent="0.25">
      <c r="F139" s="161" t="str">
        <f t="shared" si="1"/>
        <v/>
      </c>
    </row>
    <row r="140" spans="6:6" x14ac:dyDescent="0.25">
      <c r="F140" s="161" t="str">
        <f t="shared" si="1"/>
        <v/>
      </c>
    </row>
    <row r="141" spans="6:6" x14ac:dyDescent="0.25">
      <c r="F141" s="161" t="str">
        <f t="shared" si="1"/>
        <v/>
      </c>
    </row>
    <row r="142" spans="6:6" x14ac:dyDescent="0.25">
      <c r="F142" s="161" t="str">
        <f t="shared" si="1"/>
        <v/>
      </c>
    </row>
    <row r="143" spans="6:6" x14ac:dyDescent="0.25">
      <c r="F143" s="161" t="str">
        <f t="shared" si="1"/>
        <v/>
      </c>
    </row>
    <row r="144" spans="6:6" x14ac:dyDescent="0.25">
      <c r="F144" s="161" t="str">
        <f t="shared" si="1"/>
        <v/>
      </c>
    </row>
    <row r="145" spans="6:6" x14ac:dyDescent="0.25">
      <c r="F145" s="161" t="str">
        <f t="shared" si="1"/>
        <v/>
      </c>
    </row>
    <row r="146" spans="6:6" x14ac:dyDescent="0.25">
      <c r="F146" s="161" t="str">
        <f t="shared" si="1"/>
        <v/>
      </c>
    </row>
    <row r="147" spans="6:6" x14ac:dyDescent="0.25">
      <c r="F147" s="161" t="str">
        <f t="shared" si="1"/>
        <v/>
      </c>
    </row>
    <row r="148" spans="6:6" x14ac:dyDescent="0.25">
      <c r="F148" s="161" t="str">
        <f t="shared" si="1"/>
        <v/>
      </c>
    </row>
    <row r="149" spans="6:6" x14ac:dyDescent="0.25">
      <c r="F149" s="161" t="str">
        <f t="shared" si="1"/>
        <v/>
      </c>
    </row>
    <row r="150" spans="6:6" x14ac:dyDescent="0.25">
      <c r="F150" s="161" t="str">
        <f t="shared" si="1"/>
        <v/>
      </c>
    </row>
    <row r="151" spans="6:6" x14ac:dyDescent="0.25">
      <c r="F151" s="161" t="str">
        <f t="shared" si="1"/>
        <v/>
      </c>
    </row>
    <row r="152" spans="6:6" x14ac:dyDescent="0.25">
      <c r="F152" s="161" t="str">
        <f t="shared" si="1"/>
        <v/>
      </c>
    </row>
    <row r="153" spans="6:6" x14ac:dyDescent="0.25">
      <c r="F153" s="161" t="str">
        <f t="shared" si="1"/>
        <v/>
      </c>
    </row>
    <row r="154" spans="6:6" x14ac:dyDescent="0.25">
      <c r="F154" s="161" t="str">
        <f t="shared" si="1"/>
        <v/>
      </c>
    </row>
    <row r="155" spans="6:6" x14ac:dyDescent="0.25">
      <c r="F155" s="161" t="str">
        <f t="shared" si="1"/>
        <v/>
      </c>
    </row>
    <row r="156" spans="6:6" x14ac:dyDescent="0.25">
      <c r="F156" s="161" t="str">
        <f t="shared" si="1"/>
        <v/>
      </c>
    </row>
    <row r="157" spans="6:6" x14ac:dyDescent="0.25">
      <c r="F157" s="161" t="str">
        <f t="shared" si="1"/>
        <v/>
      </c>
    </row>
    <row r="158" spans="6:6" x14ac:dyDescent="0.25">
      <c r="F158" s="161" t="str">
        <f t="shared" si="1"/>
        <v/>
      </c>
    </row>
    <row r="159" spans="6:6" x14ac:dyDescent="0.25">
      <c r="F159" s="161" t="str">
        <f t="shared" ref="F159:F206" si="2">IF(D159&lt;&gt;"",D159+E159,"")</f>
        <v/>
      </c>
    </row>
    <row r="160" spans="6:6" x14ac:dyDescent="0.25">
      <c r="F160" s="161" t="str">
        <f t="shared" si="2"/>
        <v/>
      </c>
    </row>
    <row r="161" spans="6:6" x14ac:dyDescent="0.25">
      <c r="F161" s="161" t="str">
        <f t="shared" si="2"/>
        <v/>
      </c>
    </row>
    <row r="162" spans="6:6" x14ac:dyDescent="0.25">
      <c r="F162" s="161" t="str">
        <f t="shared" si="2"/>
        <v/>
      </c>
    </row>
    <row r="163" spans="6:6" x14ac:dyDescent="0.25">
      <c r="F163" s="161" t="str">
        <f t="shared" si="2"/>
        <v/>
      </c>
    </row>
    <row r="164" spans="6:6" x14ac:dyDescent="0.25">
      <c r="F164" s="161" t="str">
        <f t="shared" si="2"/>
        <v/>
      </c>
    </row>
    <row r="165" spans="6:6" x14ac:dyDescent="0.25">
      <c r="F165" s="161" t="str">
        <f t="shared" si="2"/>
        <v/>
      </c>
    </row>
    <row r="166" spans="6:6" x14ac:dyDescent="0.25">
      <c r="F166" s="161" t="str">
        <f t="shared" si="2"/>
        <v/>
      </c>
    </row>
    <row r="167" spans="6:6" x14ac:dyDescent="0.25">
      <c r="F167" s="161" t="str">
        <f t="shared" si="2"/>
        <v/>
      </c>
    </row>
    <row r="168" spans="6:6" x14ac:dyDescent="0.25">
      <c r="F168" s="161" t="str">
        <f t="shared" si="2"/>
        <v/>
      </c>
    </row>
    <row r="169" spans="6:6" x14ac:dyDescent="0.25">
      <c r="F169" s="161" t="str">
        <f t="shared" si="2"/>
        <v/>
      </c>
    </row>
    <row r="170" spans="6:6" x14ac:dyDescent="0.25">
      <c r="F170" s="161" t="str">
        <f t="shared" si="2"/>
        <v/>
      </c>
    </row>
    <row r="171" spans="6:6" x14ac:dyDescent="0.25">
      <c r="F171" s="161" t="str">
        <f t="shared" si="2"/>
        <v/>
      </c>
    </row>
    <row r="172" spans="6:6" x14ac:dyDescent="0.25">
      <c r="F172" s="161" t="str">
        <f t="shared" si="2"/>
        <v/>
      </c>
    </row>
    <row r="173" spans="6:6" x14ac:dyDescent="0.25">
      <c r="F173" s="161" t="str">
        <f t="shared" si="2"/>
        <v/>
      </c>
    </row>
    <row r="174" spans="6:6" x14ac:dyDescent="0.25">
      <c r="F174" s="161" t="str">
        <f t="shared" si="2"/>
        <v/>
      </c>
    </row>
    <row r="175" spans="6:6" x14ac:dyDescent="0.25">
      <c r="F175" s="161" t="str">
        <f t="shared" si="2"/>
        <v/>
      </c>
    </row>
    <row r="176" spans="6:6" x14ac:dyDescent="0.25">
      <c r="F176" s="161" t="str">
        <f t="shared" si="2"/>
        <v/>
      </c>
    </row>
    <row r="177" spans="6:6" x14ac:dyDescent="0.25">
      <c r="F177" s="161" t="str">
        <f t="shared" si="2"/>
        <v/>
      </c>
    </row>
    <row r="178" spans="6:6" x14ac:dyDescent="0.25">
      <c r="F178" s="161" t="str">
        <f t="shared" si="2"/>
        <v/>
      </c>
    </row>
    <row r="179" spans="6:6" x14ac:dyDescent="0.25">
      <c r="F179" s="161" t="str">
        <f t="shared" si="2"/>
        <v/>
      </c>
    </row>
    <row r="180" spans="6:6" x14ac:dyDescent="0.25">
      <c r="F180" s="161" t="str">
        <f t="shared" si="2"/>
        <v/>
      </c>
    </row>
    <row r="181" spans="6:6" x14ac:dyDescent="0.25">
      <c r="F181" s="161" t="str">
        <f t="shared" si="2"/>
        <v/>
      </c>
    </row>
    <row r="182" spans="6:6" x14ac:dyDescent="0.25">
      <c r="F182" s="161" t="str">
        <f t="shared" si="2"/>
        <v/>
      </c>
    </row>
    <row r="183" spans="6:6" x14ac:dyDescent="0.25">
      <c r="F183" s="161" t="str">
        <f t="shared" si="2"/>
        <v/>
      </c>
    </row>
    <row r="184" spans="6:6" x14ac:dyDescent="0.25">
      <c r="F184" s="161" t="str">
        <f t="shared" si="2"/>
        <v/>
      </c>
    </row>
    <row r="185" spans="6:6" x14ac:dyDescent="0.25">
      <c r="F185" s="161" t="str">
        <f t="shared" si="2"/>
        <v/>
      </c>
    </row>
    <row r="186" spans="6:6" x14ac:dyDescent="0.25">
      <c r="F186" s="161" t="str">
        <f t="shared" si="2"/>
        <v/>
      </c>
    </row>
    <row r="187" spans="6:6" x14ac:dyDescent="0.25">
      <c r="F187" s="161" t="str">
        <f t="shared" si="2"/>
        <v/>
      </c>
    </row>
    <row r="188" spans="6:6" x14ac:dyDescent="0.25">
      <c r="F188" s="161" t="str">
        <f t="shared" si="2"/>
        <v/>
      </c>
    </row>
    <row r="189" spans="6:6" x14ac:dyDescent="0.25">
      <c r="F189" s="161" t="str">
        <f t="shared" si="2"/>
        <v/>
      </c>
    </row>
    <row r="190" spans="6:6" x14ac:dyDescent="0.25">
      <c r="F190" s="161" t="str">
        <f t="shared" si="2"/>
        <v/>
      </c>
    </row>
    <row r="191" spans="6:6" x14ac:dyDescent="0.25">
      <c r="F191" s="161" t="str">
        <f t="shared" si="2"/>
        <v/>
      </c>
    </row>
    <row r="192" spans="6:6" x14ac:dyDescent="0.25">
      <c r="F192" s="161" t="str">
        <f t="shared" si="2"/>
        <v/>
      </c>
    </row>
    <row r="193" spans="6:6" x14ac:dyDescent="0.25">
      <c r="F193" s="161" t="str">
        <f t="shared" si="2"/>
        <v/>
      </c>
    </row>
    <row r="194" spans="6:6" x14ac:dyDescent="0.25">
      <c r="F194" s="161" t="str">
        <f t="shared" si="2"/>
        <v/>
      </c>
    </row>
    <row r="195" spans="6:6" x14ac:dyDescent="0.25">
      <c r="F195" s="161" t="str">
        <f t="shared" si="2"/>
        <v/>
      </c>
    </row>
    <row r="196" spans="6:6" x14ac:dyDescent="0.25">
      <c r="F196" s="161" t="str">
        <f t="shared" si="2"/>
        <v/>
      </c>
    </row>
    <row r="197" spans="6:6" x14ac:dyDescent="0.25">
      <c r="F197" s="161" t="str">
        <f t="shared" si="2"/>
        <v/>
      </c>
    </row>
    <row r="198" spans="6:6" x14ac:dyDescent="0.25">
      <c r="F198" s="161" t="str">
        <f t="shared" si="2"/>
        <v/>
      </c>
    </row>
    <row r="199" spans="6:6" x14ac:dyDescent="0.25">
      <c r="F199" s="161" t="str">
        <f t="shared" si="2"/>
        <v/>
      </c>
    </row>
    <row r="200" spans="6:6" x14ac:dyDescent="0.25">
      <c r="F200" s="161" t="str">
        <f t="shared" si="2"/>
        <v/>
      </c>
    </row>
    <row r="201" spans="6:6" x14ac:dyDescent="0.25">
      <c r="F201" s="161" t="str">
        <f t="shared" si="2"/>
        <v/>
      </c>
    </row>
    <row r="202" spans="6:6" x14ac:dyDescent="0.25">
      <c r="F202" s="161" t="str">
        <f t="shared" si="2"/>
        <v/>
      </c>
    </row>
    <row r="203" spans="6:6" x14ac:dyDescent="0.25">
      <c r="F203" s="161" t="str">
        <f t="shared" si="2"/>
        <v/>
      </c>
    </row>
    <row r="204" spans="6:6" x14ac:dyDescent="0.25">
      <c r="F204" s="161" t="str">
        <f t="shared" si="2"/>
        <v/>
      </c>
    </row>
    <row r="205" spans="6:6" x14ac:dyDescent="0.25">
      <c r="F205" s="161" t="str">
        <f t="shared" si="2"/>
        <v/>
      </c>
    </row>
    <row r="206" spans="6:6" x14ac:dyDescent="0.25">
      <c r="F206" s="161" t="str">
        <f t="shared" si="2"/>
        <v/>
      </c>
    </row>
  </sheetData>
  <sheetProtection selectLockedCells="1"/>
  <sortState ref="A2:H69">
    <sortCondition descending="1" ref="A2:A200"/>
    <sortCondition ref="B2:B200"/>
    <sortCondition ref="D2:D200"/>
  </sortState>
  <mergeCells count="32">
    <mergeCell ref="A7:B7"/>
    <mergeCell ref="A13:B13"/>
    <mergeCell ref="B19:C19"/>
    <mergeCell ref="G20:G21"/>
    <mergeCell ref="B20:C20"/>
    <mergeCell ref="B16:C16"/>
    <mergeCell ref="A11:C11"/>
    <mergeCell ref="E20:F20"/>
    <mergeCell ref="B1:D1"/>
    <mergeCell ref="A9:B9"/>
    <mergeCell ref="A8:B8"/>
    <mergeCell ref="A10:C10"/>
    <mergeCell ref="A28:A29"/>
    <mergeCell ref="B22:C22"/>
    <mergeCell ref="B3:E3"/>
    <mergeCell ref="C4:H4"/>
    <mergeCell ref="G15:H15"/>
    <mergeCell ref="A5:B5"/>
    <mergeCell ref="B15:F15"/>
    <mergeCell ref="A4:B4"/>
    <mergeCell ref="H20:H21"/>
    <mergeCell ref="A6:B6"/>
    <mergeCell ref="B17:C17"/>
    <mergeCell ref="B18:C18"/>
    <mergeCell ref="G28:G29"/>
    <mergeCell ref="E28:E29"/>
    <mergeCell ref="C28:C29"/>
    <mergeCell ref="F28:F29"/>
    <mergeCell ref="D23:H23"/>
    <mergeCell ref="D28:D29"/>
    <mergeCell ref="B24:C24"/>
    <mergeCell ref="B28:B29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allFinancialsDone_Click">
                <anchor moveWithCells="1" sizeWithCells="1">
                  <from>
                    <xdr:col>4</xdr:col>
                    <xdr:colOff>409575</xdr:colOff>
                    <xdr:row>7</xdr:row>
                    <xdr:rowOff>238125</xdr:rowOff>
                  </from>
                  <to>
                    <xdr:col>5</xdr:col>
                    <xdr:colOff>657225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MainSummaryFinancialsComplete">
              <controlPr defaultSize="0" print="0" autoFill="0" autoPict="0" macro="[0]!allFinancialsDone_Click">
                <anchor moveWithCells="1" sizeWithCells="1">
                  <from>
                    <xdr:col>4</xdr:col>
                    <xdr:colOff>409575</xdr:colOff>
                    <xdr:row>4</xdr:row>
                    <xdr:rowOff>238125</xdr:rowOff>
                  </from>
                  <to>
                    <xdr:col>5</xdr:col>
                    <xdr:colOff>657225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MainSummaryFinancialsComplete">
              <controlPr defaultSize="0" print="0" autoFill="0" autoPict="0" macro="[0]!printPayoffs_Click">
                <anchor moveWithCells="1" sizeWithCells="1">
                  <from>
                    <xdr:col>6</xdr:col>
                    <xdr:colOff>304800</xdr:colOff>
                    <xdr:row>7</xdr:row>
                    <xdr:rowOff>238125</xdr:rowOff>
                  </from>
                  <to>
                    <xdr:col>8</xdr:col>
                    <xdr:colOff>266700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MainSummaryFinancialsComplete">
              <controlPr defaultSize="0" print="0" autoFill="0" autoPict="0" macro="[0]!allFinancialsDone_Click">
                <anchor moveWithCells="1" sizeWithCells="1">
                  <from>
                    <xdr:col>6</xdr:col>
                    <xdr:colOff>304800</xdr:colOff>
                    <xdr:row>4</xdr:row>
                    <xdr:rowOff>238125</xdr:rowOff>
                  </from>
                  <to>
                    <xdr:col>8</xdr:col>
                    <xdr:colOff>266700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475"/>
  <sheetViews>
    <sheetView workbookViewId="0">
      <selection activeCell="K20" sqref="K20"/>
    </sheetView>
  </sheetViews>
  <sheetFormatPr defaultRowHeight="15" x14ac:dyDescent="0.25"/>
  <cols>
    <col min="1" max="1" width="10.140625" style="46" customWidth="1"/>
    <col min="2" max="2" width="12.85546875" style="32" customWidth="1"/>
    <col min="3" max="3" width="8.42578125" style="32" customWidth="1"/>
    <col min="4" max="4" width="27.7109375" style="32" customWidth="1"/>
    <col min="5" max="5" width="25" style="32" customWidth="1"/>
    <col min="6" max="6" width="30" style="32" customWidth="1"/>
    <col min="7" max="7" width="12.28515625" style="32" customWidth="1"/>
    <col min="8" max="16384" width="9.140625" style="32"/>
  </cols>
  <sheetData>
    <row r="1" spans="1:7" x14ac:dyDescent="0.25">
      <c r="A1" s="54">
        <f>SUM(B11:B60)</f>
        <v>0</v>
      </c>
      <c r="B1" s="32" t="s">
        <v>75</v>
      </c>
    </row>
    <row r="2" spans="1:7" ht="21" x14ac:dyDescent="0.35">
      <c r="A2" s="54"/>
      <c r="D2" s="60"/>
    </row>
    <row r="3" spans="1:7" x14ac:dyDescent="0.25">
      <c r="A3" s="34" t="s">
        <v>169</v>
      </c>
      <c r="B3" s="41"/>
    </row>
    <row r="4" spans="1:7" x14ac:dyDescent="0.25">
      <c r="A4" s="34" t="s">
        <v>170</v>
      </c>
      <c r="B4" s="41"/>
    </row>
    <row r="5" spans="1:7" ht="18.75" x14ac:dyDescent="0.3">
      <c r="A5" s="32"/>
      <c r="B5" s="33"/>
      <c r="C5" s="55"/>
      <c r="D5" s="55"/>
    </row>
    <row r="6" spans="1:7" x14ac:dyDescent="0.25">
      <c r="A6" s="255" t="s">
        <v>2</v>
      </c>
      <c r="B6" s="255"/>
      <c r="C6" s="255"/>
    </row>
    <row r="7" spans="1:7" x14ac:dyDescent="0.25">
      <c r="A7" s="32"/>
      <c r="C7" s="54"/>
    </row>
    <row r="8" spans="1:7" x14ac:dyDescent="0.25">
      <c r="A8" s="32"/>
      <c r="B8" s="48">
        <f>FMFMiscExpensesTotal</f>
        <v>0</v>
      </c>
      <c r="C8" s="256" t="s">
        <v>75</v>
      </c>
      <c r="D8" s="256"/>
    </row>
    <row r="9" spans="1:7" x14ac:dyDescent="0.25">
      <c r="A9" s="32"/>
      <c r="C9" s="54"/>
    </row>
    <row r="10" spans="1:7" x14ac:dyDescent="0.25">
      <c r="A10" s="61" t="s">
        <v>76</v>
      </c>
      <c r="B10" s="62" t="s">
        <v>77</v>
      </c>
      <c r="C10" s="254" t="s">
        <v>78</v>
      </c>
      <c r="D10" s="254"/>
      <c r="E10" s="63" t="s">
        <v>95</v>
      </c>
      <c r="F10" s="64" t="s">
        <v>111</v>
      </c>
      <c r="G10" s="174" t="s">
        <v>125</v>
      </c>
    </row>
    <row r="11" spans="1:7" x14ac:dyDescent="0.25">
      <c r="A11" s="117"/>
      <c r="B11" s="156"/>
      <c r="C11" s="259"/>
      <c r="D11" s="259"/>
      <c r="E11" s="120"/>
      <c r="F11" s="165"/>
      <c r="G11" s="174"/>
    </row>
    <row r="12" spans="1:7" x14ac:dyDescent="0.25">
      <c r="A12" s="121"/>
      <c r="B12" s="122"/>
      <c r="C12" s="257"/>
      <c r="D12" s="257"/>
      <c r="E12" s="123"/>
      <c r="F12" s="164"/>
      <c r="G12" s="174"/>
    </row>
    <row r="13" spans="1:7" x14ac:dyDescent="0.25">
      <c r="A13" s="117"/>
      <c r="B13" s="156"/>
      <c r="C13" s="259"/>
      <c r="D13" s="259"/>
      <c r="E13" s="157"/>
      <c r="F13" s="157"/>
      <c r="G13" s="174"/>
    </row>
    <row r="14" spans="1:7" x14ac:dyDescent="0.25">
      <c r="A14" s="117"/>
      <c r="B14" s="156"/>
      <c r="C14" s="259"/>
      <c r="D14" s="259"/>
      <c r="E14" s="157"/>
      <c r="F14" s="157"/>
      <c r="G14" s="174"/>
    </row>
    <row r="15" spans="1:7" x14ac:dyDescent="0.25">
      <c r="A15" s="121"/>
      <c r="B15" s="122"/>
      <c r="C15" s="257"/>
      <c r="D15" s="258"/>
      <c r="E15" s="155"/>
      <c r="F15" s="155"/>
      <c r="G15" s="174"/>
    </row>
    <row r="16" spans="1:7" x14ac:dyDescent="0.25">
      <c r="A16" s="121"/>
      <c r="B16" s="122"/>
      <c r="C16" s="257"/>
      <c r="D16" s="257"/>
      <c r="E16" s="154"/>
      <c r="F16" s="154"/>
      <c r="G16" s="174"/>
    </row>
    <row r="17" spans="1:7" x14ac:dyDescent="0.25">
      <c r="A17" s="117"/>
      <c r="B17" s="118"/>
      <c r="C17" s="259"/>
      <c r="D17" s="259"/>
      <c r="E17" s="146"/>
      <c r="F17" s="146"/>
      <c r="G17" s="174"/>
    </row>
    <row r="18" spans="1:7" x14ac:dyDescent="0.25">
      <c r="A18" s="117"/>
      <c r="B18" s="118"/>
      <c r="C18" s="259"/>
      <c r="D18" s="259"/>
      <c r="E18" s="146"/>
      <c r="F18" s="146"/>
      <c r="G18" s="174"/>
    </row>
    <row r="19" spans="1:7" x14ac:dyDescent="0.25">
      <c r="A19" s="121"/>
      <c r="B19" s="122"/>
      <c r="C19" s="253"/>
      <c r="D19" s="253"/>
      <c r="E19" s="123"/>
      <c r="F19" s="123"/>
      <c r="G19" s="174"/>
    </row>
    <row r="20" spans="1:7" x14ac:dyDescent="0.25">
      <c r="A20" s="117"/>
      <c r="B20" s="118"/>
      <c r="C20" s="252"/>
      <c r="D20" s="252"/>
      <c r="E20" s="120"/>
      <c r="F20" s="120"/>
      <c r="G20" s="174"/>
    </row>
    <row r="21" spans="1:7" x14ac:dyDescent="0.25">
      <c r="A21" s="117"/>
      <c r="B21" s="118"/>
      <c r="C21" s="252"/>
      <c r="D21" s="252"/>
      <c r="E21" s="120"/>
      <c r="F21" s="120"/>
      <c r="G21" s="174"/>
    </row>
    <row r="22" spans="1:7" x14ac:dyDescent="0.25">
      <c r="A22" s="117"/>
      <c r="B22" s="118"/>
      <c r="C22" s="252"/>
      <c r="D22" s="252"/>
      <c r="E22" s="120"/>
      <c r="F22" s="120"/>
      <c r="G22" s="174"/>
    </row>
    <row r="23" spans="1:7" x14ac:dyDescent="0.25">
      <c r="A23" s="117"/>
      <c r="B23" s="118"/>
      <c r="C23" s="252"/>
      <c r="D23" s="252"/>
      <c r="E23" s="120"/>
      <c r="F23" s="120"/>
      <c r="G23" s="174"/>
    </row>
    <row r="24" spans="1:7" x14ac:dyDescent="0.25">
      <c r="A24" s="117"/>
      <c r="B24" s="118"/>
      <c r="C24" s="252"/>
      <c r="D24" s="252"/>
      <c r="E24" s="120"/>
      <c r="F24" s="120"/>
      <c r="G24" s="174"/>
    </row>
    <row r="25" spans="1:7" x14ac:dyDescent="0.25">
      <c r="A25" s="117"/>
      <c r="B25" s="118"/>
      <c r="C25" s="252"/>
      <c r="D25" s="252"/>
      <c r="E25" s="120"/>
      <c r="F25" s="120"/>
      <c r="G25" s="174"/>
    </row>
    <row r="26" spans="1:7" x14ac:dyDescent="0.25">
      <c r="A26" s="121"/>
      <c r="B26" s="122"/>
      <c r="C26" s="253"/>
      <c r="D26" s="253"/>
      <c r="E26" s="123"/>
      <c r="F26" s="123"/>
      <c r="G26" s="174"/>
    </row>
    <row r="27" spans="1:7" x14ac:dyDescent="0.25">
      <c r="A27" s="117"/>
      <c r="B27" s="118"/>
      <c r="C27" s="252"/>
      <c r="D27" s="252"/>
      <c r="E27" s="120"/>
      <c r="F27" s="120"/>
      <c r="G27" s="174"/>
    </row>
    <row r="28" spans="1:7" x14ac:dyDescent="0.25">
      <c r="A28" s="117"/>
      <c r="B28" s="118"/>
      <c r="C28" s="252"/>
      <c r="D28" s="252"/>
      <c r="E28" s="120"/>
      <c r="F28" s="120"/>
      <c r="G28" s="174"/>
    </row>
    <row r="29" spans="1:7" x14ac:dyDescent="0.25">
      <c r="A29" s="117"/>
      <c r="B29" s="118"/>
      <c r="C29" s="252"/>
      <c r="D29" s="252"/>
      <c r="E29" s="120"/>
      <c r="F29" s="120"/>
      <c r="G29" s="174"/>
    </row>
    <row r="30" spans="1:7" x14ac:dyDescent="0.25">
      <c r="A30" s="117"/>
      <c r="B30" s="118"/>
      <c r="C30" s="252"/>
      <c r="D30" s="252"/>
      <c r="E30" s="120"/>
      <c r="F30" s="120"/>
      <c r="G30" s="174"/>
    </row>
    <row r="31" spans="1:7" x14ac:dyDescent="0.25">
      <c r="A31" s="117"/>
      <c r="B31" s="118"/>
      <c r="C31" s="252"/>
      <c r="D31" s="252"/>
      <c r="E31" s="120"/>
      <c r="F31" s="120"/>
      <c r="G31" s="174"/>
    </row>
    <row r="32" spans="1:7" x14ac:dyDescent="0.25">
      <c r="A32" s="117"/>
      <c r="B32" s="118"/>
      <c r="C32" s="252"/>
      <c r="D32" s="252"/>
      <c r="E32" s="120"/>
      <c r="F32" s="120"/>
      <c r="G32" s="174"/>
    </row>
    <row r="33" spans="1:7" x14ac:dyDescent="0.25">
      <c r="A33" s="117"/>
      <c r="B33" s="118"/>
      <c r="C33" s="252"/>
      <c r="D33" s="252"/>
      <c r="E33" s="120"/>
      <c r="F33" s="120"/>
      <c r="G33" s="174"/>
    </row>
    <row r="34" spans="1:7" x14ac:dyDescent="0.25">
      <c r="A34" s="117"/>
      <c r="B34" s="118"/>
      <c r="C34" s="252"/>
      <c r="D34" s="252"/>
      <c r="E34" s="120"/>
      <c r="F34" s="120"/>
      <c r="G34" s="174"/>
    </row>
    <row r="35" spans="1:7" x14ac:dyDescent="0.25">
      <c r="A35" s="117"/>
      <c r="B35" s="118"/>
      <c r="C35" s="252"/>
      <c r="D35" s="252"/>
      <c r="E35" s="120"/>
      <c r="F35" s="120"/>
      <c r="G35" s="174"/>
    </row>
    <row r="36" spans="1:7" x14ac:dyDescent="0.25">
      <c r="A36" s="117"/>
      <c r="B36" s="118"/>
      <c r="C36" s="252"/>
      <c r="D36" s="252"/>
      <c r="E36" s="120"/>
      <c r="F36" s="120"/>
      <c r="G36" s="174"/>
    </row>
    <row r="37" spans="1:7" x14ac:dyDescent="0.25">
      <c r="A37" s="117"/>
      <c r="B37" s="118"/>
      <c r="C37" s="252"/>
      <c r="D37" s="252"/>
      <c r="E37" s="120"/>
      <c r="F37" s="120"/>
      <c r="G37" s="174"/>
    </row>
    <row r="38" spans="1:7" x14ac:dyDescent="0.25">
      <c r="A38" s="117"/>
      <c r="B38" s="118"/>
      <c r="C38" s="252"/>
      <c r="D38" s="252"/>
      <c r="E38" s="120"/>
      <c r="F38" s="120"/>
      <c r="G38" s="174"/>
    </row>
    <row r="39" spans="1:7" x14ac:dyDescent="0.25">
      <c r="A39" s="117"/>
      <c r="B39" s="118"/>
      <c r="C39" s="252"/>
      <c r="D39" s="252"/>
      <c r="E39" s="120"/>
      <c r="F39" s="120"/>
      <c r="G39" s="174"/>
    </row>
    <row r="40" spans="1:7" x14ac:dyDescent="0.25">
      <c r="A40" s="117"/>
      <c r="B40" s="118"/>
      <c r="C40" s="252"/>
      <c r="D40" s="252"/>
      <c r="E40" s="120"/>
      <c r="F40" s="120"/>
      <c r="G40" s="174"/>
    </row>
    <row r="41" spans="1:7" x14ac:dyDescent="0.25">
      <c r="A41" s="117"/>
      <c r="B41" s="118"/>
      <c r="C41" s="252"/>
      <c r="D41" s="252"/>
      <c r="E41" s="120"/>
      <c r="F41" s="120"/>
      <c r="G41" s="174"/>
    </row>
    <row r="42" spans="1:7" x14ac:dyDescent="0.25">
      <c r="A42" s="117"/>
      <c r="B42" s="118"/>
      <c r="C42" s="252"/>
      <c r="D42" s="252"/>
      <c r="E42" s="120"/>
      <c r="F42" s="120"/>
      <c r="G42" s="174"/>
    </row>
    <row r="43" spans="1:7" x14ac:dyDescent="0.25">
      <c r="A43" s="117"/>
      <c r="B43" s="118"/>
      <c r="C43" s="252"/>
      <c r="D43" s="252"/>
      <c r="E43" s="120"/>
      <c r="F43" s="120"/>
      <c r="G43" s="174"/>
    </row>
    <row r="44" spans="1:7" x14ac:dyDescent="0.25">
      <c r="A44" s="117"/>
      <c r="B44" s="118"/>
      <c r="C44" s="252"/>
      <c r="D44" s="252"/>
      <c r="E44" s="120"/>
      <c r="F44" s="120"/>
      <c r="G44" s="174"/>
    </row>
    <row r="45" spans="1:7" x14ac:dyDescent="0.25">
      <c r="A45" s="117"/>
      <c r="B45" s="118"/>
      <c r="C45" s="252"/>
      <c r="D45" s="252"/>
      <c r="E45" s="120"/>
      <c r="F45" s="120"/>
      <c r="G45" s="174"/>
    </row>
    <row r="46" spans="1:7" x14ac:dyDescent="0.25">
      <c r="A46" s="117"/>
      <c r="B46" s="118"/>
      <c r="C46" s="252"/>
      <c r="D46" s="252"/>
      <c r="E46" s="120"/>
      <c r="F46" s="120"/>
      <c r="G46" s="174"/>
    </row>
    <row r="47" spans="1:7" x14ac:dyDescent="0.25">
      <c r="A47" s="117"/>
      <c r="B47" s="118"/>
      <c r="C47" s="252"/>
      <c r="D47" s="252"/>
      <c r="E47" s="120"/>
      <c r="F47" s="120"/>
      <c r="G47" s="174"/>
    </row>
    <row r="48" spans="1:7" x14ac:dyDescent="0.25">
      <c r="A48" s="117"/>
      <c r="B48" s="118"/>
      <c r="C48" s="252"/>
      <c r="D48" s="252"/>
      <c r="E48" s="120"/>
      <c r="F48" s="120"/>
      <c r="G48" s="174"/>
    </row>
    <row r="49" spans="1:7" x14ac:dyDescent="0.25">
      <c r="A49" s="117"/>
      <c r="B49" s="118"/>
      <c r="C49" s="252"/>
      <c r="D49" s="252"/>
      <c r="E49" s="120"/>
      <c r="F49" s="120"/>
      <c r="G49" s="174"/>
    </row>
    <row r="50" spans="1:7" x14ac:dyDescent="0.25">
      <c r="A50" s="117"/>
      <c r="B50" s="118"/>
      <c r="C50" s="252"/>
      <c r="D50" s="252"/>
      <c r="E50" s="120"/>
      <c r="F50" s="120"/>
      <c r="G50" s="174"/>
    </row>
    <row r="51" spans="1:7" x14ac:dyDescent="0.25">
      <c r="A51" s="117"/>
      <c r="B51" s="118"/>
      <c r="C51" s="252"/>
      <c r="D51" s="252"/>
      <c r="E51" s="120"/>
      <c r="F51" s="120"/>
      <c r="G51" s="174"/>
    </row>
    <row r="52" spans="1:7" x14ac:dyDescent="0.25">
      <c r="A52" s="117"/>
      <c r="B52" s="118"/>
      <c r="C52" s="252"/>
      <c r="D52" s="252"/>
      <c r="E52" s="120"/>
      <c r="F52" s="120"/>
      <c r="G52" s="174"/>
    </row>
    <row r="53" spans="1:7" x14ac:dyDescent="0.25">
      <c r="A53" s="117"/>
      <c r="B53" s="118"/>
      <c r="C53" s="252"/>
      <c r="D53" s="252"/>
      <c r="E53" s="120"/>
      <c r="F53" s="120"/>
      <c r="G53" s="174"/>
    </row>
    <row r="54" spans="1:7" x14ac:dyDescent="0.25">
      <c r="A54" s="117"/>
      <c r="B54" s="118"/>
      <c r="C54" s="252"/>
      <c r="D54" s="252"/>
      <c r="E54" s="120"/>
      <c r="F54" s="120"/>
      <c r="G54" s="174"/>
    </row>
    <row r="55" spans="1:7" x14ac:dyDescent="0.25">
      <c r="A55" s="117"/>
      <c r="B55" s="118"/>
      <c r="C55" s="252"/>
      <c r="D55" s="252"/>
      <c r="E55" s="120"/>
      <c r="F55" s="120"/>
      <c r="G55" s="174"/>
    </row>
    <row r="56" spans="1:7" x14ac:dyDescent="0.25">
      <c r="A56" s="117"/>
      <c r="B56" s="118"/>
      <c r="C56" s="252"/>
      <c r="D56" s="252"/>
      <c r="E56" s="120"/>
      <c r="F56" s="120"/>
      <c r="G56" s="174"/>
    </row>
    <row r="57" spans="1:7" x14ac:dyDescent="0.25">
      <c r="A57" s="117"/>
      <c r="B57" s="118"/>
      <c r="C57" s="252"/>
      <c r="D57" s="252"/>
      <c r="E57" s="120"/>
      <c r="F57" s="120"/>
      <c r="G57" s="174"/>
    </row>
    <row r="58" spans="1:7" x14ac:dyDescent="0.25">
      <c r="A58" s="117"/>
      <c r="B58" s="118"/>
      <c r="C58" s="252"/>
      <c r="D58" s="252"/>
      <c r="E58" s="120"/>
      <c r="F58" s="120"/>
      <c r="G58" s="174"/>
    </row>
    <row r="59" spans="1:7" x14ac:dyDescent="0.25">
      <c r="A59" s="117"/>
      <c r="B59" s="118"/>
      <c r="C59" s="252"/>
      <c r="D59" s="252"/>
      <c r="E59" s="120"/>
      <c r="F59" s="120"/>
      <c r="G59" s="174"/>
    </row>
    <row r="60" spans="1:7" x14ac:dyDescent="0.25">
      <c r="A60" s="117"/>
      <c r="B60" s="156"/>
      <c r="C60" s="252"/>
      <c r="D60" s="252"/>
      <c r="E60" s="120"/>
      <c r="F60" s="120"/>
      <c r="G60" s="174"/>
    </row>
    <row r="61" spans="1:7" x14ac:dyDescent="0.25">
      <c r="A61" s="187"/>
      <c r="B61" s="188"/>
      <c r="C61" s="260"/>
      <c r="D61" s="260"/>
      <c r="E61" s="189"/>
      <c r="F61" s="189"/>
      <c r="G61" s="175"/>
    </row>
    <row r="62" spans="1:7" x14ac:dyDescent="0.25">
      <c r="A62" s="187"/>
      <c r="B62" s="188"/>
      <c r="C62" s="260"/>
      <c r="D62" s="260"/>
      <c r="E62" s="189"/>
      <c r="F62" s="189"/>
      <c r="G62" s="175"/>
    </row>
    <row r="63" spans="1:7" x14ac:dyDescent="0.25">
      <c r="A63" s="187"/>
      <c r="B63" s="188"/>
      <c r="C63" s="260"/>
      <c r="D63" s="260"/>
      <c r="E63" s="189"/>
      <c r="F63" s="189"/>
      <c r="G63" s="175"/>
    </row>
    <row r="64" spans="1:7" x14ac:dyDescent="0.25">
      <c r="A64" s="187"/>
      <c r="B64" s="188"/>
      <c r="C64" s="260"/>
      <c r="D64" s="260"/>
      <c r="E64" s="189"/>
      <c r="F64" s="189"/>
      <c r="G64" s="175"/>
    </row>
    <row r="65" spans="1:7" x14ac:dyDescent="0.25">
      <c r="A65" s="187"/>
      <c r="B65" s="188"/>
      <c r="C65" s="260"/>
      <c r="D65" s="260"/>
      <c r="E65" s="189"/>
      <c r="F65" s="189"/>
      <c r="G65" s="175"/>
    </row>
    <row r="66" spans="1:7" x14ac:dyDescent="0.25">
      <c r="A66" s="187"/>
      <c r="B66" s="188"/>
      <c r="C66" s="260"/>
      <c r="D66" s="260"/>
      <c r="E66" s="189"/>
      <c r="F66" s="189"/>
      <c r="G66" s="175"/>
    </row>
    <row r="67" spans="1:7" x14ac:dyDescent="0.25">
      <c r="A67" s="187"/>
      <c r="B67" s="188"/>
      <c r="C67" s="260"/>
      <c r="D67" s="260"/>
      <c r="E67" s="189"/>
      <c r="F67" s="189"/>
      <c r="G67" s="175"/>
    </row>
    <row r="68" spans="1:7" x14ac:dyDescent="0.25">
      <c r="A68" s="187"/>
      <c r="B68" s="188"/>
      <c r="C68" s="260"/>
      <c r="D68" s="260"/>
      <c r="E68" s="189"/>
      <c r="F68" s="189"/>
      <c r="G68" s="175"/>
    </row>
    <row r="69" spans="1:7" x14ac:dyDescent="0.25">
      <c r="A69" s="187"/>
      <c r="B69" s="188"/>
      <c r="C69" s="260"/>
      <c r="D69" s="260"/>
      <c r="E69" s="189"/>
      <c r="F69" s="189"/>
      <c r="G69" s="175"/>
    </row>
    <row r="70" spans="1:7" x14ac:dyDescent="0.25">
      <c r="A70" s="187"/>
      <c r="B70" s="188"/>
      <c r="C70" s="260"/>
      <c r="D70" s="260"/>
      <c r="E70" s="189"/>
      <c r="F70" s="189"/>
      <c r="G70" s="175"/>
    </row>
    <row r="71" spans="1:7" x14ac:dyDescent="0.25">
      <c r="A71" s="187"/>
      <c r="B71" s="188"/>
      <c r="C71" s="260"/>
      <c r="D71" s="260"/>
      <c r="E71" s="189"/>
      <c r="F71" s="189"/>
      <c r="G71" s="175"/>
    </row>
    <row r="72" spans="1:7" x14ac:dyDescent="0.25">
      <c r="A72" s="187"/>
      <c r="B72" s="188"/>
      <c r="C72" s="260"/>
      <c r="D72" s="260"/>
      <c r="E72" s="189"/>
      <c r="F72" s="189"/>
      <c r="G72" s="175"/>
    </row>
    <row r="73" spans="1:7" x14ac:dyDescent="0.25">
      <c r="A73" s="187"/>
      <c r="B73" s="188"/>
      <c r="C73" s="260"/>
      <c r="D73" s="260"/>
      <c r="E73" s="189"/>
      <c r="F73" s="189"/>
      <c r="G73" s="175"/>
    </row>
    <row r="74" spans="1:7" x14ac:dyDescent="0.25">
      <c r="A74" s="187"/>
      <c r="B74" s="188"/>
      <c r="C74" s="260"/>
      <c r="D74" s="260"/>
      <c r="E74" s="189"/>
      <c r="F74" s="189"/>
      <c r="G74" s="175"/>
    </row>
    <row r="75" spans="1:7" x14ac:dyDescent="0.25">
      <c r="A75" s="187"/>
      <c r="B75" s="188"/>
      <c r="C75" s="260"/>
      <c r="D75" s="260"/>
      <c r="E75" s="189"/>
      <c r="F75" s="189"/>
      <c r="G75" s="175"/>
    </row>
    <row r="76" spans="1:7" x14ac:dyDescent="0.25">
      <c r="A76" s="187"/>
      <c r="B76" s="188"/>
      <c r="C76" s="260"/>
      <c r="D76" s="260"/>
      <c r="E76" s="189"/>
      <c r="F76" s="189"/>
      <c r="G76" s="175"/>
    </row>
    <row r="77" spans="1:7" x14ac:dyDescent="0.25">
      <c r="A77" s="187"/>
      <c r="B77" s="188"/>
      <c r="C77" s="260"/>
      <c r="D77" s="260"/>
      <c r="E77" s="189"/>
      <c r="F77" s="189"/>
      <c r="G77" s="175"/>
    </row>
    <row r="78" spans="1:7" x14ac:dyDescent="0.25">
      <c r="A78" s="187"/>
      <c r="B78" s="188"/>
      <c r="C78" s="260"/>
      <c r="D78" s="260"/>
      <c r="E78" s="189"/>
      <c r="F78" s="189"/>
      <c r="G78" s="175"/>
    </row>
    <row r="79" spans="1:7" x14ac:dyDescent="0.25">
      <c r="A79" s="187"/>
      <c r="B79" s="188"/>
      <c r="C79" s="260"/>
      <c r="D79" s="260"/>
      <c r="E79" s="189"/>
      <c r="F79" s="189"/>
      <c r="G79" s="175"/>
    </row>
    <row r="80" spans="1:7" x14ac:dyDescent="0.25">
      <c r="A80" s="187"/>
      <c r="B80" s="188"/>
      <c r="C80" s="260"/>
      <c r="D80" s="260"/>
      <c r="E80" s="189"/>
      <c r="F80" s="189"/>
      <c r="G80" s="175"/>
    </row>
    <row r="81" spans="1:7" x14ac:dyDescent="0.25">
      <c r="A81" s="187"/>
      <c r="B81" s="188"/>
      <c r="C81" s="260"/>
      <c r="D81" s="260"/>
      <c r="E81" s="189"/>
      <c r="F81" s="189"/>
      <c r="G81" s="175"/>
    </row>
    <row r="82" spans="1:7" x14ac:dyDescent="0.25">
      <c r="A82" s="187"/>
      <c r="B82" s="188"/>
      <c r="C82" s="260"/>
      <c r="D82" s="260"/>
      <c r="E82" s="189"/>
      <c r="F82" s="189"/>
      <c r="G82" s="175"/>
    </row>
    <row r="83" spans="1:7" x14ac:dyDescent="0.25">
      <c r="A83" s="187"/>
      <c r="B83" s="188"/>
      <c r="C83" s="260"/>
      <c r="D83" s="260"/>
      <c r="E83" s="189"/>
      <c r="F83" s="189"/>
      <c r="G83" s="175"/>
    </row>
    <row r="84" spans="1:7" x14ac:dyDescent="0.25">
      <c r="A84" s="187"/>
      <c r="B84" s="188"/>
      <c r="C84" s="260"/>
      <c r="D84" s="260"/>
      <c r="E84" s="189"/>
      <c r="F84" s="189"/>
      <c r="G84" s="175"/>
    </row>
    <row r="85" spans="1:7" x14ac:dyDescent="0.25">
      <c r="A85" s="187"/>
      <c r="B85" s="188"/>
      <c r="C85" s="260"/>
      <c r="D85" s="260"/>
      <c r="E85" s="189"/>
      <c r="F85" s="189"/>
      <c r="G85" s="175"/>
    </row>
    <row r="86" spans="1:7" x14ac:dyDescent="0.25">
      <c r="A86" s="187"/>
      <c r="B86" s="188"/>
      <c r="C86" s="260"/>
      <c r="D86" s="260"/>
      <c r="E86" s="189"/>
      <c r="F86" s="189"/>
      <c r="G86" s="175"/>
    </row>
    <row r="87" spans="1:7" x14ac:dyDescent="0.25">
      <c r="A87" s="187"/>
      <c r="B87" s="188"/>
      <c r="C87" s="260"/>
      <c r="D87" s="260"/>
      <c r="E87" s="189"/>
      <c r="F87" s="189"/>
      <c r="G87" s="175"/>
    </row>
    <row r="88" spans="1:7" x14ac:dyDescent="0.25">
      <c r="A88" s="187"/>
      <c r="B88" s="188"/>
      <c r="C88" s="260"/>
      <c r="D88" s="260"/>
      <c r="E88" s="189"/>
      <c r="F88" s="189"/>
      <c r="G88" s="175"/>
    </row>
    <row r="89" spans="1:7" x14ac:dyDescent="0.25">
      <c r="A89" s="187"/>
      <c r="B89" s="188"/>
      <c r="C89" s="260"/>
      <c r="D89" s="260"/>
      <c r="E89" s="189"/>
      <c r="F89" s="189"/>
      <c r="G89" s="175"/>
    </row>
    <row r="90" spans="1:7" x14ac:dyDescent="0.25">
      <c r="A90" s="187"/>
      <c r="B90" s="188"/>
      <c r="C90" s="260"/>
      <c r="D90" s="260"/>
      <c r="E90" s="189"/>
      <c r="F90" s="189"/>
      <c r="G90" s="175"/>
    </row>
    <row r="91" spans="1:7" x14ac:dyDescent="0.25">
      <c r="A91" s="187"/>
      <c r="B91" s="188"/>
      <c r="C91" s="260"/>
      <c r="D91" s="260"/>
      <c r="E91" s="189"/>
      <c r="F91" s="189"/>
      <c r="G91" s="175"/>
    </row>
    <row r="92" spans="1:7" x14ac:dyDescent="0.25">
      <c r="A92" s="187"/>
      <c r="B92" s="188"/>
      <c r="C92" s="260"/>
      <c r="D92" s="260"/>
      <c r="E92" s="189"/>
      <c r="F92" s="189"/>
      <c r="G92" s="175"/>
    </row>
    <row r="93" spans="1:7" x14ac:dyDescent="0.25">
      <c r="A93" s="187"/>
      <c r="B93" s="188"/>
      <c r="C93" s="260"/>
      <c r="D93" s="260"/>
      <c r="E93" s="189"/>
      <c r="F93" s="189"/>
      <c r="G93" s="175"/>
    </row>
    <row r="94" spans="1:7" x14ac:dyDescent="0.25">
      <c r="A94" s="187"/>
      <c r="B94" s="188"/>
      <c r="C94" s="260"/>
      <c r="D94" s="260"/>
      <c r="E94" s="189"/>
      <c r="F94" s="189"/>
      <c r="G94" s="175"/>
    </row>
    <row r="95" spans="1:7" x14ac:dyDescent="0.25">
      <c r="A95" s="187"/>
      <c r="B95" s="188"/>
      <c r="C95" s="260"/>
      <c r="D95" s="260"/>
      <c r="E95" s="189"/>
      <c r="F95" s="189"/>
      <c r="G95" s="175"/>
    </row>
    <row r="96" spans="1:7" x14ac:dyDescent="0.25">
      <c r="A96" s="187"/>
      <c r="B96" s="188"/>
      <c r="C96" s="260"/>
      <c r="D96" s="260"/>
      <c r="E96" s="189"/>
      <c r="F96" s="189"/>
      <c r="G96" s="175"/>
    </row>
    <row r="97" spans="1:7" x14ac:dyDescent="0.25">
      <c r="A97" s="187"/>
      <c r="B97" s="188"/>
      <c r="C97" s="260"/>
      <c r="D97" s="260"/>
      <c r="E97" s="189"/>
      <c r="F97" s="189"/>
      <c r="G97" s="175"/>
    </row>
    <row r="98" spans="1:7" x14ac:dyDescent="0.25">
      <c r="A98" s="187"/>
      <c r="B98" s="188"/>
      <c r="C98" s="260"/>
      <c r="D98" s="260"/>
      <c r="E98" s="189"/>
      <c r="F98" s="189"/>
      <c r="G98" s="175"/>
    </row>
    <row r="99" spans="1:7" x14ac:dyDescent="0.25">
      <c r="A99" s="187"/>
      <c r="B99" s="188"/>
      <c r="C99" s="260"/>
      <c r="D99" s="260"/>
      <c r="E99" s="189"/>
      <c r="F99" s="189"/>
      <c r="G99" s="175"/>
    </row>
    <row r="100" spans="1:7" x14ac:dyDescent="0.25">
      <c r="A100" s="187"/>
      <c r="B100" s="188"/>
      <c r="C100" s="260"/>
      <c r="D100" s="260"/>
      <c r="E100" s="189"/>
      <c r="F100" s="189"/>
      <c r="G100" s="175"/>
    </row>
    <row r="101" spans="1:7" x14ac:dyDescent="0.25">
      <c r="A101" s="187"/>
      <c r="B101" s="188"/>
      <c r="C101" s="260"/>
      <c r="D101" s="260"/>
      <c r="E101" s="189"/>
      <c r="F101" s="189"/>
      <c r="G101" s="175"/>
    </row>
    <row r="102" spans="1:7" x14ac:dyDescent="0.25">
      <c r="A102" s="187"/>
      <c r="B102" s="188"/>
      <c r="C102" s="260"/>
      <c r="D102" s="260"/>
      <c r="E102" s="189"/>
      <c r="F102" s="189"/>
      <c r="G102" s="175"/>
    </row>
    <row r="103" spans="1:7" x14ac:dyDescent="0.25">
      <c r="A103" s="187"/>
      <c r="B103" s="188"/>
      <c r="C103" s="260"/>
      <c r="D103" s="260"/>
      <c r="E103" s="189"/>
      <c r="F103" s="189"/>
      <c r="G103" s="175"/>
    </row>
    <row r="104" spans="1:7" x14ac:dyDescent="0.25">
      <c r="A104" s="187"/>
      <c r="B104" s="188"/>
      <c r="C104" s="260"/>
      <c r="D104" s="260"/>
      <c r="E104" s="189"/>
      <c r="F104" s="189"/>
      <c r="G104" s="175"/>
    </row>
    <row r="105" spans="1:7" x14ac:dyDescent="0.25">
      <c r="A105" s="187"/>
      <c r="B105" s="188"/>
      <c r="C105" s="260"/>
      <c r="D105" s="260"/>
      <c r="E105" s="189"/>
      <c r="F105" s="189"/>
      <c r="G105" s="175"/>
    </row>
    <row r="106" spans="1:7" x14ac:dyDescent="0.25">
      <c r="A106" s="187"/>
      <c r="B106" s="188"/>
      <c r="C106" s="260"/>
      <c r="D106" s="260"/>
      <c r="E106" s="189"/>
      <c r="F106" s="189"/>
      <c r="G106" s="175"/>
    </row>
    <row r="107" spans="1:7" x14ac:dyDescent="0.25">
      <c r="A107" s="187"/>
      <c r="B107" s="188"/>
      <c r="C107" s="260"/>
      <c r="D107" s="260"/>
      <c r="E107" s="189"/>
      <c r="F107" s="189"/>
      <c r="G107" s="175"/>
    </row>
    <row r="108" spans="1:7" x14ac:dyDescent="0.25">
      <c r="A108" s="187"/>
      <c r="B108" s="188"/>
      <c r="C108" s="260"/>
      <c r="D108" s="260"/>
      <c r="E108" s="189"/>
      <c r="F108" s="189"/>
      <c r="G108" s="175"/>
    </row>
    <row r="109" spans="1:7" x14ac:dyDescent="0.25">
      <c r="A109" s="187"/>
      <c r="B109" s="188"/>
      <c r="C109" s="260"/>
      <c r="D109" s="260"/>
      <c r="E109" s="189"/>
      <c r="F109" s="189"/>
      <c r="G109" s="175"/>
    </row>
    <row r="110" spans="1:7" x14ac:dyDescent="0.25">
      <c r="A110" s="187"/>
      <c r="B110" s="188"/>
      <c r="C110" s="260"/>
      <c r="D110" s="260"/>
      <c r="E110" s="189"/>
      <c r="F110" s="189"/>
      <c r="G110" s="175"/>
    </row>
    <row r="111" spans="1:7" x14ac:dyDescent="0.25">
      <c r="A111" s="187"/>
      <c r="B111" s="188"/>
      <c r="C111" s="260"/>
      <c r="D111" s="260"/>
      <c r="E111" s="189"/>
      <c r="F111" s="189"/>
      <c r="G111" s="175"/>
    </row>
    <row r="112" spans="1:7" x14ac:dyDescent="0.25">
      <c r="A112" s="187"/>
      <c r="B112" s="188"/>
      <c r="C112" s="260"/>
      <c r="D112" s="260"/>
      <c r="E112" s="189"/>
      <c r="F112" s="189"/>
      <c r="G112" s="175"/>
    </row>
    <row r="113" spans="1:7" x14ac:dyDescent="0.25">
      <c r="A113" s="187"/>
      <c r="B113" s="188"/>
      <c r="C113" s="260"/>
      <c r="D113" s="260"/>
      <c r="E113" s="189"/>
      <c r="F113" s="189"/>
      <c r="G113" s="175"/>
    </row>
    <row r="114" spans="1:7" x14ac:dyDescent="0.25">
      <c r="A114" s="187"/>
      <c r="B114" s="188"/>
      <c r="C114" s="260"/>
      <c r="D114" s="260"/>
      <c r="E114" s="189"/>
      <c r="F114" s="189"/>
      <c r="G114" s="175"/>
    </row>
    <row r="115" spans="1:7" x14ac:dyDescent="0.25">
      <c r="A115" s="187"/>
      <c r="B115" s="188"/>
      <c r="C115" s="260"/>
      <c r="D115" s="260"/>
      <c r="E115" s="189"/>
      <c r="F115" s="189"/>
      <c r="G115" s="175"/>
    </row>
    <row r="116" spans="1:7" x14ac:dyDescent="0.25">
      <c r="A116" s="187"/>
      <c r="B116" s="188"/>
      <c r="C116" s="260"/>
      <c r="D116" s="260"/>
      <c r="E116" s="189"/>
      <c r="F116" s="189"/>
      <c r="G116" s="175"/>
    </row>
    <row r="117" spans="1:7" x14ac:dyDescent="0.25">
      <c r="A117" s="187"/>
      <c r="B117" s="188"/>
      <c r="C117" s="260"/>
      <c r="D117" s="260"/>
      <c r="E117" s="189"/>
      <c r="F117" s="189"/>
      <c r="G117" s="175"/>
    </row>
    <row r="118" spans="1:7" x14ac:dyDescent="0.25">
      <c r="A118" s="187"/>
      <c r="B118" s="188"/>
      <c r="C118" s="260"/>
      <c r="D118" s="260"/>
      <c r="E118" s="189"/>
      <c r="F118" s="189"/>
      <c r="G118" s="175"/>
    </row>
    <row r="119" spans="1:7" x14ac:dyDescent="0.25">
      <c r="A119" s="187"/>
      <c r="B119" s="188"/>
      <c r="C119" s="260"/>
      <c r="D119" s="260"/>
      <c r="E119" s="189"/>
      <c r="F119" s="189"/>
      <c r="G119" s="175"/>
    </row>
    <row r="120" spans="1:7" x14ac:dyDescent="0.25">
      <c r="A120" s="187"/>
      <c r="B120" s="188"/>
      <c r="C120" s="260"/>
      <c r="D120" s="260"/>
      <c r="E120" s="189"/>
      <c r="F120" s="189"/>
      <c r="G120" s="175"/>
    </row>
    <row r="121" spans="1:7" x14ac:dyDescent="0.25">
      <c r="A121" s="187"/>
      <c r="B121" s="188"/>
      <c r="C121" s="260"/>
      <c r="D121" s="260"/>
      <c r="E121" s="189"/>
      <c r="F121" s="189"/>
      <c r="G121" s="175"/>
    </row>
    <row r="122" spans="1:7" x14ac:dyDescent="0.25">
      <c r="A122" s="187"/>
      <c r="B122" s="188"/>
      <c r="C122" s="260"/>
      <c r="D122" s="260"/>
      <c r="E122" s="189"/>
      <c r="F122" s="189"/>
      <c r="G122" s="175"/>
    </row>
    <row r="123" spans="1:7" x14ac:dyDescent="0.25">
      <c r="A123" s="187"/>
      <c r="B123" s="188"/>
      <c r="C123" s="260"/>
      <c r="D123" s="260"/>
      <c r="E123" s="189"/>
      <c r="F123" s="189"/>
      <c r="G123" s="175"/>
    </row>
    <row r="124" spans="1:7" x14ac:dyDescent="0.25">
      <c r="A124" s="187"/>
      <c r="B124" s="188"/>
      <c r="C124" s="260"/>
      <c r="D124" s="260"/>
      <c r="E124" s="189"/>
      <c r="F124" s="189"/>
      <c r="G124" s="175"/>
    </row>
    <row r="125" spans="1:7" x14ac:dyDescent="0.25">
      <c r="A125" s="187"/>
      <c r="B125" s="188"/>
      <c r="C125" s="260"/>
      <c r="D125" s="260"/>
      <c r="E125" s="189"/>
      <c r="F125" s="189"/>
      <c r="G125" s="175"/>
    </row>
    <row r="126" spans="1:7" x14ac:dyDescent="0.25">
      <c r="A126" s="187"/>
      <c r="B126" s="188"/>
      <c r="C126" s="260"/>
      <c r="D126" s="260"/>
      <c r="E126" s="189"/>
      <c r="F126" s="189"/>
      <c r="G126" s="175"/>
    </row>
    <row r="127" spans="1:7" x14ac:dyDescent="0.25">
      <c r="A127" s="187"/>
      <c r="B127" s="188"/>
      <c r="C127" s="260"/>
      <c r="D127" s="260"/>
      <c r="E127" s="189"/>
      <c r="F127" s="189"/>
      <c r="G127" s="175"/>
    </row>
    <row r="128" spans="1:7" x14ac:dyDescent="0.25">
      <c r="A128" s="187"/>
      <c r="B128" s="188"/>
      <c r="C128" s="260"/>
      <c r="D128" s="260"/>
      <c r="E128" s="189"/>
      <c r="F128" s="189"/>
      <c r="G128" s="175"/>
    </row>
    <row r="129" spans="1:7" x14ac:dyDescent="0.25">
      <c r="A129" s="187"/>
      <c r="B129" s="188"/>
      <c r="C129" s="260"/>
      <c r="D129" s="260"/>
      <c r="E129" s="189"/>
      <c r="F129" s="189"/>
      <c r="G129" s="175"/>
    </row>
    <row r="130" spans="1:7" x14ac:dyDescent="0.25">
      <c r="A130" s="187"/>
      <c r="B130" s="188"/>
      <c r="C130" s="260"/>
      <c r="D130" s="260"/>
      <c r="E130" s="189"/>
      <c r="F130" s="189"/>
      <c r="G130" s="175"/>
    </row>
    <row r="131" spans="1:7" x14ac:dyDescent="0.25">
      <c r="A131" s="187"/>
      <c r="B131" s="188"/>
      <c r="C131" s="260"/>
      <c r="D131" s="260"/>
      <c r="E131" s="189"/>
      <c r="F131" s="189"/>
      <c r="G131" s="175"/>
    </row>
    <row r="132" spans="1:7" x14ac:dyDescent="0.25">
      <c r="A132" s="187"/>
      <c r="B132" s="188"/>
      <c r="C132" s="260"/>
      <c r="D132" s="260"/>
      <c r="E132" s="189"/>
      <c r="F132" s="189"/>
      <c r="G132" s="175"/>
    </row>
    <row r="133" spans="1:7" x14ac:dyDescent="0.25">
      <c r="A133" s="187"/>
      <c r="B133" s="188"/>
      <c r="C133" s="260"/>
      <c r="D133" s="260"/>
      <c r="E133" s="189"/>
      <c r="F133" s="189"/>
      <c r="G133" s="175"/>
    </row>
    <row r="134" spans="1:7" x14ac:dyDescent="0.25">
      <c r="A134" s="187"/>
      <c r="B134" s="188"/>
      <c r="C134" s="260"/>
      <c r="D134" s="260"/>
      <c r="E134" s="189"/>
      <c r="F134" s="189"/>
      <c r="G134" s="175"/>
    </row>
    <row r="135" spans="1:7" x14ac:dyDescent="0.25">
      <c r="A135" s="187"/>
      <c r="B135" s="188"/>
      <c r="C135" s="260"/>
      <c r="D135" s="260"/>
      <c r="E135" s="189"/>
      <c r="F135" s="189"/>
      <c r="G135" s="175"/>
    </row>
    <row r="136" spans="1:7" x14ac:dyDescent="0.25">
      <c r="A136" s="187"/>
      <c r="B136" s="188"/>
      <c r="C136" s="260"/>
      <c r="D136" s="260"/>
      <c r="E136" s="189"/>
      <c r="F136" s="189"/>
      <c r="G136" s="175"/>
    </row>
    <row r="137" spans="1:7" x14ac:dyDescent="0.25">
      <c r="A137" s="187"/>
      <c r="B137" s="188"/>
      <c r="C137" s="260"/>
      <c r="D137" s="260"/>
      <c r="E137" s="189"/>
      <c r="F137" s="189"/>
      <c r="G137" s="175"/>
    </row>
    <row r="138" spans="1:7" x14ac:dyDescent="0.25">
      <c r="A138" s="187"/>
      <c r="B138" s="188"/>
      <c r="C138" s="260"/>
      <c r="D138" s="260"/>
      <c r="E138" s="189"/>
      <c r="F138" s="189"/>
      <c r="G138" s="175"/>
    </row>
    <row r="139" spans="1:7" x14ac:dyDescent="0.25">
      <c r="A139" s="187"/>
      <c r="B139" s="188"/>
      <c r="C139" s="260"/>
      <c r="D139" s="260"/>
      <c r="E139" s="189"/>
      <c r="F139" s="189"/>
      <c r="G139" s="175"/>
    </row>
    <row r="140" spans="1:7" x14ac:dyDescent="0.25">
      <c r="A140" s="187"/>
      <c r="B140" s="188"/>
      <c r="C140" s="260"/>
      <c r="D140" s="260"/>
      <c r="E140" s="189"/>
      <c r="F140" s="189"/>
      <c r="G140" s="175"/>
    </row>
    <row r="141" spans="1:7" x14ac:dyDescent="0.25">
      <c r="A141" s="187"/>
      <c r="B141" s="188"/>
      <c r="C141" s="260"/>
      <c r="D141" s="260"/>
      <c r="E141" s="189"/>
      <c r="F141" s="189"/>
      <c r="G141" s="175"/>
    </row>
    <row r="142" spans="1:7" x14ac:dyDescent="0.25">
      <c r="A142" s="187"/>
      <c r="B142" s="188"/>
      <c r="C142" s="260"/>
      <c r="D142" s="260"/>
      <c r="E142" s="189"/>
      <c r="F142" s="189"/>
      <c r="G142" s="175"/>
    </row>
    <row r="143" spans="1:7" x14ac:dyDescent="0.25">
      <c r="A143" s="187"/>
      <c r="B143" s="188"/>
      <c r="C143" s="260"/>
      <c r="D143" s="260"/>
      <c r="E143" s="189"/>
      <c r="F143" s="189"/>
      <c r="G143" s="175"/>
    </row>
    <row r="144" spans="1:7" x14ac:dyDescent="0.25">
      <c r="A144" s="187"/>
      <c r="B144" s="188"/>
      <c r="C144" s="260"/>
      <c r="D144" s="260"/>
      <c r="E144" s="189"/>
      <c r="F144" s="189"/>
      <c r="G144" s="175"/>
    </row>
    <row r="145" spans="1:7" x14ac:dyDescent="0.25">
      <c r="A145" s="187"/>
      <c r="B145" s="188"/>
      <c r="C145" s="260"/>
      <c r="D145" s="260"/>
      <c r="E145" s="189"/>
      <c r="F145" s="189"/>
      <c r="G145" s="175"/>
    </row>
    <row r="146" spans="1:7" x14ac:dyDescent="0.25">
      <c r="A146" s="187"/>
      <c r="B146" s="188"/>
      <c r="C146" s="260"/>
      <c r="D146" s="260"/>
      <c r="E146" s="189"/>
      <c r="F146" s="189"/>
      <c r="G146" s="175"/>
    </row>
    <row r="147" spans="1:7" x14ac:dyDescent="0.25">
      <c r="A147" s="187"/>
      <c r="B147" s="188"/>
      <c r="C147" s="260"/>
      <c r="D147" s="260"/>
      <c r="E147" s="189"/>
      <c r="F147" s="189"/>
      <c r="G147" s="175"/>
    </row>
    <row r="148" spans="1:7" x14ac:dyDescent="0.25">
      <c r="A148" s="187"/>
      <c r="B148" s="188"/>
      <c r="C148" s="260"/>
      <c r="D148" s="260"/>
      <c r="E148" s="189"/>
      <c r="F148" s="189"/>
      <c r="G148" s="175"/>
    </row>
    <row r="149" spans="1:7" x14ac:dyDescent="0.25">
      <c r="A149" s="187"/>
      <c r="B149" s="188"/>
      <c r="C149" s="260"/>
      <c r="D149" s="260"/>
      <c r="E149" s="189"/>
      <c r="F149" s="189"/>
      <c r="G149" s="175"/>
    </row>
    <row r="150" spans="1:7" x14ac:dyDescent="0.25">
      <c r="A150" s="187"/>
      <c r="B150" s="188"/>
      <c r="C150" s="260"/>
      <c r="D150" s="260"/>
      <c r="E150" s="189"/>
      <c r="F150" s="189"/>
      <c r="G150" s="175"/>
    </row>
    <row r="151" spans="1:7" x14ac:dyDescent="0.25">
      <c r="A151" s="187"/>
      <c r="B151" s="188"/>
      <c r="C151" s="260"/>
      <c r="D151" s="260"/>
      <c r="E151" s="189"/>
      <c r="F151" s="189"/>
      <c r="G151" s="175"/>
    </row>
    <row r="152" spans="1:7" x14ac:dyDescent="0.25">
      <c r="A152" s="187"/>
      <c r="B152" s="188"/>
      <c r="C152" s="260"/>
      <c r="D152" s="260"/>
      <c r="E152" s="189"/>
      <c r="F152" s="189"/>
      <c r="G152" s="175"/>
    </row>
    <row r="153" spans="1:7" x14ac:dyDescent="0.25">
      <c r="A153" s="187"/>
      <c r="B153" s="188"/>
      <c r="C153" s="260"/>
      <c r="D153" s="260"/>
      <c r="E153" s="189"/>
      <c r="F153" s="189"/>
      <c r="G153" s="175"/>
    </row>
    <row r="154" spans="1:7" x14ac:dyDescent="0.25">
      <c r="A154" s="187"/>
      <c r="B154" s="188"/>
      <c r="C154" s="260"/>
      <c r="D154" s="260"/>
      <c r="E154" s="189"/>
      <c r="F154" s="189"/>
      <c r="G154" s="175"/>
    </row>
    <row r="155" spans="1:7" x14ac:dyDescent="0.25">
      <c r="A155" s="187"/>
      <c r="B155" s="188"/>
      <c r="C155" s="260"/>
      <c r="D155" s="260"/>
      <c r="E155" s="189"/>
      <c r="F155" s="189"/>
      <c r="G155" s="175"/>
    </row>
    <row r="156" spans="1:7" x14ac:dyDescent="0.25">
      <c r="A156" s="187"/>
      <c r="B156" s="188"/>
      <c r="C156" s="260"/>
      <c r="D156" s="260"/>
      <c r="E156" s="189"/>
      <c r="F156" s="189"/>
      <c r="G156" s="175"/>
    </row>
    <row r="157" spans="1:7" x14ac:dyDescent="0.25">
      <c r="A157" s="187"/>
      <c r="B157" s="188"/>
      <c r="C157" s="260"/>
      <c r="D157" s="260"/>
      <c r="E157" s="189"/>
      <c r="F157" s="189"/>
      <c r="G157" s="175"/>
    </row>
    <row r="158" spans="1:7" x14ac:dyDescent="0.25">
      <c r="A158" s="187"/>
      <c r="B158" s="188"/>
      <c r="C158" s="260"/>
      <c r="D158" s="260"/>
      <c r="E158" s="189"/>
      <c r="F158" s="189"/>
      <c r="G158" s="175"/>
    </row>
    <row r="159" spans="1:7" x14ac:dyDescent="0.25">
      <c r="A159" s="187"/>
      <c r="B159" s="188"/>
      <c r="C159" s="260"/>
      <c r="D159" s="260"/>
      <c r="E159" s="189"/>
      <c r="F159" s="189"/>
      <c r="G159" s="175"/>
    </row>
    <row r="160" spans="1:7" x14ac:dyDescent="0.25">
      <c r="A160" s="187"/>
      <c r="B160" s="188"/>
      <c r="C160" s="260"/>
      <c r="D160" s="260"/>
      <c r="E160" s="189"/>
      <c r="F160" s="189"/>
      <c r="G160" s="175"/>
    </row>
    <row r="161" spans="1:7" x14ac:dyDescent="0.25">
      <c r="A161" s="187"/>
      <c r="B161" s="188"/>
      <c r="C161" s="260"/>
      <c r="D161" s="260"/>
      <c r="E161" s="189"/>
      <c r="F161" s="189"/>
      <c r="G161" s="175"/>
    </row>
    <row r="162" spans="1:7" x14ac:dyDescent="0.25">
      <c r="A162" s="187"/>
      <c r="B162" s="188"/>
      <c r="C162" s="260"/>
      <c r="D162" s="260"/>
      <c r="E162" s="189"/>
      <c r="F162" s="189"/>
      <c r="G162" s="175"/>
    </row>
    <row r="163" spans="1:7" x14ac:dyDescent="0.25">
      <c r="A163" s="187"/>
      <c r="B163" s="188"/>
      <c r="C163" s="260"/>
      <c r="D163" s="260"/>
      <c r="E163" s="189"/>
      <c r="F163" s="189"/>
      <c r="G163" s="175"/>
    </row>
    <row r="164" spans="1:7" x14ac:dyDescent="0.25">
      <c r="A164" s="187"/>
      <c r="B164" s="188"/>
      <c r="C164" s="260"/>
      <c r="D164" s="260"/>
      <c r="E164" s="189"/>
      <c r="F164" s="189"/>
      <c r="G164" s="175"/>
    </row>
    <row r="165" spans="1:7" x14ac:dyDescent="0.25">
      <c r="A165" s="187"/>
      <c r="B165" s="188"/>
      <c r="C165" s="260"/>
      <c r="D165" s="260"/>
      <c r="E165" s="189"/>
      <c r="F165" s="189"/>
      <c r="G165" s="175"/>
    </row>
    <row r="166" spans="1:7" x14ac:dyDescent="0.25">
      <c r="A166" s="187"/>
      <c r="B166" s="188"/>
      <c r="C166" s="260"/>
      <c r="D166" s="260"/>
      <c r="E166" s="189"/>
      <c r="F166" s="189"/>
      <c r="G166" s="175"/>
    </row>
    <row r="167" spans="1:7" x14ac:dyDescent="0.25">
      <c r="A167" s="187"/>
      <c r="B167" s="188"/>
      <c r="C167" s="260"/>
      <c r="D167" s="260"/>
      <c r="E167" s="189"/>
      <c r="F167" s="189"/>
      <c r="G167" s="175"/>
    </row>
    <row r="168" spans="1:7" x14ac:dyDescent="0.25">
      <c r="A168" s="187"/>
      <c r="B168" s="188"/>
      <c r="C168" s="260"/>
      <c r="D168" s="260"/>
      <c r="E168" s="189"/>
      <c r="F168" s="189"/>
      <c r="G168" s="175"/>
    </row>
    <row r="169" spans="1:7" x14ac:dyDescent="0.25">
      <c r="A169" s="187"/>
      <c r="B169" s="188"/>
      <c r="C169" s="260"/>
      <c r="D169" s="260"/>
      <c r="E169" s="189"/>
      <c r="F169" s="189"/>
      <c r="G169" s="175"/>
    </row>
    <row r="170" spans="1:7" x14ac:dyDescent="0.25">
      <c r="A170" s="187"/>
      <c r="B170" s="188"/>
      <c r="C170" s="260"/>
      <c r="D170" s="260"/>
      <c r="E170" s="189"/>
      <c r="F170" s="189"/>
      <c r="G170" s="175"/>
    </row>
    <row r="171" spans="1:7" x14ac:dyDescent="0.25">
      <c r="A171" s="187"/>
      <c r="B171" s="188"/>
      <c r="C171" s="260"/>
      <c r="D171" s="260"/>
      <c r="E171" s="189"/>
      <c r="F171" s="189"/>
      <c r="G171" s="175"/>
    </row>
    <row r="172" spans="1:7" x14ac:dyDescent="0.25">
      <c r="A172" s="187"/>
      <c r="B172" s="188"/>
      <c r="C172" s="260"/>
      <c r="D172" s="260"/>
      <c r="E172" s="189"/>
      <c r="F172" s="189"/>
      <c r="G172" s="175"/>
    </row>
    <row r="173" spans="1:7" x14ac:dyDescent="0.25">
      <c r="A173" s="187"/>
      <c r="B173" s="188"/>
      <c r="C173" s="260"/>
      <c r="D173" s="260"/>
      <c r="E173" s="189"/>
      <c r="F173" s="189"/>
      <c r="G173" s="175"/>
    </row>
    <row r="174" spans="1:7" x14ac:dyDescent="0.25">
      <c r="A174" s="187"/>
      <c r="B174" s="188"/>
      <c r="C174" s="260"/>
      <c r="D174" s="260"/>
      <c r="E174" s="189"/>
      <c r="F174" s="189"/>
      <c r="G174" s="175"/>
    </row>
    <row r="175" spans="1:7" x14ac:dyDescent="0.25">
      <c r="A175" s="187"/>
      <c r="B175" s="188"/>
      <c r="C175" s="260"/>
      <c r="D175" s="260"/>
      <c r="E175" s="189"/>
      <c r="F175" s="189"/>
      <c r="G175" s="175"/>
    </row>
    <row r="176" spans="1:7" x14ac:dyDescent="0.25">
      <c r="A176" s="187"/>
      <c r="B176" s="188"/>
      <c r="C176" s="260"/>
      <c r="D176" s="260"/>
      <c r="E176" s="189"/>
      <c r="F176" s="189"/>
      <c r="G176" s="175"/>
    </row>
    <row r="177" spans="1:7" x14ac:dyDescent="0.25">
      <c r="A177" s="187"/>
      <c r="B177" s="188"/>
      <c r="C177" s="260"/>
      <c r="D177" s="260"/>
      <c r="E177" s="189"/>
      <c r="F177" s="189"/>
      <c r="G177" s="175"/>
    </row>
    <row r="178" spans="1:7" x14ac:dyDescent="0.25">
      <c r="A178" s="187"/>
      <c r="B178" s="188"/>
      <c r="C178" s="260"/>
      <c r="D178" s="260"/>
      <c r="E178" s="189"/>
      <c r="F178" s="189"/>
      <c r="G178" s="175"/>
    </row>
    <row r="179" spans="1:7" x14ac:dyDescent="0.25">
      <c r="A179" s="187"/>
      <c r="B179" s="188"/>
      <c r="C179" s="260"/>
      <c r="D179" s="260"/>
      <c r="E179" s="189"/>
      <c r="F179" s="189"/>
      <c r="G179" s="175"/>
    </row>
    <row r="180" spans="1:7" x14ac:dyDescent="0.25">
      <c r="A180" s="187"/>
      <c r="B180" s="188"/>
      <c r="C180" s="260"/>
      <c r="D180" s="260"/>
      <c r="E180" s="189"/>
      <c r="F180" s="189"/>
      <c r="G180" s="175"/>
    </row>
    <row r="181" spans="1:7" x14ac:dyDescent="0.25">
      <c r="A181" s="187"/>
      <c r="B181" s="188"/>
      <c r="C181" s="260"/>
      <c r="D181" s="260"/>
      <c r="E181" s="189"/>
      <c r="F181" s="189"/>
      <c r="G181" s="175"/>
    </row>
    <row r="182" spans="1:7" x14ac:dyDescent="0.25">
      <c r="A182" s="187"/>
      <c r="B182" s="188"/>
      <c r="C182" s="260"/>
      <c r="D182" s="260"/>
      <c r="E182" s="189"/>
      <c r="F182" s="189"/>
      <c r="G182" s="175"/>
    </row>
    <row r="183" spans="1:7" x14ac:dyDescent="0.25">
      <c r="A183" s="187"/>
      <c r="B183" s="188"/>
      <c r="C183" s="260"/>
      <c r="D183" s="260"/>
      <c r="E183" s="189"/>
      <c r="F183" s="189"/>
      <c r="G183" s="175"/>
    </row>
    <row r="184" spans="1:7" x14ac:dyDescent="0.25">
      <c r="A184" s="187"/>
      <c r="B184" s="188"/>
      <c r="C184" s="260"/>
      <c r="D184" s="260"/>
      <c r="E184" s="189"/>
      <c r="F184" s="189"/>
      <c r="G184" s="175"/>
    </row>
    <row r="185" spans="1:7" x14ac:dyDescent="0.25">
      <c r="A185" s="187"/>
      <c r="B185" s="188"/>
      <c r="C185" s="260"/>
      <c r="D185" s="260"/>
      <c r="E185" s="189"/>
      <c r="F185" s="189"/>
      <c r="G185" s="175"/>
    </row>
    <row r="186" spans="1:7" x14ac:dyDescent="0.25">
      <c r="A186" s="187"/>
      <c r="B186" s="188"/>
      <c r="C186" s="260"/>
      <c r="D186" s="260"/>
      <c r="E186" s="189"/>
      <c r="F186" s="189"/>
      <c r="G186" s="175"/>
    </row>
    <row r="187" spans="1:7" x14ac:dyDescent="0.25">
      <c r="A187" s="187"/>
      <c r="B187" s="188"/>
      <c r="C187" s="260"/>
      <c r="D187" s="260"/>
      <c r="E187" s="189"/>
      <c r="F187" s="189"/>
      <c r="G187" s="175"/>
    </row>
    <row r="188" spans="1:7" x14ac:dyDescent="0.25">
      <c r="A188" s="187"/>
      <c r="B188" s="188"/>
      <c r="C188" s="260"/>
      <c r="D188" s="260"/>
      <c r="E188" s="189"/>
      <c r="F188" s="189"/>
      <c r="G188" s="175"/>
    </row>
    <row r="189" spans="1:7" x14ac:dyDescent="0.25">
      <c r="A189" s="187"/>
      <c r="B189" s="188"/>
      <c r="C189" s="260"/>
      <c r="D189" s="260"/>
      <c r="E189" s="189"/>
      <c r="F189" s="189"/>
      <c r="G189" s="175"/>
    </row>
    <row r="190" spans="1:7" x14ac:dyDescent="0.25">
      <c r="A190" s="187"/>
      <c r="B190" s="188"/>
      <c r="C190" s="260"/>
      <c r="D190" s="260"/>
      <c r="E190" s="189"/>
      <c r="F190" s="189"/>
      <c r="G190" s="175"/>
    </row>
    <row r="191" spans="1:7" x14ac:dyDescent="0.25">
      <c r="A191" s="187"/>
      <c r="B191" s="188"/>
      <c r="C191" s="260"/>
      <c r="D191" s="260"/>
      <c r="E191" s="189"/>
      <c r="F191" s="189"/>
      <c r="G191" s="175"/>
    </row>
    <row r="192" spans="1:7" x14ac:dyDescent="0.25">
      <c r="A192" s="187"/>
      <c r="B192" s="188"/>
      <c r="C192" s="260"/>
      <c r="D192" s="260"/>
      <c r="E192" s="189"/>
      <c r="F192" s="189"/>
      <c r="G192" s="175"/>
    </row>
    <row r="193" spans="1:7" x14ac:dyDescent="0.25">
      <c r="A193" s="187"/>
      <c r="B193" s="188"/>
      <c r="C193" s="260"/>
      <c r="D193" s="260"/>
      <c r="E193" s="189"/>
      <c r="F193" s="189"/>
      <c r="G193" s="175"/>
    </row>
    <row r="194" spans="1:7" x14ac:dyDescent="0.25">
      <c r="A194" s="187"/>
      <c r="B194" s="188"/>
      <c r="C194" s="260"/>
      <c r="D194" s="260"/>
      <c r="E194" s="189"/>
      <c r="F194" s="189"/>
      <c r="G194" s="175"/>
    </row>
    <row r="195" spans="1:7" x14ac:dyDescent="0.25">
      <c r="A195" s="187"/>
      <c r="B195" s="188"/>
      <c r="C195" s="260"/>
      <c r="D195" s="260"/>
      <c r="E195" s="189"/>
      <c r="F195" s="189"/>
      <c r="G195" s="175"/>
    </row>
    <row r="196" spans="1:7" x14ac:dyDescent="0.25">
      <c r="A196" s="187"/>
      <c r="B196" s="188"/>
      <c r="C196" s="260"/>
      <c r="D196" s="260"/>
      <c r="E196" s="189"/>
      <c r="F196" s="189"/>
      <c r="G196" s="175"/>
    </row>
    <row r="197" spans="1:7" x14ac:dyDescent="0.25">
      <c r="A197" s="190"/>
      <c r="B197" s="191"/>
      <c r="C197" s="261"/>
      <c r="D197" s="261"/>
      <c r="E197" s="189"/>
      <c r="F197" s="189"/>
      <c r="G197" s="175"/>
    </row>
    <row r="198" spans="1:7" x14ac:dyDescent="0.25">
      <c r="A198" s="190"/>
      <c r="B198" s="191"/>
      <c r="C198" s="261"/>
      <c r="D198" s="261"/>
      <c r="E198" s="189"/>
      <c r="F198" s="189"/>
      <c r="G198" s="175"/>
    </row>
    <row r="199" spans="1:7" x14ac:dyDescent="0.25">
      <c r="A199" s="190"/>
      <c r="B199" s="191"/>
      <c r="C199" s="261"/>
      <c r="D199" s="261"/>
      <c r="E199" s="189"/>
      <c r="F199" s="189"/>
      <c r="G199" s="175"/>
    </row>
    <row r="200" spans="1:7" x14ac:dyDescent="0.25">
      <c r="A200" s="190"/>
      <c r="B200" s="191"/>
      <c r="C200" s="261"/>
      <c r="D200" s="261"/>
      <c r="E200" s="189"/>
      <c r="F200" s="189"/>
      <c r="G200" s="175"/>
    </row>
    <row r="201" spans="1:7" x14ac:dyDescent="0.25">
      <c r="A201" s="190"/>
      <c r="B201" s="191"/>
      <c r="C201" s="261"/>
      <c r="D201" s="261"/>
      <c r="E201" s="189"/>
      <c r="F201" s="189"/>
      <c r="G201" s="175"/>
    </row>
    <row r="202" spans="1:7" x14ac:dyDescent="0.25">
      <c r="B202" s="57"/>
      <c r="C202" s="262"/>
      <c r="D202" s="262"/>
      <c r="E202" s="65"/>
      <c r="F202" s="65"/>
    </row>
    <row r="203" spans="1:7" x14ac:dyDescent="0.25">
      <c r="B203" s="57"/>
      <c r="C203" s="262"/>
      <c r="D203" s="262"/>
      <c r="E203" s="65"/>
      <c r="F203" s="65"/>
    </row>
    <row r="204" spans="1:7" x14ac:dyDescent="0.25">
      <c r="B204" s="57"/>
      <c r="C204" s="262"/>
      <c r="D204" s="262"/>
      <c r="E204" s="65"/>
      <c r="F204" s="65"/>
    </row>
    <row r="205" spans="1:7" x14ac:dyDescent="0.25">
      <c r="B205" s="57"/>
      <c r="C205" s="262"/>
      <c r="D205" s="262"/>
      <c r="E205" s="65"/>
      <c r="F205" s="65"/>
    </row>
    <row r="206" spans="1:7" x14ac:dyDescent="0.25">
      <c r="B206" s="57"/>
      <c r="C206" s="262"/>
      <c r="D206" s="262"/>
      <c r="E206" s="65"/>
      <c r="F206" s="65"/>
    </row>
    <row r="207" spans="1:7" x14ac:dyDescent="0.25">
      <c r="B207" s="57"/>
      <c r="C207" s="262"/>
      <c r="D207" s="262"/>
      <c r="E207" s="65"/>
      <c r="F207" s="65"/>
    </row>
    <row r="208" spans="1:7" x14ac:dyDescent="0.25">
      <c r="B208" s="57"/>
      <c r="C208" s="262"/>
      <c r="D208" s="262"/>
      <c r="E208" s="65"/>
      <c r="F208" s="65"/>
    </row>
    <row r="209" spans="2:6" x14ac:dyDescent="0.25">
      <c r="B209" s="57"/>
      <c r="C209" s="262"/>
      <c r="D209" s="262"/>
      <c r="E209" s="65"/>
      <c r="F209" s="65"/>
    </row>
    <row r="210" spans="2:6" x14ac:dyDescent="0.25">
      <c r="B210" s="57"/>
      <c r="C210" s="262"/>
      <c r="D210" s="262"/>
      <c r="E210" s="65"/>
      <c r="F210" s="65"/>
    </row>
    <row r="211" spans="2:6" x14ac:dyDescent="0.25">
      <c r="B211" s="57"/>
      <c r="C211" s="262"/>
      <c r="D211" s="262"/>
      <c r="E211" s="65"/>
      <c r="F211" s="65"/>
    </row>
    <row r="212" spans="2:6" x14ac:dyDescent="0.25">
      <c r="B212" s="57"/>
      <c r="C212" s="262"/>
      <c r="D212" s="262"/>
      <c r="E212" s="65"/>
      <c r="F212" s="65"/>
    </row>
    <row r="213" spans="2:6" x14ac:dyDescent="0.25">
      <c r="B213" s="57"/>
      <c r="C213" s="262"/>
      <c r="D213" s="262"/>
      <c r="E213" s="65"/>
      <c r="F213" s="65"/>
    </row>
    <row r="214" spans="2:6" x14ac:dyDescent="0.25">
      <c r="B214" s="57"/>
      <c r="C214" s="262"/>
      <c r="D214" s="262"/>
      <c r="E214" s="65"/>
      <c r="F214" s="65"/>
    </row>
    <row r="215" spans="2:6" x14ac:dyDescent="0.25">
      <c r="B215" s="57"/>
      <c r="C215" s="262"/>
      <c r="D215" s="262"/>
      <c r="E215" s="65"/>
      <c r="F215" s="65"/>
    </row>
    <row r="216" spans="2:6" x14ac:dyDescent="0.25">
      <c r="B216" s="57"/>
      <c r="C216" s="262"/>
      <c r="D216" s="262"/>
      <c r="E216" s="65"/>
      <c r="F216" s="65"/>
    </row>
    <row r="217" spans="2:6" x14ac:dyDescent="0.25">
      <c r="B217" s="57"/>
      <c r="C217" s="262"/>
      <c r="D217" s="262"/>
      <c r="E217" s="65"/>
      <c r="F217" s="65"/>
    </row>
    <row r="218" spans="2:6" x14ac:dyDescent="0.25">
      <c r="B218" s="57"/>
      <c r="C218" s="262"/>
      <c r="D218" s="262"/>
      <c r="E218" s="65"/>
      <c r="F218" s="65"/>
    </row>
    <row r="219" spans="2:6" x14ac:dyDescent="0.25">
      <c r="B219" s="57"/>
      <c r="C219" s="262"/>
      <c r="D219" s="262"/>
      <c r="E219" s="65"/>
      <c r="F219" s="65"/>
    </row>
    <row r="220" spans="2:6" x14ac:dyDescent="0.25">
      <c r="B220" s="57"/>
      <c r="C220" s="262"/>
      <c r="D220" s="262"/>
      <c r="E220" s="65"/>
      <c r="F220" s="65"/>
    </row>
    <row r="221" spans="2:6" x14ac:dyDescent="0.25">
      <c r="B221" s="57"/>
      <c r="C221" s="262"/>
      <c r="D221" s="262"/>
      <c r="E221" s="65"/>
      <c r="F221" s="65"/>
    </row>
    <row r="222" spans="2:6" x14ac:dyDescent="0.25">
      <c r="B222" s="57"/>
      <c r="C222" s="262"/>
      <c r="D222" s="262"/>
      <c r="E222" s="65"/>
      <c r="F222" s="65"/>
    </row>
    <row r="223" spans="2:6" x14ac:dyDescent="0.25">
      <c r="B223" s="57"/>
      <c r="C223" s="262"/>
      <c r="D223" s="262"/>
      <c r="E223" s="65"/>
      <c r="F223" s="65"/>
    </row>
    <row r="224" spans="2:6" x14ac:dyDescent="0.25">
      <c r="B224" s="57"/>
      <c r="C224" s="262"/>
      <c r="D224" s="262"/>
      <c r="E224" s="65"/>
      <c r="F224" s="65"/>
    </row>
    <row r="225" spans="2:6" x14ac:dyDescent="0.25">
      <c r="B225" s="57"/>
      <c r="C225" s="262"/>
      <c r="D225" s="262"/>
      <c r="E225" s="65"/>
      <c r="F225" s="65"/>
    </row>
    <row r="226" spans="2:6" x14ac:dyDescent="0.25">
      <c r="B226" s="57"/>
      <c r="C226" s="262"/>
      <c r="D226" s="262"/>
      <c r="E226" s="65"/>
      <c r="F226" s="65"/>
    </row>
    <row r="227" spans="2:6" x14ac:dyDescent="0.25">
      <c r="B227" s="57"/>
      <c r="C227" s="262"/>
      <c r="D227" s="262"/>
      <c r="E227" s="65"/>
      <c r="F227" s="65"/>
    </row>
    <row r="228" spans="2:6" x14ac:dyDescent="0.25">
      <c r="B228" s="57"/>
      <c r="C228" s="262"/>
      <c r="D228" s="262"/>
      <c r="E228" s="65"/>
      <c r="F228" s="65"/>
    </row>
    <row r="229" spans="2:6" x14ac:dyDescent="0.25">
      <c r="B229" s="57"/>
      <c r="C229" s="262"/>
      <c r="D229" s="262"/>
      <c r="E229" s="65"/>
      <c r="F229" s="65"/>
    </row>
    <row r="230" spans="2:6" x14ac:dyDescent="0.25">
      <c r="B230" s="57"/>
      <c r="C230" s="262"/>
      <c r="D230" s="262"/>
      <c r="E230" s="65"/>
      <c r="F230" s="65"/>
    </row>
    <row r="231" spans="2:6" x14ac:dyDescent="0.25">
      <c r="B231" s="57"/>
      <c r="C231" s="262"/>
      <c r="D231" s="262"/>
      <c r="E231" s="65"/>
      <c r="F231" s="65"/>
    </row>
    <row r="232" spans="2:6" x14ac:dyDescent="0.25">
      <c r="B232" s="57"/>
      <c r="C232" s="262"/>
      <c r="D232" s="262"/>
      <c r="E232" s="65"/>
      <c r="F232" s="65"/>
    </row>
    <row r="233" spans="2:6" x14ac:dyDescent="0.25">
      <c r="B233" s="57"/>
      <c r="C233" s="262"/>
      <c r="D233" s="262"/>
      <c r="E233" s="65"/>
      <c r="F233" s="65"/>
    </row>
    <row r="234" spans="2:6" x14ac:dyDescent="0.25">
      <c r="B234" s="57"/>
      <c r="C234" s="262"/>
      <c r="D234" s="262"/>
      <c r="E234" s="65"/>
      <c r="F234" s="65"/>
    </row>
    <row r="235" spans="2:6" x14ac:dyDescent="0.25">
      <c r="B235" s="57"/>
      <c r="C235" s="262"/>
      <c r="D235" s="262"/>
      <c r="E235" s="65"/>
      <c r="F235" s="65"/>
    </row>
    <row r="236" spans="2:6" x14ac:dyDescent="0.25">
      <c r="B236" s="57"/>
      <c r="C236" s="262"/>
      <c r="D236" s="262"/>
      <c r="E236" s="65"/>
      <c r="F236" s="65"/>
    </row>
    <row r="237" spans="2:6" x14ac:dyDescent="0.25">
      <c r="B237" s="57"/>
      <c r="C237" s="262"/>
      <c r="D237" s="262"/>
      <c r="E237" s="65"/>
      <c r="F237" s="65"/>
    </row>
    <row r="238" spans="2:6" x14ac:dyDescent="0.25">
      <c r="B238" s="57"/>
      <c r="C238" s="262"/>
      <c r="D238" s="262"/>
      <c r="E238" s="65"/>
      <c r="F238" s="65"/>
    </row>
    <row r="239" spans="2:6" x14ac:dyDescent="0.25">
      <c r="B239" s="57"/>
      <c r="C239" s="262"/>
      <c r="D239" s="262"/>
      <c r="E239" s="65"/>
      <c r="F239" s="65"/>
    </row>
    <row r="240" spans="2:6" x14ac:dyDescent="0.25">
      <c r="B240" s="57"/>
      <c r="C240" s="262"/>
      <c r="D240" s="262"/>
      <c r="E240" s="65"/>
      <c r="F240" s="65"/>
    </row>
    <row r="241" spans="2:6" x14ac:dyDescent="0.25">
      <c r="B241" s="57"/>
      <c r="C241" s="262"/>
      <c r="D241" s="262"/>
      <c r="E241" s="65"/>
      <c r="F241" s="65"/>
    </row>
    <row r="242" spans="2:6" x14ac:dyDescent="0.25">
      <c r="B242" s="57"/>
      <c r="C242" s="262"/>
      <c r="D242" s="262"/>
      <c r="E242" s="65"/>
      <c r="F242" s="65"/>
    </row>
    <row r="243" spans="2:6" x14ac:dyDescent="0.25">
      <c r="B243" s="57"/>
      <c r="C243" s="262"/>
      <c r="D243" s="262"/>
      <c r="E243" s="65"/>
      <c r="F243" s="65"/>
    </row>
    <row r="244" spans="2:6" x14ac:dyDescent="0.25">
      <c r="B244" s="57"/>
      <c r="C244" s="262"/>
      <c r="D244" s="262"/>
      <c r="E244" s="65"/>
      <c r="F244" s="65"/>
    </row>
    <row r="245" spans="2:6" x14ac:dyDescent="0.25">
      <c r="B245" s="57"/>
      <c r="C245" s="262"/>
      <c r="D245" s="262"/>
      <c r="E245" s="65"/>
      <c r="F245" s="65"/>
    </row>
    <row r="246" spans="2:6" x14ac:dyDescent="0.25">
      <c r="B246" s="57"/>
      <c r="C246" s="262"/>
      <c r="D246" s="262"/>
      <c r="E246" s="65"/>
      <c r="F246" s="65"/>
    </row>
    <row r="247" spans="2:6" x14ac:dyDescent="0.25">
      <c r="B247" s="57"/>
      <c r="C247" s="262"/>
      <c r="D247" s="262"/>
      <c r="E247" s="65"/>
      <c r="F247" s="65"/>
    </row>
    <row r="248" spans="2:6" x14ac:dyDescent="0.25">
      <c r="B248" s="57"/>
      <c r="C248" s="262"/>
      <c r="D248" s="262"/>
      <c r="E248" s="65"/>
      <c r="F248" s="65"/>
    </row>
    <row r="249" spans="2:6" x14ac:dyDescent="0.25">
      <c r="B249" s="57"/>
      <c r="C249" s="262"/>
      <c r="D249" s="262"/>
      <c r="E249" s="65"/>
      <c r="F249" s="65"/>
    </row>
    <row r="250" spans="2:6" x14ac:dyDescent="0.25">
      <c r="B250" s="57"/>
      <c r="C250" s="262"/>
      <c r="D250" s="262"/>
      <c r="E250" s="65"/>
      <c r="F250" s="65"/>
    </row>
    <row r="251" spans="2:6" x14ac:dyDescent="0.25">
      <c r="B251" s="57"/>
      <c r="C251" s="262"/>
      <c r="D251" s="262"/>
      <c r="E251" s="65"/>
      <c r="F251" s="65"/>
    </row>
    <row r="252" spans="2:6" x14ac:dyDescent="0.25">
      <c r="B252" s="57"/>
      <c r="C252" s="262"/>
      <c r="D252" s="262"/>
      <c r="E252" s="65"/>
      <c r="F252" s="65"/>
    </row>
    <row r="253" spans="2:6" x14ac:dyDescent="0.25">
      <c r="B253" s="57"/>
      <c r="C253" s="262"/>
      <c r="D253" s="262"/>
      <c r="E253" s="65"/>
      <c r="F253" s="65"/>
    </row>
    <row r="254" spans="2:6" x14ac:dyDescent="0.25">
      <c r="B254" s="57"/>
      <c r="C254" s="262"/>
      <c r="D254" s="262"/>
      <c r="E254" s="65"/>
      <c r="F254" s="65"/>
    </row>
    <row r="255" spans="2:6" x14ac:dyDescent="0.25">
      <c r="B255" s="57"/>
      <c r="C255" s="262"/>
      <c r="D255" s="262"/>
      <c r="E255" s="65"/>
      <c r="F255" s="65"/>
    </row>
    <row r="256" spans="2:6" x14ac:dyDescent="0.25">
      <c r="B256" s="57"/>
      <c r="C256" s="262"/>
      <c r="D256" s="262"/>
      <c r="E256" s="65"/>
      <c r="F256" s="65"/>
    </row>
    <row r="257" spans="2:6" x14ac:dyDescent="0.25">
      <c r="B257" s="57"/>
      <c r="C257" s="262"/>
      <c r="D257" s="262"/>
      <c r="E257" s="65"/>
      <c r="F257" s="65"/>
    </row>
    <row r="258" spans="2:6" x14ac:dyDescent="0.25">
      <c r="B258" s="57"/>
      <c r="C258" s="262"/>
      <c r="D258" s="262"/>
      <c r="E258" s="65"/>
      <c r="F258" s="65"/>
    </row>
    <row r="259" spans="2:6" x14ac:dyDescent="0.25">
      <c r="B259" s="57"/>
      <c r="C259" s="262"/>
      <c r="D259" s="262"/>
      <c r="E259" s="65"/>
      <c r="F259" s="65"/>
    </row>
    <row r="260" spans="2:6" x14ac:dyDescent="0.25">
      <c r="B260" s="57"/>
      <c r="C260" s="262"/>
      <c r="D260" s="262"/>
      <c r="E260" s="65"/>
      <c r="F260" s="65"/>
    </row>
    <row r="261" spans="2:6" x14ac:dyDescent="0.25">
      <c r="B261" s="57"/>
      <c r="C261" s="262"/>
      <c r="D261" s="262"/>
      <c r="E261" s="65"/>
      <c r="F261" s="65"/>
    </row>
    <row r="262" spans="2:6" x14ac:dyDescent="0.25">
      <c r="B262" s="57"/>
      <c r="C262" s="262"/>
      <c r="D262" s="262"/>
      <c r="E262" s="65"/>
      <c r="F262" s="65"/>
    </row>
    <row r="263" spans="2:6" x14ac:dyDescent="0.25">
      <c r="B263" s="57"/>
      <c r="C263" s="262"/>
      <c r="D263" s="262"/>
      <c r="E263" s="65"/>
      <c r="F263" s="65"/>
    </row>
    <row r="264" spans="2:6" x14ac:dyDescent="0.25">
      <c r="B264" s="57"/>
      <c r="C264" s="262"/>
      <c r="D264" s="262"/>
      <c r="E264" s="65"/>
      <c r="F264" s="65"/>
    </row>
    <row r="265" spans="2:6" x14ac:dyDescent="0.25">
      <c r="B265" s="57"/>
      <c r="C265" s="262"/>
      <c r="D265" s="262"/>
      <c r="E265" s="65"/>
      <c r="F265" s="65"/>
    </row>
    <row r="266" spans="2:6" x14ac:dyDescent="0.25">
      <c r="B266" s="57"/>
      <c r="C266" s="262"/>
      <c r="D266" s="262"/>
      <c r="E266" s="65"/>
      <c r="F266" s="65"/>
    </row>
    <row r="267" spans="2:6" x14ac:dyDescent="0.25">
      <c r="B267" s="57"/>
      <c r="C267" s="262"/>
      <c r="D267" s="262"/>
      <c r="E267" s="65"/>
      <c r="F267" s="65"/>
    </row>
    <row r="268" spans="2:6" x14ac:dyDescent="0.25">
      <c r="B268" s="57"/>
      <c r="C268" s="262"/>
      <c r="D268" s="262"/>
      <c r="E268" s="65"/>
      <c r="F268" s="65"/>
    </row>
    <row r="269" spans="2:6" x14ac:dyDescent="0.25">
      <c r="B269" s="57"/>
      <c r="C269" s="262"/>
      <c r="D269" s="262"/>
      <c r="E269" s="65"/>
      <c r="F269" s="65"/>
    </row>
    <row r="270" spans="2:6" x14ac:dyDescent="0.25">
      <c r="B270" s="57"/>
      <c r="C270" s="262"/>
      <c r="D270" s="262"/>
      <c r="E270" s="65"/>
      <c r="F270" s="65"/>
    </row>
    <row r="271" spans="2:6" x14ac:dyDescent="0.25">
      <c r="B271" s="57"/>
      <c r="C271" s="262"/>
      <c r="D271" s="262"/>
      <c r="E271" s="65"/>
      <c r="F271" s="65"/>
    </row>
    <row r="272" spans="2:6" x14ac:dyDescent="0.25">
      <c r="B272" s="57"/>
      <c r="C272" s="262"/>
      <c r="D272" s="262"/>
      <c r="E272" s="65"/>
      <c r="F272" s="65"/>
    </row>
    <row r="273" spans="2:6" x14ac:dyDescent="0.25">
      <c r="B273" s="57"/>
      <c r="C273" s="262"/>
      <c r="D273" s="262"/>
      <c r="E273" s="65"/>
      <c r="F273" s="65"/>
    </row>
    <row r="274" spans="2:6" x14ac:dyDescent="0.25">
      <c r="B274" s="57"/>
      <c r="C274" s="262"/>
      <c r="D274" s="262"/>
      <c r="E274" s="65"/>
      <c r="F274" s="65"/>
    </row>
    <row r="275" spans="2:6" x14ac:dyDescent="0.25">
      <c r="B275" s="57"/>
      <c r="C275" s="262"/>
      <c r="D275" s="262"/>
      <c r="E275" s="65"/>
      <c r="F275" s="65"/>
    </row>
    <row r="276" spans="2:6" x14ac:dyDescent="0.25">
      <c r="B276" s="57"/>
      <c r="C276" s="262"/>
      <c r="D276" s="262"/>
      <c r="E276" s="65"/>
      <c r="F276" s="65"/>
    </row>
    <row r="277" spans="2:6" x14ac:dyDescent="0.25">
      <c r="B277" s="57"/>
      <c r="C277" s="262"/>
      <c r="D277" s="262"/>
      <c r="E277" s="65"/>
      <c r="F277" s="65"/>
    </row>
    <row r="278" spans="2:6" x14ac:dyDescent="0.25">
      <c r="B278" s="57"/>
      <c r="C278" s="262"/>
      <c r="D278" s="262"/>
      <c r="E278" s="65"/>
      <c r="F278" s="65"/>
    </row>
    <row r="279" spans="2:6" x14ac:dyDescent="0.25">
      <c r="B279" s="57"/>
      <c r="C279" s="262"/>
      <c r="D279" s="262"/>
      <c r="E279" s="65"/>
      <c r="F279" s="65"/>
    </row>
    <row r="280" spans="2:6" x14ac:dyDescent="0.25">
      <c r="B280" s="57"/>
      <c r="C280" s="262"/>
      <c r="D280" s="262"/>
      <c r="E280" s="65"/>
      <c r="F280" s="65"/>
    </row>
    <row r="281" spans="2:6" x14ac:dyDescent="0.25">
      <c r="B281" s="57"/>
      <c r="C281" s="262"/>
      <c r="D281" s="262"/>
      <c r="E281" s="65"/>
      <c r="F281" s="65"/>
    </row>
    <row r="282" spans="2:6" x14ac:dyDescent="0.25">
      <c r="B282" s="57"/>
      <c r="C282" s="262"/>
      <c r="D282" s="262"/>
      <c r="E282" s="65"/>
      <c r="F282" s="65"/>
    </row>
    <row r="283" spans="2:6" x14ac:dyDescent="0.25">
      <c r="B283" s="57"/>
      <c r="C283" s="262"/>
      <c r="D283" s="262"/>
      <c r="E283" s="65"/>
      <c r="F283" s="65"/>
    </row>
    <row r="284" spans="2:6" x14ac:dyDescent="0.25">
      <c r="B284" s="57"/>
      <c r="C284" s="262"/>
      <c r="D284" s="262"/>
      <c r="E284" s="65"/>
      <c r="F284" s="65"/>
    </row>
    <row r="285" spans="2:6" x14ac:dyDescent="0.25">
      <c r="B285" s="57"/>
      <c r="C285" s="262"/>
      <c r="D285" s="262"/>
      <c r="E285" s="65"/>
      <c r="F285" s="65"/>
    </row>
    <row r="286" spans="2:6" x14ac:dyDescent="0.25">
      <c r="B286" s="57"/>
      <c r="C286" s="262"/>
      <c r="D286" s="262"/>
      <c r="E286" s="65"/>
      <c r="F286" s="65"/>
    </row>
    <row r="287" spans="2:6" x14ac:dyDescent="0.25">
      <c r="B287" s="57"/>
      <c r="C287" s="262"/>
      <c r="D287" s="262"/>
      <c r="E287" s="65"/>
      <c r="F287" s="65"/>
    </row>
    <row r="288" spans="2:6" x14ac:dyDescent="0.25">
      <c r="B288" s="57"/>
      <c r="C288" s="262"/>
      <c r="D288" s="262"/>
      <c r="E288" s="65"/>
      <c r="F288" s="65"/>
    </row>
    <row r="289" spans="2:6" x14ac:dyDescent="0.25">
      <c r="B289" s="57"/>
      <c r="C289" s="262"/>
      <c r="D289" s="262"/>
      <c r="E289" s="65"/>
      <c r="F289" s="65"/>
    </row>
    <row r="290" spans="2:6" x14ac:dyDescent="0.25">
      <c r="B290" s="57"/>
      <c r="C290" s="262"/>
      <c r="D290" s="262"/>
      <c r="E290" s="65"/>
      <c r="F290" s="65"/>
    </row>
    <row r="291" spans="2:6" x14ac:dyDescent="0.25">
      <c r="B291" s="57"/>
      <c r="C291" s="262"/>
      <c r="D291" s="262"/>
      <c r="E291" s="65"/>
      <c r="F291" s="65"/>
    </row>
    <row r="292" spans="2:6" x14ac:dyDescent="0.25">
      <c r="B292" s="57"/>
      <c r="C292" s="262"/>
      <c r="D292" s="262"/>
      <c r="E292" s="65"/>
      <c r="F292" s="65"/>
    </row>
    <row r="293" spans="2:6" x14ac:dyDescent="0.25">
      <c r="B293" s="57"/>
      <c r="C293" s="262"/>
      <c r="D293" s="262"/>
      <c r="E293" s="65"/>
      <c r="F293" s="65"/>
    </row>
    <row r="294" spans="2:6" x14ac:dyDescent="0.25">
      <c r="B294" s="57"/>
      <c r="C294" s="262"/>
      <c r="D294" s="262"/>
      <c r="E294" s="65"/>
      <c r="F294" s="65"/>
    </row>
    <row r="295" spans="2:6" x14ac:dyDescent="0.25">
      <c r="B295" s="57"/>
      <c r="C295" s="262"/>
      <c r="D295" s="262"/>
      <c r="E295" s="65"/>
      <c r="F295" s="65"/>
    </row>
    <row r="296" spans="2:6" x14ac:dyDescent="0.25">
      <c r="B296" s="57"/>
      <c r="C296" s="262"/>
      <c r="D296" s="262"/>
      <c r="E296" s="65"/>
      <c r="F296" s="65"/>
    </row>
    <row r="297" spans="2:6" x14ac:dyDescent="0.25">
      <c r="B297" s="57"/>
      <c r="C297" s="262"/>
      <c r="D297" s="262"/>
      <c r="E297" s="65"/>
      <c r="F297" s="65"/>
    </row>
    <row r="298" spans="2:6" x14ac:dyDescent="0.25">
      <c r="B298" s="57"/>
      <c r="C298" s="262"/>
      <c r="D298" s="262"/>
      <c r="E298" s="65"/>
      <c r="F298" s="65"/>
    </row>
    <row r="299" spans="2:6" x14ac:dyDescent="0.25">
      <c r="B299" s="57"/>
      <c r="C299" s="262"/>
      <c r="D299" s="262"/>
      <c r="E299" s="65"/>
      <c r="F299" s="65"/>
    </row>
    <row r="300" spans="2:6" x14ac:dyDescent="0.25">
      <c r="B300" s="57"/>
      <c r="C300" s="262"/>
      <c r="D300" s="262"/>
      <c r="E300" s="65"/>
      <c r="F300" s="65"/>
    </row>
    <row r="301" spans="2:6" x14ac:dyDescent="0.25">
      <c r="B301" s="57"/>
      <c r="C301" s="262"/>
      <c r="D301" s="262"/>
      <c r="E301" s="65"/>
      <c r="F301" s="65"/>
    </row>
    <row r="302" spans="2:6" x14ac:dyDescent="0.25">
      <c r="B302" s="57"/>
      <c r="C302" s="262"/>
      <c r="D302" s="262"/>
      <c r="E302" s="65"/>
      <c r="F302" s="65"/>
    </row>
    <row r="303" spans="2:6" x14ac:dyDescent="0.25">
      <c r="B303" s="57"/>
      <c r="C303" s="262"/>
      <c r="D303" s="262"/>
      <c r="E303" s="65"/>
      <c r="F303" s="65"/>
    </row>
    <row r="304" spans="2:6" x14ac:dyDescent="0.25">
      <c r="B304" s="57"/>
      <c r="C304" s="262"/>
      <c r="D304" s="262"/>
      <c r="E304" s="65"/>
      <c r="F304" s="65"/>
    </row>
    <row r="305" spans="2:6" x14ac:dyDescent="0.25">
      <c r="B305" s="57"/>
      <c r="C305" s="262"/>
      <c r="D305" s="262"/>
      <c r="E305" s="65"/>
      <c r="F305" s="65"/>
    </row>
    <row r="306" spans="2:6" x14ac:dyDescent="0.25">
      <c r="B306" s="57"/>
      <c r="C306" s="262"/>
      <c r="D306" s="262"/>
      <c r="E306" s="65"/>
      <c r="F306" s="65"/>
    </row>
    <row r="307" spans="2:6" x14ac:dyDescent="0.25">
      <c r="B307" s="57"/>
      <c r="C307" s="262"/>
      <c r="D307" s="262"/>
      <c r="E307" s="65"/>
      <c r="F307" s="65"/>
    </row>
    <row r="308" spans="2:6" x14ac:dyDescent="0.25">
      <c r="B308" s="57"/>
      <c r="C308" s="262"/>
      <c r="D308" s="262"/>
      <c r="E308" s="65"/>
      <c r="F308" s="65"/>
    </row>
    <row r="309" spans="2:6" x14ac:dyDescent="0.25">
      <c r="B309" s="57"/>
      <c r="C309" s="262"/>
      <c r="D309" s="262"/>
      <c r="E309" s="65"/>
      <c r="F309" s="65"/>
    </row>
    <row r="310" spans="2:6" x14ac:dyDescent="0.25">
      <c r="B310" s="57"/>
      <c r="C310" s="262"/>
      <c r="D310" s="262"/>
      <c r="E310" s="65"/>
      <c r="F310" s="65"/>
    </row>
    <row r="311" spans="2:6" x14ac:dyDescent="0.25">
      <c r="B311" s="57"/>
      <c r="C311" s="262"/>
      <c r="D311" s="262"/>
      <c r="E311" s="65"/>
      <c r="F311" s="65"/>
    </row>
    <row r="312" spans="2:6" x14ac:dyDescent="0.25">
      <c r="B312" s="57"/>
      <c r="C312" s="262"/>
      <c r="D312" s="262"/>
      <c r="E312" s="65"/>
      <c r="F312" s="65"/>
    </row>
    <row r="313" spans="2:6" x14ac:dyDescent="0.25">
      <c r="B313" s="57"/>
      <c r="C313" s="262"/>
      <c r="D313" s="262"/>
      <c r="E313" s="65"/>
      <c r="F313" s="65"/>
    </row>
    <row r="314" spans="2:6" x14ac:dyDescent="0.25">
      <c r="B314" s="57"/>
      <c r="C314" s="262"/>
      <c r="D314" s="262"/>
      <c r="E314" s="65"/>
      <c r="F314" s="65"/>
    </row>
    <row r="315" spans="2:6" x14ac:dyDescent="0.25">
      <c r="B315" s="57"/>
      <c r="C315" s="262"/>
      <c r="D315" s="262"/>
      <c r="E315" s="65"/>
      <c r="F315" s="65"/>
    </row>
    <row r="316" spans="2:6" x14ac:dyDescent="0.25">
      <c r="B316" s="57"/>
      <c r="C316" s="262"/>
      <c r="D316" s="262"/>
      <c r="E316" s="65"/>
      <c r="F316" s="65"/>
    </row>
    <row r="317" spans="2:6" x14ac:dyDescent="0.25">
      <c r="B317" s="57"/>
      <c r="C317" s="262"/>
      <c r="D317" s="262"/>
      <c r="E317" s="65"/>
      <c r="F317" s="65"/>
    </row>
    <row r="318" spans="2:6" x14ac:dyDescent="0.25">
      <c r="B318" s="57"/>
      <c r="C318" s="262"/>
      <c r="D318" s="262"/>
      <c r="E318" s="65"/>
      <c r="F318" s="65"/>
    </row>
    <row r="319" spans="2:6" x14ac:dyDescent="0.25">
      <c r="B319" s="57"/>
      <c r="C319" s="262"/>
      <c r="D319" s="262"/>
      <c r="E319" s="65"/>
      <c r="F319" s="65"/>
    </row>
    <row r="320" spans="2:6" x14ac:dyDescent="0.25">
      <c r="B320" s="57"/>
      <c r="C320" s="262"/>
      <c r="D320" s="262"/>
      <c r="E320" s="65"/>
      <c r="F320" s="65"/>
    </row>
    <row r="321" spans="2:6" x14ac:dyDescent="0.25">
      <c r="B321" s="57"/>
      <c r="C321" s="262"/>
      <c r="D321" s="262"/>
      <c r="E321" s="65"/>
      <c r="F321" s="65"/>
    </row>
    <row r="322" spans="2:6" x14ac:dyDescent="0.25">
      <c r="B322" s="57"/>
      <c r="C322" s="262"/>
      <c r="D322" s="262"/>
      <c r="E322" s="65"/>
      <c r="F322" s="65"/>
    </row>
    <row r="323" spans="2:6" x14ac:dyDescent="0.25">
      <c r="B323" s="57"/>
      <c r="C323" s="262"/>
      <c r="D323" s="262"/>
      <c r="E323" s="65"/>
      <c r="F323" s="65"/>
    </row>
    <row r="324" spans="2:6" x14ac:dyDescent="0.25">
      <c r="B324" s="57"/>
      <c r="C324" s="262"/>
      <c r="D324" s="262"/>
      <c r="E324" s="65"/>
      <c r="F324" s="65"/>
    </row>
    <row r="325" spans="2:6" x14ac:dyDescent="0.25">
      <c r="B325" s="57"/>
      <c r="C325" s="262"/>
      <c r="D325" s="262"/>
      <c r="E325" s="65"/>
      <c r="F325" s="65"/>
    </row>
    <row r="326" spans="2:6" x14ac:dyDescent="0.25">
      <c r="B326" s="57"/>
      <c r="C326" s="113"/>
      <c r="D326" s="113"/>
      <c r="E326" s="65"/>
      <c r="F326" s="65"/>
    </row>
    <row r="327" spans="2:6" x14ac:dyDescent="0.25">
      <c r="B327" s="57"/>
      <c r="C327" s="113"/>
      <c r="D327" s="113"/>
      <c r="E327" s="65"/>
      <c r="F327" s="65"/>
    </row>
    <row r="328" spans="2:6" x14ac:dyDescent="0.25">
      <c r="B328" s="57"/>
      <c r="C328" s="113"/>
      <c r="D328" s="113"/>
      <c r="E328" s="65"/>
      <c r="F328" s="65"/>
    </row>
    <row r="329" spans="2:6" x14ac:dyDescent="0.25">
      <c r="B329" s="57"/>
      <c r="C329" s="113"/>
      <c r="D329" s="113"/>
      <c r="E329" s="65"/>
      <c r="F329" s="65"/>
    </row>
    <row r="330" spans="2:6" x14ac:dyDescent="0.25">
      <c r="B330" s="57"/>
      <c r="C330" s="113"/>
      <c r="D330" s="113"/>
      <c r="E330" s="65"/>
      <c r="F330" s="65"/>
    </row>
    <row r="331" spans="2:6" x14ac:dyDescent="0.25">
      <c r="B331" s="57"/>
      <c r="C331" s="113"/>
      <c r="D331" s="113"/>
      <c r="E331" s="65"/>
      <c r="F331" s="65"/>
    </row>
    <row r="332" spans="2:6" x14ac:dyDescent="0.25">
      <c r="B332" s="57"/>
      <c r="C332" s="113"/>
      <c r="D332" s="113"/>
      <c r="E332" s="65"/>
      <c r="F332" s="65"/>
    </row>
    <row r="333" spans="2:6" x14ac:dyDescent="0.25">
      <c r="B333" s="57"/>
      <c r="C333" s="113"/>
      <c r="D333" s="113"/>
      <c r="E333" s="65"/>
      <c r="F333" s="65"/>
    </row>
    <row r="334" spans="2:6" x14ac:dyDescent="0.25">
      <c r="B334" s="57"/>
      <c r="C334" s="113"/>
      <c r="D334" s="113"/>
      <c r="E334" s="65"/>
      <c r="F334" s="65"/>
    </row>
    <row r="335" spans="2:6" x14ac:dyDescent="0.25">
      <c r="B335" s="57"/>
      <c r="C335" s="113"/>
      <c r="D335" s="113"/>
      <c r="E335" s="65"/>
      <c r="F335" s="65"/>
    </row>
    <row r="336" spans="2:6" x14ac:dyDescent="0.25">
      <c r="B336" s="57"/>
      <c r="C336" s="113"/>
      <c r="D336" s="113"/>
      <c r="E336" s="65"/>
      <c r="F336" s="65"/>
    </row>
    <row r="337" spans="2:6" x14ac:dyDescent="0.25">
      <c r="B337" s="57"/>
      <c r="C337" s="113"/>
      <c r="D337" s="113"/>
      <c r="E337" s="65"/>
      <c r="F337" s="65"/>
    </row>
    <row r="338" spans="2:6" x14ac:dyDescent="0.25">
      <c r="B338" s="57"/>
      <c r="C338" s="113"/>
      <c r="D338" s="113"/>
      <c r="E338" s="65"/>
      <c r="F338" s="65"/>
    </row>
    <row r="339" spans="2:6" x14ac:dyDescent="0.25">
      <c r="B339" s="57"/>
      <c r="C339" s="113"/>
      <c r="D339" s="113"/>
      <c r="E339" s="65"/>
      <c r="F339" s="65"/>
    </row>
    <row r="340" spans="2:6" x14ac:dyDescent="0.25">
      <c r="B340" s="57"/>
      <c r="C340" s="113"/>
      <c r="D340" s="113"/>
      <c r="E340" s="65"/>
      <c r="F340" s="65"/>
    </row>
    <row r="341" spans="2:6" x14ac:dyDescent="0.25">
      <c r="B341" s="57"/>
      <c r="C341" s="113"/>
      <c r="D341" s="113"/>
      <c r="E341" s="65"/>
      <c r="F341" s="65"/>
    </row>
    <row r="342" spans="2:6" x14ac:dyDescent="0.25">
      <c r="B342" s="57"/>
      <c r="C342" s="113"/>
      <c r="D342" s="113"/>
      <c r="E342" s="65"/>
      <c r="F342" s="65"/>
    </row>
    <row r="343" spans="2:6" x14ac:dyDescent="0.25">
      <c r="B343" s="57"/>
      <c r="C343" s="113"/>
      <c r="D343" s="113"/>
      <c r="E343" s="65"/>
      <c r="F343" s="65"/>
    </row>
    <row r="344" spans="2:6" x14ac:dyDescent="0.25">
      <c r="B344" s="57"/>
      <c r="C344" s="113"/>
      <c r="D344" s="113"/>
      <c r="E344" s="65"/>
      <c r="F344" s="65"/>
    </row>
    <row r="345" spans="2:6" x14ac:dyDescent="0.25">
      <c r="B345" s="57"/>
      <c r="C345" s="113"/>
      <c r="D345" s="113"/>
      <c r="E345" s="65"/>
      <c r="F345" s="65"/>
    </row>
    <row r="346" spans="2:6" x14ac:dyDescent="0.25">
      <c r="B346" s="57"/>
      <c r="C346" s="113"/>
      <c r="D346" s="113"/>
      <c r="E346" s="65"/>
      <c r="F346" s="65"/>
    </row>
    <row r="347" spans="2:6" x14ac:dyDescent="0.25">
      <c r="B347" s="57"/>
      <c r="C347" s="113"/>
      <c r="D347" s="113"/>
      <c r="E347" s="65"/>
      <c r="F347" s="65"/>
    </row>
    <row r="348" spans="2:6" x14ac:dyDescent="0.25">
      <c r="B348" s="57"/>
      <c r="C348" s="113"/>
      <c r="D348" s="113"/>
      <c r="E348" s="65"/>
      <c r="F348" s="65"/>
    </row>
    <row r="349" spans="2:6" x14ac:dyDescent="0.25">
      <c r="B349" s="57"/>
      <c r="C349" s="113"/>
      <c r="D349" s="113"/>
      <c r="E349" s="65"/>
      <c r="F349" s="65"/>
    </row>
    <row r="350" spans="2:6" x14ac:dyDescent="0.25">
      <c r="B350" s="57"/>
      <c r="C350" s="113"/>
      <c r="D350" s="113"/>
      <c r="E350" s="65"/>
      <c r="F350" s="65"/>
    </row>
    <row r="351" spans="2:6" x14ac:dyDescent="0.25">
      <c r="B351" s="57"/>
      <c r="C351" s="113"/>
      <c r="D351" s="113"/>
      <c r="E351" s="65"/>
      <c r="F351" s="65"/>
    </row>
    <row r="352" spans="2:6" x14ac:dyDescent="0.25">
      <c r="B352" s="57"/>
      <c r="C352" s="113"/>
      <c r="D352" s="113"/>
      <c r="E352" s="65"/>
      <c r="F352" s="65"/>
    </row>
    <row r="353" spans="2:6" x14ac:dyDescent="0.25">
      <c r="B353" s="57"/>
      <c r="C353" s="113"/>
      <c r="D353" s="113"/>
      <c r="E353" s="65"/>
      <c r="F353" s="65"/>
    </row>
    <row r="354" spans="2:6" x14ac:dyDescent="0.25">
      <c r="B354" s="57"/>
      <c r="C354" s="113"/>
      <c r="D354" s="113"/>
      <c r="E354" s="65"/>
      <c r="F354" s="65"/>
    </row>
    <row r="355" spans="2:6" x14ac:dyDescent="0.25">
      <c r="B355" s="57"/>
      <c r="C355" s="113"/>
      <c r="D355" s="113"/>
      <c r="E355" s="65"/>
      <c r="F355" s="65"/>
    </row>
    <row r="356" spans="2:6" x14ac:dyDescent="0.25">
      <c r="B356" s="57"/>
      <c r="C356" s="113"/>
      <c r="D356" s="113"/>
      <c r="E356" s="65"/>
      <c r="F356" s="65"/>
    </row>
    <row r="357" spans="2:6" x14ac:dyDescent="0.25">
      <c r="B357" s="57"/>
      <c r="C357" s="113"/>
      <c r="D357" s="113"/>
      <c r="E357" s="65"/>
      <c r="F357" s="65"/>
    </row>
    <row r="358" spans="2:6" x14ac:dyDescent="0.25">
      <c r="B358" s="57"/>
      <c r="C358" s="113"/>
      <c r="D358" s="113"/>
      <c r="E358" s="65"/>
      <c r="F358" s="65"/>
    </row>
    <row r="359" spans="2:6" x14ac:dyDescent="0.25">
      <c r="B359" s="57"/>
      <c r="C359" s="113"/>
      <c r="D359" s="113"/>
      <c r="E359" s="65"/>
      <c r="F359" s="65"/>
    </row>
    <row r="360" spans="2:6" x14ac:dyDescent="0.25">
      <c r="B360" s="57"/>
      <c r="C360" s="113"/>
      <c r="D360" s="113"/>
      <c r="E360" s="65"/>
      <c r="F360" s="65"/>
    </row>
    <row r="361" spans="2:6" x14ac:dyDescent="0.25">
      <c r="B361" s="57"/>
      <c r="C361" s="113"/>
      <c r="D361" s="113"/>
      <c r="E361" s="65"/>
      <c r="F361" s="65"/>
    </row>
    <row r="362" spans="2:6" x14ac:dyDescent="0.25">
      <c r="B362" s="57"/>
      <c r="C362" s="113"/>
      <c r="D362" s="113"/>
      <c r="E362" s="65"/>
      <c r="F362" s="65"/>
    </row>
    <row r="363" spans="2:6" x14ac:dyDescent="0.25">
      <c r="B363" s="57"/>
      <c r="C363" s="113"/>
      <c r="D363" s="113"/>
      <c r="E363" s="65"/>
      <c r="F363" s="65"/>
    </row>
    <row r="364" spans="2:6" x14ac:dyDescent="0.25">
      <c r="B364" s="57"/>
      <c r="C364" s="113"/>
      <c r="D364" s="113"/>
      <c r="E364" s="65"/>
      <c r="F364" s="65"/>
    </row>
    <row r="365" spans="2:6" x14ac:dyDescent="0.25">
      <c r="B365" s="57"/>
      <c r="C365" s="113"/>
      <c r="D365" s="113"/>
      <c r="E365" s="65"/>
      <c r="F365" s="65"/>
    </row>
    <row r="366" spans="2:6" x14ac:dyDescent="0.25">
      <c r="B366" s="57"/>
      <c r="C366" s="113"/>
      <c r="D366" s="113"/>
      <c r="E366" s="65"/>
      <c r="F366" s="65"/>
    </row>
    <row r="367" spans="2:6" x14ac:dyDescent="0.25">
      <c r="B367" s="57"/>
      <c r="C367" s="113"/>
      <c r="D367" s="113"/>
      <c r="E367" s="65"/>
      <c r="F367" s="65"/>
    </row>
    <row r="368" spans="2:6" x14ac:dyDescent="0.25">
      <c r="B368" s="57"/>
      <c r="C368" s="113"/>
      <c r="D368" s="113"/>
      <c r="E368" s="65"/>
      <c r="F368" s="65"/>
    </row>
    <row r="369" spans="2:6" x14ac:dyDescent="0.25">
      <c r="B369" s="57"/>
      <c r="C369" s="113"/>
      <c r="D369" s="113"/>
      <c r="E369" s="65"/>
      <c r="F369" s="65"/>
    </row>
    <row r="370" spans="2:6" x14ac:dyDescent="0.25">
      <c r="B370" s="57"/>
      <c r="C370" s="113"/>
      <c r="D370" s="113"/>
      <c r="E370" s="65"/>
      <c r="F370" s="65"/>
    </row>
    <row r="371" spans="2:6" x14ac:dyDescent="0.25">
      <c r="B371" s="57"/>
      <c r="C371" s="113"/>
      <c r="D371" s="113"/>
      <c r="E371" s="65"/>
      <c r="F371" s="65"/>
    </row>
    <row r="372" spans="2:6" x14ac:dyDescent="0.25">
      <c r="B372" s="57"/>
      <c r="C372" s="113"/>
      <c r="D372" s="113"/>
      <c r="E372" s="65"/>
      <c r="F372" s="65"/>
    </row>
    <row r="373" spans="2:6" x14ac:dyDescent="0.25">
      <c r="B373" s="57"/>
      <c r="C373" s="113"/>
      <c r="D373" s="113"/>
      <c r="E373" s="65"/>
      <c r="F373" s="65"/>
    </row>
    <row r="374" spans="2:6" x14ac:dyDescent="0.25">
      <c r="B374" s="57"/>
      <c r="C374" s="113"/>
      <c r="D374" s="113"/>
      <c r="E374" s="65"/>
      <c r="F374" s="65"/>
    </row>
    <row r="375" spans="2:6" x14ac:dyDescent="0.25">
      <c r="B375" s="57"/>
      <c r="C375" s="113"/>
      <c r="D375" s="113"/>
      <c r="E375" s="65"/>
      <c r="F375" s="65"/>
    </row>
    <row r="376" spans="2:6" x14ac:dyDescent="0.25">
      <c r="B376" s="57"/>
      <c r="C376" s="113"/>
      <c r="D376" s="113"/>
      <c r="E376" s="65"/>
      <c r="F376" s="65"/>
    </row>
    <row r="377" spans="2:6" x14ac:dyDescent="0.25">
      <c r="B377" s="57"/>
      <c r="C377" s="113"/>
      <c r="D377" s="113"/>
      <c r="E377" s="65"/>
      <c r="F377" s="65"/>
    </row>
    <row r="378" spans="2:6" x14ac:dyDescent="0.25">
      <c r="B378" s="57"/>
      <c r="C378" s="113"/>
      <c r="D378" s="113"/>
      <c r="E378" s="65"/>
      <c r="F378" s="65"/>
    </row>
    <row r="379" spans="2:6" x14ac:dyDescent="0.25">
      <c r="B379" s="57"/>
      <c r="C379" s="113"/>
      <c r="D379" s="113"/>
      <c r="E379" s="65"/>
      <c r="F379" s="65"/>
    </row>
    <row r="380" spans="2:6" x14ac:dyDescent="0.25">
      <c r="B380" s="57"/>
      <c r="C380" s="113"/>
      <c r="D380" s="113"/>
      <c r="E380" s="65"/>
      <c r="F380" s="65"/>
    </row>
    <row r="381" spans="2:6" x14ac:dyDescent="0.25">
      <c r="B381" s="57"/>
      <c r="C381" s="113"/>
      <c r="D381" s="113"/>
      <c r="E381" s="65"/>
      <c r="F381" s="65"/>
    </row>
    <row r="382" spans="2:6" x14ac:dyDescent="0.25">
      <c r="B382" s="57"/>
      <c r="C382" s="113"/>
      <c r="D382" s="113"/>
      <c r="E382" s="65"/>
      <c r="F382" s="65"/>
    </row>
    <row r="383" spans="2:6" x14ac:dyDescent="0.25">
      <c r="B383" s="57"/>
      <c r="C383" s="113"/>
      <c r="D383" s="113"/>
      <c r="E383" s="65"/>
      <c r="F383" s="65"/>
    </row>
    <row r="384" spans="2:6" x14ac:dyDescent="0.25">
      <c r="B384" s="57"/>
      <c r="C384" s="113"/>
      <c r="D384" s="113"/>
      <c r="E384" s="65"/>
      <c r="F384" s="65"/>
    </row>
    <row r="385" spans="2:6" x14ac:dyDescent="0.25">
      <c r="B385" s="57"/>
      <c r="C385" s="113"/>
      <c r="D385" s="113"/>
      <c r="E385" s="65"/>
      <c r="F385" s="65"/>
    </row>
    <row r="386" spans="2:6" x14ac:dyDescent="0.25">
      <c r="B386" s="57"/>
      <c r="C386" s="113"/>
      <c r="D386" s="113"/>
      <c r="E386" s="65"/>
      <c r="F386" s="65"/>
    </row>
    <row r="387" spans="2:6" x14ac:dyDescent="0.25">
      <c r="B387" s="57"/>
      <c r="C387" s="113"/>
      <c r="D387" s="113"/>
      <c r="E387" s="65"/>
      <c r="F387" s="65"/>
    </row>
    <row r="388" spans="2:6" x14ac:dyDescent="0.25">
      <c r="B388" s="57"/>
      <c r="C388" s="113"/>
      <c r="D388" s="113"/>
      <c r="E388" s="65"/>
      <c r="F388" s="65"/>
    </row>
    <row r="389" spans="2:6" x14ac:dyDescent="0.25">
      <c r="B389" s="57"/>
      <c r="C389" s="113"/>
      <c r="D389" s="113"/>
      <c r="E389" s="65"/>
      <c r="F389" s="65"/>
    </row>
    <row r="390" spans="2:6" x14ac:dyDescent="0.25">
      <c r="B390" s="57"/>
      <c r="C390" s="113"/>
      <c r="D390" s="113"/>
      <c r="E390" s="65"/>
      <c r="F390" s="65"/>
    </row>
    <row r="391" spans="2:6" x14ac:dyDescent="0.25">
      <c r="B391" s="57"/>
      <c r="C391" s="113"/>
      <c r="D391" s="113"/>
      <c r="E391" s="65"/>
      <c r="F391" s="65"/>
    </row>
    <row r="392" spans="2:6" x14ac:dyDescent="0.25">
      <c r="B392" s="57"/>
      <c r="C392" s="113"/>
      <c r="D392" s="113"/>
      <c r="E392" s="65"/>
      <c r="F392" s="65"/>
    </row>
    <row r="393" spans="2:6" x14ac:dyDescent="0.25">
      <c r="B393" s="57"/>
      <c r="C393" s="113"/>
      <c r="D393" s="113"/>
      <c r="E393" s="65"/>
      <c r="F393" s="65"/>
    </row>
    <row r="394" spans="2:6" x14ac:dyDescent="0.25">
      <c r="B394" s="57"/>
      <c r="C394" s="113"/>
      <c r="D394" s="113"/>
      <c r="E394" s="65"/>
      <c r="F394" s="65"/>
    </row>
    <row r="395" spans="2:6" x14ac:dyDescent="0.25">
      <c r="B395" s="57"/>
      <c r="C395" s="113"/>
      <c r="D395" s="113"/>
      <c r="E395" s="65"/>
      <c r="F395" s="65"/>
    </row>
    <row r="396" spans="2:6" x14ac:dyDescent="0.25">
      <c r="B396" s="57"/>
      <c r="C396" s="113"/>
      <c r="D396" s="113"/>
      <c r="E396" s="65"/>
      <c r="F396" s="65"/>
    </row>
    <row r="397" spans="2:6" x14ac:dyDescent="0.25">
      <c r="B397" s="57"/>
      <c r="C397" s="113"/>
      <c r="D397" s="113"/>
      <c r="E397" s="65"/>
      <c r="F397" s="65"/>
    </row>
    <row r="398" spans="2:6" x14ac:dyDescent="0.25">
      <c r="B398" s="57"/>
      <c r="C398" s="113"/>
      <c r="D398" s="113"/>
      <c r="E398" s="65"/>
      <c r="F398" s="65"/>
    </row>
    <row r="399" spans="2:6" x14ac:dyDescent="0.25">
      <c r="B399" s="57"/>
      <c r="C399" s="113"/>
      <c r="D399" s="113"/>
      <c r="E399" s="65"/>
      <c r="F399" s="65"/>
    </row>
    <row r="400" spans="2:6" x14ac:dyDescent="0.25">
      <c r="B400" s="57"/>
      <c r="C400" s="113"/>
      <c r="D400" s="113"/>
      <c r="E400" s="65"/>
      <c r="F400" s="65"/>
    </row>
    <row r="401" spans="2:6" x14ac:dyDescent="0.25">
      <c r="B401" s="57"/>
      <c r="C401" s="113"/>
      <c r="D401" s="113"/>
      <c r="E401" s="65"/>
      <c r="F401" s="65"/>
    </row>
    <row r="402" spans="2:6" x14ac:dyDescent="0.25">
      <c r="B402" s="57"/>
      <c r="C402" s="113"/>
      <c r="D402" s="113"/>
      <c r="E402" s="65"/>
      <c r="F402" s="65"/>
    </row>
    <row r="403" spans="2:6" x14ac:dyDescent="0.25">
      <c r="B403" s="57"/>
      <c r="C403" s="113"/>
      <c r="D403" s="113"/>
      <c r="E403" s="65"/>
      <c r="F403" s="65"/>
    </row>
    <row r="404" spans="2:6" x14ac:dyDescent="0.25">
      <c r="B404" s="57"/>
      <c r="C404" s="113"/>
      <c r="D404" s="113"/>
      <c r="E404" s="65"/>
      <c r="F404" s="65"/>
    </row>
    <row r="405" spans="2:6" x14ac:dyDescent="0.25">
      <c r="B405" s="57"/>
      <c r="C405" s="113"/>
      <c r="D405" s="113"/>
      <c r="E405" s="65"/>
      <c r="F405" s="65"/>
    </row>
    <row r="406" spans="2:6" x14ac:dyDescent="0.25">
      <c r="B406" s="57"/>
      <c r="C406" s="113"/>
      <c r="D406" s="113"/>
      <c r="E406" s="65"/>
      <c r="F406" s="65"/>
    </row>
    <row r="407" spans="2:6" x14ac:dyDescent="0.25">
      <c r="B407" s="57"/>
      <c r="C407" s="113"/>
      <c r="D407" s="113"/>
      <c r="E407" s="65"/>
      <c r="F407" s="65"/>
    </row>
    <row r="408" spans="2:6" x14ac:dyDescent="0.25">
      <c r="B408" s="57"/>
      <c r="C408" s="113"/>
      <c r="D408" s="113"/>
      <c r="E408" s="65"/>
      <c r="F408" s="65"/>
    </row>
    <row r="409" spans="2:6" x14ac:dyDescent="0.25">
      <c r="B409" s="57"/>
      <c r="C409" s="113"/>
      <c r="D409" s="113"/>
      <c r="E409" s="65"/>
      <c r="F409" s="65"/>
    </row>
    <row r="410" spans="2:6" x14ac:dyDescent="0.25">
      <c r="B410" s="57"/>
      <c r="C410" s="113"/>
      <c r="D410" s="113"/>
      <c r="E410" s="65"/>
      <c r="F410" s="65"/>
    </row>
    <row r="411" spans="2:6" x14ac:dyDescent="0.25">
      <c r="B411" s="57"/>
      <c r="C411" s="113"/>
      <c r="D411" s="113"/>
      <c r="E411" s="65"/>
      <c r="F411" s="65"/>
    </row>
    <row r="412" spans="2:6" x14ac:dyDescent="0.25">
      <c r="B412" s="57"/>
      <c r="C412" s="113"/>
      <c r="D412" s="113"/>
      <c r="E412" s="65"/>
      <c r="F412" s="65"/>
    </row>
    <row r="413" spans="2:6" x14ac:dyDescent="0.25">
      <c r="B413" s="57"/>
      <c r="C413" s="113"/>
      <c r="D413" s="113"/>
      <c r="E413" s="65"/>
      <c r="F413" s="65"/>
    </row>
    <row r="414" spans="2:6" x14ac:dyDescent="0.25">
      <c r="B414" s="57"/>
      <c r="C414" s="113"/>
      <c r="D414" s="113"/>
      <c r="E414" s="65"/>
      <c r="F414" s="65"/>
    </row>
    <row r="415" spans="2:6" x14ac:dyDescent="0.25">
      <c r="B415" s="57"/>
      <c r="C415" s="113"/>
      <c r="D415" s="113"/>
      <c r="E415" s="65"/>
      <c r="F415" s="65"/>
    </row>
    <row r="416" spans="2:6" x14ac:dyDescent="0.25">
      <c r="B416" s="57"/>
      <c r="C416" s="113"/>
      <c r="D416" s="113"/>
      <c r="E416" s="65"/>
      <c r="F416" s="65"/>
    </row>
    <row r="417" spans="2:6" x14ac:dyDescent="0.25">
      <c r="B417" s="57"/>
      <c r="C417" s="113"/>
      <c r="D417" s="113"/>
      <c r="E417" s="65"/>
      <c r="F417" s="65"/>
    </row>
    <row r="418" spans="2:6" x14ac:dyDescent="0.25">
      <c r="B418" s="57"/>
      <c r="C418" s="113"/>
      <c r="D418" s="113"/>
      <c r="E418" s="65"/>
      <c r="F418" s="65"/>
    </row>
    <row r="419" spans="2:6" x14ac:dyDescent="0.25">
      <c r="B419" s="57"/>
      <c r="C419" s="58"/>
      <c r="D419" s="58"/>
      <c r="E419" s="65"/>
      <c r="F419" s="65"/>
    </row>
    <row r="420" spans="2:6" x14ac:dyDescent="0.25">
      <c r="B420" s="57"/>
      <c r="C420" s="58"/>
      <c r="D420" s="58"/>
      <c r="E420" s="65"/>
      <c r="F420" s="65"/>
    </row>
    <row r="421" spans="2:6" x14ac:dyDescent="0.25">
      <c r="B421" s="57"/>
      <c r="C421" s="58"/>
      <c r="D421" s="58"/>
      <c r="E421" s="65"/>
      <c r="F421" s="65"/>
    </row>
    <row r="422" spans="2:6" x14ac:dyDescent="0.25">
      <c r="B422" s="57"/>
      <c r="C422" s="58"/>
      <c r="D422" s="58"/>
      <c r="E422" s="65"/>
      <c r="F422" s="65"/>
    </row>
    <row r="423" spans="2:6" x14ac:dyDescent="0.25">
      <c r="B423" s="57"/>
      <c r="C423" s="58"/>
      <c r="D423" s="58"/>
      <c r="E423" s="65"/>
      <c r="F423" s="65"/>
    </row>
    <row r="424" spans="2:6" x14ac:dyDescent="0.25">
      <c r="B424" s="57"/>
      <c r="C424" s="58"/>
      <c r="D424" s="58"/>
      <c r="E424" s="65"/>
      <c r="F424" s="65"/>
    </row>
    <row r="425" spans="2:6" x14ac:dyDescent="0.25">
      <c r="B425" s="57"/>
      <c r="C425" s="58"/>
      <c r="D425" s="58"/>
      <c r="E425" s="65"/>
      <c r="F425" s="65"/>
    </row>
    <row r="426" spans="2:6" x14ac:dyDescent="0.25">
      <c r="B426" s="57"/>
      <c r="C426" s="58"/>
      <c r="D426" s="58"/>
      <c r="E426" s="65"/>
      <c r="F426" s="65"/>
    </row>
    <row r="427" spans="2:6" x14ac:dyDescent="0.25">
      <c r="B427" s="57"/>
      <c r="C427" s="58"/>
      <c r="D427" s="58"/>
      <c r="E427" s="65"/>
      <c r="F427" s="65"/>
    </row>
    <row r="428" spans="2:6" x14ac:dyDescent="0.25">
      <c r="B428" s="57"/>
      <c r="C428" s="58"/>
      <c r="D428" s="58"/>
      <c r="E428" s="65"/>
      <c r="F428" s="65"/>
    </row>
    <row r="429" spans="2:6" x14ac:dyDescent="0.25">
      <c r="B429" s="57"/>
      <c r="C429" s="58"/>
      <c r="D429" s="58"/>
      <c r="E429" s="65"/>
      <c r="F429" s="65"/>
    </row>
    <row r="430" spans="2:6" x14ac:dyDescent="0.25">
      <c r="B430" s="57"/>
      <c r="C430" s="58"/>
      <c r="D430" s="58"/>
      <c r="E430" s="65"/>
      <c r="F430" s="65"/>
    </row>
    <row r="431" spans="2:6" x14ac:dyDescent="0.25">
      <c r="B431" s="57"/>
      <c r="C431" s="58"/>
      <c r="D431" s="58"/>
      <c r="E431" s="65"/>
      <c r="F431" s="65"/>
    </row>
    <row r="432" spans="2:6" x14ac:dyDescent="0.25">
      <c r="C432" s="58"/>
      <c r="D432" s="58"/>
      <c r="E432" s="65"/>
      <c r="F432" s="65"/>
    </row>
    <row r="433" spans="3:6" x14ac:dyDescent="0.25">
      <c r="C433" s="58"/>
      <c r="D433" s="58"/>
      <c r="E433" s="65"/>
      <c r="F433" s="65"/>
    </row>
    <row r="434" spans="3:6" x14ac:dyDescent="0.25">
      <c r="C434" s="58"/>
      <c r="D434" s="58"/>
      <c r="E434" s="65"/>
      <c r="F434" s="65"/>
    </row>
    <row r="435" spans="3:6" x14ac:dyDescent="0.25">
      <c r="C435" s="58"/>
      <c r="D435" s="58"/>
      <c r="E435" s="65"/>
      <c r="F435" s="65"/>
    </row>
    <row r="436" spans="3:6" x14ac:dyDescent="0.25">
      <c r="C436" s="58"/>
      <c r="D436" s="58"/>
      <c r="E436" s="65"/>
      <c r="F436" s="65"/>
    </row>
    <row r="437" spans="3:6" x14ac:dyDescent="0.25">
      <c r="C437" s="58"/>
      <c r="D437" s="58"/>
      <c r="E437" s="65"/>
      <c r="F437" s="65"/>
    </row>
    <row r="438" spans="3:6" x14ac:dyDescent="0.25">
      <c r="C438" s="58"/>
      <c r="D438" s="58"/>
      <c r="E438" s="65"/>
      <c r="F438" s="65"/>
    </row>
    <row r="439" spans="3:6" x14ac:dyDescent="0.25">
      <c r="C439" s="58"/>
      <c r="D439" s="58"/>
      <c r="E439" s="65"/>
      <c r="F439" s="65"/>
    </row>
    <row r="440" spans="3:6" x14ac:dyDescent="0.25">
      <c r="C440" s="58"/>
      <c r="D440" s="58"/>
      <c r="E440" s="65"/>
      <c r="F440" s="65"/>
    </row>
    <row r="441" spans="3:6" x14ac:dyDescent="0.25">
      <c r="C441" s="58"/>
      <c r="D441" s="58"/>
      <c r="E441" s="65"/>
      <c r="F441" s="65"/>
    </row>
    <row r="442" spans="3:6" x14ac:dyDescent="0.25">
      <c r="C442" s="58"/>
      <c r="D442" s="58"/>
      <c r="E442" s="65"/>
      <c r="F442" s="65"/>
    </row>
    <row r="443" spans="3:6" x14ac:dyDescent="0.25">
      <c r="C443" s="58"/>
      <c r="D443" s="58"/>
      <c r="E443" s="65"/>
      <c r="F443" s="65"/>
    </row>
    <row r="444" spans="3:6" x14ac:dyDescent="0.25">
      <c r="C444" s="58"/>
      <c r="D444" s="58"/>
      <c r="E444" s="65"/>
      <c r="F444" s="65"/>
    </row>
    <row r="445" spans="3:6" x14ac:dyDescent="0.25">
      <c r="C445" s="58"/>
      <c r="D445" s="58"/>
      <c r="E445" s="65"/>
      <c r="F445" s="65"/>
    </row>
    <row r="446" spans="3:6" x14ac:dyDescent="0.25">
      <c r="C446" s="58"/>
      <c r="D446" s="58"/>
      <c r="E446" s="65"/>
      <c r="F446" s="65"/>
    </row>
    <row r="447" spans="3:6" x14ac:dyDescent="0.25">
      <c r="C447" s="58"/>
      <c r="D447" s="58"/>
      <c r="E447" s="65"/>
      <c r="F447" s="65"/>
    </row>
    <row r="448" spans="3:6" x14ac:dyDescent="0.25">
      <c r="C448" s="58"/>
      <c r="D448" s="58"/>
      <c r="E448" s="65"/>
      <c r="F448" s="65"/>
    </row>
    <row r="449" spans="3:6" x14ac:dyDescent="0.25">
      <c r="C449" s="58"/>
      <c r="D449" s="58"/>
      <c r="E449" s="65"/>
      <c r="F449" s="65"/>
    </row>
    <row r="450" spans="3:6" x14ac:dyDescent="0.25">
      <c r="C450" s="58"/>
      <c r="D450" s="58"/>
      <c r="E450" s="65"/>
      <c r="F450" s="65"/>
    </row>
    <row r="451" spans="3:6" x14ac:dyDescent="0.25">
      <c r="C451" s="58"/>
      <c r="D451" s="58"/>
      <c r="E451" s="65"/>
      <c r="F451" s="65"/>
    </row>
    <row r="452" spans="3:6" x14ac:dyDescent="0.25">
      <c r="C452" s="58"/>
      <c r="D452" s="58"/>
      <c r="E452" s="65"/>
      <c r="F452" s="65"/>
    </row>
    <row r="453" spans="3:6" x14ac:dyDescent="0.25">
      <c r="C453" s="58"/>
      <c r="D453" s="58"/>
      <c r="E453" s="65"/>
      <c r="F453" s="65"/>
    </row>
    <row r="454" spans="3:6" x14ac:dyDescent="0.25">
      <c r="C454" s="58"/>
      <c r="D454" s="58"/>
      <c r="E454" s="65"/>
      <c r="F454" s="65"/>
    </row>
    <row r="455" spans="3:6" x14ac:dyDescent="0.25">
      <c r="C455" s="58"/>
      <c r="D455" s="58"/>
      <c r="E455" s="65"/>
      <c r="F455" s="65"/>
    </row>
    <row r="456" spans="3:6" x14ac:dyDescent="0.25">
      <c r="C456" s="58"/>
      <c r="D456" s="58"/>
      <c r="E456" s="65"/>
      <c r="F456" s="65"/>
    </row>
    <row r="457" spans="3:6" x14ac:dyDescent="0.25">
      <c r="C457" s="58"/>
      <c r="D457" s="58"/>
      <c r="E457" s="65"/>
      <c r="F457" s="65"/>
    </row>
    <row r="458" spans="3:6" x14ac:dyDescent="0.25">
      <c r="C458" s="58"/>
      <c r="D458" s="58"/>
      <c r="E458" s="65"/>
      <c r="F458" s="65"/>
    </row>
    <row r="459" spans="3:6" x14ac:dyDescent="0.25">
      <c r="C459" s="58"/>
      <c r="D459" s="58"/>
      <c r="E459" s="65"/>
      <c r="F459" s="65"/>
    </row>
    <row r="460" spans="3:6" x14ac:dyDescent="0.25">
      <c r="C460" s="58"/>
      <c r="D460" s="58"/>
      <c r="E460" s="65"/>
      <c r="F460" s="65"/>
    </row>
    <row r="461" spans="3:6" x14ac:dyDescent="0.25">
      <c r="C461" s="58"/>
      <c r="D461" s="58"/>
      <c r="E461" s="65"/>
      <c r="F461" s="65"/>
    </row>
    <row r="462" spans="3:6" x14ac:dyDescent="0.25">
      <c r="C462" s="58"/>
      <c r="D462" s="58"/>
      <c r="E462" s="65"/>
      <c r="F462" s="65"/>
    </row>
    <row r="463" spans="3:6" x14ac:dyDescent="0.25">
      <c r="C463" s="58"/>
      <c r="D463" s="58"/>
      <c r="E463" s="65"/>
      <c r="F463" s="65"/>
    </row>
    <row r="464" spans="3:6" x14ac:dyDescent="0.25">
      <c r="C464" s="58"/>
      <c r="D464" s="58"/>
      <c r="E464" s="65"/>
      <c r="F464" s="65"/>
    </row>
    <row r="465" spans="3:6" x14ac:dyDescent="0.25">
      <c r="C465" s="58"/>
      <c r="D465" s="58"/>
      <c r="E465" s="65"/>
      <c r="F465" s="65"/>
    </row>
    <row r="466" spans="3:6" x14ac:dyDescent="0.25">
      <c r="C466" s="58"/>
      <c r="D466" s="58"/>
      <c r="E466" s="65"/>
      <c r="F466" s="65"/>
    </row>
    <row r="467" spans="3:6" x14ac:dyDescent="0.25">
      <c r="C467" s="58"/>
      <c r="D467" s="58"/>
      <c r="E467" s="65"/>
      <c r="F467" s="65"/>
    </row>
    <row r="468" spans="3:6" x14ac:dyDescent="0.25">
      <c r="C468" s="58"/>
      <c r="D468" s="58"/>
      <c r="E468" s="65"/>
      <c r="F468" s="65"/>
    </row>
    <row r="469" spans="3:6" x14ac:dyDescent="0.25">
      <c r="C469" s="58"/>
      <c r="D469" s="58"/>
      <c r="E469" s="65"/>
      <c r="F469" s="65"/>
    </row>
    <row r="470" spans="3:6" x14ac:dyDescent="0.25">
      <c r="C470" s="58"/>
      <c r="D470" s="58"/>
      <c r="E470" s="65"/>
      <c r="F470" s="65"/>
    </row>
    <row r="471" spans="3:6" x14ac:dyDescent="0.25">
      <c r="C471" s="58"/>
      <c r="D471" s="58"/>
      <c r="E471" s="65"/>
      <c r="F471" s="65"/>
    </row>
    <row r="472" spans="3:6" x14ac:dyDescent="0.25">
      <c r="C472" s="58"/>
      <c r="D472" s="58"/>
      <c r="E472" s="65"/>
      <c r="F472" s="65"/>
    </row>
    <row r="473" spans="3:6" x14ac:dyDescent="0.25">
      <c r="C473" s="58"/>
      <c r="D473" s="58"/>
      <c r="E473" s="65"/>
      <c r="F473" s="65"/>
    </row>
    <row r="474" spans="3:6" x14ac:dyDescent="0.25">
      <c r="C474" s="58"/>
      <c r="D474" s="58"/>
      <c r="E474" s="65"/>
      <c r="F474" s="65"/>
    </row>
    <row r="475" spans="3:6" x14ac:dyDescent="0.25">
      <c r="E475" s="65"/>
      <c r="F475" s="65"/>
    </row>
  </sheetData>
  <sheetProtection selectLockedCells="1"/>
  <mergeCells count="318"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</mergeCells>
  <dataValidations disablePrompts="1" count="1">
    <dataValidation type="list" allowBlank="1" showInputMessage="1" showErrorMessage="1" sqref="G11:G60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U215"/>
  <sheetViews>
    <sheetView workbookViewId="0"/>
  </sheetViews>
  <sheetFormatPr defaultRowHeight="15" x14ac:dyDescent="0.25"/>
  <cols>
    <col min="1" max="1" width="10.28515625" style="53" customWidth="1"/>
    <col min="2" max="2" width="12.28515625" style="35" customWidth="1"/>
    <col min="3" max="3" width="12.85546875" style="35" customWidth="1"/>
    <col min="4" max="4" width="44" style="35" customWidth="1"/>
    <col min="5" max="5" width="12.7109375" style="108" customWidth="1"/>
    <col min="6" max="6" width="9.140625" style="112"/>
    <col min="7" max="9" width="0" style="31" hidden="1" customWidth="1"/>
    <col min="10" max="10" width="2.140625" customWidth="1"/>
    <col min="16" max="18" width="9.140625" style="31"/>
    <col min="19" max="20" width="9.140625" style="17" customWidth="1"/>
    <col min="21" max="16384" width="9.140625" style="31"/>
  </cols>
  <sheetData>
    <row r="1" spans="1:21" s="34" customFormat="1" x14ac:dyDescent="0.25">
      <c r="A1" s="15">
        <f>SUM(C11:C56)</f>
        <v>608.82000000000005</v>
      </c>
      <c r="B1" s="52" t="s">
        <v>165</v>
      </c>
      <c r="C1" s="35"/>
      <c r="D1" s="32"/>
      <c r="E1" s="108"/>
      <c r="F1" s="112"/>
      <c r="R1" s="3"/>
      <c r="S1" s="17"/>
      <c r="T1" s="17"/>
      <c r="U1" s="111"/>
    </row>
    <row r="2" spans="1:21" x14ac:dyDescent="0.25">
      <c r="A2" s="35"/>
      <c r="D2" s="198"/>
      <c r="E2" s="199"/>
      <c r="F2" s="199"/>
    </row>
    <row r="3" spans="1:21" s="34" customFormat="1" x14ac:dyDescent="0.25">
      <c r="A3" s="35"/>
      <c r="B3" s="56"/>
      <c r="C3" s="32"/>
      <c r="D3" s="32"/>
      <c r="E3" s="67"/>
      <c r="F3" s="85"/>
      <c r="S3" s="17"/>
      <c r="T3" s="17"/>
    </row>
    <row r="4" spans="1:21" s="34" customFormat="1" x14ac:dyDescent="0.25">
      <c r="A4" s="106">
        <f>FMFSummaryPlayerCount</f>
        <v>60</v>
      </c>
      <c r="B4" s="263" t="s">
        <v>127</v>
      </c>
      <c r="C4" s="263"/>
      <c r="E4" s="109"/>
      <c r="F4" s="112"/>
      <c r="S4" s="17"/>
      <c r="T4" s="17"/>
    </row>
    <row r="5" spans="1:21" s="34" customFormat="1" ht="21" x14ac:dyDescent="0.35">
      <c r="A5" s="35"/>
      <c r="B5" s="107"/>
      <c r="C5" s="35"/>
      <c r="D5" s="60"/>
      <c r="E5" s="108"/>
      <c r="F5" s="112"/>
      <c r="S5" s="17"/>
      <c r="T5" s="17"/>
    </row>
    <row r="6" spans="1:21" x14ac:dyDescent="0.25">
      <c r="A6" s="49" t="s">
        <v>118</v>
      </c>
      <c r="B6" s="16"/>
      <c r="C6" s="16"/>
      <c r="F6" s="185"/>
    </row>
    <row r="7" spans="1:21" s="34" customFormat="1" x14ac:dyDescent="0.25">
      <c r="A7" s="49"/>
      <c r="B7" s="16"/>
      <c r="C7" s="16"/>
      <c r="D7" s="35"/>
      <c r="E7" s="108"/>
      <c r="F7" s="185"/>
      <c r="K7" s="177"/>
      <c r="L7" s="177"/>
      <c r="M7" s="177"/>
      <c r="N7" s="177"/>
      <c r="O7" s="177"/>
      <c r="P7" s="177"/>
      <c r="S7" s="17"/>
      <c r="T7" s="17"/>
    </row>
    <row r="8" spans="1:21" s="34" customFormat="1" x14ac:dyDescent="0.25">
      <c r="A8" s="15">
        <f>FMFBenefitsTotal</f>
        <v>608.82000000000005</v>
      </c>
      <c r="B8" s="59" t="s">
        <v>131</v>
      </c>
      <c r="F8" s="185"/>
      <c r="K8" s="177"/>
      <c r="L8" s="177"/>
      <c r="M8" s="177"/>
      <c r="N8" s="177"/>
      <c r="O8" s="177"/>
      <c r="P8" s="177"/>
      <c r="S8" s="17"/>
      <c r="T8" s="17"/>
    </row>
    <row r="9" spans="1:21" s="34" customFormat="1" x14ac:dyDescent="0.25">
      <c r="A9" s="49"/>
      <c r="B9" s="16"/>
      <c r="C9" s="16"/>
      <c r="E9" s="3" t="s">
        <v>126</v>
      </c>
      <c r="F9" s="186"/>
      <c r="K9" s="177"/>
      <c r="L9" s="177"/>
      <c r="M9" s="177"/>
      <c r="N9" s="177"/>
      <c r="O9" s="177"/>
      <c r="P9" s="177"/>
    </row>
    <row r="10" spans="1:21" x14ac:dyDescent="0.25">
      <c r="A10" s="98" t="s">
        <v>73</v>
      </c>
      <c r="B10" s="99" t="s">
        <v>74</v>
      </c>
      <c r="C10" s="98" t="s">
        <v>124</v>
      </c>
      <c r="D10" s="100" t="s">
        <v>78</v>
      </c>
      <c r="E10" s="179" t="s">
        <v>125</v>
      </c>
      <c r="F10" s="183"/>
    </row>
    <row r="11" spans="1:21" x14ac:dyDescent="0.25">
      <c r="A11" s="125"/>
      <c r="B11" s="156"/>
      <c r="C11" s="156">
        <v>274.99</v>
      </c>
      <c r="D11" s="165"/>
      <c r="E11" s="180" t="s">
        <v>130</v>
      </c>
      <c r="F11" s="184"/>
      <c r="G11" s="110"/>
    </row>
    <row r="12" spans="1:21" x14ac:dyDescent="0.25">
      <c r="A12" s="127"/>
      <c r="B12" s="122"/>
      <c r="C12" s="122">
        <v>212.07</v>
      </c>
      <c r="D12" s="164"/>
      <c r="E12" s="180" t="s">
        <v>164</v>
      </c>
      <c r="F12" s="184"/>
      <c r="G12" s="110"/>
    </row>
    <row r="13" spans="1:21" x14ac:dyDescent="0.25">
      <c r="A13" s="125"/>
      <c r="B13" s="156"/>
      <c r="C13" s="156">
        <v>39.76</v>
      </c>
      <c r="D13" s="165"/>
      <c r="E13" s="180" t="s">
        <v>168</v>
      </c>
      <c r="F13" s="184"/>
      <c r="G13" s="110"/>
    </row>
    <row r="14" spans="1:21" x14ac:dyDescent="0.25">
      <c r="A14" s="125"/>
      <c r="B14" s="156"/>
      <c r="C14" s="156">
        <v>82</v>
      </c>
      <c r="D14" s="165"/>
      <c r="E14" s="180" t="s">
        <v>167</v>
      </c>
      <c r="F14" s="184"/>
    </row>
    <row r="15" spans="1:21" x14ac:dyDescent="0.25">
      <c r="A15" s="125"/>
      <c r="B15" s="156"/>
      <c r="C15" s="156"/>
      <c r="D15" s="165"/>
      <c r="E15" s="180"/>
      <c r="F15" s="184"/>
    </row>
    <row r="16" spans="1:21" x14ac:dyDescent="0.25">
      <c r="A16" s="125"/>
      <c r="B16" s="156"/>
      <c r="C16" s="156"/>
      <c r="D16" s="165"/>
      <c r="E16" s="180"/>
      <c r="F16" s="184"/>
    </row>
    <row r="17" spans="1:6" x14ac:dyDescent="0.25">
      <c r="A17" s="125"/>
      <c r="B17" s="156"/>
      <c r="C17" s="156"/>
      <c r="D17" s="165"/>
      <c r="E17" s="180"/>
      <c r="F17" s="184"/>
    </row>
    <row r="18" spans="1:6" x14ac:dyDescent="0.25">
      <c r="A18" s="125"/>
      <c r="B18" s="156"/>
      <c r="C18" s="156"/>
      <c r="D18" s="124"/>
      <c r="E18" s="180"/>
      <c r="F18" s="184"/>
    </row>
    <row r="19" spans="1:6" x14ac:dyDescent="0.25">
      <c r="A19" s="127"/>
      <c r="B19" s="122"/>
      <c r="C19" s="122"/>
      <c r="D19" s="164"/>
      <c r="E19" s="181"/>
      <c r="F19" s="184"/>
    </row>
    <row r="20" spans="1:6" x14ac:dyDescent="0.25">
      <c r="A20" s="125"/>
      <c r="B20" s="118"/>
      <c r="C20" s="118"/>
      <c r="D20" s="119"/>
      <c r="E20" s="180"/>
      <c r="F20" s="184"/>
    </row>
    <row r="21" spans="1:6" x14ac:dyDescent="0.25">
      <c r="A21" s="125"/>
      <c r="B21" s="118"/>
      <c r="C21" s="118"/>
      <c r="D21" s="119"/>
      <c r="E21" s="180"/>
      <c r="F21" s="184"/>
    </row>
    <row r="22" spans="1:6" x14ac:dyDescent="0.25">
      <c r="A22" s="125"/>
      <c r="B22" s="118"/>
      <c r="C22" s="118"/>
      <c r="D22" s="119"/>
      <c r="E22" s="180"/>
      <c r="F22" s="184"/>
    </row>
    <row r="23" spans="1:6" x14ac:dyDescent="0.25">
      <c r="A23" s="125"/>
      <c r="B23" s="118"/>
      <c r="C23" s="118"/>
      <c r="D23" s="119"/>
      <c r="E23" s="180"/>
      <c r="F23" s="184"/>
    </row>
    <row r="24" spans="1:6" x14ac:dyDescent="0.25">
      <c r="A24" s="125"/>
      <c r="B24" s="118"/>
      <c r="C24" s="118"/>
      <c r="D24" s="119"/>
      <c r="E24" s="180"/>
      <c r="F24" s="184"/>
    </row>
    <row r="25" spans="1:6" x14ac:dyDescent="0.25">
      <c r="A25" s="125"/>
      <c r="B25" s="118"/>
      <c r="C25" s="118"/>
      <c r="D25" s="119"/>
      <c r="E25" s="180"/>
      <c r="F25" s="184"/>
    </row>
    <row r="26" spans="1:6" x14ac:dyDescent="0.25">
      <c r="A26" s="125"/>
      <c r="B26" s="118"/>
      <c r="C26" s="118"/>
      <c r="D26" s="119"/>
      <c r="E26" s="180"/>
      <c r="F26" s="184"/>
    </row>
    <row r="27" spans="1:6" x14ac:dyDescent="0.25">
      <c r="A27" s="125"/>
      <c r="B27" s="118"/>
      <c r="C27" s="118"/>
      <c r="D27" s="119"/>
      <c r="E27" s="180"/>
      <c r="F27" s="184"/>
    </row>
    <row r="28" spans="1:6" x14ac:dyDescent="0.25">
      <c r="A28" s="125"/>
      <c r="B28" s="118"/>
      <c r="C28" s="118"/>
      <c r="D28" s="119"/>
      <c r="E28" s="180"/>
      <c r="F28" s="184"/>
    </row>
    <row r="29" spans="1:6" x14ac:dyDescent="0.25">
      <c r="A29" s="125"/>
      <c r="B29" s="118"/>
      <c r="C29" s="118"/>
      <c r="D29" s="119"/>
      <c r="E29" s="180"/>
      <c r="F29" s="184"/>
    </row>
    <row r="30" spans="1:6" x14ac:dyDescent="0.25">
      <c r="A30" s="125"/>
      <c r="B30" s="118"/>
      <c r="C30" s="118"/>
      <c r="D30" s="119"/>
      <c r="E30" s="180"/>
      <c r="F30" s="184"/>
    </row>
    <row r="31" spans="1:6" x14ac:dyDescent="0.25">
      <c r="A31" s="125"/>
      <c r="B31" s="118"/>
      <c r="C31" s="118"/>
      <c r="D31" s="119"/>
      <c r="E31" s="180"/>
      <c r="F31" s="184"/>
    </row>
    <row r="32" spans="1:6" x14ac:dyDescent="0.25">
      <c r="A32" s="129"/>
      <c r="B32" s="130"/>
      <c r="C32" s="130"/>
      <c r="D32" s="131"/>
      <c r="E32" s="180"/>
      <c r="F32" s="184"/>
    </row>
    <row r="33" spans="1:6" x14ac:dyDescent="0.25">
      <c r="A33" s="125"/>
      <c r="B33" s="118"/>
      <c r="C33" s="118"/>
      <c r="D33" s="119"/>
      <c r="E33" s="180"/>
      <c r="F33" s="184"/>
    </row>
    <row r="34" spans="1:6" x14ac:dyDescent="0.25">
      <c r="A34" s="125"/>
      <c r="B34" s="118"/>
      <c r="C34" s="118"/>
      <c r="D34" s="119"/>
      <c r="E34" s="180"/>
      <c r="F34" s="184"/>
    </row>
    <row r="35" spans="1:6" x14ac:dyDescent="0.25">
      <c r="A35" s="125"/>
      <c r="B35" s="118"/>
      <c r="C35" s="118"/>
      <c r="D35" s="119"/>
      <c r="E35" s="180"/>
      <c r="F35" s="184"/>
    </row>
    <row r="36" spans="1:6" x14ac:dyDescent="0.25">
      <c r="A36" s="125"/>
      <c r="B36" s="118"/>
      <c r="C36" s="118"/>
      <c r="D36" s="119"/>
      <c r="E36" s="180"/>
      <c r="F36" s="184"/>
    </row>
    <row r="37" spans="1:6" x14ac:dyDescent="0.25">
      <c r="A37" s="125"/>
      <c r="B37" s="118"/>
      <c r="C37" s="118"/>
      <c r="D37" s="119"/>
      <c r="E37" s="180"/>
      <c r="F37" s="184"/>
    </row>
    <row r="38" spans="1:6" x14ac:dyDescent="0.25">
      <c r="A38" s="125"/>
      <c r="B38" s="118"/>
      <c r="C38" s="118"/>
      <c r="D38" s="119"/>
      <c r="E38" s="180"/>
      <c r="F38" s="184"/>
    </row>
    <row r="39" spans="1:6" x14ac:dyDescent="0.25">
      <c r="A39" s="125"/>
      <c r="B39" s="118"/>
      <c r="C39" s="118"/>
      <c r="D39" s="119"/>
      <c r="E39" s="180"/>
      <c r="F39" s="184"/>
    </row>
    <row r="40" spans="1:6" x14ac:dyDescent="0.25">
      <c r="A40" s="125"/>
      <c r="B40" s="118"/>
      <c r="C40" s="118"/>
      <c r="D40" s="119"/>
      <c r="E40" s="180"/>
      <c r="F40" s="184"/>
    </row>
    <row r="41" spans="1:6" x14ac:dyDescent="0.25">
      <c r="A41" s="125"/>
      <c r="B41" s="118"/>
      <c r="C41" s="118"/>
      <c r="D41" s="119"/>
      <c r="E41" s="180"/>
      <c r="F41" s="184"/>
    </row>
    <row r="42" spans="1:6" x14ac:dyDescent="0.25">
      <c r="A42" s="125"/>
      <c r="B42" s="118"/>
      <c r="C42" s="118"/>
      <c r="D42" s="119"/>
      <c r="E42" s="180"/>
      <c r="F42" s="184"/>
    </row>
    <row r="43" spans="1:6" x14ac:dyDescent="0.25">
      <c r="A43" s="125"/>
      <c r="B43" s="118"/>
      <c r="C43" s="118"/>
      <c r="D43" s="119"/>
      <c r="E43" s="180"/>
      <c r="F43" s="184"/>
    </row>
    <row r="44" spans="1:6" x14ac:dyDescent="0.25">
      <c r="A44" s="125"/>
      <c r="B44" s="118"/>
      <c r="C44" s="118"/>
      <c r="D44" s="119"/>
      <c r="E44" s="180"/>
      <c r="F44" s="184"/>
    </row>
    <row r="45" spans="1:6" x14ac:dyDescent="0.25">
      <c r="A45" s="125"/>
      <c r="B45" s="118"/>
      <c r="C45" s="118"/>
      <c r="D45" s="119"/>
      <c r="E45" s="180"/>
      <c r="F45" s="184"/>
    </row>
    <row r="46" spans="1:6" x14ac:dyDescent="0.25">
      <c r="A46" s="125"/>
      <c r="B46" s="118"/>
      <c r="C46" s="118"/>
      <c r="D46" s="119"/>
      <c r="E46" s="180"/>
      <c r="F46" s="184"/>
    </row>
    <row r="47" spans="1:6" x14ac:dyDescent="0.25">
      <c r="A47" s="125"/>
      <c r="B47" s="118"/>
      <c r="C47" s="118"/>
      <c r="D47" s="119"/>
      <c r="E47" s="180"/>
      <c r="F47" s="184"/>
    </row>
    <row r="48" spans="1:6" x14ac:dyDescent="0.25">
      <c r="A48" s="125"/>
      <c r="B48" s="118"/>
      <c r="C48" s="118"/>
      <c r="D48" s="119"/>
      <c r="E48" s="180"/>
      <c r="F48" s="184"/>
    </row>
    <row r="49" spans="1:6" x14ac:dyDescent="0.25">
      <c r="A49" s="125"/>
      <c r="B49" s="118"/>
      <c r="C49" s="118"/>
      <c r="D49" s="119"/>
      <c r="E49" s="180"/>
      <c r="F49" s="184"/>
    </row>
    <row r="50" spans="1:6" x14ac:dyDescent="0.25">
      <c r="A50" s="127"/>
      <c r="B50" s="122"/>
      <c r="C50" s="122"/>
      <c r="D50" s="128"/>
      <c r="E50" s="180"/>
      <c r="F50" s="184"/>
    </row>
    <row r="51" spans="1:6" x14ac:dyDescent="0.25">
      <c r="A51" s="125"/>
      <c r="B51" s="118"/>
      <c r="C51" s="118"/>
      <c r="D51" s="119"/>
      <c r="E51" s="180"/>
      <c r="F51" s="184"/>
    </row>
    <row r="52" spans="1:6" x14ac:dyDescent="0.25">
      <c r="A52" s="125"/>
      <c r="B52" s="118"/>
      <c r="C52" s="118"/>
      <c r="D52" s="119"/>
      <c r="E52" s="180"/>
      <c r="F52" s="184"/>
    </row>
    <row r="53" spans="1:6" x14ac:dyDescent="0.25">
      <c r="A53" s="125"/>
      <c r="B53" s="118"/>
      <c r="C53" s="118"/>
      <c r="D53" s="119"/>
      <c r="E53" s="180"/>
      <c r="F53" s="184"/>
    </row>
    <row r="54" spans="1:6" x14ac:dyDescent="0.25">
      <c r="A54" s="125"/>
      <c r="B54" s="118"/>
      <c r="C54" s="118"/>
      <c r="D54" s="119"/>
      <c r="E54" s="180"/>
      <c r="F54" s="184"/>
    </row>
    <row r="55" spans="1:6" x14ac:dyDescent="0.25">
      <c r="A55" s="125"/>
      <c r="B55" s="118"/>
      <c r="C55" s="118"/>
      <c r="D55" s="119"/>
      <c r="E55" s="180"/>
      <c r="F55" s="184"/>
    </row>
    <row r="56" spans="1:6" x14ac:dyDescent="0.25">
      <c r="A56" s="125"/>
      <c r="B56" s="156"/>
      <c r="C56" s="156"/>
      <c r="D56" s="176"/>
      <c r="E56" s="126"/>
      <c r="F56" s="184"/>
    </row>
    <row r="57" spans="1:6" x14ac:dyDescent="0.25">
      <c r="A57" s="192"/>
      <c r="B57" s="188"/>
      <c r="C57" s="188"/>
      <c r="D57" s="193"/>
      <c r="E57" s="194"/>
      <c r="F57" s="182"/>
    </row>
    <row r="58" spans="1:6" x14ac:dyDescent="0.25">
      <c r="A58" s="192"/>
      <c r="B58" s="188"/>
      <c r="C58" s="188"/>
      <c r="D58" s="193"/>
      <c r="E58" s="194"/>
      <c r="F58" s="182"/>
    </row>
    <row r="59" spans="1:6" x14ac:dyDescent="0.25">
      <c r="A59" s="192"/>
      <c r="B59" s="188"/>
      <c r="C59" s="188"/>
      <c r="D59" s="193"/>
      <c r="E59" s="194"/>
      <c r="F59" s="182"/>
    </row>
    <row r="60" spans="1:6" x14ac:dyDescent="0.25">
      <c r="A60" s="192"/>
      <c r="B60" s="188"/>
      <c r="C60" s="188"/>
      <c r="D60" s="193"/>
      <c r="E60" s="194"/>
      <c r="F60" s="182"/>
    </row>
    <row r="61" spans="1:6" x14ac:dyDescent="0.25">
      <c r="A61" s="192"/>
      <c r="B61" s="188"/>
      <c r="C61" s="188"/>
      <c r="D61" s="193"/>
      <c r="E61" s="194"/>
      <c r="F61" s="182"/>
    </row>
    <row r="62" spans="1:6" x14ac:dyDescent="0.25">
      <c r="A62" s="192"/>
      <c r="B62" s="188"/>
      <c r="C62" s="188"/>
      <c r="D62" s="193"/>
      <c r="E62" s="194"/>
      <c r="F62" s="182"/>
    </row>
    <row r="63" spans="1:6" x14ac:dyDescent="0.25">
      <c r="A63" s="192"/>
      <c r="B63" s="188"/>
      <c r="C63" s="188"/>
      <c r="D63" s="193"/>
      <c r="E63" s="194"/>
      <c r="F63" s="182"/>
    </row>
    <row r="64" spans="1:6" x14ac:dyDescent="0.25">
      <c r="A64" s="192"/>
      <c r="B64" s="188"/>
      <c r="C64" s="188"/>
      <c r="D64" s="193"/>
      <c r="E64" s="194"/>
      <c r="F64" s="182"/>
    </row>
    <row r="65" spans="1:6" x14ac:dyDescent="0.25">
      <c r="A65" s="192"/>
      <c r="B65" s="188"/>
      <c r="C65" s="188"/>
      <c r="D65" s="193"/>
      <c r="E65" s="194"/>
      <c r="F65" s="182"/>
    </row>
    <row r="66" spans="1:6" x14ac:dyDescent="0.25">
      <c r="A66" s="192"/>
      <c r="B66" s="188"/>
      <c r="C66" s="188"/>
      <c r="D66" s="193"/>
      <c r="E66" s="194"/>
      <c r="F66" s="182"/>
    </row>
    <row r="67" spans="1:6" x14ac:dyDescent="0.25">
      <c r="A67" s="192"/>
      <c r="B67" s="188"/>
      <c r="C67" s="188"/>
      <c r="D67" s="193"/>
      <c r="E67" s="194"/>
      <c r="F67" s="182"/>
    </row>
    <row r="68" spans="1:6" x14ac:dyDescent="0.25">
      <c r="A68" s="192"/>
      <c r="B68" s="188"/>
      <c r="C68" s="188"/>
      <c r="D68" s="193"/>
      <c r="E68" s="194"/>
      <c r="F68" s="182"/>
    </row>
    <row r="69" spans="1:6" x14ac:dyDescent="0.25">
      <c r="A69" s="192"/>
      <c r="B69" s="188"/>
      <c r="C69" s="188"/>
      <c r="D69" s="193"/>
      <c r="E69" s="194"/>
      <c r="F69" s="182"/>
    </row>
    <row r="70" spans="1:6" x14ac:dyDescent="0.25">
      <c r="A70" s="192"/>
      <c r="B70" s="188"/>
      <c r="C70" s="188"/>
      <c r="D70" s="193"/>
      <c r="E70" s="194"/>
      <c r="F70" s="182"/>
    </row>
    <row r="71" spans="1:6" x14ac:dyDescent="0.25">
      <c r="A71" s="192"/>
      <c r="B71" s="188"/>
      <c r="C71" s="188"/>
      <c r="D71" s="193"/>
      <c r="E71" s="194"/>
      <c r="F71" s="182"/>
    </row>
    <row r="72" spans="1:6" x14ac:dyDescent="0.25">
      <c r="A72" s="192"/>
      <c r="B72" s="188"/>
      <c r="C72" s="188"/>
      <c r="D72" s="193"/>
      <c r="E72" s="194"/>
      <c r="F72" s="182"/>
    </row>
    <row r="73" spans="1:6" x14ac:dyDescent="0.25">
      <c r="A73" s="192"/>
      <c r="B73" s="188"/>
      <c r="C73" s="188"/>
      <c r="D73" s="193"/>
      <c r="E73" s="194"/>
      <c r="F73" s="182"/>
    </row>
    <row r="74" spans="1:6" x14ac:dyDescent="0.25">
      <c r="A74" s="192"/>
      <c r="B74" s="188"/>
      <c r="C74" s="188"/>
      <c r="D74" s="193"/>
      <c r="E74" s="194"/>
      <c r="F74" s="182"/>
    </row>
    <row r="75" spans="1:6" x14ac:dyDescent="0.25">
      <c r="A75" s="192"/>
      <c r="B75" s="188"/>
      <c r="C75" s="188"/>
      <c r="D75" s="193"/>
      <c r="E75" s="194"/>
      <c r="F75" s="182"/>
    </row>
    <row r="76" spans="1:6" x14ac:dyDescent="0.25">
      <c r="A76" s="192"/>
      <c r="B76" s="188"/>
      <c r="C76" s="188"/>
      <c r="D76" s="193"/>
      <c r="E76" s="194"/>
      <c r="F76" s="182"/>
    </row>
    <row r="77" spans="1:6" x14ac:dyDescent="0.25">
      <c r="A77" s="192"/>
      <c r="B77" s="188"/>
      <c r="C77" s="188"/>
      <c r="D77" s="193"/>
      <c r="E77" s="194"/>
      <c r="F77" s="182"/>
    </row>
    <row r="78" spans="1:6" x14ac:dyDescent="0.25">
      <c r="A78" s="192"/>
      <c r="B78" s="188"/>
      <c r="C78" s="188"/>
      <c r="D78" s="193"/>
      <c r="E78" s="194"/>
      <c r="F78" s="182"/>
    </row>
    <row r="79" spans="1:6" x14ac:dyDescent="0.25">
      <c r="A79" s="192"/>
      <c r="B79" s="188"/>
      <c r="C79" s="188"/>
      <c r="D79" s="193"/>
      <c r="E79" s="194"/>
      <c r="F79" s="182"/>
    </row>
    <row r="80" spans="1:6" x14ac:dyDescent="0.25">
      <c r="A80" s="192"/>
      <c r="B80" s="188"/>
      <c r="C80" s="188"/>
      <c r="D80" s="193"/>
      <c r="E80" s="194"/>
      <c r="F80" s="182"/>
    </row>
    <row r="81" spans="1:6" x14ac:dyDescent="0.25">
      <c r="A81" s="192"/>
      <c r="B81" s="188"/>
      <c r="C81" s="188"/>
      <c r="D81" s="193"/>
      <c r="E81" s="194"/>
      <c r="F81" s="182"/>
    </row>
    <row r="82" spans="1:6" x14ac:dyDescent="0.25">
      <c r="A82" s="192"/>
      <c r="B82" s="188"/>
      <c r="C82" s="188"/>
      <c r="D82" s="193"/>
      <c r="E82" s="194"/>
      <c r="F82" s="182"/>
    </row>
    <row r="83" spans="1:6" x14ac:dyDescent="0.25">
      <c r="A83" s="192"/>
      <c r="B83" s="188"/>
      <c r="C83" s="188"/>
      <c r="D83" s="193"/>
      <c r="E83" s="194"/>
      <c r="F83" s="182"/>
    </row>
    <row r="84" spans="1:6" x14ac:dyDescent="0.25">
      <c r="A84" s="192"/>
      <c r="B84" s="188"/>
      <c r="C84" s="188"/>
      <c r="D84" s="193"/>
      <c r="E84" s="194"/>
      <c r="F84" s="182"/>
    </row>
    <row r="85" spans="1:6" x14ac:dyDescent="0.25">
      <c r="A85" s="192"/>
      <c r="B85" s="188"/>
      <c r="C85" s="188"/>
      <c r="D85" s="193"/>
      <c r="E85" s="194"/>
      <c r="F85" s="182"/>
    </row>
    <row r="86" spans="1:6" x14ac:dyDescent="0.25">
      <c r="A86" s="192"/>
      <c r="B86" s="188"/>
      <c r="C86" s="188"/>
      <c r="D86" s="193"/>
      <c r="E86" s="194"/>
      <c r="F86" s="182"/>
    </row>
    <row r="87" spans="1:6" x14ac:dyDescent="0.25">
      <c r="A87" s="192"/>
      <c r="B87" s="188"/>
      <c r="C87" s="188"/>
      <c r="D87" s="193"/>
      <c r="E87" s="194"/>
      <c r="F87" s="182"/>
    </row>
    <row r="88" spans="1:6" x14ac:dyDescent="0.25">
      <c r="A88" s="192"/>
      <c r="B88" s="188"/>
      <c r="C88" s="188"/>
      <c r="D88" s="193"/>
      <c r="E88" s="194"/>
      <c r="F88" s="182"/>
    </row>
    <row r="89" spans="1:6" x14ac:dyDescent="0.25">
      <c r="A89" s="192"/>
      <c r="B89" s="188"/>
      <c r="C89" s="188"/>
      <c r="D89" s="193"/>
      <c r="E89" s="194"/>
      <c r="F89" s="182"/>
    </row>
    <row r="90" spans="1:6" x14ac:dyDescent="0.25">
      <c r="A90" s="192"/>
      <c r="B90" s="188"/>
      <c r="C90" s="188"/>
      <c r="D90" s="193"/>
      <c r="E90" s="194"/>
      <c r="F90" s="182"/>
    </row>
    <row r="91" spans="1:6" x14ac:dyDescent="0.25">
      <c r="A91" s="192"/>
      <c r="B91" s="188"/>
      <c r="C91" s="188"/>
      <c r="D91" s="193"/>
      <c r="E91" s="194"/>
      <c r="F91" s="182"/>
    </row>
    <row r="92" spans="1:6" x14ac:dyDescent="0.25">
      <c r="A92" s="192"/>
      <c r="B92" s="188"/>
      <c r="C92" s="188"/>
      <c r="D92" s="193"/>
      <c r="E92" s="194"/>
      <c r="F92" s="182"/>
    </row>
    <row r="93" spans="1:6" x14ac:dyDescent="0.25">
      <c r="A93" s="192"/>
      <c r="B93" s="188"/>
      <c r="C93" s="188"/>
      <c r="D93" s="193"/>
      <c r="E93" s="194"/>
      <c r="F93" s="182"/>
    </row>
    <row r="94" spans="1:6" x14ac:dyDescent="0.25">
      <c r="A94" s="192"/>
      <c r="B94" s="188"/>
      <c r="C94" s="188"/>
      <c r="D94" s="193"/>
      <c r="E94" s="194"/>
      <c r="F94" s="182"/>
    </row>
    <row r="95" spans="1:6" x14ac:dyDescent="0.25">
      <c r="A95" s="192"/>
      <c r="B95" s="188"/>
      <c r="C95" s="188"/>
      <c r="D95" s="193"/>
      <c r="E95" s="194"/>
      <c r="F95" s="182"/>
    </row>
    <row r="96" spans="1:6" x14ac:dyDescent="0.25">
      <c r="A96" s="192"/>
      <c r="B96" s="188"/>
      <c r="C96" s="188"/>
      <c r="D96" s="193"/>
      <c r="E96" s="194"/>
      <c r="F96" s="182"/>
    </row>
    <row r="97" spans="1:6" x14ac:dyDescent="0.25">
      <c r="A97" s="192"/>
      <c r="B97" s="188"/>
      <c r="C97" s="188"/>
      <c r="D97" s="193"/>
      <c r="E97" s="194"/>
      <c r="F97" s="182"/>
    </row>
    <row r="98" spans="1:6" x14ac:dyDescent="0.25">
      <c r="A98" s="192"/>
      <c r="B98" s="188"/>
      <c r="C98" s="188"/>
      <c r="D98" s="193"/>
      <c r="E98" s="194"/>
      <c r="F98" s="182"/>
    </row>
    <row r="99" spans="1:6" x14ac:dyDescent="0.25">
      <c r="A99" s="192"/>
      <c r="B99" s="188"/>
      <c r="C99" s="188"/>
      <c r="D99" s="193"/>
      <c r="E99" s="194"/>
      <c r="F99" s="182"/>
    </row>
    <row r="100" spans="1:6" x14ac:dyDescent="0.25">
      <c r="A100" s="192"/>
      <c r="B100" s="188"/>
      <c r="C100" s="188"/>
      <c r="D100" s="193"/>
      <c r="E100" s="194"/>
      <c r="F100" s="182"/>
    </row>
    <row r="101" spans="1:6" x14ac:dyDescent="0.25">
      <c r="A101" s="192"/>
      <c r="B101" s="188"/>
      <c r="C101" s="188"/>
      <c r="D101" s="193"/>
      <c r="E101" s="194"/>
      <c r="F101" s="182"/>
    </row>
    <row r="102" spans="1:6" x14ac:dyDescent="0.25">
      <c r="A102" s="192"/>
      <c r="B102" s="188"/>
      <c r="C102" s="188"/>
      <c r="D102" s="193"/>
      <c r="E102" s="194"/>
      <c r="F102" s="182"/>
    </row>
    <row r="103" spans="1:6" x14ac:dyDescent="0.25">
      <c r="A103" s="192"/>
      <c r="B103" s="188"/>
      <c r="C103" s="188"/>
      <c r="D103" s="193"/>
      <c r="E103" s="194"/>
      <c r="F103" s="182"/>
    </row>
    <row r="104" spans="1:6" x14ac:dyDescent="0.25">
      <c r="A104" s="192"/>
      <c r="B104" s="188"/>
      <c r="C104" s="188"/>
      <c r="D104" s="193"/>
      <c r="E104" s="194"/>
      <c r="F104" s="182"/>
    </row>
    <row r="105" spans="1:6" x14ac:dyDescent="0.25">
      <c r="A105" s="192"/>
      <c r="B105" s="188"/>
      <c r="C105" s="188"/>
      <c r="D105" s="193"/>
      <c r="E105" s="194"/>
      <c r="F105" s="182"/>
    </row>
    <row r="106" spans="1:6" x14ac:dyDescent="0.25">
      <c r="A106" s="192"/>
      <c r="B106" s="188"/>
      <c r="C106" s="188"/>
      <c r="D106" s="193"/>
      <c r="E106" s="194"/>
      <c r="F106" s="182"/>
    </row>
    <row r="107" spans="1:6" x14ac:dyDescent="0.25">
      <c r="A107" s="192"/>
      <c r="B107" s="188"/>
      <c r="C107" s="188"/>
      <c r="D107" s="193"/>
      <c r="E107" s="194"/>
      <c r="F107" s="182"/>
    </row>
    <row r="108" spans="1:6" x14ac:dyDescent="0.25">
      <c r="A108" s="192"/>
      <c r="B108" s="188"/>
      <c r="C108" s="188"/>
      <c r="D108" s="193"/>
      <c r="E108" s="194"/>
      <c r="F108" s="182"/>
    </row>
    <row r="109" spans="1:6" x14ac:dyDescent="0.25">
      <c r="A109" s="192"/>
      <c r="B109" s="188"/>
      <c r="C109" s="188"/>
      <c r="D109" s="193"/>
      <c r="E109" s="194"/>
      <c r="F109" s="182"/>
    </row>
    <row r="110" spans="1:6" x14ac:dyDescent="0.25">
      <c r="A110" s="192"/>
      <c r="B110" s="188"/>
      <c r="C110" s="188"/>
      <c r="D110" s="193"/>
      <c r="E110" s="194"/>
      <c r="F110" s="182"/>
    </row>
    <row r="111" spans="1:6" x14ac:dyDescent="0.25">
      <c r="A111" s="192"/>
      <c r="B111" s="188"/>
      <c r="C111" s="188"/>
      <c r="D111" s="193"/>
      <c r="E111" s="194"/>
      <c r="F111" s="182"/>
    </row>
    <row r="112" spans="1:6" x14ac:dyDescent="0.25">
      <c r="A112" s="192"/>
      <c r="B112" s="188"/>
      <c r="C112" s="188"/>
      <c r="D112" s="193"/>
      <c r="E112" s="194"/>
      <c r="F112" s="182"/>
    </row>
    <row r="113" spans="1:6" x14ac:dyDescent="0.25">
      <c r="A113" s="192"/>
      <c r="B113" s="188"/>
      <c r="C113" s="188"/>
      <c r="D113" s="193"/>
      <c r="E113" s="194"/>
      <c r="F113" s="182"/>
    </row>
    <row r="114" spans="1:6" x14ac:dyDescent="0.25">
      <c r="A114" s="192"/>
      <c r="B114" s="188"/>
      <c r="C114" s="188"/>
      <c r="D114" s="193"/>
      <c r="E114" s="194"/>
      <c r="F114" s="182"/>
    </row>
    <row r="115" spans="1:6" x14ac:dyDescent="0.25">
      <c r="A115" s="192"/>
      <c r="B115" s="188"/>
      <c r="C115" s="188"/>
      <c r="D115" s="193"/>
      <c r="E115" s="194"/>
      <c r="F115" s="182"/>
    </row>
    <row r="116" spans="1:6" x14ac:dyDescent="0.25">
      <c r="A116" s="192"/>
      <c r="B116" s="188"/>
      <c r="C116" s="188"/>
      <c r="D116" s="193"/>
      <c r="E116" s="194"/>
      <c r="F116" s="182"/>
    </row>
    <row r="117" spans="1:6" x14ac:dyDescent="0.25">
      <c r="A117" s="192"/>
      <c r="B117" s="188"/>
      <c r="C117" s="188"/>
      <c r="D117" s="193"/>
      <c r="E117" s="194"/>
      <c r="F117" s="182"/>
    </row>
    <row r="118" spans="1:6" x14ac:dyDescent="0.25">
      <c r="A118" s="192"/>
      <c r="B118" s="188"/>
      <c r="C118" s="188"/>
      <c r="D118" s="193"/>
      <c r="E118" s="194"/>
      <c r="F118" s="182"/>
    </row>
    <row r="119" spans="1:6" x14ac:dyDescent="0.25">
      <c r="A119" s="192"/>
      <c r="B119" s="188"/>
      <c r="C119" s="188"/>
      <c r="D119" s="193"/>
      <c r="E119" s="194"/>
      <c r="F119" s="182"/>
    </row>
    <row r="120" spans="1:6" x14ac:dyDescent="0.25">
      <c r="A120" s="192"/>
      <c r="B120" s="188"/>
      <c r="C120" s="188"/>
      <c r="D120" s="193"/>
      <c r="E120" s="194"/>
      <c r="F120" s="182"/>
    </row>
    <row r="121" spans="1:6" x14ac:dyDescent="0.25">
      <c r="A121" s="192"/>
      <c r="B121" s="188"/>
      <c r="C121" s="188"/>
      <c r="D121" s="193"/>
      <c r="E121" s="194"/>
      <c r="F121" s="182"/>
    </row>
    <row r="122" spans="1:6" x14ac:dyDescent="0.25">
      <c r="A122" s="192"/>
      <c r="B122" s="188"/>
      <c r="C122" s="188"/>
      <c r="D122" s="193"/>
      <c r="E122" s="194"/>
      <c r="F122" s="182"/>
    </row>
    <row r="123" spans="1:6" x14ac:dyDescent="0.25">
      <c r="A123" s="192"/>
      <c r="B123" s="188"/>
      <c r="C123" s="188"/>
      <c r="D123" s="193"/>
      <c r="E123" s="194"/>
      <c r="F123" s="182"/>
    </row>
    <row r="124" spans="1:6" x14ac:dyDescent="0.25">
      <c r="A124" s="192"/>
      <c r="B124" s="188"/>
      <c r="C124" s="188"/>
      <c r="D124" s="193"/>
      <c r="E124" s="194"/>
      <c r="F124" s="182"/>
    </row>
    <row r="125" spans="1:6" x14ac:dyDescent="0.25">
      <c r="A125" s="192"/>
      <c r="B125" s="188"/>
      <c r="C125" s="188"/>
      <c r="D125" s="193"/>
      <c r="E125" s="194"/>
      <c r="F125" s="182"/>
    </row>
    <row r="126" spans="1:6" x14ac:dyDescent="0.25">
      <c r="A126" s="192"/>
      <c r="B126" s="188"/>
      <c r="C126" s="188"/>
      <c r="D126" s="193"/>
      <c r="E126" s="194"/>
      <c r="F126" s="182"/>
    </row>
    <row r="127" spans="1:6" x14ac:dyDescent="0.25">
      <c r="A127" s="192"/>
      <c r="B127" s="188"/>
      <c r="C127" s="188"/>
      <c r="D127" s="193"/>
      <c r="E127" s="194"/>
      <c r="F127" s="182"/>
    </row>
    <row r="128" spans="1:6" x14ac:dyDescent="0.25">
      <c r="A128" s="192"/>
      <c r="B128" s="188"/>
      <c r="C128" s="188"/>
      <c r="D128" s="193"/>
      <c r="E128" s="194"/>
      <c r="F128" s="182"/>
    </row>
    <row r="129" spans="1:6" x14ac:dyDescent="0.25">
      <c r="A129" s="192"/>
      <c r="B129" s="188"/>
      <c r="C129" s="188"/>
      <c r="D129" s="193"/>
      <c r="E129" s="194"/>
      <c r="F129" s="182"/>
    </row>
    <row r="130" spans="1:6" x14ac:dyDescent="0.25">
      <c r="A130" s="192"/>
      <c r="B130" s="188"/>
      <c r="C130" s="188"/>
      <c r="D130" s="193"/>
      <c r="E130" s="194"/>
      <c r="F130" s="182"/>
    </row>
    <row r="131" spans="1:6" x14ac:dyDescent="0.25">
      <c r="A131" s="192"/>
      <c r="B131" s="188"/>
      <c r="C131" s="188"/>
      <c r="D131" s="193"/>
      <c r="E131" s="194"/>
      <c r="F131" s="182"/>
    </row>
    <row r="132" spans="1:6" x14ac:dyDescent="0.25">
      <c r="A132" s="192"/>
      <c r="B132" s="188"/>
      <c r="C132" s="188"/>
      <c r="D132" s="193"/>
      <c r="E132" s="194"/>
      <c r="F132" s="182"/>
    </row>
    <row r="133" spans="1:6" x14ac:dyDescent="0.25">
      <c r="A133" s="192"/>
      <c r="B133" s="188"/>
      <c r="C133" s="188"/>
      <c r="D133" s="193"/>
      <c r="E133" s="194"/>
      <c r="F133" s="182"/>
    </row>
    <row r="134" spans="1:6" x14ac:dyDescent="0.25">
      <c r="A134" s="192"/>
      <c r="B134" s="188"/>
      <c r="C134" s="188"/>
      <c r="D134" s="193"/>
      <c r="E134" s="194"/>
      <c r="F134" s="182"/>
    </row>
    <row r="135" spans="1:6" x14ac:dyDescent="0.25">
      <c r="A135" s="192"/>
      <c r="B135" s="188"/>
      <c r="C135" s="188"/>
      <c r="D135" s="193"/>
      <c r="E135" s="194"/>
      <c r="F135" s="182"/>
    </row>
    <row r="136" spans="1:6" x14ac:dyDescent="0.25">
      <c r="A136" s="192"/>
      <c r="B136" s="188"/>
      <c r="C136" s="188"/>
      <c r="D136" s="193"/>
      <c r="E136" s="194"/>
      <c r="F136" s="182"/>
    </row>
    <row r="137" spans="1:6" x14ac:dyDescent="0.25">
      <c r="A137" s="192"/>
      <c r="B137" s="188"/>
      <c r="C137" s="188"/>
      <c r="D137" s="193"/>
      <c r="E137" s="194"/>
      <c r="F137" s="182"/>
    </row>
    <row r="138" spans="1:6" x14ac:dyDescent="0.25">
      <c r="A138" s="192"/>
      <c r="B138" s="188"/>
      <c r="C138" s="188"/>
      <c r="D138" s="193"/>
      <c r="E138" s="194"/>
      <c r="F138" s="182"/>
    </row>
    <row r="139" spans="1:6" x14ac:dyDescent="0.25">
      <c r="A139" s="192"/>
      <c r="B139" s="188"/>
      <c r="C139" s="188"/>
      <c r="D139" s="193"/>
      <c r="E139" s="194"/>
      <c r="F139" s="182"/>
    </row>
    <row r="140" spans="1:6" x14ac:dyDescent="0.25">
      <c r="A140" s="192"/>
      <c r="B140" s="188"/>
      <c r="C140" s="188"/>
      <c r="D140" s="193"/>
      <c r="E140" s="194"/>
      <c r="F140" s="182"/>
    </row>
    <row r="141" spans="1:6" x14ac:dyDescent="0.25">
      <c r="A141" s="192"/>
      <c r="B141" s="188"/>
      <c r="C141" s="188"/>
      <c r="D141" s="193"/>
      <c r="E141" s="194"/>
      <c r="F141" s="182"/>
    </row>
    <row r="142" spans="1:6" x14ac:dyDescent="0.25">
      <c r="A142" s="192"/>
      <c r="B142" s="188"/>
      <c r="C142" s="188"/>
      <c r="D142" s="193"/>
      <c r="E142" s="194"/>
      <c r="F142" s="182"/>
    </row>
    <row r="143" spans="1:6" x14ac:dyDescent="0.25">
      <c r="A143" s="192"/>
      <c r="B143" s="188"/>
      <c r="C143" s="188"/>
      <c r="D143" s="193"/>
      <c r="E143" s="194"/>
      <c r="F143" s="182"/>
    </row>
    <row r="144" spans="1:6" x14ac:dyDescent="0.25">
      <c r="A144" s="192"/>
      <c r="B144" s="188"/>
      <c r="C144" s="188"/>
      <c r="D144" s="193"/>
      <c r="E144" s="194"/>
      <c r="F144" s="182"/>
    </row>
    <row r="145" spans="1:6" x14ac:dyDescent="0.25">
      <c r="A145" s="192"/>
      <c r="B145" s="188"/>
      <c r="C145" s="188"/>
      <c r="D145" s="193"/>
      <c r="E145" s="194"/>
      <c r="F145" s="182"/>
    </row>
    <row r="146" spans="1:6" x14ac:dyDescent="0.25">
      <c r="A146" s="192"/>
      <c r="B146" s="188"/>
      <c r="C146" s="188"/>
      <c r="D146" s="193"/>
      <c r="E146" s="194"/>
      <c r="F146" s="182"/>
    </row>
    <row r="147" spans="1:6" x14ac:dyDescent="0.25">
      <c r="A147" s="192"/>
      <c r="B147" s="188"/>
      <c r="C147" s="188"/>
      <c r="D147" s="193"/>
      <c r="E147" s="194"/>
      <c r="F147" s="182"/>
    </row>
    <row r="148" spans="1:6" x14ac:dyDescent="0.25">
      <c r="A148" s="192"/>
      <c r="B148" s="188"/>
      <c r="C148" s="188"/>
      <c r="D148" s="193"/>
      <c r="E148" s="194"/>
      <c r="F148" s="182"/>
    </row>
    <row r="149" spans="1:6" x14ac:dyDescent="0.25">
      <c r="A149" s="192"/>
      <c r="B149" s="188"/>
      <c r="C149" s="188"/>
      <c r="D149" s="193"/>
      <c r="E149" s="194"/>
      <c r="F149" s="182"/>
    </row>
    <row r="150" spans="1:6" x14ac:dyDescent="0.25">
      <c r="A150" s="192"/>
      <c r="B150" s="188"/>
      <c r="C150" s="188"/>
      <c r="D150" s="193"/>
      <c r="E150" s="194"/>
      <c r="F150" s="182"/>
    </row>
    <row r="151" spans="1:6" x14ac:dyDescent="0.25">
      <c r="A151" s="192"/>
      <c r="B151" s="188"/>
      <c r="C151" s="188"/>
      <c r="D151" s="193"/>
      <c r="E151" s="194"/>
      <c r="F151" s="182"/>
    </row>
    <row r="152" spans="1:6" x14ac:dyDescent="0.25">
      <c r="A152" s="192"/>
      <c r="B152" s="188"/>
      <c r="C152" s="188"/>
      <c r="D152" s="193"/>
      <c r="E152" s="194"/>
      <c r="F152" s="182"/>
    </row>
    <row r="153" spans="1:6" x14ac:dyDescent="0.25">
      <c r="A153" s="192"/>
      <c r="B153" s="188"/>
      <c r="C153" s="188"/>
      <c r="D153" s="193"/>
      <c r="E153" s="194"/>
      <c r="F153" s="182"/>
    </row>
    <row r="154" spans="1:6" x14ac:dyDescent="0.25">
      <c r="A154" s="192"/>
      <c r="B154" s="188"/>
      <c r="C154" s="188"/>
      <c r="D154" s="193"/>
      <c r="E154" s="194"/>
      <c r="F154" s="182"/>
    </row>
    <row r="155" spans="1:6" x14ac:dyDescent="0.25">
      <c r="A155" s="192"/>
      <c r="B155" s="188"/>
      <c r="C155" s="188"/>
      <c r="D155" s="193"/>
      <c r="E155" s="194"/>
      <c r="F155" s="182"/>
    </row>
    <row r="156" spans="1:6" x14ac:dyDescent="0.25">
      <c r="A156" s="192"/>
      <c r="B156" s="188"/>
      <c r="C156" s="188"/>
      <c r="D156" s="193"/>
      <c r="E156" s="194"/>
      <c r="F156" s="182"/>
    </row>
    <row r="157" spans="1:6" x14ac:dyDescent="0.25">
      <c r="A157" s="192"/>
      <c r="B157" s="188"/>
      <c r="C157" s="188"/>
      <c r="D157" s="193"/>
      <c r="E157" s="194"/>
      <c r="F157" s="182"/>
    </row>
    <row r="158" spans="1:6" x14ac:dyDescent="0.25">
      <c r="A158" s="192"/>
      <c r="B158" s="188"/>
      <c r="C158" s="188"/>
      <c r="D158" s="193"/>
      <c r="E158" s="194"/>
      <c r="F158" s="182"/>
    </row>
    <row r="159" spans="1:6" x14ac:dyDescent="0.25">
      <c r="A159" s="192"/>
      <c r="B159" s="188"/>
      <c r="C159" s="188"/>
      <c r="D159" s="193"/>
      <c r="E159" s="194"/>
      <c r="F159" s="182"/>
    </row>
    <row r="160" spans="1:6" x14ac:dyDescent="0.25">
      <c r="A160" s="192"/>
      <c r="B160" s="188"/>
      <c r="C160" s="188"/>
      <c r="D160" s="193"/>
      <c r="E160" s="194"/>
      <c r="F160" s="182"/>
    </row>
    <row r="161" spans="1:6" x14ac:dyDescent="0.25">
      <c r="A161" s="192"/>
      <c r="B161" s="188"/>
      <c r="C161" s="188"/>
      <c r="D161" s="193"/>
      <c r="E161" s="194"/>
      <c r="F161" s="182"/>
    </row>
    <row r="162" spans="1:6" x14ac:dyDescent="0.25">
      <c r="A162" s="192"/>
      <c r="B162" s="188"/>
      <c r="C162" s="188"/>
      <c r="D162" s="193"/>
      <c r="E162" s="194"/>
      <c r="F162" s="182"/>
    </row>
    <row r="163" spans="1:6" x14ac:dyDescent="0.25">
      <c r="A163" s="192"/>
      <c r="B163" s="188"/>
      <c r="C163" s="188"/>
      <c r="D163" s="193"/>
      <c r="E163" s="194"/>
      <c r="F163" s="182"/>
    </row>
    <row r="164" spans="1:6" x14ac:dyDescent="0.25">
      <c r="A164" s="192"/>
      <c r="B164" s="188"/>
      <c r="C164" s="188"/>
      <c r="D164" s="193"/>
      <c r="E164" s="194"/>
      <c r="F164" s="182"/>
    </row>
    <row r="165" spans="1:6" x14ac:dyDescent="0.25">
      <c r="A165" s="192"/>
      <c r="B165" s="188"/>
      <c r="C165" s="188"/>
      <c r="D165" s="193"/>
      <c r="E165" s="194"/>
      <c r="F165" s="182"/>
    </row>
    <row r="166" spans="1:6" x14ac:dyDescent="0.25">
      <c r="A166" s="192"/>
      <c r="B166" s="188"/>
      <c r="C166" s="188"/>
      <c r="D166" s="193"/>
      <c r="E166" s="194"/>
      <c r="F166" s="182"/>
    </row>
    <row r="167" spans="1:6" x14ac:dyDescent="0.25">
      <c r="A167" s="192"/>
      <c r="B167" s="188"/>
      <c r="C167" s="188"/>
      <c r="D167" s="193"/>
      <c r="E167" s="194"/>
      <c r="F167" s="182"/>
    </row>
    <row r="168" spans="1:6" x14ac:dyDescent="0.25">
      <c r="A168" s="192"/>
      <c r="B168" s="188"/>
      <c r="C168" s="188"/>
      <c r="D168" s="193"/>
      <c r="E168" s="194"/>
      <c r="F168" s="182"/>
    </row>
    <row r="169" spans="1:6" x14ac:dyDescent="0.25">
      <c r="A169" s="192"/>
      <c r="B169" s="188"/>
      <c r="C169" s="188"/>
      <c r="D169" s="193"/>
      <c r="E169" s="194"/>
      <c r="F169" s="182"/>
    </row>
    <row r="170" spans="1:6" x14ac:dyDescent="0.25">
      <c r="A170" s="192"/>
      <c r="B170" s="188"/>
      <c r="C170" s="188"/>
      <c r="D170" s="193"/>
      <c r="E170" s="194"/>
      <c r="F170" s="182"/>
    </row>
    <row r="171" spans="1:6" x14ac:dyDescent="0.25">
      <c r="A171" s="192"/>
      <c r="B171" s="188"/>
      <c r="C171" s="188"/>
      <c r="D171" s="193"/>
      <c r="E171" s="194"/>
      <c r="F171" s="182"/>
    </row>
    <row r="172" spans="1:6" x14ac:dyDescent="0.25">
      <c r="A172" s="192"/>
      <c r="B172" s="188"/>
      <c r="C172" s="188"/>
      <c r="D172" s="193"/>
      <c r="E172" s="194"/>
      <c r="F172" s="182"/>
    </row>
    <row r="173" spans="1:6" x14ac:dyDescent="0.25">
      <c r="A173" s="192"/>
      <c r="B173" s="188"/>
      <c r="C173" s="188"/>
      <c r="D173" s="193"/>
      <c r="E173" s="194"/>
      <c r="F173" s="182"/>
    </row>
    <row r="174" spans="1:6" x14ac:dyDescent="0.25">
      <c r="A174" s="192"/>
      <c r="B174" s="188"/>
      <c r="C174" s="188"/>
      <c r="D174" s="193"/>
      <c r="E174" s="194"/>
      <c r="F174" s="182"/>
    </row>
    <row r="175" spans="1:6" x14ac:dyDescent="0.25">
      <c r="A175" s="192"/>
      <c r="B175" s="188"/>
      <c r="C175" s="188"/>
      <c r="D175" s="193"/>
      <c r="E175" s="194"/>
      <c r="F175" s="182"/>
    </row>
    <row r="176" spans="1:6" x14ac:dyDescent="0.25">
      <c r="A176" s="192"/>
      <c r="B176" s="188"/>
      <c r="C176" s="188"/>
      <c r="D176" s="193"/>
      <c r="E176" s="194"/>
      <c r="F176" s="182"/>
    </row>
    <row r="177" spans="1:6" x14ac:dyDescent="0.25">
      <c r="A177" s="192"/>
      <c r="B177" s="188"/>
      <c r="C177" s="188"/>
      <c r="D177" s="193"/>
      <c r="E177" s="194"/>
      <c r="F177" s="182"/>
    </row>
    <row r="178" spans="1:6" x14ac:dyDescent="0.25">
      <c r="A178" s="192"/>
      <c r="B178" s="188"/>
      <c r="C178" s="188"/>
      <c r="D178" s="193"/>
      <c r="E178" s="194"/>
      <c r="F178" s="182"/>
    </row>
    <row r="179" spans="1:6" x14ac:dyDescent="0.25">
      <c r="A179" s="192"/>
      <c r="B179" s="188"/>
      <c r="C179" s="188"/>
      <c r="D179" s="193"/>
      <c r="E179" s="194"/>
      <c r="F179" s="182"/>
    </row>
    <row r="180" spans="1:6" x14ac:dyDescent="0.25">
      <c r="A180" s="192"/>
      <c r="B180" s="188"/>
      <c r="C180" s="188"/>
      <c r="D180" s="193"/>
      <c r="E180" s="194"/>
      <c r="F180" s="182"/>
    </row>
    <row r="181" spans="1:6" x14ac:dyDescent="0.25">
      <c r="A181" s="192"/>
      <c r="B181" s="188"/>
      <c r="C181" s="188"/>
      <c r="D181" s="193"/>
      <c r="E181" s="194"/>
      <c r="F181" s="182"/>
    </row>
    <row r="182" spans="1:6" x14ac:dyDescent="0.25">
      <c r="A182" s="192"/>
      <c r="B182" s="188"/>
      <c r="C182" s="188"/>
      <c r="D182" s="193"/>
      <c r="E182" s="194"/>
      <c r="F182" s="182"/>
    </row>
    <row r="183" spans="1:6" x14ac:dyDescent="0.25">
      <c r="A183" s="192"/>
      <c r="B183" s="188"/>
      <c r="C183" s="188"/>
      <c r="D183" s="193"/>
      <c r="E183" s="194"/>
      <c r="F183" s="182"/>
    </row>
    <row r="184" spans="1:6" x14ac:dyDescent="0.25">
      <c r="A184" s="192"/>
      <c r="B184" s="188"/>
      <c r="C184" s="188"/>
      <c r="D184" s="193"/>
      <c r="E184" s="194"/>
      <c r="F184" s="182"/>
    </row>
    <row r="185" spans="1:6" x14ac:dyDescent="0.25">
      <c r="A185" s="192"/>
      <c r="B185" s="188"/>
      <c r="C185" s="188"/>
      <c r="D185" s="193"/>
      <c r="E185" s="194"/>
      <c r="F185" s="182"/>
    </row>
    <row r="186" spans="1:6" x14ac:dyDescent="0.25">
      <c r="A186" s="192"/>
      <c r="B186" s="188"/>
      <c r="C186" s="188"/>
      <c r="D186" s="193"/>
      <c r="E186" s="194"/>
      <c r="F186" s="182"/>
    </row>
    <row r="187" spans="1:6" x14ac:dyDescent="0.25">
      <c r="A187" s="192"/>
      <c r="B187" s="188"/>
      <c r="C187" s="188"/>
      <c r="D187" s="193"/>
      <c r="E187" s="194"/>
      <c r="F187" s="182"/>
    </row>
    <row r="188" spans="1:6" x14ac:dyDescent="0.25">
      <c r="A188" s="192"/>
      <c r="B188" s="188"/>
      <c r="C188" s="188"/>
      <c r="D188" s="193"/>
      <c r="E188" s="194"/>
      <c r="F188" s="182"/>
    </row>
    <row r="189" spans="1:6" x14ac:dyDescent="0.25">
      <c r="A189" s="192"/>
      <c r="B189" s="188"/>
      <c r="C189" s="188"/>
      <c r="D189" s="193"/>
      <c r="E189" s="194"/>
      <c r="F189" s="182"/>
    </row>
    <row r="190" spans="1:6" x14ac:dyDescent="0.25">
      <c r="A190" s="192"/>
      <c r="B190" s="188"/>
      <c r="C190" s="188"/>
      <c r="D190" s="193"/>
      <c r="E190" s="194"/>
      <c r="F190" s="182"/>
    </row>
    <row r="191" spans="1:6" x14ac:dyDescent="0.25">
      <c r="A191" s="192"/>
      <c r="B191" s="188"/>
      <c r="C191" s="188"/>
      <c r="D191" s="193"/>
      <c r="E191" s="194"/>
      <c r="F191" s="182"/>
    </row>
    <row r="192" spans="1:6" x14ac:dyDescent="0.25">
      <c r="A192" s="192"/>
      <c r="B192" s="188"/>
      <c r="C192" s="188"/>
      <c r="D192" s="193"/>
      <c r="E192" s="194"/>
      <c r="F192" s="182"/>
    </row>
    <row r="193" spans="1:6" x14ac:dyDescent="0.25">
      <c r="A193" s="192"/>
      <c r="B193" s="188"/>
      <c r="C193" s="188"/>
      <c r="D193" s="193"/>
      <c r="E193" s="194"/>
      <c r="F193" s="182"/>
    </row>
    <row r="194" spans="1:6" x14ac:dyDescent="0.25">
      <c r="A194" s="192"/>
      <c r="B194" s="188"/>
      <c r="C194" s="188"/>
      <c r="D194" s="193"/>
      <c r="E194" s="194"/>
      <c r="F194" s="182"/>
    </row>
    <row r="195" spans="1:6" x14ac:dyDescent="0.25">
      <c r="A195" s="192"/>
      <c r="B195" s="188"/>
      <c r="C195" s="188"/>
      <c r="D195" s="193"/>
      <c r="E195" s="194"/>
      <c r="F195" s="182"/>
    </row>
    <row r="196" spans="1:6" x14ac:dyDescent="0.25">
      <c r="A196" s="192"/>
      <c r="B196" s="188"/>
      <c r="C196" s="188"/>
      <c r="D196" s="193"/>
      <c r="E196" s="194"/>
      <c r="F196" s="182"/>
    </row>
    <row r="197" spans="1:6" x14ac:dyDescent="0.25">
      <c r="A197" s="192"/>
      <c r="B197" s="188"/>
      <c r="C197" s="188"/>
      <c r="D197" s="193"/>
      <c r="E197" s="194"/>
      <c r="F197" s="182"/>
    </row>
    <row r="198" spans="1:6" x14ac:dyDescent="0.25">
      <c r="A198" s="192"/>
      <c r="B198" s="188"/>
      <c r="C198" s="188"/>
      <c r="D198" s="193"/>
      <c r="E198" s="194"/>
      <c r="F198" s="182"/>
    </row>
    <row r="199" spans="1:6" x14ac:dyDescent="0.25">
      <c r="A199" s="192"/>
      <c r="B199" s="188"/>
      <c r="C199" s="188"/>
      <c r="D199" s="193"/>
      <c r="E199" s="194"/>
      <c r="F199" s="182"/>
    </row>
    <row r="200" spans="1:6" x14ac:dyDescent="0.25">
      <c r="A200" s="192"/>
      <c r="B200" s="188"/>
      <c r="C200" s="188"/>
      <c r="D200" s="193"/>
      <c r="E200" s="194"/>
      <c r="F200" s="182"/>
    </row>
    <row r="201" spans="1:6" x14ac:dyDescent="0.25">
      <c r="A201" s="192"/>
      <c r="B201" s="188"/>
      <c r="C201" s="188"/>
      <c r="D201" s="193"/>
      <c r="E201" s="194"/>
      <c r="F201" s="182"/>
    </row>
    <row r="202" spans="1:6" x14ac:dyDescent="0.25">
      <c r="A202" s="71"/>
      <c r="B202" s="114"/>
      <c r="C202" s="114"/>
      <c r="D202" s="70"/>
      <c r="E202" s="115"/>
      <c r="F202" s="38"/>
    </row>
    <row r="203" spans="1:6" x14ac:dyDescent="0.25">
      <c r="A203" s="71"/>
      <c r="B203" s="114"/>
      <c r="C203" s="114"/>
      <c r="D203" s="70"/>
      <c r="E203" s="115"/>
      <c r="F203" s="38"/>
    </row>
    <row r="204" spans="1:6" x14ac:dyDescent="0.25">
      <c r="A204" s="68"/>
      <c r="B204" s="43"/>
      <c r="C204" s="116"/>
      <c r="D204" s="43"/>
      <c r="E204" s="67"/>
      <c r="F204" s="85"/>
    </row>
    <row r="205" spans="1:6" x14ac:dyDescent="0.25">
      <c r="A205" s="68"/>
      <c r="B205" s="43"/>
      <c r="C205" s="116"/>
      <c r="D205" s="43"/>
      <c r="E205" s="67"/>
      <c r="F205" s="85"/>
    </row>
    <row r="206" spans="1:6" x14ac:dyDescent="0.25">
      <c r="A206" s="68"/>
      <c r="B206" s="43"/>
      <c r="C206" s="116"/>
      <c r="D206" s="43"/>
      <c r="E206" s="67"/>
      <c r="F206" s="85"/>
    </row>
    <row r="207" spans="1:6" x14ac:dyDescent="0.25">
      <c r="A207" s="68"/>
      <c r="B207" s="43"/>
      <c r="C207" s="116"/>
      <c r="D207" s="43"/>
      <c r="E207" s="67"/>
      <c r="F207" s="85"/>
    </row>
    <row r="208" spans="1:6" x14ac:dyDescent="0.25">
      <c r="A208" s="68"/>
      <c r="B208" s="43"/>
      <c r="C208" s="116"/>
      <c r="D208" s="43"/>
      <c r="E208" s="67"/>
      <c r="F208" s="85"/>
    </row>
    <row r="209" spans="3:3" x14ac:dyDescent="0.25">
      <c r="C209" s="51"/>
    </row>
    <row r="210" spans="3:3" x14ac:dyDescent="0.25">
      <c r="C210" s="51"/>
    </row>
    <row r="211" spans="3:3" x14ac:dyDescent="0.25">
      <c r="C211" s="51"/>
    </row>
    <row r="212" spans="3:3" x14ac:dyDescent="0.25">
      <c r="C212" s="51"/>
    </row>
    <row r="213" spans="3:3" x14ac:dyDescent="0.25">
      <c r="C213" s="51"/>
    </row>
    <row r="214" spans="3:3" x14ac:dyDescent="0.25">
      <c r="C214" s="51"/>
    </row>
    <row r="215" spans="3:3" x14ac:dyDescent="0.25">
      <c r="C215" s="51"/>
    </row>
  </sheetData>
  <sheetProtection selectLockedCells="1"/>
  <mergeCells count="1">
    <mergeCell ref="B4:C4"/>
  </mergeCells>
  <dataValidations count="1">
    <dataValidation type="list" allowBlank="1" showInputMessage="1" showErrorMessage="1" sqref="E11:E18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2"/>
  <sheetViews>
    <sheetView workbookViewId="0">
      <selection sqref="A1:C12"/>
    </sheetView>
  </sheetViews>
  <sheetFormatPr defaultColWidth="24.140625" defaultRowHeight="31.5" x14ac:dyDescent="0.5"/>
  <cols>
    <col min="1" max="1" width="39.7109375" style="86" customWidth="1"/>
    <col min="2" max="2" width="4.7109375" style="86" customWidth="1"/>
    <col min="3" max="3" width="45.28515625" style="87" customWidth="1"/>
    <col min="5" max="5" width="24.140625" style="87"/>
    <col min="6" max="16384" width="24.140625" style="86"/>
  </cols>
  <sheetData>
    <row r="1" spans="1:3" ht="54.75" customHeight="1" x14ac:dyDescent="0.9">
      <c r="A1" s="264" t="s">
        <v>137</v>
      </c>
      <c r="B1" s="264"/>
      <c r="C1" s="264"/>
    </row>
    <row r="2" spans="1:3" ht="36" customHeight="1" x14ac:dyDescent="0.9">
      <c r="A2" s="88"/>
      <c r="B2" s="88"/>
      <c r="C2" s="89"/>
    </row>
    <row r="3" spans="1:3" ht="61.5" x14ac:dyDescent="0.9">
      <c r="A3" s="264" t="s">
        <v>160</v>
      </c>
      <c r="B3" s="264"/>
      <c r="C3" s="264"/>
    </row>
    <row r="4" spans="1:3" ht="36" customHeight="1" x14ac:dyDescent="0.9">
      <c r="A4" s="88"/>
      <c r="B4" s="88"/>
      <c r="C4" s="89"/>
    </row>
    <row r="5" spans="1:3" ht="61.5" x14ac:dyDescent="0.9">
      <c r="A5" s="89" t="s">
        <v>119</v>
      </c>
      <c r="B5" s="92"/>
      <c r="C5" s="89" t="s">
        <v>183</v>
      </c>
    </row>
    <row r="6" spans="1:3" ht="61.5" x14ac:dyDescent="0.9">
      <c r="A6" s="91" t="s">
        <v>133</v>
      </c>
      <c r="B6" s="93" t="s">
        <v>120</v>
      </c>
      <c r="C6" s="90">
        <f>IF(MainSummary!F30&lt;&gt;"",MainSummary!F30,"n/a")</f>
        <v>909</v>
      </c>
    </row>
    <row r="7" spans="1:3" ht="61.5" x14ac:dyDescent="0.9">
      <c r="A7" s="91" t="s">
        <v>134</v>
      </c>
      <c r="B7" s="93" t="s">
        <v>120</v>
      </c>
      <c r="C7" s="90">
        <f>IF(MainSummary!F31&lt;&gt;"",MainSummary!F31,"n/a")</f>
        <v>615</v>
      </c>
    </row>
    <row r="8" spans="1:3" ht="61.5" x14ac:dyDescent="0.9">
      <c r="A8" s="91" t="s">
        <v>94</v>
      </c>
      <c r="B8" s="93" t="s">
        <v>120</v>
      </c>
      <c r="C8" s="90">
        <f>IF(MainSummary!F32&lt;&gt;"",MainSummary!F32,"n/a")</f>
        <v>340</v>
      </c>
    </row>
    <row r="9" spans="1:3" ht="61.5" x14ac:dyDescent="0.9">
      <c r="A9" s="91" t="s">
        <v>91</v>
      </c>
      <c r="B9" s="93" t="s">
        <v>120</v>
      </c>
      <c r="C9" s="90">
        <f>IF(MainSummary!F34&lt;&gt;"",MainSummary!F34,"n/a")</f>
        <v>175</v>
      </c>
    </row>
    <row r="10" spans="1:3" ht="61.5" x14ac:dyDescent="0.9">
      <c r="A10" s="91" t="s">
        <v>105</v>
      </c>
      <c r="B10" s="93" t="s">
        <v>120</v>
      </c>
      <c r="C10" s="90">
        <f>IF(MainSummary!F38&lt;&gt;"",MainSummary!F38,"n/a")</f>
        <v>145</v>
      </c>
    </row>
    <row r="11" spans="1:3" ht="61.5" x14ac:dyDescent="0.9">
      <c r="A11" s="91" t="s">
        <v>112</v>
      </c>
      <c r="B11" s="93" t="s">
        <v>120</v>
      </c>
      <c r="C11" s="90" t="str">
        <f>IF(MainSummary!F46&gt;"",MainSummary!F46,"n/a")</f>
        <v>n/a</v>
      </c>
    </row>
    <row r="12" spans="1:3" ht="61.5" x14ac:dyDescent="0.9">
      <c r="A12" s="200"/>
      <c r="B12" s="93"/>
      <c r="C12" s="90"/>
    </row>
    <row r="13" spans="1:3" x14ac:dyDescent="0.5">
      <c r="A13" s="87"/>
      <c r="B13" s="87"/>
    </row>
    <row r="14" spans="1:3" x14ac:dyDescent="0.5">
      <c r="A14" s="87"/>
      <c r="B14" s="87"/>
    </row>
    <row r="15" spans="1:3" x14ac:dyDescent="0.5">
      <c r="A15" s="87"/>
      <c r="B15" s="87"/>
    </row>
    <row r="16" spans="1:3" x14ac:dyDescent="0.5">
      <c r="A16" s="87"/>
      <c r="B16" s="87"/>
    </row>
    <row r="17" spans="1:2" x14ac:dyDescent="0.5">
      <c r="A17" s="87"/>
      <c r="B17" s="87"/>
    </row>
    <row r="18" spans="1:2" x14ac:dyDescent="0.5">
      <c r="A18" s="87"/>
      <c r="B18" s="87"/>
    </row>
    <row r="19" spans="1:2" x14ac:dyDescent="0.5">
      <c r="A19" s="87"/>
      <c r="B19" s="87"/>
    </row>
    <row r="20" spans="1:2" x14ac:dyDescent="0.5">
      <c r="A20" s="87"/>
      <c r="B20" s="87"/>
    </row>
    <row r="21" spans="1:2" x14ac:dyDescent="0.5">
      <c r="A21" s="87"/>
      <c r="B21" s="87"/>
    </row>
    <row r="22" spans="1:2" x14ac:dyDescent="0.5">
      <c r="A22" s="87"/>
      <c r="B22" s="87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7"/>
  <sheetViews>
    <sheetView workbookViewId="0">
      <selection activeCell="G13" sqref="G13"/>
    </sheetView>
  </sheetViews>
  <sheetFormatPr defaultRowHeight="28.5" x14ac:dyDescent="0.45"/>
  <cols>
    <col min="1" max="1" width="13.85546875" style="140" bestFit="1" customWidth="1"/>
    <col min="2" max="2" width="4.140625" style="138" customWidth="1"/>
    <col min="3" max="3" width="18.42578125" style="138" bestFit="1" customWidth="1"/>
    <col min="4" max="4" width="5" style="138" customWidth="1"/>
    <col min="5" max="5" width="61.140625" style="136" customWidth="1"/>
    <col min="6" max="7" width="10.85546875" style="138" customWidth="1"/>
    <col min="8" max="16384" width="9.140625" style="136"/>
  </cols>
  <sheetData>
    <row r="1" spans="1:5" x14ac:dyDescent="0.45">
      <c r="A1" s="265" t="s">
        <v>132</v>
      </c>
      <c r="B1" s="265"/>
      <c r="C1" s="265"/>
      <c r="D1" s="143"/>
      <c r="E1" s="138" t="s">
        <v>137</v>
      </c>
    </row>
    <row r="3" spans="1:5" x14ac:dyDescent="0.45">
      <c r="A3" s="137" t="s">
        <v>119</v>
      </c>
      <c r="C3" s="139" t="s">
        <v>135</v>
      </c>
      <c r="E3" s="138" t="s">
        <v>136</v>
      </c>
    </row>
    <row r="4" spans="1:5" x14ac:dyDescent="0.45">
      <c r="A4" s="140" t="s">
        <v>133</v>
      </c>
      <c r="B4" s="216" t="s">
        <v>120</v>
      </c>
      <c r="C4" s="142">
        <f>FMFBracketPayOffsFirstPlacePayOff</f>
        <v>909</v>
      </c>
      <c r="E4" s="141"/>
    </row>
    <row r="5" spans="1:5" x14ac:dyDescent="0.45">
      <c r="A5" s="140" t="s">
        <v>134</v>
      </c>
      <c r="B5" s="216" t="s">
        <v>120</v>
      </c>
      <c r="C5" s="142">
        <f>BracketPayOffs!C7</f>
        <v>615</v>
      </c>
      <c r="E5" s="141"/>
    </row>
    <row r="6" spans="1:5" x14ac:dyDescent="0.45">
      <c r="A6" s="138" t="str">
        <f>IF( (ROW(A6)+3)&gt;FMFSummaryQualifierCount,"","3 - 4")</f>
        <v>3 - 4</v>
      </c>
      <c r="B6" s="138" t="str">
        <f t="shared" ref="B6:B27" si="0">IF( (ROW(B6)+3)&gt;FMFSummaryQualifierCount,"","-")</f>
        <v>-</v>
      </c>
      <c r="C6" s="217">
        <f>IF( (ROW(C6)+3)&gt;FMFSummaryQualifierCount,"",BracketPayOffs!C8)</f>
        <v>340</v>
      </c>
      <c r="E6" s="141"/>
    </row>
    <row r="7" spans="1:5" x14ac:dyDescent="0.45">
      <c r="A7" s="138" t="str">
        <f>IF( (ROW(A7)+3)&gt;FMFSummaryQualifierCount,"","3 - 4")</f>
        <v>3 - 4</v>
      </c>
      <c r="B7" s="138" t="str">
        <f t="shared" si="0"/>
        <v>-</v>
      </c>
      <c r="C7" s="217">
        <f>IF( (ROW(C7)+3)&gt;FMFSummaryQualifierCount,"",BracketPayOffs!$C$8)</f>
        <v>340</v>
      </c>
      <c r="E7" s="141"/>
    </row>
    <row r="8" spans="1:5" x14ac:dyDescent="0.45">
      <c r="A8" s="138" t="str">
        <f>IF( (ROW(A8)+3)&gt;FMFSummaryQualifierCount,"","5 - 8")</f>
        <v>5 - 8</v>
      </c>
      <c r="B8" s="138" t="str">
        <f t="shared" si="0"/>
        <v>-</v>
      </c>
      <c r="C8" s="217">
        <f>IF( (ROW(C8)+3)&gt;FMFSummaryQualifierCount,"",BracketPayOffs!$C$9)</f>
        <v>175</v>
      </c>
      <c r="E8" s="141"/>
    </row>
    <row r="9" spans="1:5" x14ac:dyDescent="0.45">
      <c r="A9" s="138" t="str">
        <f>IF( (ROW(A9)+3)&gt;FMFSummaryQualifierCount,"","5 - 8")</f>
        <v>5 - 8</v>
      </c>
      <c r="B9" s="138" t="str">
        <f t="shared" si="0"/>
        <v>-</v>
      </c>
      <c r="C9" s="217">
        <f>IF( (ROW(C9)+3)&gt;FMFSummaryQualifierCount,"",BracketPayOffs!$C$9)</f>
        <v>175</v>
      </c>
      <c r="E9" s="141"/>
    </row>
    <row r="10" spans="1:5" x14ac:dyDescent="0.45">
      <c r="A10" s="138" t="str">
        <f>IF( (ROW(A10)+3)&gt;FMFSummaryQualifierCount,"","5 - 8")</f>
        <v>5 - 8</v>
      </c>
      <c r="B10" s="138" t="str">
        <f t="shared" si="0"/>
        <v>-</v>
      </c>
      <c r="C10" s="217">
        <f>IF( (ROW(C10)+3)&gt;FMFSummaryQualifierCount,"",BracketPayOffs!$C$9)</f>
        <v>175</v>
      </c>
      <c r="E10" s="141"/>
    </row>
    <row r="11" spans="1:5" x14ac:dyDescent="0.45">
      <c r="A11" s="138" t="str">
        <f>IF( (ROW(A11)+3)&gt;FMFSummaryQualifierCount,"","5 - 8")</f>
        <v>5 - 8</v>
      </c>
      <c r="B11" s="138" t="str">
        <f t="shared" si="0"/>
        <v>-</v>
      </c>
      <c r="C11" s="217">
        <f>IF( (ROW(C11)+3)&gt;FMFSummaryQualifierCount,"",BracketPayOffs!$C$9)</f>
        <v>175</v>
      </c>
      <c r="E11" s="141"/>
    </row>
    <row r="12" spans="1:5" x14ac:dyDescent="0.45">
      <c r="A12" s="138" t="str">
        <f t="shared" ref="A12:A19" si="1">IF( (ROW(A12)+3)&gt;FMFSummaryQualifierCount,"","9 - 16")</f>
        <v>9 - 16</v>
      </c>
      <c r="B12" s="138" t="str">
        <f t="shared" si="0"/>
        <v>-</v>
      </c>
      <c r="C12" s="217">
        <f>IF( (ROW(C12)+3)&gt;FMFSummaryQualifierCount,"",BracketPayOffs!$C$10)</f>
        <v>145</v>
      </c>
      <c r="E12" s="141"/>
    </row>
    <row r="13" spans="1:5" x14ac:dyDescent="0.45">
      <c r="A13" s="138" t="str">
        <f t="shared" si="1"/>
        <v/>
      </c>
      <c r="B13" s="138" t="str">
        <f t="shared" si="0"/>
        <v/>
      </c>
      <c r="C13" s="217" t="str">
        <f>IF( (ROW(C13)+3)&gt;FMFSummaryQualifierCount,"",BracketPayOffs!$C$10)</f>
        <v/>
      </c>
      <c r="E13" s="141"/>
    </row>
    <row r="14" spans="1:5" x14ac:dyDescent="0.45">
      <c r="A14" s="138" t="str">
        <f t="shared" si="1"/>
        <v/>
      </c>
      <c r="B14" s="138" t="str">
        <f t="shared" si="0"/>
        <v/>
      </c>
      <c r="C14" s="217" t="str">
        <f>IF( (ROW(C14)+3)&gt;FMFSummaryQualifierCount,"",BracketPayOffs!$C$10)</f>
        <v/>
      </c>
      <c r="E14" s="141"/>
    </row>
    <row r="15" spans="1:5" x14ac:dyDescent="0.45">
      <c r="A15" s="138" t="str">
        <f t="shared" si="1"/>
        <v/>
      </c>
      <c r="B15" s="138" t="str">
        <f t="shared" si="0"/>
        <v/>
      </c>
      <c r="C15" s="217" t="str">
        <f>IF( (ROW(C15)+3)&gt;FMFSummaryQualifierCount,"",BracketPayOffs!$C$10)</f>
        <v/>
      </c>
      <c r="E15" s="141"/>
    </row>
    <row r="16" spans="1:5" x14ac:dyDescent="0.45">
      <c r="A16" s="138" t="str">
        <f t="shared" si="1"/>
        <v/>
      </c>
      <c r="B16" s="138" t="str">
        <f t="shared" si="0"/>
        <v/>
      </c>
      <c r="C16" s="217" t="str">
        <f>IF( (ROW(C16)+3)&gt;FMFSummaryQualifierCount,"",BracketPayOffs!$C$10)</f>
        <v/>
      </c>
      <c r="E16" s="141"/>
    </row>
    <row r="17" spans="1:5" x14ac:dyDescent="0.45">
      <c r="A17" s="138" t="str">
        <f t="shared" si="1"/>
        <v/>
      </c>
      <c r="B17" s="138" t="str">
        <f t="shared" si="0"/>
        <v/>
      </c>
      <c r="C17" s="217" t="str">
        <f>IF( (ROW(C17)+3)&gt;FMFSummaryQualifierCount,"",BracketPayOffs!$C$10)</f>
        <v/>
      </c>
      <c r="E17" s="141"/>
    </row>
    <row r="18" spans="1:5" x14ac:dyDescent="0.45">
      <c r="A18" s="138" t="str">
        <f t="shared" si="1"/>
        <v/>
      </c>
      <c r="B18" s="138" t="str">
        <f t="shared" si="0"/>
        <v/>
      </c>
      <c r="C18" s="217" t="str">
        <f>IF( (ROW(C18)+3)&gt;FMFSummaryQualifierCount,"",BracketPayOffs!$C$10)</f>
        <v/>
      </c>
      <c r="E18" s="141"/>
    </row>
    <row r="19" spans="1:5" x14ac:dyDescent="0.45">
      <c r="A19" s="138" t="str">
        <f t="shared" si="1"/>
        <v/>
      </c>
      <c r="B19" s="138" t="str">
        <f t="shared" si="0"/>
        <v/>
      </c>
      <c r="C19" s="217" t="str">
        <f>IF( (ROW(C19)+3)&gt;FMFSummaryQualifierCount,"",BracketPayOffs!$C$10)</f>
        <v/>
      </c>
      <c r="E19" s="141"/>
    </row>
    <row r="20" spans="1:5" x14ac:dyDescent="0.45">
      <c r="A20" s="138" t="str">
        <f t="shared" ref="A20:A27" si="2">IF( (ROW(A20)+3)&gt;FMFSummaryQualifierCount,"","17 - 32")</f>
        <v/>
      </c>
      <c r="B20" s="138" t="str">
        <f t="shared" si="0"/>
        <v/>
      </c>
      <c r="C20" s="217" t="str">
        <f>IF( (ROW(C20)+3)&gt;FMFSummaryQualifierCount,"",BracketPayOffs!$C$11)</f>
        <v/>
      </c>
      <c r="E20" s="141"/>
    </row>
    <row r="21" spans="1:5" x14ac:dyDescent="0.45">
      <c r="A21" s="138" t="str">
        <f t="shared" si="2"/>
        <v/>
      </c>
      <c r="B21" s="138" t="str">
        <f t="shared" si="0"/>
        <v/>
      </c>
      <c r="C21" s="217" t="str">
        <f>IF( (ROW(C21)+3)&gt;FMFSummaryQualifierCount,"",BracketPayOffs!$C$11)</f>
        <v/>
      </c>
      <c r="E21" s="141"/>
    </row>
    <row r="22" spans="1:5" x14ac:dyDescent="0.45">
      <c r="A22" s="138" t="str">
        <f t="shared" si="2"/>
        <v/>
      </c>
      <c r="B22" s="138" t="str">
        <f t="shared" si="0"/>
        <v/>
      </c>
      <c r="C22" s="217" t="str">
        <f>IF( (ROW(C22)+3)&gt;FMFSummaryQualifierCount,"",BracketPayOffs!$C$11)</f>
        <v/>
      </c>
      <c r="E22" s="141"/>
    </row>
    <row r="23" spans="1:5" x14ac:dyDescent="0.45">
      <c r="A23" s="138" t="str">
        <f t="shared" si="2"/>
        <v/>
      </c>
      <c r="B23" s="138" t="str">
        <f t="shared" si="0"/>
        <v/>
      </c>
      <c r="C23" s="217" t="str">
        <f>IF( (ROW(C23)+3)&gt;FMFSummaryQualifierCount,"",BracketPayOffs!$C$11)</f>
        <v/>
      </c>
      <c r="E23" s="141"/>
    </row>
    <row r="24" spans="1:5" x14ac:dyDescent="0.45">
      <c r="A24" s="138" t="str">
        <f t="shared" si="2"/>
        <v/>
      </c>
      <c r="B24" s="138" t="str">
        <f t="shared" si="0"/>
        <v/>
      </c>
      <c r="C24" s="217" t="str">
        <f>IF( (ROW(C24)+3)&gt;FMFSummaryQualifierCount,"",BracketPayOffs!$C$11)</f>
        <v/>
      </c>
      <c r="E24" s="141"/>
    </row>
    <row r="25" spans="1:5" x14ac:dyDescent="0.45">
      <c r="A25" s="138" t="str">
        <f t="shared" si="2"/>
        <v/>
      </c>
      <c r="B25" s="138" t="str">
        <f t="shared" si="0"/>
        <v/>
      </c>
      <c r="C25" s="217" t="str">
        <f>IF( (ROW(C25)+3)&gt;FMFSummaryQualifierCount,"",BracketPayOffs!$C$11)</f>
        <v/>
      </c>
      <c r="E25" s="141"/>
    </row>
    <row r="26" spans="1:5" x14ac:dyDescent="0.45">
      <c r="A26" s="138" t="str">
        <f t="shared" si="2"/>
        <v/>
      </c>
      <c r="B26" s="138" t="str">
        <f t="shared" si="0"/>
        <v/>
      </c>
      <c r="C26" s="217" t="str">
        <f>IF( (ROW(C26)+3)&gt;FMFSummaryQualifierCount,"",BracketPayOffs!$C$11)</f>
        <v/>
      </c>
      <c r="E26" s="141"/>
    </row>
    <row r="27" spans="1:5" x14ac:dyDescent="0.45">
      <c r="A27" s="138" t="str">
        <f t="shared" si="2"/>
        <v/>
      </c>
      <c r="B27" s="138" t="str">
        <f t="shared" si="0"/>
        <v/>
      </c>
      <c r="C27" s="217" t="str">
        <f>IF( (ROW(C27)+3)&gt;FMFSummaryQualifierCount,"",BracketPayOffs!$C$11)</f>
        <v/>
      </c>
      <c r="E27" s="141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K267"/>
  <sheetViews>
    <sheetView zoomScale="75" zoomScaleNormal="75" workbookViewId="0">
      <selection activeCell="H9" sqref="H9:H17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101</v>
      </c>
      <c r="C1" s="27" t="s">
        <v>102</v>
      </c>
      <c r="D1" s="27" t="s">
        <v>103</v>
      </c>
      <c r="E1" s="27" t="s">
        <v>104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97</v>
      </c>
      <c r="AH3" s="5" t="s">
        <v>98</v>
      </c>
      <c r="AI3" s="5" t="s">
        <v>99</v>
      </c>
      <c r="AJ3" s="5" t="s">
        <v>100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4" t="s">
        <v>116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4" t="s">
        <v>115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>(+B11+B12)/2</f>
        <v>0.1</v>
      </c>
      <c r="C48" s="19">
        <f>(+C11+C12)/2</f>
        <v>0.155</v>
      </c>
      <c r="D48" s="19">
        <f>(+D11+D12)/2</f>
        <v>0.14399999999999999</v>
      </c>
      <c r="E48" s="19">
        <f>(+E11+E12)/2</f>
        <v>0.1285</v>
      </c>
      <c r="F48" s="19">
        <f>(+F11+F12)/2</f>
        <v>0.11749999999999999</v>
      </c>
      <c r="G48" s="19">
        <f t="shared" ref="G48:AK48" si="1">(+G11+G12)/2</f>
        <v>0.114</v>
      </c>
      <c r="H48" s="19">
        <f t="shared" si="1"/>
        <v>0.112</v>
      </c>
      <c r="I48" s="19">
        <f t="shared" si="1"/>
        <v>0.108</v>
      </c>
      <c r="J48" s="19">
        <f t="shared" si="1"/>
        <v>0.10550000000000001</v>
      </c>
      <c r="K48" s="19">
        <f t="shared" si="1"/>
        <v>0.10450000000000001</v>
      </c>
      <c r="L48" s="19">
        <f t="shared" si="1"/>
        <v>0.1</v>
      </c>
      <c r="M48" s="19">
        <f t="shared" si="1"/>
        <v>9.6500000000000002E-2</v>
      </c>
      <c r="N48" s="19">
        <f t="shared" si="1"/>
        <v>9.8000000000000004E-2</v>
      </c>
      <c r="O48" s="19">
        <f t="shared" si="1"/>
        <v>9.6500000000000002E-2</v>
      </c>
      <c r="P48" s="19">
        <f t="shared" si="1"/>
        <v>8.8499999999999995E-2</v>
      </c>
      <c r="Q48" s="19">
        <f t="shared" si="1"/>
        <v>8.5499999999999993E-2</v>
      </c>
      <c r="R48" s="19">
        <f t="shared" si="1"/>
        <v>8.1000000000000003E-2</v>
      </c>
      <c r="S48" s="19">
        <f t="shared" si="1"/>
        <v>7.7499999999999999E-2</v>
      </c>
      <c r="T48" s="19">
        <f t="shared" si="1"/>
        <v>7.8E-2</v>
      </c>
      <c r="U48" s="19">
        <f t="shared" si="1"/>
        <v>7.6999999999999999E-2</v>
      </c>
      <c r="V48" s="19">
        <f t="shared" si="1"/>
        <v>7.6499999999999999E-2</v>
      </c>
      <c r="W48" s="19">
        <f t="shared" si="1"/>
        <v>7.6999999999999999E-2</v>
      </c>
      <c r="X48" s="19">
        <f t="shared" si="1"/>
        <v>7.7499999999999999E-2</v>
      </c>
      <c r="Y48" s="19">
        <f t="shared" si="1"/>
        <v>7.6999999999999999E-2</v>
      </c>
      <c r="Z48" s="19">
        <f t="shared" si="1"/>
        <v>7.85E-2</v>
      </c>
      <c r="AA48" s="19">
        <f t="shared" si="1"/>
        <v>7.6499999999999999E-2</v>
      </c>
      <c r="AB48" s="19">
        <f t="shared" si="1"/>
        <v>7.6499999999999999E-2</v>
      </c>
      <c r="AC48" s="19">
        <f t="shared" si="1"/>
        <v>7.5999999999999998E-2</v>
      </c>
      <c r="AD48" s="19">
        <f t="shared" si="1"/>
        <v>7.8E-2</v>
      </c>
      <c r="AE48" s="19">
        <f t="shared" si="1"/>
        <v>7.6499999999999999E-2</v>
      </c>
      <c r="AF48" s="19">
        <f t="shared" si="1"/>
        <v>6.7250000000000004E-2</v>
      </c>
      <c r="AG48" s="19">
        <f t="shared" si="1"/>
        <v>6.6000000000000003E-2</v>
      </c>
      <c r="AH48" s="19">
        <f t="shared" si="1"/>
        <v>6.25E-2</v>
      </c>
      <c r="AI48" s="19">
        <f t="shared" si="1"/>
        <v>6.0499999999999998E-2</v>
      </c>
      <c r="AJ48" s="19">
        <f t="shared" si="1"/>
        <v>0.06</v>
      </c>
      <c r="AK48" s="19">
        <f t="shared" si="1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>1-B47</f>
        <v>0</v>
      </c>
      <c r="C51" s="19">
        <f>1-C47</f>
        <v>0</v>
      </c>
      <c r="D51" s="19">
        <f>1-D47</f>
        <v>0</v>
      </c>
      <c r="E51" s="19">
        <f>1-E47</f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101</v>
      </c>
      <c r="C1" s="27" t="s">
        <v>102</v>
      </c>
      <c r="D1" s="27" t="s">
        <v>103</v>
      </c>
      <c r="E1" s="27" t="s">
        <v>104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97</v>
      </c>
      <c r="AH3" s="5" t="s">
        <v>98</v>
      </c>
      <c r="AI3" s="5" t="s">
        <v>99</v>
      </c>
      <c r="AJ3" s="5" t="s">
        <v>100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4" t="s">
        <v>116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4" t="s">
        <v>115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151"/>
    <col min="6" max="6" width="9.140625" style="3"/>
  </cols>
  <sheetData>
    <row r="1" spans="1:16" x14ac:dyDescent="0.25">
      <c r="G1" s="34" t="s">
        <v>158</v>
      </c>
      <c r="K1" s="34" t="s">
        <v>157</v>
      </c>
      <c r="O1" s="34" t="s">
        <v>138</v>
      </c>
    </row>
    <row r="2" spans="1:16" x14ac:dyDescent="0.25">
      <c r="A2" s="34" t="s">
        <v>139</v>
      </c>
      <c r="C2" s="151">
        <v>3525</v>
      </c>
      <c r="D2" s="151" t="s">
        <v>145</v>
      </c>
      <c r="F2" s="3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s="34" customFormat="1" x14ac:dyDescent="0.25">
      <c r="C3" s="151">
        <v>400</v>
      </c>
      <c r="D3" s="151" t="s">
        <v>146</v>
      </c>
      <c r="E3" s="151"/>
      <c r="F3" s="3">
        <v>100</v>
      </c>
      <c r="G3" s="34">
        <v>4</v>
      </c>
      <c r="H3" s="34">
        <f>+G3*F3</f>
        <v>400</v>
      </c>
      <c r="J3" s="3">
        <v>100</v>
      </c>
      <c r="K3" s="34">
        <v>11</v>
      </c>
      <c r="L3" s="34">
        <f>+K3*J3</f>
        <v>1100</v>
      </c>
      <c r="N3" s="34">
        <v>7.5</v>
      </c>
      <c r="O3" s="34">
        <v>58</v>
      </c>
      <c r="P3" s="34">
        <f>+O3*N3</f>
        <v>435</v>
      </c>
    </row>
    <row r="4" spans="1:16" s="34" customFormat="1" x14ac:dyDescent="0.25">
      <c r="C4" s="151">
        <v>100</v>
      </c>
      <c r="D4" s="151" t="s">
        <v>147</v>
      </c>
      <c r="E4" s="151"/>
      <c r="F4" s="3">
        <v>50</v>
      </c>
      <c r="G4" s="34">
        <v>2</v>
      </c>
      <c r="H4" s="34">
        <f>+G4*F4</f>
        <v>100</v>
      </c>
      <c r="J4" s="3">
        <v>50</v>
      </c>
      <c r="K4" s="34">
        <v>2</v>
      </c>
      <c r="L4" s="34">
        <f>+K4*J4</f>
        <v>100</v>
      </c>
      <c r="O4" s="34" t="s">
        <v>159</v>
      </c>
      <c r="P4" s="34">
        <v>150</v>
      </c>
    </row>
    <row r="5" spans="1:16" s="34" customFormat="1" x14ac:dyDescent="0.25">
      <c r="C5" s="151"/>
      <c r="D5" s="151"/>
      <c r="E5" s="151"/>
      <c r="F5" s="3">
        <v>20</v>
      </c>
      <c r="G5" s="34">
        <v>25</v>
      </c>
      <c r="H5" s="34">
        <f>+G5*F5</f>
        <v>500</v>
      </c>
      <c r="J5" s="3">
        <v>20</v>
      </c>
      <c r="K5" s="34">
        <v>41</v>
      </c>
      <c r="L5" s="34">
        <f>+K5*J5</f>
        <v>820</v>
      </c>
      <c r="P5" s="34">
        <f>SUM(P2:P4)</f>
        <v>875</v>
      </c>
    </row>
    <row r="6" spans="1:16" x14ac:dyDescent="0.25">
      <c r="F6" s="3">
        <v>5</v>
      </c>
      <c r="G6">
        <v>12</v>
      </c>
      <c r="H6" s="34">
        <f>+G6*F6</f>
        <v>60</v>
      </c>
      <c r="J6" s="3">
        <v>5</v>
      </c>
      <c r="K6" s="34">
        <v>0</v>
      </c>
      <c r="L6" s="34">
        <f>+K6*J6</f>
        <v>0</v>
      </c>
    </row>
    <row r="7" spans="1:16" s="34" customFormat="1" x14ac:dyDescent="0.25">
      <c r="B7" s="3"/>
      <c r="C7" s="151"/>
      <c r="D7" s="151"/>
      <c r="E7" s="151"/>
      <c r="F7" s="3"/>
      <c r="H7" s="34">
        <f>SUM(H2:H6)</f>
        <v>1157</v>
      </c>
      <c r="J7" s="3"/>
      <c r="L7" s="34">
        <f>SUM(L2:L6)</f>
        <v>2020</v>
      </c>
    </row>
    <row r="8" spans="1:16" x14ac:dyDescent="0.25">
      <c r="A8" s="34" t="s">
        <v>151</v>
      </c>
      <c r="C8" s="151">
        <v>1120</v>
      </c>
    </row>
    <row r="9" spans="1:16" s="34" customFormat="1" x14ac:dyDescent="0.25">
      <c r="C9" s="151"/>
      <c r="D9" s="151"/>
      <c r="E9" s="151"/>
      <c r="F9" s="3"/>
    </row>
    <row r="10" spans="1:16" s="34" customFormat="1" x14ac:dyDescent="0.25">
      <c r="B10" s="3" t="s">
        <v>152</v>
      </c>
      <c r="C10" s="151">
        <f>SUM(C2:C9)</f>
        <v>5145</v>
      </c>
      <c r="D10" s="151"/>
      <c r="E10" s="151"/>
      <c r="F10" s="3"/>
    </row>
    <row r="11" spans="1:16" s="34" customFormat="1" x14ac:dyDescent="0.25">
      <c r="C11" s="151"/>
      <c r="D11" s="151"/>
      <c r="E11" s="151"/>
      <c r="F11" s="3"/>
    </row>
    <row r="12" spans="1:16" x14ac:dyDescent="0.25">
      <c r="A12" s="34" t="s">
        <v>140</v>
      </c>
    </row>
    <row r="13" spans="1:16" x14ac:dyDescent="0.25">
      <c r="B13" s="3" t="s">
        <v>154</v>
      </c>
      <c r="C13" s="153">
        <v>65</v>
      </c>
    </row>
    <row r="14" spans="1:16" x14ac:dyDescent="0.25">
      <c r="B14" s="3" t="s">
        <v>155</v>
      </c>
      <c r="C14" s="153">
        <v>4</v>
      </c>
    </row>
    <row r="15" spans="1:16" x14ac:dyDescent="0.25">
      <c r="B15" s="3" t="s">
        <v>156</v>
      </c>
      <c r="C15" s="153">
        <v>58</v>
      </c>
    </row>
    <row r="16" spans="1:16" x14ac:dyDescent="0.25">
      <c r="B16" s="3"/>
      <c r="C16" s="153"/>
    </row>
    <row r="17" spans="1:4" x14ac:dyDescent="0.25">
      <c r="B17" s="3"/>
      <c r="C17" s="153"/>
    </row>
    <row r="18" spans="1:4" x14ac:dyDescent="0.25">
      <c r="B18" s="3"/>
      <c r="C18" s="153"/>
    </row>
    <row r="19" spans="1:4" x14ac:dyDescent="0.25">
      <c r="C19" s="153"/>
    </row>
    <row r="20" spans="1:4" x14ac:dyDescent="0.25">
      <c r="A20" s="34" t="s">
        <v>141</v>
      </c>
      <c r="C20" s="153">
        <f>+MainSummary!B26</f>
        <v>3049</v>
      </c>
      <c r="D20" s="152" t="s">
        <v>149</v>
      </c>
    </row>
    <row r="21" spans="1:4" x14ac:dyDescent="0.25">
      <c r="B21" s="34" t="s">
        <v>148</v>
      </c>
      <c r="C21" s="153"/>
    </row>
    <row r="22" spans="1:4" x14ac:dyDescent="0.25">
      <c r="C22" s="153"/>
    </row>
    <row r="23" spans="1:4" x14ac:dyDescent="0.25">
      <c r="A23" s="34" t="s">
        <v>142</v>
      </c>
      <c r="C23" s="153"/>
    </row>
    <row r="24" spans="1:4" x14ac:dyDescent="0.25">
      <c r="B24" s="17" t="s">
        <v>143</v>
      </c>
      <c r="C24" s="153"/>
      <c r="D24" s="152" t="s">
        <v>149</v>
      </c>
    </row>
    <row r="25" spans="1:4" x14ac:dyDescent="0.25">
      <c r="B25" s="17" t="s">
        <v>144</v>
      </c>
      <c r="C25" s="153"/>
      <c r="D25" s="152" t="s">
        <v>149</v>
      </c>
    </row>
    <row r="26" spans="1:4" x14ac:dyDescent="0.25">
      <c r="C26" s="153"/>
    </row>
    <row r="27" spans="1:4" x14ac:dyDescent="0.25">
      <c r="C27" s="153"/>
    </row>
    <row r="28" spans="1:4" x14ac:dyDescent="0.25">
      <c r="C28" s="153"/>
    </row>
    <row r="29" spans="1:4" x14ac:dyDescent="0.25">
      <c r="B29" s="34" t="s">
        <v>150</v>
      </c>
      <c r="C29" s="153">
        <f>SUM(C13:C28)</f>
        <v>3176</v>
      </c>
    </row>
    <row r="31" spans="1:4" x14ac:dyDescent="0.25">
      <c r="B31" s="34" t="s">
        <v>153</v>
      </c>
      <c r="C31" s="151">
        <f>+C10-C29</f>
        <v>1969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162</v>
      </c>
    </row>
    <row r="3" spans="1:2" x14ac:dyDescent="0.25">
      <c r="A3">
        <v>2</v>
      </c>
      <c r="B3" t="s">
        <v>163</v>
      </c>
    </row>
    <row r="4" spans="1:2" x14ac:dyDescent="0.25">
      <c r="A4">
        <v>3</v>
      </c>
      <c r="B4" t="s">
        <v>172</v>
      </c>
    </row>
    <row r="5" spans="1:2" x14ac:dyDescent="0.25">
      <c r="A5">
        <v>4</v>
      </c>
      <c r="B5" t="s">
        <v>173</v>
      </c>
    </row>
    <row r="6" spans="1:2" x14ac:dyDescent="0.25">
      <c r="A6">
        <v>5</v>
      </c>
      <c r="B6" t="s">
        <v>174</v>
      </c>
    </row>
    <row r="7" spans="1:2" x14ac:dyDescent="0.25">
      <c r="A7">
        <v>6</v>
      </c>
      <c r="B7" t="s">
        <v>175</v>
      </c>
    </row>
    <row r="8" spans="1:2" x14ac:dyDescent="0.25">
      <c r="A8">
        <v>7</v>
      </c>
      <c r="B8" t="s">
        <v>176</v>
      </c>
    </row>
    <row r="10" spans="1:2" x14ac:dyDescent="0.25">
      <c r="B10" s="11"/>
    </row>
    <row r="11" spans="1:2" x14ac:dyDescent="0.25">
      <c r="B11" s="11"/>
    </row>
    <row r="12" spans="1:2" x14ac:dyDescent="0.25">
      <c r="B12" s="14"/>
    </row>
    <row r="13" spans="1:2" x14ac:dyDescent="0.25">
      <c r="B13" s="14"/>
    </row>
    <row r="14" spans="1:2" x14ac:dyDescent="0.25">
      <c r="B14" s="11"/>
    </row>
    <row r="15" spans="1:2" x14ac:dyDescent="0.25">
      <c r="B15" s="11"/>
    </row>
    <row r="16" spans="1:2" x14ac:dyDescent="0.25">
      <c r="B16" s="11"/>
    </row>
    <row r="17" spans="2:2" x14ac:dyDescent="0.25">
      <c r="B17" s="11"/>
    </row>
    <row r="18" spans="2:2" x14ac:dyDescent="0.25">
      <c r="B18" s="11"/>
    </row>
    <row r="19" spans="2:2" x14ac:dyDescent="0.25">
      <c r="B19" s="11"/>
    </row>
    <row r="20" spans="2:2" x14ac:dyDescent="0.25">
      <c r="B20" s="11"/>
    </row>
    <row r="21" spans="2:2" x14ac:dyDescent="0.25">
      <c r="B21" s="11"/>
    </row>
    <row r="22" spans="2:2" x14ac:dyDescent="0.25">
      <c r="B22" s="11"/>
    </row>
    <row r="23" spans="2:2" x14ac:dyDescent="0.25">
      <c r="B23" s="11"/>
    </row>
    <row r="24" spans="2:2" x14ac:dyDescent="0.25">
      <c r="B24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48</vt:i4>
      </vt:variant>
    </vt:vector>
  </HeadingPairs>
  <TitlesOfParts>
    <vt:vector size="57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FMFBenefitsTotal</vt:lpstr>
      <vt:lpstr>FMFBracketPayOffsAllEntries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FMFBracketsPayoffsPrintArea</vt:lpstr>
      <vt:lpstr>FMFExpensesAllentryFields</vt:lpstr>
      <vt:lpstr>FMFMiscExpensesTotal</vt:lpstr>
      <vt:lpstr>FMFPayOffSignOffPrintArea</vt:lpstr>
      <vt:lpstr>FMFPayoffTablePercentOrigin</vt:lpstr>
      <vt:lpstr>FMFPayoffTableQualifiersHdr</vt:lpstr>
      <vt:lpstr>FMFPayoutsFirstPlacePayout</vt:lpstr>
      <vt:lpstr>FMFPayoutsHdr</vt:lpstr>
      <vt:lpstr>FMFSignOffAllEntries</vt:lpstr>
      <vt:lpstr>FMFSignOffAmountHdr</vt:lpstr>
      <vt:lpstr>FMFSignOffBracketHdr</vt:lpstr>
      <vt:lpstr>FMFSignOffSignatureHdr</vt:lpstr>
      <vt:lpstr>FMFSummaryAccFee</vt:lpstr>
      <vt:lpstr>FMFsummaryAdjustments</vt:lpstr>
      <vt:lpstr>FMFSummaryAdjustmentsHdr</vt:lpstr>
      <vt:lpstr>FMFSummaryAllInput</vt:lpstr>
      <vt:lpstr>FMFSummaryBracketsHdr</vt:lpstr>
      <vt:lpstr>FMFSummaryDonation</vt:lpstr>
      <vt:lpstr>FMFSummaryEntryFee</vt:lpstr>
      <vt:lpstr>FMFSummaryFinalHdr</vt:lpstr>
      <vt:lpstr>FMFSummaryPercentsHdr</vt:lpstr>
      <vt:lpstr>FMFSummaryPerPlayer</vt:lpstr>
      <vt:lpstr>FMFSummaryPerPlayerExpenseAllowed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PayOffSignOff!Print_Area</vt:lpstr>
      <vt:lpstr>PlayerBenefits!Print_Area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mlr94549</cp:lastModifiedBy>
  <cp:lastPrinted>2023-07-24T15:45:10Z</cp:lastPrinted>
  <dcterms:created xsi:type="dcterms:W3CDTF">2014-06-07T17:42:48Z</dcterms:created>
  <dcterms:modified xsi:type="dcterms:W3CDTF">2023-07-25T03:56:43Z</dcterms:modified>
</cp:coreProperties>
</file>