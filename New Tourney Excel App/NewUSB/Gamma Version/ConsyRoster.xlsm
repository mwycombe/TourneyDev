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BC3F11DF-10F2-42BE-8664-CD6347C9F08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</definedName>
    <definedName name="FCRCCInTourneyDate">ConsyCheckInSheet!$C$6</definedName>
    <definedName name="FCRCCInTourneyLocation">ConsyCheckInSheet!$C$4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<sst xmlns="http://schemas.openxmlformats.org/spreadsheetml/2006/main" count="580" uniqueCount="236">
  <si>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</si>
  <si>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</si>
  <si>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</si>
  <si>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</si>
  <si>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</si>
  <si>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</si>
  <si>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</si>
  <si>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</si>
  <si>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</si>
  <si>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</si>
  <si>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</si>
  <si>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</si>
  <si>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</si>
  <si>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</si>
  <si>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</si>
  <si>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</si>
  <si>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</si>
  <si>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</si>
  <si>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</si>
  <si>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</si>
  <si>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</si>
  <si>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</si>
  <si>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</si>
  <si>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</si>
  <si>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</si>
  <si>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</si>
  <si>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</si>
  <si>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</si>
  <si>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</si>
  <si>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</si>
  <si>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</si>
  <si>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</si>
  <si>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</si>
  <si>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</si>
  <si>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</si>
  <si>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</si>
  <si>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</si>
  <si>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</si>
  <si>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</si>
  <si>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</si>
  <si>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</si>
  <si>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</si>
  <si>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</si>
  <si>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</si>
  <si>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</si>
  <si>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</si>
  <si>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</si>
  <si>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</si>
  <si>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</si>
  <si>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</si>
  <si>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</si>
  <si>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</si>
  <si>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</si>
  <si>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</si>
  <si>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</si>
  <si>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</si>
  <si>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</si>
  <si>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</si>
  <si>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</si>
  <si>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</si>
  <si>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</si>
  <si>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</si>
  <si>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</si>
  <si>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</si>
  <si>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</si>
  <si>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</si>
  <si>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</si>
  <si>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</si>
  <si>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</si>
  <si>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</si>
  <si>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</si>
  <si>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</si>
  <si>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</si>
  <si>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</si>
  <si>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</si>
  <si>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</si>
  <si>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</si>
  <si>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</si>
  <si>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</si>
  <si>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Ca, 94558</t>
  </si>
  <si>
    <t>4/242024</t>
  </si>
  <si>
    <t>Azelton, Randy</t>
  </si>
  <si>
    <t>Atascadero</t>
  </si>
  <si>
    <t>CA-7571</t>
  </si>
  <si>
    <t>Boyer, Lori</t>
  </si>
  <si>
    <t>Oroville, CA</t>
  </si>
  <si>
    <t>CA-7198</t>
  </si>
  <si>
    <t>Dalton, Sue</t>
  </si>
  <si>
    <t xml:space="preserve">Napa, Ca </t>
  </si>
  <si>
    <t>CA-8075</t>
  </si>
  <si>
    <t>Fanucchi, Margaret</t>
  </si>
  <si>
    <t>Sacramento, CA</t>
  </si>
  <si>
    <t>CA-6646</t>
  </si>
  <si>
    <t>Humiston, Lisa</t>
  </si>
  <si>
    <t>Susuin City, CA</t>
  </si>
  <si>
    <t>CA-7257</t>
  </si>
  <si>
    <t>Katzman, Stan</t>
  </si>
  <si>
    <t>Rio Vista, CA</t>
  </si>
  <si>
    <t>CA-4499</t>
  </si>
  <si>
    <t>Levy, Adrian</t>
  </si>
  <si>
    <t>Lafayette, CA</t>
  </si>
  <si>
    <t>CA-2258</t>
  </si>
  <si>
    <t>Rockwell, Barry</t>
  </si>
  <si>
    <t>Fairfield, CA</t>
  </si>
  <si>
    <t>CA-4932L</t>
  </si>
  <si>
    <t>Schlabes, Bill</t>
  </si>
  <si>
    <t>W. Sacramento, CA</t>
  </si>
  <si>
    <t>CA-5515</t>
  </si>
  <si>
    <t>Shea, Rick</t>
  </si>
  <si>
    <t>Eureka, CA</t>
  </si>
  <si>
    <t>CA-4103</t>
  </si>
  <si>
    <t>Tellez, Barbara</t>
  </si>
  <si>
    <t>Napa, CA</t>
  </si>
  <si>
    <t>CA-5378</t>
  </si>
  <si>
    <t>Tuscher, Steve</t>
  </si>
  <si>
    <t>Petaluma, CA</t>
  </si>
  <si>
    <t>No Acc#</t>
  </si>
  <si>
    <t>Wakeman, Bill</t>
  </si>
  <si>
    <t>San Lorenzo, CA</t>
  </si>
  <si>
    <t>CA-875</t>
  </si>
  <si>
    <t>Washington, Carolyn</t>
  </si>
  <si>
    <t>Fair Oaks, CA</t>
  </si>
  <si>
    <t>CA-6863</t>
  </si>
  <si>
    <t>Ziari, Farokh</t>
  </si>
  <si>
    <t>Fremont, CA</t>
  </si>
  <si>
    <t>CA-5731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</si>
  <si>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</si>
  <si>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</si>
  <si>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</si>
  <si>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</si>
  <si>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</si>
  <si>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</si>
  <si>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</si>
  <si>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</si>
  <si>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Clark, Jim</t>
  </si>
  <si>
    <t>Livermore, CA</t>
  </si>
  <si>
    <t>CA-5195</t>
  </si>
  <si>
    <t>Cox, Robert</t>
  </si>
  <si>
    <t>Santa Rosa, CA</t>
  </si>
  <si>
    <t>CA-6616</t>
  </si>
  <si>
    <t>Doppelt, Jackie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</si>
  <si>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</si>
  <si>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</si>
  <si>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</si>
  <si>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</si>
  <si>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</si>
  <si>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</si>
  <si>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</si>
  <si>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</si>
  <si>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</si>
  <si>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</si>
  <si>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</si>
  <si>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</si>
  <si>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</si>
  <si>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</si>
  <si>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</si>
  <si>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</si>
  <si>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</si>
  <si>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</si>
  <si>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</si>
  <si>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</si>
  <si>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</si>
  <si>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</si>
  <si>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</si>
  <si>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</si>
  <si>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Holder, Ben</t>
  </si>
  <si>
    <t>CA-4090L</t>
  </si>
  <si>
    <t>Hom, Jones</t>
  </si>
  <si>
    <t>CA-925L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</si>
  <si>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</si>
  <si>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</si>
  <si>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</si>
  <si>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</si>
  <si>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</si>
  <si>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</si>
  <si>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</si>
  <si>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</si>
  <si>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</si>
  <si>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</si>
  <si>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</si>
  <si>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</si>
  <si>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</si>
  <si>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</si>
  <si>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</si>
  <si>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</si>
  <si>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</si>
  <si>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</si>
  <si>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</si>
  <si>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</si>
  <si>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</si>
  <si>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</si>
  <si>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</si>
  <si>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</si>
  <si>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</si>
  <si>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</si>
  <si>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</si>
  <si>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</si>
  <si>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</si>
  <si>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</si>
  <si>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</si>
  <si>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</si>
  <si>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</si>
  <si>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</si>
  <si>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</si>
  <si>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</si>
  <si>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</si>
  <si>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</si>
  <si>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</si>
  <si>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</si>
  <si>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</si>
  <si>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Rogers, Michael</t>
  </si>
  <si>
    <t>CA-6999</t>
  </si>
  <si>
    <t>Sefick, Mike</t>
  </si>
  <si>
    <t>Salinas, CA</t>
  </si>
  <si>
    <t>CA-6962</t>
  </si>
  <si>
    <t>Shea, Peggy</t>
  </si>
  <si>
    <t>CA-3048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</si>
  <si>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</si>
  <si>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</si>
  <si>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</si>
  <si>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</si>
  <si>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</si>
  <si>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</si>
  <si>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</si>
  <si>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Van Scyoc, Cheryl</t>
  </si>
  <si>
    <t>CA-1638</t>
  </si>
  <si>
    <t>Van Scyoc, Garrett</t>
  </si>
  <si>
    <t>CA-5859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</si>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</sst>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0" xfId="0" applyNumberFormat="1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19" t="s">
        <v>56</v>
      </c>
      <c r="B1" s="219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7" t="s">
        <v>72</v>
      </c>
      <c r="E2" s="227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4" t="s">
        <v>57</v>
      </c>
      <c r="C3" s="224"/>
      <c r="D3" s="223" t="s">
        <v>77</v>
      </c>
      <c r="E3" s="223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4" t="s">
        <v>58</v>
      </c>
      <c r="C4" s="224"/>
      <c r="D4" s="223" t="s">
        <v>78</v>
      </c>
      <c r="E4" s="223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4" t="s">
        <v>59</v>
      </c>
      <c r="C5" s="224"/>
      <c r="D5" s="223" t="s">
        <v>79</v>
      </c>
      <c r="E5" s="223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4" t="s">
        <v>60</v>
      </c>
      <c r="C6" s="224"/>
      <c r="D6" s="210" t="s">
        <v>80</v>
      </c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2"/>
      <c r="AA7" s="222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5" t="s">
        <v>39</v>
      </c>
      <c r="L9" s="226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28</v>
      </c>
      <c r="C10" s="76">
        <f>COUNTIF(C12:C211,"&lt;&gt;"&amp;"")</f>
        <v>7</v>
      </c>
      <c r="D10" s="139"/>
      <c r="E10" s="139"/>
      <c r="G10" s="76">
        <f>COUNTIF(G12:G211,"&lt;&gt;"&amp;"")</f>
        <v>26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0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1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>
        <v>1</v>
      </c>
      <c r="C12" s="174">
        <v>1</v>
      </c>
      <c r="D12" s="215" t="s">
        <v>167</v>
      </c>
      <c r="E12" s="215" t="s">
        <v>103</v>
      </c>
      <c r="F12" s="171" t="s">
        <v>168</v>
      </c>
      <c r="G12" s="173">
        <v>1</v>
      </c>
      <c r="H12" s="173"/>
      <c r="I12" s="173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>
        <v>1</v>
      </c>
      <c r="C13" s="174">
        <v>1</v>
      </c>
      <c r="D13" s="215" t="s">
        <v>191</v>
      </c>
      <c r="E13" s="215" t="s">
        <v>192</v>
      </c>
      <c r="F13" s="171" t="s">
        <v>193</v>
      </c>
      <c r="G13" s="173">
        <v>1</v>
      </c>
      <c r="H13" s="186"/>
      <c r="I13" s="186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>
        <v>1</v>
      </c>
      <c r="C14" s="174">
        <v>1</v>
      </c>
      <c r="D14" s="215" t="s">
        <v>197</v>
      </c>
      <c r="E14" s="215" t="s">
        <v>112</v>
      </c>
      <c r="F14" s="156" t="s">
        <v>198</v>
      </c>
      <c r="G14" s="173">
        <v>1</v>
      </c>
      <c r="H14" s="173"/>
      <c r="I14" s="173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>
        <v>1</v>
      </c>
      <c r="C15" s="174">
        <v>1</v>
      </c>
      <c r="D15" s="215" t="s">
        <v>199</v>
      </c>
      <c r="E15" s="215" t="s">
        <v>124</v>
      </c>
      <c r="F15" s="171" t="s">
        <v>200</v>
      </c>
      <c r="G15" s="186">
        <v>1</v>
      </c>
      <c r="H15" s="186"/>
      <c r="I15" s="186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>
        <v>1</v>
      </c>
      <c r="C16" s="174">
        <v>1</v>
      </c>
      <c r="D16" s="215" t="s">
        <v>212</v>
      </c>
      <c r="E16" s="215" t="s">
        <v>213</v>
      </c>
      <c r="F16" s="171" t="s">
        <v>214</v>
      </c>
      <c r="G16" s="173">
        <v>1</v>
      </c>
      <c r="H16" s="186"/>
      <c r="I16" s="186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>
        <v>1</v>
      </c>
      <c r="C17" s="174">
        <v>1</v>
      </c>
      <c r="D17" s="215" t="s">
        <v>215</v>
      </c>
      <c r="E17" s="215" t="s">
        <v>109</v>
      </c>
      <c r="F17" s="171" t="s">
        <v>216</v>
      </c>
      <c r="G17" s="173">
        <v>1</v>
      </c>
      <c r="H17" s="186"/>
      <c r="I17" s="173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>
        <v>1</v>
      </c>
      <c r="C18" s="174">
        <v>1</v>
      </c>
      <c r="D18" s="215" t="s">
        <v>219</v>
      </c>
      <c r="E18" s="215" t="s">
        <v>220</v>
      </c>
      <c r="F18" s="171" t="s">
        <v>221</v>
      </c>
      <c r="G18" s="186">
        <v>1</v>
      </c>
      <c r="H18" s="186"/>
      <c r="I18" s="186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/>
      <c r="C19" s="174"/>
      <c r="D19" s="215" t="s">
        <v>81</v>
      </c>
      <c r="E19" s="215" t="s">
        <v>82</v>
      </c>
      <c r="F19" s="171" t="s">
        <v>83</v>
      </c>
      <c r="G19" s="173"/>
      <c r="H19" s="186"/>
      <c r="I19" s="186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>
        <v>1</v>
      </c>
      <c r="C20" s="174"/>
      <c r="D20" s="215" t="s">
        <v>126</v>
      </c>
      <c r="E20" s="215"/>
      <c r="F20" s="171" t="s">
        <v>127</v>
      </c>
      <c r="G20" s="173">
        <v>1</v>
      </c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>
        <v>1</v>
      </c>
      <c r="C21" s="174"/>
      <c r="D21" s="215" t="s">
        <v>128</v>
      </c>
      <c r="E21" s="215" t="s">
        <v>129</v>
      </c>
      <c r="F21" s="156" t="s">
        <v>130</v>
      </c>
      <c r="G21" s="173"/>
      <c r="H21" s="186"/>
      <c r="I21" s="186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>
        <v>1</v>
      </c>
      <c r="C22" s="174"/>
      <c r="D22" s="215" t="s">
        <v>131</v>
      </c>
      <c r="E22" s="215" t="s">
        <v>132</v>
      </c>
      <c r="F22" s="156" t="s">
        <v>133</v>
      </c>
      <c r="G22" s="173">
        <v>1</v>
      </c>
      <c r="H22" s="173"/>
      <c r="I22" s="173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 t="s">
        <v>84</v>
      </c>
      <c r="E23" s="215" t="s">
        <v>85</v>
      </c>
      <c r="F23" s="171" t="s">
        <v>86</v>
      </c>
      <c r="G23" s="173"/>
      <c r="H23" s="173"/>
      <c r="I23" s="173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>
        <v>1</v>
      </c>
      <c r="C24" s="174"/>
      <c r="D24" s="215" t="s">
        <v>134</v>
      </c>
      <c r="E24" s="215" t="s">
        <v>135</v>
      </c>
      <c r="F24" s="171" t="s">
        <v>136</v>
      </c>
      <c r="G24" s="173">
        <v>1</v>
      </c>
      <c r="H24" s="186"/>
      <c r="I24" s="186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>
        <v>1</v>
      </c>
      <c r="C25" s="174"/>
      <c r="D25" s="215" t="s">
        <v>137</v>
      </c>
      <c r="E25" s="215" t="s">
        <v>138</v>
      </c>
      <c r="F25" s="171" t="s">
        <v>139</v>
      </c>
      <c r="G25" s="173">
        <v>1</v>
      </c>
      <c r="H25" s="173"/>
      <c r="I25" s="173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/>
      <c r="C26" s="174"/>
      <c r="D26" s="215" t="s">
        <v>87</v>
      </c>
      <c r="E26" s="215" t="s">
        <v>88</v>
      </c>
      <c r="F26" s="156" t="s">
        <v>89</v>
      </c>
      <c r="G26" s="173"/>
      <c r="H26" s="173"/>
      <c r="I26" s="173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>
        <v>1</v>
      </c>
      <c r="C27" s="174"/>
      <c r="D27" s="215" t="s">
        <v>140</v>
      </c>
      <c r="E27" s="215" t="s">
        <v>97</v>
      </c>
      <c r="F27" s="156" t="s">
        <v>141</v>
      </c>
      <c r="G27" s="173">
        <v>1</v>
      </c>
      <c r="H27" s="186"/>
      <c r="I27" s="186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/>
      <c r="C28" s="174"/>
      <c r="D28" s="215" t="s">
        <v>142</v>
      </c>
      <c r="E28" s="215" t="s">
        <v>143</v>
      </c>
      <c r="F28" s="156" t="s">
        <v>144</v>
      </c>
      <c r="G28" s="173"/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 t="s">
        <v>145</v>
      </c>
      <c r="E29" s="215" t="s">
        <v>138</v>
      </c>
      <c r="F29" s="171" t="s">
        <v>146</v>
      </c>
      <c r="G29" s="173"/>
      <c r="H29" s="186"/>
      <c r="I29" s="186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 t="s">
        <v>90</v>
      </c>
      <c r="E30" s="215" t="s">
        <v>91</v>
      </c>
      <c r="F30" s="171" t="s">
        <v>92</v>
      </c>
      <c r="G30" s="173"/>
      <c r="H30" s="173"/>
      <c r="I30" s="173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>
        <v>1</v>
      </c>
      <c r="C31" s="174"/>
      <c r="D31" s="215" t="s">
        <v>147</v>
      </c>
      <c r="E31" s="215" t="s">
        <v>138</v>
      </c>
      <c r="F31" s="156" t="s">
        <v>148</v>
      </c>
      <c r="G31" s="173">
        <v>1</v>
      </c>
      <c r="H31" s="186"/>
      <c r="I31" s="186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>
        <v>1</v>
      </c>
      <c r="C32" s="174"/>
      <c r="D32" s="215" t="s">
        <v>149</v>
      </c>
      <c r="E32" s="215" t="s">
        <v>138</v>
      </c>
      <c r="F32" s="171" t="s">
        <v>150</v>
      </c>
      <c r="G32" s="173">
        <v>1</v>
      </c>
      <c r="H32" s="173"/>
      <c r="I32" s="173"/>
      <c r="J32" s="173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 t="s">
        <v>151</v>
      </c>
      <c r="E33" s="215" t="s">
        <v>138</v>
      </c>
      <c r="F33" s="156" t="s">
        <v>152</v>
      </c>
      <c r="G33" s="173"/>
      <c r="H33" s="186"/>
      <c r="I33" s="186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/>
      <c r="C34" s="174"/>
      <c r="D34" s="215" t="s">
        <v>153</v>
      </c>
      <c r="E34" s="215" t="s">
        <v>112</v>
      </c>
      <c r="F34" s="156" t="s">
        <v>154</v>
      </c>
      <c r="G34" s="173"/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 t="s">
        <v>155</v>
      </c>
      <c r="E35" s="215" t="s">
        <v>112</v>
      </c>
      <c r="F35" s="171" t="s">
        <v>156</v>
      </c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>
        <v>1</v>
      </c>
      <c r="C36" s="174"/>
      <c r="D36" s="215" t="s">
        <v>157</v>
      </c>
      <c r="E36" s="215" t="s">
        <v>158</v>
      </c>
      <c r="F36" s="171" t="s">
        <v>159</v>
      </c>
      <c r="G36" s="173">
        <v>1</v>
      </c>
      <c r="H36" s="173"/>
      <c r="I36" s="173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>
        <v>1</v>
      </c>
      <c r="C37" s="174"/>
      <c r="D37" s="215" t="s">
        <v>160</v>
      </c>
      <c r="E37" s="215" t="s">
        <v>161</v>
      </c>
      <c r="F37" s="156" t="s">
        <v>162</v>
      </c>
      <c r="G37" s="173">
        <v>1</v>
      </c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 t="s">
        <v>163</v>
      </c>
      <c r="E38" s="215" t="s">
        <v>164</v>
      </c>
      <c r="F38" s="156" t="s">
        <v>116</v>
      </c>
      <c r="G38" s="173"/>
      <c r="H38" s="173"/>
      <c r="I38" s="173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>
        <v>1</v>
      </c>
      <c r="C39" s="174"/>
      <c r="D39" s="215" t="s">
        <v>165</v>
      </c>
      <c r="E39" s="215" t="s">
        <v>124</v>
      </c>
      <c r="F39" s="156" t="s">
        <v>166</v>
      </c>
      <c r="G39" s="186">
        <v>1</v>
      </c>
      <c r="H39" s="186"/>
      <c r="I39" s="186"/>
      <c r="J39" s="186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 t="s">
        <v>93</v>
      </c>
      <c r="E40" s="215" t="s">
        <v>94</v>
      </c>
      <c r="F40" s="171" t="s">
        <v>95</v>
      </c>
      <c r="G40" s="186"/>
      <c r="H40" s="186"/>
      <c r="I40" s="186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/>
      <c r="C41" s="174"/>
      <c r="D41" s="215" t="s">
        <v>169</v>
      </c>
      <c r="E41" s="215" t="s">
        <v>170</v>
      </c>
      <c r="F41" s="156" t="s">
        <v>171</v>
      </c>
      <c r="G41" s="173"/>
      <c r="H41" s="173"/>
      <c r="I41" s="173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/>
      <c r="C42" s="174"/>
      <c r="D42" s="215" t="s">
        <v>172</v>
      </c>
      <c r="E42" s="215" t="s">
        <v>138</v>
      </c>
      <c r="F42" s="171" t="s">
        <v>173</v>
      </c>
      <c r="G42" s="173"/>
      <c r="H42" s="186"/>
      <c r="I42" s="186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 t="s">
        <v>174</v>
      </c>
      <c r="E43" s="215" t="s">
        <v>175</v>
      </c>
      <c r="F43" s="171" t="s">
        <v>176</v>
      </c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 t="s">
        <v>96</v>
      </c>
      <c r="E44" s="215" t="s">
        <v>97</v>
      </c>
      <c r="F44" s="156" t="s">
        <v>98</v>
      </c>
      <c r="G44" s="173"/>
      <c r="H44" s="173"/>
      <c r="I44" s="173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>
        <v>1</v>
      </c>
      <c r="C45" s="174"/>
      <c r="D45" s="215" t="s">
        <v>177</v>
      </c>
      <c r="E45" s="215" t="s">
        <v>178</v>
      </c>
      <c r="F45" s="171" t="s">
        <v>179</v>
      </c>
      <c r="G45" s="173">
        <v>1</v>
      </c>
      <c r="H45" s="173"/>
      <c r="I45" s="173"/>
      <c r="J45" s="186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>
        <v>1</v>
      </c>
      <c r="C46" s="174"/>
      <c r="D46" s="215" t="s">
        <v>180</v>
      </c>
      <c r="E46" s="215" t="s">
        <v>181</v>
      </c>
      <c r="F46" s="156" t="s">
        <v>182</v>
      </c>
      <c r="G46" s="173">
        <v>1</v>
      </c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>
        <v>1</v>
      </c>
      <c r="C47" s="174"/>
      <c r="D47" s="215" t="s">
        <v>183</v>
      </c>
      <c r="E47" s="215" t="s">
        <v>184</v>
      </c>
      <c r="F47" s="171" t="s">
        <v>185</v>
      </c>
      <c r="G47" s="186">
        <v>1</v>
      </c>
      <c r="H47" s="186"/>
      <c r="I47" s="186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/>
      <c r="C48" s="174"/>
      <c r="D48" s="215" t="s">
        <v>99</v>
      </c>
      <c r="E48" s="215" t="s">
        <v>100</v>
      </c>
      <c r="F48" s="171" t="s">
        <v>101</v>
      </c>
      <c r="G48" s="173"/>
      <c r="H48" s="186"/>
      <c r="I48" s="186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>
        <v>1</v>
      </c>
      <c r="C49" s="174"/>
      <c r="D49" s="215" t="s">
        <v>186</v>
      </c>
      <c r="E49" s="215" t="s">
        <v>187</v>
      </c>
      <c r="F49" s="171" t="s">
        <v>188</v>
      </c>
      <c r="G49" s="173">
        <v>1</v>
      </c>
      <c r="H49" s="173"/>
      <c r="I49" s="173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>
        <v>1</v>
      </c>
      <c r="C50" s="174"/>
      <c r="D50" s="215" t="s">
        <v>189</v>
      </c>
      <c r="E50" s="215" t="s">
        <v>124</v>
      </c>
      <c r="F50" s="171" t="s">
        <v>190</v>
      </c>
      <c r="G50" s="173">
        <v>1</v>
      </c>
      <c r="H50" s="173"/>
      <c r="I50" s="173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>
        <v>1</v>
      </c>
      <c r="C51" s="174"/>
      <c r="D51" s="215" t="s">
        <v>194</v>
      </c>
      <c r="E51" s="215" t="s">
        <v>195</v>
      </c>
      <c r="F51" s="171" t="s">
        <v>196</v>
      </c>
      <c r="G51" s="173">
        <v>1</v>
      </c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/>
      <c r="C52" s="173"/>
      <c r="D52" s="215" t="s">
        <v>201</v>
      </c>
      <c r="E52" s="215" t="s">
        <v>161</v>
      </c>
      <c r="F52" s="156" t="s">
        <v>202</v>
      </c>
      <c r="G52" s="173"/>
      <c r="H52" s="186"/>
      <c r="I52" s="186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 t="s">
        <v>203</v>
      </c>
      <c r="E53" s="215" t="s">
        <v>204</v>
      </c>
      <c r="F53" s="171" t="s">
        <v>116</v>
      </c>
      <c r="G53" s="173"/>
      <c r="H53" s="173"/>
      <c r="I53" s="173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/>
      <c r="C54" s="174"/>
      <c r="D54" s="215" t="s">
        <v>205</v>
      </c>
      <c r="E54" s="215" t="s">
        <v>206</v>
      </c>
      <c r="F54" s="171"/>
      <c r="G54" s="173"/>
      <c r="H54" s="186"/>
      <c r="I54" s="186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>
        <v>1</v>
      </c>
      <c r="C55" s="174"/>
      <c r="D55" s="215" t="s">
        <v>207</v>
      </c>
      <c r="E55" s="215" t="s">
        <v>208</v>
      </c>
      <c r="F55" s="171" t="s">
        <v>209</v>
      </c>
      <c r="G55" s="173"/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4"/>
      <c r="D56" s="215" t="s">
        <v>102</v>
      </c>
      <c r="E56" s="215" t="s">
        <v>103</v>
      </c>
      <c r="F56" s="171" t="s">
        <v>104</v>
      </c>
      <c r="G56" s="173"/>
      <c r="H56" s="186"/>
      <c r="I56" s="186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/>
      <c r="C57" s="174"/>
      <c r="D57" s="215" t="s">
        <v>210</v>
      </c>
      <c r="E57" s="215" t="s">
        <v>112</v>
      </c>
      <c r="F57" s="171" t="s">
        <v>211</v>
      </c>
      <c r="G57" s="186"/>
      <c r="H57" s="186"/>
      <c r="I57" s="186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/>
      <c r="C58" s="174"/>
      <c r="D58" s="215" t="s">
        <v>105</v>
      </c>
      <c r="E58" s="215" t="s">
        <v>106</v>
      </c>
      <c r="F58" s="171" t="s">
        <v>107</v>
      </c>
      <c r="G58" s="173"/>
      <c r="H58" s="173"/>
      <c r="I58" s="173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/>
      <c r="C59" s="174"/>
      <c r="D59" s="215" t="s">
        <v>108</v>
      </c>
      <c r="E59" s="215" t="s">
        <v>109</v>
      </c>
      <c r="F59" s="171" t="s">
        <v>110</v>
      </c>
      <c r="G59" s="173"/>
      <c r="H59" s="173"/>
      <c r="I59" s="173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/>
      <c r="C60" s="174"/>
      <c r="D60" s="215" t="s">
        <v>217</v>
      </c>
      <c r="E60" s="215" t="s">
        <v>112</v>
      </c>
      <c r="F60" s="171" t="s">
        <v>218</v>
      </c>
      <c r="G60" s="173"/>
      <c r="H60" s="186"/>
      <c r="I60" s="186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>
        <v>1</v>
      </c>
      <c r="C61" s="174"/>
      <c r="D61" s="215" t="s">
        <v>222</v>
      </c>
      <c r="E61" s="215" t="s">
        <v>112</v>
      </c>
      <c r="F61" s="156" t="s">
        <v>223</v>
      </c>
      <c r="G61" s="173">
        <v>1</v>
      </c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 t="s">
        <v>111</v>
      </c>
      <c r="E62" s="215" t="s">
        <v>112</v>
      </c>
      <c r="F62" s="156" t="s">
        <v>113</v>
      </c>
      <c r="G62" s="173"/>
      <c r="H62" s="186"/>
      <c r="I62" s="186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 t="s">
        <v>114</v>
      </c>
      <c r="E63" s="215" t="s">
        <v>115</v>
      </c>
      <c r="F63" s="218" t="s">
        <v>116</v>
      </c>
      <c r="G63" s="173"/>
      <c r="H63" s="173"/>
      <c r="I63" s="173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 t="s">
        <v>224</v>
      </c>
      <c r="E64" s="215" t="s">
        <v>112</v>
      </c>
      <c r="F64" s="171" t="s">
        <v>225</v>
      </c>
      <c r="G64" s="173"/>
      <c r="H64" s="186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>
        <v>1</v>
      </c>
      <c r="C65" s="174"/>
      <c r="D65" s="215" t="s">
        <v>226</v>
      </c>
      <c r="E65" s="215" t="s">
        <v>112</v>
      </c>
      <c r="F65" s="171" t="s">
        <v>227</v>
      </c>
      <c r="G65" s="186">
        <v>1</v>
      </c>
      <c r="H65" s="186"/>
      <c r="I65" s="186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/>
      <c r="C66" s="174"/>
      <c r="D66" s="216" t="s">
        <v>117</v>
      </c>
      <c r="E66" s="216" t="s">
        <v>118</v>
      </c>
      <c r="F66" s="171" t="s">
        <v>119</v>
      </c>
      <c r="G66" s="173"/>
      <c r="H66" s="173"/>
      <c r="I66" s="173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/>
      <c r="C67" s="174"/>
      <c r="D67" s="215" t="s">
        <v>120</v>
      </c>
      <c r="E67" s="215" t="s">
        <v>121</v>
      </c>
      <c r="F67" s="217" t="s">
        <v>122</v>
      </c>
      <c r="G67" s="173"/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>
        <v>1</v>
      </c>
      <c r="C68" s="174"/>
      <c r="D68" s="215" t="s">
        <v>228</v>
      </c>
      <c r="E68" s="215" t="s">
        <v>138</v>
      </c>
      <c r="F68" s="156" t="s">
        <v>229</v>
      </c>
      <c r="G68" s="173">
        <v>1</v>
      </c>
      <c r="H68" s="186"/>
      <c r="I68" s="186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 t="s">
        <v>230</v>
      </c>
      <c r="E69" s="215" t="s">
        <v>112</v>
      </c>
      <c r="F69" s="171" t="s">
        <v>231</v>
      </c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 t="s">
        <v>232</v>
      </c>
      <c r="E70" s="215" t="s">
        <v>233</v>
      </c>
      <c r="F70" s="171" t="s">
        <v>234</v>
      </c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/>
      <c r="C71" s="174"/>
      <c r="D71" s="215" t="s">
        <v>123</v>
      </c>
      <c r="E71" s="215" t="s">
        <v>124</v>
      </c>
      <c r="F71" s="171" t="s">
        <v>125</v>
      </c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/>
      <c r="C72" s="174"/>
      <c r="D72" s="171"/>
      <c r="E72" s="171"/>
      <c r="F72" s="172"/>
      <c r="G72" s="173"/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/>
      <c r="C73" s="174"/>
      <c r="D73" s="171"/>
      <c r="E73" s="171"/>
      <c r="F73" s="172"/>
      <c r="G73" s="173"/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heet="1" objects="1" scenarios="1"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19" t="s">
        <v>70</v>
      </c>
      <c r="B1" s="219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3" t="s">
        <v>77</v>
      </c>
      <c r="D3" s="223"/>
      <c r="E3" s="223"/>
    </row>
    <row r="4" spans="1:8" x14ac:dyDescent="0.25">
      <c r="A4" s="201"/>
      <c r="B4" s="207" t="s">
        <v>58</v>
      </c>
      <c r="C4" s="223" t="s">
        <v>78</v>
      </c>
      <c r="D4" s="223"/>
      <c r="E4" s="223"/>
    </row>
    <row r="5" spans="1:8" x14ac:dyDescent="0.25">
      <c r="A5" s="201"/>
      <c r="B5" s="207" t="s">
        <v>59</v>
      </c>
      <c r="C5" s="223" t="s">
        <v>79</v>
      </c>
      <c r="D5" s="223"/>
      <c r="E5" s="201"/>
    </row>
    <row r="6" spans="1:8" x14ac:dyDescent="0.25">
      <c r="A6" s="201"/>
      <c r="B6" s="207" t="s">
        <v>60</v>
      </c>
      <c r="C6" s="210" t="s">
        <v>80</v>
      </c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 t="s">
        <v>81</v>
      </c>
      <c r="C11" s="215" t="s">
        <v>82</v>
      </c>
      <c r="D11" s="171" t="s">
        <v>83</v>
      </c>
      <c r="E11" s="173"/>
      <c r="F11" s="186"/>
      <c r="G11" s="186"/>
      <c r="H11" s="186"/>
    </row>
    <row r="12" spans="1:8" x14ac:dyDescent="0.25">
      <c r="A12" s="214"/>
      <c r="B12" s="215" t="s">
        <v>126</v>
      </c>
      <c r="C12" s="215"/>
      <c r="D12" s="171" t="s">
        <v>127</v>
      </c>
      <c r="E12" s="186"/>
      <c r="F12" s="186"/>
      <c r="G12" s="186"/>
      <c r="H12" s="186"/>
    </row>
    <row r="13" spans="1:8" x14ac:dyDescent="0.25">
      <c r="A13" s="214"/>
      <c r="B13" s="215" t="s">
        <v>128</v>
      </c>
      <c r="C13" s="215" t="s">
        <v>129</v>
      </c>
      <c r="D13" s="156" t="s">
        <v>130</v>
      </c>
      <c r="E13" s="173"/>
      <c r="F13" s="186"/>
      <c r="G13" s="186"/>
      <c r="H13" s="186"/>
    </row>
    <row r="14" spans="1:8" x14ac:dyDescent="0.25">
      <c r="A14" s="214"/>
      <c r="B14" s="215" t="s">
        <v>131</v>
      </c>
      <c r="C14" s="215" t="s">
        <v>132</v>
      </c>
      <c r="D14" s="156" t="s">
        <v>133</v>
      </c>
      <c r="E14" s="173"/>
      <c r="F14" s="173"/>
      <c r="G14" s="186"/>
      <c r="H14" s="186"/>
    </row>
    <row r="15" spans="1:8" x14ac:dyDescent="0.25">
      <c r="A15" s="214"/>
      <c r="B15" s="215" t="s">
        <v>84</v>
      </c>
      <c r="C15" s="215" t="s">
        <v>85</v>
      </c>
      <c r="D15" s="171" t="s">
        <v>86</v>
      </c>
      <c r="E15" s="173"/>
      <c r="F15" s="186"/>
      <c r="G15" s="186"/>
      <c r="H15" s="186"/>
    </row>
    <row r="16" spans="1:8" x14ac:dyDescent="0.25">
      <c r="A16" s="214"/>
      <c r="B16" s="215" t="s">
        <v>134</v>
      </c>
      <c r="C16" s="215" t="s">
        <v>135</v>
      </c>
      <c r="D16" s="171" t="s">
        <v>136</v>
      </c>
      <c r="E16" s="173"/>
      <c r="F16" s="186"/>
      <c r="G16" s="186"/>
      <c r="H16" s="186"/>
    </row>
    <row r="17" spans="1:8" x14ac:dyDescent="0.25">
      <c r="A17" s="214"/>
      <c r="B17" s="216" t="s">
        <v>137</v>
      </c>
      <c r="C17" s="216" t="s">
        <v>138</v>
      </c>
      <c r="D17" s="171" t="s">
        <v>139</v>
      </c>
      <c r="E17" s="173"/>
      <c r="F17" s="173"/>
      <c r="G17" s="186"/>
      <c r="H17" s="186"/>
    </row>
    <row r="18" spans="1:8" x14ac:dyDescent="0.25">
      <c r="A18" s="214"/>
      <c r="B18" s="215" t="s">
        <v>87</v>
      </c>
      <c r="C18" s="215" t="s">
        <v>88</v>
      </c>
      <c r="D18" s="171" t="s">
        <v>89</v>
      </c>
      <c r="E18" s="173"/>
      <c r="F18" s="186"/>
      <c r="G18" s="186"/>
      <c r="H18" s="186"/>
    </row>
    <row r="19" spans="1:8" x14ac:dyDescent="0.25">
      <c r="A19" s="214"/>
      <c r="B19" s="215" t="s">
        <v>140</v>
      </c>
      <c r="C19" s="215" t="s">
        <v>97</v>
      </c>
      <c r="D19" s="156" t="s">
        <v>141</v>
      </c>
      <c r="E19" s="173"/>
      <c r="F19" s="173"/>
      <c r="G19" s="186"/>
      <c r="H19" s="186"/>
    </row>
    <row r="20" spans="1:8" x14ac:dyDescent="0.25">
      <c r="A20" s="214"/>
      <c r="B20" s="215" t="s">
        <v>142</v>
      </c>
      <c r="C20" s="215" t="s">
        <v>143</v>
      </c>
      <c r="D20" s="171" t="s">
        <v>144</v>
      </c>
      <c r="E20" s="173"/>
      <c r="F20" s="173"/>
      <c r="G20" s="186"/>
      <c r="H20" s="186"/>
    </row>
    <row r="21" spans="1:8" x14ac:dyDescent="0.25">
      <c r="A21" s="214"/>
      <c r="B21" s="215" t="s">
        <v>145</v>
      </c>
      <c r="C21" s="215" t="s">
        <v>138</v>
      </c>
      <c r="D21" s="156" t="s">
        <v>146</v>
      </c>
      <c r="E21" s="173"/>
      <c r="F21" s="186"/>
      <c r="G21" s="186"/>
      <c r="H21" s="186"/>
    </row>
    <row r="22" spans="1:8" x14ac:dyDescent="0.25">
      <c r="A22" s="214"/>
      <c r="B22" s="215" t="s">
        <v>90</v>
      </c>
      <c r="C22" s="215" t="s">
        <v>91</v>
      </c>
      <c r="D22" s="171" t="s">
        <v>92</v>
      </c>
      <c r="E22" s="173"/>
      <c r="F22" s="186"/>
      <c r="G22" s="186"/>
      <c r="H22" s="186"/>
    </row>
    <row r="23" spans="1:8" x14ac:dyDescent="0.25">
      <c r="A23" s="214"/>
      <c r="B23" s="215" t="s">
        <v>147</v>
      </c>
      <c r="C23" s="215" t="s">
        <v>138</v>
      </c>
      <c r="D23" s="171" t="s">
        <v>148</v>
      </c>
      <c r="E23" s="173"/>
      <c r="F23" s="173"/>
      <c r="G23" s="186"/>
      <c r="H23" s="186"/>
    </row>
    <row r="24" spans="1:8" x14ac:dyDescent="0.25">
      <c r="A24" s="214"/>
      <c r="B24" s="215" t="s">
        <v>149</v>
      </c>
      <c r="C24" s="215" t="s">
        <v>138</v>
      </c>
      <c r="D24" s="171" t="s">
        <v>150</v>
      </c>
      <c r="E24" s="173"/>
      <c r="F24" s="186"/>
      <c r="G24" s="186"/>
      <c r="H24" s="186"/>
    </row>
    <row r="25" spans="1:8" x14ac:dyDescent="0.25">
      <c r="A25" s="214"/>
      <c r="B25" s="215" t="s">
        <v>151</v>
      </c>
      <c r="C25" s="215" t="s">
        <v>138</v>
      </c>
      <c r="D25" s="156" t="s">
        <v>152</v>
      </c>
      <c r="E25" s="173"/>
      <c r="F25" s="173"/>
      <c r="G25" s="186"/>
      <c r="H25" s="186"/>
    </row>
    <row r="26" spans="1:8" x14ac:dyDescent="0.25">
      <c r="A26" s="214"/>
      <c r="B26" s="215" t="s">
        <v>153</v>
      </c>
      <c r="C26" s="215" t="s">
        <v>112</v>
      </c>
      <c r="D26" s="171" t="s">
        <v>154</v>
      </c>
      <c r="E26" s="173"/>
      <c r="F26" s="173"/>
      <c r="G26" s="186"/>
      <c r="H26" s="186"/>
    </row>
    <row r="27" spans="1:8" x14ac:dyDescent="0.25">
      <c r="A27" s="214"/>
      <c r="B27" s="215" t="s">
        <v>155</v>
      </c>
      <c r="C27" s="215" t="s">
        <v>112</v>
      </c>
      <c r="D27" s="171" t="s">
        <v>156</v>
      </c>
      <c r="E27" s="173"/>
      <c r="F27" s="173"/>
      <c r="G27" s="186"/>
      <c r="H27" s="186"/>
    </row>
    <row r="28" spans="1:8" x14ac:dyDescent="0.25">
      <c r="A28" s="214"/>
      <c r="B28" s="215" t="s">
        <v>157</v>
      </c>
      <c r="C28" s="215" t="s">
        <v>158</v>
      </c>
      <c r="D28" s="171" t="s">
        <v>159</v>
      </c>
      <c r="E28" s="173"/>
      <c r="F28" s="173"/>
      <c r="G28" s="186"/>
      <c r="H28" s="186"/>
    </row>
    <row r="29" spans="1:8" x14ac:dyDescent="0.25">
      <c r="A29" s="214"/>
      <c r="B29" s="215" t="s">
        <v>160</v>
      </c>
      <c r="C29" s="215" t="s">
        <v>161</v>
      </c>
      <c r="D29" s="156" t="s">
        <v>162</v>
      </c>
      <c r="E29" s="173"/>
      <c r="F29" s="173"/>
      <c r="G29" s="186"/>
      <c r="H29" s="186"/>
    </row>
    <row r="30" spans="1:8" x14ac:dyDescent="0.25">
      <c r="A30" s="214"/>
      <c r="B30" s="215" t="s">
        <v>163</v>
      </c>
      <c r="C30" s="215" t="s">
        <v>164</v>
      </c>
      <c r="D30" s="156" t="s">
        <v>116</v>
      </c>
      <c r="E30" s="173"/>
      <c r="F30" s="186"/>
      <c r="G30" s="186"/>
      <c r="H30" s="186"/>
    </row>
    <row r="31" spans="1:8" x14ac:dyDescent="0.25">
      <c r="A31" s="214"/>
      <c r="B31" s="215" t="s">
        <v>165</v>
      </c>
      <c r="C31" s="215" t="s">
        <v>124</v>
      </c>
      <c r="D31" s="171" t="s">
        <v>166</v>
      </c>
      <c r="E31" s="173"/>
      <c r="F31" s="173"/>
      <c r="G31" s="186"/>
      <c r="H31" s="186"/>
    </row>
    <row r="32" spans="1:8" x14ac:dyDescent="0.25">
      <c r="A32" s="214"/>
      <c r="B32" s="215" t="s">
        <v>167</v>
      </c>
      <c r="C32" s="215" t="s">
        <v>103</v>
      </c>
      <c r="D32" s="156" t="s">
        <v>168</v>
      </c>
      <c r="E32" s="173"/>
      <c r="F32" s="173"/>
      <c r="G32" s="186"/>
      <c r="H32" s="186"/>
    </row>
    <row r="33" spans="1:8" x14ac:dyDescent="0.25">
      <c r="A33" s="214"/>
      <c r="B33" s="215" t="s">
        <v>93</v>
      </c>
      <c r="C33" s="215" t="s">
        <v>94</v>
      </c>
      <c r="D33" s="156" t="s">
        <v>95</v>
      </c>
      <c r="E33" s="173"/>
      <c r="F33" s="186"/>
      <c r="G33" s="186"/>
      <c r="H33" s="186"/>
    </row>
    <row r="34" spans="1:8" x14ac:dyDescent="0.25">
      <c r="A34" s="214"/>
      <c r="B34" s="215" t="s">
        <v>169</v>
      </c>
      <c r="C34" s="215" t="s">
        <v>170</v>
      </c>
      <c r="D34" s="171" t="s">
        <v>171</v>
      </c>
      <c r="E34" s="173"/>
      <c r="F34" s="173"/>
      <c r="G34" s="186"/>
      <c r="H34" s="186"/>
    </row>
    <row r="35" spans="1:8" x14ac:dyDescent="0.25">
      <c r="A35" s="214"/>
      <c r="B35" s="215" t="s">
        <v>172</v>
      </c>
      <c r="C35" s="215" t="s">
        <v>138</v>
      </c>
      <c r="D35" s="156" t="s">
        <v>173</v>
      </c>
      <c r="E35" s="173"/>
      <c r="F35" s="173"/>
      <c r="G35" s="186"/>
      <c r="H35" s="186"/>
    </row>
    <row r="36" spans="1:8" x14ac:dyDescent="0.25">
      <c r="A36" s="214"/>
      <c r="B36" s="215" t="s">
        <v>174</v>
      </c>
      <c r="C36" s="215" t="s">
        <v>175</v>
      </c>
      <c r="D36" s="171" t="s">
        <v>176</v>
      </c>
      <c r="E36" s="173"/>
      <c r="F36" s="173"/>
      <c r="G36" s="186"/>
      <c r="H36" s="186"/>
    </row>
    <row r="37" spans="1:8" x14ac:dyDescent="0.25">
      <c r="A37" s="214"/>
      <c r="B37" s="215" t="s">
        <v>96</v>
      </c>
      <c r="C37" s="215" t="s">
        <v>97</v>
      </c>
      <c r="D37" s="171" t="s">
        <v>98</v>
      </c>
      <c r="E37" s="173"/>
      <c r="F37" s="186"/>
      <c r="G37" s="186"/>
      <c r="H37" s="186"/>
    </row>
    <row r="38" spans="1:8" x14ac:dyDescent="0.25">
      <c r="A38" s="214"/>
      <c r="B38" s="215" t="s">
        <v>177</v>
      </c>
      <c r="C38" s="215" t="s">
        <v>178</v>
      </c>
      <c r="D38" s="171" t="s">
        <v>179</v>
      </c>
      <c r="E38" s="173"/>
      <c r="F38" s="186"/>
      <c r="G38" s="186"/>
      <c r="H38" s="186"/>
    </row>
    <row r="39" spans="1:8" x14ac:dyDescent="0.25">
      <c r="A39" s="214"/>
      <c r="B39" s="215" t="s">
        <v>180</v>
      </c>
      <c r="C39" s="215" t="s">
        <v>181</v>
      </c>
      <c r="D39" s="171" t="s">
        <v>182</v>
      </c>
      <c r="E39" s="173"/>
      <c r="F39" s="173"/>
      <c r="G39" s="186"/>
      <c r="H39" s="186"/>
    </row>
    <row r="40" spans="1:8" x14ac:dyDescent="0.25">
      <c r="A40" s="214"/>
      <c r="B40" s="215" t="s">
        <v>183</v>
      </c>
      <c r="C40" s="215" t="s">
        <v>184</v>
      </c>
      <c r="D40" s="171" t="s">
        <v>185</v>
      </c>
      <c r="E40" s="173"/>
      <c r="F40" s="186"/>
      <c r="G40" s="186"/>
      <c r="H40" s="186"/>
    </row>
    <row r="41" spans="1:8" x14ac:dyDescent="0.25">
      <c r="A41" s="214"/>
      <c r="B41" s="215" t="s">
        <v>99</v>
      </c>
      <c r="C41" s="215" t="s">
        <v>100</v>
      </c>
      <c r="D41" s="171" t="s">
        <v>101</v>
      </c>
      <c r="E41" s="173"/>
      <c r="F41" s="173"/>
      <c r="G41" s="186"/>
      <c r="H41" s="186"/>
    </row>
    <row r="42" spans="1:8" x14ac:dyDescent="0.25">
      <c r="A42" s="214"/>
      <c r="B42" s="215" t="s">
        <v>186</v>
      </c>
      <c r="C42" s="215" t="s">
        <v>187</v>
      </c>
      <c r="D42" s="171" t="s">
        <v>188</v>
      </c>
      <c r="E42" s="173"/>
      <c r="F42" s="186"/>
      <c r="G42" s="186"/>
      <c r="H42" s="186"/>
    </row>
    <row r="43" spans="1:8" x14ac:dyDescent="0.25">
      <c r="A43" s="214"/>
      <c r="B43" s="215" t="s">
        <v>189</v>
      </c>
      <c r="C43" s="215" t="s">
        <v>124</v>
      </c>
      <c r="D43" s="171" t="s">
        <v>190</v>
      </c>
      <c r="E43" s="173"/>
      <c r="F43" s="186"/>
      <c r="G43" s="186"/>
      <c r="H43" s="186"/>
    </row>
    <row r="44" spans="1:8" x14ac:dyDescent="0.25">
      <c r="A44" s="214"/>
      <c r="B44" s="215" t="s">
        <v>191</v>
      </c>
      <c r="C44" s="215" t="s">
        <v>192</v>
      </c>
      <c r="D44" s="171" t="s">
        <v>193</v>
      </c>
      <c r="E44" s="173"/>
      <c r="F44" s="186"/>
      <c r="G44" s="186"/>
      <c r="H44" s="186"/>
    </row>
    <row r="45" spans="1:8" x14ac:dyDescent="0.25">
      <c r="A45" s="214"/>
      <c r="B45" s="215" t="s">
        <v>194</v>
      </c>
      <c r="C45" s="215" t="s">
        <v>195</v>
      </c>
      <c r="D45" s="171" t="s">
        <v>196</v>
      </c>
      <c r="E45" s="173"/>
      <c r="F45" s="173"/>
      <c r="G45" s="186"/>
      <c r="H45" s="186"/>
    </row>
    <row r="46" spans="1:8" x14ac:dyDescent="0.25">
      <c r="A46" s="214"/>
      <c r="B46" s="215" t="s">
        <v>197</v>
      </c>
      <c r="C46" s="215" t="s">
        <v>112</v>
      </c>
      <c r="D46" s="171" t="s">
        <v>198</v>
      </c>
      <c r="E46" s="173"/>
      <c r="F46" s="186"/>
      <c r="G46" s="186"/>
      <c r="H46" s="186"/>
    </row>
    <row r="47" spans="1:8" x14ac:dyDescent="0.25">
      <c r="A47" s="214"/>
      <c r="B47" s="215" t="s">
        <v>199</v>
      </c>
      <c r="C47" s="215" t="s">
        <v>124</v>
      </c>
      <c r="D47" s="171" t="s">
        <v>200</v>
      </c>
      <c r="E47" s="173"/>
      <c r="F47" s="186"/>
      <c r="G47" s="186"/>
      <c r="H47" s="186"/>
    </row>
    <row r="48" spans="1:8" x14ac:dyDescent="0.25">
      <c r="A48" s="214"/>
      <c r="B48" s="215" t="s">
        <v>201</v>
      </c>
      <c r="C48" s="215" t="s">
        <v>161</v>
      </c>
      <c r="D48" s="171" t="s">
        <v>202</v>
      </c>
      <c r="E48" s="173"/>
      <c r="F48" s="173"/>
      <c r="G48" s="186"/>
      <c r="H48" s="186"/>
    </row>
    <row r="49" spans="1:8" x14ac:dyDescent="0.25">
      <c r="A49" s="214"/>
      <c r="B49" s="215" t="s">
        <v>203</v>
      </c>
      <c r="C49" s="215" t="s">
        <v>204</v>
      </c>
      <c r="D49" s="171" t="s">
        <v>116</v>
      </c>
      <c r="E49" s="173"/>
      <c r="F49" s="173"/>
      <c r="G49" s="186"/>
      <c r="H49" s="186"/>
    </row>
    <row r="50" spans="1:8" x14ac:dyDescent="0.25">
      <c r="A50" s="214"/>
      <c r="B50" s="215" t="s">
        <v>205</v>
      </c>
      <c r="C50" s="215" t="s">
        <v>206</v>
      </c>
      <c r="D50" s="171"/>
      <c r="E50" s="186"/>
      <c r="F50" s="186"/>
      <c r="G50" s="186"/>
      <c r="H50" s="186"/>
    </row>
    <row r="51" spans="1:8" x14ac:dyDescent="0.25">
      <c r="A51" s="214"/>
      <c r="B51" s="215" t="s">
        <v>207</v>
      </c>
      <c r="C51" s="215" t="s">
        <v>208</v>
      </c>
      <c r="D51" s="156" t="s">
        <v>209</v>
      </c>
      <c r="E51" s="173"/>
      <c r="F51" s="173"/>
      <c r="G51" s="186"/>
      <c r="H51" s="186"/>
    </row>
    <row r="52" spans="1:8" x14ac:dyDescent="0.25">
      <c r="A52" s="214"/>
      <c r="B52" s="215" t="s">
        <v>102</v>
      </c>
      <c r="C52" s="215" t="s">
        <v>103</v>
      </c>
      <c r="D52" s="156" t="s">
        <v>104</v>
      </c>
      <c r="E52" s="173"/>
      <c r="F52" s="173"/>
      <c r="G52" s="186"/>
      <c r="H52" s="186"/>
    </row>
    <row r="53" spans="1:8" x14ac:dyDescent="0.25">
      <c r="A53" s="214"/>
      <c r="B53" s="215" t="s">
        <v>210</v>
      </c>
      <c r="C53" s="215" t="s">
        <v>112</v>
      </c>
      <c r="D53" s="156" t="s">
        <v>211</v>
      </c>
      <c r="E53" s="173"/>
      <c r="F53" s="186"/>
      <c r="G53" s="186"/>
      <c r="H53" s="186"/>
    </row>
    <row r="54" spans="1:8" x14ac:dyDescent="0.25">
      <c r="A54" s="214"/>
      <c r="B54" s="215" t="s">
        <v>105</v>
      </c>
      <c r="C54" s="215" t="s">
        <v>106</v>
      </c>
      <c r="D54" s="171" t="s">
        <v>107</v>
      </c>
      <c r="E54" s="173"/>
      <c r="F54" s="173"/>
      <c r="G54" s="186"/>
      <c r="H54" s="186"/>
    </row>
    <row r="55" spans="1:8" x14ac:dyDescent="0.25">
      <c r="A55" s="214"/>
      <c r="B55" s="215" t="s">
        <v>212</v>
      </c>
      <c r="C55" s="215" t="s">
        <v>213</v>
      </c>
      <c r="D55" s="156" t="s">
        <v>214</v>
      </c>
      <c r="E55" s="173"/>
      <c r="F55" s="173"/>
      <c r="G55" s="186"/>
      <c r="H55" s="186"/>
    </row>
    <row r="56" spans="1:8" x14ac:dyDescent="0.25">
      <c r="A56" s="214"/>
      <c r="B56" s="215" t="s">
        <v>215</v>
      </c>
      <c r="C56" s="215" t="s">
        <v>109</v>
      </c>
      <c r="D56" s="171" t="s">
        <v>216</v>
      </c>
      <c r="E56" s="173"/>
      <c r="F56" s="186"/>
      <c r="G56" s="186"/>
      <c r="H56" s="186"/>
    </row>
    <row r="57" spans="1:8" x14ac:dyDescent="0.25">
      <c r="A57" s="214"/>
      <c r="B57" s="215" t="s">
        <v>108</v>
      </c>
      <c r="C57" s="215" t="s">
        <v>109</v>
      </c>
      <c r="D57" s="156" t="s">
        <v>110</v>
      </c>
      <c r="E57" s="186"/>
      <c r="F57" s="186"/>
      <c r="G57" s="186"/>
      <c r="H57" s="186"/>
    </row>
    <row r="58" spans="1:8" x14ac:dyDescent="0.25">
      <c r="A58" s="214"/>
      <c r="B58" s="215" t="s">
        <v>217</v>
      </c>
      <c r="C58" s="215" t="s">
        <v>112</v>
      </c>
      <c r="D58" s="156" t="s">
        <v>218</v>
      </c>
      <c r="E58" s="173"/>
      <c r="F58" s="173"/>
      <c r="G58" s="186"/>
      <c r="H58" s="186"/>
    </row>
    <row r="59" spans="1:8" x14ac:dyDescent="0.25">
      <c r="A59" s="214"/>
      <c r="B59" s="215" t="s">
        <v>219</v>
      </c>
      <c r="C59" s="215" t="s">
        <v>220</v>
      </c>
      <c r="D59" s="171" t="s">
        <v>221</v>
      </c>
      <c r="E59" s="173"/>
      <c r="F59" s="173"/>
      <c r="G59" s="186"/>
      <c r="H59" s="186"/>
    </row>
    <row r="60" spans="1:8" x14ac:dyDescent="0.25">
      <c r="A60" s="214"/>
      <c r="B60" s="215" t="s">
        <v>222</v>
      </c>
      <c r="C60" s="215" t="s">
        <v>112</v>
      </c>
      <c r="D60" s="217" t="s">
        <v>223</v>
      </c>
      <c r="E60" s="173"/>
      <c r="F60" s="186"/>
      <c r="G60" s="186"/>
      <c r="H60" s="186"/>
    </row>
    <row r="61" spans="1:8" x14ac:dyDescent="0.25">
      <c r="A61" s="214"/>
      <c r="B61" s="215" t="s">
        <v>111</v>
      </c>
      <c r="C61" s="215" t="s">
        <v>112</v>
      </c>
      <c r="D61" s="171" t="s">
        <v>113</v>
      </c>
      <c r="E61" s="186"/>
      <c r="F61" s="186"/>
      <c r="G61" s="186"/>
      <c r="H61" s="186"/>
    </row>
    <row r="62" spans="1:8" x14ac:dyDescent="0.25">
      <c r="A62" s="214"/>
      <c r="B62" s="215" t="s">
        <v>114</v>
      </c>
      <c r="C62" s="215" t="s">
        <v>115</v>
      </c>
      <c r="D62" s="171" t="s">
        <v>116</v>
      </c>
      <c r="E62" s="173"/>
      <c r="F62" s="186"/>
      <c r="G62" s="186"/>
      <c r="H62" s="186"/>
    </row>
    <row r="63" spans="1:8" x14ac:dyDescent="0.25">
      <c r="A63" s="214"/>
      <c r="B63" s="215" t="s">
        <v>224</v>
      </c>
      <c r="C63" s="215" t="s">
        <v>112</v>
      </c>
      <c r="D63" s="156" t="s">
        <v>225</v>
      </c>
      <c r="E63" s="173"/>
      <c r="F63" s="186"/>
      <c r="G63" s="186"/>
      <c r="H63" s="186"/>
    </row>
    <row r="64" spans="1:8" x14ac:dyDescent="0.25">
      <c r="A64" s="214"/>
      <c r="B64" s="215" t="s">
        <v>226</v>
      </c>
      <c r="C64" s="215" t="s">
        <v>112</v>
      </c>
      <c r="D64" s="156" t="s">
        <v>227</v>
      </c>
      <c r="E64" s="173"/>
      <c r="F64" s="186"/>
      <c r="G64" s="186"/>
      <c r="H64" s="186"/>
    </row>
    <row r="65" spans="1:8" x14ac:dyDescent="0.25">
      <c r="A65" s="214"/>
      <c r="B65" s="215" t="s">
        <v>117</v>
      </c>
      <c r="C65" s="215" t="s">
        <v>118</v>
      </c>
      <c r="D65" s="156" t="s">
        <v>119</v>
      </c>
      <c r="E65" s="186"/>
      <c r="F65" s="186"/>
      <c r="G65" s="186"/>
      <c r="H65" s="186"/>
    </row>
    <row r="66" spans="1:8" x14ac:dyDescent="0.25">
      <c r="A66" s="214"/>
      <c r="B66" s="215" t="s">
        <v>120</v>
      </c>
      <c r="C66" s="215" t="s">
        <v>121</v>
      </c>
      <c r="D66" s="171" t="s">
        <v>122</v>
      </c>
      <c r="E66" s="173"/>
      <c r="F66" s="186"/>
      <c r="G66" s="186"/>
      <c r="H66" s="186"/>
    </row>
    <row r="67" spans="1:8" x14ac:dyDescent="0.25">
      <c r="A67" s="214"/>
      <c r="B67" s="215" t="s">
        <v>228</v>
      </c>
      <c r="C67" s="215" t="s">
        <v>138</v>
      </c>
      <c r="D67" s="171" t="s">
        <v>229</v>
      </c>
      <c r="E67" s="186"/>
      <c r="F67" s="186"/>
      <c r="G67" s="186"/>
      <c r="H67" s="186"/>
    </row>
    <row r="68" spans="1:8" x14ac:dyDescent="0.25">
      <c r="A68" s="214"/>
      <c r="B68" s="215" t="s">
        <v>230</v>
      </c>
      <c r="C68" s="215" t="s">
        <v>112</v>
      </c>
      <c r="D68" s="171" t="s">
        <v>231</v>
      </c>
      <c r="E68" s="186"/>
      <c r="F68" s="186"/>
      <c r="G68" s="186"/>
      <c r="H68" s="186"/>
    </row>
    <row r="69" spans="1:8" x14ac:dyDescent="0.25">
      <c r="A69" s="214"/>
      <c r="B69" s="215" t="s">
        <v>232</v>
      </c>
      <c r="C69" s="215" t="s">
        <v>233</v>
      </c>
      <c r="D69" s="171" t="s">
        <v>234</v>
      </c>
      <c r="E69" s="173"/>
      <c r="F69" s="186"/>
      <c r="G69" s="186"/>
      <c r="H69" s="186"/>
    </row>
    <row r="70" spans="1:8" x14ac:dyDescent="0.25">
      <c r="A70" s="214"/>
      <c r="B70" s="215" t="s">
        <v>123</v>
      </c>
      <c r="C70" s="215" t="s">
        <v>124</v>
      </c>
      <c r="D70" s="171" t="s">
        <v>125</v>
      </c>
      <c r="E70" s="173"/>
      <c r="F70" s="173"/>
      <c r="G70" s="186"/>
      <c r="H70" s="186"/>
    </row>
    <row r="71" spans="1:8" x14ac:dyDescent="0.25">
      <c r="A71" s="189"/>
      <c r="B71" s="189"/>
      <c r="C71" s="189"/>
      <c r="D71" s="189"/>
      <c r="E71" s="189"/>
      <c r="F71" s="189"/>
      <c r="G71" s="189"/>
      <c r="H71" s="189"/>
    </row>
    <row r="72" spans="1:8" x14ac:dyDescent="0.25">
      <c r="A72" s="189"/>
      <c r="B72" s="189"/>
      <c r="C72" s="189"/>
      <c r="D72" s="189"/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28" t="s">
        <v>53</v>
      </c>
      <c r="B1" s="228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4" t="s">
        <v>77</v>
      </c>
      <c r="D3" s="224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4" t="s">
        <v>78</v>
      </c>
      <c r="D4" s="224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4" t="s">
        <v>79</v>
      </c>
      <c r="D5" s="224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 t="s">
        <v>80</v>
      </c>
      <c r="D6" s="208"/>
      <c r="E6" s="208"/>
      <c r="G6" s="10"/>
      <c r="H6" s="23"/>
      <c r="I6" s="229" t="s">
        <v>76</v>
      </c>
      <c r="J6" s="229"/>
      <c r="K6" s="229"/>
      <c r="L6" s="229"/>
      <c r="M6" s="229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7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 t="s">
        <v>215</v>
      </c>
      <c r="C10" s="171" t="s">
        <v>109</v>
      </c>
      <c r="D10" s="172" t="s">
        <v>216</v>
      </c>
      <c r="E10" s="77">
        <v>15</v>
      </c>
      <c r="F10" s="77">
        <v>7</v>
      </c>
      <c r="G10" s="77">
        <v>123</v>
      </c>
      <c r="H10" s="77">
        <v>155</v>
      </c>
      <c r="I10" s="77"/>
      <c r="J10" s="77"/>
      <c r="K10" s="77"/>
      <c r="L10" s="77"/>
      <c r="M10" s="173">
        <v>1</v>
      </c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 t="s">
        <v>219</v>
      </c>
      <c r="C11" s="171" t="s">
        <v>220</v>
      </c>
      <c r="D11" s="172" t="s">
        <v>221</v>
      </c>
      <c r="E11" s="77">
        <v>14</v>
      </c>
      <c r="F11" s="77">
        <v>7</v>
      </c>
      <c r="G11" s="77">
        <v>53</v>
      </c>
      <c r="H11" s="77">
        <v>63</v>
      </c>
      <c r="I11" s="77"/>
      <c r="J11" s="77"/>
      <c r="K11" s="77"/>
      <c r="L11" s="77"/>
      <c r="M11" s="173">
        <v>1</v>
      </c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 t="s">
        <v>167</v>
      </c>
      <c r="C12" s="171" t="s">
        <v>103</v>
      </c>
      <c r="D12" s="172" t="s">
        <v>168</v>
      </c>
      <c r="E12" s="77">
        <v>13</v>
      </c>
      <c r="F12" s="77">
        <v>6</v>
      </c>
      <c r="G12" s="77">
        <v>76</v>
      </c>
      <c r="H12" s="77">
        <v>114</v>
      </c>
      <c r="I12" s="77"/>
      <c r="J12" s="77"/>
      <c r="K12" s="77"/>
      <c r="L12" s="77"/>
      <c r="M12" s="173">
        <v>1</v>
      </c>
      <c r="N12" s="173"/>
      <c r="O12" s="173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 t="s">
        <v>199</v>
      </c>
      <c r="C13" s="156" t="s">
        <v>124</v>
      </c>
      <c r="D13" s="157" t="s">
        <v>200</v>
      </c>
      <c r="E13" s="77">
        <v>13</v>
      </c>
      <c r="F13" s="77">
        <v>6</v>
      </c>
      <c r="G13" s="77">
        <v>59</v>
      </c>
      <c r="H13" s="77">
        <v>91</v>
      </c>
      <c r="I13" s="77"/>
      <c r="J13" s="77"/>
      <c r="K13" s="77"/>
      <c r="L13" s="77"/>
      <c r="M13" s="173">
        <v>1</v>
      </c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 t="s">
        <v>212</v>
      </c>
      <c r="C14" s="171" t="s">
        <v>213</v>
      </c>
      <c r="D14" s="172" t="s">
        <v>214</v>
      </c>
      <c r="E14" s="77">
        <v>12</v>
      </c>
      <c r="F14" s="77">
        <v>6</v>
      </c>
      <c r="G14" s="77">
        <v>27</v>
      </c>
      <c r="H14" s="77">
        <v>77</v>
      </c>
      <c r="I14" s="77"/>
      <c r="J14" s="77"/>
      <c r="K14" s="77"/>
      <c r="L14" s="77"/>
      <c r="M14" s="173">
        <v>1</v>
      </c>
      <c r="N14" s="174"/>
      <c r="O14" s="174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 t="s">
        <v>197</v>
      </c>
      <c r="C15" s="156" t="s">
        <v>112</v>
      </c>
      <c r="D15" s="157" t="s">
        <v>198</v>
      </c>
      <c r="E15" s="77">
        <v>11</v>
      </c>
      <c r="F15" s="77">
        <v>4</v>
      </c>
      <c r="G15" s="77">
        <v>42</v>
      </c>
      <c r="H15" s="77">
        <v>123</v>
      </c>
      <c r="I15" s="77"/>
      <c r="J15" s="77"/>
      <c r="K15" s="77"/>
      <c r="L15" s="77"/>
      <c r="M15" s="173">
        <v>1</v>
      </c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 t="s">
        <v>191</v>
      </c>
      <c r="C16" s="171" t="s">
        <v>192</v>
      </c>
      <c r="D16" s="172" t="s">
        <v>193</v>
      </c>
      <c r="E16" s="77">
        <v>10</v>
      </c>
      <c r="F16" s="77">
        <v>5</v>
      </c>
      <c r="G16" s="77">
        <v>46</v>
      </c>
      <c r="H16" s="77">
        <v>82</v>
      </c>
      <c r="I16" s="77"/>
      <c r="J16" s="77"/>
      <c r="K16" s="77"/>
      <c r="L16" s="77"/>
      <c r="M16" s="173">
        <v>1</v>
      </c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/>
      <c r="C17" s="171"/>
      <c r="D17" s="172"/>
      <c r="E17" s="77"/>
      <c r="F17" s="77"/>
      <c r="G17" s="77"/>
      <c r="H17" s="77"/>
      <c r="I17" s="77"/>
      <c r="J17" s="77"/>
      <c r="K17" s="77"/>
      <c r="L17" s="77"/>
      <c r="M17" s="173"/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/>
      <c r="C18" s="171"/>
      <c r="D18" s="172"/>
      <c r="E18" s="77"/>
      <c r="F18" s="77"/>
      <c r="G18" s="77"/>
      <c r="H18" s="77"/>
      <c r="I18" s="77"/>
      <c r="J18" s="77"/>
      <c r="K18" s="77"/>
      <c r="L18" s="77"/>
      <c r="M18" s="174"/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 t="s">
        <v>235</v>
      </c>
      <c r="C1" s="150"/>
      <c r="G1" s="123"/>
    </row>
    <row r="2" spans="1:18" x14ac:dyDescent="0.35">
      <c r="A2" s="124">
        <v>10</v>
      </c>
      <c r="B2" s="121" t="s">
        <v>8</v>
      </c>
      <c r="C2" s="125" t="s">
        <v>7</v>
      </c>
      <c r="D2" s="126">
        <v>26</v>
      </c>
      <c r="G2" s="185"/>
      <c r="H2" s="131"/>
    </row>
    <row r="3" spans="1:18" x14ac:dyDescent="0.35">
      <c r="C3" s="125" t="s">
        <v>15</v>
      </c>
      <c r="D3" s="126">
        <v>7</v>
      </c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>
        <f>IF(FCRPool1Firstname&lt;&gt;"",1,"")</f>
        <v>1</v>
      </c>
      <c r="B6" s="109" t="s">
        <v>215</v>
      </c>
      <c r="C6" s="109" t="s">
        <v>109</v>
      </c>
      <c r="D6" s="110" t="s">
        <v>216</v>
      </c>
      <c r="E6" s="111">
        <v>37</v>
      </c>
    </row>
    <row r="7" spans="1:18" x14ac:dyDescent="0.35">
      <c r="A7" s="130">
        <f>IF(A6&lt;&gt;"",A6+1,"")</f>
        <v>2</v>
      </c>
      <c r="B7" s="109" t="s">
        <v>219</v>
      </c>
      <c r="C7" s="109" t="s">
        <v>220</v>
      </c>
      <c r="D7" s="110" t="s">
        <v>221</v>
      </c>
      <c r="E7" s="111">
        <v>37</v>
      </c>
    </row>
    <row r="8" spans="1:18" x14ac:dyDescent="0.35">
      <c r="A8" s="130">
        <f t="shared" ref="A8:A30" si="0">IF(A7&lt;&gt;"",A7+1,"")</f>
        <v>3</v>
      </c>
      <c r="B8" s="109" t="s">
        <v>167</v>
      </c>
      <c r="C8" s="109" t="s">
        <v>103</v>
      </c>
      <c r="D8" s="110" t="s">
        <v>168</v>
      </c>
      <c r="E8" s="111">
        <v>37</v>
      </c>
    </row>
    <row r="9" spans="1:18" x14ac:dyDescent="0.35">
      <c r="A9" s="130">
        <f t="shared" si="0"/>
        <v>4</v>
      </c>
      <c r="B9" s="109" t="s">
        <v>199</v>
      </c>
      <c r="C9" s="109" t="s">
        <v>124</v>
      </c>
      <c r="D9" s="110" t="s">
        <v>200</v>
      </c>
      <c r="E9" s="111">
        <v>37</v>
      </c>
    </row>
    <row r="10" spans="1:18" x14ac:dyDescent="0.35">
      <c r="A10" s="130">
        <f t="shared" si="0"/>
        <v>5</v>
      </c>
      <c r="B10" s="109" t="s">
        <v>212</v>
      </c>
      <c r="C10" s="109" t="s">
        <v>213</v>
      </c>
      <c r="D10" s="110" t="s">
        <v>214</v>
      </c>
      <c r="E10" s="111">
        <v>37</v>
      </c>
    </row>
    <row r="11" spans="1:18" x14ac:dyDescent="0.35">
      <c r="A11" s="130">
        <f t="shared" si="0"/>
        <v>6</v>
      </c>
      <c r="B11" s="109" t="s">
        <v>197</v>
      </c>
      <c r="C11" s="109" t="s">
        <v>112</v>
      </c>
      <c r="D11" s="110" t="s">
        <v>198</v>
      </c>
      <c r="E11" s="111">
        <v>37</v>
      </c>
      <c r="Q11" s="131"/>
      <c r="R11" s="131"/>
    </row>
    <row r="12" spans="1:18" x14ac:dyDescent="0.35">
      <c r="A12" s="130">
        <f t="shared" si="0"/>
        <v>7</v>
      </c>
      <c r="B12" s="109" t="s">
        <v>191</v>
      </c>
      <c r="C12" s="109" t="s">
        <v>192</v>
      </c>
      <c r="D12" s="110" t="s">
        <v>193</v>
      </c>
      <c r="E12" s="111">
        <v>37</v>
      </c>
      <c r="Q12" s="131"/>
    </row>
    <row r="13" spans="1:18" x14ac:dyDescent="0.35">
      <c r="A13" s="130">
        <f t="shared" si="0"/>
        <v>8</v>
      </c>
      <c r="B13" s="112"/>
      <c r="C13" s="112"/>
      <c r="D13" s="113"/>
      <c r="E13" s="114"/>
    </row>
    <row r="14" spans="1:18" x14ac:dyDescent="0.35">
      <c r="A14" s="130">
        <f t="shared" si="0"/>
        <v>9</v>
      </c>
      <c r="B14" s="109"/>
      <c r="C14" s="109"/>
      <c r="D14" s="110"/>
      <c r="E14" s="111"/>
      <c r="Q14" s="131"/>
      <c r="R14" s="131"/>
    </row>
    <row r="15" spans="1:18" x14ac:dyDescent="0.35">
      <c r="A15" s="130">
        <f t="shared" si="0"/>
        <v>10</v>
      </c>
      <c r="B15" s="112"/>
      <c r="C15" s="112"/>
      <c r="D15" s="113"/>
      <c r="E15" s="114"/>
      <c r="Q15" s="131"/>
      <c r="R15" s="131"/>
    </row>
    <row r="16" spans="1:18" x14ac:dyDescent="0.35">
      <c r="A16" s="130">
        <f t="shared" si="0"/>
        <v>11</v>
      </c>
      <c r="B16" s="115"/>
      <c r="C16" s="115"/>
      <c r="D16" s="116"/>
      <c r="E16" s="116"/>
      <c r="Q16" s="131"/>
      <c r="R16" s="131"/>
    </row>
    <row r="17" spans="1:19" x14ac:dyDescent="0.35">
      <c r="A17" s="130">
        <f t="shared" si="0"/>
        <v>12</v>
      </c>
      <c r="B17" s="117"/>
      <c r="C17" s="117"/>
      <c r="D17" s="118"/>
      <c r="E17" s="118"/>
      <c r="Q17" s="131"/>
      <c r="R17" s="131"/>
    </row>
    <row r="18" spans="1:19" x14ac:dyDescent="0.35">
      <c r="A18" s="130">
        <f t="shared" si="0"/>
        <v>13</v>
      </c>
      <c r="B18" s="117"/>
      <c r="C18" s="117"/>
      <c r="D18" s="118"/>
      <c r="E18" s="118"/>
    </row>
    <row r="19" spans="1:19" x14ac:dyDescent="0.35">
      <c r="A19" s="130">
        <f t="shared" si="0"/>
        <v>14</v>
      </c>
      <c r="B19" s="117"/>
      <c r="C19" s="117"/>
      <c r="D19" s="118"/>
      <c r="E19" s="118"/>
    </row>
    <row r="20" spans="1:19" x14ac:dyDescent="0.35">
      <c r="A20" s="130">
        <f t="shared" si="0"/>
        <v>15</v>
      </c>
      <c r="B20" s="117"/>
      <c r="C20" s="117"/>
      <c r="D20" s="118"/>
      <c r="E20" s="118"/>
    </row>
    <row r="21" spans="1:19" x14ac:dyDescent="0.35">
      <c r="A21" s="130">
        <f t="shared" si="0"/>
        <v>16</v>
      </c>
      <c r="B21" s="117"/>
      <c r="C21" s="117"/>
      <c r="D21" s="118"/>
      <c r="E21" s="118"/>
      <c r="Q21" s="131"/>
    </row>
    <row r="22" spans="1:19" x14ac:dyDescent="0.35">
      <c r="A22" s="130">
        <f t="shared" si="0"/>
        <v>17</v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>
        <f t="shared" si="0"/>
        <v>18</v>
      </c>
      <c r="B23" s="117"/>
      <c r="C23" s="117"/>
      <c r="D23" s="118"/>
      <c r="E23" s="118"/>
      <c r="Q23" s="131"/>
      <c r="R23" s="131"/>
    </row>
    <row r="24" spans="1:19" x14ac:dyDescent="0.35">
      <c r="A24" s="130">
        <f t="shared" si="0"/>
        <v>19</v>
      </c>
      <c r="B24" s="117"/>
      <c r="C24" s="117"/>
      <c r="D24" s="118"/>
      <c r="E24" s="118"/>
    </row>
    <row r="25" spans="1:19" x14ac:dyDescent="0.35">
      <c r="A25" s="130">
        <f t="shared" si="0"/>
        <v>20</v>
      </c>
      <c r="B25" s="117"/>
      <c r="C25" s="117"/>
      <c r="D25" s="118"/>
      <c r="E25" s="118"/>
    </row>
    <row r="26" spans="1:19" x14ac:dyDescent="0.35">
      <c r="A26" s="130">
        <f t="shared" si="0"/>
        <v>21</v>
      </c>
      <c r="B26" s="117"/>
      <c r="C26" s="117"/>
      <c r="D26" s="118"/>
      <c r="E26" s="118"/>
    </row>
    <row r="27" spans="1:19" x14ac:dyDescent="0.35">
      <c r="A27" s="130">
        <f t="shared" si="0"/>
        <v>22</v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>
        <f t="shared" si="0"/>
        <v>23</v>
      </c>
      <c r="B28" s="117"/>
      <c r="C28" s="117"/>
      <c r="D28" s="118"/>
      <c r="E28" s="118"/>
    </row>
    <row r="29" spans="1:19" x14ac:dyDescent="0.35">
      <c r="A29" s="130">
        <f t="shared" si="0"/>
        <v>24</v>
      </c>
      <c r="B29" s="117"/>
      <c r="C29" s="117"/>
      <c r="D29" s="118"/>
      <c r="E29" s="118"/>
    </row>
    <row r="30" spans="1:19" x14ac:dyDescent="0.35">
      <c r="A30" s="130">
        <f t="shared" si="0"/>
        <v>25</v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0">
        <f>+Entries!A2</f>
        <v>0</v>
      </c>
      <c r="B3" s="230"/>
      <c r="C3" s="230"/>
      <c r="D3" s="150"/>
    </row>
    <row r="4" spans="1:6" x14ac:dyDescent="0.3">
      <c r="A4" s="231"/>
      <c r="B4" s="231"/>
      <c r="C4" s="57"/>
    </row>
    <row r="5" spans="1:6" x14ac:dyDescent="0.3">
      <c r="A5" s="232" t="e">
        <f>+#REF!</f>
        <v>#REF!</v>
      </c>
      <c r="B5" s="230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28</v>
      </c>
      <c r="B7" s="233" t="s">
        <v>34</v>
      </c>
      <c r="C7" s="233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4">
        <f>+Entries!A2</f>
        <v>0</v>
      </c>
      <c r="B3" s="234"/>
      <c r="C3" s="234"/>
      <c r="E3" s="57"/>
      <c r="F3" s="57"/>
      <c r="J3" s="230"/>
      <c r="K3" s="230"/>
      <c r="L3" s="230"/>
      <c r="M3" s="56"/>
      <c r="N3" s="57"/>
      <c r="O3" s="57"/>
    </row>
    <row r="4" spans="1:18" x14ac:dyDescent="0.3">
      <c r="A4" s="231"/>
      <c r="B4" s="231"/>
      <c r="J4" s="231"/>
      <c r="K4" s="231"/>
      <c r="L4" s="57"/>
      <c r="M4" s="56"/>
      <c r="N4" s="56"/>
      <c r="O4" s="56"/>
      <c r="R4" s="135"/>
    </row>
    <row r="5" spans="1:18" x14ac:dyDescent="0.3">
      <c r="A5" s="232" t="e">
        <f>+#REF!</f>
        <v>#REF!</v>
      </c>
      <c r="B5" s="230"/>
      <c r="C5" s="58" t="s">
        <v>28</v>
      </c>
      <c r="J5" s="230"/>
      <c r="K5" s="230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28</v>
      </c>
      <c r="B7" s="233" t="s">
        <v>34</v>
      </c>
      <c r="C7" s="233"/>
      <c r="J7" s="63"/>
      <c r="K7" s="233"/>
      <c r="L7" s="233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5">
        <f>+Entries!A2</f>
        <v>0</v>
      </c>
      <c r="B3" s="235"/>
      <c r="C3" s="235"/>
    </row>
    <row r="4" spans="1:20" x14ac:dyDescent="0.25">
      <c r="A4" s="236"/>
      <c r="B4" s="236"/>
      <c r="C4" s="79"/>
    </row>
    <row r="5" spans="1:20" x14ac:dyDescent="0.25">
      <c r="A5" s="237"/>
      <c r="B5" s="235"/>
      <c r="C5" s="54"/>
    </row>
    <row r="6" spans="1:20" x14ac:dyDescent="0.25">
      <c r="A6" s="81"/>
      <c r="B6" s="149"/>
      <c r="C6" s="79"/>
    </row>
    <row r="7" spans="1:20" x14ac:dyDescent="0.25">
      <c r="A7" s="81"/>
      <c r="B7" s="238"/>
      <c r="C7" s="238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2024-04-08T01:52:58Z</cp:lastPrinted>
  <dcterms:created xsi:type="dcterms:W3CDTF">2014-07-12T17:55:34Z</dcterms:created>
  <dcterms:modified xsi:type="dcterms:W3CDTF">2024-04-08T22:27:53Z</dcterms:modified>
</cp:coreProperties>
</file>