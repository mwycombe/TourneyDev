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"/>
    </mc:Choice>
  </mc:AlternateContent>
  <xr:revisionPtr revIDLastSave="0" documentId="13_ncr:1_{E857590C-EF94-45B3-B061-C84B46639AD9}" xr6:coauthVersionLast="47" xr6:coauthVersionMax="47" xr10:uidLastSave="{00000000-0000-0000-0000-000000000000}"/>
  <bookViews>
    <workbookView xWindow="28680" yWindow="-120" windowWidth="29040" windowHeight="1584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EntryFields">Entries!$B$12:$T$211</definedName>
    <definedName name="FMREntriesAmtPaidHdr">Entries!$N$11</definedName>
    <definedName name="FMREntriesAmtPdCount">Entries!$N$10</definedName>
    <definedName name="FMREntriesAnchorCount">Entries!$L$10</definedName>
    <definedName name="FMREntriesAnchorHdr">Entries!$L$11</definedName>
    <definedName name="FMREntriesCityHdr">Entries!$E$11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Hdr">Entries!$T$11</definedName>
    <definedName name="FMRPool1AccNoHdr">Pool1!$D$5</definedName>
    <definedName name="FMRPool1AllEntryFields">Pool1!$A$6:$E$30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Pool2!$A$6:$E$30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Pool3!$A$6:$E$30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Pool4!$A$6:$E$30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Name">Pool4!$B$1</definedName>
    <definedName name="FMRPool4NameHdr">Pool4!$B$5</definedName>
    <definedName name="FMRPool4Number">Pool4!$B$5</definedName>
    <definedName name="FMRPool4Rank1">Pool4!$A$6</definedName>
    <definedName name="FMRPool4Type">Pool4!$B$1</definedName>
    <definedName name="FMRPool4Winners">Pool4!$D$3</definedName>
    <definedName name="FMRResulstSpreadPointsHdr">Results!$G$9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FRMResultsFirstName">Results!$B$10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Results!$A$7:$L$24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S9" i="13" l="1"/>
  <c r="S32" i="13"/>
  <c r="T32" i="13" s="1"/>
  <c r="U32" i="13" s="1"/>
  <c r="S31" i="13"/>
  <c r="T31" i="13" s="1"/>
  <c r="U31" i="13" s="1"/>
  <c r="S30" i="13"/>
  <c r="T30" i="13" s="1"/>
  <c r="U30" i="13" s="1"/>
  <c r="S29" i="13"/>
  <c r="T29" i="13" s="1"/>
  <c r="U29" i="13" s="1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S23" i="13"/>
  <c r="T23" i="13" s="1"/>
  <c r="U23" i="13" s="1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S14" i="13"/>
  <c r="T14" i="13" s="1"/>
  <c r="U14" i="13" s="1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V17" i="1"/>
  <c r="G10" i="1" l="1"/>
  <c r="C10" i="1" l="1"/>
  <c r="M10" i="1" l="1"/>
  <c r="L10" i="1"/>
  <c r="K10" i="1"/>
  <c r="J10" i="1"/>
  <c r="I10" i="1"/>
  <c r="H10" i="1"/>
  <c r="E222" i="3" l="1"/>
  <c r="M41" i="11" l="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A5" i="9" l="1"/>
  <c r="N10" i="1" l="1"/>
  <c r="O41" i="11" l="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A3" i="11" l="1"/>
  <c r="A3" i="10"/>
  <c r="A3" i="9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T11" i="3" l="1"/>
  <c r="U11" i="3" s="1"/>
  <c r="T12" i="3" l="1"/>
  <c r="T13" i="3" s="1"/>
  <c r="T14" i="3" s="1"/>
  <c r="T15" i="3" s="1"/>
  <c r="T16" i="3" s="1"/>
  <c r="T17" i="3" s="1"/>
  <c r="T18" i="3" s="1"/>
  <c r="T19" i="3" s="1"/>
  <c r="V11" i="3"/>
  <c r="V12" i="3" l="1"/>
  <c r="V13" i="3" s="1"/>
  <c r="V14" i="3" s="1"/>
  <c r="V15" i="3" s="1"/>
  <c r="V16" i="3" s="1"/>
  <c r="V17" i="3" s="1"/>
  <c r="V18" i="3" s="1"/>
  <c r="V19" i="3" s="1"/>
  <c r="U12" i="3"/>
  <c r="U13" i="3" l="1"/>
  <c r="U14" i="3" l="1"/>
  <c r="U15" i="3" l="1"/>
  <c r="P8" i="3"/>
  <c r="O8" i="3"/>
  <c r="N8" i="3"/>
  <c r="M8" i="3"/>
  <c r="U16" i="3" l="1"/>
  <c r="U17" i="3" s="1"/>
  <c r="U18" i="3" s="1"/>
  <c r="U19" i="3" s="1"/>
  <c r="A8" i="9" l="1"/>
  <c r="A8" i="10"/>
  <c r="A7" i="10"/>
  <c r="A7" i="9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<sst xmlns="http://schemas.openxmlformats.org/spreadsheetml/2006/main" count="342" uniqueCount="157">
  <si>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</si>
  <si>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</si>
  <si>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</si>
  <si>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</si>
  <si>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</si>
  <si>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</si>
  <si>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</si>
  <si>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</si>
  <si>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</si>
  <si>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</si>
  <si>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</si>
  <si>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</si>
  <si>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</si>
  <si>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</si>
  <si>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</si>
  <si>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</si>
  <si>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</si>
  <si>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</si>
  <si>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</si>
  <si>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</si>
  <si>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</si>
  <si>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</si>
  <si>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</si>
  <si>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</si>
  <si>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</si>
  <si>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</si>
  <si>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</si>
  <si>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</si>
  <si>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</si>
  <si>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</si>
  <si>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</si>
  <si>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</si>
  <si>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</si>
  <si>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</si>
  <si>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</si>
  <si>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</si>
  <si>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</si>
  <si>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</si>
  <si>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</si>
  <si>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</si>
  <si>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</si>
  <si>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</si>
  <si>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</si>
  <si>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Amt Pd</t>
  </si>
  <si>
    <t>hidden--&gt;</t>
  </si>
  <si>
    <t>An-chor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</si>
  <si>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</si>
  <si>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</si>
  <si>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</si>
  <si>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</si>
  <si>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</si>
  <si>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</si>
  <si>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</si>
  <si>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</si>
  <si>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</si>
  <si>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</si>
  <si>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</si>
  <si>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</si>
  <si>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</si>
  <si>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</si>
  <si>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</si>
  <si>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</si>
  <si>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</si>
  <si>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</si>
  <si>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</si>
  <si>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</si>
  <si>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</si>
  <si>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Napa Tourney</t>
  </si>
  <si>
    <t>The Moose Lodge</t>
  </si>
  <si>
    <t>Napa, Ca 94558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</si>
  <si>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</si>
  <si>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</si>
  <si>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</si>
  <si>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</si>
  <si>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</si>
  <si>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</si>
  <si>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</si>
  <si>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</si>
  <si>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</si>
  <si>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</si>
  <si>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</si>
  <si>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</si>
  <si>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</si>
  <si>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</si>
  <si>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</si>
  <si>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</si>
  <si>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</si>
  <si>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</si>
  <si>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</si>
  <si>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</si>
  <si>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</si>
  <si>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</si>
  <si>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</si>
  <si>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</si>
  <si>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O</t>
  </si>
  <si>
    <t>P</t>
  </si>
  <si>
    <t>Q</t>
  </si>
  <si>
    <t>R</t>
  </si>
  <si>
    <t>S</t>
  </si>
  <si>
    <t>T</t>
  </si>
  <si>
    <t>U</t>
  </si>
  <si>
    <t>V</t>
  </si>
  <si>
    <t xml:space="preserve">N 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</si>
  <si>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</si>
  <si>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</si>
  <si>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</si>
  <si>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</si>
  <si>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</si>
  <si>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</si>
  <si>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</si>
  <si>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</si>
  <si>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</si>
  <si>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</si>
  <si>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</si>
  <si>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</si>
  <si>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</si>
  <si>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</si>
  <si>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</si>
  <si>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</si>
  <si>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</si>
  <si>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</si>
  <si>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</si>
  <si>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</si>
  <si>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</si>
  <si>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</si>
  <si>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Z</t>
  </si>
  <si>
    <t>Y</t>
  </si>
  <si>
    <t>X</t>
  </si>
  <si>
    <t>The order of results is used for tourney payoff amounts and for Grad pool payout ordering</t>
  </si>
  <si>
    <t>Payoff Bracket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</si>
  <si>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</si>
  <si>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</si>
  <si>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</si>
  <si>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</si>
  <si>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</si>
  <si>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</si>
  <si>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</si>
  <si>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</si>
  <si>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</si>
  <si>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</si>
  <si>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</si>
  <si>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</si>
  <si>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</si>
  <si>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 xml:space="preserve"> </t>
  </si>
  <si>
    <t>Number of byes = nextPowerOf2 = number of teams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</si>
  <si>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</si>
  <si>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</si>
  <si>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</si>
  <si>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</si>
  <si>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</si>
  <si>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</si>
  <si>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</si>
  <si>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EQ Pool</t>
  </si>
  <si>
    <t>Tourney payoffs and pool payout sheets are available to print</t>
  </si>
  <si>
    <t>1:6 Graduuated</t>
  </si>
  <si>
    <t>1:6 Graduated</t>
  </si>
  <si>
    <t>Change any last-minute pool choices using "1" to Enter or Del to remove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</si>
</sst>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theme="1"/>
      <name val="Calibri"/>
      <family val="2"/>
    </font>
    <font>
      <b/>
      <sz val="26"/>
      <color rgb="FF000000"/>
      <name val="Calibri"/>
      <family val="2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6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0" fontId="9" fillId="0" borderId="4" xfId="0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0" fillId="0" borderId="0" xfId="0" applyProtection="1"/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0" fontId="9" fillId="0" borderId="4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/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0" fontId="0" fillId="0" borderId="0" xfId="0" applyProtection="1"/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1" fillId="0" borderId="6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0" fontId="0" fillId="0" borderId="0" xfId="0" applyProtection="1"/>
    <xf numFmtId="164" fontId="0" fillId="0" borderId="0" xfId="0" applyNumberFormat="1" applyProtection="1"/>
    <xf numFmtId="5" fontId="0" fillId="0" borderId="0" xfId="0" applyNumberFormat="1" applyProtection="1"/>
    <xf numFmtId="164" fontId="9" fillId="0" borderId="0" xfId="0" applyNumberFormat="1" applyFont="1" applyAlignment="1">
      <alignment horizontal="center"/>
    </xf>
    <xf numFmtId="164" fontId="9" fillId="0" borderId="0" xfId="0" applyNumberFormat="1" applyFont="1"/>
    <xf numFmtId="164" fontId="9" fillId="0" borderId="4" xfId="0" applyNumberFormat="1" applyFont="1" applyBorder="1" applyProtection="1">
      <protection locked="0"/>
    </xf>
    <xf numFmtId="164" fontId="9" fillId="0" borderId="1" xfId="0" applyNumberFormat="1" applyFont="1" applyBorder="1" applyProtection="1">
      <protection locked="0"/>
    </xf>
    <xf numFmtId="0" fontId="10" fillId="0" borderId="1" xfId="0" applyFont="1" applyBorder="1" applyProtection="1"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0" xfId="0" applyFont="1"/>
    <xf numFmtId="164" fontId="0" fillId="0" borderId="1" xfId="0" applyNumberFormat="1" applyFont="1" applyBorder="1" applyAlignment="1" applyProtection="1">
      <alignment horizontal="center"/>
      <protection locked="0"/>
    </xf>
    <xf numFmtId="0" fontId="11" fillId="0" borderId="1" xfId="0" applyNumberFormat="1" applyFont="1" applyBorder="1" applyAlignment="1" applyProtection="1">
      <alignment horizontal="center"/>
      <protection locked="0"/>
    </xf>
    <xf numFmtId="164" fontId="11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Font="1" applyBorder="1" applyAlignment="1" applyProtection="1">
      <alignment horizontal="center"/>
      <protection locked="0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0" fontId="0" fillId="0" borderId="1" xfId="0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/>
    <xf numFmtId="0" fontId="1" fillId="0" borderId="1" xfId="0" applyNumberFormat="1" applyFont="1" applyBorder="1" applyAlignment="1">
      <alignment horizontal="center" wrapText="1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49" fontId="11" fillId="0" borderId="0" xfId="0" applyNumberFormat="1" applyFont="1" applyProtection="1">
      <protection locked="0"/>
    </xf>
    <xf numFmtId="49" fontId="9" fillId="0" borderId="1" xfId="0" applyNumberFormat="1" applyFont="1" applyBorder="1" applyAlignment="1" applyProtection="1">
      <alignment horizontal="left"/>
    </xf>
    <xf numFmtId="49" fontId="9" fillId="0" borderId="1" xfId="0" applyNumberFormat="1" applyFont="1" applyBorder="1" applyProtection="1"/>
    <xf numFmtId="49" fontId="9" fillId="0" borderId="1" xfId="0" applyNumberFormat="1" applyFont="1" applyBorder="1" applyAlignment="1" applyProtection="1">
      <alignment horizontal="center"/>
    </xf>
    <xf numFmtId="164" fontId="9" fillId="0" borderId="1" xfId="0" applyNumberFormat="1" applyFont="1" applyBorder="1" applyAlignment="1" applyProtection="1">
      <alignment horizontal="center"/>
    </xf>
    <xf numFmtId="49" fontId="9" fillId="0" borderId="1" xfId="0" applyNumberFormat="1" applyFont="1" applyBorder="1" applyAlignment="1">
      <alignment horizontal="left"/>
    </xf>
    <xf numFmtId="49" fontId="9" fillId="0" borderId="1" xfId="0" applyNumberFormat="1" applyFont="1" applyBorder="1"/>
    <xf numFmtId="49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13" fillId="0" borderId="0" xfId="0" applyNumberFormat="1" applyFont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Border="1"/>
    <xf numFmtId="49" fontId="2" fillId="0" borderId="0" xfId="0" applyNumberFormat="1" applyFont="1" applyBorder="1" applyAlignment="1" applyProtection="1"/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Protection="1"/>
    <xf numFmtId="0" fontId="0" fillId="0" borderId="0" xfId="0" applyBorder="1" applyAlignment="1">
      <alignment horizontal="right"/>
    </xf>
    <xf numFmtId="0" fontId="0" fillId="0" borderId="0" xfId="0" applyBorder="1" applyAlignment="1" applyProtection="1">
      <alignment horizontal="center"/>
      <protection locked="0"/>
    </xf>
    <xf numFmtId="1" fontId="1" fillId="0" borderId="0" xfId="0" applyNumberFormat="1" applyFont="1" applyBorder="1" applyAlignment="1" applyProtection="1">
      <alignment horizontal="center"/>
      <protection locked="0"/>
    </xf>
    <xf numFmtId="1" fontId="12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NumberFormat="1" applyFont="1" applyBorder="1" applyAlignment="1" applyProtection="1"/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2" fillId="0" borderId="1" xfId="0" applyNumberFormat="1" applyFont="1" applyBorder="1" applyAlignment="1">
      <alignment horizontal="center"/>
    </xf>
    <xf numFmtId="1" fontId="12" fillId="0" borderId="1" xfId="0" applyNumberFormat="1" applyFont="1" applyBorder="1" applyAlignment="1">
      <alignment horizont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1" fontId="14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2" fillId="0" borderId="1" xfId="0" quotePrefix="1" applyFont="1" applyBorder="1" applyAlignment="1">
      <alignment horizontal="center"/>
    </xf>
    <xf numFmtId="49" fontId="1" fillId="0" borderId="0" xfId="0" applyNumberFormat="1" applyFont="1" applyAlignment="1">
      <alignment horizontal="left"/>
    </xf>
    <xf numFmtId="0" fontId="14" fillId="0" borderId="0" xfId="0" applyFont="1" applyAlignment="1"/>
    <xf numFmtId="49" fontId="1" fillId="0" borderId="0" xfId="0" applyNumberFormat="1" applyFont="1" applyAlignment="1"/>
    <xf numFmtId="0" fontId="1" fillId="0" borderId="0" xfId="0" applyNumberFormat="1" applyFont="1" applyBorder="1" applyAlignment="1" applyProtection="1">
      <alignment horizontal="left"/>
    </xf>
    <xf numFmtId="14" fontId="14" fillId="0" borderId="0" xfId="0" applyNumberFormat="1" applyFont="1" applyAlignment="1">
      <alignment horizontal="left"/>
    </xf>
    <xf numFmtId="0" fontId="1" fillId="0" borderId="2" xfId="0" applyFont="1" applyBorder="1" applyAlignment="1" applyProtection="1">
      <alignment horizontal="center"/>
      <protection locked="0"/>
    </xf>
    <xf numFmtId="0" fontId="1" fillId="0" borderId="0" xfId="0" applyFont="1"/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Border="1" applyAlignment="1" applyProtection="1">
      <alignment horizontal="left"/>
    </xf>
    <xf numFmtId="0" fontId="1" fillId="0" borderId="0" xfId="0" applyFont="1"/>
    <xf numFmtId="0" fontId="1" fillId="0" borderId="2" xfId="0" applyFont="1" applyBorder="1" applyAlignment="1">
      <alignment horizontal="center" wrapText="1"/>
    </xf>
    <xf numFmtId="1" fontId="14" fillId="0" borderId="0" xfId="0" applyNumberFormat="1" applyFont="1" applyBorder="1" applyAlignment="1" applyProtection="1">
      <alignment horizontal="center"/>
      <protection locked="0"/>
    </xf>
    <xf numFmtId="0" fontId="0" fillId="0" borderId="1" xfId="0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49" fontId="17" fillId="0" borderId="1" xfId="0" applyNumberFormat="1" applyFont="1" applyBorder="1" applyProtection="1"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Protection="1">
      <protection locked="0"/>
    </xf>
    <xf numFmtId="49" fontId="20" fillId="0" borderId="1" xfId="0" applyNumberFormat="1" applyFont="1" applyBorder="1" applyProtection="1">
      <protection locked="0"/>
    </xf>
    <xf numFmtId="49" fontId="20" fillId="0" borderId="1" xfId="0" applyNumberFormat="1" applyFont="1" applyBorder="1" applyAlignment="1" applyProtection="1">
      <alignment horizontal="center"/>
      <protection locked="0"/>
    </xf>
    <xf numFmtId="49" fontId="19" fillId="0" borderId="1" xfId="0" applyNumberFormat="1" applyFont="1" applyBorder="1" applyAlignment="1" applyProtection="1">
      <alignment horizontal="center"/>
      <protection locked="0"/>
    </xf>
    <xf numFmtId="49" fontId="9" fillId="0" borderId="1" xfId="0" quotePrefix="1" applyNumberFormat="1" applyFont="1" applyBorder="1" applyAlignment="1">
      <alignment horizontal="left"/>
    </xf>
    <xf numFmtId="0" fontId="1" fillId="0" borderId="0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>
      <alignment horizontal="left"/>
    </xf>
    <xf numFmtId="0" fontId="14" fillId="0" borderId="0" xfId="0" applyFont="1" applyAlignment="1">
      <alignment horizontal="left"/>
    </xf>
    <xf numFmtId="0" fontId="1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371475</xdr:colOff>
          <xdr:row>7</xdr:row>
          <xdr:rowOff>9525</xdr:rowOff>
        </xdr:to>
        <xdr:sp macro="" textlink="">
          <xdr:nvSpPr>
            <xdr:cNvPr id="3073" name="MoveMainQualifier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Qualifiers to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9525</xdr:rowOff>
        </xdr:from>
        <xdr:to>
          <xdr:col>6</xdr:col>
          <xdr:colOff>371475</xdr:colOff>
          <xdr:row>3</xdr:row>
          <xdr:rowOff>57150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9525</xdr:rowOff>
        </xdr:from>
        <xdr:to>
          <xdr:col>11</xdr:col>
          <xdr:colOff>38100</xdr:colOff>
          <xdr:row>3</xdr:row>
          <xdr:rowOff>57150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Consy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1</xdr:row>
          <xdr:rowOff>9525</xdr:rowOff>
        </xdr:from>
        <xdr:to>
          <xdr:col>6</xdr:col>
          <xdr:colOff>400050</xdr:colOff>
          <xdr:row>3</xdr:row>
          <xdr:rowOff>57150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11</xdr:col>
          <xdr:colOff>38100</xdr:colOff>
          <xdr:row>7</xdr:row>
          <xdr:rowOff>9525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171450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86"/>
  <sheetViews>
    <sheetView tabSelected="1" workbookViewId="0">
      <pane ySplit="11" topLeftCell="A12" activePane="bottomLeft" state="frozen"/>
      <selection pane="bottomLeft" activeCell="C10" sqref="C10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0.85546875" style="1" customWidth="1"/>
    <col min="4" max="4" width="29.85546875" style="2" customWidth="1"/>
    <col min="5" max="5" width="18.42578125" style="2" customWidth="1"/>
    <col min="6" max="6" width="10.140625" style="3" customWidth="1"/>
    <col min="7" max="11" width="7.5703125" style="8" customWidth="1"/>
    <col min="12" max="13" width="7.5703125" customWidth="1"/>
    <col min="14" max="14" width="7.5703125" style="42" customWidth="1"/>
    <col min="15" max="15" width="10.42578125" style="1" customWidth="1"/>
    <col min="16" max="16" width="8.42578125" style="1" customWidth="1"/>
    <col min="17" max="17" width="6.5703125" style="1" customWidth="1"/>
    <col min="18" max="18" width="9.42578125" style="1" customWidth="1"/>
    <col min="19" max="21" width="9.140625" customWidth="1"/>
    <col min="22" max="22" width="12.5703125" style="1" customWidth="1"/>
    <col min="23" max="26" width="9.140625" customWidth="1"/>
    <col min="27" max="27" width="5" style="178" customWidth="1"/>
    <col min="28" max="28" width="9.5703125" customWidth="1"/>
  </cols>
  <sheetData>
    <row r="1" spans="1:31" ht="21" x14ac:dyDescent="0.35">
      <c r="A1" s="249" t="s">
        <v>56</v>
      </c>
      <c r="B1" s="249"/>
      <c r="C1" s="204"/>
      <c r="D1" s="204"/>
      <c r="E1" s="140"/>
      <c r="F1" s="19"/>
      <c r="K1" s="144"/>
      <c r="L1" s="47"/>
      <c r="O1" s="33"/>
      <c r="P1" s="33"/>
      <c r="Q1" s="33"/>
      <c r="R1" s="125"/>
      <c r="S1" s="16"/>
      <c r="T1" s="17"/>
      <c r="W1" s="47"/>
      <c r="AA1" s="47"/>
      <c r="AC1" s="153"/>
    </row>
    <row r="2" spans="1:31" x14ac:dyDescent="0.25">
      <c r="A2" s="214"/>
      <c r="B2" s="214"/>
      <c r="C2" s="214"/>
      <c r="D2" s="252" t="s">
        <v>78</v>
      </c>
      <c r="E2" s="252"/>
      <c r="F2" s="214"/>
      <c r="G2" s="203"/>
      <c r="I2" s="20"/>
      <c r="J2" s="153"/>
      <c r="O2" s="152" t="s">
        <v>75</v>
      </c>
      <c r="S2" s="16"/>
      <c r="T2" s="18"/>
      <c r="AA2" s="187"/>
      <c r="AB2" s="153"/>
      <c r="AC2" s="153"/>
    </row>
    <row r="3" spans="1:31" ht="15.75" customHeight="1" x14ac:dyDescent="0.25">
      <c r="A3" s="214"/>
      <c r="B3" s="250" t="s">
        <v>62</v>
      </c>
      <c r="C3" s="250"/>
      <c r="D3" s="251" t="s">
        <v>67</v>
      </c>
      <c r="E3" s="251"/>
      <c r="F3" s="214"/>
      <c r="G3" s="19"/>
      <c r="L3" s="9"/>
      <c r="M3" s="20"/>
      <c r="O3" s="152" t="s">
        <v>80</v>
      </c>
      <c r="S3" s="19"/>
      <c r="T3" s="18"/>
      <c r="AA3" s="187"/>
      <c r="AB3" s="172"/>
      <c r="AC3" s="153"/>
    </row>
    <row r="4" spans="1:31" x14ac:dyDescent="0.25">
      <c r="A4" s="214"/>
      <c r="B4" s="250" t="s">
        <v>63</v>
      </c>
      <c r="C4" s="250"/>
      <c r="D4" s="251" t="s">
        <v>68</v>
      </c>
      <c r="E4" s="251"/>
      <c r="F4" s="214"/>
      <c r="G4" s="18"/>
      <c r="L4" s="9"/>
      <c r="M4" s="8"/>
      <c r="O4" s="152" t="s">
        <v>156</v>
      </c>
      <c r="S4" s="90"/>
      <c r="T4" s="85"/>
      <c r="AA4" s="187"/>
      <c r="AB4" s="153"/>
      <c r="AC4" s="153"/>
    </row>
    <row r="5" spans="1:31" ht="15" customHeight="1" x14ac:dyDescent="0.25">
      <c r="A5" s="214"/>
      <c r="B5" s="250" t="s">
        <v>64</v>
      </c>
      <c r="C5" s="250"/>
      <c r="D5" s="251" t="s">
        <v>69</v>
      </c>
      <c r="E5" s="251"/>
      <c r="F5" s="214"/>
      <c r="G5" s="24"/>
      <c r="L5" s="9"/>
      <c r="M5" s="8"/>
      <c r="O5" s="152" t="s">
        <v>76</v>
      </c>
      <c r="R5" s="136"/>
      <c r="S5" s="136"/>
      <c r="T5" s="136"/>
      <c r="U5" s="136"/>
      <c r="V5" s="136"/>
      <c r="W5" s="136"/>
      <c r="AA5" s="187"/>
      <c r="AB5" s="128"/>
      <c r="AC5" s="152"/>
      <c r="AD5" s="152"/>
      <c r="AE5" s="152"/>
    </row>
    <row r="6" spans="1:31" x14ac:dyDescent="0.25">
      <c r="A6" s="214"/>
      <c r="B6" s="250" t="s">
        <v>65</v>
      </c>
      <c r="C6" s="250"/>
      <c r="D6" s="232">
        <v>45045</v>
      </c>
      <c r="E6" s="227"/>
      <c r="F6" s="214"/>
      <c r="G6" s="21"/>
      <c r="L6" s="18"/>
      <c r="O6" s="152" t="s">
        <v>77</v>
      </c>
      <c r="R6" s="136"/>
      <c r="S6" s="136"/>
      <c r="T6" s="136"/>
      <c r="U6" s="136"/>
      <c r="V6" s="136"/>
      <c r="W6" s="136"/>
      <c r="Z6" s="131"/>
      <c r="AA6" s="187"/>
      <c r="AB6" s="153"/>
      <c r="AC6" s="153"/>
    </row>
    <row r="7" spans="1:31" ht="18.75" x14ac:dyDescent="0.3">
      <c r="A7" s="214"/>
      <c r="B7" s="214"/>
      <c r="C7" s="214"/>
      <c r="D7" s="214"/>
      <c r="E7" s="214"/>
      <c r="F7" s="214"/>
      <c r="G7" s="200"/>
      <c r="H7" s="154"/>
      <c r="I7" s="154"/>
      <c r="J7" s="14"/>
      <c r="K7" s="14"/>
      <c r="L7" s="19"/>
      <c r="O7" s="152" t="s">
        <v>79</v>
      </c>
      <c r="S7" s="9"/>
      <c r="T7" s="20"/>
      <c r="AA7" s="187"/>
      <c r="AB7" s="171"/>
      <c r="AC7" s="171"/>
    </row>
    <row r="8" spans="1:31" ht="18.75" customHeight="1" x14ac:dyDescent="0.25">
      <c r="A8" s="214"/>
      <c r="B8" s="214"/>
      <c r="C8" s="214"/>
      <c r="D8" s="214"/>
      <c r="E8" s="227"/>
      <c r="F8" s="214"/>
      <c r="G8" s="34"/>
      <c r="H8" s="34"/>
      <c r="I8" s="34"/>
      <c r="J8" s="34"/>
      <c r="O8" s="152" t="s">
        <v>149</v>
      </c>
      <c r="S8" s="19"/>
      <c r="T8" s="8"/>
      <c r="AA8" s="187"/>
    </row>
    <row r="9" spans="1:31" ht="42" customHeight="1" x14ac:dyDescent="0.25">
      <c r="A9" s="134"/>
      <c r="B9" s="15" t="s">
        <v>55</v>
      </c>
      <c r="C9" s="188" t="s">
        <v>54</v>
      </c>
      <c r="D9" s="142"/>
      <c r="E9" s="135"/>
      <c r="G9" s="158"/>
      <c r="H9" s="158"/>
      <c r="I9" s="158"/>
      <c r="J9" s="201"/>
      <c r="K9" s="248"/>
      <c r="L9" s="248"/>
      <c r="S9" s="9"/>
      <c r="T9" s="8"/>
      <c r="V9" s="202"/>
      <c r="W9" s="202"/>
      <c r="X9" s="202"/>
      <c r="Y9" s="202"/>
      <c r="AA9" s="187"/>
    </row>
    <row r="10" spans="1:31" ht="18.75" x14ac:dyDescent="0.3">
      <c r="A10" s="134"/>
      <c r="B10" s="69">
        <f>SUM(B12:B211)</f>
        <v>35</v>
      </c>
      <c r="C10" s="223">
        <f>SUM(C12:C211)</f>
        <v>9</v>
      </c>
      <c r="D10" s="129"/>
      <c r="E10" s="129"/>
      <c r="G10" s="69">
        <f>SUM(G12:G205)</f>
        <v>27</v>
      </c>
      <c r="H10" s="69">
        <f t="shared" ref="H10:M10" si="0">SUM(H12:H205)</f>
        <v>20</v>
      </c>
      <c r="I10" s="69">
        <f t="shared" si="0"/>
        <v>17</v>
      </c>
      <c r="J10" s="69">
        <f t="shared" si="0"/>
        <v>10</v>
      </c>
      <c r="K10" s="69">
        <f t="shared" si="0"/>
        <v>0</v>
      </c>
      <c r="L10" s="69">
        <f t="shared" si="0"/>
        <v>0</v>
      </c>
      <c r="M10" s="69">
        <f t="shared" si="0"/>
        <v>0</v>
      </c>
      <c r="N10" s="127">
        <f>SUM(N12:N211)</f>
        <v>0</v>
      </c>
      <c r="Q10" s="128"/>
      <c r="R10" s="205"/>
      <c r="S10" s="206"/>
      <c r="T10" s="206"/>
      <c r="U10" s="203"/>
      <c r="V10" s="207"/>
      <c r="W10" s="207"/>
      <c r="X10" s="207"/>
      <c r="Y10" s="207"/>
      <c r="Z10" s="206"/>
      <c r="AA10" s="208"/>
      <c r="AB10" s="203"/>
    </row>
    <row r="11" spans="1:31" ht="30.75" customHeight="1" x14ac:dyDescent="0.25">
      <c r="B11" s="11" t="s">
        <v>42</v>
      </c>
      <c r="C11" s="35" t="s">
        <v>70</v>
      </c>
      <c r="D11" s="4" t="s">
        <v>0</v>
      </c>
      <c r="E11" s="5" t="s">
        <v>1</v>
      </c>
      <c r="F11" s="6" t="s">
        <v>2</v>
      </c>
      <c r="G11" s="188" t="s">
        <v>47</v>
      </c>
      <c r="H11" s="188" t="s">
        <v>48</v>
      </c>
      <c r="I11" s="188" t="s">
        <v>48</v>
      </c>
      <c r="J11" s="188" t="s">
        <v>48</v>
      </c>
      <c r="K11" s="35" t="s">
        <v>13</v>
      </c>
      <c r="L11" s="126" t="s">
        <v>45</v>
      </c>
      <c r="M11" s="35" t="s">
        <v>14</v>
      </c>
      <c r="N11" s="215" t="s">
        <v>43</v>
      </c>
      <c r="O11" s="216" t="s">
        <v>57</v>
      </c>
      <c r="P11" s="216" t="s">
        <v>66</v>
      </c>
      <c r="Q11" s="217" t="s">
        <v>58</v>
      </c>
      <c r="R11" s="217" t="s">
        <v>59</v>
      </c>
      <c r="S11" s="218" t="s">
        <v>60</v>
      </c>
      <c r="T11" s="218" t="s">
        <v>61</v>
      </c>
      <c r="U11" s="209"/>
      <c r="V11" s="207"/>
      <c r="W11" s="207"/>
      <c r="X11" s="207"/>
      <c r="Y11" s="207"/>
      <c r="Z11" s="201"/>
      <c r="AA11" s="208"/>
      <c r="AB11" s="203"/>
      <c r="AC11" s="151"/>
    </row>
    <row r="12" spans="1:31" ht="15.75" customHeight="1" x14ac:dyDescent="0.25">
      <c r="A12" s="7"/>
      <c r="B12" s="168">
        <v>1</v>
      </c>
      <c r="C12" s="169">
        <v>1</v>
      </c>
      <c r="D12" s="184" t="s">
        <v>82</v>
      </c>
      <c r="E12" s="180" t="s">
        <v>126</v>
      </c>
      <c r="F12" s="183" t="s">
        <v>110</v>
      </c>
      <c r="G12" s="174">
        <v>1</v>
      </c>
      <c r="H12" s="177">
        <v>1</v>
      </c>
      <c r="I12" s="177"/>
      <c r="J12" s="177"/>
      <c r="K12" s="177"/>
      <c r="L12" s="177"/>
      <c r="M12" s="177"/>
      <c r="N12" s="175"/>
      <c r="O12" s="190"/>
      <c r="P12" s="190"/>
      <c r="Q12" s="170"/>
      <c r="R12" s="219"/>
      <c r="S12" s="220"/>
      <c r="T12" s="220"/>
      <c r="U12" s="203"/>
      <c r="V12" s="205"/>
      <c r="W12" s="205"/>
      <c r="X12" s="205"/>
      <c r="Y12" s="205"/>
      <c r="Z12" s="210"/>
      <c r="AA12" s="211"/>
      <c r="AB12" s="203"/>
      <c r="AC12" s="30"/>
    </row>
    <row r="13" spans="1:31" x14ac:dyDescent="0.25">
      <c r="A13" s="7"/>
      <c r="B13" s="168">
        <v>1</v>
      </c>
      <c r="C13" s="169">
        <v>1</v>
      </c>
      <c r="D13" s="180" t="s">
        <v>83</v>
      </c>
      <c r="E13" s="184" t="s">
        <v>127</v>
      </c>
      <c r="F13" s="183" t="s">
        <v>111</v>
      </c>
      <c r="G13" s="169">
        <v>1</v>
      </c>
      <c r="H13" s="168">
        <v>1</v>
      </c>
      <c r="I13" s="168">
        <v>1</v>
      </c>
      <c r="J13" s="186">
        <v>1</v>
      </c>
      <c r="K13" s="186"/>
      <c r="L13" s="186"/>
      <c r="M13" s="186"/>
      <c r="N13" s="175"/>
      <c r="O13" s="170"/>
      <c r="P13" s="170"/>
      <c r="Q13" s="170"/>
      <c r="R13" s="219"/>
      <c r="S13" s="220"/>
      <c r="T13" s="220"/>
      <c r="U13" s="203"/>
      <c r="V13" s="205"/>
      <c r="W13" s="205"/>
      <c r="X13" s="205"/>
      <c r="Y13" s="205"/>
      <c r="Z13" s="210"/>
      <c r="AA13" s="211"/>
      <c r="AB13" s="203"/>
      <c r="AC13" s="30"/>
    </row>
    <row r="14" spans="1:31" x14ac:dyDescent="0.25">
      <c r="A14" s="7"/>
      <c r="B14" s="168">
        <v>1</v>
      </c>
      <c r="C14" s="169">
        <v>1</v>
      </c>
      <c r="D14" s="184" t="s">
        <v>84</v>
      </c>
      <c r="E14" s="180" t="s">
        <v>125</v>
      </c>
      <c r="F14" s="181" t="s">
        <v>112</v>
      </c>
      <c r="G14" s="174"/>
      <c r="H14" s="177">
        <v>1</v>
      </c>
      <c r="I14" s="177"/>
      <c r="J14" s="177">
        <v>1</v>
      </c>
      <c r="K14" s="177"/>
      <c r="L14" s="177"/>
      <c r="M14" s="177"/>
      <c r="N14" s="175"/>
      <c r="O14" s="190"/>
      <c r="P14" s="190"/>
      <c r="Q14" s="170"/>
      <c r="R14" s="219"/>
      <c r="S14" s="220"/>
      <c r="T14" s="220"/>
      <c r="U14" s="203"/>
      <c r="V14" s="205"/>
      <c r="W14" s="205"/>
      <c r="X14" s="205"/>
      <c r="Y14" s="205"/>
      <c r="Z14" s="210"/>
      <c r="AA14" s="211"/>
      <c r="AB14" s="203"/>
      <c r="AC14" s="30"/>
    </row>
    <row r="15" spans="1:31" x14ac:dyDescent="0.25">
      <c r="A15" s="7"/>
      <c r="B15" s="168">
        <v>1</v>
      </c>
      <c r="C15" s="169">
        <v>1</v>
      </c>
      <c r="D15" s="180" t="s">
        <v>92</v>
      </c>
      <c r="E15" s="180" t="s">
        <v>125</v>
      </c>
      <c r="F15" s="181" t="s">
        <v>103</v>
      </c>
      <c r="G15" s="169">
        <v>1</v>
      </c>
      <c r="H15" s="168">
        <v>1</v>
      </c>
      <c r="I15" s="168">
        <v>1</v>
      </c>
      <c r="J15" s="186">
        <v>1</v>
      </c>
      <c r="K15" s="186"/>
      <c r="L15" s="186"/>
      <c r="M15" s="186"/>
      <c r="N15" s="175"/>
      <c r="O15" s="229"/>
      <c r="P15" s="170"/>
      <c r="Q15" s="170"/>
      <c r="R15" s="219"/>
      <c r="S15" s="220"/>
      <c r="T15" s="220"/>
      <c r="U15" s="203"/>
      <c r="V15" s="205"/>
      <c r="W15" s="205"/>
      <c r="X15" s="205"/>
      <c r="Y15" s="205"/>
      <c r="Z15" s="210"/>
      <c r="AA15" s="211"/>
      <c r="AB15" s="203"/>
    </row>
    <row r="16" spans="1:31" x14ac:dyDescent="0.25">
      <c r="A16" s="7"/>
      <c r="B16" s="168">
        <v>1</v>
      </c>
      <c r="C16" s="169">
        <v>1</v>
      </c>
      <c r="D16" s="184" t="s">
        <v>102</v>
      </c>
      <c r="E16" s="180" t="s">
        <v>126</v>
      </c>
      <c r="F16" s="183" t="s">
        <v>104</v>
      </c>
      <c r="G16" s="174" t="s">
        <v>143</v>
      </c>
      <c r="H16" s="177">
        <v>1</v>
      </c>
      <c r="I16" s="177"/>
      <c r="J16" s="177">
        <v>1</v>
      </c>
      <c r="K16" s="177"/>
      <c r="L16" s="177"/>
      <c r="M16" s="177"/>
      <c r="N16" s="175"/>
      <c r="O16" s="190"/>
      <c r="P16" s="190"/>
      <c r="Q16" s="170"/>
      <c r="R16" s="219"/>
      <c r="S16" s="220"/>
      <c r="T16" s="220"/>
      <c r="U16" s="203"/>
      <c r="V16" s="205"/>
      <c r="W16" s="205"/>
      <c r="X16" s="205"/>
      <c r="Y16" s="205"/>
      <c r="Z16" s="210"/>
      <c r="AA16" s="211"/>
      <c r="AB16" s="205"/>
      <c r="AC16" s="129"/>
      <c r="AD16" s="130"/>
    </row>
    <row r="17" spans="1:30" x14ac:dyDescent="0.25">
      <c r="A17" s="7"/>
      <c r="B17" s="168">
        <v>1</v>
      </c>
      <c r="C17" s="169">
        <v>1</v>
      </c>
      <c r="D17" s="184" t="s">
        <v>95</v>
      </c>
      <c r="E17" s="184" t="s">
        <v>127</v>
      </c>
      <c r="F17" s="183" t="s">
        <v>105</v>
      </c>
      <c r="G17" s="174">
        <v>1</v>
      </c>
      <c r="H17" s="177">
        <v>1</v>
      </c>
      <c r="I17" s="177">
        <v>1</v>
      </c>
      <c r="J17" s="177">
        <v>1</v>
      </c>
      <c r="K17" s="177"/>
      <c r="L17" s="177"/>
      <c r="M17" s="177"/>
      <c r="N17" s="175"/>
      <c r="O17" s="190"/>
      <c r="P17" s="190"/>
      <c r="Q17" s="170"/>
      <c r="R17" s="219"/>
      <c r="S17" s="220"/>
      <c r="T17" s="220"/>
      <c r="U17" s="203"/>
      <c r="V17" s="205">
        <f>QUOTIENT((35+3),4)</f>
        <v>9</v>
      </c>
      <c r="W17" s="205"/>
      <c r="X17" s="205"/>
      <c r="Y17" s="205"/>
      <c r="Z17" s="210"/>
      <c r="AA17" s="211"/>
      <c r="AB17" s="203"/>
      <c r="AC17" s="2"/>
      <c r="AD17" s="132"/>
    </row>
    <row r="18" spans="1:30" x14ac:dyDescent="0.25">
      <c r="A18" s="7"/>
      <c r="B18" s="168">
        <v>1</v>
      </c>
      <c r="C18" s="169">
        <v>1</v>
      </c>
      <c r="D18" s="184" t="s">
        <v>97</v>
      </c>
      <c r="E18" s="180" t="s">
        <v>125</v>
      </c>
      <c r="F18" s="181" t="s">
        <v>106</v>
      </c>
      <c r="G18" s="168">
        <v>1</v>
      </c>
      <c r="H18" s="168">
        <v>1</v>
      </c>
      <c r="I18" s="168"/>
      <c r="J18" s="186">
        <v>1</v>
      </c>
      <c r="K18" s="186"/>
      <c r="L18" s="186"/>
      <c r="M18" s="186"/>
      <c r="N18" s="175"/>
      <c r="O18" s="170"/>
      <c r="P18" s="170"/>
      <c r="Q18" s="127"/>
      <c r="R18" s="127"/>
      <c r="S18" s="70"/>
      <c r="T18" s="70"/>
      <c r="U18" s="203"/>
      <c r="V18" s="205"/>
      <c r="W18" s="205"/>
      <c r="X18" s="205"/>
      <c r="Y18" s="205"/>
      <c r="Z18" s="210"/>
      <c r="AA18" s="212"/>
      <c r="AB18" s="133"/>
      <c r="AC18" s="143"/>
      <c r="AD18" s="130"/>
    </row>
    <row r="19" spans="1:30" x14ac:dyDescent="0.25">
      <c r="A19" s="7"/>
      <c r="B19" s="168">
        <v>1</v>
      </c>
      <c r="C19" s="169">
        <v>1</v>
      </c>
      <c r="D19" s="180" t="s">
        <v>99</v>
      </c>
      <c r="E19" s="180" t="s">
        <v>126</v>
      </c>
      <c r="F19" s="183" t="s">
        <v>107</v>
      </c>
      <c r="G19" s="182">
        <v>1</v>
      </c>
      <c r="H19" s="177">
        <v>1</v>
      </c>
      <c r="I19" s="177">
        <v>1</v>
      </c>
      <c r="J19" s="177">
        <v>1</v>
      </c>
      <c r="K19" s="177"/>
      <c r="L19" s="177"/>
      <c r="M19" s="177"/>
      <c r="N19" s="175"/>
      <c r="O19" s="190"/>
      <c r="P19" s="190"/>
      <c r="Q19" s="127"/>
      <c r="R19" s="127"/>
      <c r="S19" s="222"/>
      <c r="T19" s="222"/>
      <c r="U19" s="203"/>
      <c r="V19" s="205"/>
      <c r="W19" s="205"/>
      <c r="X19" s="205"/>
      <c r="Y19" s="205"/>
      <c r="Z19" s="210"/>
      <c r="AA19" s="211"/>
      <c r="AB19" s="203"/>
    </row>
    <row r="20" spans="1:30" x14ac:dyDescent="0.25">
      <c r="A20" s="7"/>
      <c r="B20" s="168">
        <v>1</v>
      </c>
      <c r="C20" s="169">
        <v>1</v>
      </c>
      <c r="D20" s="184" t="s">
        <v>101</v>
      </c>
      <c r="E20" s="184" t="s">
        <v>127</v>
      </c>
      <c r="F20" s="183" t="s">
        <v>108</v>
      </c>
      <c r="G20" s="168"/>
      <c r="H20" s="168"/>
      <c r="I20" s="168"/>
      <c r="J20" s="186">
        <v>1</v>
      </c>
      <c r="K20" s="186"/>
      <c r="L20" s="186"/>
      <c r="M20" s="186"/>
      <c r="N20" s="175"/>
      <c r="O20" s="170"/>
      <c r="P20" s="170"/>
      <c r="Q20" s="127"/>
      <c r="R20" s="127"/>
      <c r="S20" s="70"/>
      <c r="T20" s="221"/>
      <c r="U20" s="203"/>
      <c r="V20" s="205"/>
      <c r="W20" s="205"/>
      <c r="X20" s="205"/>
      <c r="Y20" s="205"/>
      <c r="Z20" s="210"/>
      <c r="AA20" s="211"/>
      <c r="AB20" s="203"/>
      <c r="AC20" s="30"/>
    </row>
    <row r="21" spans="1:30" x14ac:dyDescent="0.25">
      <c r="A21" s="7"/>
      <c r="B21" s="168">
        <v>1</v>
      </c>
      <c r="C21" s="169"/>
      <c r="D21" s="184" t="s">
        <v>81</v>
      </c>
      <c r="E21" s="180" t="s">
        <v>125</v>
      </c>
      <c r="F21" s="181" t="s">
        <v>109</v>
      </c>
      <c r="G21" s="174">
        <v>1</v>
      </c>
      <c r="H21" s="177">
        <v>1</v>
      </c>
      <c r="I21" s="177">
        <v>1</v>
      </c>
      <c r="J21" s="177"/>
      <c r="K21" s="177"/>
      <c r="L21" s="177"/>
      <c r="M21" s="177"/>
      <c r="N21" s="175"/>
      <c r="O21" s="190"/>
      <c r="P21" s="190"/>
      <c r="Q21" s="170"/>
      <c r="R21" s="219"/>
      <c r="S21" s="220"/>
      <c r="T21" s="220"/>
      <c r="U21" s="203"/>
      <c r="V21" s="205"/>
      <c r="W21" s="205"/>
      <c r="X21" s="205"/>
      <c r="Y21" s="205"/>
      <c r="Z21" s="210"/>
      <c r="AA21" s="211"/>
      <c r="AB21" s="203"/>
      <c r="AC21" s="30"/>
    </row>
    <row r="22" spans="1:30" x14ac:dyDescent="0.25">
      <c r="A22" s="7"/>
      <c r="B22" s="168">
        <v>1</v>
      </c>
      <c r="C22" s="169"/>
      <c r="D22" s="184" t="s">
        <v>85</v>
      </c>
      <c r="E22" s="180" t="s">
        <v>126</v>
      </c>
      <c r="F22" s="183" t="s">
        <v>113</v>
      </c>
      <c r="G22" s="174">
        <v>1</v>
      </c>
      <c r="H22" s="177">
        <v>1</v>
      </c>
      <c r="I22" s="177">
        <v>1</v>
      </c>
      <c r="J22" s="177"/>
      <c r="K22" s="177"/>
      <c r="L22" s="177"/>
      <c r="M22" s="177"/>
      <c r="N22" s="175"/>
      <c r="O22" s="190"/>
      <c r="P22" s="190"/>
      <c r="Q22" s="170"/>
      <c r="R22" s="219"/>
      <c r="S22" s="220"/>
      <c r="T22" s="220"/>
      <c r="U22" s="203"/>
      <c r="V22" s="205"/>
      <c r="W22" s="205"/>
      <c r="X22" s="205"/>
      <c r="Y22" s="205"/>
      <c r="Z22" s="210"/>
      <c r="AA22" s="211"/>
      <c r="AB22" s="203"/>
      <c r="AC22" s="30"/>
    </row>
    <row r="23" spans="1:30" x14ac:dyDescent="0.25">
      <c r="A23" s="7"/>
      <c r="B23" s="168">
        <v>1</v>
      </c>
      <c r="C23" s="169"/>
      <c r="D23" s="180" t="s">
        <v>86</v>
      </c>
      <c r="E23" s="184" t="s">
        <v>127</v>
      </c>
      <c r="F23" s="183" t="s">
        <v>114</v>
      </c>
      <c r="G23" s="169">
        <v>1</v>
      </c>
      <c r="H23" s="168">
        <v>1</v>
      </c>
      <c r="I23" s="168"/>
      <c r="J23" s="186">
        <v>1</v>
      </c>
      <c r="K23" s="186"/>
      <c r="L23" s="186"/>
      <c r="M23" s="186"/>
      <c r="N23" s="175"/>
      <c r="O23" s="170"/>
      <c r="P23" s="170"/>
      <c r="Q23" s="170"/>
      <c r="R23" s="219"/>
      <c r="S23" s="220"/>
      <c r="T23" s="220"/>
      <c r="U23" s="203"/>
      <c r="V23" s="205"/>
      <c r="W23" s="205"/>
      <c r="X23" s="205"/>
      <c r="Y23" s="205"/>
      <c r="Z23" s="210"/>
      <c r="AA23" s="211"/>
      <c r="AB23" s="203"/>
      <c r="AC23" s="30"/>
    </row>
    <row r="24" spans="1:30" x14ac:dyDescent="0.25">
      <c r="A24" s="7"/>
      <c r="B24" s="168">
        <v>1</v>
      </c>
      <c r="C24" s="169"/>
      <c r="D24" s="180" t="s">
        <v>87</v>
      </c>
      <c r="E24" s="180" t="s">
        <v>125</v>
      </c>
      <c r="F24" s="181" t="s">
        <v>115</v>
      </c>
      <c r="G24" s="169">
        <v>1</v>
      </c>
      <c r="H24" s="186">
        <v>1</v>
      </c>
      <c r="I24" s="186">
        <v>1</v>
      </c>
      <c r="J24" s="186">
        <v>1</v>
      </c>
      <c r="K24" s="186"/>
      <c r="L24" s="186"/>
      <c r="M24" s="186"/>
      <c r="N24" s="175"/>
      <c r="O24" s="170"/>
      <c r="P24" s="170"/>
      <c r="Q24" s="170"/>
      <c r="R24" s="219"/>
      <c r="S24" s="220"/>
      <c r="T24" s="220"/>
      <c r="U24" s="203"/>
      <c r="V24" s="205"/>
      <c r="W24" s="205"/>
      <c r="X24" s="205"/>
      <c r="Y24" s="205"/>
      <c r="Z24" s="210"/>
      <c r="AA24" s="211"/>
      <c r="AB24" s="203"/>
      <c r="AC24" s="30"/>
    </row>
    <row r="25" spans="1:30" x14ac:dyDescent="0.25">
      <c r="A25" s="7"/>
      <c r="B25" s="168">
        <v>1</v>
      </c>
      <c r="C25" s="169"/>
      <c r="D25" s="184" t="s">
        <v>88</v>
      </c>
      <c r="E25" s="180" t="s">
        <v>126</v>
      </c>
      <c r="F25" s="183" t="s">
        <v>116</v>
      </c>
      <c r="G25" s="174">
        <v>1</v>
      </c>
      <c r="H25" s="177"/>
      <c r="I25" s="177"/>
      <c r="J25" s="177"/>
      <c r="K25" s="177"/>
      <c r="L25" s="177"/>
      <c r="M25" s="177"/>
      <c r="N25" s="175"/>
      <c r="O25" s="190"/>
      <c r="P25" s="190"/>
      <c r="Q25" s="170"/>
      <c r="R25" s="219"/>
      <c r="S25" s="220"/>
      <c r="T25" s="220"/>
      <c r="U25" s="203"/>
      <c r="V25" s="205"/>
      <c r="W25" s="205"/>
      <c r="X25" s="205"/>
      <c r="Y25" s="205"/>
      <c r="Z25" s="210"/>
      <c r="AA25" s="211"/>
      <c r="AB25" s="203"/>
      <c r="AC25" s="30"/>
    </row>
    <row r="26" spans="1:30" x14ac:dyDescent="0.25">
      <c r="A26" s="7"/>
      <c r="B26" s="168">
        <v>1</v>
      </c>
      <c r="C26" s="169"/>
      <c r="D26" s="180" t="s">
        <v>89</v>
      </c>
      <c r="E26" s="184" t="s">
        <v>127</v>
      </c>
      <c r="F26" s="183" t="s">
        <v>117</v>
      </c>
      <c r="G26" s="169">
        <v>1</v>
      </c>
      <c r="H26" s="168"/>
      <c r="I26" s="168">
        <v>1</v>
      </c>
      <c r="J26" s="186"/>
      <c r="K26" s="186"/>
      <c r="L26" s="186"/>
      <c r="M26" s="186"/>
      <c r="N26" s="175"/>
      <c r="O26" s="170"/>
      <c r="P26" s="170"/>
      <c r="Q26" s="170"/>
      <c r="R26" s="219"/>
      <c r="S26" s="220"/>
      <c r="T26" s="220"/>
      <c r="U26" s="203"/>
      <c r="V26" s="205"/>
      <c r="W26" s="205"/>
      <c r="X26" s="205"/>
      <c r="Y26" s="205"/>
      <c r="Z26" s="210"/>
      <c r="AA26" s="211"/>
      <c r="AB26" s="203"/>
      <c r="AC26" s="30"/>
    </row>
    <row r="27" spans="1:30" x14ac:dyDescent="0.25">
      <c r="A27" s="7"/>
      <c r="B27" s="168">
        <v>1</v>
      </c>
      <c r="C27" s="169"/>
      <c r="D27" s="180" t="s">
        <v>90</v>
      </c>
      <c r="E27" s="180" t="s">
        <v>125</v>
      </c>
      <c r="F27" s="181" t="s">
        <v>118</v>
      </c>
      <c r="G27" s="169">
        <v>1</v>
      </c>
      <c r="H27" s="168"/>
      <c r="I27" s="168"/>
      <c r="J27" s="186"/>
      <c r="K27" s="186"/>
      <c r="L27" s="186"/>
      <c r="M27" s="186"/>
      <c r="N27" s="175"/>
      <c r="O27" s="170"/>
      <c r="P27" s="170"/>
      <c r="Q27" s="170"/>
      <c r="R27" s="219"/>
      <c r="S27" s="220"/>
      <c r="T27" s="220"/>
      <c r="U27" s="203"/>
      <c r="V27" s="205"/>
      <c r="W27" s="205"/>
      <c r="X27" s="205"/>
      <c r="Y27" s="205"/>
      <c r="Z27" s="210"/>
      <c r="AA27" s="211"/>
      <c r="AB27" s="203"/>
      <c r="AC27" s="30"/>
    </row>
    <row r="28" spans="1:30" x14ac:dyDescent="0.25">
      <c r="A28" s="7"/>
      <c r="B28" s="168">
        <v>1</v>
      </c>
      <c r="C28" s="169"/>
      <c r="D28" s="184" t="s">
        <v>91</v>
      </c>
      <c r="E28" s="180" t="s">
        <v>126</v>
      </c>
      <c r="F28" s="183" t="s">
        <v>119</v>
      </c>
      <c r="G28" s="174">
        <v>1</v>
      </c>
      <c r="H28" s="177">
        <v>1</v>
      </c>
      <c r="I28" s="177">
        <v>1</v>
      </c>
      <c r="J28" s="177"/>
      <c r="K28" s="177"/>
      <c r="L28" s="177"/>
      <c r="M28" s="177"/>
      <c r="N28" s="175"/>
      <c r="O28" s="190"/>
      <c r="P28" s="190"/>
      <c r="Q28" s="170"/>
      <c r="R28" s="219"/>
      <c r="S28" s="220"/>
      <c r="T28" s="220"/>
      <c r="U28" s="203"/>
      <c r="V28" s="205"/>
      <c r="W28" s="205"/>
      <c r="X28" s="205"/>
      <c r="Y28" s="205"/>
      <c r="Z28" s="210"/>
      <c r="AA28" s="211"/>
      <c r="AB28" s="203"/>
      <c r="AC28" s="30"/>
    </row>
    <row r="29" spans="1:30" x14ac:dyDescent="0.25">
      <c r="A29" s="7"/>
      <c r="B29" s="168">
        <v>1</v>
      </c>
      <c r="C29" s="169"/>
      <c r="D29" s="180" t="s">
        <v>93</v>
      </c>
      <c r="E29" s="184" t="s">
        <v>127</v>
      </c>
      <c r="F29" s="183" t="s">
        <v>120</v>
      </c>
      <c r="G29" s="169">
        <v>1</v>
      </c>
      <c r="H29" s="168">
        <v>1</v>
      </c>
      <c r="I29" s="168"/>
      <c r="J29" s="186"/>
      <c r="K29" s="186"/>
      <c r="L29" s="186"/>
      <c r="M29" s="186"/>
      <c r="N29" s="175"/>
      <c r="O29" s="170"/>
      <c r="P29" s="170"/>
      <c r="Q29" s="170"/>
      <c r="R29" s="219"/>
      <c r="S29" s="220"/>
      <c r="T29" s="220"/>
      <c r="U29" s="203"/>
      <c r="V29" s="205"/>
      <c r="W29" s="205"/>
      <c r="X29" s="205"/>
      <c r="Y29" s="205"/>
      <c r="Z29" s="210"/>
      <c r="AA29" s="212"/>
      <c r="AB29" s="203"/>
      <c r="AC29" s="30"/>
    </row>
    <row r="30" spans="1:30" x14ac:dyDescent="0.25">
      <c r="A30" s="7"/>
      <c r="B30" s="168">
        <v>1</v>
      </c>
      <c r="C30" s="169"/>
      <c r="D30" s="184" t="s">
        <v>94</v>
      </c>
      <c r="E30" s="180" t="s">
        <v>125</v>
      </c>
      <c r="F30" s="181" t="s">
        <v>121</v>
      </c>
      <c r="G30" s="174"/>
      <c r="H30" s="177">
        <v>1</v>
      </c>
      <c r="I30" s="177">
        <v>1</v>
      </c>
      <c r="J30" s="177"/>
      <c r="K30" s="177"/>
      <c r="L30" s="177"/>
      <c r="M30" s="177"/>
      <c r="N30" s="175"/>
      <c r="O30" s="190"/>
      <c r="P30" s="190"/>
      <c r="Q30" s="170"/>
      <c r="R30" s="219"/>
      <c r="S30" s="220"/>
      <c r="T30" s="220"/>
      <c r="U30" s="203"/>
      <c r="V30" s="205"/>
      <c r="W30" s="205"/>
      <c r="X30" s="205"/>
      <c r="Y30" s="205"/>
      <c r="Z30" s="210"/>
      <c r="AA30" s="212"/>
      <c r="AB30" s="203"/>
      <c r="AC30" s="30"/>
    </row>
    <row r="31" spans="1:30" x14ac:dyDescent="0.25">
      <c r="A31" s="7"/>
      <c r="B31" s="168">
        <v>1</v>
      </c>
      <c r="C31" s="169"/>
      <c r="D31" s="184" t="s">
        <v>96</v>
      </c>
      <c r="E31" s="180" t="s">
        <v>126</v>
      </c>
      <c r="F31" s="183" t="s">
        <v>122</v>
      </c>
      <c r="G31" s="174"/>
      <c r="H31" s="177">
        <v>1</v>
      </c>
      <c r="I31" s="177"/>
      <c r="J31" s="177"/>
      <c r="K31" s="177"/>
      <c r="L31" s="177"/>
      <c r="M31" s="177"/>
      <c r="N31" s="175"/>
      <c r="O31" s="190"/>
      <c r="P31" s="190"/>
      <c r="Q31" s="170"/>
      <c r="R31" s="219"/>
      <c r="S31" s="220"/>
      <c r="T31" s="220"/>
      <c r="U31" s="203"/>
      <c r="V31" s="205"/>
      <c r="W31" s="205"/>
      <c r="X31" s="205"/>
      <c r="Y31" s="205"/>
      <c r="Z31" s="210"/>
      <c r="AA31" s="211"/>
      <c r="AB31" s="203"/>
      <c r="AC31" s="30"/>
    </row>
    <row r="32" spans="1:30" x14ac:dyDescent="0.25">
      <c r="A32" s="7"/>
      <c r="B32" s="168">
        <v>1</v>
      </c>
      <c r="C32" s="169"/>
      <c r="D32" s="184" t="s">
        <v>96</v>
      </c>
      <c r="E32" s="180" t="s">
        <v>126</v>
      </c>
      <c r="F32" s="181" t="s">
        <v>130</v>
      </c>
      <c r="G32" s="174">
        <v>1</v>
      </c>
      <c r="H32" s="177"/>
      <c r="I32" s="177">
        <v>1</v>
      </c>
      <c r="J32" s="177"/>
      <c r="K32" s="177"/>
      <c r="L32" s="177"/>
      <c r="M32" s="177"/>
      <c r="N32" s="175"/>
      <c r="O32" s="190"/>
      <c r="P32" s="190"/>
      <c r="Q32" s="170"/>
      <c r="R32" s="219"/>
      <c r="S32" s="220"/>
      <c r="T32" s="220"/>
      <c r="U32" s="203"/>
      <c r="V32" s="205"/>
      <c r="W32" s="205"/>
      <c r="X32" s="205"/>
      <c r="Y32" s="205"/>
      <c r="Z32" s="210"/>
      <c r="AA32" s="212"/>
      <c r="AB32" s="203"/>
      <c r="AC32" s="30"/>
    </row>
    <row r="33" spans="1:29" x14ac:dyDescent="0.25">
      <c r="A33" s="7"/>
      <c r="B33" s="168">
        <v>1</v>
      </c>
      <c r="C33" s="169"/>
      <c r="D33" s="184" t="s">
        <v>96</v>
      </c>
      <c r="E33" s="180" t="s">
        <v>126</v>
      </c>
      <c r="F33" s="181" t="s">
        <v>133</v>
      </c>
      <c r="G33" s="169">
        <v>1</v>
      </c>
      <c r="H33" s="168">
        <v>1</v>
      </c>
      <c r="I33" s="168"/>
      <c r="J33" s="186"/>
      <c r="K33" s="186"/>
      <c r="L33" s="186"/>
      <c r="M33" s="186"/>
      <c r="N33" s="175"/>
      <c r="O33" s="170"/>
      <c r="P33" s="170"/>
      <c r="Q33" s="170"/>
      <c r="R33" s="219"/>
      <c r="S33" s="220"/>
      <c r="T33" s="220"/>
      <c r="U33" s="203"/>
      <c r="V33" s="205"/>
      <c r="W33" s="205"/>
      <c r="X33" s="205"/>
      <c r="Y33" s="205"/>
      <c r="Z33" s="210"/>
      <c r="AA33" s="212"/>
      <c r="AB33" s="203"/>
      <c r="AC33" s="30"/>
    </row>
    <row r="34" spans="1:29" x14ac:dyDescent="0.25">
      <c r="A34" s="7"/>
      <c r="B34" s="168">
        <v>1</v>
      </c>
      <c r="C34" s="169"/>
      <c r="D34" s="184" t="s">
        <v>96</v>
      </c>
      <c r="E34" s="180" t="s">
        <v>126</v>
      </c>
      <c r="F34" s="181" t="s">
        <v>136</v>
      </c>
      <c r="G34" s="174">
        <v>1</v>
      </c>
      <c r="H34" s="177"/>
      <c r="I34" s="177">
        <v>1</v>
      </c>
      <c r="J34" s="177"/>
      <c r="K34" s="177"/>
      <c r="L34" s="177"/>
      <c r="M34" s="177"/>
      <c r="N34" s="175"/>
      <c r="O34" s="190"/>
      <c r="P34" s="190"/>
      <c r="Q34" s="170"/>
      <c r="R34" s="219"/>
      <c r="S34" s="220"/>
      <c r="T34" s="220"/>
      <c r="U34" s="203"/>
      <c r="V34" s="205"/>
      <c r="W34" s="205"/>
      <c r="X34" s="205"/>
      <c r="Y34" s="205"/>
      <c r="Z34" s="210"/>
      <c r="AA34" s="212"/>
      <c r="AB34" s="203"/>
      <c r="AC34" s="30"/>
    </row>
    <row r="35" spans="1:29" x14ac:dyDescent="0.25">
      <c r="A35" s="7"/>
      <c r="B35" s="168">
        <v>1</v>
      </c>
      <c r="C35" s="169"/>
      <c r="D35" s="184" t="s">
        <v>96</v>
      </c>
      <c r="E35" s="180" t="s">
        <v>126</v>
      </c>
      <c r="F35" s="181" t="s">
        <v>139</v>
      </c>
      <c r="G35" s="174">
        <v>1</v>
      </c>
      <c r="H35" s="177"/>
      <c r="I35" s="177"/>
      <c r="J35" s="177"/>
      <c r="K35" s="177"/>
      <c r="L35" s="177"/>
      <c r="M35" s="177"/>
      <c r="N35" s="175"/>
      <c r="O35" s="190"/>
      <c r="P35" s="190"/>
      <c r="Q35" s="170"/>
      <c r="R35" s="219"/>
      <c r="S35" s="220"/>
      <c r="T35" s="220"/>
      <c r="U35" s="203"/>
      <c r="V35" s="205"/>
      <c r="W35" s="205"/>
      <c r="X35" s="205"/>
      <c r="Y35" s="205"/>
      <c r="Z35" s="210"/>
      <c r="AA35" s="211"/>
      <c r="AB35" s="203"/>
      <c r="AC35" s="30"/>
    </row>
    <row r="36" spans="1:29" x14ac:dyDescent="0.25">
      <c r="A36" s="7"/>
      <c r="B36" s="168">
        <v>1</v>
      </c>
      <c r="C36" s="169"/>
      <c r="D36" s="184" t="s">
        <v>96</v>
      </c>
      <c r="E36" s="180" t="s">
        <v>126</v>
      </c>
      <c r="F36" s="181" t="s">
        <v>142</v>
      </c>
      <c r="G36" s="174">
        <v>1</v>
      </c>
      <c r="H36" s="177"/>
      <c r="I36" s="177"/>
      <c r="J36" s="177"/>
      <c r="K36" s="177"/>
      <c r="L36" s="177"/>
      <c r="M36" s="177"/>
      <c r="N36" s="175"/>
      <c r="O36" s="190"/>
      <c r="P36" s="190"/>
      <c r="Q36" s="170"/>
      <c r="R36" s="219"/>
      <c r="S36" s="220"/>
      <c r="T36" s="220"/>
      <c r="U36" s="203"/>
      <c r="V36" s="205"/>
      <c r="W36" s="205"/>
      <c r="X36" s="205"/>
      <c r="Y36" s="205"/>
      <c r="Z36" s="210"/>
      <c r="AA36" s="211"/>
      <c r="AB36" s="203"/>
      <c r="AC36" s="30"/>
    </row>
    <row r="37" spans="1:29" x14ac:dyDescent="0.25">
      <c r="A37" s="7"/>
      <c r="B37" s="168">
        <v>1</v>
      </c>
      <c r="C37" s="169"/>
      <c r="D37" s="184" t="s">
        <v>98</v>
      </c>
      <c r="E37" s="184" t="s">
        <v>127</v>
      </c>
      <c r="F37" s="183" t="s">
        <v>123</v>
      </c>
      <c r="G37" s="182">
        <v>1</v>
      </c>
      <c r="H37" s="177"/>
      <c r="I37" s="177">
        <v>1</v>
      </c>
      <c r="J37" s="177"/>
      <c r="K37" s="177"/>
      <c r="L37" s="177"/>
      <c r="M37" s="177"/>
      <c r="N37" s="175"/>
      <c r="O37" s="190"/>
      <c r="P37" s="190"/>
      <c r="Q37" s="127"/>
      <c r="R37" s="127"/>
      <c r="S37" s="70"/>
      <c r="T37" s="222"/>
      <c r="U37" s="203"/>
      <c r="V37" s="205"/>
      <c r="W37" s="205"/>
      <c r="X37" s="205"/>
      <c r="Y37" s="205"/>
      <c r="Z37" s="210"/>
      <c r="AA37" s="211"/>
      <c r="AB37" s="203"/>
      <c r="AC37" s="30"/>
    </row>
    <row r="38" spans="1:29" x14ac:dyDescent="0.25">
      <c r="A38" s="7"/>
      <c r="B38" s="168">
        <v>1</v>
      </c>
      <c r="C38" s="169"/>
      <c r="D38" s="184" t="s">
        <v>98</v>
      </c>
      <c r="E38" s="184" t="s">
        <v>127</v>
      </c>
      <c r="F38" s="181" t="s">
        <v>131</v>
      </c>
      <c r="G38" s="174">
        <v>1</v>
      </c>
      <c r="H38" s="177">
        <v>1</v>
      </c>
      <c r="I38" s="177"/>
      <c r="J38" s="177"/>
      <c r="K38" s="177"/>
      <c r="L38" s="177"/>
      <c r="M38" s="177"/>
      <c r="N38" s="175"/>
      <c r="O38" s="190"/>
      <c r="P38" s="190"/>
      <c r="Q38" s="170"/>
      <c r="R38" s="219"/>
      <c r="S38" s="220"/>
      <c r="T38" s="220"/>
      <c r="U38" s="203"/>
      <c r="V38" s="205"/>
      <c r="W38" s="205"/>
      <c r="X38" s="205"/>
      <c r="Y38" s="205"/>
      <c r="Z38" s="210"/>
      <c r="AA38" s="211"/>
      <c r="AB38" s="203"/>
      <c r="AC38" s="30"/>
    </row>
    <row r="39" spans="1:29" x14ac:dyDescent="0.25">
      <c r="A39" s="7"/>
      <c r="B39" s="168">
        <v>1</v>
      </c>
      <c r="C39" s="169"/>
      <c r="D39" s="184" t="s">
        <v>98</v>
      </c>
      <c r="E39" s="184" t="s">
        <v>127</v>
      </c>
      <c r="F39" s="181" t="s">
        <v>134</v>
      </c>
      <c r="G39" s="169">
        <v>1</v>
      </c>
      <c r="H39" s="168"/>
      <c r="I39" s="168">
        <v>1</v>
      </c>
      <c r="J39" s="186"/>
      <c r="K39" s="186"/>
      <c r="L39" s="186"/>
      <c r="M39" s="186"/>
      <c r="N39" s="175"/>
      <c r="O39" s="170"/>
      <c r="P39" s="170"/>
      <c r="Q39" s="170"/>
      <c r="R39" s="219"/>
      <c r="S39" s="220"/>
      <c r="T39" s="220"/>
      <c r="U39" s="203"/>
      <c r="V39" s="205"/>
      <c r="W39" s="205"/>
      <c r="X39" s="205"/>
      <c r="Y39" s="205"/>
      <c r="Z39" s="210"/>
      <c r="AA39" s="211"/>
      <c r="AB39" s="203"/>
      <c r="AC39" s="30"/>
    </row>
    <row r="40" spans="1:29" x14ac:dyDescent="0.25">
      <c r="A40" s="7"/>
      <c r="B40" s="168">
        <v>1</v>
      </c>
      <c r="C40" s="169"/>
      <c r="D40" s="184" t="s">
        <v>98</v>
      </c>
      <c r="E40" s="184" t="s">
        <v>127</v>
      </c>
      <c r="F40" s="181" t="s">
        <v>137</v>
      </c>
      <c r="G40" s="174"/>
      <c r="H40" s="177"/>
      <c r="I40" s="177"/>
      <c r="J40" s="177"/>
      <c r="K40" s="177"/>
      <c r="L40" s="177"/>
      <c r="M40" s="177"/>
      <c r="N40" s="175"/>
      <c r="O40" s="190"/>
      <c r="P40" s="190"/>
      <c r="Q40" s="170"/>
      <c r="R40" s="219"/>
      <c r="S40" s="220"/>
      <c r="T40" s="220"/>
      <c r="U40" s="203"/>
      <c r="V40" s="205"/>
      <c r="W40" s="205"/>
      <c r="X40" s="205"/>
      <c r="Y40" s="205"/>
      <c r="Z40" s="210"/>
      <c r="AA40" s="211"/>
      <c r="AB40" s="203"/>
      <c r="AC40" s="30"/>
    </row>
    <row r="41" spans="1:29" x14ac:dyDescent="0.25">
      <c r="A41" s="7"/>
      <c r="B41" s="168">
        <v>1</v>
      </c>
      <c r="C41" s="169"/>
      <c r="D41" s="184" t="s">
        <v>98</v>
      </c>
      <c r="E41" s="184" t="s">
        <v>127</v>
      </c>
      <c r="F41" s="181" t="s">
        <v>140</v>
      </c>
      <c r="G41" s="169">
        <v>1</v>
      </c>
      <c r="H41" s="168"/>
      <c r="I41" s="168"/>
      <c r="J41" s="186"/>
      <c r="K41" s="186"/>
      <c r="L41" s="186"/>
      <c r="M41" s="186"/>
      <c r="N41" s="175"/>
      <c r="O41" s="170"/>
      <c r="P41" s="170"/>
      <c r="Q41" s="170"/>
      <c r="R41" s="219"/>
      <c r="S41" s="220"/>
      <c r="T41" s="220"/>
      <c r="U41" s="203"/>
      <c r="V41" s="205"/>
      <c r="W41" s="205"/>
      <c r="X41" s="205"/>
      <c r="Y41" s="205"/>
      <c r="Z41" s="210"/>
      <c r="AA41" s="211"/>
      <c r="AB41" s="203"/>
      <c r="AC41" s="30"/>
    </row>
    <row r="42" spans="1:29" x14ac:dyDescent="0.25">
      <c r="A42" s="7"/>
      <c r="B42" s="168">
        <v>1</v>
      </c>
      <c r="C42" s="169"/>
      <c r="D42" s="184" t="s">
        <v>100</v>
      </c>
      <c r="E42" s="180" t="s">
        <v>125</v>
      </c>
      <c r="F42" s="181" t="s">
        <v>124</v>
      </c>
      <c r="G42" s="182">
        <v>1</v>
      </c>
      <c r="H42" s="177">
        <v>1</v>
      </c>
      <c r="I42" s="177"/>
      <c r="J42" s="177"/>
      <c r="K42" s="177"/>
      <c r="L42" s="177"/>
      <c r="M42" s="177"/>
      <c r="N42" s="175"/>
      <c r="O42" s="190"/>
      <c r="P42" s="190"/>
      <c r="Q42" s="127"/>
      <c r="R42" s="127"/>
      <c r="S42" s="70"/>
      <c r="T42" s="222"/>
      <c r="U42" s="203"/>
      <c r="V42" s="205"/>
      <c r="W42" s="205"/>
      <c r="X42" s="205"/>
      <c r="Y42" s="205"/>
      <c r="Z42" s="210"/>
      <c r="AA42" s="211"/>
      <c r="AB42" s="203"/>
      <c r="AC42" s="30"/>
    </row>
    <row r="43" spans="1:29" x14ac:dyDescent="0.25">
      <c r="A43" s="7"/>
      <c r="B43" s="168">
        <v>1</v>
      </c>
      <c r="C43" s="169"/>
      <c r="D43" s="184" t="s">
        <v>100</v>
      </c>
      <c r="E43" s="180" t="s">
        <v>125</v>
      </c>
      <c r="F43" s="181" t="s">
        <v>132</v>
      </c>
      <c r="G43" s="169"/>
      <c r="H43" s="168">
        <v>1</v>
      </c>
      <c r="I43" s="168">
        <v>1</v>
      </c>
      <c r="J43" s="186"/>
      <c r="K43" s="186"/>
      <c r="L43" s="186"/>
      <c r="M43" s="186"/>
      <c r="N43" s="175"/>
      <c r="O43" s="170"/>
      <c r="P43" s="170"/>
      <c r="Q43" s="170"/>
      <c r="R43" s="219"/>
      <c r="S43" s="220"/>
      <c r="T43" s="220"/>
      <c r="U43" s="203"/>
      <c r="V43" s="205"/>
      <c r="W43" s="205"/>
      <c r="X43" s="205"/>
      <c r="Y43" s="205"/>
      <c r="Z43" s="210"/>
      <c r="AA43" s="211"/>
      <c r="AB43" s="203"/>
      <c r="AC43" s="30"/>
    </row>
    <row r="44" spans="1:29" x14ac:dyDescent="0.25">
      <c r="A44" s="7"/>
      <c r="B44" s="168">
        <v>1</v>
      </c>
      <c r="C44" s="169"/>
      <c r="D44" s="184" t="s">
        <v>100</v>
      </c>
      <c r="E44" s="180" t="s">
        <v>125</v>
      </c>
      <c r="F44" s="181" t="s">
        <v>135</v>
      </c>
      <c r="G44" s="169">
        <v>1</v>
      </c>
      <c r="H44" s="168"/>
      <c r="I44" s="168"/>
      <c r="J44" s="186"/>
      <c r="K44" s="186"/>
      <c r="L44" s="186"/>
      <c r="M44" s="186"/>
      <c r="N44" s="175"/>
      <c r="O44" s="170"/>
      <c r="P44" s="170"/>
      <c r="Q44" s="170"/>
      <c r="R44" s="219"/>
      <c r="S44" s="220"/>
      <c r="T44" s="220"/>
      <c r="U44" s="203"/>
      <c r="V44" s="205"/>
      <c r="W44" s="205"/>
      <c r="X44" s="205"/>
      <c r="Y44" s="205"/>
      <c r="Z44" s="210"/>
      <c r="AA44" s="211"/>
      <c r="AB44" s="203"/>
      <c r="AC44" s="30"/>
    </row>
    <row r="45" spans="1:29" x14ac:dyDescent="0.25">
      <c r="A45" s="7"/>
      <c r="B45" s="168">
        <v>1</v>
      </c>
      <c r="C45" s="169"/>
      <c r="D45" s="184" t="s">
        <v>100</v>
      </c>
      <c r="E45" s="180" t="s">
        <v>125</v>
      </c>
      <c r="F45" s="181" t="s">
        <v>138</v>
      </c>
      <c r="G45" s="174">
        <v>1</v>
      </c>
      <c r="H45" s="177"/>
      <c r="I45" s="177">
        <v>1</v>
      </c>
      <c r="J45" s="177"/>
      <c r="K45" s="177"/>
      <c r="L45" s="177"/>
      <c r="M45" s="177"/>
      <c r="N45" s="175"/>
      <c r="O45" s="190"/>
      <c r="P45" s="190"/>
      <c r="Q45" s="170"/>
      <c r="R45" s="219"/>
      <c r="S45" s="220"/>
      <c r="T45" s="220"/>
      <c r="U45" s="203"/>
      <c r="V45" s="205"/>
      <c r="W45" s="205"/>
      <c r="X45" s="205"/>
      <c r="Y45" s="205"/>
      <c r="Z45" s="210"/>
      <c r="AA45" s="212"/>
      <c r="AB45" s="203"/>
      <c r="AC45" s="30"/>
    </row>
    <row r="46" spans="1:29" x14ac:dyDescent="0.25">
      <c r="A46" s="7"/>
      <c r="B46" s="168">
        <v>1</v>
      </c>
      <c r="C46" s="169"/>
      <c r="D46" s="184" t="s">
        <v>100</v>
      </c>
      <c r="E46" s="180" t="s">
        <v>125</v>
      </c>
      <c r="F46" s="181" t="s">
        <v>141</v>
      </c>
      <c r="G46" s="174"/>
      <c r="H46" s="177"/>
      <c r="I46" s="177">
        <v>1</v>
      </c>
      <c r="J46" s="177"/>
      <c r="K46" s="177"/>
      <c r="L46" s="177"/>
      <c r="M46" s="177"/>
      <c r="N46" s="175"/>
      <c r="O46" s="190"/>
      <c r="P46" s="190"/>
      <c r="Q46" s="170"/>
      <c r="R46" s="219"/>
      <c r="S46" s="220"/>
      <c r="T46" s="220"/>
      <c r="U46" s="203"/>
      <c r="V46" s="205"/>
      <c r="W46" s="205"/>
      <c r="X46" s="205"/>
      <c r="Y46" s="205"/>
      <c r="Z46" s="210"/>
      <c r="AA46" s="211"/>
      <c r="AB46" s="203"/>
      <c r="AC46" s="30"/>
    </row>
    <row r="47" spans="1:29" x14ac:dyDescent="0.25">
      <c r="A47" s="7"/>
      <c r="B47" s="168"/>
      <c r="C47" s="169"/>
      <c r="D47" s="180"/>
      <c r="E47" s="180"/>
      <c r="F47" s="181"/>
      <c r="G47" s="169"/>
      <c r="H47" s="168"/>
      <c r="I47" s="168"/>
      <c r="J47" s="186"/>
      <c r="K47" s="186"/>
      <c r="L47" s="186"/>
      <c r="M47" s="186"/>
      <c r="N47" s="175"/>
      <c r="O47" s="170"/>
      <c r="P47" s="170"/>
      <c r="Q47" s="170"/>
      <c r="R47" s="219"/>
      <c r="S47" s="220"/>
      <c r="T47" s="220"/>
      <c r="U47" s="203"/>
      <c r="V47" s="205"/>
      <c r="W47" s="205"/>
      <c r="X47" s="205"/>
      <c r="Y47" s="205"/>
      <c r="Z47" s="210"/>
      <c r="AA47" s="211"/>
      <c r="AB47" s="203"/>
      <c r="AC47" s="30"/>
    </row>
    <row r="48" spans="1:29" x14ac:dyDescent="0.25">
      <c r="A48" s="7"/>
      <c r="B48" s="168"/>
      <c r="C48" s="169"/>
      <c r="D48" s="180"/>
      <c r="E48" s="180"/>
      <c r="F48" s="181"/>
      <c r="G48" s="169"/>
      <c r="H48" s="168"/>
      <c r="I48" s="168"/>
      <c r="J48" s="186"/>
      <c r="K48" s="186"/>
      <c r="L48" s="186"/>
      <c r="M48" s="186"/>
      <c r="N48" s="175"/>
      <c r="O48" s="170"/>
      <c r="P48" s="170"/>
      <c r="Q48" s="170"/>
      <c r="R48" s="219"/>
      <c r="S48" s="220"/>
      <c r="T48" s="220"/>
      <c r="U48" s="203"/>
      <c r="V48" s="205"/>
      <c r="W48" s="205"/>
      <c r="X48" s="205"/>
      <c r="Y48" s="205"/>
      <c r="Z48" s="210"/>
      <c r="AA48" s="211"/>
      <c r="AB48" s="203"/>
      <c r="AC48" s="30"/>
    </row>
    <row r="49" spans="1:29" x14ac:dyDescent="0.25">
      <c r="A49" s="7"/>
      <c r="B49" s="168"/>
      <c r="C49" s="169"/>
      <c r="D49" s="180"/>
      <c r="E49" s="180"/>
      <c r="F49" s="181"/>
      <c r="G49" s="169"/>
      <c r="H49" s="168"/>
      <c r="I49" s="168"/>
      <c r="J49" s="186"/>
      <c r="K49" s="186"/>
      <c r="L49" s="186"/>
      <c r="M49" s="186"/>
      <c r="N49" s="175"/>
      <c r="O49" s="170"/>
      <c r="P49" s="170"/>
      <c r="Q49" s="170"/>
      <c r="R49" s="219"/>
      <c r="S49" s="220"/>
      <c r="T49" s="220"/>
      <c r="U49" s="203"/>
      <c r="V49" s="205"/>
      <c r="W49" s="205"/>
      <c r="X49" s="205"/>
      <c r="Y49" s="205"/>
      <c r="Z49" s="210"/>
      <c r="AA49" s="211"/>
      <c r="AB49" s="203"/>
      <c r="AC49" s="30"/>
    </row>
    <row r="50" spans="1:29" x14ac:dyDescent="0.25">
      <c r="A50" s="7"/>
      <c r="B50" s="168"/>
      <c r="C50" s="169"/>
      <c r="D50" s="180"/>
      <c r="E50" s="180"/>
      <c r="F50" s="181"/>
      <c r="G50" s="169"/>
      <c r="H50" s="168"/>
      <c r="I50" s="168"/>
      <c r="J50" s="186"/>
      <c r="K50" s="186"/>
      <c r="L50" s="186"/>
      <c r="M50" s="186"/>
      <c r="N50" s="175"/>
      <c r="O50" s="170"/>
      <c r="P50" s="170"/>
      <c r="Q50" s="170"/>
      <c r="R50" s="219"/>
      <c r="S50" s="220"/>
      <c r="T50" s="220"/>
      <c r="U50" s="203"/>
      <c r="V50" s="205"/>
      <c r="W50" s="205"/>
      <c r="X50" s="205"/>
      <c r="Y50" s="205"/>
      <c r="Z50" s="210"/>
      <c r="AA50" s="211"/>
      <c r="AB50" s="203"/>
      <c r="AC50" s="30"/>
    </row>
    <row r="51" spans="1:29" x14ac:dyDescent="0.25">
      <c r="A51" s="7"/>
      <c r="B51" s="168"/>
      <c r="C51" s="169"/>
      <c r="D51" s="180"/>
      <c r="E51" s="180"/>
      <c r="F51" s="181"/>
      <c r="G51" s="169"/>
      <c r="H51" s="168"/>
      <c r="I51" s="168"/>
      <c r="J51" s="186"/>
      <c r="K51" s="186"/>
      <c r="L51" s="186"/>
      <c r="M51" s="186"/>
      <c r="N51" s="175"/>
      <c r="O51" s="170"/>
      <c r="P51" s="170"/>
      <c r="Q51" s="170"/>
      <c r="R51" s="219"/>
      <c r="S51" s="220"/>
      <c r="T51" s="220"/>
      <c r="U51" s="203"/>
      <c r="V51" s="205"/>
      <c r="W51" s="205"/>
      <c r="X51" s="205"/>
      <c r="Y51" s="205"/>
      <c r="Z51" s="210"/>
      <c r="AA51" s="211"/>
      <c r="AB51" s="203"/>
      <c r="AC51" s="30"/>
    </row>
    <row r="52" spans="1:29" x14ac:dyDescent="0.25">
      <c r="A52" s="7"/>
      <c r="B52" s="177"/>
      <c r="C52" s="169"/>
      <c r="D52" s="184"/>
      <c r="E52" s="184"/>
      <c r="F52" s="183"/>
      <c r="G52" s="174"/>
      <c r="H52" s="177"/>
      <c r="I52" s="177"/>
      <c r="J52" s="177"/>
      <c r="K52" s="177"/>
      <c r="L52" s="177"/>
      <c r="M52" s="177"/>
      <c r="N52" s="175"/>
      <c r="O52" s="190"/>
      <c r="P52" s="190"/>
      <c r="Q52" s="170"/>
      <c r="R52" s="219"/>
      <c r="S52" s="220"/>
      <c r="T52" s="220"/>
      <c r="U52" s="203"/>
      <c r="V52" s="205"/>
      <c r="W52" s="205"/>
      <c r="X52" s="205"/>
      <c r="Y52" s="205"/>
      <c r="Z52" s="210"/>
      <c r="AA52" s="212"/>
      <c r="AB52" s="203"/>
      <c r="AC52" s="30"/>
    </row>
    <row r="53" spans="1:29" x14ac:dyDescent="0.25">
      <c r="A53" s="7"/>
      <c r="B53" s="168"/>
      <c r="C53" s="169"/>
      <c r="D53" s="180"/>
      <c r="E53" s="180"/>
      <c r="F53" s="181"/>
      <c r="G53" s="169"/>
      <c r="H53" s="186"/>
      <c r="I53" s="186"/>
      <c r="J53" s="186"/>
      <c r="K53" s="186"/>
      <c r="L53" s="186"/>
      <c r="M53" s="186"/>
      <c r="N53" s="175"/>
      <c r="O53" s="170"/>
      <c r="P53" s="170"/>
      <c r="Q53" s="170"/>
      <c r="R53" s="219"/>
      <c r="S53" s="220"/>
      <c r="T53" s="220"/>
      <c r="U53" s="203"/>
      <c r="V53" s="205"/>
      <c r="W53" s="205"/>
      <c r="X53" s="205"/>
      <c r="Y53" s="205"/>
      <c r="Z53" s="210"/>
      <c r="AA53" s="211"/>
      <c r="AB53" s="203"/>
      <c r="AC53" s="30"/>
    </row>
    <row r="54" spans="1:29" x14ac:dyDescent="0.25">
      <c r="A54" s="7"/>
      <c r="B54" s="177"/>
      <c r="C54" s="169"/>
      <c r="D54" s="184"/>
      <c r="E54" s="184"/>
      <c r="F54" s="183"/>
      <c r="G54" s="174"/>
      <c r="H54" s="177"/>
      <c r="I54" s="177"/>
      <c r="J54" s="177"/>
      <c r="K54" s="177"/>
      <c r="L54" s="177"/>
      <c r="M54" s="177"/>
      <c r="N54" s="175"/>
      <c r="O54" s="190"/>
      <c r="P54" s="190"/>
      <c r="Q54" s="170"/>
      <c r="R54" s="219"/>
      <c r="S54" s="220"/>
      <c r="T54" s="220"/>
      <c r="U54" s="203"/>
      <c r="V54" s="205"/>
      <c r="W54" s="205"/>
      <c r="X54" s="205"/>
      <c r="Y54" s="205"/>
      <c r="Z54" s="210"/>
      <c r="AA54" s="211"/>
      <c r="AB54" s="203"/>
      <c r="AC54" s="30"/>
    </row>
    <row r="55" spans="1:29" x14ac:dyDescent="0.25">
      <c r="A55" s="7"/>
      <c r="B55" s="168"/>
      <c r="C55" s="169"/>
      <c r="D55" s="180"/>
      <c r="E55" s="180"/>
      <c r="F55" s="181"/>
      <c r="G55" s="169"/>
      <c r="H55" s="186"/>
      <c r="I55" s="186"/>
      <c r="J55" s="186"/>
      <c r="K55" s="186"/>
      <c r="L55" s="186"/>
      <c r="M55" s="186"/>
      <c r="N55" s="175"/>
      <c r="O55" s="170"/>
      <c r="P55" s="170"/>
      <c r="Q55" s="170"/>
      <c r="R55" s="219"/>
      <c r="S55" s="220"/>
      <c r="T55" s="220"/>
      <c r="U55" s="203"/>
      <c r="V55" s="205"/>
      <c r="W55" s="205"/>
      <c r="X55" s="205"/>
      <c r="Y55" s="205"/>
      <c r="Z55" s="210"/>
      <c r="AA55" s="211"/>
      <c r="AB55" s="203"/>
      <c r="AC55" s="30"/>
    </row>
    <row r="56" spans="1:29" x14ac:dyDescent="0.25">
      <c r="A56" s="7"/>
      <c r="B56" s="177"/>
      <c r="C56" s="169"/>
      <c r="D56" s="184"/>
      <c r="E56" s="184"/>
      <c r="F56" s="183"/>
      <c r="G56" s="174"/>
      <c r="H56" s="177"/>
      <c r="I56" s="177"/>
      <c r="J56" s="177"/>
      <c r="K56" s="177"/>
      <c r="L56" s="177"/>
      <c r="M56" s="177"/>
      <c r="N56" s="175"/>
      <c r="O56" s="190"/>
      <c r="P56" s="190"/>
      <c r="Q56" s="170"/>
      <c r="R56" s="219"/>
      <c r="S56" s="220"/>
      <c r="T56" s="220"/>
      <c r="U56" s="203"/>
      <c r="V56" s="205"/>
      <c r="W56" s="205"/>
      <c r="X56" s="205"/>
      <c r="Y56" s="205"/>
      <c r="Z56" s="210"/>
      <c r="AA56" s="211"/>
      <c r="AB56" s="203"/>
      <c r="AC56" s="30"/>
    </row>
    <row r="57" spans="1:29" x14ac:dyDescent="0.25">
      <c r="A57" s="7"/>
      <c r="B57" s="177"/>
      <c r="C57" s="169"/>
      <c r="D57" s="184"/>
      <c r="E57" s="184"/>
      <c r="F57" s="183"/>
      <c r="G57" s="169"/>
      <c r="H57" s="168"/>
      <c r="I57" s="168"/>
      <c r="J57" s="186"/>
      <c r="K57" s="186"/>
      <c r="L57" s="186"/>
      <c r="M57" s="186"/>
      <c r="N57" s="175"/>
      <c r="O57" s="170"/>
      <c r="P57" s="170"/>
      <c r="Q57" s="170"/>
      <c r="R57" s="219"/>
      <c r="S57" s="220"/>
      <c r="T57" s="220"/>
      <c r="U57" s="203"/>
      <c r="V57" s="205"/>
      <c r="W57" s="205"/>
      <c r="X57" s="205"/>
      <c r="Y57" s="205"/>
      <c r="Z57" s="210"/>
      <c r="AA57" s="211"/>
      <c r="AB57" s="203"/>
      <c r="AC57" s="30"/>
    </row>
    <row r="58" spans="1:29" x14ac:dyDescent="0.25">
      <c r="A58" s="7"/>
      <c r="B58" s="168"/>
      <c r="C58" s="169"/>
      <c r="D58" s="180"/>
      <c r="E58" s="180"/>
      <c r="F58" s="181"/>
      <c r="G58" s="169"/>
      <c r="H58" s="168"/>
      <c r="I58" s="168"/>
      <c r="J58" s="186"/>
      <c r="K58" s="186"/>
      <c r="L58" s="186"/>
      <c r="M58" s="186"/>
      <c r="N58" s="175"/>
      <c r="O58" s="170"/>
      <c r="P58" s="170"/>
      <c r="Q58" s="170"/>
      <c r="R58" s="219"/>
      <c r="S58" s="220"/>
      <c r="T58" s="220"/>
      <c r="U58" s="203"/>
      <c r="V58" s="205"/>
      <c r="W58" s="205"/>
      <c r="X58" s="205"/>
      <c r="Y58" s="205"/>
      <c r="Z58" s="210"/>
      <c r="AA58" s="211"/>
      <c r="AB58" s="203"/>
      <c r="AC58" s="30"/>
    </row>
    <row r="59" spans="1:29" x14ac:dyDescent="0.25">
      <c r="A59" s="7"/>
      <c r="B59" s="177"/>
      <c r="C59" s="169"/>
      <c r="D59" s="184"/>
      <c r="E59" s="184"/>
      <c r="F59" s="183"/>
      <c r="G59" s="174"/>
      <c r="H59" s="177"/>
      <c r="I59" s="177"/>
      <c r="J59" s="177"/>
      <c r="K59" s="177"/>
      <c r="L59" s="177"/>
      <c r="M59" s="177"/>
      <c r="N59" s="175"/>
      <c r="O59" s="190"/>
      <c r="P59" s="190"/>
      <c r="Q59" s="170"/>
      <c r="R59" s="219"/>
      <c r="S59" s="220"/>
      <c r="T59" s="220"/>
      <c r="U59" s="203"/>
      <c r="V59" s="205"/>
      <c r="W59" s="205"/>
      <c r="X59" s="205"/>
      <c r="Y59" s="205"/>
      <c r="Z59" s="210"/>
      <c r="AA59" s="212"/>
      <c r="AB59" s="203"/>
      <c r="AC59" s="30"/>
    </row>
    <row r="60" spans="1:29" x14ac:dyDescent="0.25">
      <c r="A60" s="7"/>
      <c r="B60" s="177"/>
      <c r="C60" s="168"/>
      <c r="D60" s="184"/>
      <c r="E60" s="184"/>
      <c r="F60" s="183"/>
      <c r="G60" s="174"/>
      <c r="H60" s="177"/>
      <c r="I60" s="177"/>
      <c r="J60" s="177"/>
      <c r="K60" s="177"/>
      <c r="L60" s="177"/>
      <c r="M60" s="177"/>
      <c r="N60" s="175"/>
      <c r="O60" s="190"/>
      <c r="P60" s="190"/>
      <c r="Q60" s="170"/>
      <c r="R60" s="219"/>
      <c r="S60" s="220"/>
      <c r="T60" s="220"/>
      <c r="U60" s="203"/>
      <c r="V60" s="205"/>
      <c r="W60" s="205"/>
      <c r="X60" s="205"/>
      <c r="Y60" s="205"/>
      <c r="Z60" s="210"/>
      <c r="AA60" s="212"/>
      <c r="AB60" s="203"/>
      <c r="AC60" s="30"/>
    </row>
    <row r="61" spans="1:29" x14ac:dyDescent="0.25">
      <c r="A61" s="7"/>
      <c r="B61" s="177"/>
      <c r="C61" s="169"/>
      <c r="D61" s="167"/>
      <c r="E61" s="167"/>
      <c r="F61" s="186"/>
      <c r="G61" s="174"/>
      <c r="H61" s="177"/>
      <c r="I61" s="177"/>
      <c r="J61" s="177"/>
      <c r="K61" s="177"/>
      <c r="L61" s="177"/>
      <c r="M61" s="177"/>
      <c r="N61" s="175"/>
      <c r="O61" s="190"/>
      <c r="P61" s="190"/>
      <c r="Q61" s="170"/>
      <c r="R61" s="219"/>
      <c r="S61" s="220"/>
      <c r="T61" s="220"/>
      <c r="U61" s="203"/>
      <c r="V61" s="205"/>
      <c r="W61" s="205"/>
      <c r="X61" s="205"/>
      <c r="Y61" s="205"/>
      <c r="Z61" s="210"/>
      <c r="AA61" s="211"/>
      <c r="AB61" s="203"/>
      <c r="AC61" s="30"/>
    </row>
    <row r="62" spans="1:29" x14ac:dyDescent="0.25">
      <c r="A62" s="7"/>
      <c r="B62" s="177"/>
      <c r="C62" s="169"/>
      <c r="D62" s="184"/>
      <c r="E62" s="184"/>
      <c r="F62" s="183"/>
      <c r="G62" s="174"/>
      <c r="H62" s="177"/>
      <c r="I62" s="177"/>
      <c r="J62" s="177"/>
      <c r="K62" s="177"/>
      <c r="L62" s="177"/>
      <c r="M62" s="177"/>
      <c r="N62" s="175"/>
      <c r="O62" s="190"/>
      <c r="P62" s="190"/>
      <c r="Q62" s="170"/>
      <c r="R62" s="219"/>
      <c r="S62" s="220"/>
      <c r="T62" s="220"/>
      <c r="U62" s="203"/>
      <c r="V62" s="205"/>
      <c r="W62" s="205"/>
      <c r="X62" s="205"/>
      <c r="Y62" s="205"/>
      <c r="Z62" s="210"/>
      <c r="AA62" s="212"/>
      <c r="AB62" s="203"/>
      <c r="AC62" s="30"/>
    </row>
    <row r="63" spans="1:29" x14ac:dyDescent="0.25">
      <c r="A63" s="7"/>
      <c r="B63" s="177"/>
      <c r="C63" s="169"/>
      <c r="D63" s="191"/>
      <c r="E63" s="184"/>
      <c r="F63" s="183"/>
      <c r="G63" s="174"/>
      <c r="H63" s="177"/>
      <c r="I63" s="177"/>
      <c r="J63" s="177"/>
      <c r="K63" s="177"/>
      <c r="L63" s="177"/>
      <c r="M63" s="177"/>
      <c r="N63" s="175"/>
      <c r="O63" s="190"/>
      <c r="P63" s="190"/>
      <c r="Q63" s="170"/>
      <c r="R63" s="219"/>
      <c r="S63" s="220"/>
      <c r="T63" s="220"/>
      <c r="U63" s="203"/>
      <c r="V63" s="205"/>
      <c r="W63" s="205"/>
      <c r="X63" s="205"/>
      <c r="Y63" s="205"/>
      <c r="Z63" s="210"/>
      <c r="AA63" s="212"/>
      <c r="AB63" s="203"/>
      <c r="AC63" s="30"/>
    </row>
    <row r="64" spans="1:29" x14ac:dyDescent="0.25">
      <c r="A64" s="7"/>
      <c r="B64" s="168"/>
      <c r="C64" s="169"/>
      <c r="D64" s="180"/>
      <c r="E64" s="180"/>
      <c r="F64" s="181"/>
      <c r="G64" s="169"/>
      <c r="H64" s="168"/>
      <c r="I64" s="168"/>
      <c r="J64" s="186"/>
      <c r="K64" s="186"/>
      <c r="L64" s="186"/>
      <c r="M64" s="186"/>
      <c r="N64" s="175"/>
      <c r="O64" s="170"/>
      <c r="P64" s="170"/>
      <c r="Q64" s="170"/>
      <c r="R64" s="219"/>
      <c r="S64" s="220"/>
      <c r="T64" s="220"/>
      <c r="U64" s="203"/>
      <c r="V64" s="205"/>
      <c r="W64" s="205"/>
      <c r="X64" s="205"/>
      <c r="Y64" s="205"/>
      <c r="Z64" s="210"/>
      <c r="AA64" s="211"/>
      <c r="AB64" s="203"/>
      <c r="AC64" s="30"/>
    </row>
    <row r="65" spans="1:29" x14ac:dyDescent="0.25">
      <c r="A65" s="7"/>
      <c r="B65" s="168"/>
      <c r="C65" s="169"/>
      <c r="D65" s="180"/>
      <c r="E65" s="180"/>
      <c r="F65" s="181"/>
      <c r="G65" s="169"/>
      <c r="H65" s="168"/>
      <c r="I65" s="168"/>
      <c r="J65" s="186"/>
      <c r="K65" s="186"/>
      <c r="L65" s="186"/>
      <c r="M65" s="186"/>
      <c r="N65" s="175"/>
      <c r="O65" s="170"/>
      <c r="P65" s="170"/>
      <c r="Q65" s="170"/>
      <c r="R65" s="219"/>
      <c r="S65" s="220"/>
      <c r="T65" s="220"/>
      <c r="U65" s="203"/>
      <c r="V65" s="205"/>
      <c r="W65" s="205"/>
      <c r="X65" s="205"/>
      <c r="Y65" s="205"/>
      <c r="Z65" s="210"/>
      <c r="AA65" s="211"/>
      <c r="AB65" s="203"/>
      <c r="AC65" s="30"/>
    </row>
    <row r="66" spans="1:29" x14ac:dyDescent="0.25">
      <c r="A66" s="7"/>
      <c r="B66" s="168"/>
      <c r="C66" s="169"/>
      <c r="D66" s="180"/>
      <c r="E66" s="180"/>
      <c r="F66" s="181"/>
      <c r="G66" s="174"/>
      <c r="H66" s="177"/>
      <c r="I66" s="177"/>
      <c r="J66" s="177"/>
      <c r="K66" s="177"/>
      <c r="L66" s="177"/>
      <c r="M66" s="177"/>
      <c r="N66" s="175"/>
      <c r="O66" s="190"/>
      <c r="P66" s="190"/>
      <c r="Q66" s="170"/>
      <c r="R66" s="219"/>
      <c r="S66" s="220"/>
      <c r="T66" s="220"/>
      <c r="U66" s="203"/>
      <c r="V66" s="205"/>
      <c r="W66" s="205"/>
      <c r="X66" s="205"/>
      <c r="Y66" s="205"/>
      <c r="Z66" s="210"/>
      <c r="AA66" s="211"/>
      <c r="AB66" s="203"/>
      <c r="AC66" s="30"/>
    </row>
    <row r="67" spans="1:29" x14ac:dyDescent="0.25">
      <c r="A67" s="7"/>
      <c r="B67" s="177"/>
      <c r="C67" s="169"/>
      <c r="D67" s="184"/>
      <c r="E67" s="184"/>
      <c r="F67" s="183"/>
      <c r="G67" s="174"/>
      <c r="H67" s="177"/>
      <c r="I67" s="177"/>
      <c r="J67" s="177"/>
      <c r="K67" s="177"/>
      <c r="L67" s="177"/>
      <c r="M67" s="177"/>
      <c r="N67" s="175"/>
      <c r="O67" s="190"/>
      <c r="P67" s="190"/>
      <c r="Q67" s="170"/>
      <c r="R67" s="219"/>
      <c r="S67" s="220"/>
      <c r="T67" s="220"/>
      <c r="U67" s="203"/>
      <c r="V67" s="205"/>
      <c r="W67" s="205"/>
      <c r="X67" s="205"/>
      <c r="Y67" s="205"/>
      <c r="Z67" s="210"/>
      <c r="AA67" s="212"/>
      <c r="AB67" s="203"/>
      <c r="AC67" s="30"/>
    </row>
    <row r="68" spans="1:29" x14ac:dyDescent="0.25">
      <c r="A68" s="7"/>
      <c r="B68" s="177"/>
      <c r="C68" s="169"/>
      <c r="D68" s="184"/>
      <c r="E68" s="184"/>
      <c r="F68" s="183"/>
      <c r="G68" s="174"/>
      <c r="H68" s="177"/>
      <c r="I68" s="177"/>
      <c r="J68" s="177"/>
      <c r="K68" s="177"/>
      <c r="L68" s="177"/>
      <c r="M68" s="177"/>
      <c r="N68" s="175"/>
      <c r="O68" s="190"/>
      <c r="P68" s="190"/>
      <c r="Q68" s="170"/>
      <c r="R68" s="219"/>
      <c r="S68" s="220"/>
      <c r="T68" s="220"/>
      <c r="U68" s="203"/>
      <c r="V68" s="205"/>
      <c r="W68" s="205"/>
      <c r="X68" s="205"/>
      <c r="Y68" s="205"/>
      <c r="Z68" s="210"/>
      <c r="AA68" s="212"/>
      <c r="AB68" s="203"/>
      <c r="AC68" s="30"/>
    </row>
    <row r="69" spans="1:29" x14ac:dyDescent="0.25">
      <c r="A69" s="7"/>
      <c r="B69" s="177"/>
      <c r="C69" s="169"/>
      <c r="D69" s="184"/>
      <c r="E69" s="184"/>
      <c r="F69" s="183"/>
      <c r="G69" s="174"/>
      <c r="H69" s="177"/>
      <c r="I69" s="177"/>
      <c r="J69" s="177"/>
      <c r="K69" s="177"/>
      <c r="L69" s="177"/>
      <c r="M69" s="177"/>
      <c r="N69" s="175"/>
      <c r="O69" s="190"/>
      <c r="P69" s="190"/>
      <c r="Q69" s="170"/>
      <c r="R69" s="219"/>
      <c r="S69" s="220"/>
      <c r="T69" s="220"/>
      <c r="U69" s="203"/>
      <c r="V69" s="205"/>
      <c r="W69" s="205"/>
      <c r="X69" s="205"/>
      <c r="Y69" s="205"/>
      <c r="Z69" s="210"/>
      <c r="AA69" s="212"/>
      <c r="AB69" s="203"/>
      <c r="AC69" s="30"/>
    </row>
    <row r="70" spans="1:29" x14ac:dyDescent="0.25">
      <c r="A70" s="7"/>
      <c r="B70" s="177"/>
      <c r="C70" s="169"/>
      <c r="D70" s="184"/>
      <c r="E70" s="184"/>
      <c r="F70" s="183"/>
      <c r="G70" s="174"/>
      <c r="H70" s="177"/>
      <c r="I70" s="177"/>
      <c r="J70" s="177"/>
      <c r="K70" s="177"/>
      <c r="L70" s="177"/>
      <c r="M70" s="177"/>
      <c r="N70" s="175"/>
      <c r="O70" s="190"/>
      <c r="P70" s="190"/>
      <c r="Q70" s="170"/>
      <c r="R70" s="219"/>
      <c r="S70" s="220"/>
      <c r="T70" s="220"/>
      <c r="U70" s="203"/>
      <c r="V70" s="205"/>
      <c r="W70" s="205"/>
      <c r="X70" s="205"/>
      <c r="Y70" s="205"/>
      <c r="Z70" s="210"/>
      <c r="AA70" s="212"/>
      <c r="AB70" s="203"/>
      <c r="AC70" s="30"/>
    </row>
    <row r="71" spans="1:29" x14ac:dyDescent="0.25">
      <c r="A71" s="7"/>
      <c r="B71" s="177"/>
      <c r="C71" s="169"/>
      <c r="D71" s="184"/>
      <c r="E71" s="184"/>
      <c r="F71" s="183"/>
      <c r="G71" s="174"/>
      <c r="H71" s="177"/>
      <c r="I71" s="177"/>
      <c r="J71" s="177"/>
      <c r="K71" s="177"/>
      <c r="L71" s="177"/>
      <c r="M71" s="177"/>
      <c r="N71" s="175"/>
      <c r="O71" s="190"/>
      <c r="P71" s="190"/>
      <c r="Q71" s="170"/>
      <c r="R71" s="219"/>
      <c r="S71" s="220"/>
      <c r="T71" s="220"/>
      <c r="U71" s="203"/>
      <c r="V71" s="205"/>
      <c r="W71" s="205"/>
      <c r="X71" s="205"/>
      <c r="Y71" s="205"/>
      <c r="Z71" s="210"/>
      <c r="AA71" s="212"/>
      <c r="AB71" s="203"/>
      <c r="AC71" s="30"/>
    </row>
    <row r="72" spans="1:29" x14ac:dyDescent="0.25">
      <c r="A72" s="7"/>
      <c r="B72" s="168"/>
      <c r="C72" s="169"/>
      <c r="D72" s="184"/>
      <c r="E72" s="184"/>
      <c r="F72" s="183"/>
      <c r="G72" s="174"/>
      <c r="H72" s="177"/>
      <c r="I72" s="177"/>
      <c r="J72" s="177"/>
      <c r="K72" s="177"/>
      <c r="L72" s="177"/>
      <c r="M72" s="177"/>
      <c r="N72" s="175"/>
      <c r="O72" s="170"/>
      <c r="P72" s="170"/>
      <c r="Q72" s="170"/>
      <c r="R72" s="219"/>
      <c r="S72" s="220"/>
      <c r="T72" s="220"/>
      <c r="U72" s="203"/>
      <c r="V72" s="205"/>
      <c r="W72" s="205"/>
      <c r="X72" s="205"/>
      <c r="Y72" s="205"/>
      <c r="Z72" s="210"/>
      <c r="AA72" s="211"/>
      <c r="AB72" s="203"/>
      <c r="AC72" s="30"/>
    </row>
    <row r="73" spans="1:29" x14ac:dyDescent="0.25">
      <c r="A73" s="7"/>
      <c r="B73" s="177"/>
      <c r="C73" s="169"/>
      <c r="D73" s="184"/>
      <c r="E73" s="184"/>
      <c r="F73" s="183"/>
      <c r="G73" s="174"/>
      <c r="H73" s="174"/>
      <c r="I73" s="174"/>
      <c r="J73" s="174"/>
      <c r="K73" s="174"/>
      <c r="L73" s="174"/>
      <c r="M73" s="174"/>
      <c r="N73" s="175"/>
      <c r="O73" s="176"/>
      <c r="P73" s="176"/>
      <c r="Q73" s="170"/>
      <c r="R73" s="219"/>
      <c r="S73" s="220"/>
      <c r="T73" s="220"/>
      <c r="U73" s="203"/>
      <c r="V73" s="205"/>
      <c r="W73" s="205"/>
      <c r="X73" s="205"/>
      <c r="Y73" s="205"/>
      <c r="Z73" s="210"/>
      <c r="AA73" s="211"/>
      <c r="AB73" s="203"/>
      <c r="AC73" s="30"/>
    </row>
    <row r="74" spans="1:29" x14ac:dyDescent="0.25">
      <c r="A74" s="7"/>
      <c r="B74" s="177"/>
      <c r="C74" s="169"/>
      <c r="D74" s="184"/>
      <c r="E74" s="184"/>
      <c r="F74" s="183"/>
      <c r="G74" s="174"/>
      <c r="H74" s="174"/>
      <c r="I74" s="174"/>
      <c r="J74" s="174"/>
      <c r="K74" s="174"/>
      <c r="L74" s="174"/>
      <c r="M74" s="174"/>
      <c r="N74" s="175"/>
      <c r="O74" s="176"/>
      <c r="P74" s="176"/>
      <c r="Q74" s="170"/>
      <c r="R74" s="219"/>
      <c r="S74" s="220"/>
      <c r="T74" s="220"/>
      <c r="U74" s="203"/>
      <c r="V74" s="205"/>
      <c r="W74" s="205"/>
      <c r="X74" s="205"/>
      <c r="Y74" s="205"/>
      <c r="Z74" s="210"/>
      <c r="AA74" s="211"/>
      <c r="AB74" s="203"/>
      <c r="AC74" s="30"/>
    </row>
    <row r="75" spans="1:29" x14ac:dyDescent="0.25">
      <c r="A75" s="7"/>
      <c r="B75" s="168"/>
      <c r="C75" s="169"/>
      <c r="D75" s="180"/>
      <c r="E75" s="180"/>
      <c r="F75" s="181"/>
      <c r="G75" s="169"/>
      <c r="H75" s="168"/>
      <c r="I75" s="168"/>
      <c r="J75" s="169"/>
      <c r="K75" s="169"/>
      <c r="L75" s="169"/>
      <c r="M75" s="169"/>
      <c r="N75" s="173"/>
      <c r="O75" s="170"/>
      <c r="P75" s="170"/>
      <c r="Q75" s="170"/>
      <c r="R75" s="219"/>
      <c r="S75" s="220"/>
      <c r="T75" s="220"/>
      <c r="U75" s="203"/>
      <c r="V75" s="205"/>
      <c r="W75" s="205"/>
      <c r="X75" s="205"/>
      <c r="Y75" s="205"/>
      <c r="Z75" s="210"/>
      <c r="AA75" s="211"/>
      <c r="AB75" s="203"/>
      <c r="AC75" s="30"/>
    </row>
    <row r="76" spans="1:29" x14ac:dyDescent="0.25">
      <c r="A76" s="7"/>
      <c r="B76" s="168"/>
      <c r="C76" s="169"/>
      <c r="D76" s="180"/>
      <c r="E76" s="180"/>
      <c r="F76" s="181"/>
      <c r="G76" s="169"/>
      <c r="H76" s="168"/>
      <c r="I76" s="168"/>
      <c r="J76" s="169"/>
      <c r="K76" s="169"/>
      <c r="L76" s="169"/>
      <c r="M76" s="169"/>
      <c r="N76" s="173"/>
      <c r="O76" s="170"/>
      <c r="P76" s="170"/>
      <c r="Q76" s="170"/>
      <c r="R76" s="219"/>
      <c r="S76" s="220"/>
      <c r="T76" s="220"/>
      <c r="U76" s="203"/>
      <c r="V76" s="205"/>
      <c r="W76" s="205"/>
      <c r="X76" s="205"/>
      <c r="Y76" s="205"/>
      <c r="Z76" s="210"/>
      <c r="AA76" s="211"/>
      <c r="AB76" s="203"/>
      <c r="AC76" s="30"/>
    </row>
    <row r="77" spans="1:29" x14ac:dyDescent="0.25">
      <c r="A77" s="7"/>
      <c r="B77" s="177"/>
      <c r="C77" s="169"/>
      <c r="D77" s="184"/>
      <c r="E77" s="184"/>
      <c r="F77" s="183"/>
      <c r="G77" s="174"/>
      <c r="H77" s="174"/>
      <c r="I77" s="174"/>
      <c r="J77" s="174"/>
      <c r="K77" s="174"/>
      <c r="L77" s="174"/>
      <c r="M77" s="174"/>
      <c r="N77" s="175"/>
      <c r="O77" s="176"/>
      <c r="P77" s="176"/>
      <c r="Q77" s="170"/>
      <c r="R77" s="219"/>
      <c r="S77" s="220"/>
      <c r="T77" s="220"/>
      <c r="U77" s="203"/>
      <c r="V77" s="205"/>
      <c r="W77" s="205"/>
      <c r="X77" s="205"/>
      <c r="Y77" s="205"/>
      <c r="Z77" s="210"/>
      <c r="AA77" s="211"/>
      <c r="AB77" s="203"/>
      <c r="AC77" s="30"/>
    </row>
    <row r="78" spans="1:29" x14ac:dyDescent="0.25">
      <c r="A78" s="7"/>
      <c r="B78" s="168"/>
      <c r="C78" s="150"/>
      <c r="D78" s="180"/>
      <c r="E78" s="180"/>
      <c r="F78" s="181"/>
      <c r="G78" s="174"/>
      <c r="H78" s="174"/>
      <c r="I78" s="174"/>
      <c r="J78" s="174"/>
      <c r="K78" s="174"/>
      <c r="L78" s="174"/>
      <c r="M78" s="174"/>
      <c r="N78" s="175"/>
      <c r="O78" s="176"/>
      <c r="P78" s="176"/>
      <c r="Q78" s="170"/>
      <c r="R78" s="219"/>
      <c r="S78" s="220"/>
      <c r="T78" s="220"/>
      <c r="U78" s="203"/>
      <c r="V78" s="205"/>
      <c r="W78" s="205"/>
      <c r="X78" s="205"/>
      <c r="Y78" s="205"/>
      <c r="Z78" s="210"/>
      <c r="AA78" s="211"/>
      <c r="AB78" s="203"/>
      <c r="AC78" s="30"/>
    </row>
    <row r="79" spans="1:29" x14ac:dyDescent="0.25">
      <c r="A79" s="7"/>
      <c r="B79" s="168"/>
      <c r="C79" s="150"/>
      <c r="D79" s="180"/>
      <c r="E79" s="180"/>
      <c r="F79" s="181"/>
      <c r="G79" s="169"/>
      <c r="H79" s="169"/>
      <c r="I79" s="169"/>
      <c r="J79" s="169"/>
      <c r="K79" s="169"/>
      <c r="L79" s="169"/>
      <c r="M79" s="169"/>
      <c r="N79" s="173"/>
      <c r="O79" s="170"/>
      <c r="P79" s="170"/>
      <c r="Q79" s="170"/>
      <c r="R79" s="219"/>
      <c r="S79" s="220"/>
      <c r="T79" s="220"/>
      <c r="U79" s="203"/>
      <c r="V79" s="205"/>
      <c r="W79" s="205"/>
      <c r="X79" s="205"/>
      <c r="Y79" s="205"/>
      <c r="Z79" s="210"/>
      <c r="AA79" s="211"/>
      <c r="AB79" s="203"/>
      <c r="AC79" s="30"/>
    </row>
    <row r="80" spans="1:29" x14ac:dyDescent="0.25">
      <c r="A80" s="7"/>
      <c r="B80" s="177"/>
      <c r="C80" s="150"/>
      <c r="D80" s="184"/>
      <c r="E80" s="184"/>
      <c r="F80" s="183"/>
      <c r="G80" s="174"/>
      <c r="H80" s="174"/>
      <c r="I80" s="174"/>
      <c r="J80" s="174"/>
      <c r="K80" s="174"/>
      <c r="L80" s="174"/>
      <c r="M80" s="174"/>
      <c r="N80" s="175"/>
      <c r="O80" s="176"/>
      <c r="P80" s="176"/>
      <c r="Q80" s="170"/>
      <c r="R80" s="219"/>
      <c r="S80" s="220"/>
      <c r="T80" s="220"/>
      <c r="U80" s="203"/>
      <c r="V80" s="205"/>
      <c r="W80" s="205"/>
      <c r="X80" s="205"/>
      <c r="Y80" s="205"/>
      <c r="Z80" s="210"/>
      <c r="AA80" s="211"/>
      <c r="AB80" s="203"/>
    </row>
    <row r="81" spans="1:28" x14ac:dyDescent="0.25">
      <c r="A81" s="7"/>
      <c r="B81" s="168"/>
      <c r="C81" s="150"/>
      <c r="D81" s="184"/>
      <c r="E81" s="184"/>
      <c r="F81" s="183"/>
      <c r="G81" s="174"/>
      <c r="H81" s="174"/>
      <c r="I81" s="174"/>
      <c r="J81" s="174"/>
      <c r="K81" s="174"/>
      <c r="L81" s="174"/>
      <c r="M81" s="174"/>
      <c r="N81" s="175"/>
      <c r="O81" s="176"/>
      <c r="P81" s="176"/>
      <c r="Q81" s="170"/>
      <c r="R81" s="219"/>
      <c r="S81" s="220"/>
      <c r="T81" s="220"/>
      <c r="U81" s="203"/>
      <c r="V81" s="205"/>
      <c r="W81" s="205"/>
      <c r="X81" s="205"/>
      <c r="Y81" s="205"/>
      <c r="Z81" s="210"/>
      <c r="AA81" s="211"/>
      <c r="AB81" s="203"/>
    </row>
    <row r="82" spans="1:28" x14ac:dyDescent="0.25">
      <c r="A82" s="7"/>
      <c r="B82" s="168"/>
      <c r="C82" s="150"/>
      <c r="D82" s="184"/>
      <c r="E82" s="184"/>
      <c r="F82" s="183"/>
      <c r="G82" s="174"/>
      <c r="H82" s="174"/>
      <c r="I82" s="174"/>
      <c r="J82" s="174"/>
      <c r="K82" s="174"/>
      <c r="L82" s="174"/>
      <c r="M82" s="174"/>
      <c r="N82" s="175"/>
      <c r="O82" s="176"/>
      <c r="P82" s="176"/>
      <c r="Q82" s="170"/>
      <c r="R82" s="219"/>
      <c r="S82" s="220"/>
      <c r="T82" s="220"/>
      <c r="U82" s="203"/>
      <c r="V82" s="205"/>
      <c r="W82" s="205"/>
      <c r="X82" s="205"/>
      <c r="Y82" s="205"/>
      <c r="Z82" s="210"/>
      <c r="AA82" s="211"/>
      <c r="AB82" s="203"/>
    </row>
    <row r="83" spans="1:28" x14ac:dyDescent="0.25">
      <c r="A83" s="7"/>
      <c r="B83" s="168"/>
      <c r="C83" s="150"/>
      <c r="D83" s="180"/>
      <c r="E83" s="180"/>
      <c r="F83" s="181"/>
      <c r="G83" s="174"/>
      <c r="H83" s="174"/>
      <c r="I83" s="174"/>
      <c r="J83" s="174"/>
      <c r="K83" s="174"/>
      <c r="L83" s="174"/>
      <c r="M83" s="174"/>
      <c r="N83" s="175"/>
      <c r="O83" s="176"/>
      <c r="P83" s="176"/>
      <c r="Q83" s="170"/>
      <c r="R83" s="219"/>
      <c r="S83" s="220"/>
      <c r="T83" s="220"/>
      <c r="U83" s="203"/>
      <c r="V83" s="205"/>
      <c r="W83" s="205"/>
      <c r="X83" s="205"/>
      <c r="Y83" s="205"/>
      <c r="Z83" s="210"/>
      <c r="AA83" s="211"/>
      <c r="AB83" s="203"/>
    </row>
    <row r="84" spans="1:28" x14ac:dyDescent="0.25">
      <c r="A84" s="7"/>
      <c r="B84" s="177"/>
      <c r="C84" s="150"/>
      <c r="D84" s="184"/>
      <c r="E84" s="184"/>
      <c r="F84" s="183"/>
      <c r="G84" s="174"/>
      <c r="H84" s="174"/>
      <c r="I84" s="174"/>
      <c r="J84" s="174"/>
      <c r="K84" s="174"/>
      <c r="L84" s="174"/>
      <c r="M84" s="174"/>
      <c r="N84" s="175"/>
      <c r="O84" s="176"/>
      <c r="P84" s="176"/>
      <c r="Q84" s="170"/>
      <c r="R84" s="219"/>
      <c r="S84" s="220"/>
      <c r="T84" s="220"/>
      <c r="U84" s="203"/>
      <c r="V84" s="205"/>
      <c r="W84" s="205"/>
      <c r="X84" s="205"/>
      <c r="Y84" s="205"/>
      <c r="Z84" s="210"/>
      <c r="AA84" s="211"/>
      <c r="AB84" s="203"/>
    </row>
    <row r="85" spans="1:28" x14ac:dyDescent="0.25">
      <c r="A85" s="7"/>
      <c r="B85" s="177"/>
      <c r="C85" s="150"/>
      <c r="D85" s="184"/>
      <c r="E85" s="184"/>
      <c r="F85" s="183"/>
      <c r="G85" s="174"/>
      <c r="H85" s="174"/>
      <c r="I85" s="174"/>
      <c r="J85" s="174"/>
      <c r="K85" s="174"/>
      <c r="L85" s="174"/>
      <c r="M85" s="174"/>
      <c r="N85" s="175"/>
      <c r="O85" s="176"/>
      <c r="P85" s="176"/>
      <c r="Q85" s="170"/>
      <c r="R85" s="219"/>
      <c r="S85" s="220"/>
      <c r="T85" s="220"/>
      <c r="U85" s="203"/>
      <c r="V85" s="205"/>
      <c r="W85" s="205"/>
      <c r="X85" s="205"/>
      <c r="Y85" s="205"/>
      <c r="Z85" s="210"/>
      <c r="AA85" s="211"/>
      <c r="AB85" s="203"/>
    </row>
    <row r="86" spans="1:28" x14ac:dyDescent="0.25">
      <c r="A86" s="7"/>
      <c r="B86" s="168"/>
      <c r="C86" s="150"/>
      <c r="D86" s="167"/>
      <c r="E86" s="167"/>
      <c r="F86" s="186"/>
      <c r="G86" s="174"/>
      <c r="H86" s="174"/>
      <c r="I86" s="174"/>
      <c r="J86" s="174"/>
      <c r="K86" s="174"/>
      <c r="L86" s="174"/>
      <c r="M86" s="174"/>
      <c r="N86" s="175"/>
      <c r="O86" s="176"/>
      <c r="P86" s="176"/>
      <c r="Q86" s="170"/>
      <c r="R86" s="219"/>
      <c r="S86" s="220"/>
      <c r="T86" s="220"/>
      <c r="U86" s="203"/>
      <c r="V86" s="205"/>
      <c r="W86" s="205"/>
      <c r="X86" s="205"/>
      <c r="Y86" s="205"/>
      <c r="Z86" s="210"/>
      <c r="AA86" s="211"/>
      <c r="AB86" s="203"/>
    </row>
    <row r="87" spans="1:28" x14ac:dyDescent="0.25">
      <c r="A87" s="7"/>
      <c r="B87" s="177"/>
      <c r="C87" s="150"/>
      <c r="D87" s="184"/>
      <c r="E87" s="184"/>
      <c r="F87" s="183"/>
      <c r="G87" s="174"/>
      <c r="H87" s="174"/>
      <c r="I87" s="174"/>
      <c r="J87" s="174"/>
      <c r="K87" s="174"/>
      <c r="L87" s="174"/>
      <c r="M87" s="174"/>
      <c r="N87" s="175"/>
      <c r="O87" s="176"/>
      <c r="P87" s="176"/>
      <c r="Q87" s="170"/>
      <c r="R87" s="219"/>
      <c r="S87" s="220"/>
      <c r="T87" s="220"/>
      <c r="U87" s="203"/>
      <c r="V87" s="205"/>
      <c r="W87" s="205"/>
      <c r="X87" s="205"/>
      <c r="Y87" s="205"/>
      <c r="Z87" s="210"/>
      <c r="AA87" s="211"/>
      <c r="AB87" s="203"/>
    </row>
    <row r="88" spans="1:28" x14ac:dyDescent="0.25">
      <c r="A88" s="7"/>
      <c r="B88" s="148"/>
      <c r="C88" s="150"/>
      <c r="D88" s="146"/>
      <c r="E88" s="146"/>
      <c r="F88" s="147"/>
      <c r="G88" s="169"/>
      <c r="H88" s="169"/>
      <c r="I88" s="169"/>
      <c r="J88" s="169"/>
      <c r="K88" s="169"/>
      <c r="L88" s="169"/>
      <c r="M88" s="169"/>
      <c r="N88" s="91"/>
      <c r="O88" s="170"/>
      <c r="P88" s="170"/>
      <c r="Q88" s="170"/>
      <c r="R88" s="219"/>
      <c r="S88" s="220"/>
      <c r="T88" s="220"/>
      <c r="U88" s="203"/>
      <c r="V88" s="205"/>
      <c r="W88" s="205"/>
      <c r="X88" s="205"/>
      <c r="Y88" s="205"/>
      <c r="Z88" s="210"/>
      <c r="AA88" s="211"/>
      <c r="AB88" s="203"/>
    </row>
    <row r="89" spans="1:28" x14ac:dyDescent="0.25">
      <c r="A89" s="7"/>
      <c r="B89" s="148"/>
      <c r="C89" s="150"/>
      <c r="D89" s="146"/>
      <c r="E89" s="146"/>
      <c r="F89" s="147"/>
      <c r="G89" s="169"/>
      <c r="H89" s="169"/>
      <c r="I89" s="169"/>
      <c r="J89" s="169"/>
      <c r="K89" s="169"/>
      <c r="L89" s="169"/>
      <c r="M89" s="169"/>
      <c r="N89" s="91"/>
      <c r="O89" s="170"/>
      <c r="P89" s="170"/>
      <c r="Q89" s="170"/>
      <c r="R89" s="219"/>
      <c r="S89" s="220"/>
      <c r="T89" s="220"/>
      <c r="U89" s="203"/>
      <c r="V89" s="205"/>
      <c r="W89" s="205"/>
      <c r="X89" s="205"/>
      <c r="Y89" s="205"/>
      <c r="Z89" s="210"/>
      <c r="AA89" s="211"/>
      <c r="AB89" s="203"/>
    </row>
    <row r="90" spans="1:28" x14ac:dyDescent="0.25">
      <c r="A90" s="7"/>
      <c r="B90" s="148"/>
      <c r="C90" s="150"/>
      <c r="D90" s="146"/>
      <c r="E90" s="146"/>
      <c r="F90" s="147"/>
      <c r="G90" s="169"/>
      <c r="H90" s="169"/>
      <c r="I90" s="169"/>
      <c r="J90" s="169"/>
      <c r="K90" s="169"/>
      <c r="L90" s="169"/>
      <c r="M90" s="169"/>
      <c r="N90" s="91"/>
      <c r="O90" s="170"/>
      <c r="P90" s="170"/>
      <c r="Q90" s="170"/>
      <c r="R90" s="219"/>
      <c r="S90" s="220"/>
      <c r="T90" s="220"/>
      <c r="U90" s="203"/>
      <c r="V90" s="205"/>
      <c r="W90" s="205"/>
      <c r="X90" s="205"/>
      <c r="Y90" s="205"/>
      <c r="Z90" s="210"/>
      <c r="AA90" s="211"/>
      <c r="AB90" s="203"/>
    </row>
    <row r="91" spans="1:28" x14ac:dyDescent="0.25">
      <c r="A91" s="7"/>
      <c r="B91" s="148"/>
      <c r="C91" s="150"/>
      <c r="D91" s="146"/>
      <c r="E91" s="146"/>
      <c r="F91" s="147"/>
      <c r="G91" s="169"/>
      <c r="H91" s="169"/>
      <c r="I91" s="169"/>
      <c r="J91" s="169"/>
      <c r="K91" s="169"/>
      <c r="L91" s="169"/>
      <c r="M91" s="169"/>
      <c r="N91" s="91"/>
      <c r="O91" s="170"/>
      <c r="P91" s="170"/>
      <c r="Q91" s="170"/>
      <c r="R91" s="219"/>
      <c r="S91" s="220"/>
      <c r="T91" s="220"/>
      <c r="U91" s="203"/>
      <c r="V91" s="205"/>
      <c r="W91" s="205"/>
      <c r="X91" s="205"/>
      <c r="Y91" s="205"/>
      <c r="Z91" s="210"/>
      <c r="AA91" s="211"/>
      <c r="AB91" s="203"/>
    </row>
    <row r="92" spans="1:28" x14ac:dyDescent="0.25">
      <c r="A92" s="7"/>
      <c r="B92" s="148"/>
      <c r="C92" s="150"/>
      <c r="D92" s="146"/>
      <c r="E92" s="146"/>
      <c r="F92" s="147"/>
      <c r="G92" s="169"/>
      <c r="H92" s="169"/>
      <c r="I92" s="169"/>
      <c r="J92" s="169"/>
      <c r="K92" s="169"/>
      <c r="L92" s="169"/>
      <c r="M92" s="169"/>
      <c r="N92" s="91"/>
      <c r="O92" s="170"/>
      <c r="P92" s="170"/>
      <c r="Q92" s="170"/>
      <c r="R92" s="219"/>
      <c r="S92" s="220"/>
      <c r="T92" s="220"/>
      <c r="U92" s="203"/>
      <c r="V92" s="205"/>
      <c r="W92" s="205"/>
      <c r="X92" s="205"/>
      <c r="Y92" s="205"/>
      <c r="Z92" s="210"/>
      <c r="AA92" s="211"/>
      <c r="AB92" s="203"/>
    </row>
    <row r="93" spans="1:28" x14ac:dyDescent="0.25">
      <c r="A93" s="7"/>
      <c r="B93" s="148"/>
      <c r="C93" s="150"/>
      <c r="D93" s="146"/>
      <c r="E93" s="146"/>
      <c r="F93" s="147"/>
      <c r="G93" s="169"/>
      <c r="H93" s="169"/>
      <c r="I93" s="169"/>
      <c r="J93" s="169"/>
      <c r="K93" s="169"/>
      <c r="L93" s="169"/>
      <c r="M93" s="169"/>
      <c r="N93" s="91"/>
      <c r="O93" s="170"/>
      <c r="P93" s="170"/>
      <c r="Q93" s="170"/>
      <c r="R93" s="219"/>
      <c r="S93" s="220"/>
      <c r="T93" s="220"/>
      <c r="U93" s="203"/>
      <c r="V93" s="205"/>
      <c r="W93" s="205"/>
      <c r="X93" s="205"/>
      <c r="Y93" s="205"/>
      <c r="Z93" s="210"/>
      <c r="AA93" s="211"/>
      <c r="AB93" s="203"/>
    </row>
    <row r="94" spans="1:28" x14ac:dyDescent="0.25">
      <c r="A94" s="7"/>
      <c r="B94" s="148"/>
      <c r="C94" s="150"/>
      <c r="D94" s="146"/>
      <c r="E94" s="146"/>
      <c r="F94" s="147"/>
      <c r="G94" s="169"/>
      <c r="H94" s="169"/>
      <c r="I94" s="169"/>
      <c r="J94" s="169"/>
      <c r="K94" s="169"/>
      <c r="L94" s="169"/>
      <c r="M94" s="169"/>
      <c r="N94" s="91"/>
      <c r="O94" s="170"/>
      <c r="P94" s="170"/>
      <c r="Q94" s="170"/>
      <c r="R94" s="219"/>
      <c r="S94" s="220"/>
      <c r="T94" s="220"/>
      <c r="U94" s="203"/>
      <c r="V94" s="205"/>
      <c r="W94" s="205"/>
      <c r="X94" s="205"/>
      <c r="Y94" s="205"/>
      <c r="Z94" s="210"/>
      <c r="AA94" s="211"/>
      <c r="AB94" s="203"/>
    </row>
    <row r="95" spans="1:28" x14ac:dyDescent="0.25">
      <c r="A95" s="7"/>
      <c r="B95" s="148"/>
      <c r="C95" s="150"/>
      <c r="D95" s="146"/>
      <c r="E95" s="146"/>
      <c r="F95" s="147"/>
      <c r="G95" s="169"/>
      <c r="H95" s="169"/>
      <c r="I95" s="169"/>
      <c r="J95" s="169"/>
      <c r="K95" s="169"/>
      <c r="L95" s="169"/>
      <c r="M95" s="169"/>
      <c r="N95" s="91"/>
      <c r="O95" s="170"/>
      <c r="P95" s="170"/>
      <c r="Q95" s="170"/>
      <c r="R95" s="219"/>
      <c r="S95" s="220"/>
      <c r="T95" s="220"/>
      <c r="U95" s="203"/>
      <c r="V95" s="205"/>
      <c r="W95" s="205"/>
      <c r="X95" s="205"/>
      <c r="Y95" s="205"/>
      <c r="Z95" s="210"/>
      <c r="AA95" s="211"/>
      <c r="AB95" s="203"/>
    </row>
    <row r="96" spans="1:28" x14ac:dyDescent="0.25">
      <c r="A96" s="7"/>
      <c r="B96" s="148"/>
      <c r="C96" s="150"/>
      <c r="D96" s="146"/>
      <c r="E96" s="146"/>
      <c r="F96" s="147"/>
      <c r="G96" s="169"/>
      <c r="H96" s="169"/>
      <c r="I96" s="169"/>
      <c r="J96" s="169"/>
      <c r="K96" s="169"/>
      <c r="L96" s="169"/>
      <c r="M96" s="169"/>
      <c r="N96" s="91"/>
      <c r="O96" s="170"/>
      <c r="P96" s="170"/>
      <c r="Q96" s="170"/>
      <c r="R96" s="219"/>
      <c r="S96" s="220"/>
      <c r="T96" s="220"/>
      <c r="U96" s="203"/>
      <c r="V96" s="205"/>
      <c r="W96" s="205"/>
      <c r="X96" s="205"/>
      <c r="Y96" s="205"/>
      <c r="Z96" s="210"/>
      <c r="AA96" s="211"/>
      <c r="AB96" s="203"/>
    </row>
    <row r="97" spans="1:28" x14ac:dyDescent="0.25">
      <c r="A97" s="7"/>
      <c r="B97" s="148"/>
      <c r="C97" s="150"/>
      <c r="D97" s="146"/>
      <c r="E97" s="146"/>
      <c r="F97" s="147"/>
      <c r="G97" s="169"/>
      <c r="H97" s="169"/>
      <c r="I97" s="169"/>
      <c r="J97" s="169"/>
      <c r="K97" s="169"/>
      <c r="L97" s="169"/>
      <c r="M97" s="169"/>
      <c r="N97" s="91"/>
      <c r="O97" s="170"/>
      <c r="P97" s="170"/>
      <c r="Q97" s="170"/>
      <c r="R97" s="219"/>
      <c r="S97" s="220"/>
      <c r="T97" s="220"/>
      <c r="U97" s="203"/>
      <c r="V97" s="205"/>
      <c r="W97" s="205"/>
      <c r="X97" s="205"/>
      <c r="Y97" s="205"/>
      <c r="Z97" s="210"/>
      <c r="AA97" s="211"/>
      <c r="AB97" s="203"/>
    </row>
    <row r="98" spans="1:28" x14ac:dyDescent="0.25">
      <c r="A98" s="7"/>
      <c r="B98" s="148"/>
      <c r="C98" s="150"/>
      <c r="D98" s="146"/>
      <c r="E98" s="146"/>
      <c r="F98" s="147"/>
      <c r="G98" s="169"/>
      <c r="H98" s="169"/>
      <c r="I98" s="169"/>
      <c r="J98" s="169"/>
      <c r="K98" s="169"/>
      <c r="L98" s="169"/>
      <c r="M98" s="169"/>
      <c r="N98" s="91"/>
      <c r="O98" s="170"/>
      <c r="P98" s="170"/>
      <c r="Q98" s="170"/>
      <c r="R98" s="219"/>
      <c r="S98" s="220"/>
      <c r="T98" s="220"/>
      <c r="U98" s="203"/>
      <c r="V98" s="205"/>
      <c r="W98" s="205"/>
      <c r="X98" s="205"/>
      <c r="Y98" s="205"/>
      <c r="Z98" s="210"/>
      <c r="AA98" s="211"/>
      <c r="AB98" s="203"/>
    </row>
    <row r="99" spans="1:28" x14ac:dyDescent="0.25">
      <c r="A99" s="7"/>
      <c r="B99" s="148"/>
      <c r="C99" s="150"/>
      <c r="D99" s="146"/>
      <c r="E99" s="146"/>
      <c r="F99" s="147"/>
      <c r="G99" s="169"/>
      <c r="H99" s="169"/>
      <c r="I99" s="169"/>
      <c r="J99" s="169"/>
      <c r="K99" s="169"/>
      <c r="L99" s="169"/>
      <c r="M99" s="169"/>
      <c r="N99" s="91"/>
      <c r="O99" s="170"/>
      <c r="P99" s="170"/>
      <c r="Q99" s="170"/>
      <c r="R99" s="219"/>
      <c r="S99" s="220"/>
      <c r="T99" s="220"/>
      <c r="U99" s="203"/>
      <c r="V99" s="205"/>
      <c r="W99" s="205"/>
      <c r="X99" s="205"/>
      <c r="Y99" s="205"/>
      <c r="Z99" s="210"/>
      <c r="AA99" s="211"/>
      <c r="AB99" s="203"/>
    </row>
    <row r="100" spans="1:28" x14ac:dyDescent="0.25">
      <c r="A100" s="7"/>
      <c r="B100" s="148"/>
      <c r="C100" s="150"/>
      <c r="D100" s="146"/>
      <c r="E100" s="146"/>
      <c r="F100" s="147"/>
      <c r="G100" s="169"/>
      <c r="H100" s="169"/>
      <c r="I100" s="169"/>
      <c r="J100" s="169"/>
      <c r="K100" s="169"/>
      <c r="L100" s="169"/>
      <c r="M100" s="169"/>
      <c r="N100" s="91"/>
      <c r="O100" s="170"/>
      <c r="P100" s="170"/>
      <c r="Q100" s="170"/>
      <c r="R100" s="219"/>
      <c r="S100" s="220"/>
      <c r="T100" s="220"/>
      <c r="U100" s="203"/>
      <c r="V100" s="205"/>
      <c r="W100" s="205"/>
      <c r="X100" s="205"/>
      <c r="Y100" s="205"/>
      <c r="Z100" s="210"/>
      <c r="AA100" s="211"/>
      <c r="AB100" s="203"/>
    </row>
    <row r="101" spans="1:28" x14ac:dyDescent="0.25">
      <c r="A101" s="7"/>
      <c r="B101" s="148"/>
      <c r="C101" s="150"/>
      <c r="D101" s="146"/>
      <c r="E101" s="146"/>
      <c r="F101" s="147"/>
      <c r="G101" s="169"/>
      <c r="H101" s="169"/>
      <c r="I101" s="169"/>
      <c r="J101" s="169"/>
      <c r="K101" s="169"/>
      <c r="L101" s="169"/>
      <c r="M101" s="169"/>
      <c r="N101" s="91"/>
      <c r="O101" s="170"/>
      <c r="P101" s="170"/>
      <c r="Q101" s="170"/>
      <c r="R101" s="219"/>
      <c r="S101" s="220"/>
      <c r="T101" s="220"/>
      <c r="U101" s="203"/>
      <c r="V101" s="205"/>
      <c r="W101" s="205"/>
      <c r="X101" s="205"/>
      <c r="Y101" s="205"/>
      <c r="Z101" s="210"/>
      <c r="AA101" s="211"/>
      <c r="AB101" s="203"/>
    </row>
    <row r="102" spans="1:28" x14ac:dyDescent="0.25">
      <c r="A102" s="7"/>
      <c r="B102" s="148"/>
      <c r="C102" s="150"/>
      <c r="D102" s="146"/>
      <c r="E102" s="146"/>
      <c r="F102" s="147"/>
      <c r="G102" s="169"/>
      <c r="H102" s="169"/>
      <c r="I102" s="169"/>
      <c r="J102" s="169"/>
      <c r="K102" s="169"/>
      <c r="L102" s="169"/>
      <c r="M102" s="169"/>
      <c r="N102" s="91"/>
      <c r="O102" s="170"/>
      <c r="P102" s="170"/>
      <c r="Q102" s="170"/>
      <c r="R102" s="219"/>
      <c r="S102" s="220"/>
      <c r="T102" s="220"/>
      <c r="U102" s="203"/>
      <c r="V102" s="205"/>
      <c r="W102" s="205"/>
      <c r="X102" s="205"/>
      <c r="Y102" s="205"/>
      <c r="Z102" s="210"/>
      <c r="AA102" s="211"/>
      <c r="AB102" s="203"/>
    </row>
    <row r="103" spans="1:28" x14ac:dyDescent="0.25">
      <c r="A103" s="7"/>
      <c r="B103" s="148"/>
      <c r="C103" s="150"/>
      <c r="D103" s="146"/>
      <c r="E103" s="146"/>
      <c r="F103" s="147"/>
      <c r="G103" s="169"/>
      <c r="H103" s="169"/>
      <c r="I103" s="169"/>
      <c r="J103" s="169"/>
      <c r="K103" s="169"/>
      <c r="L103" s="169"/>
      <c r="M103" s="169"/>
      <c r="N103" s="91"/>
      <c r="O103" s="170"/>
      <c r="P103" s="170"/>
      <c r="Q103" s="170"/>
      <c r="R103" s="219"/>
      <c r="S103" s="220"/>
      <c r="T103" s="220"/>
      <c r="U103" s="203"/>
      <c r="V103" s="205"/>
      <c r="W103" s="205"/>
      <c r="X103" s="205"/>
      <c r="Y103" s="205"/>
      <c r="Z103" s="210"/>
      <c r="AA103" s="211"/>
      <c r="AB103" s="203"/>
    </row>
    <row r="104" spans="1:28" x14ac:dyDescent="0.25">
      <c r="A104" s="7"/>
      <c r="B104" s="148"/>
      <c r="C104" s="150"/>
      <c r="D104" s="146"/>
      <c r="E104" s="146"/>
      <c r="F104" s="147"/>
      <c r="G104" s="169"/>
      <c r="H104" s="169"/>
      <c r="I104" s="169"/>
      <c r="J104" s="169"/>
      <c r="K104" s="169"/>
      <c r="L104" s="169"/>
      <c r="M104" s="169"/>
      <c r="N104" s="91"/>
      <c r="O104" s="170"/>
      <c r="P104" s="170"/>
      <c r="Q104" s="170"/>
      <c r="R104" s="219"/>
      <c r="S104" s="220"/>
      <c r="T104" s="220"/>
      <c r="U104" s="203"/>
      <c r="V104" s="205"/>
      <c r="W104" s="205"/>
      <c r="X104" s="205"/>
      <c r="Y104" s="205"/>
      <c r="Z104" s="210"/>
      <c r="AA104" s="211"/>
      <c r="AB104" s="203"/>
    </row>
    <row r="105" spans="1:28" x14ac:dyDescent="0.25">
      <c r="A105" s="7"/>
      <c r="B105" s="148"/>
      <c r="C105" s="150"/>
      <c r="D105" s="146"/>
      <c r="E105" s="146"/>
      <c r="F105" s="147"/>
      <c r="G105" s="169"/>
      <c r="H105" s="169"/>
      <c r="I105" s="169"/>
      <c r="J105" s="169"/>
      <c r="K105" s="169"/>
      <c r="L105" s="169"/>
      <c r="M105" s="169"/>
      <c r="N105" s="91"/>
      <c r="O105" s="170"/>
      <c r="P105" s="170"/>
      <c r="Q105" s="170"/>
      <c r="R105" s="219"/>
      <c r="S105" s="220"/>
      <c r="T105" s="220"/>
      <c r="U105" s="203"/>
      <c r="V105" s="205"/>
      <c r="W105" s="205"/>
      <c r="X105" s="205"/>
      <c r="Y105" s="205"/>
      <c r="Z105" s="210"/>
      <c r="AA105" s="211"/>
      <c r="AB105" s="203"/>
    </row>
    <row r="106" spans="1:28" x14ac:dyDescent="0.25">
      <c r="A106" s="7"/>
      <c r="B106" s="148"/>
      <c r="C106" s="150"/>
      <c r="D106" s="146"/>
      <c r="E106" s="146"/>
      <c r="F106" s="147"/>
      <c r="G106" s="169"/>
      <c r="H106" s="169"/>
      <c r="I106" s="169"/>
      <c r="J106" s="169"/>
      <c r="K106" s="169"/>
      <c r="L106" s="169"/>
      <c r="M106" s="169"/>
      <c r="N106" s="91"/>
      <c r="O106" s="170"/>
      <c r="P106" s="170"/>
      <c r="Q106" s="170"/>
      <c r="R106" s="219"/>
      <c r="S106" s="220"/>
      <c r="T106" s="220"/>
      <c r="U106" s="203"/>
      <c r="V106" s="205"/>
      <c r="W106" s="205"/>
      <c r="X106" s="205"/>
      <c r="Y106" s="205"/>
      <c r="Z106" s="210"/>
      <c r="AA106" s="211"/>
      <c r="AB106" s="203"/>
    </row>
    <row r="107" spans="1:28" x14ac:dyDescent="0.25">
      <c r="A107" s="7"/>
      <c r="B107" s="148"/>
      <c r="C107" s="150"/>
      <c r="D107" s="146"/>
      <c r="E107" s="146"/>
      <c r="F107" s="147"/>
      <c r="G107" s="169"/>
      <c r="H107" s="169"/>
      <c r="I107" s="169"/>
      <c r="J107" s="169"/>
      <c r="K107" s="169"/>
      <c r="L107" s="169"/>
      <c r="M107" s="169"/>
      <c r="N107" s="91"/>
      <c r="O107" s="170"/>
      <c r="P107" s="170"/>
      <c r="Q107" s="170"/>
      <c r="R107" s="219"/>
      <c r="S107" s="220"/>
      <c r="T107" s="220"/>
      <c r="U107" s="203"/>
      <c r="V107" s="205"/>
      <c r="W107" s="205"/>
      <c r="X107" s="205"/>
      <c r="Y107" s="205"/>
      <c r="Z107" s="210"/>
      <c r="AA107" s="211"/>
      <c r="AB107" s="203"/>
    </row>
    <row r="108" spans="1:28" x14ac:dyDescent="0.25">
      <c r="A108" s="7"/>
      <c r="B108" s="148"/>
      <c r="C108" s="150"/>
      <c r="D108" s="146"/>
      <c r="E108" s="146"/>
      <c r="F108" s="147"/>
      <c r="G108" s="169"/>
      <c r="H108" s="169"/>
      <c r="I108" s="169"/>
      <c r="J108" s="169"/>
      <c r="K108" s="169"/>
      <c r="L108" s="169"/>
      <c r="M108" s="169"/>
      <c r="N108" s="91"/>
      <c r="O108" s="170"/>
      <c r="P108" s="170"/>
      <c r="Q108" s="170"/>
      <c r="R108" s="219"/>
      <c r="S108" s="220"/>
      <c r="T108" s="220"/>
      <c r="U108" s="203"/>
      <c r="V108" s="205"/>
      <c r="W108" s="205"/>
      <c r="X108" s="205"/>
      <c r="Y108" s="205"/>
      <c r="Z108" s="210"/>
      <c r="AA108" s="211"/>
      <c r="AB108" s="203"/>
    </row>
    <row r="109" spans="1:28" x14ac:dyDescent="0.25">
      <c r="A109" s="7"/>
      <c r="B109" s="148"/>
      <c r="C109" s="150"/>
      <c r="D109" s="146"/>
      <c r="E109" s="146"/>
      <c r="F109" s="147"/>
      <c r="G109" s="169"/>
      <c r="H109" s="169"/>
      <c r="I109" s="169"/>
      <c r="J109" s="169"/>
      <c r="K109" s="169"/>
      <c r="L109" s="169"/>
      <c r="M109" s="169"/>
      <c r="N109" s="91"/>
      <c r="O109" s="170"/>
      <c r="P109" s="170"/>
      <c r="Q109" s="170"/>
      <c r="R109" s="219"/>
      <c r="S109" s="220"/>
      <c r="T109" s="220"/>
      <c r="U109" s="203"/>
      <c r="V109" s="205"/>
      <c r="W109" s="205"/>
      <c r="X109" s="205"/>
      <c r="Y109" s="205"/>
      <c r="Z109" s="210"/>
      <c r="AA109" s="211"/>
      <c r="AB109" s="203"/>
    </row>
    <row r="110" spans="1:28" x14ac:dyDescent="0.25">
      <c r="A110" s="7"/>
      <c r="B110" s="148"/>
      <c r="C110" s="150"/>
      <c r="D110" s="146"/>
      <c r="E110" s="146"/>
      <c r="F110" s="147"/>
      <c r="G110" s="169"/>
      <c r="H110" s="169"/>
      <c r="I110" s="169"/>
      <c r="J110" s="169"/>
      <c r="K110" s="169"/>
      <c r="L110" s="169"/>
      <c r="M110" s="169"/>
      <c r="N110" s="91"/>
      <c r="O110" s="170"/>
      <c r="P110" s="170"/>
      <c r="Q110" s="170"/>
      <c r="R110" s="219"/>
      <c r="S110" s="220"/>
      <c r="T110" s="220"/>
      <c r="U110" s="203"/>
      <c r="V110" s="205"/>
      <c r="W110" s="205"/>
      <c r="X110" s="205"/>
      <c r="Y110" s="205"/>
      <c r="Z110" s="210"/>
      <c r="AA110" s="211"/>
      <c r="AB110" s="203"/>
    </row>
    <row r="111" spans="1:28" x14ac:dyDescent="0.25">
      <c r="A111" s="7"/>
      <c r="B111" s="148"/>
      <c r="C111" s="150"/>
      <c r="D111" s="146"/>
      <c r="E111" s="146"/>
      <c r="F111" s="147"/>
      <c r="G111" s="169"/>
      <c r="H111" s="169"/>
      <c r="I111" s="169"/>
      <c r="J111" s="169"/>
      <c r="K111" s="169"/>
      <c r="L111" s="169"/>
      <c r="M111" s="169"/>
      <c r="N111" s="91"/>
      <c r="O111" s="170"/>
      <c r="P111" s="170"/>
      <c r="Q111" s="170"/>
      <c r="R111" s="219"/>
      <c r="S111" s="220"/>
      <c r="T111" s="220"/>
      <c r="U111" s="203"/>
      <c r="V111" s="205"/>
      <c r="W111" s="205"/>
      <c r="X111" s="205"/>
      <c r="Y111" s="205"/>
      <c r="Z111" s="210"/>
      <c r="AA111" s="211"/>
      <c r="AB111" s="203"/>
    </row>
    <row r="112" spans="1:28" x14ac:dyDescent="0.25">
      <c r="A112" s="7"/>
      <c r="B112" s="148"/>
      <c r="C112" s="150"/>
      <c r="D112" s="146"/>
      <c r="E112" s="146"/>
      <c r="F112" s="147"/>
      <c r="G112" s="169"/>
      <c r="H112" s="169"/>
      <c r="I112" s="169"/>
      <c r="J112" s="169"/>
      <c r="K112" s="169"/>
      <c r="L112" s="169"/>
      <c r="M112" s="169"/>
      <c r="N112" s="91"/>
      <c r="O112" s="170"/>
      <c r="P112" s="170"/>
      <c r="Q112" s="170"/>
      <c r="R112" s="219"/>
      <c r="S112" s="220"/>
      <c r="T112" s="220"/>
      <c r="U112" s="203"/>
      <c r="V112" s="205"/>
      <c r="W112" s="205"/>
      <c r="X112" s="205"/>
      <c r="Y112" s="205"/>
      <c r="Z112" s="210"/>
      <c r="AA112" s="211"/>
      <c r="AB112" s="203"/>
    </row>
    <row r="113" spans="1:28" x14ac:dyDescent="0.25">
      <c r="A113" s="7"/>
      <c r="B113" s="148"/>
      <c r="C113" s="150"/>
      <c r="D113" s="146"/>
      <c r="E113" s="146"/>
      <c r="F113" s="147"/>
      <c r="G113" s="169"/>
      <c r="H113" s="169"/>
      <c r="I113" s="169"/>
      <c r="J113" s="169"/>
      <c r="K113" s="169"/>
      <c r="L113" s="169"/>
      <c r="M113" s="169"/>
      <c r="N113" s="91"/>
      <c r="O113" s="170"/>
      <c r="P113" s="170"/>
      <c r="Q113" s="170"/>
      <c r="R113" s="219"/>
      <c r="S113" s="220"/>
      <c r="T113" s="220"/>
      <c r="U113" s="203"/>
      <c r="V113" s="205"/>
      <c r="W113" s="205"/>
      <c r="X113" s="205"/>
      <c r="Y113" s="205"/>
      <c r="Z113" s="210"/>
      <c r="AA113" s="211"/>
      <c r="AB113" s="203"/>
    </row>
    <row r="114" spans="1:28" x14ac:dyDescent="0.25">
      <c r="A114" s="7"/>
      <c r="B114" s="148"/>
      <c r="C114" s="150"/>
      <c r="D114" s="146"/>
      <c r="E114" s="146"/>
      <c r="F114" s="147"/>
      <c r="G114" s="169"/>
      <c r="H114" s="169"/>
      <c r="I114" s="169"/>
      <c r="J114" s="169"/>
      <c r="K114" s="169"/>
      <c r="L114" s="169"/>
      <c r="M114" s="169"/>
      <c r="N114" s="91"/>
      <c r="O114" s="170"/>
      <c r="P114" s="170"/>
      <c r="Q114" s="170"/>
      <c r="R114" s="219"/>
      <c r="S114" s="220"/>
      <c r="T114" s="220"/>
      <c r="U114" s="203"/>
      <c r="V114" s="205"/>
      <c r="W114" s="205"/>
      <c r="X114" s="205"/>
      <c r="Y114" s="205"/>
      <c r="Z114" s="210"/>
      <c r="AA114" s="211"/>
      <c r="AB114" s="203"/>
    </row>
    <row r="115" spans="1:28" x14ac:dyDescent="0.25">
      <c r="A115" s="7"/>
      <c r="B115" s="148"/>
      <c r="C115" s="150"/>
      <c r="D115" s="146"/>
      <c r="E115" s="146"/>
      <c r="F115" s="147"/>
      <c r="G115" s="169"/>
      <c r="H115" s="169"/>
      <c r="I115" s="169"/>
      <c r="J115" s="169"/>
      <c r="K115" s="169"/>
      <c r="L115" s="169"/>
      <c r="M115" s="169"/>
      <c r="N115" s="91"/>
      <c r="O115" s="170"/>
      <c r="P115" s="170"/>
      <c r="Q115" s="170"/>
      <c r="R115" s="219"/>
      <c r="S115" s="220"/>
      <c r="T115" s="220"/>
      <c r="U115" s="203"/>
      <c r="V115" s="205"/>
      <c r="W115" s="205"/>
      <c r="X115" s="205"/>
      <c r="Y115" s="205"/>
      <c r="Z115" s="210"/>
      <c r="AA115" s="211"/>
      <c r="AB115" s="203"/>
    </row>
    <row r="116" spans="1:28" x14ac:dyDescent="0.25">
      <c r="A116" s="7"/>
      <c r="B116" s="148"/>
      <c r="C116" s="150"/>
      <c r="D116" s="146"/>
      <c r="E116" s="146"/>
      <c r="F116" s="147"/>
      <c r="G116" s="169"/>
      <c r="H116" s="169"/>
      <c r="I116" s="169"/>
      <c r="J116" s="169"/>
      <c r="K116" s="169"/>
      <c r="L116" s="169"/>
      <c r="M116" s="169"/>
      <c r="N116" s="91"/>
      <c r="O116" s="170"/>
      <c r="P116" s="170"/>
      <c r="Q116" s="170"/>
      <c r="R116" s="219"/>
      <c r="S116" s="220"/>
      <c r="T116" s="220"/>
      <c r="U116" s="203"/>
      <c r="V116" s="205"/>
      <c r="W116" s="205"/>
      <c r="X116" s="205"/>
      <c r="Y116" s="205"/>
      <c r="Z116" s="210"/>
      <c r="AA116" s="211"/>
      <c r="AB116" s="203"/>
    </row>
    <row r="117" spans="1:28" x14ac:dyDescent="0.25">
      <c r="A117" s="7"/>
      <c r="B117" s="148"/>
      <c r="C117" s="150"/>
      <c r="D117" s="146"/>
      <c r="E117" s="146"/>
      <c r="F117" s="147"/>
      <c r="G117" s="169"/>
      <c r="H117" s="169"/>
      <c r="I117" s="169"/>
      <c r="J117" s="169"/>
      <c r="K117" s="169"/>
      <c r="L117" s="169"/>
      <c r="M117" s="169"/>
      <c r="N117" s="91"/>
      <c r="O117" s="170"/>
      <c r="P117" s="170"/>
      <c r="Q117" s="170"/>
      <c r="R117" s="219"/>
      <c r="S117" s="220"/>
      <c r="T117" s="220"/>
      <c r="U117" s="203"/>
      <c r="V117" s="205"/>
      <c r="W117" s="205"/>
      <c r="X117" s="205"/>
      <c r="Y117" s="205"/>
      <c r="Z117" s="210"/>
      <c r="AA117" s="211"/>
      <c r="AB117" s="203"/>
    </row>
    <row r="118" spans="1:28" x14ac:dyDescent="0.25">
      <c r="A118" s="7"/>
      <c r="B118" s="148"/>
      <c r="C118" s="150"/>
      <c r="D118" s="146"/>
      <c r="E118" s="146"/>
      <c r="F118" s="147"/>
      <c r="G118" s="169"/>
      <c r="H118" s="169"/>
      <c r="I118" s="169"/>
      <c r="J118" s="169"/>
      <c r="K118" s="169"/>
      <c r="L118" s="169"/>
      <c r="M118" s="169"/>
      <c r="N118" s="91"/>
      <c r="O118" s="170"/>
      <c r="P118" s="170"/>
      <c r="Q118" s="170"/>
      <c r="R118" s="219"/>
      <c r="S118" s="220"/>
      <c r="T118" s="220"/>
      <c r="U118" s="203"/>
      <c r="V118" s="205"/>
      <c r="W118" s="205"/>
      <c r="X118" s="205"/>
      <c r="Y118" s="205"/>
      <c r="Z118" s="210"/>
      <c r="AA118" s="211"/>
      <c r="AB118" s="203"/>
    </row>
    <row r="119" spans="1:28" x14ac:dyDescent="0.25">
      <c r="A119" s="7"/>
      <c r="B119" s="148"/>
      <c r="C119" s="150"/>
      <c r="D119" s="146"/>
      <c r="E119" s="146"/>
      <c r="F119" s="147"/>
      <c r="G119" s="169"/>
      <c r="H119" s="169"/>
      <c r="I119" s="169"/>
      <c r="J119" s="169"/>
      <c r="K119" s="169"/>
      <c r="L119" s="169"/>
      <c r="M119" s="169"/>
      <c r="N119" s="91"/>
      <c r="O119" s="170"/>
      <c r="P119" s="170"/>
      <c r="Q119" s="170"/>
      <c r="R119" s="219"/>
      <c r="S119" s="220"/>
      <c r="T119" s="220"/>
      <c r="U119" s="203"/>
      <c r="V119" s="205"/>
      <c r="W119" s="205"/>
      <c r="X119" s="205"/>
      <c r="Y119" s="205"/>
      <c r="Z119" s="210"/>
      <c r="AA119" s="211"/>
      <c r="AB119" s="203"/>
    </row>
    <row r="120" spans="1:28" x14ac:dyDescent="0.25">
      <c r="A120" s="7"/>
      <c r="B120" s="148"/>
      <c r="C120" s="150"/>
      <c r="D120" s="146"/>
      <c r="E120" s="146"/>
      <c r="F120" s="147"/>
      <c r="G120" s="169"/>
      <c r="H120" s="169"/>
      <c r="I120" s="169"/>
      <c r="J120" s="169"/>
      <c r="K120" s="169"/>
      <c r="L120" s="169"/>
      <c r="M120" s="169"/>
      <c r="N120" s="91"/>
      <c r="O120" s="170"/>
      <c r="P120" s="170"/>
      <c r="Q120" s="170"/>
      <c r="R120" s="219"/>
      <c r="S120" s="220"/>
      <c r="T120" s="220"/>
      <c r="U120" s="203"/>
      <c r="V120" s="205"/>
      <c r="W120" s="205"/>
      <c r="X120" s="205"/>
      <c r="Y120" s="205"/>
      <c r="Z120" s="210"/>
      <c r="AA120" s="211"/>
      <c r="AB120" s="203"/>
    </row>
    <row r="121" spans="1:28" x14ac:dyDescent="0.25">
      <c r="A121" s="7"/>
      <c r="B121" s="148"/>
      <c r="C121" s="150"/>
      <c r="D121" s="146"/>
      <c r="E121" s="146"/>
      <c r="F121" s="147"/>
      <c r="G121" s="169"/>
      <c r="H121" s="169"/>
      <c r="I121" s="169"/>
      <c r="J121" s="169"/>
      <c r="K121" s="169"/>
      <c r="L121" s="169"/>
      <c r="M121" s="169"/>
      <c r="N121" s="91"/>
      <c r="O121" s="170"/>
      <c r="P121" s="170"/>
      <c r="Q121" s="170"/>
      <c r="R121" s="219"/>
      <c r="S121" s="220"/>
      <c r="T121" s="220"/>
      <c r="U121" s="203"/>
      <c r="V121" s="205"/>
      <c r="W121" s="205"/>
      <c r="X121" s="205"/>
      <c r="Y121" s="205"/>
      <c r="Z121" s="210"/>
      <c r="AA121" s="211"/>
      <c r="AB121" s="203"/>
    </row>
    <row r="122" spans="1:28" x14ac:dyDescent="0.25">
      <c r="A122" s="7"/>
      <c r="B122" s="148"/>
      <c r="C122" s="150"/>
      <c r="D122" s="146"/>
      <c r="E122" s="146"/>
      <c r="F122" s="147"/>
      <c r="G122" s="169"/>
      <c r="H122" s="169"/>
      <c r="I122" s="169"/>
      <c r="J122" s="169"/>
      <c r="K122" s="169"/>
      <c r="L122" s="169"/>
      <c r="M122" s="169"/>
      <c r="N122" s="91"/>
      <c r="O122" s="170"/>
      <c r="P122" s="170"/>
      <c r="Q122" s="170"/>
      <c r="R122" s="219"/>
      <c r="S122" s="220"/>
      <c r="T122" s="220"/>
      <c r="U122" s="203"/>
      <c r="V122" s="205"/>
      <c r="W122" s="205"/>
      <c r="X122" s="205"/>
      <c r="Y122" s="205"/>
      <c r="Z122" s="210"/>
      <c r="AA122" s="211"/>
      <c r="AB122" s="203"/>
    </row>
    <row r="123" spans="1:28" x14ac:dyDescent="0.25">
      <c r="A123" s="7"/>
      <c r="B123" s="148"/>
      <c r="C123" s="150"/>
      <c r="D123" s="146"/>
      <c r="E123" s="146"/>
      <c r="F123" s="147"/>
      <c r="G123" s="169"/>
      <c r="H123" s="169"/>
      <c r="I123" s="169"/>
      <c r="J123" s="169"/>
      <c r="K123" s="169"/>
      <c r="L123" s="169"/>
      <c r="M123" s="169"/>
      <c r="N123" s="91"/>
      <c r="O123" s="170"/>
      <c r="P123" s="170"/>
      <c r="Q123" s="170"/>
      <c r="R123" s="219"/>
      <c r="S123" s="220"/>
      <c r="T123" s="220"/>
      <c r="U123" s="203"/>
      <c r="V123" s="205"/>
      <c r="W123" s="205"/>
      <c r="X123" s="205"/>
      <c r="Y123" s="205"/>
      <c r="Z123" s="210"/>
      <c r="AA123" s="211"/>
      <c r="AB123" s="203"/>
    </row>
    <row r="124" spans="1:28" x14ac:dyDescent="0.25">
      <c r="A124" s="7"/>
      <c r="B124" s="148"/>
      <c r="C124" s="150"/>
      <c r="D124" s="146"/>
      <c r="E124" s="146"/>
      <c r="F124" s="147"/>
      <c r="G124" s="169"/>
      <c r="H124" s="169"/>
      <c r="I124" s="169"/>
      <c r="J124" s="169"/>
      <c r="K124" s="169"/>
      <c r="L124" s="169"/>
      <c r="M124" s="169"/>
      <c r="N124" s="91"/>
      <c r="O124" s="170"/>
      <c r="P124" s="170"/>
      <c r="Q124" s="170"/>
      <c r="R124" s="219"/>
      <c r="S124" s="220"/>
      <c r="T124" s="220"/>
      <c r="U124" s="203"/>
      <c r="V124" s="205"/>
      <c r="W124" s="205"/>
      <c r="X124" s="205"/>
      <c r="Y124" s="205"/>
      <c r="Z124" s="210"/>
      <c r="AA124" s="211"/>
      <c r="AB124" s="203"/>
    </row>
    <row r="125" spans="1:28" x14ac:dyDescent="0.25">
      <c r="A125" s="7"/>
      <c r="B125" s="148"/>
      <c r="C125" s="150"/>
      <c r="D125" s="146"/>
      <c r="E125" s="146"/>
      <c r="F125" s="147"/>
      <c r="G125" s="169"/>
      <c r="H125" s="169"/>
      <c r="I125" s="169"/>
      <c r="J125" s="169"/>
      <c r="K125" s="169"/>
      <c r="L125" s="169"/>
      <c r="M125" s="169"/>
      <c r="N125" s="91"/>
      <c r="O125" s="170"/>
      <c r="P125" s="170"/>
      <c r="Q125" s="170"/>
      <c r="R125" s="219"/>
      <c r="S125" s="220"/>
      <c r="T125" s="220"/>
      <c r="U125" s="203"/>
      <c r="V125" s="205"/>
      <c r="W125" s="205"/>
      <c r="X125" s="205"/>
      <c r="Y125" s="205"/>
      <c r="Z125" s="210"/>
      <c r="AA125" s="211"/>
      <c r="AB125" s="203"/>
    </row>
    <row r="126" spans="1:28" x14ac:dyDescent="0.25">
      <c r="A126" s="7"/>
      <c r="B126" s="148"/>
      <c r="C126" s="150"/>
      <c r="D126" s="146"/>
      <c r="E126" s="146"/>
      <c r="F126" s="147"/>
      <c r="G126" s="169"/>
      <c r="H126" s="169"/>
      <c r="I126" s="169"/>
      <c r="J126" s="169"/>
      <c r="K126" s="169"/>
      <c r="L126" s="169"/>
      <c r="M126" s="169"/>
      <c r="N126" s="91"/>
      <c r="O126" s="170"/>
      <c r="P126" s="170"/>
      <c r="Q126" s="170"/>
      <c r="R126" s="219"/>
      <c r="S126" s="220"/>
      <c r="T126" s="220"/>
      <c r="U126" s="203"/>
      <c r="V126" s="205"/>
      <c r="W126" s="205"/>
      <c r="X126" s="205"/>
      <c r="Y126" s="205"/>
      <c r="Z126" s="210"/>
      <c r="AA126" s="211"/>
      <c r="AB126" s="203"/>
    </row>
    <row r="127" spans="1:28" x14ac:dyDescent="0.25">
      <c r="A127" s="7"/>
      <c r="B127" s="148"/>
      <c r="C127" s="150"/>
      <c r="D127" s="146"/>
      <c r="E127" s="146"/>
      <c r="F127" s="147"/>
      <c r="G127" s="169"/>
      <c r="H127" s="169"/>
      <c r="I127" s="169"/>
      <c r="J127" s="169"/>
      <c r="K127" s="169"/>
      <c r="L127" s="169"/>
      <c r="M127" s="169"/>
      <c r="N127" s="91"/>
      <c r="O127" s="170"/>
      <c r="P127" s="170"/>
      <c r="Q127" s="170"/>
      <c r="R127" s="219"/>
      <c r="S127" s="220"/>
      <c r="T127" s="220"/>
      <c r="U127" s="203"/>
      <c r="V127" s="205"/>
      <c r="W127" s="205"/>
      <c r="X127" s="205"/>
      <c r="Y127" s="205"/>
      <c r="Z127" s="210"/>
      <c r="AA127" s="211"/>
      <c r="AB127" s="203"/>
    </row>
    <row r="128" spans="1:28" x14ac:dyDescent="0.25">
      <c r="A128" s="7"/>
      <c r="B128" s="148"/>
      <c r="C128" s="150"/>
      <c r="D128" s="146"/>
      <c r="E128" s="146"/>
      <c r="F128" s="147"/>
      <c r="G128" s="169"/>
      <c r="H128" s="169"/>
      <c r="I128" s="169"/>
      <c r="J128" s="169"/>
      <c r="K128" s="169"/>
      <c r="L128" s="169"/>
      <c r="M128" s="169"/>
      <c r="N128" s="91"/>
      <c r="O128" s="170"/>
      <c r="P128" s="170"/>
      <c r="Q128" s="170"/>
      <c r="R128" s="219"/>
      <c r="S128" s="220"/>
      <c r="T128" s="220"/>
      <c r="U128" s="203"/>
      <c r="V128" s="205"/>
      <c r="W128" s="205"/>
      <c r="X128" s="205"/>
      <c r="Y128" s="205"/>
      <c r="Z128" s="210"/>
      <c r="AA128" s="211"/>
      <c r="AB128" s="203"/>
    </row>
    <row r="129" spans="1:28" x14ac:dyDescent="0.25">
      <c r="A129" s="7"/>
      <c r="B129" s="148"/>
      <c r="C129" s="150"/>
      <c r="D129" s="146"/>
      <c r="E129" s="146"/>
      <c r="F129" s="147"/>
      <c r="G129" s="169"/>
      <c r="H129" s="169"/>
      <c r="I129" s="169"/>
      <c r="J129" s="169"/>
      <c r="K129" s="169"/>
      <c r="L129" s="169"/>
      <c r="M129" s="169"/>
      <c r="N129" s="91"/>
      <c r="O129" s="170"/>
      <c r="P129" s="170"/>
      <c r="Q129" s="170"/>
      <c r="R129" s="219"/>
      <c r="S129" s="220"/>
      <c r="T129" s="220"/>
      <c r="U129" s="203"/>
      <c r="V129" s="205"/>
      <c r="W129" s="205"/>
      <c r="X129" s="205"/>
      <c r="Y129" s="205"/>
      <c r="Z129" s="210"/>
      <c r="AA129" s="211"/>
      <c r="AB129" s="203"/>
    </row>
    <row r="130" spans="1:28" x14ac:dyDescent="0.25">
      <c r="A130" s="7"/>
      <c r="B130" s="148"/>
      <c r="C130" s="150"/>
      <c r="D130" s="146"/>
      <c r="E130" s="146"/>
      <c r="F130" s="147"/>
      <c r="G130" s="169"/>
      <c r="H130" s="169"/>
      <c r="I130" s="169"/>
      <c r="J130" s="169"/>
      <c r="K130" s="169"/>
      <c r="L130" s="169"/>
      <c r="M130" s="169"/>
      <c r="N130" s="91"/>
      <c r="O130" s="170"/>
      <c r="P130" s="170"/>
      <c r="Q130" s="170"/>
      <c r="R130" s="219"/>
      <c r="S130" s="220"/>
      <c r="T130" s="220"/>
      <c r="U130" s="203"/>
      <c r="V130" s="205"/>
      <c r="W130" s="205"/>
      <c r="X130" s="205"/>
      <c r="Y130" s="205"/>
      <c r="Z130" s="210"/>
      <c r="AA130" s="211"/>
      <c r="AB130" s="203"/>
    </row>
    <row r="131" spans="1:28" x14ac:dyDescent="0.25">
      <c r="A131" s="7"/>
      <c r="B131" s="148"/>
      <c r="C131" s="150"/>
      <c r="D131" s="146"/>
      <c r="E131" s="146"/>
      <c r="F131" s="147"/>
      <c r="G131" s="169"/>
      <c r="H131" s="169"/>
      <c r="I131" s="169"/>
      <c r="J131" s="169"/>
      <c r="K131" s="169"/>
      <c r="L131" s="169"/>
      <c r="M131" s="169"/>
      <c r="N131" s="91"/>
      <c r="O131" s="170"/>
      <c r="P131" s="170"/>
      <c r="Q131" s="170"/>
      <c r="R131" s="219"/>
      <c r="S131" s="220"/>
      <c r="T131" s="220"/>
      <c r="U131" s="203"/>
      <c r="V131" s="205"/>
      <c r="W131" s="205"/>
      <c r="X131" s="205"/>
      <c r="Y131" s="205"/>
      <c r="Z131" s="210"/>
      <c r="AA131" s="211"/>
      <c r="AB131" s="203"/>
    </row>
    <row r="132" spans="1:28" x14ac:dyDescent="0.25">
      <c r="A132" s="7"/>
      <c r="B132" s="148"/>
      <c r="C132" s="150"/>
      <c r="D132" s="146"/>
      <c r="E132" s="146"/>
      <c r="F132" s="147"/>
      <c r="G132" s="169"/>
      <c r="H132" s="169"/>
      <c r="I132" s="169"/>
      <c r="J132" s="169"/>
      <c r="K132" s="169"/>
      <c r="L132" s="169"/>
      <c r="M132" s="169"/>
      <c r="N132" s="91"/>
      <c r="O132" s="170"/>
      <c r="P132" s="170"/>
      <c r="Q132" s="170"/>
      <c r="R132" s="219"/>
      <c r="S132" s="220"/>
      <c r="T132" s="220"/>
      <c r="U132" s="203"/>
      <c r="V132" s="205"/>
      <c r="W132" s="205"/>
      <c r="X132" s="205"/>
      <c r="Y132" s="205"/>
      <c r="Z132" s="210"/>
      <c r="AA132" s="211"/>
      <c r="AB132" s="203"/>
    </row>
    <row r="133" spans="1:28" x14ac:dyDescent="0.25">
      <c r="A133" s="7"/>
      <c r="B133" s="148"/>
      <c r="C133" s="150"/>
      <c r="D133" s="146"/>
      <c r="E133" s="146"/>
      <c r="F133" s="147"/>
      <c r="G133" s="169"/>
      <c r="H133" s="169"/>
      <c r="I133" s="169"/>
      <c r="J133" s="169"/>
      <c r="K133" s="169"/>
      <c r="L133" s="169"/>
      <c r="M133" s="169"/>
      <c r="N133" s="91"/>
      <c r="O133" s="170"/>
      <c r="P133" s="170"/>
      <c r="Q133" s="170"/>
      <c r="R133" s="219"/>
      <c r="S133" s="220"/>
      <c r="T133" s="220"/>
      <c r="U133" s="203"/>
      <c r="V133" s="205"/>
      <c r="W133" s="205"/>
      <c r="X133" s="205"/>
      <c r="Y133" s="205"/>
      <c r="Z133" s="210"/>
      <c r="AA133" s="211"/>
      <c r="AB133" s="203"/>
    </row>
    <row r="134" spans="1:28" x14ac:dyDescent="0.25">
      <c r="A134" s="7"/>
      <c r="B134" s="148"/>
      <c r="C134" s="150"/>
      <c r="D134" s="146"/>
      <c r="E134" s="146"/>
      <c r="F134" s="147"/>
      <c r="G134" s="169"/>
      <c r="H134" s="169"/>
      <c r="I134" s="169"/>
      <c r="J134" s="169"/>
      <c r="K134" s="169"/>
      <c r="L134" s="169"/>
      <c r="M134" s="169"/>
      <c r="N134" s="91"/>
      <c r="O134" s="170"/>
      <c r="P134" s="170"/>
      <c r="Q134" s="170"/>
      <c r="R134" s="219"/>
      <c r="S134" s="220"/>
      <c r="T134" s="220"/>
      <c r="U134" s="203"/>
      <c r="V134" s="205"/>
      <c r="W134" s="205"/>
      <c r="X134" s="205"/>
      <c r="Y134" s="205"/>
      <c r="Z134" s="210"/>
      <c r="AA134" s="211"/>
      <c r="AB134" s="203"/>
    </row>
    <row r="135" spans="1:28" x14ac:dyDescent="0.25">
      <c r="A135" s="7"/>
      <c r="B135" s="148"/>
      <c r="C135" s="150"/>
      <c r="D135" s="146"/>
      <c r="E135" s="146"/>
      <c r="F135" s="147"/>
      <c r="G135" s="169"/>
      <c r="H135" s="169"/>
      <c r="I135" s="169"/>
      <c r="J135" s="169"/>
      <c r="K135" s="169"/>
      <c r="L135" s="169"/>
      <c r="M135" s="169"/>
      <c r="N135" s="91"/>
      <c r="O135" s="170"/>
      <c r="P135" s="170"/>
      <c r="Q135" s="170"/>
      <c r="R135" s="219"/>
      <c r="S135" s="220"/>
      <c r="T135" s="220"/>
      <c r="U135" s="203"/>
      <c r="V135" s="205"/>
      <c r="W135" s="205"/>
      <c r="X135" s="205"/>
      <c r="Y135" s="205"/>
      <c r="Z135" s="210"/>
      <c r="AA135" s="211"/>
      <c r="AB135" s="203"/>
    </row>
    <row r="136" spans="1:28" x14ac:dyDescent="0.25">
      <c r="A136" s="7"/>
      <c r="B136" s="148"/>
      <c r="C136" s="150"/>
      <c r="D136" s="146"/>
      <c r="E136" s="146"/>
      <c r="F136" s="147"/>
      <c r="G136" s="169"/>
      <c r="H136" s="169"/>
      <c r="I136" s="169"/>
      <c r="J136" s="169"/>
      <c r="K136" s="169"/>
      <c r="L136" s="169"/>
      <c r="M136" s="169"/>
      <c r="N136" s="91"/>
      <c r="O136" s="170"/>
      <c r="P136" s="170"/>
      <c r="Q136" s="170"/>
      <c r="R136" s="219"/>
      <c r="S136" s="220"/>
      <c r="T136" s="220"/>
      <c r="U136" s="203"/>
      <c r="V136" s="205"/>
      <c r="W136" s="205"/>
      <c r="X136" s="205"/>
      <c r="Y136" s="205"/>
      <c r="Z136" s="210"/>
      <c r="AA136" s="211"/>
      <c r="AB136" s="203"/>
    </row>
    <row r="137" spans="1:28" x14ac:dyDescent="0.25">
      <c r="A137" s="7"/>
      <c r="B137" s="148"/>
      <c r="C137" s="150"/>
      <c r="D137" s="146"/>
      <c r="E137" s="146"/>
      <c r="F137" s="147"/>
      <c r="G137" s="169"/>
      <c r="H137" s="169"/>
      <c r="I137" s="169"/>
      <c r="J137" s="169"/>
      <c r="K137" s="169"/>
      <c r="L137" s="169"/>
      <c r="M137" s="169"/>
      <c r="N137" s="91"/>
      <c r="O137" s="170"/>
      <c r="P137" s="170"/>
      <c r="Q137" s="170"/>
      <c r="R137" s="219"/>
      <c r="S137" s="220"/>
      <c r="T137" s="220"/>
      <c r="U137" s="203"/>
      <c r="V137" s="205"/>
      <c r="W137" s="205"/>
      <c r="X137" s="205"/>
      <c r="Y137" s="205"/>
      <c r="Z137" s="210"/>
      <c r="AA137" s="211"/>
      <c r="AB137" s="203"/>
    </row>
    <row r="138" spans="1:28" x14ac:dyDescent="0.25">
      <c r="A138" s="7"/>
      <c r="B138" s="148"/>
      <c r="C138" s="150"/>
      <c r="D138" s="146"/>
      <c r="E138" s="146"/>
      <c r="F138" s="147"/>
      <c r="G138" s="169"/>
      <c r="H138" s="169"/>
      <c r="I138" s="169"/>
      <c r="J138" s="169"/>
      <c r="K138" s="169"/>
      <c r="L138" s="169"/>
      <c r="M138" s="169"/>
      <c r="N138" s="91"/>
      <c r="O138" s="170"/>
      <c r="P138" s="170"/>
      <c r="Q138" s="170"/>
      <c r="R138" s="219"/>
      <c r="S138" s="220"/>
      <c r="T138" s="220"/>
      <c r="U138" s="203"/>
      <c r="V138" s="205"/>
      <c r="W138" s="205"/>
      <c r="X138" s="205"/>
      <c r="Y138" s="205"/>
      <c r="Z138" s="210"/>
      <c r="AA138" s="211"/>
      <c r="AB138" s="203"/>
    </row>
    <row r="139" spans="1:28" x14ac:dyDescent="0.25">
      <c r="A139" s="7"/>
      <c r="B139" s="148"/>
      <c r="C139" s="150"/>
      <c r="D139" s="146"/>
      <c r="E139" s="146"/>
      <c r="F139" s="147"/>
      <c r="G139" s="169"/>
      <c r="H139" s="169"/>
      <c r="I139" s="169"/>
      <c r="J139" s="169"/>
      <c r="K139" s="169"/>
      <c r="L139" s="169"/>
      <c r="M139" s="169"/>
      <c r="N139" s="91"/>
      <c r="O139" s="170"/>
      <c r="P139" s="170"/>
      <c r="Q139" s="170"/>
      <c r="R139" s="219"/>
      <c r="S139" s="220"/>
      <c r="T139" s="220"/>
      <c r="U139" s="203"/>
      <c r="V139" s="205"/>
      <c r="W139" s="205"/>
      <c r="X139" s="205"/>
      <c r="Y139" s="205"/>
      <c r="Z139" s="210"/>
      <c r="AA139" s="211"/>
      <c r="AB139" s="203"/>
    </row>
    <row r="140" spans="1:28" x14ac:dyDescent="0.25">
      <c r="A140" s="7"/>
      <c r="B140" s="148"/>
      <c r="C140" s="150"/>
      <c r="D140" s="146"/>
      <c r="E140" s="146"/>
      <c r="F140" s="147"/>
      <c r="G140" s="169"/>
      <c r="H140" s="169"/>
      <c r="I140" s="169"/>
      <c r="J140" s="169"/>
      <c r="K140" s="169"/>
      <c r="L140" s="169"/>
      <c r="M140" s="169"/>
      <c r="N140" s="91"/>
      <c r="O140" s="170"/>
      <c r="P140" s="170"/>
      <c r="Q140" s="170"/>
      <c r="R140" s="219"/>
      <c r="S140" s="220"/>
      <c r="T140" s="220"/>
      <c r="U140" s="203"/>
      <c r="V140" s="205"/>
      <c r="W140" s="205"/>
      <c r="X140" s="205"/>
      <c r="Y140" s="205"/>
      <c r="Z140" s="210"/>
      <c r="AA140" s="211"/>
      <c r="AB140" s="203"/>
    </row>
    <row r="141" spans="1:28" x14ac:dyDescent="0.25">
      <c r="A141" s="7"/>
      <c r="B141" s="148"/>
      <c r="C141" s="150"/>
      <c r="D141" s="146"/>
      <c r="E141" s="146"/>
      <c r="F141" s="147"/>
      <c r="G141" s="169"/>
      <c r="H141" s="169"/>
      <c r="I141" s="169"/>
      <c r="J141" s="169"/>
      <c r="K141" s="169"/>
      <c r="L141" s="169"/>
      <c r="M141" s="169"/>
      <c r="N141" s="91"/>
      <c r="O141" s="170"/>
      <c r="P141" s="170"/>
      <c r="Q141" s="170"/>
      <c r="R141" s="219"/>
      <c r="S141" s="220"/>
      <c r="T141" s="220"/>
      <c r="U141" s="203"/>
      <c r="V141" s="205"/>
      <c r="W141" s="205"/>
      <c r="X141" s="205"/>
      <c r="Y141" s="205"/>
      <c r="Z141" s="210"/>
      <c r="AA141" s="211"/>
      <c r="AB141" s="203"/>
    </row>
    <row r="142" spans="1:28" x14ac:dyDescent="0.25">
      <c r="A142" s="7"/>
      <c r="B142" s="148"/>
      <c r="C142" s="150"/>
      <c r="D142" s="146"/>
      <c r="E142" s="146"/>
      <c r="F142" s="147"/>
      <c r="G142" s="169"/>
      <c r="H142" s="169"/>
      <c r="I142" s="169"/>
      <c r="J142" s="169"/>
      <c r="K142" s="169"/>
      <c r="L142" s="169"/>
      <c r="M142" s="169"/>
      <c r="N142" s="91"/>
      <c r="O142" s="170"/>
      <c r="P142" s="170"/>
      <c r="Q142" s="170"/>
      <c r="R142" s="219"/>
      <c r="S142" s="220"/>
      <c r="T142" s="220"/>
      <c r="U142" s="203"/>
      <c r="V142" s="205"/>
      <c r="W142" s="205"/>
      <c r="X142" s="205"/>
      <c r="Y142" s="205"/>
      <c r="Z142" s="210"/>
      <c r="AA142" s="211"/>
      <c r="AB142" s="203"/>
    </row>
    <row r="143" spans="1:28" x14ac:dyDescent="0.25">
      <c r="A143" s="7"/>
      <c r="B143" s="148"/>
      <c r="C143" s="150"/>
      <c r="D143" s="146"/>
      <c r="E143" s="146"/>
      <c r="F143" s="147"/>
      <c r="G143" s="169"/>
      <c r="H143" s="169"/>
      <c r="I143" s="169"/>
      <c r="J143" s="169"/>
      <c r="K143" s="169"/>
      <c r="L143" s="169"/>
      <c r="M143" s="169"/>
      <c r="N143" s="91"/>
      <c r="O143" s="170"/>
      <c r="P143" s="170"/>
      <c r="Q143" s="170"/>
      <c r="R143" s="219"/>
      <c r="S143" s="220"/>
      <c r="T143" s="220"/>
      <c r="U143" s="203"/>
      <c r="V143" s="205"/>
      <c r="W143" s="205"/>
      <c r="X143" s="205"/>
      <c r="Y143" s="205"/>
      <c r="Z143" s="210"/>
      <c r="AA143" s="211"/>
      <c r="AB143" s="203"/>
    </row>
    <row r="144" spans="1:28" x14ac:dyDescent="0.25">
      <c r="A144" s="7"/>
      <c r="B144" s="148"/>
      <c r="C144" s="150"/>
      <c r="D144" s="146"/>
      <c r="E144" s="146"/>
      <c r="F144" s="147"/>
      <c r="G144" s="169"/>
      <c r="H144" s="169"/>
      <c r="I144" s="169"/>
      <c r="J144" s="169"/>
      <c r="K144" s="169"/>
      <c r="L144" s="169"/>
      <c r="M144" s="169"/>
      <c r="N144" s="91"/>
      <c r="O144" s="170"/>
      <c r="P144" s="170"/>
      <c r="Q144" s="170"/>
      <c r="R144" s="219"/>
      <c r="S144" s="220"/>
      <c r="T144" s="220"/>
      <c r="U144" s="203"/>
      <c r="V144" s="205"/>
      <c r="W144" s="205"/>
      <c r="X144" s="205"/>
      <c r="Y144" s="205"/>
      <c r="Z144" s="210"/>
      <c r="AA144" s="211"/>
      <c r="AB144" s="203"/>
    </row>
    <row r="145" spans="1:28" x14ac:dyDescent="0.25">
      <c r="A145" s="7"/>
      <c r="B145" s="148"/>
      <c r="C145" s="150"/>
      <c r="D145" s="146"/>
      <c r="E145" s="146"/>
      <c r="F145" s="147"/>
      <c r="G145" s="169"/>
      <c r="H145" s="169"/>
      <c r="I145" s="169"/>
      <c r="J145" s="169"/>
      <c r="K145" s="169"/>
      <c r="L145" s="169"/>
      <c r="M145" s="169"/>
      <c r="N145" s="91"/>
      <c r="O145" s="170"/>
      <c r="P145" s="170"/>
      <c r="Q145" s="170"/>
      <c r="R145" s="219"/>
      <c r="S145" s="220"/>
      <c r="T145" s="220"/>
      <c r="U145" s="203"/>
      <c r="V145" s="205"/>
      <c r="W145" s="205"/>
      <c r="X145" s="205"/>
      <c r="Y145" s="205"/>
      <c r="Z145" s="210"/>
      <c r="AA145" s="211"/>
      <c r="AB145" s="203"/>
    </row>
    <row r="146" spans="1:28" x14ac:dyDescent="0.25">
      <c r="A146" s="7"/>
      <c r="B146" s="148"/>
      <c r="C146" s="150"/>
      <c r="D146" s="146"/>
      <c r="E146" s="146"/>
      <c r="F146" s="147"/>
      <c r="G146" s="169"/>
      <c r="H146" s="169"/>
      <c r="I146" s="169"/>
      <c r="J146" s="169"/>
      <c r="K146" s="169"/>
      <c r="L146" s="169"/>
      <c r="M146" s="169"/>
      <c r="N146" s="91"/>
      <c r="O146" s="170"/>
      <c r="P146" s="170"/>
      <c r="Q146" s="170"/>
      <c r="R146" s="219"/>
      <c r="S146" s="220"/>
      <c r="T146" s="220"/>
      <c r="U146" s="203"/>
      <c r="V146" s="205"/>
      <c r="W146" s="205"/>
      <c r="X146" s="205"/>
      <c r="Y146" s="205"/>
      <c r="Z146" s="210"/>
      <c r="AA146" s="211"/>
      <c r="AB146" s="203"/>
    </row>
    <row r="147" spans="1:28" x14ac:dyDescent="0.25">
      <c r="A147" s="7"/>
      <c r="B147" s="148"/>
      <c r="C147" s="150"/>
      <c r="D147" s="146"/>
      <c r="E147" s="146"/>
      <c r="F147" s="147"/>
      <c r="G147" s="169"/>
      <c r="H147" s="169"/>
      <c r="I147" s="169"/>
      <c r="J147" s="169"/>
      <c r="K147" s="169"/>
      <c r="L147" s="169"/>
      <c r="M147" s="169"/>
      <c r="N147" s="91"/>
      <c r="O147" s="170"/>
      <c r="P147" s="170"/>
      <c r="Q147" s="170"/>
      <c r="R147" s="219"/>
      <c r="S147" s="220"/>
      <c r="T147" s="220"/>
      <c r="U147" s="203"/>
      <c r="V147" s="205"/>
      <c r="W147" s="205"/>
      <c r="X147" s="205"/>
      <c r="Y147" s="205"/>
      <c r="Z147" s="210"/>
      <c r="AA147" s="211"/>
      <c r="AB147" s="203"/>
    </row>
    <row r="148" spans="1:28" x14ac:dyDescent="0.25">
      <c r="A148" s="7"/>
      <c r="B148" s="148"/>
      <c r="C148" s="150"/>
      <c r="D148" s="146"/>
      <c r="E148" s="146"/>
      <c r="F148" s="147"/>
      <c r="G148" s="169"/>
      <c r="H148" s="169"/>
      <c r="I148" s="169"/>
      <c r="J148" s="169"/>
      <c r="K148" s="169"/>
      <c r="L148" s="169"/>
      <c r="M148" s="169"/>
      <c r="N148" s="91"/>
      <c r="O148" s="170"/>
      <c r="P148" s="170"/>
      <c r="Q148" s="170"/>
      <c r="R148" s="219"/>
      <c r="S148" s="220"/>
      <c r="T148" s="220"/>
      <c r="U148" s="203"/>
      <c r="V148" s="205"/>
      <c r="W148" s="205"/>
      <c r="X148" s="205"/>
      <c r="Y148" s="205"/>
      <c r="Z148" s="210"/>
      <c r="AA148" s="211"/>
      <c r="AB148" s="203"/>
    </row>
    <row r="149" spans="1:28" x14ac:dyDescent="0.25">
      <c r="A149" s="7"/>
      <c r="B149" s="148"/>
      <c r="C149" s="150"/>
      <c r="D149" s="146"/>
      <c r="E149" s="146"/>
      <c r="F149" s="147"/>
      <c r="G149" s="169"/>
      <c r="H149" s="169"/>
      <c r="I149" s="169"/>
      <c r="J149" s="169"/>
      <c r="K149" s="169"/>
      <c r="L149" s="169"/>
      <c r="M149" s="169"/>
      <c r="N149" s="91"/>
      <c r="O149" s="170"/>
      <c r="P149" s="170"/>
      <c r="Q149" s="170"/>
      <c r="R149" s="219"/>
      <c r="S149" s="220"/>
      <c r="T149" s="220"/>
      <c r="U149" s="203"/>
      <c r="V149" s="205"/>
      <c r="W149" s="205"/>
      <c r="X149" s="205"/>
      <c r="Y149" s="205"/>
      <c r="Z149" s="210"/>
      <c r="AA149" s="211"/>
      <c r="AB149" s="203"/>
    </row>
    <row r="150" spans="1:28" x14ac:dyDescent="0.25">
      <c r="A150" s="7"/>
      <c r="B150" s="148"/>
      <c r="C150" s="150"/>
      <c r="D150" s="146"/>
      <c r="E150" s="146"/>
      <c r="F150" s="147"/>
      <c r="G150" s="169"/>
      <c r="H150" s="169"/>
      <c r="I150" s="169"/>
      <c r="J150" s="169"/>
      <c r="K150" s="169"/>
      <c r="L150" s="169"/>
      <c r="M150" s="169"/>
      <c r="N150" s="91"/>
      <c r="O150" s="170"/>
      <c r="P150" s="170"/>
      <c r="Q150" s="170"/>
      <c r="R150" s="219"/>
      <c r="S150" s="220"/>
      <c r="T150" s="220"/>
      <c r="U150" s="203"/>
      <c r="V150" s="205"/>
      <c r="W150" s="205"/>
      <c r="X150" s="205"/>
      <c r="Y150" s="205"/>
      <c r="Z150" s="210"/>
      <c r="AA150" s="211"/>
      <c r="AB150" s="203"/>
    </row>
    <row r="151" spans="1:28" x14ac:dyDescent="0.25">
      <c r="A151" s="7"/>
      <c r="B151" s="148"/>
      <c r="C151" s="150"/>
      <c r="D151" s="146"/>
      <c r="E151" s="146"/>
      <c r="F151" s="147"/>
      <c r="G151" s="169"/>
      <c r="H151" s="169"/>
      <c r="I151" s="169"/>
      <c r="J151" s="169"/>
      <c r="K151" s="169"/>
      <c r="L151" s="169"/>
      <c r="M151" s="169"/>
      <c r="N151" s="91"/>
      <c r="O151" s="170"/>
      <c r="P151" s="170"/>
      <c r="Q151" s="170"/>
      <c r="R151" s="219"/>
      <c r="S151" s="220"/>
      <c r="T151" s="220"/>
      <c r="U151" s="203"/>
      <c r="V151" s="205"/>
      <c r="W151" s="205"/>
      <c r="X151" s="205"/>
      <c r="Y151" s="205"/>
      <c r="Z151" s="210"/>
      <c r="AA151" s="211"/>
      <c r="AB151" s="203"/>
    </row>
    <row r="152" spans="1:28" x14ac:dyDescent="0.25">
      <c r="A152" s="7"/>
      <c r="B152" s="148"/>
      <c r="C152" s="150"/>
      <c r="D152" s="146"/>
      <c r="E152" s="146"/>
      <c r="F152" s="147"/>
      <c r="G152" s="169"/>
      <c r="H152" s="169"/>
      <c r="I152" s="169"/>
      <c r="J152" s="169"/>
      <c r="K152" s="169"/>
      <c r="L152" s="169"/>
      <c r="M152" s="169"/>
      <c r="N152" s="91"/>
      <c r="O152" s="170"/>
      <c r="P152" s="170"/>
      <c r="Q152" s="170"/>
      <c r="R152" s="219"/>
      <c r="S152" s="220"/>
      <c r="T152" s="220"/>
      <c r="U152" s="203"/>
      <c r="V152" s="205"/>
      <c r="W152" s="205"/>
      <c r="X152" s="205"/>
      <c r="Y152" s="205"/>
      <c r="Z152" s="210"/>
      <c r="AA152" s="211"/>
      <c r="AB152" s="203"/>
    </row>
    <row r="153" spans="1:28" x14ac:dyDescent="0.25">
      <c r="A153" s="7"/>
      <c r="B153" s="148"/>
      <c r="C153" s="150"/>
      <c r="D153" s="146"/>
      <c r="E153" s="146"/>
      <c r="F153" s="147"/>
      <c r="G153" s="169"/>
      <c r="H153" s="169"/>
      <c r="I153" s="169"/>
      <c r="J153" s="169"/>
      <c r="K153" s="169"/>
      <c r="L153" s="169"/>
      <c r="M153" s="169"/>
      <c r="N153" s="91"/>
      <c r="O153" s="170"/>
      <c r="P153" s="170"/>
      <c r="Q153" s="170"/>
      <c r="R153" s="219"/>
      <c r="S153" s="220"/>
      <c r="T153" s="220"/>
      <c r="U153" s="203"/>
      <c r="V153" s="205"/>
      <c r="W153" s="205"/>
      <c r="X153" s="205"/>
      <c r="Y153" s="205"/>
      <c r="Z153" s="210"/>
      <c r="AA153" s="211"/>
      <c r="AB153" s="203"/>
    </row>
    <row r="154" spans="1:28" x14ac:dyDescent="0.25">
      <c r="A154" s="7"/>
      <c r="B154" s="148"/>
      <c r="C154" s="150"/>
      <c r="D154" s="146"/>
      <c r="E154" s="146"/>
      <c r="F154" s="147"/>
      <c r="G154" s="169"/>
      <c r="H154" s="169"/>
      <c r="I154" s="169"/>
      <c r="J154" s="169"/>
      <c r="K154" s="169"/>
      <c r="L154" s="169"/>
      <c r="M154" s="169"/>
      <c r="N154" s="91"/>
      <c r="O154" s="170"/>
      <c r="P154" s="170"/>
      <c r="Q154" s="170"/>
      <c r="R154" s="219"/>
      <c r="S154" s="220"/>
      <c r="T154" s="220"/>
      <c r="U154" s="203"/>
      <c r="V154" s="205"/>
      <c r="W154" s="205"/>
      <c r="X154" s="205"/>
      <c r="Y154" s="205"/>
      <c r="Z154" s="210"/>
      <c r="AA154" s="211"/>
      <c r="AB154" s="203"/>
    </row>
    <row r="155" spans="1:28" x14ac:dyDescent="0.25">
      <c r="A155" s="7"/>
      <c r="B155" s="148"/>
      <c r="C155" s="150"/>
      <c r="D155" s="146"/>
      <c r="E155" s="146"/>
      <c r="F155" s="147"/>
      <c r="G155" s="169"/>
      <c r="H155" s="169"/>
      <c r="I155" s="169"/>
      <c r="J155" s="169"/>
      <c r="K155" s="169"/>
      <c r="L155" s="169"/>
      <c r="M155" s="169"/>
      <c r="N155" s="91"/>
      <c r="O155" s="170"/>
      <c r="P155" s="170"/>
      <c r="Q155" s="170"/>
      <c r="R155" s="219"/>
      <c r="S155" s="220"/>
      <c r="T155" s="220"/>
      <c r="U155" s="203"/>
      <c r="V155" s="205"/>
      <c r="W155" s="205"/>
      <c r="X155" s="205"/>
      <c r="Y155" s="205"/>
      <c r="Z155" s="210"/>
      <c r="AA155" s="211"/>
      <c r="AB155" s="203"/>
    </row>
    <row r="156" spans="1:28" x14ac:dyDescent="0.25">
      <c r="A156" s="7"/>
      <c r="B156" s="148"/>
      <c r="C156" s="150"/>
      <c r="D156" s="146"/>
      <c r="E156" s="146"/>
      <c r="F156" s="147"/>
      <c r="G156" s="169"/>
      <c r="H156" s="169"/>
      <c r="I156" s="169"/>
      <c r="J156" s="169"/>
      <c r="K156" s="169"/>
      <c r="L156" s="169"/>
      <c r="M156" s="169"/>
      <c r="N156" s="91"/>
      <c r="O156" s="170"/>
      <c r="P156" s="170"/>
      <c r="Q156" s="170"/>
      <c r="R156" s="219"/>
      <c r="S156" s="220"/>
      <c r="T156" s="220"/>
      <c r="U156" s="203"/>
      <c r="V156" s="205"/>
      <c r="W156" s="205"/>
      <c r="X156" s="205"/>
      <c r="Y156" s="205"/>
      <c r="Z156" s="210"/>
      <c r="AA156" s="211"/>
      <c r="AB156" s="203"/>
    </row>
    <row r="157" spans="1:28" x14ac:dyDescent="0.25">
      <c r="A157" s="7"/>
      <c r="B157" s="148"/>
      <c r="C157" s="150"/>
      <c r="D157" s="146"/>
      <c r="E157" s="146"/>
      <c r="F157" s="147"/>
      <c r="G157" s="169"/>
      <c r="H157" s="169"/>
      <c r="I157" s="169"/>
      <c r="J157" s="169"/>
      <c r="K157" s="169"/>
      <c r="L157" s="169"/>
      <c r="M157" s="169"/>
      <c r="N157" s="91"/>
      <c r="O157" s="170"/>
      <c r="P157" s="170"/>
      <c r="Q157" s="170"/>
      <c r="R157" s="219"/>
      <c r="S157" s="220"/>
      <c r="T157" s="220"/>
      <c r="U157" s="203"/>
      <c r="V157" s="205"/>
      <c r="W157" s="205"/>
      <c r="X157" s="205"/>
      <c r="Y157" s="205"/>
      <c r="Z157" s="210"/>
      <c r="AA157" s="211"/>
      <c r="AB157" s="203"/>
    </row>
    <row r="158" spans="1:28" x14ac:dyDescent="0.25">
      <c r="A158" s="7"/>
      <c r="B158" s="148"/>
      <c r="C158" s="150"/>
      <c r="D158" s="146"/>
      <c r="E158" s="146"/>
      <c r="F158" s="147"/>
      <c r="G158" s="169"/>
      <c r="H158" s="169"/>
      <c r="I158" s="169"/>
      <c r="J158" s="169"/>
      <c r="K158" s="169"/>
      <c r="L158" s="169"/>
      <c r="M158" s="169"/>
      <c r="N158" s="91"/>
      <c r="O158" s="170"/>
      <c r="P158" s="170"/>
      <c r="Q158" s="170"/>
      <c r="R158" s="219"/>
      <c r="S158" s="220"/>
      <c r="T158" s="220"/>
      <c r="U158" s="203"/>
      <c r="V158" s="205"/>
      <c r="W158" s="205"/>
      <c r="X158" s="205"/>
      <c r="Y158" s="205"/>
      <c r="Z158" s="210"/>
      <c r="AA158" s="211"/>
      <c r="AB158" s="203"/>
    </row>
    <row r="159" spans="1:28" x14ac:dyDescent="0.25">
      <c r="A159" s="7"/>
      <c r="B159" s="148"/>
      <c r="C159" s="150"/>
      <c r="D159" s="146"/>
      <c r="E159" s="146"/>
      <c r="F159" s="147"/>
      <c r="G159" s="169"/>
      <c r="H159" s="169"/>
      <c r="I159" s="169"/>
      <c r="J159" s="169"/>
      <c r="K159" s="169"/>
      <c r="L159" s="169"/>
      <c r="M159" s="169"/>
      <c r="N159" s="91"/>
      <c r="O159" s="170"/>
      <c r="P159" s="170"/>
      <c r="Q159" s="170"/>
      <c r="R159" s="219"/>
      <c r="S159" s="220"/>
      <c r="T159" s="220"/>
      <c r="U159" s="203"/>
      <c r="V159" s="205"/>
      <c r="W159" s="205"/>
      <c r="X159" s="205"/>
      <c r="Y159" s="205"/>
      <c r="Z159" s="210"/>
      <c r="AA159" s="211"/>
      <c r="AB159" s="203"/>
    </row>
    <row r="160" spans="1:28" x14ac:dyDescent="0.25">
      <c r="A160" s="7"/>
      <c r="B160" s="148"/>
      <c r="C160" s="150"/>
      <c r="D160" s="146"/>
      <c r="E160" s="146"/>
      <c r="F160" s="147"/>
      <c r="G160" s="169"/>
      <c r="H160" s="169"/>
      <c r="I160" s="169"/>
      <c r="J160" s="169"/>
      <c r="K160" s="169"/>
      <c r="L160" s="169"/>
      <c r="M160" s="169"/>
      <c r="N160" s="91"/>
      <c r="O160" s="170"/>
      <c r="P160" s="170"/>
      <c r="Q160" s="170"/>
      <c r="R160" s="219"/>
      <c r="S160" s="220"/>
      <c r="T160" s="220"/>
      <c r="U160" s="203"/>
      <c r="V160" s="205"/>
      <c r="W160" s="205"/>
      <c r="X160" s="205"/>
      <c r="Y160" s="205"/>
      <c r="Z160" s="210"/>
      <c r="AA160" s="211"/>
      <c r="AB160" s="203"/>
    </row>
    <row r="161" spans="1:28" x14ac:dyDescent="0.25">
      <c r="A161" s="7"/>
      <c r="B161" s="148"/>
      <c r="C161" s="150"/>
      <c r="D161" s="146"/>
      <c r="E161" s="146"/>
      <c r="F161" s="147"/>
      <c r="G161" s="169"/>
      <c r="H161" s="169"/>
      <c r="I161" s="169"/>
      <c r="J161" s="169"/>
      <c r="K161" s="169"/>
      <c r="L161" s="169"/>
      <c r="M161" s="169"/>
      <c r="N161" s="91"/>
      <c r="O161" s="170"/>
      <c r="P161" s="170"/>
      <c r="Q161" s="170"/>
      <c r="R161" s="219"/>
      <c r="S161" s="220"/>
      <c r="T161" s="220"/>
      <c r="U161" s="203"/>
      <c r="V161" s="205"/>
      <c r="W161" s="205"/>
      <c r="X161" s="205"/>
      <c r="Y161" s="205"/>
      <c r="Z161" s="210"/>
      <c r="AA161" s="211"/>
      <c r="AB161" s="203"/>
    </row>
    <row r="162" spans="1:28" x14ac:dyDescent="0.25">
      <c r="A162" s="7"/>
      <c r="B162" s="148"/>
      <c r="C162" s="150"/>
      <c r="D162" s="146"/>
      <c r="E162" s="146"/>
      <c r="F162" s="147"/>
      <c r="G162" s="169"/>
      <c r="H162" s="169"/>
      <c r="I162" s="169"/>
      <c r="J162" s="169"/>
      <c r="K162" s="169"/>
      <c r="L162" s="169"/>
      <c r="M162" s="169"/>
      <c r="N162" s="91"/>
      <c r="O162" s="170"/>
      <c r="P162" s="170"/>
      <c r="Q162" s="170"/>
      <c r="R162" s="219"/>
      <c r="S162" s="220"/>
      <c r="T162" s="220"/>
      <c r="U162" s="203"/>
      <c r="V162" s="205"/>
      <c r="W162" s="205"/>
      <c r="X162" s="205"/>
      <c r="Y162" s="205"/>
      <c r="Z162" s="210"/>
      <c r="AA162" s="211"/>
      <c r="AB162" s="203"/>
    </row>
    <row r="163" spans="1:28" x14ac:dyDescent="0.25">
      <c r="A163" s="7"/>
      <c r="B163" s="148"/>
      <c r="C163" s="150"/>
      <c r="D163" s="146"/>
      <c r="E163" s="146"/>
      <c r="F163" s="147"/>
      <c r="G163" s="169"/>
      <c r="H163" s="169"/>
      <c r="I163" s="169"/>
      <c r="J163" s="169"/>
      <c r="K163" s="169"/>
      <c r="L163" s="169"/>
      <c r="M163" s="169"/>
      <c r="N163" s="91"/>
      <c r="O163" s="170"/>
      <c r="P163" s="170"/>
      <c r="Q163" s="170"/>
      <c r="R163" s="219"/>
      <c r="S163" s="220"/>
      <c r="T163" s="220"/>
      <c r="U163" s="203"/>
      <c r="V163" s="205"/>
      <c r="W163" s="205"/>
      <c r="X163" s="205"/>
      <c r="Y163" s="205"/>
      <c r="Z163" s="210"/>
      <c r="AA163" s="211"/>
      <c r="AB163" s="203"/>
    </row>
    <row r="164" spans="1:28" x14ac:dyDescent="0.25">
      <c r="A164" s="7"/>
      <c r="B164" s="148"/>
      <c r="C164" s="150"/>
      <c r="D164" s="146"/>
      <c r="E164" s="146"/>
      <c r="F164" s="147"/>
      <c r="G164" s="169"/>
      <c r="H164" s="169"/>
      <c r="I164" s="169"/>
      <c r="J164" s="169"/>
      <c r="K164" s="169"/>
      <c r="L164" s="169"/>
      <c r="M164" s="169"/>
      <c r="N164" s="91"/>
      <c r="O164" s="170"/>
      <c r="P164" s="170"/>
      <c r="Q164" s="170"/>
      <c r="R164" s="219"/>
      <c r="S164" s="220"/>
      <c r="T164" s="220"/>
      <c r="U164" s="203"/>
      <c r="V164" s="205"/>
      <c r="W164" s="205"/>
      <c r="X164" s="205"/>
      <c r="Y164" s="205"/>
      <c r="Z164" s="210"/>
      <c r="AA164" s="211"/>
      <c r="AB164" s="203"/>
    </row>
    <row r="165" spans="1:28" x14ac:dyDescent="0.25">
      <c r="A165" s="7"/>
      <c r="B165" s="148"/>
      <c r="C165" s="150"/>
      <c r="D165" s="146"/>
      <c r="E165" s="146"/>
      <c r="F165" s="147"/>
      <c r="G165" s="169"/>
      <c r="H165" s="169"/>
      <c r="I165" s="169"/>
      <c r="J165" s="169"/>
      <c r="K165" s="169"/>
      <c r="L165" s="169"/>
      <c r="M165" s="169"/>
      <c r="N165" s="91"/>
      <c r="O165" s="170"/>
      <c r="P165" s="170"/>
      <c r="Q165" s="170"/>
      <c r="R165" s="219"/>
      <c r="S165" s="220"/>
      <c r="T165" s="220"/>
      <c r="U165" s="203"/>
      <c r="V165" s="205"/>
      <c r="W165" s="205"/>
      <c r="X165" s="205"/>
      <c r="Y165" s="205"/>
      <c r="Z165" s="210"/>
      <c r="AA165" s="211"/>
      <c r="AB165" s="203"/>
    </row>
    <row r="166" spans="1:28" x14ac:dyDescent="0.25">
      <c r="A166" s="7"/>
      <c r="B166" s="148"/>
      <c r="C166" s="150"/>
      <c r="D166" s="146"/>
      <c r="E166" s="146"/>
      <c r="F166" s="147"/>
      <c r="G166" s="169"/>
      <c r="H166" s="169"/>
      <c r="I166" s="169"/>
      <c r="J166" s="169"/>
      <c r="K166" s="169"/>
      <c r="L166" s="169"/>
      <c r="M166" s="169"/>
      <c r="N166" s="91"/>
      <c r="O166" s="170"/>
      <c r="P166" s="170"/>
      <c r="Q166" s="170"/>
      <c r="R166" s="219"/>
      <c r="S166" s="220"/>
      <c r="T166" s="220"/>
      <c r="U166" s="203"/>
      <c r="V166" s="205"/>
      <c r="W166" s="205"/>
      <c r="X166" s="205"/>
      <c r="Y166" s="205"/>
      <c r="Z166" s="210"/>
      <c r="AA166" s="211"/>
      <c r="AB166" s="203"/>
    </row>
    <row r="167" spans="1:28" x14ac:dyDescent="0.25">
      <c r="A167" s="7"/>
      <c r="B167" s="148"/>
      <c r="C167" s="150"/>
      <c r="D167" s="146"/>
      <c r="E167" s="146"/>
      <c r="F167" s="147"/>
      <c r="G167" s="169"/>
      <c r="H167" s="169"/>
      <c r="I167" s="169"/>
      <c r="J167" s="169"/>
      <c r="K167" s="169"/>
      <c r="L167" s="169"/>
      <c r="M167" s="169"/>
      <c r="N167" s="91"/>
      <c r="O167" s="170"/>
      <c r="P167" s="170"/>
      <c r="Q167" s="170"/>
      <c r="R167" s="219"/>
      <c r="S167" s="220"/>
      <c r="T167" s="220"/>
      <c r="U167" s="203"/>
      <c r="V167" s="205"/>
      <c r="W167" s="205"/>
      <c r="X167" s="205"/>
      <c r="Y167" s="205"/>
      <c r="Z167" s="210"/>
      <c r="AA167" s="211"/>
      <c r="AB167" s="203"/>
    </row>
    <row r="168" spans="1:28" x14ac:dyDescent="0.25">
      <c r="A168" s="7"/>
      <c r="B168" s="168"/>
      <c r="C168" s="150"/>
      <c r="D168" s="180"/>
      <c r="E168" s="180"/>
      <c r="F168" s="181"/>
      <c r="G168" s="169"/>
      <c r="H168" s="169"/>
      <c r="I168" s="169"/>
      <c r="J168" s="169"/>
      <c r="K168" s="169"/>
      <c r="L168" s="169"/>
      <c r="M168" s="169"/>
      <c r="N168" s="91"/>
      <c r="O168" s="170"/>
      <c r="P168" s="170"/>
      <c r="Q168" s="170"/>
      <c r="R168" s="219"/>
      <c r="S168" s="220"/>
      <c r="T168" s="220"/>
      <c r="U168" s="203"/>
      <c r="V168" s="205"/>
      <c r="W168" s="205"/>
      <c r="X168" s="205"/>
      <c r="Y168" s="205"/>
      <c r="Z168" s="210"/>
      <c r="AA168" s="211"/>
      <c r="AB168" s="203"/>
    </row>
    <row r="169" spans="1:28" x14ac:dyDescent="0.25">
      <c r="A169" s="7"/>
      <c r="B169" s="148"/>
      <c r="C169" s="150"/>
      <c r="D169" s="146"/>
      <c r="E169" s="146"/>
      <c r="F169" s="147"/>
      <c r="G169" s="169"/>
      <c r="H169" s="169"/>
      <c r="I169" s="169"/>
      <c r="J169" s="169"/>
      <c r="K169" s="169"/>
      <c r="L169" s="169"/>
      <c r="M169" s="169"/>
      <c r="N169" s="91"/>
      <c r="O169" s="170"/>
      <c r="P169" s="170"/>
      <c r="Q169" s="170"/>
      <c r="R169" s="219"/>
      <c r="S169" s="220"/>
      <c r="T169" s="220"/>
      <c r="U169" s="203"/>
      <c r="V169" s="205"/>
      <c r="W169" s="205"/>
      <c r="X169" s="205"/>
      <c r="Y169" s="205"/>
      <c r="Z169" s="210"/>
      <c r="AA169" s="211"/>
      <c r="AB169" s="203"/>
    </row>
    <row r="170" spans="1:28" x14ac:dyDescent="0.25">
      <c r="A170" s="7"/>
      <c r="B170" s="148"/>
      <c r="C170" s="150"/>
      <c r="D170" s="146"/>
      <c r="E170" s="146"/>
      <c r="F170" s="147"/>
      <c r="G170" s="169"/>
      <c r="H170" s="169"/>
      <c r="I170" s="169"/>
      <c r="J170" s="169"/>
      <c r="K170" s="169"/>
      <c r="L170" s="169"/>
      <c r="M170" s="169"/>
      <c r="N170" s="91"/>
      <c r="O170" s="170"/>
      <c r="P170" s="170"/>
      <c r="Q170" s="170"/>
      <c r="R170" s="219"/>
      <c r="S170" s="220"/>
      <c r="T170" s="220"/>
      <c r="U170" s="203"/>
      <c r="V170" s="205"/>
      <c r="W170" s="205"/>
      <c r="X170" s="205"/>
      <c r="Y170" s="205"/>
      <c r="Z170" s="210"/>
      <c r="AA170" s="211"/>
      <c r="AB170" s="203"/>
    </row>
    <row r="171" spans="1:28" x14ac:dyDescent="0.25">
      <c r="A171" s="7"/>
      <c r="B171" s="168"/>
      <c r="C171" s="150"/>
      <c r="D171" s="180"/>
      <c r="E171" s="180"/>
      <c r="F171" s="181"/>
      <c r="G171" s="169"/>
      <c r="H171" s="169"/>
      <c r="I171" s="169"/>
      <c r="J171" s="169"/>
      <c r="K171" s="169"/>
      <c r="L171" s="169"/>
      <c r="M171" s="169"/>
      <c r="N171" s="91"/>
      <c r="O171" s="170"/>
      <c r="P171" s="170"/>
      <c r="Q171" s="170"/>
      <c r="R171" s="219"/>
      <c r="S171" s="220"/>
      <c r="T171" s="220"/>
      <c r="U171" s="203"/>
      <c r="V171" s="205"/>
      <c r="W171" s="205"/>
      <c r="X171" s="205"/>
      <c r="Y171" s="205"/>
      <c r="Z171" s="210"/>
      <c r="AA171" s="211"/>
      <c r="AB171" s="203"/>
    </row>
    <row r="172" spans="1:28" x14ac:dyDescent="0.25">
      <c r="A172" s="7"/>
      <c r="B172" s="148"/>
      <c r="C172" s="150"/>
      <c r="D172" s="180"/>
      <c r="E172" s="146"/>
      <c r="F172" s="147"/>
      <c r="G172" s="169"/>
      <c r="H172" s="169"/>
      <c r="I172" s="169"/>
      <c r="J172" s="169"/>
      <c r="K172" s="169"/>
      <c r="L172" s="169"/>
      <c r="M172" s="169"/>
      <c r="N172" s="91"/>
      <c r="O172" s="170"/>
      <c r="P172" s="170"/>
      <c r="Q172" s="170"/>
      <c r="R172" s="219"/>
      <c r="S172" s="220"/>
      <c r="T172" s="220"/>
      <c r="U172" s="203"/>
      <c r="V172" s="205"/>
      <c r="W172" s="205"/>
      <c r="X172" s="205"/>
      <c r="Y172" s="205"/>
      <c r="Z172" s="210"/>
      <c r="AA172" s="211"/>
      <c r="AB172" s="203"/>
    </row>
    <row r="173" spans="1:28" x14ac:dyDescent="0.25">
      <c r="A173" s="7"/>
      <c r="B173" s="168"/>
      <c r="C173" s="150"/>
      <c r="D173" s="180"/>
      <c r="E173" s="180"/>
      <c r="F173" s="181"/>
      <c r="G173" s="169"/>
      <c r="H173" s="169"/>
      <c r="I173" s="169"/>
      <c r="J173" s="169"/>
      <c r="K173" s="169"/>
      <c r="L173" s="169"/>
      <c r="M173" s="169"/>
      <c r="N173" s="91"/>
      <c r="O173" s="170"/>
      <c r="P173" s="170"/>
      <c r="Q173" s="170"/>
      <c r="R173" s="219"/>
      <c r="S173" s="220"/>
      <c r="T173" s="220"/>
      <c r="U173" s="203"/>
      <c r="V173" s="205"/>
      <c r="W173" s="205"/>
      <c r="X173" s="205"/>
      <c r="Y173" s="205"/>
      <c r="Z173" s="210"/>
      <c r="AA173" s="211"/>
      <c r="AB173" s="203"/>
    </row>
    <row r="174" spans="1:28" x14ac:dyDescent="0.25">
      <c r="A174" s="7"/>
      <c r="B174" s="168"/>
      <c r="C174" s="150"/>
      <c r="D174" s="180"/>
      <c r="E174" s="180"/>
      <c r="F174" s="181"/>
      <c r="G174" s="169"/>
      <c r="H174" s="169"/>
      <c r="I174" s="169"/>
      <c r="J174" s="169"/>
      <c r="K174" s="169"/>
      <c r="L174" s="169"/>
      <c r="M174" s="169"/>
      <c r="N174" s="91"/>
      <c r="O174" s="170"/>
      <c r="P174" s="170"/>
      <c r="Q174" s="170"/>
      <c r="R174" s="219"/>
      <c r="S174" s="220"/>
      <c r="T174" s="220"/>
      <c r="U174" s="203"/>
      <c r="V174" s="205"/>
      <c r="W174" s="205"/>
      <c r="X174" s="205"/>
      <c r="Y174" s="205"/>
      <c r="Z174" s="210"/>
      <c r="AA174" s="211"/>
      <c r="AB174" s="203"/>
    </row>
    <row r="175" spans="1:28" x14ac:dyDescent="0.25">
      <c r="A175" s="7"/>
      <c r="B175" s="148"/>
      <c r="C175" s="150"/>
      <c r="D175" s="146"/>
      <c r="E175" s="146"/>
      <c r="F175" s="147"/>
      <c r="G175" s="169"/>
      <c r="H175" s="169"/>
      <c r="I175" s="169"/>
      <c r="J175" s="169"/>
      <c r="K175" s="169"/>
      <c r="L175" s="169"/>
      <c r="M175" s="169"/>
      <c r="N175" s="91"/>
      <c r="O175" s="170"/>
      <c r="P175" s="170"/>
      <c r="Q175" s="170"/>
      <c r="R175" s="219"/>
      <c r="S175" s="220"/>
      <c r="T175" s="220"/>
      <c r="U175" s="203"/>
      <c r="V175" s="205"/>
      <c r="W175" s="205"/>
      <c r="X175" s="205"/>
      <c r="Y175" s="205"/>
      <c r="Z175" s="210"/>
      <c r="AA175" s="211"/>
      <c r="AB175" s="203"/>
    </row>
    <row r="176" spans="1:28" x14ac:dyDescent="0.25">
      <c r="A176" s="7"/>
      <c r="B176" s="168"/>
      <c r="C176" s="150"/>
      <c r="D176" s="180"/>
      <c r="E176" s="180"/>
      <c r="F176" s="181"/>
      <c r="G176" s="169"/>
      <c r="H176" s="169"/>
      <c r="I176" s="169"/>
      <c r="J176" s="169"/>
      <c r="K176" s="169"/>
      <c r="L176" s="169"/>
      <c r="M176" s="169"/>
      <c r="N176" s="91"/>
      <c r="O176" s="170"/>
      <c r="P176" s="170"/>
      <c r="Q176" s="170"/>
      <c r="R176" s="219"/>
      <c r="S176" s="220"/>
      <c r="T176" s="220"/>
      <c r="U176" s="203"/>
      <c r="V176" s="205"/>
      <c r="W176" s="205"/>
      <c r="X176" s="205"/>
      <c r="Y176" s="205"/>
      <c r="Z176" s="210"/>
      <c r="AA176" s="211"/>
      <c r="AB176" s="203"/>
    </row>
    <row r="177" spans="1:28" x14ac:dyDescent="0.25">
      <c r="A177" s="7"/>
      <c r="B177" s="148"/>
      <c r="C177" s="150"/>
      <c r="D177" s="146"/>
      <c r="E177" s="146"/>
      <c r="F177" s="147"/>
      <c r="G177" s="169"/>
      <c r="H177" s="169"/>
      <c r="I177" s="169"/>
      <c r="J177" s="169"/>
      <c r="K177" s="169"/>
      <c r="L177" s="169"/>
      <c r="M177" s="169"/>
      <c r="N177" s="91"/>
      <c r="O177" s="170"/>
      <c r="P177" s="170"/>
      <c r="Q177" s="170"/>
      <c r="R177" s="219"/>
      <c r="S177" s="220"/>
      <c r="T177" s="220"/>
      <c r="U177" s="203"/>
      <c r="V177" s="205"/>
      <c r="W177" s="205"/>
      <c r="X177" s="205"/>
      <c r="Y177" s="205"/>
      <c r="Z177" s="210"/>
      <c r="AA177" s="211"/>
      <c r="AB177" s="203"/>
    </row>
    <row r="178" spans="1:28" x14ac:dyDescent="0.25">
      <c r="A178" s="7"/>
      <c r="B178" s="148"/>
      <c r="C178" s="150"/>
      <c r="D178" s="146"/>
      <c r="E178" s="146"/>
      <c r="F178" s="147"/>
      <c r="G178" s="169"/>
      <c r="H178" s="169"/>
      <c r="I178" s="169"/>
      <c r="J178" s="169"/>
      <c r="K178" s="169"/>
      <c r="L178" s="169"/>
      <c r="M178" s="169"/>
      <c r="N178" s="91"/>
      <c r="O178" s="170"/>
      <c r="P178" s="170"/>
      <c r="Q178" s="170"/>
      <c r="R178" s="219"/>
      <c r="S178" s="220"/>
      <c r="T178" s="220"/>
      <c r="U178" s="203"/>
      <c r="V178" s="205"/>
      <c r="W178" s="205"/>
      <c r="X178" s="205"/>
      <c r="Y178" s="205"/>
      <c r="Z178" s="210"/>
      <c r="AA178" s="211"/>
      <c r="AB178" s="203"/>
    </row>
    <row r="179" spans="1:28" x14ac:dyDescent="0.25">
      <c r="A179" s="7"/>
      <c r="B179" s="148"/>
      <c r="C179" s="150"/>
      <c r="D179" s="146"/>
      <c r="E179" s="146"/>
      <c r="F179" s="147"/>
      <c r="G179" s="169"/>
      <c r="H179" s="169"/>
      <c r="I179" s="169"/>
      <c r="J179" s="169"/>
      <c r="K179" s="169"/>
      <c r="L179" s="169"/>
      <c r="M179" s="169"/>
      <c r="N179" s="91"/>
      <c r="O179" s="170"/>
      <c r="P179" s="170"/>
      <c r="Q179" s="170"/>
      <c r="R179" s="219"/>
      <c r="S179" s="220"/>
      <c r="T179" s="220"/>
      <c r="U179" s="203"/>
      <c r="V179" s="205"/>
      <c r="W179" s="205"/>
      <c r="X179" s="205"/>
      <c r="Y179" s="205"/>
      <c r="Z179" s="210"/>
      <c r="AA179" s="211"/>
      <c r="AB179" s="203"/>
    </row>
    <row r="180" spans="1:28" x14ac:dyDescent="0.25">
      <c r="A180" s="7"/>
      <c r="B180" s="148"/>
      <c r="C180" s="150"/>
      <c r="D180" s="146"/>
      <c r="E180" s="146"/>
      <c r="F180" s="147"/>
      <c r="G180" s="169"/>
      <c r="H180" s="169"/>
      <c r="I180" s="169"/>
      <c r="J180" s="169"/>
      <c r="K180" s="169"/>
      <c r="L180" s="169"/>
      <c r="M180" s="169"/>
      <c r="N180" s="91"/>
      <c r="O180" s="170"/>
      <c r="P180" s="170"/>
      <c r="Q180" s="170"/>
      <c r="R180" s="219"/>
      <c r="S180" s="220"/>
      <c r="T180" s="220"/>
      <c r="U180" s="203"/>
      <c r="V180" s="205"/>
      <c r="W180" s="205"/>
      <c r="X180" s="205"/>
      <c r="Y180" s="205"/>
      <c r="Z180" s="210"/>
      <c r="AA180" s="211"/>
      <c r="AB180" s="203"/>
    </row>
    <row r="181" spans="1:28" x14ac:dyDescent="0.25">
      <c r="A181" s="7"/>
      <c r="B181" s="148"/>
      <c r="C181" s="150"/>
      <c r="D181" s="146"/>
      <c r="E181" s="146"/>
      <c r="F181" s="147"/>
      <c r="G181" s="169"/>
      <c r="H181" s="169"/>
      <c r="I181" s="169"/>
      <c r="J181" s="169"/>
      <c r="K181" s="169"/>
      <c r="L181" s="169"/>
      <c r="M181" s="169"/>
      <c r="N181" s="91"/>
      <c r="O181" s="170"/>
      <c r="P181" s="170"/>
      <c r="Q181" s="170"/>
      <c r="R181" s="219"/>
      <c r="S181" s="220"/>
      <c r="T181" s="220"/>
      <c r="U181" s="203"/>
      <c r="V181" s="205"/>
      <c r="W181" s="205"/>
      <c r="X181" s="205"/>
      <c r="Y181" s="205"/>
      <c r="Z181" s="210"/>
      <c r="AA181" s="211"/>
      <c r="AB181" s="203"/>
    </row>
    <row r="182" spans="1:28" x14ac:dyDescent="0.25">
      <c r="A182" s="7"/>
      <c r="B182" s="148"/>
      <c r="C182" s="150"/>
      <c r="D182" s="146"/>
      <c r="E182" s="146"/>
      <c r="F182" s="147"/>
      <c r="G182" s="169"/>
      <c r="H182" s="169"/>
      <c r="I182" s="169"/>
      <c r="J182" s="169"/>
      <c r="K182" s="169"/>
      <c r="L182" s="169"/>
      <c r="M182" s="169"/>
      <c r="N182" s="91"/>
      <c r="O182" s="170"/>
      <c r="P182" s="170"/>
      <c r="Q182" s="170"/>
      <c r="R182" s="219"/>
      <c r="S182" s="220"/>
      <c r="T182" s="220"/>
      <c r="U182" s="203"/>
      <c r="V182" s="205"/>
      <c r="W182" s="205"/>
      <c r="X182" s="205"/>
      <c r="Y182" s="205"/>
      <c r="Z182" s="210"/>
      <c r="AA182" s="211"/>
      <c r="AB182" s="203"/>
    </row>
    <row r="183" spans="1:28" x14ac:dyDescent="0.25">
      <c r="A183" s="7"/>
      <c r="B183" s="148"/>
      <c r="C183" s="150"/>
      <c r="D183" s="146"/>
      <c r="E183" s="146"/>
      <c r="F183" s="147"/>
      <c r="G183" s="169"/>
      <c r="H183" s="169"/>
      <c r="I183" s="169"/>
      <c r="J183" s="169"/>
      <c r="K183" s="169"/>
      <c r="L183" s="169"/>
      <c r="M183" s="169"/>
      <c r="N183" s="91"/>
      <c r="O183" s="170"/>
      <c r="P183" s="170"/>
      <c r="Q183" s="170"/>
      <c r="R183" s="219"/>
      <c r="S183" s="220"/>
      <c r="T183" s="220"/>
      <c r="U183" s="203"/>
      <c r="V183" s="205"/>
      <c r="W183" s="205"/>
      <c r="X183" s="205"/>
      <c r="Y183" s="205"/>
      <c r="Z183" s="210"/>
      <c r="AA183" s="211"/>
      <c r="AB183" s="203"/>
    </row>
    <row r="184" spans="1:28" x14ac:dyDescent="0.25">
      <c r="A184" s="7"/>
      <c r="B184" s="148"/>
      <c r="C184" s="150"/>
      <c r="D184" s="146"/>
      <c r="E184" s="146"/>
      <c r="F184" s="147"/>
      <c r="G184" s="169"/>
      <c r="H184" s="169"/>
      <c r="I184" s="169"/>
      <c r="J184" s="169"/>
      <c r="K184" s="169"/>
      <c r="L184" s="169"/>
      <c r="M184" s="169"/>
      <c r="N184" s="91"/>
      <c r="O184" s="170"/>
      <c r="P184" s="170"/>
      <c r="Q184" s="170"/>
      <c r="R184" s="219"/>
      <c r="S184" s="220"/>
      <c r="T184" s="220"/>
      <c r="U184" s="203"/>
      <c r="V184" s="205"/>
      <c r="W184" s="205"/>
      <c r="X184" s="205"/>
      <c r="Y184" s="205"/>
      <c r="Z184" s="210"/>
      <c r="AA184" s="211"/>
      <c r="AB184" s="203"/>
    </row>
    <row r="185" spans="1:28" x14ac:dyDescent="0.25">
      <c r="A185" s="7"/>
      <c r="B185" s="148"/>
      <c r="C185" s="150"/>
      <c r="D185" s="146"/>
      <c r="E185" s="146"/>
      <c r="F185" s="147"/>
      <c r="G185" s="169"/>
      <c r="H185" s="169"/>
      <c r="I185" s="169"/>
      <c r="J185" s="169"/>
      <c r="K185" s="169"/>
      <c r="L185" s="169"/>
      <c r="M185" s="169"/>
      <c r="N185" s="91"/>
      <c r="O185" s="170"/>
      <c r="P185" s="170"/>
      <c r="Q185" s="170"/>
      <c r="R185" s="219"/>
      <c r="S185" s="220"/>
      <c r="T185" s="220"/>
      <c r="U185" s="203"/>
      <c r="V185" s="205"/>
      <c r="W185" s="205"/>
      <c r="X185" s="205"/>
      <c r="Y185" s="205"/>
      <c r="Z185" s="210"/>
      <c r="AA185" s="211"/>
      <c r="AB185" s="203"/>
    </row>
    <row r="186" spans="1:28" x14ac:dyDescent="0.25">
      <c r="A186" s="7"/>
      <c r="B186" s="148"/>
      <c r="C186" s="150"/>
      <c r="D186" s="146"/>
      <c r="E186" s="146"/>
      <c r="F186" s="147"/>
      <c r="G186" s="169"/>
      <c r="H186" s="169"/>
      <c r="I186" s="169"/>
      <c r="J186" s="169"/>
      <c r="K186" s="169"/>
      <c r="L186" s="169"/>
      <c r="M186" s="169"/>
      <c r="N186" s="91"/>
      <c r="O186" s="170"/>
      <c r="P186" s="170"/>
      <c r="Q186" s="170"/>
      <c r="R186" s="219"/>
      <c r="S186" s="220"/>
      <c r="T186" s="220"/>
      <c r="U186" s="203"/>
      <c r="V186" s="205"/>
      <c r="W186" s="205"/>
      <c r="X186" s="205"/>
      <c r="Y186" s="205"/>
      <c r="Z186" s="210"/>
      <c r="AA186" s="211"/>
      <c r="AB186" s="203"/>
    </row>
    <row r="187" spans="1:28" x14ac:dyDescent="0.25">
      <c r="A187" s="7"/>
      <c r="B187" s="148"/>
      <c r="C187" s="150"/>
      <c r="D187" s="146"/>
      <c r="E187" s="146"/>
      <c r="F187" s="147"/>
      <c r="G187" s="169"/>
      <c r="H187" s="169"/>
      <c r="I187" s="169"/>
      <c r="J187" s="169"/>
      <c r="K187" s="169"/>
      <c r="L187" s="169"/>
      <c r="M187" s="169"/>
      <c r="N187" s="91"/>
      <c r="O187" s="170"/>
      <c r="P187" s="170"/>
      <c r="Q187" s="170"/>
      <c r="R187" s="219"/>
      <c r="S187" s="220"/>
      <c r="T187" s="220"/>
      <c r="U187" s="203"/>
      <c r="V187" s="205"/>
      <c r="W187" s="205"/>
      <c r="X187" s="205"/>
      <c r="Y187" s="205"/>
      <c r="Z187" s="210"/>
      <c r="AA187" s="211"/>
      <c r="AB187" s="203"/>
    </row>
    <row r="188" spans="1:28" x14ac:dyDescent="0.25">
      <c r="A188" s="7"/>
      <c r="B188" s="148"/>
      <c r="C188" s="150"/>
      <c r="D188" s="146"/>
      <c r="E188" s="146"/>
      <c r="F188" s="147"/>
      <c r="G188" s="169"/>
      <c r="H188" s="169"/>
      <c r="I188" s="169"/>
      <c r="J188" s="169"/>
      <c r="K188" s="169"/>
      <c r="L188" s="169"/>
      <c r="M188" s="169"/>
      <c r="N188" s="91"/>
      <c r="O188" s="170"/>
      <c r="P188" s="170"/>
      <c r="Q188" s="170"/>
      <c r="R188" s="219"/>
      <c r="S188" s="220"/>
      <c r="T188" s="220"/>
      <c r="U188" s="203"/>
      <c r="V188" s="205"/>
      <c r="W188" s="205"/>
      <c r="X188" s="205"/>
      <c r="Y188" s="205"/>
      <c r="Z188" s="210"/>
      <c r="AA188" s="211"/>
      <c r="AB188" s="203"/>
    </row>
    <row r="189" spans="1:28" x14ac:dyDescent="0.25">
      <c r="A189" s="7"/>
      <c r="B189" s="148"/>
      <c r="C189" s="150"/>
      <c r="D189" s="146"/>
      <c r="E189" s="146"/>
      <c r="F189" s="147"/>
      <c r="G189" s="169"/>
      <c r="H189" s="169"/>
      <c r="I189" s="169"/>
      <c r="J189" s="169"/>
      <c r="K189" s="169"/>
      <c r="L189" s="169"/>
      <c r="M189" s="169"/>
      <c r="N189" s="91"/>
      <c r="O189" s="170"/>
      <c r="P189" s="170"/>
      <c r="Q189" s="170"/>
      <c r="R189" s="219"/>
      <c r="S189" s="220"/>
      <c r="T189" s="220"/>
      <c r="U189" s="203"/>
      <c r="V189" s="205"/>
      <c r="W189" s="205"/>
      <c r="X189" s="205"/>
      <c r="Y189" s="205"/>
      <c r="Z189" s="210"/>
      <c r="AA189" s="213"/>
      <c r="AB189" s="203"/>
    </row>
    <row r="190" spans="1:28" x14ac:dyDescent="0.25">
      <c r="A190" s="7"/>
      <c r="B190" s="148"/>
      <c r="C190" s="150"/>
      <c r="D190" s="146"/>
      <c r="E190" s="146"/>
      <c r="F190" s="147"/>
      <c r="G190" s="169"/>
      <c r="H190" s="169"/>
      <c r="I190" s="169"/>
      <c r="J190" s="169"/>
      <c r="K190" s="169"/>
      <c r="L190" s="169"/>
      <c r="M190" s="169"/>
      <c r="N190" s="91"/>
      <c r="O190" s="170"/>
      <c r="P190" s="170"/>
      <c r="Q190" s="170"/>
      <c r="R190" s="219"/>
      <c r="S190" s="220"/>
      <c r="T190" s="220"/>
      <c r="U190" s="203"/>
      <c r="V190" s="205"/>
      <c r="W190" s="205"/>
      <c r="X190" s="205"/>
      <c r="Y190" s="205"/>
      <c r="Z190" s="210"/>
      <c r="AA190" s="213"/>
      <c r="AB190" s="203"/>
    </row>
    <row r="191" spans="1:28" x14ac:dyDescent="0.25">
      <c r="A191" s="7"/>
      <c r="B191" s="148"/>
      <c r="C191" s="150"/>
      <c r="D191" s="146"/>
      <c r="E191" s="146"/>
      <c r="F191" s="147"/>
      <c r="G191" s="169"/>
      <c r="H191" s="169"/>
      <c r="I191" s="169"/>
      <c r="J191" s="169"/>
      <c r="K191" s="169"/>
      <c r="L191" s="169"/>
      <c r="M191" s="169"/>
      <c r="N191" s="91"/>
      <c r="O191" s="170"/>
      <c r="P191" s="170"/>
      <c r="Q191" s="170"/>
      <c r="R191" s="219"/>
      <c r="S191" s="220"/>
      <c r="T191" s="220"/>
      <c r="U191" s="203"/>
      <c r="V191" s="205"/>
      <c r="W191" s="205"/>
      <c r="X191" s="205"/>
      <c r="Y191" s="205"/>
      <c r="Z191" s="210"/>
      <c r="AA191" s="213"/>
      <c r="AB191" s="203"/>
    </row>
    <row r="192" spans="1:28" x14ac:dyDescent="0.25">
      <c r="A192" s="7"/>
      <c r="B192" s="148"/>
      <c r="C192" s="150"/>
      <c r="D192" s="146"/>
      <c r="E192" s="146"/>
      <c r="F192" s="147"/>
      <c r="G192" s="169"/>
      <c r="H192" s="169"/>
      <c r="I192" s="169"/>
      <c r="J192" s="169"/>
      <c r="K192" s="169"/>
      <c r="L192" s="169"/>
      <c r="M192" s="169"/>
      <c r="N192" s="91"/>
      <c r="O192" s="170"/>
      <c r="P192" s="170"/>
      <c r="Q192" s="170"/>
      <c r="R192" s="219"/>
      <c r="S192" s="220"/>
      <c r="T192" s="220"/>
      <c r="U192" s="203"/>
      <c r="V192" s="205"/>
      <c r="W192" s="205"/>
      <c r="X192" s="205"/>
      <c r="Y192" s="205"/>
      <c r="Z192" s="210"/>
      <c r="AA192" s="213"/>
      <c r="AB192" s="203"/>
    </row>
    <row r="193" spans="1:28" x14ac:dyDescent="0.25">
      <c r="A193" s="7"/>
      <c r="B193" s="148"/>
      <c r="C193" s="150"/>
      <c r="D193" s="146"/>
      <c r="E193" s="146"/>
      <c r="F193" s="147"/>
      <c r="G193" s="169"/>
      <c r="H193" s="169"/>
      <c r="I193" s="169"/>
      <c r="J193" s="169"/>
      <c r="K193" s="169"/>
      <c r="L193" s="169"/>
      <c r="M193" s="169"/>
      <c r="N193" s="91"/>
      <c r="O193" s="170"/>
      <c r="P193" s="170"/>
      <c r="Q193" s="170"/>
      <c r="R193" s="219"/>
      <c r="S193" s="220"/>
      <c r="T193" s="220"/>
      <c r="U193" s="203"/>
      <c r="V193" s="205"/>
      <c r="W193" s="205"/>
      <c r="X193" s="205"/>
      <c r="Y193" s="205"/>
      <c r="Z193" s="210"/>
      <c r="AA193" s="213"/>
      <c r="AB193" s="203"/>
    </row>
    <row r="194" spans="1:28" x14ac:dyDescent="0.25">
      <c r="A194" s="7"/>
      <c r="B194" s="148"/>
      <c r="C194" s="150"/>
      <c r="D194" s="146"/>
      <c r="E194" s="146"/>
      <c r="F194" s="147"/>
      <c r="G194" s="169"/>
      <c r="H194" s="169"/>
      <c r="I194" s="169"/>
      <c r="J194" s="169"/>
      <c r="K194" s="169"/>
      <c r="L194" s="169"/>
      <c r="M194" s="169"/>
      <c r="N194" s="91"/>
      <c r="O194" s="170"/>
      <c r="P194" s="170"/>
      <c r="Q194" s="170"/>
      <c r="R194" s="219"/>
      <c r="S194" s="220"/>
      <c r="T194" s="220"/>
      <c r="U194" s="203"/>
      <c r="V194" s="205"/>
      <c r="W194" s="205"/>
      <c r="X194" s="205"/>
      <c r="Y194" s="205"/>
      <c r="Z194" s="210"/>
      <c r="AA194" s="213"/>
      <c r="AB194" s="203"/>
    </row>
    <row r="195" spans="1:28" x14ac:dyDescent="0.25">
      <c r="A195" s="7"/>
      <c r="B195" s="148"/>
      <c r="C195" s="150"/>
      <c r="D195" s="146"/>
      <c r="E195" s="146"/>
      <c r="F195" s="147"/>
      <c r="G195" s="169"/>
      <c r="H195" s="169"/>
      <c r="I195" s="169"/>
      <c r="J195" s="169"/>
      <c r="K195" s="169"/>
      <c r="L195" s="169"/>
      <c r="M195" s="169"/>
      <c r="N195" s="91"/>
      <c r="O195" s="170"/>
      <c r="P195" s="170"/>
      <c r="Q195" s="170"/>
      <c r="R195" s="219"/>
      <c r="S195" s="220"/>
      <c r="T195" s="220"/>
      <c r="U195" s="203"/>
      <c r="V195" s="205"/>
      <c r="W195" s="205"/>
      <c r="X195" s="205"/>
      <c r="Y195" s="205"/>
      <c r="Z195" s="210"/>
      <c r="AA195" s="213"/>
      <c r="AB195" s="203"/>
    </row>
    <row r="196" spans="1:28" x14ac:dyDescent="0.25">
      <c r="A196" s="7"/>
      <c r="B196" s="148"/>
      <c r="C196" s="150"/>
      <c r="D196" s="146"/>
      <c r="E196" s="146"/>
      <c r="F196" s="147"/>
      <c r="G196" s="169"/>
      <c r="H196" s="169"/>
      <c r="I196" s="169"/>
      <c r="J196" s="169"/>
      <c r="K196" s="169"/>
      <c r="L196" s="169"/>
      <c r="M196" s="169"/>
      <c r="N196" s="91"/>
      <c r="O196" s="170"/>
      <c r="P196" s="170"/>
      <c r="Q196" s="170"/>
      <c r="R196" s="219"/>
      <c r="S196" s="220"/>
      <c r="T196" s="220"/>
      <c r="U196" s="203"/>
      <c r="V196" s="205"/>
      <c r="W196" s="205"/>
      <c r="X196" s="205"/>
      <c r="Y196" s="205"/>
      <c r="Z196" s="210"/>
      <c r="AA196" s="213"/>
      <c r="AB196" s="203"/>
    </row>
    <row r="197" spans="1:28" x14ac:dyDescent="0.25">
      <c r="A197" s="7"/>
      <c r="B197" s="148"/>
      <c r="C197" s="150"/>
      <c r="D197" s="146"/>
      <c r="E197" s="146"/>
      <c r="F197" s="147"/>
      <c r="G197" s="169"/>
      <c r="H197" s="169"/>
      <c r="I197" s="169"/>
      <c r="J197" s="169"/>
      <c r="K197" s="169"/>
      <c r="L197" s="169"/>
      <c r="M197" s="169"/>
      <c r="N197" s="91"/>
      <c r="O197" s="170"/>
      <c r="P197" s="170"/>
      <c r="Q197" s="170"/>
      <c r="R197" s="219"/>
      <c r="S197" s="220"/>
      <c r="T197" s="220"/>
      <c r="U197" s="203"/>
      <c r="V197" s="205"/>
      <c r="W197" s="205"/>
      <c r="X197" s="205"/>
      <c r="Y197" s="205"/>
      <c r="Z197" s="210"/>
      <c r="AA197" s="213"/>
      <c r="AB197" s="203"/>
    </row>
    <row r="198" spans="1:28" x14ac:dyDescent="0.25">
      <c r="A198" s="7"/>
      <c r="B198" s="148"/>
      <c r="C198" s="150"/>
      <c r="D198" s="146"/>
      <c r="E198" s="146"/>
      <c r="F198" s="147"/>
      <c r="G198" s="169"/>
      <c r="H198" s="169"/>
      <c r="I198" s="169"/>
      <c r="J198" s="169"/>
      <c r="K198" s="169"/>
      <c r="L198" s="169"/>
      <c r="M198" s="169"/>
      <c r="N198" s="91"/>
      <c r="O198" s="170"/>
      <c r="P198" s="170"/>
      <c r="Q198" s="170"/>
      <c r="R198" s="219"/>
      <c r="S198" s="220"/>
      <c r="T198" s="220"/>
      <c r="U198" s="203"/>
      <c r="V198" s="205"/>
      <c r="W198" s="205"/>
      <c r="X198" s="205"/>
      <c r="Y198" s="205"/>
      <c r="Z198" s="210"/>
      <c r="AA198" s="213"/>
      <c r="AB198" s="203"/>
    </row>
    <row r="199" spans="1:28" x14ac:dyDescent="0.25">
      <c r="A199" s="7"/>
      <c r="B199" s="148"/>
      <c r="C199" s="150"/>
      <c r="D199" s="146"/>
      <c r="E199" s="146"/>
      <c r="F199" s="147"/>
      <c r="G199" s="169"/>
      <c r="H199" s="169"/>
      <c r="I199" s="169"/>
      <c r="J199" s="169"/>
      <c r="K199" s="169"/>
      <c r="L199" s="169"/>
      <c r="M199" s="169"/>
      <c r="N199" s="91"/>
      <c r="O199" s="170"/>
      <c r="P199" s="170"/>
      <c r="Q199" s="170"/>
      <c r="R199" s="219"/>
      <c r="S199" s="220"/>
      <c r="T199" s="220"/>
      <c r="U199" s="203"/>
      <c r="V199" s="205"/>
      <c r="W199" s="205"/>
      <c r="X199" s="205"/>
      <c r="Y199" s="205"/>
      <c r="Z199" s="210"/>
      <c r="AA199" s="213"/>
      <c r="AB199" s="203"/>
    </row>
    <row r="200" spans="1:28" x14ac:dyDescent="0.25">
      <c r="A200" s="7"/>
      <c r="B200" s="148"/>
      <c r="C200" s="150"/>
      <c r="D200" s="146"/>
      <c r="E200" s="146"/>
      <c r="F200" s="147"/>
      <c r="G200" s="169"/>
      <c r="H200" s="169"/>
      <c r="I200" s="169"/>
      <c r="J200" s="169"/>
      <c r="K200" s="169"/>
      <c r="L200" s="169"/>
      <c r="M200" s="169"/>
      <c r="N200" s="91"/>
      <c r="O200" s="170"/>
      <c r="P200" s="170"/>
      <c r="Q200" s="170"/>
      <c r="R200" s="219"/>
      <c r="S200" s="220"/>
      <c r="T200" s="220"/>
      <c r="U200" s="203"/>
      <c r="V200" s="205"/>
      <c r="W200" s="205"/>
      <c r="X200" s="205"/>
      <c r="Y200" s="205"/>
      <c r="Z200" s="210"/>
      <c r="AA200" s="213"/>
      <c r="AB200" s="203"/>
    </row>
    <row r="201" spans="1:28" x14ac:dyDescent="0.25">
      <c r="A201" s="7"/>
      <c r="B201" s="148"/>
      <c r="C201" s="150"/>
      <c r="D201" s="146"/>
      <c r="E201" s="146"/>
      <c r="F201" s="147"/>
      <c r="G201" s="169"/>
      <c r="H201" s="169"/>
      <c r="I201" s="169"/>
      <c r="J201" s="169"/>
      <c r="K201" s="169"/>
      <c r="L201" s="169"/>
      <c r="M201" s="169"/>
      <c r="N201" s="91"/>
      <c r="O201" s="170"/>
      <c r="P201" s="170"/>
      <c r="Q201" s="170"/>
      <c r="R201" s="219"/>
      <c r="S201" s="220"/>
      <c r="T201" s="220"/>
      <c r="U201" s="203"/>
      <c r="V201" s="205"/>
      <c r="W201" s="205"/>
      <c r="X201" s="205"/>
      <c r="Y201" s="205"/>
      <c r="Z201" s="210"/>
      <c r="AA201" s="213"/>
      <c r="AB201" s="203"/>
    </row>
    <row r="202" spans="1:28" x14ac:dyDescent="0.25">
      <c r="A202" s="7"/>
      <c r="B202" s="148"/>
      <c r="C202" s="150"/>
      <c r="D202" s="146"/>
      <c r="E202" s="146"/>
      <c r="F202" s="147"/>
      <c r="G202" s="169"/>
      <c r="H202" s="169"/>
      <c r="I202" s="169"/>
      <c r="J202" s="169"/>
      <c r="K202" s="169"/>
      <c r="L202" s="169"/>
      <c r="M202" s="169"/>
      <c r="N202" s="91"/>
      <c r="O202" s="170"/>
      <c r="P202" s="170"/>
      <c r="Q202" s="170"/>
      <c r="R202" s="219"/>
      <c r="S202" s="220"/>
      <c r="T202" s="220"/>
      <c r="U202" s="203"/>
      <c r="V202" s="205"/>
      <c r="W202" s="205"/>
      <c r="X202" s="205"/>
      <c r="Y202" s="205"/>
      <c r="Z202" s="210"/>
      <c r="AA202" s="213"/>
      <c r="AB202" s="203"/>
    </row>
    <row r="203" spans="1:28" x14ac:dyDescent="0.25">
      <c r="A203" s="7"/>
      <c r="B203" s="148"/>
      <c r="C203" s="150"/>
      <c r="D203" s="146"/>
      <c r="E203" s="146"/>
      <c r="F203" s="147"/>
      <c r="G203" s="169"/>
      <c r="H203" s="169"/>
      <c r="I203" s="169"/>
      <c r="J203" s="169"/>
      <c r="K203" s="169"/>
      <c r="L203" s="169"/>
      <c r="M203" s="169"/>
      <c r="N203" s="91"/>
      <c r="O203" s="170"/>
      <c r="P203" s="170"/>
      <c r="Q203" s="170"/>
      <c r="R203" s="219"/>
      <c r="S203" s="220"/>
      <c r="T203" s="220"/>
      <c r="U203" s="203"/>
      <c r="V203" s="205"/>
      <c r="W203" s="205"/>
      <c r="X203" s="205"/>
      <c r="Y203" s="205"/>
      <c r="Z203" s="210"/>
      <c r="AA203" s="213"/>
      <c r="AB203" s="203"/>
    </row>
    <row r="204" spans="1:28" x14ac:dyDescent="0.25">
      <c r="A204" s="7"/>
      <c r="B204" s="148"/>
      <c r="C204" s="150"/>
      <c r="D204" s="146"/>
      <c r="E204" s="146"/>
      <c r="F204" s="147"/>
      <c r="G204" s="169"/>
      <c r="H204" s="169"/>
      <c r="I204" s="169"/>
      <c r="J204" s="169"/>
      <c r="K204" s="169"/>
      <c r="L204" s="169"/>
      <c r="M204" s="169"/>
      <c r="N204" s="91"/>
      <c r="O204" s="170"/>
      <c r="P204" s="170"/>
      <c r="Q204" s="170"/>
      <c r="R204" s="219"/>
      <c r="S204" s="220"/>
      <c r="T204" s="220"/>
      <c r="U204" s="203"/>
      <c r="V204" s="205"/>
      <c r="W204" s="205"/>
      <c r="X204" s="205"/>
      <c r="Y204" s="205"/>
      <c r="Z204" s="210"/>
      <c r="AA204" s="213"/>
      <c r="AB204" s="203"/>
    </row>
    <row r="205" spans="1:28" x14ac:dyDescent="0.25">
      <c r="A205" s="7"/>
      <c r="B205" s="148"/>
      <c r="C205" s="150"/>
      <c r="D205" s="146"/>
      <c r="E205" s="146"/>
      <c r="F205" s="147"/>
      <c r="G205" s="169"/>
      <c r="H205" s="169"/>
      <c r="I205" s="169"/>
      <c r="J205" s="169"/>
      <c r="K205" s="169"/>
      <c r="L205" s="169"/>
      <c r="M205" s="169"/>
      <c r="N205" s="91"/>
      <c r="O205" s="170"/>
      <c r="P205" s="170"/>
      <c r="Q205" s="170"/>
      <c r="R205" s="219"/>
      <c r="S205" s="220"/>
      <c r="T205" s="220"/>
      <c r="U205" s="203"/>
      <c r="V205" s="205"/>
      <c r="W205" s="205"/>
      <c r="X205" s="205"/>
      <c r="Y205" s="205"/>
      <c r="Z205" s="210"/>
      <c r="AA205" s="213"/>
      <c r="AB205" s="203"/>
    </row>
    <row r="206" spans="1:28" x14ac:dyDescent="0.25">
      <c r="A206" s="7"/>
      <c r="B206" s="148"/>
      <c r="C206" s="150"/>
      <c r="D206" s="146"/>
      <c r="E206" s="146"/>
      <c r="F206" s="147"/>
      <c r="G206" s="169"/>
      <c r="H206" s="169"/>
      <c r="I206" s="169"/>
      <c r="J206" s="169"/>
      <c r="K206" s="169"/>
      <c r="L206" s="169"/>
      <c r="M206" s="169"/>
      <c r="N206" s="91"/>
      <c r="O206" s="170"/>
      <c r="P206" s="170"/>
      <c r="Q206" s="170"/>
      <c r="R206" s="219"/>
      <c r="S206" s="220"/>
      <c r="T206" s="220"/>
      <c r="U206" s="203"/>
      <c r="V206" s="205"/>
      <c r="W206" s="205"/>
      <c r="X206" s="205"/>
      <c r="Y206" s="205"/>
      <c r="Z206" s="210"/>
      <c r="AA206" s="213"/>
      <c r="AB206" s="203"/>
    </row>
    <row r="207" spans="1:28" x14ac:dyDescent="0.25">
      <c r="A207" s="7"/>
      <c r="B207" s="148"/>
      <c r="C207" s="150"/>
      <c r="D207" s="146"/>
      <c r="E207" s="146"/>
      <c r="F207" s="147"/>
      <c r="G207" s="169"/>
      <c r="H207" s="169"/>
      <c r="I207" s="169"/>
      <c r="J207" s="169"/>
      <c r="K207" s="169"/>
      <c r="L207" s="169"/>
      <c r="M207" s="169"/>
      <c r="N207" s="91"/>
      <c r="O207" s="170"/>
      <c r="P207" s="170"/>
      <c r="Q207" s="170"/>
      <c r="R207" s="219"/>
      <c r="S207" s="220"/>
      <c r="T207" s="220"/>
      <c r="U207" s="203"/>
      <c r="V207" s="205"/>
      <c r="W207" s="205"/>
      <c r="X207" s="205"/>
      <c r="Y207" s="205"/>
      <c r="Z207" s="210"/>
      <c r="AA207" s="213"/>
      <c r="AB207" s="203"/>
    </row>
    <row r="208" spans="1:28" x14ac:dyDescent="0.25">
      <c r="A208" s="7"/>
      <c r="B208" s="148"/>
      <c r="C208" s="150"/>
      <c r="D208" s="146"/>
      <c r="E208" s="146"/>
      <c r="F208" s="147"/>
      <c r="G208" s="169"/>
      <c r="H208" s="169"/>
      <c r="I208" s="169"/>
      <c r="J208" s="169"/>
      <c r="K208" s="169"/>
      <c r="L208" s="169"/>
      <c r="M208" s="169"/>
      <c r="N208" s="91"/>
      <c r="O208" s="170"/>
      <c r="P208" s="170"/>
      <c r="Q208" s="170"/>
      <c r="R208" s="219"/>
      <c r="S208" s="220"/>
      <c r="T208" s="220"/>
      <c r="U208" s="203"/>
      <c r="V208" s="205"/>
      <c r="W208" s="205"/>
      <c r="X208" s="205"/>
      <c r="Y208" s="205"/>
      <c r="Z208" s="210"/>
      <c r="AA208" s="213"/>
      <c r="AB208" s="203"/>
    </row>
    <row r="209" spans="1:28" x14ac:dyDescent="0.25">
      <c r="A209" s="7"/>
      <c r="B209" s="148"/>
      <c r="C209" s="150"/>
      <c r="D209" s="146"/>
      <c r="E209" s="146"/>
      <c r="F209" s="147"/>
      <c r="G209" s="169"/>
      <c r="H209" s="169"/>
      <c r="I209" s="169"/>
      <c r="J209" s="169"/>
      <c r="K209" s="169"/>
      <c r="L209" s="169"/>
      <c r="M209" s="169"/>
      <c r="N209" s="91"/>
      <c r="O209" s="170"/>
      <c r="P209" s="170"/>
      <c r="Q209" s="170"/>
      <c r="R209" s="219"/>
      <c r="S209" s="220"/>
      <c r="T209" s="220"/>
      <c r="U209" s="203"/>
      <c r="V209" s="205"/>
      <c r="W209" s="205"/>
      <c r="X209" s="205"/>
      <c r="Y209" s="205"/>
      <c r="Z209" s="210"/>
      <c r="AA209" s="213"/>
      <c r="AB209" s="203"/>
    </row>
    <row r="210" spans="1:28" x14ac:dyDescent="0.25">
      <c r="A210" s="7"/>
      <c r="B210" s="148"/>
      <c r="C210" s="150"/>
      <c r="D210" s="146"/>
      <c r="E210" s="146"/>
      <c r="F210" s="147"/>
      <c r="G210" s="169"/>
      <c r="H210" s="169"/>
      <c r="I210" s="169"/>
      <c r="J210" s="169"/>
      <c r="K210" s="169"/>
      <c r="L210" s="169"/>
      <c r="M210" s="169"/>
      <c r="N210" s="91"/>
      <c r="O210" s="170"/>
      <c r="P210" s="170"/>
      <c r="Q210" s="170"/>
      <c r="R210" s="219"/>
      <c r="S210" s="220"/>
      <c r="T210" s="220"/>
      <c r="U210" s="203"/>
      <c r="V210" s="205"/>
      <c r="W210" s="205"/>
      <c r="X210" s="205"/>
      <c r="Y210" s="205"/>
      <c r="Z210" s="210"/>
      <c r="AA210" s="213"/>
      <c r="AB210" s="203"/>
    </row>
    <row r="211" spans="1:28" x14ac:dyDescent="0.25">
      <c r="A211" s="7"/>
      <c r="B211" s="148"/>
      <c r="C211" s="150"/>
      <c r="D211" s="146"/>
      <c r="E211" s="146"/>
      <c r="F211" s="147"/>
      <c r="G211" s="169"/>
      <c r="H211" s="169"/>
      <c r="I211" s="169"/>
      <c r="J211" s="169"/>
      <c r="K211" s="169"/>
      <c r="L211" s="169"/>
      <c r="M211" s="169"/>
      <c r="N211" s="91"/>
      <c r="O211" s="170"/>
      <c r="P211" s="170"/>
      <c r="Q211" s="170"/>
      <c r="R211" s="219"/>
      <c r="S211" s="220"/>
      <c r="T211" s="220"/>
      <c r="U211" s="203"/>
      <c r="V211" s="205"/>
      <c r="W211" s="205"/>
      <c r="X211" s="205"/>
      <c r="Y211" s="205"/>
      <c r="Z211" s="210"/>
      <c r="AA211" s="213"/>
      <c r="AB211" s="203"/>
    </row>
    <row r="212" spans="1:28" x14ac:dyDescent="0.25">
      <c r="B212" s="10"/>
      <c r="C212" s="8"/>
      <c r="O212" s="3"/>
      <c r="P212" s="3"/>
      <c r="Q212" s="3"/>
      <c r="R212" s="205"/>
      <c r="S212" s="203"/>
      <c r="T212" s="203"/>
      <c r="U212" s="203"/>
      <c r="V212" s="205"/>
      <c r="W212" s="203"/>
      <c r="X212" s="203"/>
      <c r="Y212" s="203"/>
      <c r="Z212" s="203"/>
      <c r="AA212" s="213"/>
      <c r="AB212" s="203"/>
    </row>
    <row r="213" spans="1:28" x14ac:dyDescent="0.25">
      <c r="B213" s="10"/>
      <c r="C213" s="8"/>
      <c r="O213" s="3"/>
      <c r="P213" s="3"/>
      <c r="Q213" s="3"/>
      <c r="R213" s="205"/>
      <c r="S213" s="203"/>
      <c r="T213" s="203"/>
      <c r="U213" s="203"/>
      <c r="V213" s="205"/>
      <c r="W213" s="203"/>
      <c r="X213" s="203"/>
      <c r="Y213" s="203"/>
      <c r="Z213" s="203"/>
      <c r="AA213" s="213"/>
      <c r="AB213" s="203"/>
    </row>
    <row r="214" spans="1:28" x14ac:dyDescent="0.25">
      <c r="B214" s="10"/>
      <c r="C214" s="8"/>
      <c r="O214" s="3"/>
      <c r="P214" s="3"/>
      <c r="Q214" s="3"/>
      <c r="R214" s="205"/>
      <c r="S214" s="203"/>
      <c r="T214" s="203"/>
      <c r="U214" s="203"/>
      <c r="V214" s="205"/>
      <c r="W214" s="203"/>
      <c r="X214" s="203"/>
      <c r="Y214" s="203"/>
      <c r="Z214" s="203"/>
      <c r="AA214" s="213"/>
      <c r="AB214" s="203"/>
    </row>
    <row r="215" spans="1:28" x14ac:dyDescent="0.25">
      <c r="B215" s="10"/>
      <c r="C215" s="8"/>
      <c r="O215" s="3"/>
      <c r="P215" s="3"/>
      <c r="Q215" s="3"/>
      <c r="R215" s="205"/>
      <c r="S215" s="203"/>
      <c r="T215" s="203"/>
      <c r="U215" s="203"/>
      <c r="V215" s="205"/>
      <c r="W215" s="203"/>
      <c r="X215" s="203"/>
      <c r="Y215" s="203"/>
      <c r="Z215" s="203"/>
      <c r="AA215" s="213"/>
      <c r="AB215" s="203"/>
    </row>
    <row r="216" spans="1:28" x14ac:dyDescent="0.25">
      <c r="B216" s="10"/>
      <c r="C216" s="8"/>
      <c r="O216" s="3"/>
      <c r="P216" s="3"/>
      <c r="Q216" s="3"/>
      <c r="R216" s="205"/>
      <c r="S216" s="203"/>
      <c r="T216" s="203"/>
      <c r="U216" s="203"/>
      <c r="V216" s="205"/>
      <c r="W216" s="203"/>
      <c r="X216" s="203"/>
      <c r="Y216" s="203"/>
      <c r="Z216" s="203"/>
      <c r="AA216" s="213"/>
      <c r="AB216" s="203"/>
    </row>
    <row r="217" spans="1:28" x14ac:dyDescent="0.25">
      <c r="B217" s="10"/>
      <c r="C217" s="8"/>
      <c r="O217" s="3"/>
      <c r="P217" s="3"/>
      <c r="Q217" s="3"/>
      <c r="R217" s="205"/>
      <c r="S217" s="203"/>
      <c r="T217" s="203"/>
      <c r="U217" s="203"/>
      <c r="V217" s="205"/>
      <c r="W217" s="203"/>
      <c r="X217" s="203"/>
      <c r="Y217" s="203"/>
      <c r="Z217" s="203"/>
      <c r="AA217" s="213"/>
      <c r="AB217" s="203"/>
    </row>
    <row r="218" spans="1:28" x14ac:dyDescent="0.25">
      <c r="B218" s="10"/>
      <c r="O218" s="3"/>
      <c r="P218" s="3"/>
      <c r="Q218" s="3"/>
      <c r="R218" s="205"/>
      <c r="S218" s="203"/>
      <c r="T218" s="203"/>
      <c r="U218" s="203"/>
      <c r="V218" s="205"/>
      <c r="W218" s="203"/>
      <c r="X218" s="203"/>
      <c r="Y218" s="203"/>
      <c r="Z218" s="203"/>
      <c r="AA218" s="213"/>
      <c r="AB218" s="203"/>
    </row>
    <row r="219" spans="1:28" x14ac:dyDescent="0.25">
      <c r="B219" s="10"/>
      <c r="O219" s="3"/>
      <c r="P219" s="3"/>
      <c r="Q219" s="3"/>
      <c r="R219" s="205"/>
      <c r="S219" s="203"/>
      <c r="T219" s="203"/>
      <c r="U219" s="203"/>
      <c r="V219" s="205"/>
      <c r="W219" s="203"/>
      <c r="X219" s="203"/>
      <c r="Y219" s="203"/>
      <c r="Z219" s="203"/>
      <c r="AA219" s="213"/>
      <c r="AB219" s="203"/>
    </row>
    <row r="220" spans="1:28" x14ac:dyDescent="0.25">
      <c r="O220" s="3"/>
      <c r="P220" s="3"/>
      <c r="Q220" s="3"/>
      <c r="R220" s="205"/>
      <c r="S220" s="203"/>
      <c r="T220" s="203"/>
      <c r="U220" s="203"/>
      <c r="V220" s="205"/>
      <c r="W220" s="203"/>
      <c r="X220" s="203"/>
      <c r="Y220" s="203"/>
      <c r="Z220" s="203"/>
      <c r="AA220" s="213"/>
      <c r="AB220" s="203"/>
    </row>
    <row r="221" spans="1:28" x14ac:dyDescent="0.25">
      <c r="O221" s="3"/>
      <c r="P221" s="3"/>
      <c r="Q221" s="3"/>
      <c r="R221" s="205"/>
      <c r="S221" s="203"/>
      <c r="T221" s="203"/>
      <c r="U221" s="203"/>
      <c r="V221" s="205"/>
      <c r="W221" s="203"/>
      <c r="X221" s="203"/>
      <c r="Y221" s="203"/>
      <c r="Z221" s="203"/>
      <c r="AA221" s="213"/>
      <c r="AB221" s="203"/>
    </row>
    <row r="222" spans="1:28" x14ac:dyDescent="0.25">
      <c r="O222" s="3"/>
      <c r="P222" s="3"/>
      <c r="Q222" s="3"/>
      <c r="R222" s="205"/>
      <c r="S222" s="203"/>
      <c r="T222" s="203"/>
      <c r="U222" s="203"/>
      <c r="V222" s="205"/>
      <c r="W222" s="203"/>
      <c r="X222" s="203"/>
      <c r="Y222" s="203"/>
      <c r="Z222" s="203"/>
      <c r="AA222" s="213"/>
      <c r="AB222" s="203"/>
    </row>
    <row r="223" spans="1:28" x14ac:dyDescent="0.25">
      <c r="R223" s="205"/>
      <c r="S223" s="203"/>
      <c r="T223" s="203"/>
      <c r="U223" s="203"/>
      <c r="V223" s="205"/>
      <c r="W223" s="203"/>
      <c r="X223" s="203"/>
      <c r="Y223" s="203"/>
      <c r="Z223" s="203"/>
      <c r="AA223" s="213"/>
      <c r="AB223" s="203"/>
    </row>
    <row r="224" spans="1:28" x14ac:dyDescent="0.25">
      <c r="R224" s="205"/>
      <c r="S224" s="203"/>
      <c r="T224" s="203"/>
      <c r="U224" s="203"/>
      <c r="V224" s="205"/>
      <c r="W224" s="203"/>
      <c r="X224" s="203"/>
      <c r="Y224" s="203"/>
      <c r="Z224" s="203"/>
      <c r="AA224" s="213"/>
      <c r="AB224" s="203"/>
    </row>
    <row r="225" spans="18:28" x14ac:dyDescent="0.25">
      <c r="R225" s="205"/>
      <c r="S225" s="203"/>
      <c r="T225" s="203"/>
      <c r="U225" s="203"/>
      <c r="V225" s="205"/>
      <c r="W225" s="203"/>
      <c r="X225" s="203"/>
      <c r="Y225" s="203"/>
      <c r="Z225" s="203"/>
      <c r="AA225" s="213"/>
      <c r="AB225" s="203"/>
    </row>
    <row r="226" spans="18:28" x14ac:dyDescent="0.25">
      <c r="R226" s="205"/>
      <c r="S226" s="203"/>
      <c r="T226" s="203"/>
      <c r="U226" s="203"/>
      <c r="V226" s="205"/>
      <c r="W226" s="203"/>
      <c r="X226" s="203"/>
      <c r="Y226" s="203"/>
      <c r="Z226" s="203"/>
      <c r="AA226" s="213"/>
      <c r="AB226" s="203"/>
    </row>
    <row r="227" spans="18:28" x14ac:dyDescent="0.25">
      <c r="R227" s="205"/>
      <c r="S227" s="203"/>
      <c r="T227" s="203"/>
      <c r="U227" s="203"/>
      <c r="V227" s="205"/>
      <c r="W227" s="203"/>
      <c r="X227" s="203"/>
      <c r="Y227" s="203"/>
      <c r="Z227" s="203"/>
      <c r="AA227" s="213"/>
      <c r="AB227" s="203"/>
    </row>
    <row r="228" spans="18:28" x14ac:dyDescent="0.25">
      <c r="R228" s="205"/>
      <c r="S228" s="203"/>
      <c r="T228" s="203"/>
      <c r="U228" s="203"/>
      <c r="V228" s="205"/>
      <c r="W228" s="203"/>
      <c r="X228" s="203"/>
      <c r="Y228" s="203"/>
      <c r="Z228" s="203"/>
      <c r="AA228" s="213"/>
      <c r="AB228" s="203"/>
    </row>
    <row r="229" spans="18:28" x14ac:dyDescent="0.25">
      <c r="R229" s="205"/>
      <c r="S229" s="203"/>
      <c r="T229" s="203"/>
      <c r="U229" s="203"/>
      <c r="V229" s="205"/>
      <c r="W229" s="203"/>
      <c r="X229" s="203"/>
      <c r="Y229" s="203"/>
      <c r="Z229" s="203"/>
      <c r="AA229" s="213"/>
      <c r="AB229" s="203"/>
    </row>
    <row r="230" spans="18:28" x14ac:dyDescent="0.25">
      <c r="R230" s="205"/>
      <c r="S230" s="203"/>
      <c r="T230" s="203"/>
      <c r="U230" s="203"/>
      <c r="V230" s="205"/>
      <c r="W230" s="203"/>
      <c r="X230" s="203"/>
      <c r="Y230" s="203"/>
      <c r="Z230" s="203"/>
      <c r="AA230" s="213"/>
      <c r="AB230" s="203"/>
    </row>
    <row r="231" spans="18:28" x14ac:dyDescent="0.25">
      <c r="R231" s="205"/>
      <c r="S231" s="203"/>
      <c r="T231" s="203"/>
      <c r="U231" s="203"/>
      <c r="V231" s="205"/>
      <c r="W231" s="203"/>
      <c r="X231" s="203"/>
      <c r="Y231" s="203"/>
      <c r="Z231" s="203"/>
      <c r="AA231" s="213"/>
      <c r="AB231" s="203"/>
    </row>
    <row r="232" spans="18:28" x14ac:dyDescent="0.25">
      <c r="R232" s="205"/>
      <c r="S232" s="203"/>
      <c r="T232" s="203"/>
      <c r="U232" s="203"/>
      <c r="V232" s="205"/>
      <c r="W232" s="203"/>
      <c r="X232" s="203"/>
      <c r="Y232" s="203"/>
      <c r="Z232" s="203"/>
      <c r="AA232" s="213"/>
      <c r="AB232" s="203"/>
    </row>
    <row r="233" spans="18:28" x14ac:dyDescent="0.25">
      <c r="R233" s="205"/>
      <c r="S233" s="203"/>
      <c r="T233" s="203"/>
      <c r="U233" s="203"/>
      <c r="V233" s="205"/>
      <c r="W233" s="203"/>
      <c r="X233" s="203"/>
      <c r="Y233" s="203"/>
      <c r="Z233" s="203"/>
      <c r="AA233" s="213"/>
      <c r="AB233" s="203"/>
    </row>
    <row r="234" spans="18:28" x14ac:dyDescent="0.25">
      <c r="R234" s="205"/>
      <c r="S234" s="203"/>
      <c r="T234" s="203"/>
      <c r="U234" s="203"/>
      <c r="V234" s="205"/>
      <c r="W234" s="203"/>
      <c r="X234" s="203"/>
      <c r="Y234" s="203"/>
      <c r="Z234" s="203"/>
      <c r="AA234" s="213"/>
      <c r="AB234" s="203"/>
    </row>
    <row r="235" spans="18:28" x14ac:dyDescent="0.25">
      <c r="R235" s="205"/>
      <c r="S235" s="203"/>
      <c r="T235" s="203"/>
      <c r="U235" s="203"/>
      <c r="V235" s="205"/>
      <c r="W235" s="203"/>
      <c r="X235" s="203"/>
      <c r="Y235" s="203"/>
      <c r="Z235" s="203"/>
      <c r="AA235" s="213"/>
      <c r="AB235" s="203"/>
    </row>
    <row r="236" spans="18:28" x14ac:dyDescent="0.25">
      <c r="R236" s="205"/>
      <c r="S236" s="203"/>
      <c r="T236" s="203"/>
      <c r="U236" s="203"/>
      <c r="V236" s="205"/>
      <c r="W236" s="203"/>
      <c r="X236" s="203"/>
      <c r="Y236" s="203"/>
      <c r="Z236" s="203"/>
      <c r="AA236" s="213"/>
      <c r="AB236" s="203"/>
    </row>
    <row r="237" spans="18:28" x14ac:dyDescent="0.25">
      <c r="R237" s="205"/>
      <c r="S237" s="203"/>
      <c r="T237" s="203"/>
      <c r="U237" s="203"/>
      <c r="V237" s="205"/>
      <c r="W237" s="203"/>
      <c r="X237" s="203"/>
      <c r="Y237" s="203"/>
      <c r="Z237" s="203"/>
      <c r="AA237" s="213"/>
      <c r="AB237" s="203"/>
    </row>
    <row r="238" spans="18:28" x14ac:dyDescent="0.25">
      <c r="R238" s="205"/>
      <c r="S238" s="203"/>
      <c r="T238" s="203"/>
      <c r="U238" s="203"/>
      <c r="V238" s="205"/>
      <c r="W238" s="203"/>
      <c r="X238" s="203"/>
      <c r="Y238" s="203"/>
      <c r="Z238" s="203"/>
      <c r="AA238" s="213"/>
      <c r="AB238" s="203"/>
    </row>
    <row r="239" spans="18:28" x14ac:dyDescent="0.25">
      <c r="R239" s="205"/>
      <c r="S239" s="203"/>
      <c r="T239" s="203"/>
      <c r="U239" s="203"/>
      <c r="V239" s="205"/>
      <c r="W239" s="203"/>
      <c r="X239" s="203"/>
      <c r="Y239" s="203"/>
      <c r="Z239" s="203"/>
      <c r="AA239" s="213"/>
      <c r="AB239" s="203"/>
    </row>
    <row r="240" spans="18:28" x14ac:dyDescent="0.25">
      <c r="R240" s="205"/>
      <c r="S240" s="203"/>
      <c r="T240" s="203"/>
      <c r="U240" s="203"/>
      <c r="V240" s="205"/>
      <c r="W240" s="203"/>
      <c r="X240" s="203"/>
      <c r="Y240" s="203"/>
      <c r="Z240" s="203"/>
      <c r="AA240" s="213"/>
      <c r="AB240" s="203"/>
    </row>
    <row r="241" spans="18:28" x14ac:dyDescent="0.25">
      <c r="R241" s="205"/>
      <c r="S241" s="203"/>
      <c r="T241" s="203"/>
      <c r="U241" s="203"/>
      <c r="V241" s="205"/>
      <c r="W241" s="203"/>
      <c r="X241" s="203"/>
      <c r="Y241" s="203"/>
      <c r="Z241" s="203"/>
      <c r="AA241" s="213"/>
      <c r="AB241" s="203"/>
    </row>
    <row r="242" spans="18:28" x14ac:dyDescent="0.25">
      <c r="R242" s="205"/>
      <c r="S242" s="203"/>
      <c r="T242" s="203"/>
      <c r="U242" s="203"/>
      <c r="V242" s="205"/>
      <c r="W242" s="203"/>
      <c r="X242" s="203"/>
      <c r="Y242" s="203"/>
      <c r="Z242" s="203"/>
      <c r="AA242" s="213"/>
      <c r="AB242" s="203"/>
    </row>
    <row r="243" spans="18:28" x14ac:dyDescent="0.25">
      <c r="R243" s="205"/>
      <c r="S243" s="203"/>
      <c r="T243" s="203"/>
      <c r="U243" s="203"/>
      <c r="V243" s="205"/>
      <c r="W243" s="203"/>
      <c r="X243" s="203"/>
      <c r="Y243" s="203"/>
      <c r="Z243" s="203"/>
      <c r="AA243" s="213"/>
      <c r="AB243" s="203"/>
    </row>
    <row r="244" spans="18:28" x14ac:dyDescent="0.25">
      <c r="R244" s="205"/>
      <c r="S244" s="203"/>
      <c r="T244" s="203"/>
      <c r="U244" s="203"/>
      <c r="V244" s="205"/>
      <c r="W244" s="203"/>
      <c r="X244" s="203"/>
      <c r="Y244" s="203"/>
      <c r="Z244" s="203"/>
      <c r="AA244" s="213"/>
      <c r="AB244" s="203"/>
    </row>
    <row r="245" spans="18:28" x14ac:dyDescent="0.25">
      <c r="R245" s="205"/>
      <c r="S245" s="203"/>
      <c r="T245" s="203"/>
      <c r="U245" s="203"/>
      <c r="V245" s="205"/>
      <c r="W245" s="203"/>
      <c r="X245" s="203"/>
      <c r="Y245" s="203"/>
      <c r="Z245" s="203"/>
      <c r="AA245" s="213"/>
      <c r="AB245" s="203"/>
    </row>
    <row r="246" spans="18:28" x14ac:dyDescent="0.25">
      <c r="R246" s="205"/>
      <c r="S246" s="203"/>
      <c r="T246" s="203"/>
      <c r="U246" s="203"/>
      <c r="V246" s="205"/>
      <c r="W246" s="203"/>
      <c r="X246" s="203"/>
      <c r="Y246" s="203"/>
      <c r="Z246" s="203"/>
      <c r="AA246" s="213"/>
      <c r="AB246" s="203"/>
    </row>
    <row r="247" spans="18:28" x14ac:dyDescent="0.25">
      <c r="R247" s="205"/>
      <c r="S247" s="203"/>
      <c r="T247" s="203"/>
      <c r="U247" s="203"/>
      <c r="V247" s="205"/>
      <c r="W247" s="203"/>
      <c r="X247" s="203"/>
      <c r="Y247" s="203"/>
      <c r="Z247" s="203"/>
      <c r="AA247" s="213"/>
      <c r="AB247" s="203"/>
    </row>
    <row r="248" spans="18:28" x14ac:dyDescent="0.25">
      <c r="R248" s="205"/>
      <c r="S248" s="203"/>
      <c r="T248" s="203"/>
      <c r="U248" s="203"/>
      <c r="V248" s="205"/>
      <c r="W248" s="203"/>
      <c r="X248" s="203"/>
      <c r="Y248" s="203"/>
      <c r="Z248" s="203"/>
      <c r="AA248" s="213"/>
      <c r="AB248" s="203"/>
    </row>
    <row r="249" spans="18:28" x14ac:dyDescent="0.25">
      <c r="R249" s="205"/>
      <c r="S249" s="203"/>
      <c r="T249" s="203"/>
      <c r="U249" s="203"/>
      <c r="V249" s="205"/>
      <c r="W249" s="203"/>
      <c r="X249" s="203"/>
      <c r="Y249" s="203"/>
      <c r="Z249" s="203"/>
      <c r="AA249" s="213"/>
      <c r="AB249" s="203"/>
    </row>
    <row r="250" spans="18:28" x14ac:dyDescent="0.25">
      <c r="R250" s="205"/>
      <c r="S250" s="203"/>
      <c r="T250" s="203"/>
      <c r="U250" s="203"/>
      <c r="V250" s="205"/>
      <c r="W250" s="203"/>
      <c r="X250" s="203"/>
      <c r="Y250" s="203"/>
      <c r="Z250" s="203"/>
      <c r="AA250" s="213"/>
      <c r="AB250" s="203"/>
    </row>
    <row r="251" spans="18:28" x14ac:dyDescent="0.25">
      <c r="R251" s="205"/>
      <c r="S251" s="203"/>
      <c r="T251" s="203"/>
      <c r="U251" s="203"/>
      <c r="V251" s="205"/>
      <c r="W251" s="203"/>
      <c r="X251" s="203"/>
      <c r="Y251" s="203"/>
      <c r="Z251" s="203"/>
      <c r="AA251" s="213"/>
      <c r="AB251" s="203"/>
    </row>
    <row r="252" spans="18:28" x14ac:dyDescent="0.25">
      <c r="R252" s="205"/>
      <c r="S252" s="203"/>
      <c r="T252" s="203"/>
      <c r="U252" s="203"/>
      <c r="V252" s="205"/>
      <c r="W252" s="203"/>
      <c r="X252" s="203"/>
      <c r="Y252" s="203"/>
      <c r="Z252" s="203"/>
      <c r="AA252" s="213"/>
      <c r="AB252" s="203"/>
    </row>
    <row r="253" spans="18:28" x14ac:dyDescent="0.25">
      <c r="R253" s="205"/>
      <c r="S253" s="203"/>
      <c r="T253" s="203"/>
      <c r="U253" s="203"/>
      <c r="V253" s="205"/>
      <c r="W253" s="203"/>
      <c r="X253" s="203"/>
      <c r="Y253" s="203"/>
      <c r="Z253" s="203"/>
      <c r="AA253" s="213"/>
      <c r="AB253" s="203"/>
    </row>
    <row r="254" spans="18:28" x14ac:dyDescent="0.25">
      <c r="R254" s="205"/>
      <c r="S254" s="203"/>
      <c r="T254" s="203"/>
      <c r="U254" s="203"/>
      <c r="V254" s="205"/>
      <c r="W254" s="203"/>
      <c r="X254" s="203"/>
      <c r="Y254" s="203"/>
      <c r="Z254" s="203"/>
      <c r="AA254" s="213"/>
      <c r="AB254" s="203"/>
    </row>
    <row r="255" spans="18:28" x14ac:dyDescent="0.25">
      <c r="R255" s="205"/>
      <c r="S255" s="203"/>
      <c r="T255" s="203"/>
      <c r="U255" s="203"/>
      <c r="V255" s="205"/>
      <c r="W255" s="203"/>
      <c r="X255" s="203"/>
      <c r="Y255" s="203"/>
      <c r="Z255" s="203"/>
      <c r="AA255" s="213"/>
      <c r="AB255" s="203"/>
    </row>
    <row r="256" spans="18:28" x14ac:dyDescent="0.25">
      <c r="R256" s="205"/>
      <c r="S256" s="203"/>
      <c r="T256" s="203"/>
      <c r="U256" s="203"/>
      <c r="V256" s="205"/>
      <c r="W256" s="203"/>
      <c r="X256" s="203"/>
      <c r="Y256" s="203"/>
      <c r="Z256" s="203"/>
      <c r="AA256" s="213"/>
      <c r="AB256" s="203"/>
    </row>
    <row r="257" spans="18:28" x14ac:dyDescent="0.25">
      <c r="R257" s="205"/>
      <c r="S257" s="203"/>
      <c r="T257" s="203"/>
      <c r="U257" s="203"/>
      <c r="V257" s="205"/>
      <c r="W257" s="203"/>
      <c r="X257" s="203"/>
      <c r="Y257" s="203"/>
      <c r="Z257" s="203"/>
      <c r="AA257" s="213"/>
      <c r="AB257" s="203"/>
    </row>
    <row r="258" spans="18:28" x14ac:dyDescent="0.25">
      <c r="R258" s="205"/>
      <c r="S258" s="203"/>
      <c r="T258" s="203"/>
      <c r="U258" s="203"/>
      <c r="V258" s="205"/>
      <c r="W258" s="203"/>
      <c r="X258" s="203"/>
      <c r="Y258" s="203"/>
      <c r="Z258" s="203"/>
      <c r="AA258" s="213"/>
      <c r="AB258" s="203"/>
    </row>
    <row r="259" spans="18:28" x14ac:dyDescent="0.25">
      <c r="R259" s="205"/>
      <c r="S259" s="203"/>
      <c r="T259" s="203"/>
      <c r="U259" s="203"/>
      <c r="V259" s="205"/>
      <c r="W259" s="203"/>
      <c r="X259" s="203"/>
      <c r="Y259" s="203"/>
      <c r="Z259" s="203"/>
      <c r="AA259" s="213"/>
      <c r="AB259" s="203"/>
    </row>
    <row r="260" spans="18:28" x14ac:dyDescent="0.25">
      <c r="R260" s="205"/>
      <c r="S260" s="203"/>
      <c r="T260" s="203"/>
      <c r="U260" s="203"/>
      <c r="V260" s="205"/>
      <c r="W260" s="203"/>
      <c r="X260" s="203"/>
      <c r="Y260" s="203"/>
      <c r="Z260" s="203"/>
      <c r="AA260" s="213"/>
      <c r="AB260" s="203"/>
    </row>
    <row r="261" spans="18:28" x14ac:dyDescent="0.25">
      <c r="R261" s="205"/>
      <c r="S261" s="203"/>
      <c r="T261" s="203"/>
      <c r="U261" s="203"/>
      <c r="V261" s="205"/>
      <c r="W261" s="203"/>
      <c r="X261" s="203"/>
      <c r="Y261" s="203"/>
      <c r="Z261" s="203"/>
      <c r="AA261" s="213"/>
      <c r="AB261" s="203"/>
    </row>
    <row r="262" spans="18:28" x14ac:dyDescent="0.25">
      <c r="R262" s="205"/>
      <c r="S262" s="203"/>
      <c r="T262" s="203"/>
      <c r="U262" s="203"/>
      <c r="V262" s="205"/>
      <c r="W262" s="203"/>
      <c r="X262" s="203"/>
      <c r="Y262" s="203"/>
      <c r="Z262" s="203"/>
      <c r="AA262" s="213"/>
      <c r="AB262" s="203"/>
    </row>
    <row r="263" spans="18:28" x14ac:dyDescent="0.25">
      <c r="R263" s="205"/>
      <c r="S263" s="203"/>
      <c r="T263" s="203"/>
      <c r="U263" s="203"/>
      <c r="V263" s="205"/>
      <c r="W263" s="203"/>
      <c r="X263" s="203"/>
      <c r="Y263" s="203"/>
      <c r="Z263" s="203"/>
      <c r="AA263" s="213"/>
      <c r="AB263" s="203"/>
    </row>
    <row r="264" spans="18:28" x14ac:dyDescent="0.25">
      <c r="R264" s="205"/>
      <c r="S264" s="203"/>
      <c r="T264" s="203"/>
      <c r="U264" s="203"/>
      <c r="V264" s="205"/>
      <c r="W264" s="203"/>
      <c r="X264" s="203"/>
      <c r="Y264" s="203"/>
      <c r="Z264" s="203"/>
      <c r="AA264" s="213"/>
      <c r="AB264" s="203"/>
    </row>
    <row r="265" spans="18:28" x14ac:dyDescent="0.25">
      <c r="R265" s="205"/>
      <c r="S265" s="203"/>
      <c r="T265" s="203"/>
      <c r="U265" s="203"/>
      <c r="V265" s="205"/>
      <c r="W265" s="203"/>
      <c r="X265" s="203"/>
      <c r="Y265" s="203"/>
      <c r="Z265" s="203"/>
      <c r="AA265" s="213"/>
      <c r="AB265" s="203"/>
    </row>
    <row r="266" spans="18:28" x14ac:dyDescent="0.25">
      <c r="R266" s="205"/>
      <c r="S266" s="203"/>
      <c r="T266" s="203"/>
      <c r="U266" s="203"/>
      <c r="V266" s="205"/>
      <c r="W266" s="203"/>
      <c r="X266" s="203"/>
      <c r="Y266" s="203"/>
      <c r="Z266" s="203"/>
      <c r="AA266" s="213"/>
      <c r="AB266" s="203"/>
    </row>
    <row r="267" spans="18:28" x14ac:dyDescent="0.25">
      <c r="R267" s="205"/>
      <c r="S267" s="203"/>
      <c r="T267" s="203"/>
      <c r="U267" s="203"/>
      <c r="V267" s="205"/>
      <c r="W267" s="203"/>
      <c r="X267" s="203"/>
      <c r="Y267" s="203"/>
      <c r="Z267" s="203"/>
      <c r="AA267" s="213"/>
      <c r="AB267" s="203"/>
    </row>
    <row r="268" spans="18:28" x14ac:dyDescent="0.25">
      <c r="R268" s="205"/>
      <c r="S268" s="203"/>
      <c r="T268" s="203"/>
      <c r="U268" s="203"/>
      <c r="V268" s="205"/>
      <c r="W268" s="203"/>
      <c r="X268" s="203"/>
      <c r="Y268" s="203"/>
      <c r="Z268" s="203"/>
      <c r="AA268" s="213"/>
      <c r="AB268" s="203"/>
    </row>
    <row r="269" spans="18:28" x14ac:dyDescent="0.25">
      <c r="R269" s="205"/>
      <c r="S269" s="203"/>
      <c r="T269" s="203"/>
      <c r="U269" s="203"/>
      <c r="V269" s="205"/>
      <c r="W269" s="203"/>
      <c r="X269" s="203"/>
      <c r="Y269" s="203"/>
      <c r="Z269" s="203"/>
      <c r="AA269" s="213"/>
      <c r="AB269" s="203"/>
    </row>
    <row r="270" spans="18:28" x14ac:dyDescent="0.25">
      <c r="R270" s="205"/>
      <c r="S270" s="203"/>
      <c r="T270" s="203"/>
      <c r="U270" s="203"/>
      <c r="V270" s="205"/>
      <c r="W270" s="203"/>
      <c r="X270" s="203"/>
      <c r="Y270" s="203"/>
      <c r="Z270" s="203"/>
      <c r="AA270" s="213"/>
      <c r="AB270" s="203"/>
    </row>
    <row r="271" spans="18:28" x14ac:dyDescent="0.25">
      <c r="R271" s="205"/>
      <c r="S271" s="203"/>
      <c r="T271" s="203"/>
      <c r="U271" s="203"/>
      <c r="V271" s="205"/>
      <c r="W271" s="203"/>
      <c r="X271" s="203"/>
      <c r="Y271" s="203"/>
      <c r="Z271" s="203"/>
      <c r="AA271" s="213"/>
      <c r="AB271" s="203"/>
    </row>
    <row r="272" spans="18:28" x14ac:dyDescent="0.25">
      <c r="R272" s="205"/>
      <c r="S272" s="203"/>
      <c r="T272" s="203"/>
      <c r="U272" s="203"/>
      <c r="V272" s="205"/>
      <c r="W272" s="203"/>
      <c r="X272" s="203"/>
      <c r="Y272" s="203"/>
      <c r="Z272" s="203"/>
      <c r="AA272" s="213"/>
      <c r="AB272" s="203"/>
    </row>
    <row r="273" spans="18:28" x14ac:dyDescent="0.25">
      <c r="R273" s="205"/>
      <c r="S273" s="203"/>
      <c r="T273" s="203"/>
      <c r="U273" s="203"/>
      <c r="V273" s="205"/>
      <c r="W273" s="203"/>
      <c r="X273" s="203"/>
      <c r="Y273" s="203"/>
      <c r="Z273" s="203"/>
      <c r="AA273" s="213"/>
      <c r="AB273" s="203"/>
    </row>
    <row r="274" spans="18:28" x14ac:dyDescent="0.25">
      <c r="R274" s="205"/>
      <c r="S274" s="203"/>
      <c r="T274" s="203"/>
      <c r="U274" s="203"/>
      <c r="V274" s="205"/>
      <c r="W274" s="203"/>
      <c r="X274" s="203"/>
      <c r="Y274" s="203"/>
      <c r="Z274" s="203"/>
      <c r="AA274" s="213"/>
      <c r="AB274" s="203"/>
    </row>
    <row r="275" spans="18:28" x14ac:dyDescent="0.25">
      <c r="R275" s="205"/>
      <c r="S275" s="203"/>
      <c r="T275" s="203"/>
      <c r="U275" s="203"/>
      <c r="V275" s="205"/>
      <c r="W275" s="203"/>
      <c r="X275" s="203"/>
      <c r="Y275" s="203"/>
      <c r="Z275" s="203"/>
      <c r="AA275" s="213"/>
      <c r="AB275" s="203"/>
    </row>
    <row r="276" spans="18:28" x14ac:dyDescent="0.25">
      <c r="S276" s="19"/>
    </row>
    <row r="277" spans="18:28" x14ac:dyDescent="0.25">
      <c r="S277" s="19"/>
    </row>
    <row r="278" spans="18:28" x14ac:dyDescent="0.25">
      <c r="S278" s="19"/>
    </row>
    <row r="279" spans="18:28" x14ac:dyDescent="0.25">
      <c r="S279" s="19"/>
    </row>
    <row r="280" spans="18:28" x14ac:dyDescent="0.25">
      <c r="S280" s="19"/>
    </row>
    <row r="281" spans="18:28" x14ac:dyDescent="0.25">
      <c r="S281" s="19"/>
    </row>
    <row r="282" spans="18:28" x14ac:dyDescent="0.25">
      <c r="S282" s="19"/>
    </row>
    <row r="283" spans="18:28" x14ac:dyDescent="0.25">
      <c r="S283" s="19"/>
    </row>
    <row r="284" spans="18:28" x14ac:dyDescent="0.25">
      <c r="S284" s="19"/>
    </row>
    <row r="285" spans="18:28" x14ac:dyDescent="0.25">
      <c r="S285" s="19"/>
    </row>
    <row r="286" spans="18:28" x14ac:dyDescent="0.25">
      <c r="S286" s="19"/>
    </row>
  </sheetData>
  <sheetProtection selectLockedCells="1" selectUnlockedCells="1"/>
  <sortState xmlns:xlrd2="http://schemas.microsoft.com/office/spreadsheetml/2017/richdata2" ref="B12:T46">
    <sortCondition ref="C12"/>
    <sortCondition ref="D12"/>
  </sortState>
  <mergeCells count="10"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5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oveMainQualifiers">
              <controlPr defaultSize="0" print="0" autoFill="0" autoPict="0" macro="[0]!MoveMainQualifiers_Click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371475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FinalizeMainRosterButton">
              <controlPr defaultSize="0" print="0" autoFill="0" autoPict="0" macro="[0]!FinalizeMainRoster_Click">
                <anchor moveWithCells="1" sizeWithCells="1">
                  <from>
                    <xdr:col>5</xdr:col>
                    <xdr:colOff>0</xdr:colOff>
                    <xdr:row>1</xdr:row>
                    <xdr:rowOff>9525</xdr:rowOff>
                  </from>
                  <to>
                    <xdr:col>6</xdr:col>
                    <xdr:colOff>371475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ConsyEntriesCopy">
              <controlPr defaultSize="0" print="0" autoFill="0" autoPict="0" macro="[0]!CopyMainToConsy_Click">
                <anchor moveWithCells="1" sizeWithCells="1">
                  <from>
                    <xdr:col>9</xdr:col>
                    <xdr:colOff>0</xdr:colOff>
                    <xdr:row>1</xdr:row>
                    <xdr:rowOff>9525</xdr:rowOff>
                  </from>
                  <to>
                    <xdr:col>11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RevertFinalizeButton">
              <controlPr defaultSize="0" print="0" autoFill="0" autoPict="0" macro="[0]!RevertFinalizeMainRoster_Click">
                <anchor moveWithCells="1" sizeWithCells="1">
                  <from>
                    <xdr:col>5</xdr:col>
                    <xdr:colOff>28575</xdr:colOff>
                    <xdr:row>1</xdr:row>
                    <xdr:rowOff>9525</xdr:rowOff>
                  </from>
                  <to>
                    <xdr:col>6</xdr:col>
                    <xdr:colOff>400050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ConsyCheckinList">
              <controlPr defaultSize="0" print="0" autoFill="0" autoPict="0" macro="[0]!PrintConsyCheckIn_Click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11</xdr:col>
                    <xdr:colOff>38100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10" customWidth="1"/>
    <col min="6" max="6" width="7.85546875" style="10" customWidth="1"/>
    <col min="7" max="7" width="7.28515625" style="10" customWidth="1"/>
    <col min="8" max="8" width="6.5703125" style="10" customWidth="1"/>
    <col min="9" max="9" width="6.85546875" style="32" customWidth="1"/>
    <col min="10" max="10" width="8" style="29" customWidth="1"/>
    <col min="11" max="11" width="8" style="36" customWidth="1"/>
    <col min="12" max="12" width="8" style="42" customWidth="1"/>
    <col min="13" max="16" width="6.42578125" style="10" customWidth="1"/>
    <col min="17" max="17" width="9.140625" style="86" customWidth="1"/>
    <col min="18" max="18" width="9.140625" customWidth="1"/>
    <col min="19" max="19" width="9.140625" style="1"/>
    <col min="20" max="20" width="9.140625" customWidth="1"/>
    <col min="21" max="23" width="9.140625" style="145" customWidth="1"/>
    <col min="24" max="31" width="9.140625" customWidth="1"/>
  </cols>
  <sheetData>
    <row r="1" spans="1:23" ht="21" x14ac:dyDescent="0.35">
      <c r="A1" s="253" t="s">
        <v>53</v>
      </c>
      <c r="B1" s="253"/>
      <c r="C1" s="140"/>
      <c r="D1" s="27"/>
      <c r="E1" s="26"/>
      <c r="F1" s="22"/>
      <c r="G1" s="9"/>
      <c r="H1" s="9"/>
      <c r="I1" s="22"/>
      <c r="L1" s="24"/>
      <c r="Q1" s="16"/>
      <c r="T1" s="1"/>
    </row>
    <row r="2" spans="1:23" x14ac:dyDescent="0.25">
      <c r="A2" s="37"/>
      <c r="D2" s="9"/>
      <c r="E2" s="22"/>
      <c r="F2" s="22"/>
      <c r="G2" s="9"/>
      <c r="I2" s="159"/>
      <c r="L2" s="25"/>
      <c r="Q2" s="87"/>
    </row>
    <row r="3" spans="1:23" x14ac:dyDescent="0.25">
      <c r="B3" s="225" t="s">
        <v>62</v>
      </c>
      <c r="C3" s="250" t="s">
        <v>67</v>
      </c>
      <c r="D3" s="250"/>
      <c r="E3" s="224"/>
      <c r="F3" s="224"/>
      <c r="G3" s="21"/>
      <c r="H3" s="21"/>
      <c r="I3" s="22" t="s">
        <v>151</v>
      </c>
      <c r="P3" s="19"/>
    </row>
    <row r="4" spans="1:23" s="153" customFormat="1" x14ac:dyDescent="0.25">
      <c r="A4" s="1"/>
      <c r="B4" s="225" t="s">
        <v>63</v>
      </c>
      <c r="C4" s="250" t="s">
        <v>68</v>
      </c>
      <c r="D4" s="250"/>
      <c r="E4" s="226"/>
      <c r="F4" s="226"/>
      <c r="G4" s="21"/>
      <c r="H4" s="21"/>
      <c r="I4" s="22" t="s">
        <v>153</v>
      </c>
      <c r="J4" s="157"/>
      <c r="K4" s="157"/>
      <c r="L4" s="42"/>
      <c r="M4" s="231"/>
      <c r="N4" s="157"/>
      <c r="O4" s="157"/>
      <c r="S4" s="1"/>
      <c r="U4" s="152"/>
      <c r="V4" s="152"/>
      <c r="W4" s="152"/>
    </row>
    <row r="5" spans="1:23" s="153" customFormat="1" x14ac:dyDescent="0.25">
      <c r="A5" s="1"/>
      <c r="B5" s="225" t="s">
        <v>64</v>
      </c>
      <c r="C5" s="250" t="s">
        <v>69</v>
      </c>
      <c r="D5" s="250"/>
      <c r="E5" s="226"/>
      <c r="F5" s="226"/>
      <c r="G5" s="21"/>
      <c r="H5" s="21"/>
      <c r="I5" s="22"/>
      <c r="J5" s="157"/>
      <c r="K5" s="157"/>
      <c r="L5" s="42"/>
      <c r="M5" s="157"/>
      <c r="N5" s="157"/>
      <c r="O5" s="157"/>
      <c r="P5" s="230"/>
      <c r="S5" s="1"/>
      <c r="U5" s="152"/>
      <c r="V5" s="152"/>
      <c r="W5" s="152"/>
    </row>
    <row r="6" spans="1:23" x14ac:dyDescent="0.25">
      <c r="A6" s="31"/>
      <c r="B6" s="225" t="s">
        <v>65</v>
      </c>
      <c r="C6" s="228">
        <v>45045</v>
      </c>
      <c r="D6" s="226"/>
      <c r="E6" s="226"/>
      <c r="G6" s="9"/>
      <c r="H6" s="22"/>
      <c r="I6" s="159"/>
      <c r="J6" s="157"/>
      <c r="K6" s="157"/>
      <c r="L6" s="157"/>
      <c r="M6" s="157"/>
      <c r="P6" s="19"/>
    </row>
    <row r="7" spans="1:23" x14ac:dyDescent="0.25">
      <c r="A7" s="137"/>
      <c r="B7" s="13"/>
      <c r="C7" s="16"/>
      <c r="E7" s="34"/>
      <c r="F7" s="34"/>
      <c r="H7" s="156"/>
      <c r="I7" s="59"/>
      <c r="J7" s="59"/>
      <c r="K7" s="59"/>
      <c r="L7" s="30"/>
      <c r="M7" s="156"/>
      <c r="N7" s="156"/>
      <c r="O7" s="156"/>
      <c r="P7" s="156"/>
    </row>
    <row r="8" spans="1:23" x14ac:dyDescent="0.25">
      <c r="B8" s="23"/>
      <c r="G8" s="28"/>
      <c r="H8" s="28"/>
      <c r="M8" s="11">
        <f>SUM(M10:M203)</f>
        <v>6</v>
      </c>
      <c r="N8" s="11">
        <f>SUM(N10:N203)</f>
        <v>8</v>
      </c>
      <c r="O8" s="11">
        <f>SUM(O10:O203)</f>
        <v>4</v>
      </c>
      <c r="P8" s="11">
        <f>SUM(P10:P203)</f>
        <v>8</v>
      </c>
    </row>
    <row r="9" spans="1:23" ht="44.25" customHeight="1" x14ac:dyDescent="0.25">
      <c r="B9" s="4" t="s">
        <v>0</v>
      </c>
      <c r="C9" s="5" t="s">
        <v>1</v>
      </c>
      <c r="D9" s="6" t="s">
        <v>2</v>
      </c>
      <c r="E9" s="12" t="s">
        <v>3</v>
      </c>
      <c r="F9" s="12" t="s">
        <v>4</v>
      </c>
      <c r="G9" s="12" t="s">
        <v>15</v>
      </c>
      <c r="H9" s="12" t="s">
        <v>16</v>
      </c>
      <c r="I9" s="12" t="s">
        <v>19</v>
      </c>
      <c r="J9" s="12" t="s">
        <v>17</v>
      </c>
      <c r="K9" s="12" t="s">
        <v>18</v>
      </c>
      <c r="L9" s="44" t="s">
        <v>22</v>
      </c>
      <c r="M9" s="12" t="s">
        <v>47</v>
      </c>
      <c r="N9" s="12" t="s">
        <v>48</v>
      </c>
      <c r="O9" s="12" t="s">
        <v>48</v>
      </c>
      <c r="P9" s="12" t="s">
        <v>48</v>
      </c>
      <c r="Q9" s="234" t="s">
        <v>129</v>
      </c>
      <c r="T9" s="33"/>
      <c r="U9" s="40" t="s">
        <v>20</v>
      </c>
      <c r="V9" s="41" t="s">
        <v>21</v>
      </c>
    </row>
    <row r="10" spans="1:23" ht="15" customHeight="1" x14ac:dyDescent="0.25">
      <c r="A10" s="7">
        <v>1</v>
      </c>
      <c r="B10" s="180" t="s">
        <v>83</v>
      </c>
      <c r="C10" s="184" t="s">
        <v>127</v>
      </c>
      <c r="D10" s="183" t="s">
        <v>111</v>
      </c>
      <c r="E10" s="174"/>
      <c r="F10" s="177"/>
      <c r="G10" s="177"/>
      <c r="H10" s="177"/>
      <c r="I10" s="177"/>
      <c r="J10" s="177"/>
      <c r="K10" s="177"/>
      <c r="L10" s="175"/>
      <c r="M10" s="169">
        <v>1</v>
      </c>
      <c r="N10" s="168">
        <v>1</v>
      </c>
      <c r="O10" s="168">
        <v>1</v>
      </c>
      <c r="P10" s="186">
        <v>1</v>
      </c>
      <c r="Q10" s="219">
        <v>1</v>
      </c>
      <c r="R10" s="213"/>
      <c r="T10" s="43">
        <v>1</v>
      </c>
      <c r="U10" s="7">
        <v>7</v>
      </c>
      <c r="V10" s="39">
        <v>4</v>
      </c>
    </row>
    <row r="11" spans="1:23" ht="15" customHeight="1" x14ac:dyDescent="0.25">
      <c r="A11" s="7">
        <f>+A10+1</f>
        <v>2</v>
      </c>
      <c r="B11" s="180" t="s">
        <v>92</v>
      </c>
      <c r="C11" s="180" t="s">
        <v>125</v>
      </c>
      <c r="D11" s="181" t="s">
        <v>103</v>
      </c>
      <c r="E11" s="168"/>
      <c r="F11" s="168"/>
      <c r="G11" s="168"/>
      <c r="H11" s="186"/>
      <c r="I11" s="186"/>
      <c r="J11" s="186"/>
      <c r="K11" s="186"/>
      <c r="L11" s="175"/>
      <c r="M11" s="169">
        <v>1</v>
      </c>
      <c r="N11" s="168">
        <v>1</v>
      </c>
      <c r="O11" s="168">
        <v>1</v>
      </c>
      <c r="P11" s="186">
        <v>1</v>
      </c>
      <c r="Q11" s="219">
        <v>2</v>
      </c>
      <c r="R11" s="213"/>
      <c r="T11" s="43">
        <f>+T10+1</f>
        <v>2</v>
      </c>
      <c r="U11" s="39">
        <f>+T11*7+U10</f>
        <v>21</v>
      </c>
      <c r="V11" s="39">
        <f>+T11*4+V10</f>
        <v>12</v>
      </c>
    </row>
    <row r="12" spans="1:23" x14ac:dyDescent="0.25">
      <c r="A12" s="7">
        <f t="shared" ref="A12:A75" si="0">+A11+1</f>
        <v>3</v>
      </c>
      <c r="B12" s="184" t="s">
        <v>95</v>
      </c>
      <c r="C12" s="184" t="s">
        <v>127</v>
      </c>
      <c r="D12" s="183" t="s">
        <v>105</v>
      </c>
      <c r="E12" s="168"/>
      <c r="F12" s="168"/>
      <c r="G12" s="168"/>
      <c r="H12" s="186"/>
      <c r="I12" s="186"/>
      <c r="J12" s="186"/>
      <c r="K12" s="186"/>
      <c r="L12" s="175"/>
      <c r="M12" s="174">
        <v>1</v>
      </c>
      <c r="N12" s="177">
        <v>1</v>
      </c>
      <c r="O12" s="177">
        <v>1</v>
      </c>
      <c r="P12" s="177">
        <v>1</v>
      </c>
      <c r="Q12" s="7" t="s">
        <v>150</v>
      </c>
      <c r="R12" s="213"/>
      <c r="T12" s="43">
        <f t="shared" ref="T12:T19" si="1">+T11+1</f>
        <v>3</v>
      </c>
      <c r="U12" s="39">
        <f t="shared" ref="U12:U19" si="2">+T12*7+U11</f>
        <v>42</v>
      </c>
      <c r="V12" s="39">
        <f t="shared" ref="V12:V19" si="3">+T12*4+V11</f>
        <v>24</v>
      </c>
    </row>
    <row r="13" spans="1:23" x14ac:dyDescent="0.25">
      <c r="A13" s="7">
        <f t="shared" si="0"/>
        <v>4</v>
      </c>
      <c r="B13" s="180" t="s">
        <v>99</v>
      </c>
      <c r="C13" s="180" t="s">
        <v>126</v>
      </c>
      <c r="D13" s="183" t="s">
        <v>107</v>
      </c>
      <c r="E13" s="185"/>
      <c r="F13" s="185"/>
      <c r="G13" s="185"/>
      <c r="H13" s="185"/>
      <c r="I13" s="177"/>
      <c r="J13" s="177"/>
      <c r="K13" s="185"/>
      <c r="L13" s="185"/>
      <c r="M13" s="182">
        <v>1</v>
      </c>
      <c r="N13" s="177">
        <v>1</v>
      </c>
      <c r="O13" s="177">
        <v>1</v>
      </c>
      <c r="P13" s="177">
        <v>1</v>
      </c>
      <c r="Q13" s="7" t="s">
        <v>150</v>
      </c>
      <c r="R13" s="211"/>
      <c r="T13" s="43">
        <f t="shared" si="1"/>
        <v>4</v>
      </c>
      <c r="U13" s="39">
        <f t="shared" si="2"/>
        <v>70</v>
      </c>
      <c r="V13" s="39">
        <f t="shared" si="3"/>
        <v>40</v>
      </c>
    </row>
    <row r="14" spans="1:23" x14ac:dyDescent="0.25">
      <c r="A14" s="7">
        <f t="shared" si="0"/>
        <v>5</v>
      </c>
      <c r="B14" s="184" t="s">
        <v>97</v>
      </c>
      <c r="C14" s="180" t="s">
        <v>125</v>
      </c>
      <c r="D14" s="181" t="s">
        <v>106</v>
      </c>
      <c r="E14" s="185"/>
      <c r="F14" s="185"/>
      <c r="G14" s="185"/>
      <c r="H14" s="185"/>
      <c r="I14" s="177"/>
      <c r="J14" s="177"/>
      <c r="K14" s="185"/>
      <c r="L14" s="185"/>
      <c r="M14" s="168">
        <v>1</v>
      </c>
      <c r="N14" s="168">
        <v>1</v>
      </c>
      <c r="O14" s="168"/>
      <c r="P14" s="186">
        <v>1</v>
      </c>
      <c r="Q14" s="7" t="s">
        <v>24</v>
      </c>
      <c r="R14" s="212"/>
      <c r="T14" s="43">
        <f t="shared" si="1"/>
        <v>5</v>
      </c>
      <c r="U14" s="39">
        <f t="shared" si="2"/>
        <v>105</v>
      </c>
      <c r="V14" s="39">
        <f t="shared" si="3"/>
        <v>60</v>
      </c>
    </row>
    <row r="15" spans="1:23" x14ac:dyDescent="0.25">
      <c r="A15" s="7">
        <f t="shared" si="0"/>
        <v>6</v>
      </c>
      <c r="B15" s="184" t="s">
        <v>102</v>
      </c>
      <c r="C15" s="180" t="s">
        <v>126</v>
      </c>
      <c r="D15" s="183" t="s">
        <v>104</v>
      </c>
      <c r="E15" s="182"/>
      <c r="F15" s="177"/>
      <c r="G15" s="177"/>
      <c r="H15" s="177"/>
      <c r="I15" s="177"/>
      <c r="J15" s="177"/>
      <c r="K15" s="177"/>
      <c r="L15" s="175"/>
      <c r="M15" s="174" t="s">
        <v>143</v>
      </c>
      <c r="N15" s="177">
        <v>1</v>
      </c>
      <c r="O15" s="177"/>
      <c r="P15" s="177">
        <v>1</v>
      </c>
      <c r="Q15" s="7" t="s">
        <v>24</v>
      </c>
      <c r="R15" s="235"/>
      <c r="T15" s="43">
        <f t="shared" si="1"/>
        <v>6</v>
      </c>
      <c r="U15" s="39">
        <f t="shared" si="2"/>
        <v>147</v>
      </c>
      <c r="V15" s="39">
        <f t="shared" si="3"/>
        <v>84</v>
      </c>
    </row>
    <row r="16" spans="1:23" x14ac:dyDescent="0.25">
      <c r="A16" s="7">
        <f t="shared" si="0"/>
        <v>7</v>
      </c>
      <c r="B16" s="184" t="s">
        <v>84</v>
      </c>
      <c r="C16" s="180" t="s">
        <v>125</v>
      </c>
      <c r="D16" s="181" t="s">
        <v>112</v>
      </c>
      <c r="E16" s="174"/>
      <c r="F16" s="177"/>
      <c r="G16" s="177"/>
      <c r="H16" s="177"/>
      <c r="I16" s="177"/>
      <c r="J16" s="177"/>
      <c r="K16" s="177"/>
      <c r="L16" s="175"/>
      <c r="M16" s="174"/>
      <c r="N16" s="177">
        <v>1</v>
      </c>
      <c r="O16" s="177"/>
      <c r="P16" s="177">
        <v>1</v>
      </c>
      <c r="Q16" s="236" t="s">
        <v>24</v>
      </c>
      <c r="T16" s="43">
        <f t="shared" si="1"/>
        <v>7</v>
      </c>
      <c r="U16" s="39">
        <f t="shared" si="2"/>
        <v>196</v>
      </c>
      <c r="V16" s="39">
        <f t="shared" si="3"/>
        <v>112</v>
      </c>
    </row>
    <row r="17" spans="1:22" x14ac:dyDescent="0.25">
      <c r="A17" s="7">
        <f t="shared" si="0"/>
        <v>8</v>
      </c>
      <c r="B17" s="184" t="s">
        <v>101</v>
      </c>
      <c r="C17" s="184" t="s">
        <v>127</v>
      </c>
      <c r="D17" s="183" t="s">
        <v>108</v>
      </c>
      <c r="E17" s="185"/>
      <c r="F17" s="185"/>
      <c r="G17" s="185"/>
      <c r="H17" s="185"/>
      <c r="I17" s="177"/>
      <c r="J17" s="177"/>
      <c r="K17" s="185"/>
      <c r="L17" s="185"/>
      <c r="M17" s="168"/>
      <c r="N17" s="168"/>
      <c r="O17" s="168"/>
      <c r="P17" s="186">
        <v>1</v>
      </c>
      <c r="Q17" s="237" t="s">
        <v>24</v>
      </c>
      <c r="T17" s="43">
        <f t="shared" si="1"/>
        <v>8</v>
      </c>
      <c r="U17" s="39">
        <f t="shared" si="2"/>
        <v>252</v>
      </c>
      <c r="V17" s="39">
        <f t="shared" si="3"/>
        <v>144</v>
      </c>
    </row>
    <row r="18" spans="1:22" x14ac:dyDescent="0.25">
      <c r="A18" s="7">
        <f t="shared" si="0"/>
        <v>9</v>
      </c>
      <c r="B18" s="184" t="s">
        <v>82</v>
      </c>
      <c r="C18" s="180" t="s">
        <v>126</v>
      </c>
      <c r="D18" s="183" t="s">
        <v>110</v>
      </c>
      <c r="E18" s="169"/>
      <c r="F18" s="168"/>
      <c r="G18" s="168"/>
      <c r="H18" s="186"/>
      <c r="I18" s="186"/>
      <c r="J18" s="186"/>
      <c r="K18" s="186"/>
      <c r="L18" s="175"/>
      <c r="M18" s="174">
        <v>1</v>
      </c>
      <c r="N18" s="177">
        <v>1</v>
      </c>
      <c r="O18" s="177"/>
      <c r="P18" s="177"/>
      <c r="Q18" s="236" t="s">
        <v>25</v>
      </c>
      <c r="T18" s="43">
        <f t="shared" si="1"/>
        <v>9</v>
      </c>
      <c r="U18" s="39">
        <f t="shared" si="2"/>
        <v>315</v>
      </c>
      <c r="V18" s="39">
        <f t="shared" si="3"/>
        <v>180</v>
      </c>
    </row>
    <row r="19" spans="1:22" x14ac:dyDescent="0.25">
      <c r="A19" s="7">
        <f t="shared" si="0"/>
        <v>10</v>
      </c>
      <c r="B19" s="184"/>
      <c r="C19" s="184"/>
      <c r="D19" s="183"/>
      <c r="E19" s="179"/>
      <c r="F19" s="179"/>
      <c r="G19" s="182"/>
      <c r="H19" s="182"/>
      <c r="I19" s="177"/>
      <c r="J19" s="177"/>
      <c r="K19" s="168"/>
      <c r="L19" s="149"/>
      <c r="M19" s="182"/>
      <c r="N19" s="174"/>
      <c r="O19" s="174"/>
      <c r="P19" s="174"/>
      <c r="Q19" s="236" t="s">
        <v>25</v>
      </c>
      <c r="T19" s="43">
        <f t="shared" si="1"/>
        <v>10</v>
      </c>
      <c r="U19" s="39">
        <f t="shared" si="2"/>
        <v>385</v>
      </c>
      <c r="V19" s="39">
        <f t="shared" si="3"/>
        <v>220</v>
      </c>
    </row>
    <row r="20" spans="1:22" x14ac:dyDescent="0.25">
      <c r="A20" s="7">
        <f t="shared" si="0"/>
        <v>11</v>
      </c>
      <c r="B20" s="184"/>
      <c r="C20" s="184"/>
      <c r="D20" s="183"/>
      <c r="E20" s="185"/>
      <c r="F20" s="185"/>
      <c r="G20" s="185"/>
      <c r="H20" s="185"/>
      <c r="I20" s="177"/>
      <c r="J20" s="177"/>
      <c r="K20" s="185"/>
      <c r="L20" s="185"/>
      <c r="M20" s="168"/>
      <c r="N20" s="168"/>
      <c r="O20" s="168"/>
      <c r="P20" s="169"/>
      <c r="Q20" s="236" t="s">
        <v>25</v>
      </c>
      <c r="R20" s="45"/>
      <c r="S20" s="38"/>
    </row>
    <row r="21" spans="1:22" x14ac:dyDescent="0.25">
      <c r="A21" s="7">
        <f t="shared" si="0"/>
        <v>12</v>
      </c>
      <c r="B21" s="180"/>
      <c r="C21" s="180"/>
      <c r="D21" s="181"/>
      <c r="E21" s="185"/>
      <c r="F21" s="185"/>
      <c r="G21" s="185"/>
      <c r="H21" s="185"/>
      <c r="I21" s="177"/>
      <c r="J21" s="177"/>
      <c r="K21" s="185"/>
      <c r="L21" s="185"/>
      <c r="M21" s="168"/>
      <c r="N21" s="168"/>
      <c r="O21" s="168"/>
      <c r="P21" s="169"/>
      <c r="Q21" s="236" t="s">
        <v>25</v>
      </c>
      <c r="R21" s="45"/>
    </row>
    <row r="22" spans="1:22" x14ac:dyDescent="0.25">
      <c r="A22" s="7">
        <f t="shared" si="0"/>
        <v>13</v>
      </c>
      <c r="B22" s="180"/>
      <c r="C22" s="180"/>
      <c r="D22" s="181"/>
      <c r="E22" s="185"/>
      <c r="F22" s="185"/>
      <c r="G22" s="185"/>
      <c r="H22" s="185"/>
      <c r="I22" s="177"/>
      <c r="J22" s="177"/>
      <c r="K22" s="185"/>
      <c r="L22" s="185"/>
      <c r="M22" s="182"/>
      <c r="N22" s="174"/>
      <c r="O22" s="174"/>
      <c r="P22" s="174"/>
      <c r="Q22" s="237" t="s">
        <v>25</v>
      </c>
      <c r="R22" s="45"/>
    </row>
    <row r="23" spans="1:22" x14ac:dyDescent="0.25">
      <c r="A23" s="7">
        <f t="shared" si="0"/>
        <v>14</v>
      </c>
      <c r="B23" s="184"/>
      <c r="C23" s="184"/>
      <c r="D23" s="183"/>
      <c r="E23" s="185"/>
      <c r="F23" s="185"/>
      <c r="G23" s="185"/>
      <c r="H23" s="185"/>
      <c r="I23" s="177"/>
      <c r="J23" s="177"/>
      <c r="K23" s="185"/>
      <c r="L23" s="185"/>
      <c r="M23" s="168"/>
      <c r="N23" s="168"/>
      <c r="O23" s="168"/>
      <c r="P23" s="169"/>
      <c r="Q23" s="236" t="s">
        <v>25</v>
      </c>
      <c r="R23" s="46"/>
    </row>
    <row r="24" spans="1:22" x14ac:dyDescent="0.25">
      <c r="A24" s="7">
        <f t="shared" si="0"/>
        <v>15</v>
      </c>
      <c r="B24" s="180"/>
      <c r="C24" s="180"/>
      <c r="D24" s="181"/>
      <c r="E24" s="185"/>
      <c r="F24" s="185"/>
      <c r="G24" s="185"/>
      <c r="H24" s="185"/>
      <c r="I24" s="177"/>
      <c r="J24" s="177"/>
      <c r="K24" s="185"/>
      <c r="L24" s="185"/>
      <c r="M24" s="182"/>
      <c r="N24" s="174"/>
      <c r="O24" s="174"/>
      <c r="P24" s="174"/>
      <c r="Q24" s="236" t="s">
        <v>25</v>
      </c>
      <c r="R24" s="45"/>
    </row>
    <row r="25" spans="1:22" x14ac:dyDescent="0.25">
      <c r="A25" s="7">
        <f t="shared" si="0"/>
        <v>16</v>
      </c>
      <c r="B25" s="180"/>
      <c r="C25" s="180"/>
      <c r="D25" s="181"/>
      <c r="E25" s="185"/>
      <c r="F25" s="185"/>
      <c r="G25" s="185"/>
      <c r="H25" s="185"/>
      <c r="I25" s="177"/>
      <c r="J25" s="177"/>
      <c r="K25" s="185"/>
      <c r="L25" s="185"/>
      <c r="M25" s="182"/>
      <c r="N25" s="174"/>
      <c r="O25" s="174"/>
      <c r="P25" s="174"/>
      <c r="Q25" s="236" t="s">
        <v>25</v>
      </c>
      <c r="R25" s="46"/>
    </row>
    <row r="26" spans="1:22" x14ac:dyDescent="0.25">
      <c r="A26" s="7">
        <f t="shared" si="0"/>
        <v>17</v>
      </c>
      <c r="B26" s="184"/>
      <c r="C26" s="184"/>
      <c r="D26" s="183"/>
      <c r="E26" s="185"/>
      <c r="F26" s="185"/>
      <c r="G26" s="185"/>
      <c r="H26" s="185"/>
      <c r="I26" s="177"/>
      <c r="J26" s="177"/>
      <c r="K26" s="185"/>
      <c r="L26" s="185"/>
      <c r="M26" s="182"/>
      <c r="N26" s="174"/>
      <c r="O26" s="174"/>
      <c r="P26" s="174"/>
      <c r="Q26" s="236" t="s">
        <v>26</v>
      </c>
      <c r="R26" s="46"/>
    </row>
    <row r="27" spans="1:22" x14ac:dyDescent="0.25">
      <c r="A27" s="7">
        <f t="shared" si="0"/>
        <v>18</v>
      </c>
      <c r="B27" s="184"/>
      <c r="C27" s="180"/>
      <c r="D27" s="183"/>
      <c r="E27" s="179"/>
      <c r="F27" s="179"/>
      <c r="G27" s="179"/>
      <c r="H27" s="179"/>
      <c r="I27" s="177"/>
      <c r="J27" s="177"/>
      <c r="K27" s="179"/>
      <c r="L27" s="179"/>
      <c r="M27" s="182"/>
      <c r="N27" s="174"/>
      <c r="O27" s="174"/>
      <c r="P27" s="174"/>
      <c r="Q27" s="236" t="s">
        <v>26</v>
      </c>
    </row>
    <row r="28" spans="1:22" x14ac:dyDescent="0.25">
      <c r="A28" s="7">
        <f t="shared" si="0"/>
        <v>19</v>
      </c>
      <c r="B28" s="184"/>
      <c r="C28" s="184"/>
      <c r="D28" s="183"/>
      <c r="E28" s="185"/>
      <c r="F28" s="185"/>
      <c r="G28" s="185"/>
      <c r="H28" s="185"/>
      <c r="I28" s="177"/>
      <c r="J28" s="177"/>
      <c r="K28" s="185"/>
      <c r="L28" s="185"/>
      <c r="M28" s="182"/>
      <c r="N28" s="174"/>
      <c r="O28" s="174"/>
      <c r="P28" s="174"/>
      <c r="Q28" s="236" t="s">
        <v>26</v>
      </c>
    </row>
    <row r="29" spans="1:22" x14ac:dyDescent="0.25">
      <c r="A29" s="7">
        <f t="shared" si="0"/>
        <v>20</v>
      </c>
      <c r="B29" s="180"/>
      <c r="C29" s="180"/>
      <c r="D29" s="181"/>
      <c r="E29" s="179"/>
      <c r="F29" s="179"/>
      <c r="G29" s="179"/>
      <c r="H29" s="179"/>
      <c r="I29" s="177"/>
      <c r="J29" s="177"/>
      <c r="K29" s="179"/>
      <c r="L29" s="179"/>
      <c r="M29" s="168"/>
      <c r="N29" s="168"/>
      <c r="O29" s="168"/>
      <c r="P29" s="169"/>
      <c r="Q29" s="236" t="s">
        <v>26</v>
      </c>
    </row>
    <row r="30" spans="1:22" x14ac:dyDescent="0.25">
      <c r="A30" s="7">
        <f t="shared" si="0"/>
        <v>21</v>
      </c>
      <c r="B30" s="180"/>
      <c r="C30" s="180"/>
      <c r="D30" s="181"/>
      <c r="E30" s="182"/>
      <c r="F30" s="182"/>
      <c r="G30" s="182"/>
      <c r="H30" s="182"/>
      <c r="I30" s="177"/>
      <c r="J30" s="177"/>
      <c r="K30" s="168"/>
      <c r="L30" s="149"/>
      <c r="M30" s="168"/>
      <c r="N30" s="168"/>
      <c r="O30" s="168"/>
      <c r="P30" s="168"/>
      <c r="Q30" s="236" t="s">
        <v>26</v>
      </c>
    </row>
    <row r="31" spans="1:22" x14ac:dyDescent="0.25">
      <c r="A31" s="7">
        <f t="shared" si="0"/>
        <v>22</v>
      </c>
      <c r="B31" s="180"/>
      <c r="C31" s="180"/>
      <c r="D31" s="181"/>
      <c r="E31" s="182"/>
      <c r="F31" s="182"/>
      <c r="G31" s="182"/>
      <c r="H31" s="182"/>
      <c r="I31" s="177"/>
      <c r="J31" s="177"/>
      <c r="K31" s="168"/>
      <c r="L31" s="149"/>
      <c r="M31" s="168"/>
      <c r="N31" s="168"/>
      <c r="O31" s="168"/>
      <c r="P31" s="168"/>
      <c r="Q31" s="236" t="s">
        <v>26</v>
      </c>
    </row>
    <row r="32" spans="1:22" x14ac:dyDescent="0.25">
      <c r="A32" s="7">
        <f t="shared" si="0"/>
        <v>23</v>
      </c>
      <c r="B32" s="180"/>
      <c r="C32" s="180"/>
      <c r="D32" s="183"/>
      <c r="E32" s="182"/>
      <c r="F32" s="182"/>
      <c r="G32" s="182"/>
      <c r="H32" s="182"/>
      <c r="I32" s="177"/>
      <c r="J32" s="177"/>
      <c r="K32" s="168"/>
      <c r="L32" s="149"/>
      <c r="M32" s="168"/>
      <c r="N32" s="168"/>
      <c r="O32" s="168"/>
      <c r="P32" s="168"/>
      <c r="Q32" s="236" t="s">
        <v>26</v>
      </c>
    </row>
    <row r="33" spans="1:17" x14ac:dyDescent="0.25">
      <c r="A33" s="7">
        <f t="shared" si="0"/>
        <v>24</v>
      </c>
      <c r="B33" s="180"/>
      <c r="C33" s="180"/>
      <c r="D33" s="181"/>
      <c r="E33" s="182"/>
      <c r="F33" s="182"/>
      <c r="G33" s="182"/>
      <c r="H33" s="182"/>
      <c r="I33" s="177"/>
      <c r="J33" s="177"/>
      <c r="K33" s="168"/>
      <c r="L33" s="149"/>
      <c r="M33" s="168"/>
      <c r="N33" s="168"/>
      <c r="O33" s="168"/>
      <c r="P33" s="168"/>
      <c r="Q33" s="236" t="s">
        <v>26</v>
      </c>
    </row>
    <row r="34" spans="1:17" x14ac:dyDescent="0.25">
      <c r="A34" s="7">
        <f t="shared" si="0"/>
        <v>25</v>
      </c>
      <c r="B34" s="180"/>
      <c r="C34" s="180"/>
      <c r="D34" s="181"/>
      <c r="E34" s="182"/>
      <c r="F34" s="182"/>
      <c r="G34" s="182"/>
      <c r="H34" s="182"/>
      <c r="I34" s="177"/>
      <c r="J34" s="177"/>
      <c r="K34" s="168"/>
      <c r="L34" s="149"/>
      <c r="M34" s="168"/>
      <c r="N34" s="168"/>
      <c r="O34" s="168"/>
      <c r="P34" s="168"/>
      <c r="Q34" s="236" t="s">
        <v>26</v>
      </c>
    </row>
    <row r="35" spans="1:17" x14ac:dyDescent="0.25">
      <c r="A35" s="7">
        <f t="shared" si="0"/>
        <v>26</v>
      </c>
      <c r="B35" s="180"/>
      <c r="C35" s="180"/>
      <c r="D35" s="181"/>
      <c r="E35" s="182"/>
      <c r="F35" s="182"/>
      <c r="G35" s="182"/>
      <c r="H35" s="182"/>
      <c r="I35" s="177"/>
      <c r="J35" s="177"/>
      <c r="K35" s="168"/>
      <c r="L35" s="149"/>
      <c r="M35" s="168"/>
      <c r="N35" s="168"/>
      <c r="O35" s="168"/>
      <c r="P35" s="168"/>
      <c r="Q35" s="236" t="s">
        <v>26</v>
      </c>
    </row>
    <row r="36" spans="1:17" x14ac:dyDescent="0.25">
      <c r="A36" s="7">
        <f t="shared" si="0"/>
        <v>27</v>
      </c>
      <c r="B36" s="180"/>
      <c r="C36" s="180"/>
      <c r="D36" s="181"/>
      <c r="E36" s="182"/>
      <c r="F36" s="182"/>
      <c r="G36" s="182"/>
      <c r="H36" s="182"/>
      <c r="I36" s="177"/>
      <c r="J36" s="177"/>
      <c r="K36" s="168"/>
      <c r="L36" s="149"/>
      <c r="M36" s="168"/>
      <c r="N36" s="168"/>
      <c r="O36" s="168"/>
      <c r="P36" s="168"/>
      <c r="Q36" s="236" t="s">
        <v>26</v>
      </c>
    </row>
    <row r="37" spans="1:17" x14ac:dyDescent="0.25">
      <c r="A37" s="7">
        <f t="shared" si="0"/>
        <v>28</v>
      </c>
      <c r="B37" s="180"/>
      <c r="C37" s="180"/>
      <c r="D37" s="181"/>
      <c r="E37" s="182"/>
      <c r="F37" s="182"/>
      <c r="G37" s="182"/>
      <c r="H37" s="182"/>
      <c r="I37" s="177"/>
      <c r="J37" s="177"/>
      <c r="K37" s="168"/>
      <c r="L37" s="149"/>
      <c r="M37" s="168"/>
      <c r="N37" s="168"/>
      <c r="O37" s="168"/>
      <c r="P37" s="168"/>
      <c r="Q37" s="236" t="s">
        <v>26</v>
      </c>
    </row>
    <row r="38" spans="1:17" x14ac:dyDescent="0.25">
      <c r="A38" s="7">
        <f t="shared" si="0"/>
        <v>29</v>
      </c>
      <c r="B38" s="180"/>
      <c r="C38" s="180"/>
      <c r="D38" s="181"/>
      <c r="E38" s="182"/>
      <c r="F38" s="182"/>
      <c r="G38" s="182"/>
      <c r="H38" s="182"/>
      <c r="I38" s="177"/>
      <c r="J38" s="177"/>
      <c r="K38" s="168"/>
      <c r="L38" s="149"/>
      <c r="M38" s="168"/>
      <c r="N38" s="168"/>
      <c r="O38" s="168"/>
      <c r="P38" s="168"/>
      <c r="Q38" s="236" t="s">
        <v>26</v>
      </c>
    </row>
    <row r="39" spans="1:17" x14ac:dyDescent="0.25">
      <c r="A39" s="7">
        <f t="shared" si="0"/>
        <v>30</v>
      </c>
      <c r="B39" s="180"/>
      <c r="C39" s="180"/>
      <c r="D39" s="181"/>
      <c r="E39" s="182"/>
      <c r="F39" s="182"/>
      <c r="G39" s="182"/>
      <c r="H39" s="182"/>
      <c r="I39" s="177"/>
      <c r="J39" s="177"/>
      <c r="K39" s="168"/>
      <c r="L39" s="149"/>
      <c r="M39" s="168"/>
      <c r="N39" s="168"/>
      <c r="O39" s="168"/>
      <c r="P39" s="168"/>
      <c r="Q39" s="236" t="s">
        <v>26</v>
      </c>
    </row>
    <row r="40" spans="1:17" x14ac:dyDescent="0.25">
      <c r="A40" s="7">
        <f t="shared" si="0"/>
        <v>31</v>
      </c>
      <c r="B40" s="180"/>
      <c r="C40" s="180"/>
      <c r="D40" s="181"/>
      <c r="E40" s="182"/>
      <c r="F40" s="182"/>
      <c r="G40" s="182"/>
      <c r="H40" s="182"/>
      <c r="I40" s="177"/>
      <c r="J40" s="177"/>
      <c r="K40" s="168"/>
      <c r="L40" s="149"/>
      <c r="M40" s="168"/>
      <c r="N40" s="168"/>
      <c r="O40" s="168"/>
      <c r="P40" s="168"/>
      <c r="Q40" s="236" t="s">
        <v>26</v>
      </c>
    </row>
    <row r="41" spans="1:17" x14ac:dyDescent="0.25">
      <c r="A41" s="7">
        <f t="shared" si="0"/>
        <v>32</v>
      </c>
      <c r="B41" s="180"/>
      <c r="C41" s="180"/>
      <c r="D41" s="181"/>
      <c r="E41" s="182"/>
      <c r="F41" s="182"/>
      <c r="G41" s="182"/>
      <c r="H41" s="182"/>
      <c r="I41" s="177"/>
      <c r="J41" s="177"/>
      <c r="K41" s="168"/>
      <c r="L41" s="149"/>
      <c r="M41" s="168"/>
      <c r="N41" s="168"/>
      <c r="O41" s="168"/>
      <c r="P41" s="168"/>
      <c r="Q41" s="236" t="s">
        <v>26</v>
      </c>
    </row>
    <row r="42" spans="1:17" x14ac:dyDescent="0.25">
      <c r="A42" s="7">
        <f t="shared" si="0"/>
        <v>33</v>
      </c>
      <c r="B42" s="180"/>
      <c r="C42" s="180"/>
      <c r="D42" s="181"/>
      <c r="E42" s="182"/>
      <c r="F42" s="182"/>
      <c r="G42" s="182"/>
      <c r="H42" s="182"/>
      <c r="I42" s="177"/>
      <c r="J42" s="177"/>
      <c r="K42" s="168"/>
      <c r="L42" s="149"/>
      <c r="M42" s="168"/>
      <c r="N42" s="168"/>
      <c r="O42" s="168"/>
      <c r="P42" s="168"/>
    </row>
    <row r="43" spans="1:17" x14ac:dyDescent="0.25">
      <c r="A43" s="7">
        <f t="shared" si="0"/>
        <v>34</v>
      </c>
      <c r="B43" s="180"/>
      <c r="C43" s="180"/>
      <c r="D43" s="181"/>
      <c r="E43" s="182"/>
      <c r="F43" s="182"/>
      <c r="G43" s="182"/>
      <c r="H43" s="182"/>
      <c r="I43" s="177"/>
      <c r="J43" s="177"/>
      <c r="K43" s="168"/>
      <c r="L43" s="149"/>
      <c r="M43" s="168"/>
      <c r="N43" s="168"/>
      <c r="O43" s="168"/>
      <c r="P43" s="168"/>
    </row>
    <row r="44" spans="1:17" x14ac:dyDescent="0.25">
      <c r="A44" s="7">
        <f t="shared" si="0"/>
        <v>35</v>
      </c>
      <c r="B44" s="180"/>
      <c r="C44" s="180"/>
      <c r="D44" s="181"/>
      <c r="E44" s="182"/>
      <c r="F44" s="182"/>
      <c r="G44" s="182"/>
      <c r="H44" s="182"/>
      <c r="I44" s="177"/>
      <c r="J44" s="177"/>
      <c r="K44" s="168"/>
      <c r="L44" s="149"/>
      <c r="M44" s="168"/>
      <c r="N44" s="168"/>
      <c r="O44" s="168"/>
      <c r="P44" s="168"/>
    </row>
    <row r="45" spans="1:17" x14ac:dyDescent="0.25">
      <c r="A45" s="7">
        <f t="shared" si="0"/>
        <v>36</v>
      </c>
      <c r="B45" s="180"/>
      <c r="C45" s="180"/>
      <c r="D45" s="181"/>
      <c r="E45" s="182"/>
      <c r="F45" s="182"/>
      <c r="G45" s="182"/>
      <c r="H45" s="182"/>
      <c r="I45" s="177"/>
      <c r="J45" s="177"/>
      <c r="K45" s="168"/>
      <c r="L45" s="149"/>
      <c r="M45" s="168"/>
      <c r="N45" s="168"/>
      <c r="O45" s="168"/>
      <c r="P45" s="168"/>
    </row>
    <row r="46" spans="1:17" x14ac:dyDescent="0.25">
      <c r="A46" s="7">
        <f t="shared" si="0"/>
        <v>37</v>
      </c>
      <c r="B46" s="180"/>
      <c r="C46" s="180"/>
      <c r="D46" s="181"/>
      <c r="E46" s="182"/>
      <c r="F46" s="182"/>
      <c r="G46" s="182"/>
      <c r="H46" s="182"/>
      <c r="I46" s="177"/>
      <c r="J46" s="177"/>
      <c r="K46" s="168"/>
      <c r="L46" s="149"/>
      <c r="M46" s="168"/>
      <c r="N46" s="168"/>
      <c r="O46" s="168"/>
      <c r="P46" s="168"/>
    </row>
    <row r="47" spans="1:17" x14ac:dyDescent="0.25">
      <c r="A47" s="7">
        <f t="shared" si="0"/>
        <v>38</v>
      </c>
      <c r="B47" s="180"/>
      <c r="C47" s="180"/>
      <c r="D47" s="181"/>
      <c r="E47" s="182"/>
      <c r="F47" s="182"/>
      <c r="G47" s="182"/>
      <c r="H47" s="182"/>
      <c r="I47" s="177"/>
      <c r="J47" s="177"/>
      <c r="K47" s="168"/>
      <c r="L47" s="149"/>
      <c r="M47" s="168"/>
      <c r="N47" s="168"/>
      <c r="O47" s="168"/>
      <c r="P47" s="168"/>
    </row>
    <row r="48" spans="1:17" x14ac:dyDescent="0.25">
      <c r="A48" s="7">
        <f t="shared" si="0"/>
        <v>39</v>
      </c>
      <c r="B48" s="180"/>
      <c r="C48" s="180"/>
      <c r="D48" s="181"/>
      <c r="E48" s="182"/>
      <c r="F48" s="182"/>
      <c r="G48" s="182"/>
      <c r="H48" s="182"/>
      <c r="I48" s="177"/>
      <c r="J48" s="177"/>
      <c r="K48" s="168"/>
      <c r="L48" s="149"/>
      <c r="M48" s="168"/>
      <c r="N48" s="168"/>
      <c r="O48" s="168"/>
      <c r="P48" s="168"/>
    </row>
    <row r="49" spans="1:16" x14ac:dyDescent="0.25">
      <c r="A49" s="7">
        <f t="shared" si="0"/>
        <v>40</v>
      </c>
      <c r="B49" s="180"/>
      <c r="C49" s="180"/>
      <c r="D49" s="181"/>
      <c r="E49" s="182"/>
      <c r="F49" s="182"/>
      <c r="G49" s="182"/>
      <c r="H49" s="182"/>
      <c r="I49" s="177"/>
      <c r="J49" s="177"/>
      <c r="K49" s="168"/>
      <c r="L49" s="149"/>
      <c r="M49" s="168"/>
      <c r="N49" s="168"/>
      <c r="O49" s="168"/>
      <c r="P49" s="168"/>
    </row>
    <row r="50" spans="1:16" x14ac:dyDescent="0.25">
      <c r="A50" s="7">
        <f t="shared" si="0"/>
        <v>41</v>
      </c>
      <c r="B50" s="180"/>
      <c r="C50" s="180"/>
      <c r="D50" s="181"/>
      <c r="E50" s="182"/>
      <c r="F50" s="182"/>
      <c r="G50" s="182"/>
      <c r="H50" s="182"/>
      <c r="I50" s="177"/>
      <c r="J50" s="177"/>
      <c r="K50" s="168"/>
      <c r="L50" s="149"/>
      <c r="M50" s="168"/>
      <c r="N50" s="168"/>
      <c r="O50" s="168"/>
      <c r="P50" s="168"/>
    </row>
    <row r="51" spans="1:16" x14ac:dyDescent="0.25">
      <c r="A51" s="7">
        <f t="shared" si="0"/>
        <v>42</v>
      </c>
      <c r="B51" s="180"/>
      <c r="C51" s="180"/>
      <c r="D51" s="181"/>
      <c r="E51" s="182"/>
      <c r="F51" s="182"/>
      <c r="G51" s="182"/>
      <c r="H51" s="182"/>
      <c r="I51" s="177"/>
      <c r="J51" s="177"/>
      <c r="K51" s="168"/>
      <c r="L51" s="149"/>
      <c r="M51" s="168"/>
      <c r="N51" s="168"/>
      <c r="O51" s="168"/>
      <c r="P51" s="168"/>
    </row>
    <row r="52" spans="1:16" x14ac:dyDescent="0.25">
      <c r="A52" s="7">
        <f t="shared" si="0"/>
        <v>43</v>
      </c>
      <c r="B52" s="180"/>
      <c r="C52" s="180"/>
      <c r="D52" s="181"/>
      <c r="E52" s="182"/>
      <c r="F52" s="182"/>
      <c r="G52" s="182"/>
      <c r="H52" s="182"/>
      <c r="I52" s="177"/>
      <c r="J52" s="177"/>
      <c r="K52" s="168"/>
      <c r="L52" s="149"/>
      <c r="M52" s="168"/>
      <c r="N52" s="168"/>
      <c r="O52" s="168"/>
      <c r="P52" s="168"/>
    </row>
    <row r="53" spans="1:16" x14ac:dyDescent="0.25">
      <c r="A53" s="7">
        <f t="shared" si="0"/>
        <v>44</v>
      </c>
      <c r="B53" s="180"/>
      <c r="C53" s="180"/>
      <c r="D53" s="181"/>
      <c r="E53" s="182"/>
      <c r="F53" s="182"/>
      <c r="G53" s="182"/>
      <c r="H53" s="182"/>
      <c r="I53" s="177"/>
      <c r="J53" s="177"/>
      <c r="K53" s="168"/>
      <c r="L53" s="149"/>
      <c r="M53" s="168"/>
      <c r="N53" s="168"/>
      <c r="O53" s="168"/>
      <c r="P53" s="168"/>
    </row>
    <row r="54" spans="1:16" x14ac:dyDescent="0.25">
      <c r="A54" s="7">
        <f t="shared" si="0"/>
        <v>45</v>
      </c>
      <c r="B54" s="180"/>
      <c r="C54" s="180"/>
      <c r="D54" s="181"/>
      <c r="E54" s="182"/>
      <c r="F54" s="182"/>
      <c r="G54" s="182"/>
      <c r="H54" s="182"/>
      <c r="I54" s="177"/>
      <c r="J54" s="177"/>
      <c r="K54" s="168"/>
      <c r="L54" s="149"/>
      <c r="M54" s="168"/>
      <c r="N54" s="168"/>
      <c r="O54" s="168"/>
      <c r="P54" s="168"/>
    </row>
    <row r="55" spans="1:16" x14ac:dyDescent="0.25">
      <c r="A55" s="7">
        <f t="shared" si="0"/>
        <v>46</v>
      </c>
      <c r="B55" s="180"/>
      <c r="C55" s="180"/>
      <c r="D55" s="181"/>
      <c r="E55" s="182"/>
      <c r="F55" s="182"/>
      <c r="G55" s="182"/>
      <c r="H55" s="182"/>
      <c r="I55" s="177"/>
      <c r="J55" s="177"/>
      <c r="K55" s="168"/>
      <c r="L55" s="149"/>
      <c r="M55" s="168"/>
      <c r="N55" s="168"/>
      <c r="O55" s="168"/>
      <c r="P55" s="168"/>
    </row>
    <row r="56" spans="1:16" x14ac:dyDescent="0.25">
      <c r="A56" s="7">
        <f t="shared" si="0"/>
        <v>47</v>
      </c>
      <c r="B56" s="180"/>
      <c r="C56" s="180"/>
      <c r="D56" s="181"/>
      <c r="E56" s="182"/>
      <c r="F56" s="182"/>
      <c r="G56" s="182"/>
      <c r="H56" s="182"/>
      <c r="I56" s="177"/>
      <c r="J56" s="177"/>
      <c r="K56" s="168"/>
      <c r="L56" s="149"/>
      <c r="M56" s="168"/>
      <c r="N56" s="168"/>
      <c r="O56" s="168"/>
      <c r="P56" s="168"/>
    </row>
    <row r="57" spans="1:16" x14ac:dyDescent="0.25">
      <c r="A57" s="7">
        <f t="shared" si="0"/>
        <v>48</v>
      </c>
      <c r="B57" s="180"/>
      <c r="C57" s="180"/>
      <c r="D57" s="181"/>
      <c r="E57" s="182"/>
      <c r="F57" s="182"/>
      <c r="G57" s="182"/>
      <c r="H57" s="182"/>
      <c r="I57" s="177"/>
      <c r="J57" s="177"/>
      <c r="K57" s="168"/>
      <c r="L57" s="149"/>
      <c r="M57" s="168"/>
      <c r="N57" s="168"/>
      <c r="O57" s="168"/>
      <c r="P57" s="168"/>
    </row>
    <row r="58" spans="1:16" x14ac:dyDescent="0.25">
      <c r="A58" s="7">
        <f t="shared" si="0"/>
        <v>49</v>
      </c>
      <c r="B58" s="180"/>
      <c r="C58" s="180"/>
      <c r="D58" s="181"/>
      <c r="E58" s="182"/>
      <c r="F58" s="182"/>
      <c r="G58" s="182"/>
      <c r="H58" s="182"/>
      <c r="I58" s="177"/>
      <c r="J58" s="177"/>
      <c r="K58" s="168"/>
      <c r="L58" s="149"/>
      <c r="M58" s="168"/>
      <c r="N58" s="168"/>
      <c r="O58" s="168"/>
      <c r="P58" s="168"/>
    </row>
    <row r="59" spans="1:16" x14ac:dyDescent="0.25">
      <c r="A59" s="7">
        <f t="shared" si="0"/>
        <v>50</v>
      </c>
      <c r="B59" s="180"/>
      <c r="C59" s="180"/>
      <c r="D59" s="181"/>
      <c r="E59" s="182"/>
      <c r="F59" s="182"/>
      <c r="G59" s="182"/>
      <c r="H59" s="182"/>
      <c r="I59" s="177"/>
      <c r="J59" s="177"/>
      <c r="K59" s="168"/>
      <c r="L59" s="149"/>
      <c r="M59" s="168"/>
      <c r="N59" s="168"/>
      <c r="O59" s="168"/>
      <c r="P59" s="168"/>
    </row>
    <row r="60" spans="1:16" x14ac:dyDescent="0.25">
      <c r="A60" s="7">
        <f t="shared" si="0"/>
        <v>51</v>
      </c>
      <c r="B60" s="180"/>
      <c r="C60" s="180"/>
      <c r="D60" s="181"/>
      <c r="E60" s="182"/>
      <c r="F60" s="182"/>
      <c r="G60" s="182"/>
      <c r="H60" s="182"/>
      <c r="I60" s="177"/>
      <c r="J60" s="177"/>
      <c r="K60" s="168"/>
      <c r="L60" s="149"/>
      <c r="M60" s="168"/>
      <c r="N60" s="168"/>
      <c r="O60" s="168"/>
      <c r="P60" s="168"/>
    </row>
    <row r="61" spans="1:16" x14ac:dyDescent="0.25">
      <c r="A61" s="7">
        <f t="shared" si="0"/>
        <v>52</v>
      </c>
      <c r="B61" s="180"/>
      <c r="C61" s="180"/>
      <c r="D61" s="181"/>
      <c r="E61" s="182"/>
      <c r="F61" s="182"/>
      <c r="G61" s="182"/>
      <c r="H61" s="182"/>
      <c r="I61" s="177"/>
      <c r="J61" s="177"/>
      <c r="K61" s="168"/>
      <c r="L61" s="149"/>
      <c r="M61" s="168"/>
      <c r="N61" s="168"/>
      <c r="O61" s="168"/>
      <c r="P61" s="168"/>
    </row>
    <row r="62" spans="1:16" x14ac:dyDescent="0.25">
      <c r="A62" s="7">
        <f t="shared" si="0"/>
        <v>53</v>
      </c>
      <c r="B62" s="180"/>
      <c r="C62" s="180"/>
      <c r="D62" s="181"/>
      <c r="E62" s="182"/>
      <c r="F62" s="182"/>
      <c r="G62" s="182"/>
      <c r="H62" s="182"/>
      <c r="I62" s="177"/>
      <c r="J62" s="177"/>
      <c r="K62" s="168"/>
      <c r="L62" s="149"/>
      <c r="M62" s="168"/>
      <c r="N62" s="168"/>
      <c r="O62" s="168"/>
      <c r="P62" s="168"/>
    </row>
    <row r="63" spans="1:16" x14ac:dyDescent="0.25">
      <c r="A63" s="7">
        <f t="shared" si="0"/>
        <v>54</v>
      </c>
      <c r="B63" s="180"/>
      <c r="C63" s="180"/>
      <c r="D63" s="181"/>
      <c r="E63" s="182"/>
      <c r="F63" s="182"/>
      <c r="G63" s="182"/>
      <c r="H63" s="182"/>
      <c r="I63" s="177"/>
      <c r="J63" s="177"/>
      <c r="K63" s="168"/>
      <c r="L63" s="149"/>
      <c r="M63" s="168"/>
      <c r="N63" s="168"/>
      <c r="O63" s="168"/>
      <c r="P63" s="168"/>
    </row>
    <row r="64" spans="1:16" x14ac:dyDescent="0.25">
      <c r="A64" s="7">
        <f t="shared" si="0"/>
        <v>55</v>
      </c>
      <c r="B64" s="180"/>
      <c r="C64" s="180"/>
      <c r="D64" s="181"/>
      <c r="E64" s="182"/>
      <c r="F64" s="182"/>
      <c r="G64" s="182"/>
      <c r="H64" s="182"/>
      <c r="I64" s="177"/>
      <c r="J64" s="177"/>
      <c r="K64" s="168"/>
      <c r="L64" s="149"/>
      <c r="M64" s="168"/>
      <c r="N64" s="168"/>
      <c r="O64" s="168"/>
      <c r="P64" s="168"/>
    </row>
    <row r="65" spans="1:16" x14ac:dyDescent="0.25">
      <c r="A65" s="7">
        <f t="shared" si="0"/>
        <v>56</v>
      </c>
      <c r="B65" s="180"/>
      <c r="C65" s="180"/>
      <c r="D65" s="181"/>
      <c r="E65" s="182"/>
      <c r="F65" s="182"/>
      <c r="G65" s="182"/>
      <c r="H65" s="182"/>
      <c r="I65" s="177"/>
      <c r="J65" s="177"/>
      <c r="K65" s="168"/>
      <c r="L65" s="149"/>
      <c r="M65" s="168"/>
      <c r="N65" s="168"/>
      <c r="O65" s="168"/>
      <c r="P65" s="168"/>
    </row>
    <row r="66" spans="1:16" x14ac:dyDescent="0.25">
      <c r="A66" s="7">
        <f t="shared" si="0"/>
        <v>57</v>
      </c>
      <c r="B66" s="180"/>
      <c r="C66" s="180"/>
      <c r="D66" s="181"/>
      <c r="E66" s="182"/>
      <c r="F66" s="182"/>
      <c r="G66" s="182"/>
      <c r="H66" s="182"/>
      <c r="I66" s="177"/>
      <c r="J66" s="177"/>
      <c r="K66" s="168"/>
      <c r="L66" s="149"/>
      <c r="M66" s="168"/>
      <c r="N66" s="168"/>
      <c r="O66" s="168"/>
      <c r="P66" s="168"/>
    </row>
    <row r="67" spans="1:16" x14ac:dyDescent="0.25">
      <c r="A67" s="7">
        <f t="shared" si="0"/>
        <v>58</v>
      </c>
      <c r="B67" s="180"/>
      <c r="C67" s="180"/>
      <c r="D67" s="181"/>
      <c r="E67" s="182"/>
      <c r="F67" s="182"/>
      <c r="G67" s="182"/>
      <c r="H67" s="182"/>
      <c r="I67" s="177"/>
      <c r="J67" s="177"/>
      <c r="K67" s="168"/>
      <c r="L67" s="149"/>
      <c r="M67" s="168"/>
      <c r="N67" s="168"/>
      <c r="O67" s="168"/>
      <c r="P67" s="168"/>
    </row>
    <row r="68" spans="1:16" x14ac:dyDescent="0.25">
      <c r="A68" s="7">
        <f t="shared" si="0"/>
        <v>59</v>
      </c>
      <c r="B68" s="180"/>
      <c r="C68" s="180"/>
      <c r="D68" s="181"/>
      <c r="E68" s="182"/>
      <c r="F68" s="182"/>
      <c r="G68" s="182"/>
      <c r="H68" s="182"/>
      <c r="I68" s="177"/>
      <c r="J68" s="177"/>
      <c r="K68" s="168"/>
      <c r="L68" s="149"/>
      <c r="M68" s="168"/>
      <c r="N68" s="168"/>
      <c r="O68" s="168"/>
      <c r="P68" s="168"/>
    </row>
    <row r="69" spans="1:16" x14ac:dyDescent="0.25">
      <c r="A69" s="7">
        <f t="shared" si="0"/>
        <v>60</v>
      </c>
      <c r="B69" s="180"/>
      <c r="C69" s="180"/>
      <c r="D69" s="181"/>
      <c r="E69" s="182"/>
      <c r="F69" s="182"/>
      <c r="G69" s="182"/>
      <c r="H69" s="182"/>
      <c r="I69" s="177"/>
      <c r="J69" s="177"/>
      <c r="K69" s="168"/>
      <c r="L69" s="149"/>
      <c r="M69" s="168"/>
      <c r="N69" s="168"/>
      <c r="O69" s="168"/>
      <c r="P69" s="168"/>
    </row>
    <row r="70" spans="1:16" x14ac:dyDescent="0.25">
      <c r="A70" s="7">
        <f t="shared" si="0"/>
        <v>61</v>
      </c>
      <c r="B70" s="180"/>
      <c r="C70" s="180"/>
      <c r="D70" s="181"/>
      <c r="E70" s="182"/>
      <c r="F70" s="182"/>
      <c r="G70" s="182"/>
      <c r="H70" s="182"/>
      <c r="I70" s="177"/>
      <c r="J70" s="177"/>
      <c r="K70" s="168"/>
      <c r="L70" s="149"/>
      <c r="M70" s="168"/>
      <c r="N70" s="168"/>
      <c r="O70" s="168"/>
      <c r="P70" s="168"/>
    </row>
    <row r="71" spans="1:16" x14ac:dyDescent="0.25">
      <c r="A71" s="7">
        <f t="shared" si="0"/>
        <v>62</v>
      </c>
      <c r="B71" s="180"/>
      <c r="C71" s="180"/>
      <c r="D71" s="181"/>
      <c r="E71" s="182"/>
      <c r="F71" s="182"/>
      <c r="G71" s="182"/>
      <c r="H71" s="182"/>
      <c r="I71" s="177"/>
      <c r="J71" s="177"/>
      <c r="K71" s="168"/>
      <c r="L71" s="149"/>
      <c r="M71" s="168"/>
      <c r="N71" s="168"/>
      <c r="O71" s="168"/>
      <c r="P71" s="168"/>
    </row>
    <row r="72" spans="1:16" x14ac:dyDescent="0.25">
      <c r="A72" s="7">
        <f t="shared" si="0"/>
        <v>63</v>
      </c>
      <c r="B72" s="180"/>
      <c r="C72" s="180"/>
      <c r="D72" s="181"/>
      <c r="E72" s="182"/>
      <c r="F72" s="182"/>
      <c r="G72" s="182"/>
      <c r="H72" s="182"/>
      <c r="I72" s="177"/>
      <c r="J72" s="177"/>
      <c r="K72" s="168"/>
      <c r="L72" s="149"/>
      <c r="M72" s="168"/>
      <c r="N72" s="168"/>
      <c r="O72" s="168"/>
      <c r="P72" s="168"/>
    </row>
    <row r="73" spans="1:16" x14ac:dyDescent="0.25">
      <c r="A73" s="7">
        <f t="shared" si="0"/>
        <v>64</v>
      </c>
      <c r="B73" s="180"/>
      <c r="C73" s="180"/>
      <c r="D73" s="181"/>
      <c r="E73" s="182"/>
      <c r="F73" s="182"/>
      <c r="G73" s="182"/>
      <c r="H73" s="182"/>
      <c r="I73" s="177"/>
      <c r="J73" s="177"/>
      <c r="K73" s="168"/>
      <c r="L73" s="149"/>
      <c r="M73" s="168"/>
      <c r="N73" s="168"/>
      <c r="O73" s="168"/>
      <c r="P73" s="168"/>
    </row>
    <row r="74" spans="1:16" x14ac:dyDescent="0.25">
      <c r="A74" s="7">
        <f t="shared" si="0"/>
        <v>65</v>
      </c>
      <c r="B74" s="180"/>
      <c r="C74" s="180"/>
      <c r="D74" s="181"/>
      <c r="E74" s="182"/>
      <c r="F74" s="182"/>
      <c r="G74" s="182"/>
      <c r="H74" s="182"/>
      <c r="I74" s="177"/>
      <c r="J74" s="177"/>
      <c r="K74" s="168"/>
      <c r="L74" s="149"/>
      <c r="M74" s="168"/>
      <c r="N74" s="168"/>
      <c r="O74" s="168"/>
      <c r="P74" s="168"/>
    </row>
    <row r="75" spans="1:16" x14ac:dyDescent="0.25">
      <c r="A75" s="7">
        <f t="shared" si="0"/>
        <v>66</v>
      </c>
      <c r="B75" s="180"/>
      <c r="C75" s="180"/>
      <c r="D75" s="181"/>
      <c r="E75" s="182"/>
      <c r="F75" s="182"/>
      <c r="G75" s="182"/>
      <c r="H75" s="182"/>
      <c r="I75" s="177"/>
      <c r="J75" s="177"/>
      <c r="K75" s="168"/>
      <c r="L75" s="149"/>
      <c r="M75" s="168"/>
      <c r="N75" s="168"/>
      <c r="O75" s="168"/>
      <c r="P75" s="168"/>
    </row>
    <row r="76" spans="1:16" x14ac:dyDescent="0.25">
      <c r="A76" s="7">
        <f t="shared" ref="A76:A139" si="4">+A75+1</f>
        <v>67</v>
      </c>
      <c r="B76" s="180"/>
      <c r="C76" s="180"/>
      <c r="D76" s="181"/>
      <c r="E76" s="182"/>
      <c r="F76" s="182"/>
      <c r="G76" s="182"/>
      <c r="H76" s="182"/>
      <c r="I76" s="177"/>
      <c r="J76" s="177"/>
      <c r="K76" s="168"/>
      <c r="L76" s="149"/>
      <c r="M76" s="168"/>
      <c r="N76" s="168"/>
      <c r="O76" s="168"/>
      <c r="P76" s="168"/>
    </row>
    <row r="77" spans="1:16" x14ac:dyDescent="0.25">
      <c r="A77" s="7">
        <f t="shared" si="4"/>
        <v>68</v>
      </c>
      <c r="B77" s="180"/>
      <c r="C77" s="180"/>
      <c r="D77" s="181"/>
      <c r="E77" s="182"/>
      <c r="F77" s="182"/>
      <c r="G77" s="182"/>
      <c r="H77" s="182"/>
      <c r="I77" s="177"/>
      <c r="J77" s="177"/>
      <c r="K77" s="168"/>
      <c r="L77" s="149"/>
      <c r="M77" s="168"/>
      <c r="N77" s="168"/>
      <c r="O77" s="168"/>
      <c r="P77" s="168"/>
    </row>
    <row r="78" spans="1:16" x14ac:dyDescent="0.25">
      <c r="A78" s="7">
        <f t="shared" si="4"/>
        <v>69</v>
      </c>
      <c r="B78" s="180"/>
      <c r="C78" s="180"/>
      <c r="D78" s="181"/>
      <c r="E78" s="182"/>
      <c r="F78" s="182"/>
      <c r="G78" s="182"/>
      <c r="H78" s="182"/>
      <c r="I78" s="177"/>
      <c r="J78" s="177"/>
      <c r="K78" s="168"/>
      <c r="L78" s="149"/>
      <c r="M78" s="168"/>
      <c r="N78" s="168"/>
      <c r="O78" s="168"/>
      <c r="P78" s="168"/>
    </row>
    <row r="79" spans="1:16" x14ac:dyDescent="0.25">
      <c r="A79" s="7">
        <f t="shared" si="4"/>
        <v>70</v>
      </c>
      <c r="B79" s="180"/>
      <c r="C79" s="180"/>
      <c r="D79" s="181"/>
      <c r="E79" s="182"/>
      <c r="F79" s="182"/>
      <c r="G79" s="182"/>
      <c r="H79" s="182"/>
      <c r="I79" s="177"/>
      <c r="J79" s="177"/>
      <c r="K79" s="168"/>
      <c r="L79" s="149"/>
      <c r="M79" s="168"/>
      <c r="N79" s="168"/>
      <c r="O79" s="168"/>
      <c r="P79" s="168"/>
    </row>
    <row r="80" spans="1:16" x14ac:dyDescent="0.25">
      <c r="A80" s="7">
        <f t="shared" si="4"/>
        <v>71</v>
      </c>
      <c r="B80" s="180"/>
      <c r="C80" s="180"/>
      <c r="D80" s="181"/>
      <c r="E80" s="182"/>
      <c r="F80" s="182"/>
      <c r="G80" s="182"/>
      <c r="H80" s="182"/>
      <c r="I80" s="177"/>
      <c r="J80" s="177"/>
      <c r="K80" s="168"/>
      <c r="L80" s="149"/>
      <c r="M80" s="168"/>
      <c r="N80" s="168"/>
      <c r="O80" s="168"/>
      <c r="P80" s="168"/>
    </row>
    <row r="81" spans="1:16" x14ac:dyDescent="0.25">
      <c r="A81" s="7">
        <f t="shared" si="4"/>
        <v>72</v>
      </c>
      <c r="B81" s="180"/>
      <c r="C81" s="180"/>
      <c r="D81" s="181"/>
      <c r="E81" s="182"/>
      <c r="F81" s="182"/>
      <c r="G81" s="182"/>
      <c r="H81" s="182"/>
      <c r="I81" s="177"/>
      <c r="J81" s="177"/>
      <c r="K81" s="168"/>
      <c r="L81" s="149"/>
      <c r="M81" s="168"/>
      <c r="N81" s="168"/>
      <c r="O81" s="168"/>
      <c r="P81" s="168"/>
    </row>
    <row r="82" spans="1:16" x14ac:dyDescent="0.25">
      <c r="A82" s="7">
        <f t="shared" si="4"/>
        <v>73</v>
      </c>
      <c r="B82" s="180"/>
      <c r="C82" s="180"/>
      <c r="D82" s="181"/>
      <c r="E82" s="182"/>
      <c r="F82" s="182"/>
      <c r="G82" s="182"/>
      <c r="H82" s="182"/>
      <c r="I82" s="177"/>
      <c r="J82" s="177"/>
      <c r="K82" s="168"/>
      <c r="L82" s="149"/>
      <c r="M82" s="168"/>
      <c r="N82" s="168"/>
      <c r="O82" s="168"/>
      <c r="P82" s="168"/>
    </row>
    <row r="83" spans="1:16" x14ac:dyDescent="0.25">
      <c r="A83" s="7">
        <f t="shared" si="4"/>
        <v>74</v>
      </c>
      <c r="B83" s="180"/>
      <c r="C83" s="180"/>
      <c r="D83" s="181"/>
      <c r="E83" s="182"/>
      <c r="F83" s="182"/>
      <c r="G83" s="182"/>
      <c r="H83" s="182"/>
      <c r="I83" s="177"/>
      <c r="J83" s="177"/>
      <c r="K83" s="168"/>
      <c r="L83" s="149"/>
      <c r="M83" s="168"/>
      <c r="N83" s="168"/>
      <c r="O83" s="168"/>
      <c r="P83" s="168"/>
    </row>
    <row r="84" spans="1:16" x14ac:dyDescent="0.25">
      <c r="A84" s="7">
        <f t="shared" si="4"/>
        <v>75</v>
      </c>
      <c r="B84" s="180"/>
      <c r="C84" s="180"/>
      <c r="D84" s="181"/>
      <c r="E84" s="182"/>
      <c r="F84" s="182"/>
      <c r="G84" s="182"/>
      <c r="H84" s="182"/>
      <c r="I84" s="177"/>
      <c r="J84" s="177"/>
      <c r="K84" s="168"/>
      <c r="L84" s="149"/>
      <c r="M84" s="168"/>
      <c r="N84" s="168"/>
      <c r="O84" s="168"/>
      <c r="P84" s="168"/>
    </row>
    <row r="85" spans="1:16" x14ac:dyDescent="0.25">
      <c r="A85" s="7">
        <f t="shared" si="4"/>
        <v>76</v>
      </c>
      <c r="B85" s="180"/>
      <c r="C85" s="180"/>
      <c r="D85" s="181"/>
      <c r="E85" s="182"/>
      <c r="F85" s="182"/>
      <c r="G85" s="182"/>
      <c r="H85" s="182"/>
      <c r="I85" s="177"/>
      <c r="J85" s="177"/>
      <c r="K85" s="168"/>
      <c r="L85" s="149"/>
      <c r="M85" s="168"/>
      <c r="N85" s="168"/>
      <c r="O85" s="168"/>
      <c r="P85" s="168"/>
    </row>
    <row r="86" spans="1:16" x14ac:dyDescent="0.25">
      <c r="A86" s="7">
        <f t="shared" si="4"/>
        <v>77</v>
      </c>
      <c r="B86" s="180"/>
      <c r="C86" s="180"/>
      <c r="D86" s="181"/>
      <c r="E86" s="182"/>
      <c r="F86" s="182"/>
      <c r="G86" s="182"/>
      <c r="H86" s="182"/>
      <c r="I86" s="177"/>
      <c r="J86" s="177"/>
      <c r="K86" s="168"/>
      <c r="L86" s="149"/>
      <c r="M86" s="168"/>
      <c r="N86" s="168"/>
      <c r="O86" s="168"/>
      <c r="P86" s="168"/>
    </row>
    <row r="87" spans="1:16" x14ac:dyDescent="0.25">
      <c r="A87" s="7">
        <f t="shared" si="4"/>
        <v>78</v>
      </c>
      <c r="B87" s="180"/>
      <c r="C87" s="180"/>
      <c r="D87" s="181"/>
      <c r="E87" s="182"/>
      <c r="F87" s="182"/>
      <c r="G87" s="182"/>
      <c r="H87" s="182"/>
      <c r="I87" s="177"/>
      <c r="J87" s="177"/>
      <c r="K87" s="168"/>
      <c r="L87" s="149"/>
      <c r="M87" s="168"/>
      <c r="N87" s="168"/>
      <c r="O87" s="168"/>
      <c r="P87" s="168"/>
    </row>
    <row r="88" spans="1:16" x14ac:dyDescent="0.25">
      <c r="A88" s="7">
        <f t="shared" si="4"/>
        <v>79</v>
      </c>
      <c r="B88" s="180"/>
      <c r="C88" s="180"/>
      <c r="D88" s="181"/>
      <c r="E88" s="182"/>
      <c r="F88" s="182"/>
      <c r="G88" s="182"/>
      <c r="H88" s="182"/>
      <c r="I88" s="177"/>
      <c r="J88" s="177"/>
      <c r="K88" s="168"/>
      <c r="L88" s="149"/>
      <c r="M88" s="168"/>
      <c r="N88" s="168"/>
      <c r="O88" s="168"/>
      <c r="P88" s="168"/>
    </row>
    <row r="89" spans="1:16" x14ac:dyDescent="0.25">
      <c r="A89" s="7">
        <f t="shared" si="4"/>
        <v>80</v>
      </c>
      <c r="B89" s="180"/>
      <c r="C89" s="180"/>
      <c r="D89" s="181"/>
      <c r="E89" s="182"/>
      <c r="F89" s="182"/>
      <c r="G89" s="182"/>
      <c r="H89" s="182"/>
      <c r="I89" s="177"/>
      <c r="J89" s="177"/>
      <c r="K89" s="168"/>
      <c r="L89" s="149"/>
      <c r="M89" s="168"/>
      <c r="N89" s="168"/>
      <c r="O89" s="168"/>
      <c r="P89" s="168"/>
    </row>
    <row r="90" spans="1:16" x14ac:dyDescent="0.25">
      <c r="A90" s="7">
        <f t="shared" si="4"/>
        <v>81</v>
      </c>
      <c r="B90" s="180"/>
      <c r="C90" s="180"/>
      <c r="D90" s="181"/>
      <c r="E90" s="182"/>
      <c r="F90" s="182"/>
      <c r="G90" s="182"/>
      <c r="H90" s="182"/>
      <c r="I90" s="177"/>
      <c r="J90" s="177"/>
      <c r="K90" s="168"/>
      <c r="L90" s="149"/>
      <c r="M90" s="168"/>
      <c r="N90" s="168"/>
      <c r="O90" s="168"/>
      <c r="P90" s="168"/>
    </row>
    <row r="91" spans="1:16" x14ac:dyDescent="0.25">
      <c r="A91" s="7">
        <f t="shared" si="4"/>
        <v>82</v>
      </c>
      <c r="B91" s="180"/>
      <c r="C91" s="180"/>
      <c r="D91" s="181"/>
      <c r="E91" s="182"/>
      <c r="F91" s="182"/>
      <c r="G91" s="182"/>
      <c r="H91" s="182"/>
      <c r="I91" s="177"/>
      <c r="J91" s="177"/>
      <c r="K91" s="168"/>
      <c r="L91" s="149"/>
      <c r="M91" s="168"/>
      <c r="N91" s="168"/>
      <c r="O91" s="168"/>
      <c r="P91" s="168"/>
    </row>
    <row r="92" spans="1:16" x14ac:dyDescent="0.25">
      <c r="A92" s="7">
        <f t="shared" si="4"/>
        <v>83</v>
      </c>
      <c r="B92" s="180"/>
      <c r="C92" s="180"/>
      <c r="D92" s="181"/>
      <c r="E92" s="182"/>
      <c r="F92" s="182"/>
      <c r="G92" s="182"/>
      <c r="H92" s="182"/>
      <c r="I92" s="177"/>
      <c r="J92" s="177"/>
      <c r="K92" s="168"/>
      <c r="L92" s="149"/>
      <c r="M92" s="168"/>
      <c r="N92" s="168"/>
      <c r="O92" s="168"/>
      <c r="P92" s="168"/>
    </row>
    <row r="93" spans="1:16" x14ac:dyDescent="0.25">
      <c r="A93" s="7">
        <f t="shared" si="4"/>
        <v>84</v>
      </c>
      <c r="B93" s="180"/>
      <c r="C93" s="180"/>
      <c r="D93" s="181"/>
      <c r="E93" s="182"/>
      <c r="F93" s="182"/>
      <c r="G93" s="182"/>
      <c r="H93" s="182"/>
      <c r="I93" s="177"/>
      <c r="J93" s="177"/>
      <c r="K93" s="168"/>
      <c r="L93" s="149"/>
      <c r="M93" s="168"/>
      <c r="N93" s="168"/>
      <c r="O93" s="168"/>
      <c r="P93" s="168"/>
    </row>
    <row r="94" spans="1:16" x14ac:dyDescent="0.25">
      <c r="A94" s="7">
        <f t="shared" si="4"/>
        <v>85</v>
      </c>
      <c r="B94" s="180"/>
      <c r="C94" s="180"/>
      <c r="D94" s="181"/>
      <c r="E94" s="182"/>
      <c r="F94" s="182"/>
      <c r="G94" s="182"/>
      <c r="H94" s="182"/>
      <c r="I94" s="177"/>
      <c r="J94" s="177"/>
      <c r="K94" s="168"/>
      <c r="L94" s="149"/>
      <c r="M94" s="168"/>
      <c r="N94" s="168"/>
      <c r="O94" s="168"/>
      <c r="P94" s="168"/>
    </row>
    <row r="95" spans="1:16" x14ac:dyDescent="0.25">
      <c r="A95" s="7">
        <f t="shared" si="4"/>
        <v>86</v>
      </c>
      <c r="B95" s="180"/>
      <c r="C95" s="180"/>
      <c r="D95" s="181"/>
      <c r="E95" s="182"/>
      <c r="F95" s="182"/>
      <c r="G95" s="182"/>
      <c r="H95" s="182"/>
      <c r="I95" s="177"/>
      <c r="J95" s="177"/>
      <c r="K95" s="168"/>
      <c r="L95" s="149"/>
      <c r="M95" s="168"/>
      <c r="N95" s="168"/>
      <c r="O95" s="168"/>
      <c r="P95" s="168"/>
    </row>
    <row r="96" spans="1:16" x14ac:dyDescent="0.25">
      <c r="A96" s="7">
        <f t="shared" si="4"/>
        <v>87</v>
      </c>
      <c r="B96" s="180"/>
      <c r="C96" s="180"/>
      <c r="D96" s="181"/>
      <c r="E96" s="182"/>
      <c r="F96" s="182"/>
      <c r="G96" s="182"/>
      <c r="H96" s="182"/>
      <c r="I96" s="177"/>
      <c r="J96" s="177"/>
      <c r="K96" s="168"/>
      <c r="L96" s="149"/>
      <c r="M96" s="168"/>
      <c r="N96" s="168"/>
      <c r="O96" s="168"/>
      <c r="P96" s="168"/>
    </row>
    <row r="97" spans="1:16" x14ac:dyDescent="0.25">
      <c r="A97" s="7">
        <f t="shared" si="4"/>
        <v>88</v>
      </c>
      <c r="B97" s="180"/>
      <c r="C97" s="180"/>
      <c r="D97" s="181"/>
      <c r="E97" s="182"/>
      <c r="F97" s="182"/>
      <c r="G97" s="182"/>
      <c r="H97" s="182"/>
      <c r="I97" s="177"/>
      <c r="J97" s="177"/>
      <c r="K97" s="168"/>
      <c r="L97" s="149"/>
      <c r="M97" s="168"/>
      <c r="N97" s="168"/>
      <c r="O97" s="168"/>
      <c r="P97" s="168"/>
    </row>
    <row r="98" spans="1:16" x14ac:dyDescent="0.25">
      <c r="A98" s="7">
        <f t="shared" si="4"/>
        <v>89</v>
      </c>
      <c r="B98" s="180"/>
      <c r="C98" s="180"/>
      <c r="D98" s="181"/>
      <c r="E98" s="182"/>
      <c r="F98" s="182"/>
      <c r="G98" s="182"/>
      <c r="H98" s="182"/>
      <c r="I98" s="177"/>
      <c r="J98" s="177"/>
      <c r="K98" s="168"/>
      <c r="L98" s="149"/>
      <c r="M98" s="168"/>
      <c r="N98" s="168"/>
      <c r="O98" s="168"/>
      <c r="P98" s="168"/>
    </row>
    <row r="99" spans="1:16" x14ac:dyDescent="0.25">
      <c r="A99" s="7">
        <f t="shared" si="4"/>
        <v>90</v>
      </c>
      <c r="B99" s="180"/>
      <c r="C99" s="180"/>
      <c r="D99" s="181"/>
      <c r="E99" s="182"/>
      <c r="F99" s="182"/>
      <c r="G99" s="182"/>
      <c r="H99" s="182"/>
      <c r="I99" s="177"/>
      <c r="J99" s="177"/>
      <c r="K99" s="168"/>
      <c r="L99" s="149"/>
      <c r="M99" s="168"/>
      <c r="N99" s="168"/>
      <c r="O99" s="168"/>
      <c r="P99" s="168"/>
    </row>
    <row r="100" spans="1:16" x14ac:dyDescent="0.25">
      <c r="A100" s="7">
        <f t="shared" si="4"/>
        <v>91</v>
      </c>
      <c r="B100" s="180"/>
      <c r="C100" s="180"/>
      <c r="D100" s="181"/>
      <c r="E100" s="182"/>
      <c r="F100" s="182"/>
      <c r="G100" s="182"/>
      <c r="H100" s="182"/>
      <c r="I100" s="177"/>
      <c r="J100" s="177"/>
      <c r="K100" s="168"/>
      <c r="L100" s="149"/>
      <c r="M100" s="168"/>
      <c r="N100" s="168"/>
      <c r="O100" s="168"/>
      <c r="P100" s="168"/>
    </row>
    <row r="101" spans="1:16" x14ac:dyDescent="0.25">
      <c r="A101" s="7">
        <f t="shared" si="4"/>
        <v>92</v>
      </c>
      <c r="B101" s="180"/>
      <c r="C101" s="180"/>
      <c r="D101" s="181"/>
      <c r="E101" s="182"/>
      <c r="F101" s="182"/>
      <c r="G101" s="182"/>
      <c r="H101" s="182"/>
      <c r="I101" s="177"/>
      <c r="J101" s="177"/>
      <c r="K101" s="168"/>
      <c r="L101" s="149"/>
      <c r="M101" s="168"/>
      <c r="N101" s="168"/>
      <c r="O101" s="168"/>
      <c r="P101" s="168"/>
    </row>
    <row r="102" spans="1:16" x14ac:dyDescent="0.25">
      <c r="A102" s="7">
        <f t="shared" si="4"/>
        <v>93</v>
      </c>
      <c r="B102" s="180"/>
      <c r="C102" s="180"/>
      <c r="D102" s="181"/>
      <c r="E102" s="182"/>
      <c r="F102" s="182"/>
      <c r="G102" s="182"/>
      <c r="H102" s="182"/>
      <c r="I102" s="177"/>
      <c r="J102" s="177"/>
      <c r="K102" s="168"/>
      <c r="L102" s="149"/>
      <c r="M102" s="168"/>
      <c r="N102" s="168"/>
      <c r="O102" s="168"/>
      <c r="P102" s="168"/>
    </row>
    <row r="103" spans="1:16" x14ac:dyDescent="0.25">
      <c r="A103" s="7">
        <f t="shared" si="4"/>
        <v>94</v>
      </c>
      <c r="B103" s="180"/>
      <c r="C103" s="180"/>
      <c r="D103" s="181"/>
      <c r="E103" s="182"/>
      <c r="F103" s="182"/>
      <c r="G103" s="182"/>
      <c r="H103" s="182"/>
      <c r="I103" s="177"/>
      <c r="J103" s="177"/>
      <c r="K103" s="168"/>
      <c r="L103" s="149"/>
      <c r="M103" s="168"/>
      <c r="N103" s="168"/>
      <c r="O103" s="168"/>
      <c r="P103" s="168"/>
    </row>
    <row r="104" spans="1:16" x14ac:dyDescent="0.25">
      <c r="A104" s="7">
        <f t="shared" si="4"/>
        <v>95</v>
      </c>
      <c r="B104" s="180"/>
      <c r="C104" s="180"/>
      <c r="D104" s="181"/>
      <c r="E104" s="182"/>
      <c r="F104" s="182"/>
      <c r="G104" s="182"/>
      <c r="H104" s="182"/>
      <c r="I104" s="177"/>
      <c r="J104" s="177"/>
      <c r="K104" s="168"/>
      <c r="L104" s="149"/>
      <c r="M104" s="168"/>
      <c r="N104" s="168"/>
      <c r="O104" s="168"/>
      <c r="P104" s="168"/>
    </row>
    <row r="105" spans="1:16" x14ac:dyDescent="0.25">
      <c r="A105" s="7">
        <f t="shared" si="4"/>
        <v>96</v>
      </c>
      <c r="B105" s="180"/>
      <c r="C105" s="180"/>
      <c r="D105" s="181"/>
      <c r="E105" s="182"/>
      <c r="F105" s="182"/>
      <c r="G105" s="182"/>
      <c r="H105" s="182"/>
      <c r="I105" s="177"/>
      <c r="J105" s="177"/>
      <c r="K105" s="168"/>
      <c r="L105" s="149"/>
      <c r="M105" s="168"/>
      <c r="N105" s="168"/>
      <c r="O105" s="168"/>
      <c r="P105" s="168"/>
    </row>
    <row r="106" spans="1:16" x14ac:dyDescent="0.25">
      <c r="A106" s="7">
        <f t="shared" si="4"/>
        <v>97</v>
      </c>
      <c r="B106" s="180"/>
      <c r="C106" s="180"/>
      <c r="D106" s="181"/>
      <c r="E106" s="182"/>
      <c r="F106" s="182"/>
      <c r="G106" s="182"/>
      <c r="H106" s="182"/>
      <c r="I106" s="177"/>
      <c r="J106" s="177"/>
      <c r="K106" s="168"/>
      <c r="L106" s="149"/>
      <c r="M106" s="168"/>
      <c r="N106" s="168"/>
      <c r="O106" s="168"/>
      <c r="P106" s="168"/>
    </row>
    <row r="107" spans="1:16" x14ac:dyDescent="0.25">
      <c r="A107" s="7">
        <f t="shared" si="4"/>
        <v>98</v>
      </c>
      <c r="B107" s="180"/>
      <c r="C107" s="180"/>
      <c r="D107" s="181"/>
      <c r="E107" s="182"/>
      <c r="F107" s="182"/>
      <c r="G107" s="182"/>
      <c r="H107" s="182"/>
      <c r="I107" s="177"/>
      <c r="J107" s="177"/>
      <c r="K107" s="168"/>
      <c r="L107" s="149"/>
      <c r="M107" s="168"/>
      <c r="N107" s="168"/>
      <c r="O107" s="168"/>
      <c r="P107" s="168"/>
    </row>
    <row r="108" spans="1:16" x14ac:dyDescent="0.25">
      <c r="A108" s="7">
        <f t="shared" si="4"/>
        <v>99</v>
      </c>
      <c r="B108" s="180"/>
      <c r="C108" s="180"/>
      <c r="D108" s="181"/>
      <c r="E108" s="182"/>
      <c r="F108" s="182"/>
      <c r="G108" s="182"/>
      <c r="H108" s="182"/>
      <c r="I108" s="177"/>
      <c r="J108" s="177"/>
      <c r="K108" s="168"/>
      <c r="L108" s="149"/>
      <c r="M108" s="168"/>
      <c r="N108" s="168"/>
      <c r="O108" s="168"/>
      <c r="P108" s="168"/>
    </row>
    <row r="109" spans="1:16" x14ac:dyDescent="0.25">
      <c r="A109" s="7">
        <f t="shared" si="4"/>
        <v>100</v>
      </c>
      <c r="B109" s="180"/>
      <c r="C109" s="180"/>
      <c r="D109" s="181"/>
      <c r="E109" s="182"/>
      <c r="F109" s="182"/>
      <c r="G109" s="182"/>
      <c r="H109" s="182"/>
      <c r="I109" s="177"/>
      <c r="J109" s="177"/>
      <c r="K109" s="168"/>
      <c r="L109" s="149"/>
      <c r="M109" s="168"/>
      <c r="N109" s="168"/>
      <c r="O109" s="168"/>
      <c r="P109" s="168"/>
    </row>
    <row r="110" spans="1:16" x14ac:dyDescent="0.25">
      <c r="A110" s="7">
        <f t="shared" si="4"/>
        <v>101</v>
      </c>
      <c r="B110" s="180"/>
      <c r="C110" s="180"/>
      <c r="D110" s="181"/>
      <c r="E110" s="182"/>
      <c r="F110" s="182"/>
      <c r="G110" s="182"/>
      <c r="H110" s="182"/>
      <c r="I110" s="177"/>
      <c r="J110" s="177"/>
      <c r="K110" s="168"/>
      <c r="L110" s="149"/>
      <c r="M110" s="168"/>
      <c r="N110" s="168"/>
      <c r="O110" s="168"/>
      <c r="P110" s="168"/>
    </row>
    <row r="111" spans="1:16" x14ac:dyDescent="0.25">
      <c r="A111" s="7">
        <f t="shared" si="4"/>
        <v>102</v>
      </c>
      <c r="B111" s="180"/>
      <c r="C111" s="180"/>
      <c r="D111" s="181"/>
      <c r="E111" s="182"/>
      <c r="F111" s="182"/>
      <c r="G111" s="182"/>
      <c r="H111" s="182"/>
      <c r="I111" s="177"/>
      <c r="J111" s="177"/>
      <c r="K111" s="168"/>
      <c r="L111" s="149"/>
      <c r="M111" s="168"/>
      <c r="N111" s="168"/>
      <c r="O111" s="168"/>
      <c r="P111" s="168"/>
    </row>
    <row r="112" spans="1:16" x14ac:dyDescent="0.25">
      <c r="A112" s="7">
        <f t="shared" si="4"/>
        <v>103</v>
      </c>
      <c r="B112" s="180"/>
      <c r="C112" s="180"/>
      <c r="D112" s="181"/>
      <c r="E112" s="182"/>
      <c r="F112" s="182"/>
      <c r="G112" s="182"/>
      <c r="H112" s="182"/>
      <c r="I112" s="177"/>
      <c r="J112" s="177"/>
      <c r="K112" s="168"/>
      <c r="L112" s="149"/>
      <c r="M112" s="168"/>
      <c r="N112" s="168"/>
      <c r="O112" s="168"/>
      <c r="P112" s="168"/>
    </row>
    <row r="113" spans="1:16" x14ac:dyDescent="0.25">
      <c r="A113" s="7">
        <f t="shared" si="4"/>
        <v>104</v>
      </c>
      <c r="B113" s="180"/>
      <c r="C113" s="180"/>
      <c r="D113" s="181"/>
      <c r="E113" s="182"/>
      <c r="F113" s="182"/>
      <c r="G113" s="182"/>
      <c r="H113" s="182"/>
      <c r="I113" s="177"/>
      <c r="J113" s="177"/>
      <c r="K113" s="168"/>
      <c r="L113" s="149"/>
      <c r="M113" s="168"/>
      <c r="N113" s="168"/>
      <c r="O113" s="168"/>
      <c r="P113" s="168"/>
    </row>
    <row r="114" spans="1:16" x14ac:dyDescent="0.25">
      <c r="A114" s="7">
        <f t="shared" si="4"/>
        <v>105</v>
      </c>
      <c r="B114" s="180"/>
      <c r="C114" s="180"/>
      <c r="D114" s="181"/>
      <c r="E114" s="182"/>
      <c r="F114" s="182"/>
      <c r="G114" s="182"/>
      <c r="H114" s="182"/>
      <c r="I114" s="177"/>
      <c r="J114" s="177"/>
      <c r="K114" s="168"/>
      <c r="L114" s="149"/>
      <c r="M114" s="168"/>
      <c r="N114" s="168"/>
      <c r="O114" s="168"/>
      <c r="P114" s="168"/>
    </row>
    <row r="115" spans="1:16" x14ac:dyDescent="0.25">
      <c r="A115" s="7">
        <f t="shared" si="4"/>
        <v>106</v>
      </c>
      <c r="B115" s="180"/>
      <c r="C115" s="180"/>
      <c r="D115" s="181"/>
      <c r="E115" s="182"/>
      <c r="F115" s="182"/>
      <c r="G115" s="182"/>
      <c r="H115" s="182"/>
      <c r="I115" s="177"/>
      <c r="J115" s="177"/>
      <c r="K115" s="168"/>
      <c r="L115" s="149"/>
      <c r="M115" s="168"/>
      <c r="N115" s="168"/>
      <c r="O115" s="168"/>
      <c r="P115" s="168"/>
    </row>
    <row r="116" spans="1:16" x14ac:dyDescent="0.25">
      <c r="A116" s="7">
        <f t="shared" si="4"/>
        <v>107</v>
      </c>
      <c r="B116" s="180"/>
      <c r="C116" s="180"/>
      <c r="D116" s="181"/>
      <c r="E116" s="182"/>
      <c r="F116" s="182"/>
      <c r="G116" s="182"/>
      <c r="H116" s="182"/>
      <c r="I116" s="177"/>
      <c r="J116" s="177"/>
      <c r="K116" s="168"/>
      <c r="L116" s="149"/>
      <c r="M116" s="168"/>
      <c r="N116" s="168"/>
      <c r="O116" s="168"/>
      <c r="P116" s="168"/>
    </row>
    <row r="117" spans="1:16" x14ac:dyDescent="0.25">
      <c r="A117" s="7">
        <f t="shared" si="4"/>
        <v>108</v>
      </c>
      <c r="B117" s="180"/>
      <c r="C117" s="180"/>
      <c r="D117" s="181"/>
      <c r="E117" s="182"/>
      <c r="F117" s="182"/>
      <c r="G117" s="182"/>
      <c r="H117" s="182"/>
      <c r="I117" s="177"/>
      <c r="J117" s="177"/>
      <c r="K117" s="168"/>
      <c r="L117" s="149"/>
      <c r="M117" s="168"/>
      <c r="N117" s="168"/>
      <c r="O117" s="168"/>
      <c r="P117" s="168"/>
    </row>
    <row r="118" spans="1:16" x14ac:dyDescent="0.25">
      <c r="A118" s="7">
        <f t="shared" si="4"/>
        <v>109</v>
      </c>
      <c r="B118" s="180"/>
      <c r="C118" s="180"/>
      <c r="D118" s="181"/>
      <c r="E118" s="182"/>
      <c r="F118" s="182"/>
      <c r="G118" s="182"/>
      <c r="H118" s="182"/>
      <c r="I118" s="177"/>
      <c r="J118" s="177"/>
      <c r="K118" s="168"/>
      <c r="L118" s="149"/>
      <c r="M118" s="168"/>
      <c r="N118" s="168"/>
      <c r="O118" s="168"/>
      <c r="P118" s="168"/>
    </row>
    <row r="119" spans="1:16" x14ac:dyDescent="0.25">
      <c r="A119" s="7">
        <f t="shared" si="4"/>
        <v>110</v>
      </c>
      <c r="B119" s="180"/>
      <c r="C119" s="180"/>
      <c r="D119" s="181"/>
      <c r="E119" s="182"/>
      <c r="F119" s="182"/>
      <c r="G119" s="182"/>
      <c r="H119" s="182"/>
      <c r="I119" s="177"/>
      <c r="J119" s="177"/>
      <c r="K119" s="168"/>
      <c r="L119" s="149"/>
      <c r="M119" s="168"/>
      <c r="N119" s="168"/>
      <c r="O119" s="168"/>
      <c r="P119" s="168"/>
    </row>
    <row r="120" spans="1:16" x14ac:dyDescent="0.25">
      <c r="A120" s="7">
        <f t="shared" si="4"/>
        <v>111</v>
      </c>
      <c r="B120" s="180"/>
      <c r="C120" s="180"/>
      <c r="D120" s="181"/>
      <c r="E120" s="182"/>
      <c r="F120" s="182"/>
      <c r="G120" s="182"/>
      <c r="H120" s="182"/>
      <c r="I120" s="177"/>
      <c r="J120" s="177"/>
      <c r="K120" s="168"/>
      <c r="L120" s="149"/>
      <c r="M120" s="168"/>
      <c r="N120" s="168"/>
      <c r="O120" s="168"/>
      <c r="P120" s="168"/>
    </row>
    <row r="121" spans="1:16" x14ac:dyDescent="0.25">
      <c r="A121" s="7">
        <f t="shared" si="4"/>
        <v>112</v>
      </c>
      <c r="B121" s="180"/>
      <c r="C121" s="180"/>
      <c r="D121" s="181"/>
      <c r="E121" s="182"/>
      <c r="F121" s="182"/>
      <c r="G121" s="182"/>
      <c r="H121" s="182"/>
      <c r="I121" s="177"/>
      <c r="J121" s="177"/>
      <c r="K121" s="168"/>
      <c r="L121" s="149"/>
      <c r="M121" s="168"/>
      <c r="N121" s="168"/>
      <c r="O121" s="168"/>
      <c r="P121" s="168"/>
    </row>
    <row r="122" spans="1:16" x14ac:dyDescent="0.25">
      <c r="A122" s="7">
        <f t="shared" si="4"/>
        <v>113</v>
      </c>
      <c r="B122" s="180"/>
      <c r="C122" s="180"/>
      <c r="D122" s="181"/>
      <c r="E122" s="182"/>
      <c r="F122" s="182"/>
      <c r="G122" s="182"/>
      <c r="H122" s="182"/>
      <c r="I122" s="177"/>
      <c r="J122" s="177"/>
      <c r="K122" s="168"/>
      <c r="L122" s="149"/>
      <c r="M122" s="168"/>
      <c r="N122" s="168"/>
      <c r="O122" s="168"/>
      <c r="P122" s="168"/>
    </row>
    <row r="123" spans="1:16" x14ac:dyDescent="0.25">
      <c r="A123" s="7">
        <f t="shared" si="4"/>
        <v>114</v>
      </c>
      <c r="B123" s="180"/>
      <c r="C123" s="180"/>
      <c r="D123" s="181"/>
      <c r="E123" s="182"/>
      <c r="F123" s="182"/>
      <c r="G123" s="182"/>
      <c r="H123" s="182"/>
      <c r="I123" s="177"/>
      <c r="J123" s="177"/>
      <c r="K123" s="168"/>
      <c r="L123" s="149"/>
      <c r="M123" s="168"/>
      <c r="N123" s="168"/>
      <c r="O123" s="168"/>
      <c r="P123" s="168"/>
    </row>
    <row r="124" spans="1:16" x14ac:dyDescent="0.25">
      <c r="A124" s="7">
        <f t="shared" si="4"/>
        <v>115</v>
      </c>
      <c r="B124" s="180"/>
      <c r="C124" s="180"/>
      <c r="D124" s="181"/>
      <c r="E124" s="182"/>
      <c r="F124" s="182"/>
      <c r="G124" s="182"/>
      <c r="H124" s="182"/>
      <c r="I124" s="177"/>
      <c r="J124" s="177"/>
      <c r="K124" s="168"/>
      <c r="L124" s="149"/>
      <c r="M124" s="168"/>
      <c r="N124" s="168"/>
      <c r="O124" s="168"/>
      <c r="P124" s="168"/>
    </row>
    <row r="125" spans="1:16" x14ac:dyDescent="0.25">
      <c r="A125" s="7">
        <f t="shared" si="4"/>
        <v>116</v>
      </c>
      <c r="B125" s="180"/>
      <c r="C125" s="180"/>
      <c r="D125" s="181"/>
      <c r="E125" s="182"/>
      <c r="F125" s="182"/>
      <c r="G125" s="182"/>
      <c r="H125" s="182"/>
      <c r="I125" s="177"/>
      <c r="J125" s="177"/>
      <c r="K125" s="168"/>
      <c r="L125" s="149"/>
      <c r="M125" s="168"/>
      <c r="N125" s="168"/>
      <c r="O125" s="168"/>
      <c r="P125" s="168"/>
    </row>
    <row r="126" spans="1:16" x14ac:dyDescent="0.25">
      <c r="A126" s="7">
        <f t="shared" si="4"/>
        <v>117</v>
      </c>
      <c r="B126" s="180"/>
      <c r="C126" s="180"/>
      <c r="D126" s="181"/>
      <c r="E126" s="182"/>
      <c r="F126" s="182"/>
      <c r="G126" s="182"/>
      <c r="H126" s="182"/>
      <c r="I126" s="177"/>
      <c r="J126" s="177"/>
      <c r="K126" s="168"/>
      <c r="L126" s="149"/>
      <c r="M126" s="168"/>
      <c r="N126" s="168"/>
      <c r="O126" s="168"/>
      <c r="P126" s="168"/>
    </row>
    <row r="127" spans="1:16" x14ac:dyDescent="0.25">
      <c r="A127" s="7">
        <f t="shared" si="4"/>
        <v>118</v>
      </c>
      <c r="B127" s="180"/>
      <c r="C127" s="180"/>
      <c r="D127" s="181"/>
      <c r="E127" s="182"/>
      <c r="F127" s="182"/>
      <c r="G127" s="182"/>
      <c r="H127" s="182"/>
      <c r="I127" s="177"/>
      <c r="J127" s="177"/>
      <c r="K127" s="168"/>
      <c r="L127" s="149"/>
      <c r="M127" s="168"/>
      <c r="N127" s="168"/>
      <c r="O127" s="168"/>
      <c r="P127" s="168"/>
    </row>
    <row r="128" spans="1:16" x14ac:dyDescent="0.25">
      <c r="A128" s="7">
        <f t="shared" si="4"/>
        <v>119</v>
      </c>
      <c r="B128" s="180"/>
      <c r="C128" s="180"/>
      <c r="D128" s="181"/>
      <c r="E128" s="182"/>
      <c r="F128" s="182"/>
      <c r="G128" s="182"/>
      <c r="H128" s="182"/>
      <c r="I128" s="177"/>
      <c r="J128" s="177"/>
      <c r="K128" s="168"/>
      <c r="L128" s="149"/>
      <c r="M128" s="168"/>
      <c r="N128" s="168"/>
      <c r="O128" s="168"/>
      <c r="P128" s="168"/>
    </row>
    <row r="129" spans="1:16" x14ac:dyDescent="0.25">
      <c r="A129" s="7">
        <f t="shared" si="4"/>
        <v>120</v>
      </c>
      <c r="B129" s="180"/>
      <c r="C129" s="180"/>
      <c r="D129" s="181"/>
      <c r="E129" s="182"/>
      <c r="F129" s="182"/>
      <c r="G129" s="182"/>
      <c r="H129" s="182"/>
      <c r="I129" s="177"/>
      <c r="J129" s="177"/>
      <c r="K129" s="168"/>
      <c r="L129" s="149"/>
      <c r="M129" s="168"/>
      <c r="N129" s="168"/>
      <c r="O129" s="168"/>
      <c r="P129" s="168"/>
    </row>
    <row r="130" spans="1:16" x14ac:dyDescent="0.25">
      <c r="A130" s="7">
        <f t="shared" si="4"/>
        <v>121</v>
      </c>
      <c r="B130" s="180"/>
      <c r="C130" s="180"/>
      <c r="D130" s="181"/>
      <c r="E130" s="182"/>
      <c r="F130" s="182"/>
      <c r="G130" s="182"/>
      <c r="H130" s="182"/>
      <c r="I130" s="177"/>
      <c r="J130" s="177"/>
      <c r="K130" s="168"/>
      <c r="L130" s="149"/>
      <c r="M130" s="168"/>
      <c r="N130" s="168"/>
      <c r="O130" s="168"/>
      <c r="P130" s="168"/>
    </row>
    <row r="131" spans="1:16" x14ac:dyDescent="0.25">
      <c r="A131" s="7">
        <f t="shared" si="4"/>
        <v>122</v>
      </c>
      <c r="B131" s="180"/>
      <c r="C131" s="180"/>
      <c r="D131" s="181"/>
      <c r="E131" s="182"/>
      <c r="F131" s="182"/>
      <c r="G131" s="182"/>
      <c r="H131" s="182"/>
      <c r="I131" s="177"/>
      <c r="J131" s="177"/>
      <c r="K131" s="168"/>
      <c r="L131" s="149"/>
      <c r="M131" s="168"/>
      <c r="N131" s="168"/>
      <c r="O131" s="168"/>
      <c r="P131" s="168"/>
    </row>
    <row r="132" spans="1:16" x14ac:dyDescent="0.25">
      <c r="A132" s="7">
        <f t="shared" si="4"/>
        <v>123</v>
      </c>
      <c r="B132" s="180"/>
      <c r="C132" s="180"/>
      <c r="D132" s="181"/>
      <c r="E132" s="182"/>
      <c r="F132" s="182"/>
      <c r="G132" s="182"/>
      <c r="H132" s="182"/>
      <c r="I132" s="177"/>
      <c r="J132" s="177"/>
      <c r="K132" s="168"/>
      <c r="L132" s="149"/>
      <c r="M132" s="168"/>
      <c r="N132" s="168"/>
      <c r="O132" s="168"/>
      <c r="P132" s="168"/>
    </row>
    <row r="133" spans="1:16" x14ac:dyDescent="0.25">
      <c r="A133" s="7">
        <f t="shared" si="4"/>
        <v>124</v>
      </c>
      <c r="B133" s="180"/>
      <c r="C133" s="180"/>
      <c r="D133" s="181"/>
      <c r="E133" s="182"/>
      <c r="F133" s="182"/>
      <c r="G133" s="182"/>
      <c r="H133" s="182"/>
      <c r="I133" s="177"/>
      <c r="J133" s="177"/>
      <c r="K133" s="168"/>
      <c r="L133" s="149"/>
      <c r="M133" s="168"/>
      <c r="N133" s="168"/>
      <c r="O133" s="168"/>
      <c r="P133" s="168"/>
    </row>
    <row r="134" spans="1:16" x14ac:dyDescent="0.25">
      <c r="A134" s="7">
        <f t="shared" si="4"/>
        <v>125</v>
      </c>
      <c r="B134" s="180"/>
      <c r="C134" s="180"/>
      <c r="D134" s="181"/>
      <c r="E134" s="182"/>
      <c r="F134" s="182"/>
      <c r="G134" s="182"/>
      <c r="H134" s="182"/>
      <c r="I134" s="177"/>
      <c r="J134" s="177"/>
      <c r="K134" s="168"/>
      <c r="L134" s="149"/>
      <c r="M134" s="168"/>
      <c r="N134" s="168"/>
      <c r="O134" s="168"/>
      <c r="P134" s="168"/>
    </row>
    <row r="135" spans="1:16" x14ac:dyDescent="0.25">
      <c r="A135" s="7">
        <f t="shared" si="4"/>
        <v>126</v>
      </c>
      <c r="B135" s="180"/>
      <c r="C135" s="180"/>
      <c r="D135" s="181"/>
      <c r="E135" s="182"/>
      <c r="F135" s="182"/>
      <c r="G135" s="182"/>
      <c r="H135" s="182"/>
      <c r="I135" s="177"/>
      <c r="J135" s="177"/>
      <c r="K135" s="168"/>
      <c r="L135" s="149"/>
      <c r="M135" s="168"/>
      <c r="N135" s="168"/>
      <c r="O135" s="168"/>
      <c r="P135" s="168"/>
    </row>
    <row r="136" spans="1:16" x14ac:dyDescent="0.25">
      <c r="A136" s="7">
        <f t="shared" si="4"/>
        <v>127</v>
      </c>
      <c r="B136" s="180"/>
      <c r="C136" s="180"/>
      <c r="D136" s="181"/>
      <c r="E136" s="182"/>
      <c r="F136" s="182"/>
      <c r="G136" s="182"/>
      <c r="H136" s="182"/>
      <c r="I136" s="177"/>
      <c r="J136" s="177"/>
      <c r="K136" s="168"/>
      <c r="L136" s="149"/>
      <c r="M136" s="168"/>
      <c r="N136" s="168"/>
      <c r="O136" s="168"/>
      <c r="P136" s="168"/>
    </row>
    <row r="137" spans="1:16" x14ac:dyDescent="0.25">
      <c r="A137" s="7">
        <f t="shared" si="4"/>
        <v>128</v>
      </c>
      <c r="B137" s="180"/>
      <c r="C137" s="180"/>
      <c r="D137" s="181"/>
      <c r="E137" s="182"/>
      <c r="F137" s="182"/>
      <c r="G137" s="182"/>
      <c r="H137" s="182"/>
      <c r="I137" s="177"/>
      <c r="J137" s="177"/>
      <c r="K137" s="168"/>
      <c r="L137" s="149"/>
      <c r="M137" s="168"/>
      <c r="N137" s="168"/>
      <c r="O137" s="168"/>
      <c r="P137" s="168"/>
    </row>
    <row r="138" spans="1:16" x14ac:dyDescent="0.25">
      <c r="A138" s="7">
        <f t="shared" si="4"/>
        <v>129</v>
      </c>
      <c r="B138" s="180"/>
      <c r="C138" s="180"/>
      <c r="D138" s="181"/>
      <c r="E138" s="182"/>
      <c r="F138" s="182"/>
      <c r="G138" s="182"/>
      <c r="H138" s="182"/>
      <c r="I138" s="177"/>
      <c r="J138" s="177"/>
      <c r="K138" s="168"/>
      <c r="L138" s="149"/>
      <c r="M138" s="168"/>
      <c r="N138" s="168"/>
      <c r="O138" s="168"/>
      <c r="P138" s="168"/>
    </row>
    <row r="139" spans="1:16" x14ac:dyDescent="0.25">
      <c r="A139" s="7">
        <f t="shared" si="4"/>
        <v>130</v>
      </c>
      <c r="B139" s="180"/>
      <c r="C139" s="180"/>
      <c r="D139" s="181"/>
      <c r="E139" s="182"/>
      <c r="F139" s="182"/>
      <c r="G139" s="182"/>
      <c r="H139" s="182"/>
      <c r="I139" s="177"/>
      <c r="J139" s="177"/>
      <c r="K139" s="168"/>
      <c r="L139" s="149"/>
      <c r="M139" s="168"/>
      <c r="N139" s="168"/>
      <c r="O139" s="168"/>
      <c r="P139" s="168"/>
    </row>
    <row r="140" spans="1:16" x14ac:dyDescent="0.25">
      <c r="A140" s="7">
        <f t="shared" ref="A140:A203" si="5">+A139+1</f>
        <v>131</v>
      </c>
      <c r="B140" s="180"/>
      <c r="C140" s="180"/>
      <c r="D140" s="181"/>
      <c r="E140" s="182"/>
      <c r="F140" s="182"/>
      <c r="G140" s="182"/>
      <c r="H140" s="182"/>
      <c r="I140" s="177"/>
      <c r="J140" s="177"/>
      <c r="K140" s="168"/>
      <c r="L140" s="149"/>
      <c r="M140" s="168"/>
      <c r="N140" s="168"/>
      <c r="O140" s="168"/>
      <c r="P140" s="168"/>
    </row>
    <row r="141" spans="1:16" x14ac:dyDescent="0.25">
      <c r="A141" s="7">
        <f t="shared" si="5"/>
        <v>132</v>
      </c>
      <c r="B141" s="180"/>
      <c r="C141" s="180"/>
      <c r="D141" s="181"/>
      <c r="E141" s="182"/>
      <c r="F141" s="182"/>
      <c r="G141" s="182"/>
      <c r="H141" s="182"/>
      <c r="I141" s="177"/>
      <c r="J141" s="177"/>
      <c r="K141" s="168"/>
      <c r="L141" s="149"/>
      <c r="M141" s="168"/>
      <c r="N141" s="168"/>
      <c r="O141" s="168"/>
      <c r="P141" s="168"/>
    </row>
    <row r="142" spans="1:16" x14ac:dyDescent="0.25">
      <c r="A142" s="7">
        <f t="shared" si="5"/>
        <v>133</v>
      </c>
      <c r="B142" s="180"/>
      <c r="C142" s="180"/>
      <c r="D142" s="181"/>
      <c r="E142" s="182"/>
      <c r="F142" s="182"/>
      <c r="G142" s="182"/>
      <c r="H142" s="182"/>
      <c r="I142" s="177"/>
      <c r="J142" s="177"/>
      <c r="K142" s="168"/>
      <c r="L142" s="149"/>
      <c r="M142" s="168"/>
      <c r="N142" s="168"/>
      <c r="O142" s="168"/>
      <c r="P142" s="168"/>
    </row>
    <row r="143" spans="1:16" x14ac:dyDescent="0.25">
      <c r="A143" s="7">
        <f t="shared" si="5"/>
        <v>134</v>
      </c>
      <c r="B143" s="180"/>
      <c r="C143" s="180"/>
      <c r="D143" s="181"/>
      <c r="E143" s="182"/>
      <c r="F143" s="182"/>
      <c r="G143" s="182"/>
      <c r="H143" s="182"/>
      <c r="I143" s="177"/>
      <c r="J143" s="177"/>
      <c r="K143" s="168"/>
      <c r="L143" s="149"/>
      <c r="M143" s="168"/>
      <c r="N143" s="168"/>
      <c r="O143" s="168"/>
      <c r="P143" s="168"/>
    </row>
    <row r="144" spans="1:16" x14ac:dyDescent="0.25">
      <c r="A144" s="7">
        <f t="shared" si="5"/>
        <v>135</v>
      </c>
      <c r="B144" s="180"/>
      <c r="C144" s="180"/>
      <c r="D144" s="181"/>
      <c r="E144" s="182"/>
      <c r="F144" s="182"/>
      <c r="G144" s="182"/>
      <c r="H144" s="182"/>
      <c r="I144" s="177"/>
      <c r="J144" s="177"/>
      <c r="K144" s="168"/>
      <c r="L144" s="149"/>
      <c r="M144" s="168"/>
      <c r="N144" s="168"/>
      <c r="O144" s="168"/>
      <c r="P144" s="168"/>
    </row>
    <row r="145" spans="1:16" x14ac:dyDescent="0.25">
      <c r="A145" s="7">
        <f t="shared" si="5"/>
        <v>136</v>
      </c>
      <c r="B145" s="180"/>
      <c r="C145" s="180"/>
      <c r="D145" s="181"/>
      <c r="E145" s="182"/>
      <c r="F145" s="182"/>
      <c r="G145" s="182"/>
      <c r="H145" s="182"/>
      <c r="I145" s="177"/>
      <c r="J145" s="177"/>
      <c r="K145" s="168"/>
      <c r="L145" s="149"/>
      <c r="M145" s="168"/>
      <c r="N145" s="168"/>
      <c r="O145" s="168"/>
      <c r="P145" s="168"/>
    </row>
    <row r="146" spans="1:16" x14ac:dyDescent="0.25">
      <c r="A146" s="7">
        <f t="shared" si="5"/>
        <v>137</v>
      </c>
      <c r="B146" s="180"/>
      <c r="C146" s="180"/>
      <c r="D146" s="181"/>
      <c r="E146" s="182"/>
      <c r="F146" s="182"/>
      <c r="G146" s="182"/>
      <c r="H146" s="182"/>
      <c r="I146" s="177"/>
      <c r="J146" s="177"/>
      <c r="K146" s="168"/>
      <c r="L146" s="149"/>
      <c r="M146" s="168"/>
      <c r="N146" s="168"/>
      <c r="O146" s="168"/>
      <c r="P146" s="168"/>
    </row>
    <row r="147" spans="1:16" x14ac:dyDescent="0.25">
      <c r="A147" s="7">
        <f t="shared" si="5"/>
        <v>138</v>
      </c>
      <c r="B147" s="180"/>
      <c r="C147" s="180"/>
      <c r="D147" s="181"/>
      <c r="E147" s="182"/>
      <c r="F147" s="182"/>
      <c r="G147" s="182"/>
      <c r="H147" s="182"/>
      <c r="I147" s="177"/>
      <c r="J147" s="177"/>
      <c r="K147" s="168"/>
      <c r="L147" s="149"/>
      <c r="M147" s="168"/>
      <c r="N147" s="168"/>
      <c r="O147" s="168"/>
      <c r="P147" s="168"/>
    </row>
    <row r="148" spans="1:16" x14ac:dyDescent="0.25">
      <c r="A148" s="7">
        <f t="shared" si="5"/>
        <v>139</v>
      </c>
      <c r="B148" s="180"/>
      <c r="C148" s="180"/>
      <c r="D148" s="181"/>
      <c r="E148" s="182"/>
      <c r="F148" s="182"/>
      <c r="G148" s="182"/>
      <c r="H148" s="182"/>
      <c r="I148" s="177"/>
      <c r="J148" s="177"/>
      <c r="K148" s="168"/>
      <c r="L148" s="149"/>
      <c r="M148" s="168"/>
      <c r="N148" s="168"/>
      <c r="O148" s="168"/>
      <c r="P148" s="168"/>
    </row>
    <row r="149" spans="1:16" x14ac:dyDescent="0.25">
      <c r="A149" s="7">
        <f t="shared" si="5"/>
        <v>140</v>
      </c>
      <c r="B149" s="180"/>
      <c r="C149" s="180"/>
      <c r="D149" s="181"/>
      <c r="E149" s="182"/>
      <c r="F149" s="182"/>
      <c r="G149" s="182"/>
      <c r="H149" s="182"/>
      <c r="I149" s="177"/>
      <c r="J149" s="177"/>
      <c r="K149" s="168"/>
      <c r="L149" s="149"/>
      <c r="M149" s="168"/>
      <c r="N149" s="168"/>
      <c r="O149" s="168"/>
      <c r="P149" s="168"/>
    </row>
    <row r="150" spans="1:16" x14ac:dyDescent="0.25">
      <c r="A150" s="7">
        <f t="shared" si="5"/>
        <v>141</v>
      </c>
      <c r="B150" s="180"/>
      <c r="C150" s="180"/>
      <c r="D150" s="181"/>
      <c r="E150" s="182"/>
      <c r="F150" s="182"/>
      <c r="G150" s="182"/>
      <c r="H150" s="182"/>
      <c r="I150" s="177"/>
      <c r="J150" s="177"/>
      <c r="K150" s="168"/>
      <c r="L150" s="149"/>
      <c r="M150" s="168"/>
      <c r="N150" s="168"/>
      <c r="O150" s="168"/>
      <c r="P150" s="168"/>
    </row>
    <row r="151" spans="1:16" x14ac:dyDescent="0.25">
      <c r="A151" s="7">
        <f t="shared" si="5"/>
        <v>142</v>
      </c>
      <c r="B151" s="180"/>
      <c r="C151" s="180"/>
      <c r="D151" s="181"/>
      <c r="E151" s="182"/>
      <c r="F151" s="182"/>
      <c r="G151" s="182"/>
      <c r="H151" s="182"/>
      <c r="I151" s="177"/>
      <c r="J151" s="177"/>
      <c r="K151" s="168"/>
      <c r="L151" s="149"/>
      <c r="M151" s="168"/>
      <c r="N151" s="168"/>
      <c r="O151" s="168"/>
      <c r="P151" s="168"/>
    </row>
    <row r="152" spans="1:16" x14ac:dyDescent="0.25">
      <c r="A152" s="7">
        <f t="shared" si="5"/>
        <v>143</v>
      </c>
      <c r="B152" s="180"/>
      <c r="C152" s="180"/>
      <c r="D152" s="181"/>
      <c r="E152" s="182"/>
      <c r="F152" s="182"/>
      <c r="G152" s="182"/>
      <c r="H152" s="182"/>
      <c r="I152" s="177"/>
      <c r="J152" s="177"/>
      <c r="K152" s="168"/>
      <c r="L152" s="149"/>
      <c r="M152" s="168"/>
      <c r="N152" s="168"/>
      <c r="O152" s="168"/>
      <c r="P152" s="168"/>
    </row>
    <row r="153" spans="1:16" x14ac:dyDescent="0.25">
      <c r="A153" s="7">
        <f t="shared" si="5"/>
        <v>144</v>
      </c>
      <c r="B153" s="180"/>
      <c r="C153" s="180"/>
      <c r="D153" s="181"/>
      <c r="E153" s="182"/>
      <c r="F153" s="182"/>
      <c r="G153" s="182"/>
      <c r="H153" s="182"/>
      <c r="I153" s="177"/>
      <c r="J153" s="177"/>
      <c r="K153" s="168"/>
      <c r="L153" s="149"/>
      <c r="M153" s="168"/>
      <c r="N153" s="168"/>
      <c r="O153" s="168"/>
      <c r="P153" s="168"/>
    </row>
    <row r="154" spans="1:16" x14ac:dyDescent="0.25">
      <c r="A154" s="7">
        <f t="shared" si="5"/>
        <v>145</v>
      </c>
      <c r="B154" s="180"/>
      <c r="C154" s="180"/>
      <c r="D154" s="181"/>
      <c r="E154" s="182"/>
      <c r="F154" s="182"/>
      <c r="G154" s="182"/>
      <c r="H154" s="182"/>
      <c r="I154" s="177"/>
      <c r="J154" s="177"/>
      <c r="K154" s="168"/>
      <c r="L154" s="149"/>
      <c r="M154" s="168"/>
      <c r="N154" s="168"/>
      <c r="O154" s="168"/>
      <c r="P154" s="168"/>
    </row>
    <row r="155" spans="1:16" x14ac:dyDescent="0.25">
      <c r="A155" s="7">
        <f t="shared" si="5"/>
        <v>146</v>
      </c>
      <c r="B155" s="180"/>
      <c r="C155" s="180"/>
      <c r="D155" s="181"/>
      <c r="E155" s="182"/>
      <c r="F155" s="182"/>
      <c r="G155" s="182"/>
      <c r="H155" s="182"/>
      <c r="I155" s="177"/>
      <c r="J155" s="177"/>
      <c r="K155" s="168"/>
      <c r="L155" s="149"/>
      <c r="M155" s="168"/>
      <c r="N155" s="168"/>
      <c r="O155" s="168"/>
      <c r="P155" s="168"/>
    </row>
    <row r="156" spans="1:16" x14ac:dyDescent="0.25">
      <c r="A156" s="7">
        <f t="shared" si="5"/>
        <v>147</v>
      </c>
      <c r="B156" s="180"/>
      <c r="C156" s="180"/>
      <c r="D156" s="181"/>
      <c r="E156" s="182"/>
      <c r="F156" s="182"/>
      <c r="G156" s="182"/>
      <c r="H156" s="182"/>
      <c r="I156" s="177"/>
      <c r="J156" s="177"/>
      <c r="K156" s="168"/>
      <c r="L156" s="149"/>
      <c r="M156" s="168"/>
      <c r="N156" s="168"/>
      <c r="O156" s="168"/>
      <c r="P156" s="168"/>
    </row>
    <row r="157" spans="1:16" x14ac:dyDescent="0.25">
      <c r="A157" s="7">
        <f t="shared" si="5"/>
        <v>148</v>
      </c>
      <c r="B157" s="180"/>
      <c r="C157" s="180"/>
      <c r="D157" s="181"/>
      <c r="E157" s="182"/>
      <c r="F157" s="182"/>
      <c r="G157" s="182"/>
      <c r="H157" s="182"/>
      <c r="I157" s="177"/>
      <c r="J157" s="177"/>
      <c r="K157" s="168"/>
      <c r="L157" s="149"/>
      <c r="M157" s="168"/>
      <c r="N157" s="168"/>
      <c r="O157" s="168"/>
      <c r="P157" s="168"/>
    </row>
    <row r="158" spans="1:16" x14ac:dyDescent="0.25">
      <c r="A158" s="7">
        <f t="shared" si="5"/>
        <v>149</v>
      </c>
      <c r="B158" s="180"/>
      <c r="C158" s="180"/>
      <c r="D158" s="181"/>
      <c r="E158" s="182"/>
      <c r="F158" s="182"/>
      <c r="G158" s="182"/>
      <c r="H158" s="182"/>
      <c r="I158" s="177"/>
      <c r="J158" s="177"/>
      <c r="K158" s="168"/>
      <c r="L158" s="149"/>
      <c r="M158" s="168"/>
      <c r="N158" s="168"/>
      <c r="O158" s="168"/>
      <c r="P158" s="168"/>
    </row>
    <row r="159" spans="1:16" x14ac:dyDescent="0.25">
      <c r="A159" s="7">
        <f t="shared" si="5"/>
        <v>150</v>
      </c>
      <c r="B159" s="180"/>
      <c r="C159" s="180"/>
      <c r="D159" s="181"/>
      <c r="E159" s="182"/>
      <c r="F159" s="182"/>
      <c r="G159" s="182"/>
      <c r="H159" s="182"/>
      <c r="I159" s="177"/>
      <c r="J159" s="177"/>
      <c r="K159" s="168"/>
      <c r="L159" s="149"/>
      <c r="M159" s="168"/>
      <c r="N159" s="168"/>
      <c r="O159" s="168"/>
      <c r="P159" s="168"/>
    </row>
    <row r="160" spans="1:16" x14ac:dyDescent="0.25">
      <c r="A160" s="7">
        <f t="shared" si="5"/>
        <v>151</v>
      </c>
      <c r="B160" s="180"/>
      <c r="C160" s="180"/>
      <c r="D160" s="181"/>
      <c r="E160" s="182"/>
      <c r="F160" s="182"/>
      <c r="G160" s="182"/>
      <c r="H160" s="182"/>
      <c r="I160" s="177"/>
      <c r="J160" s="177"/>
      <c r="K160" s="168"/>
      <c r="L160" s="149"/>
      <c r="M160" s="168"/>
      <c r="N160" s="168"/>
      <c r="O160" s="168"/>
      <c r="P160" s="168"/>
    </row>
    <row r="161" spans="1:16" x14ac:dyDescent="0.25">
      <c r="A161" s="7">
        <f t="shared" si="5"/>
        <v>152</v>
      </c>
      <c r="B161" s="180"/>
      <c r="C161" s="180"/>
      <c r="D161" s="181"/>
      <c r="E161" s="182"/>
      <c r="F161" s="182"/>
      <c r="G161" s="182"/>
      <c r="H161" s="182"/>
      <c r="I161" s="177"/>
      <c r="J161" s="177"/>
      <c r="K161" s="168"/>
      <c r="L161" s="149"/>
      <c r="M161" s="168"/>
      <c r="N161" s="168"/>
      <c r="O161" s="168"/>
      <c r="P161" s="168"/>
    </row>
    <row r="162" spans="1:16" x14ac:dyDescent="0.25">
      <c r="A162" s="7">
        <f t="shared" si="5"/>
        <v>153</v>
      </c>
      <c r="B162" s="180"/>
      <c r="C162" s="180"/>
      <c r="D162" s="181"/>
      <c r="E162" s="182"/>
      <c r="F162" s="182"/>
      <c r="G162" s="182"/>
      <c r="H162" s="182"/>
      <c r="I162" s="177"/>
      <c r="J162" s="177"/>
      <c r="K162" s="168"/>
      <c r="L162" s="149"/>
      <c r="M162" s="168"/>
      <c r="N162" s="168"/>
      <c r="O162" s="168"/>
      <c r="P162" s="168"/>
    </row>
    <row r="163" spans="1:16" x14ac:dyDescent="0.25">
      <c r="A163" s="7">
        <f t="shared" si="5"/>
        <v>154</v>
      </c>
      <c r="B163" s="180"/>
      <c r="C163" s="180"/>
      <c r="D163" s="181"/>
      <c r="E163" s="182"/>
      <c r="F163" s="182"/>
      <c r="G163" s="182"/>
      <c r="H163" s="182"/>
      <c r="I163" s="177"/>
      <c r="J163" s="177"/>
      <c r="K163" s="168"/>
      <c r="L163" s="149"/>
      <c r="M163" s="168"/>
      <c r="N163" s="168"/>
      <c r="O163" s="168"/>
      <c r="P163" s="168"/>
    </row>
    <row r="164" spans="1:16" x14ac:dyDescent="0.25">
      <c r="A164" s="7">
        <f t="shared" si="5"/>
        <v>155</v>
      </c>
      <c r="B164" s="180"/>
      <c r="C164" s="180"/>
      <c r="D164" s="181"/>
      <c r="E164" s="182"/>
      <c r="F164" s="182"/>
      <c r="G164" s="182"/>
      <c r="H164" s="182"/>
      <c r="I164" s="177"/>
      <c r="J164" s="177"/>
      <c r="K164" s="168"/>
      <c r="L164" s="149"/>
      <c r="M164" s="168"/>
      <c r="N164" s="168"/>
      <c r="O164" s="168"/>
      <c r="P164" s="168"/>
    </row>
    <row r="165" spans="1:16" x14ac:dyDescent="0.25">
      <c r="A165" s="7">
        <f t="shared" si="5"/>
        <v>156</v>
      </c>
      <c r="B165" s="180"/>
      <c r="C165" s="180"/>
      <c r="D165" s="181"/>
      <c r="E165" s="182"/>
      <c r="F165" s="182"/>
      <c r="G165" s="182"/>
      <c r="H165" s="182"/>
      <c r="I165" s="177"/>
      <c r="J165" s="177"/>
      <c r="K165" s="168"/>
      <c r="L165" s="149"/>
      <c r="M165" s="168"/>
      <c r="N165" s="168"/>
      <c r="O165" s="168"/>
      <c r="P165" s="168"/>
    </row>
    <row r="166" spans="1:16" x14ac:dyDescent="0.25">
      <c r="A166" s="7">
        <f t="shared" si="5"/>
        <v>157</v>
      </c>
      <c r="B166" s="180"/>
      <c r="C166" s="180"/>
      <c r="D166" s="181"/>
      <c r="E166" s="182"/>
      <c r="F166" s="182"/>
      <c r="G166" s="182"/>
      <c r="H166" s="182"/>
      <c r="I166" s="177"/>
      <c r="J166" s="177"/>
      <c r="K166" s="168"/>
      <c r="L166" s="149"/>
      <c r="M166" s="168"/>
      <c r="N166" s="168"/>
      <c r="O166" s="168"/>
      <c r="P166" s="168"/>
    </row>
    <row r="167" spans="1:16" x14ac:dyDescent="0.25">
      <c r="A167" s="7">
        <f t="shared" si="5"/>
        <v>158</v>
      </c>
      <c r="B167" s="180"/>
      <c r="C167" s="180"/>
      <c r="D167" s="181"/>
      <c r="E167" s="182"/>
      <c r="F167" s="182"/>
      <c r="G167" s="182"/>
      <c r="H167" s="182"/>
      <c r="I167" s="177"/>
      <c r="J167" s="177"/>
      <c r="K167" s="168"/>
      <c r="L167" s="149"/>
      <c r="M167" s="168"/>
      <c r="N167" s="168"/>
      <c r="O167" s="168"/>
      <c r="P167" s="168"/>
    </row>
    <row r="168" spans="1:16" x14ac:dyDescent="0.25">
      <c r="A168" s="7">
        <f t="shared" si="5"/>
        <v>159</v>
      </c>
      <c r="B168" s="180"/>
      <c r="C168" s="180"/>
      <c r="D168" s="181"/>
      <c r="E168" s="182"/>
      <c r="F168" s="182"/>
      <c r="G168" s="182"/>
      <c r="H168" s="182"/>
      <c r="I168" s="177"/>
      <c r="J168" s="177"/>
      <c r="K168" s="168"/>
      <c r="L168" s="149"/>
      <c r="M168" s="168"/>
      <c r="N168" s="168"/>
      <c r="O168" s="168"/>
      <c r="P168" s="168"/>
    </row>
    <row r="169" spans="1:16" x14ac:dyDescent="0.25">
      <c r="A169" s="7">
        <f t="shared" si="5"/>
        <v>160</v>
      </c>
      <c r="B169" s="180"/>
      <c r="C169" s="180"/>
      <c r="D169" s="181"/>
      <c r="E169" s="182"/>
      <c r="F169" s="182"/>
      <c r="G169" s="182"/>
      <c r="H169" s="182"/>
      <c r="I169" s="177"/>
      <c r="J169" s="177"/>
      <c r="K169" s="168"/>
      <c r="L169" s="149"/>
      <c r="M169" s="168"/>
      <c r="N169" s="168"/>
      <c r="O169" s="168"/>
      <c r="P169" s="168"/>
    </row>
    <row r="170" spans="1:16" x14ac:dyDescent="0.25">
      <c r="A170" s="7">
        <f t="shared" si="5"/>
        <v>161</v>
      </c>
      <c r="B170" s="180"/>
      <c r="C170" s="180"/>
      <c r="D170" s="181"/>
      <c r="E170" s="182"/>
      <c r="F170" s="182"/>
      <c r="G170" s="182"/>
      <c r="H170" s="182"/>
      <c r="I170" s="177"/>
      <c r="J170" s="177"/>
      <c r="K170" s="168"/>
      <c r="L170" s="149"/>
      <c r="M170" s="168"/>
      <c r="N170" s="168"/>
      <c r="O170" s="168"/>
      <c r="P170" s="168"/>
    </row>
    <row r="171" spans="1:16" x14ac:dyDescent="0.25">
      <c r="A171" s="7">
        <f t="shared" si="5"/>
        <v>162</v>
      </c>
      <c r="B171" s="180"/>
      <c r="C171" s="180"/>
      <c r="D171" s="181"/>
      <c r="E171" s="182"/>
      <c r="F171" s="182"/>
      <c r="G171" s="182"/>
      <c r="H171" s="182"/>
      <c r="I171" s="177"/>
      <c r="J171" s="177"/>
      <c r="K171" s="168"/>
      <c r="L171" s="149"/>
      <c r="M171" s="168"/>
      <c r="N171" s="168"/>
      <c r="O171" s="168"/>
      <c r="P171" s="168"/>
    </row>
    <row r="172" spans="1:16" x14ac:dyDescent="0.25">
      <c r="A172" s="7">
        <f t="shared" si="5"/>
        <v>163</v>
      </c>
      <c r="B172" s="180"/>
      <c r="C172" s="180"/>
      <c r="D172" s="181"/>
      <c r="E172" s="182"/>
      <c r="F172" s="182"/>
      <c r="G172" s="182"/>
      <c r="H172" s="182"/>
      <c r="I172" s="177"/>
      <c r="J172" s="177"/>
      <c r="K172" s="168"/>
      <c r="L172" s="149"/>
      <c r="M172" s="168"/>
      <c r="N172" s="168"/>
      <c r="O172" s="168"/>
      <c r="P172" s="168"/>
    </row>
    <row r="173" spans="1:16" x14ac:dyDescent="0.25">
      <c r="A173" s="7">
        <f t="shared" si="5"/>
        <v>164</v>
      </c>
      <c r="B173" s="180"/>
      <c r="C173" s="180"/>
      <c r="D173" s="181"/>
      <c r="E173" s="182"/>
      <c r="F173" s="182"/>
      <c r="G173" s="182"/>
      <c r="H173" s="182"/>
      <c r="I173" s="177"/>
      <c r="J173" s="177"/>
      <c r="K173" s="168"/>
      <c r="L173" s="149"/>
      <c r="M173" s="168"/>
      <c r="N173" s="168"/>
      <c r="O173" s="168"/>
      <c r="P173" s="168"/>
    </row>
    <row r="174" spans="1:16" x14ac:dyDescent="0.25">
      <c r="A174" s="7">
        <f t="shared" si="5"/>
        <v>165</v>
      </c>
      <c r="B174" s="180"/>
      <c r="C174" s="180"/>
      <c r="D174" s="181"/>
      <c r="E174" s="182"/>
      <c r="F174" s="182"/>
      <c r="G174" s="182"/>
      <c r="H174" s="182"/>
      <c r="I174" s="177"/>
      <c r="J174" s="177"/>
      <c r="K174" s="168"/>
      <c r="L174" s="149"/>
      <c r="M174" s="168"/>
      <c r="N174" s="168"/>
      <c r="O174" s="168"/>
      <c r="P174" s="168"/>
    </row>
    <row r="175" spans="1:16" x14ac:dyDescent="0.25">
      <c r="A175" s="7">
        <f t="shared" si="5"/>
        <v>166</v>
      </c>
      <c r="B175" s="180"/>
      <c r="C175" s="180"/>
      <c r="D175" s="181"/>
      <c r="E175" s="182"/>
      <c r="F175" s="182"/>
      <c r="G175" s="182"/>
      <c r="H175" s="182"/>
      <c r="I175" s="177"/>
      <c r="J175" s="177"/>
      <c r="K175" s="168"/>
      <c r="L175" s="149"/>
      <c r="M175" s="168"/>
      <c r="N175" s="168"/>
      <c r="O175" s="168"/>
      <c r="P175" s="168"/>
    </row>
    <row r="176" spans="1:16" x14ac:dyDescent="0.25">
      <c r="A176" s="7">
        <f t="shared" si="5"/>
        <v>167</v>
      </c>
      <c r="B176" s="180"/>
      <c r="C176" s="180"/>
      <c r="D176" s="181"/>
      <c r="E176" s="182"/>
      <c r="F176" s="182"/>
      <c r="G176" s="182"/>
      <c r="H176" s="182"/>
      <c r="I176" s="177"/>
      <c r="J176" s="177"/>
      <c r="K176" s="168"/>
      <c r="L176" s="149"/>
      <c r="M176" s="168"/>
      <c r="N176" s="168"/>
      <c r="O176" s="168"/>
      <c r="P176" s="168"/>
    </row>
    <row r="177" spans="1:16" x14ac:dyDescent="0.25">
      <c r="A177" s="7">
        <f t="shared" si="5"/>
        <v>168</v>
      </c>
      <c r="B177" s="180"/>
      <c r="C177" s="180"/>
      <c r="D177" s="181"/>
      <c r="E177" s="182"/>
      <c r="F177" s="182"/>
      <c r="G177" s="182"/>
      <c r="H177" s="182"/>
      <c r="I177" s="177"/>
      <c r="J177" s="177"/>
      <c r="K177" s="168"/>
      <c r="L177" s="149"/>
      <c r="M177" s="168"/>
      <c r="N177" s="168"/>
      <c r="O177" s="168"/>
      <c r="P177" s="168"/>
    </row>
    <row r="178" spans="1:16" x14ac:dyDescent="0.25">
      <c r="A178" s="7">
        <f t="shared" si="5"/>
        <v>169</v>
      </c>
      <c r="B178" s="180"/>
      <c r="C178" s="180"/>
      <c r="D178" s="181"/>
      <c r="E178" s="182"/>
      <c r="F178" s="182"/>
      <c r="G178" s="182"/>
      <c r="H178" s="182"/>
      <c r="I178" s="177"/>
      <c r="J178" s="177"/>
      <c r="K178" s="168"/>
      <c r="L178" s="149"/>
      <c r="M178" s="168"/>
      <c r="N178" s="168"/>
      <c r="O178" s="168"/>
      <c r="P178" s="168"/>
    </row>
    <row r="179" spans="1:16" x14ac:dyDescent="0.25">
      <c r="A179" s="7">
        <f t="shared" si="5"/>
        <v>170</v>
      </c>
      <c r="B179" s="180"/>
      <c r="C179" s="180"/>
      <c r="D179" s="181"/>
      <c r="E179" s="182"/>
      <c r="F179" s="182"/>
      <c r="G179" s="182"/>
      <c r="H179" s="182"/>
      <c r="I179" s="177"/>
      <c r="J179" s="177"/>
      <c r="K179" s="168"/>
      <c r="L179" s="149"/>
      <c r="M179" s="168"/>
      <c r="N179" s="168"/>
      <c r="O179" s="168"/>
      <c r="P179" s="168"/>
    </row>
    <row r="180" spans="1:16" x14ac:dyDescent="0.25">
      <c r="A180" s="7">
        <f t="shared" si="5"/>
        <v>171</v>
      </c>
      <c r="B180" s="180"/>
      <c r="C180" s="180"/>
      <c r="D180" s="181"/>
      <c r="E180" s="182"/>
      <c r="F180" s="182"/>
      <c r="G180" s="182"/>
      <c r="H180" s="182"/>
      <c r="I180" s="177"/>
      <c r="J180" s="177"/>
      <c r="K180" s="168"/>
      <c r="L180" s="149"/>
      <c r="M180" s="168"/>
      <c r="N180" s="168"/>
      <c r="O180" s="168"/>
      <c r="P180" s="168"/>
    </row>
    <row r="181" spans="1:16" x14ac:dyDescent="0.25">
      <c r="A181" s="7">
        <f t="shared" si="5"/>
        <v>172</v>
      </c>
      <c r="B181" s="180"/>
      <c r="C181" s="180"/>
      <c r="D181" s="181"/>
      <c r="E181" s="182"/>
      <c r="F181" s="182"/>
      <c r="G181" s="182"/>
      <c r="H181" s="182"/>
      <c r="I181" s="177"/>
      <c r="J181" s="177"/>
      <c r="K181" s="168"/>
      <c r="L181" s="149"/>
      <c r="M181" s="168"/>
      <c r="N181" s="168"/>
      <c r="O181" s="168"/>
      <c r="P181" s="168"/>
    </row>
    <row r="182" spans="1:16" x14ac:dyDescent="0.25">
      <c r="A182" s="7">
        <f t="shared" si="5"/>
        <v>173</v>
      </c>
      <c r="B182" s="180"/>
      <c r="C182" s="180"/>
      <c r="D182" s="181"/>
      <c r="E182" s="182"/>
      <c r="F182" s="182"/>
      <c r="G182" s="182"/>
      <c r="H182" s="182"/>
      <c r="I182" s="177"/>
      <c r="J182" s="177"/>
      <c r="K182" s="168"/>
      <c r="L182" s="149"/>
      <c r="M182" s="168"/>
      <c r="N182" s="168"/>
      <c r="O182" s="168"/>
      <c r="P182" s="168"/>
    </row>
    <row r="183" spans="1:16" x14ac:dyDescent="0.25">
      <c r="A183" s="7">
        <f t="shared" si="5"/>
        <v>174</v>
      </c>
      <c r="B183" s="180"/>
      <c r="C183" s="180"/>
      <c r="D183" s="181"/>
      <c r="E183" s="182"/>
      <c r="F183" s="182"/>
      <c r="G183" s="182"/>
      <c r="H183" s="182"/>
      <c r="I183" s="177"/>
      <c r="J183" s="177"/>
      <c r="K183" s="168"/>
      <c r="L183" s="149"/>
      <c r="M183" s="168"/>
      <c r="N183" s="168"/>
      <c r="O183" s="168"/>
      <c r="P183" s="168"/>
    </row>
    <row r="184" spans="1:16" x14ac:dyDescent="0.25">
      <c r="A184" s="7">
        <f t="shared" si="5"/>
        <v>175</v>
      </c>
      <c r="B184" s="180"/>
      <c r="C184" s="180"/>
      <c r="D184" s="181"/>
      <c r="E184" s="182"/>
      <c r="F184" s="182"/>
      <c r="G184" s="182"/>
      <c r="H184" s="182"/>
      <c r="I184" s="177"/>
      <c r="J184" s="177"/>
      <c r="K184" s="168"/>
      <c r="L184" s="149"/>
      <c r="M184" s="168"/>
      <c r="N184" s="168"/>
      <c r="O184" s="168"/>
      <c r="P184" s="168"/>
    </row>
    <row r="185" spans="1:16" x14ac:dyDescent="0.25">
      <c r="A185" s="7">
        <f t="shared" si="5"/>
        <v>176</v>
      </c>
      <c r="B185" s="180"/>
      <c r="C185" s="180"/>
      <c r="D185" s="181"/>
      <c r="E185" s="182"/>
      <c r="F185" s="182"/>
      <c r="G185" s="182"/>
      <c r="H185" s="182"/>
      <c r="I185" s="177"/>
      <c r="J185" s="177"/>
      <c r="K185" s="168"/>
      <c r="L185" s="149"/>
      <c r="M185" s="168"/>
      <c r="N185" s="168"/>
      <c r="O185" s="168"/>
      <c r="P185" s="168"/>
    </row>
    <row r="186" spans="1:16" x14ac:dyDescent="0.25">
      <c r="A186" s="7">
        <f t="shared" si="5"/>
        <v>177</v>
      </c>
      <c r="B186" s="180"/>
      <c r="C186" s="180"/>
      <c r="D186" s="181"/>
      <c r="E186" s="182"/>
      <c r="F186" s="182"/>
      <c r="G186" s="182"/>
      <c r="H186" s="182"/>
      <c r="I186" s="177"/>
      <c r="J186" s="177"/>
      <c r="K186" s="168"/>
      <c r="L186" s="149"/>
      <c r="M186" s="168"/>
      <c r="N186" s="168"/>
      <c r="O186" s="168"/>
      <c r="P186" s="168"/>
    </row>
    <row r="187" spans="1:16" x14ac:dyDescent="0.25">
      <c r="A187" s="7">
        <f t="shared" si="5"/>
        <v>178</v>
      </c>
      <c r="B187" s="180"/>
      <c r="C187" s="180"/>
      <c r="D187" s="181"/>
      <c r="E187" s="182"/>
      <c r="F187" s="182"/>
      <c r="G187" s="182"/>
      <c r="H187" s="182"/>
      <c r="I187" s="177"/>
      <c r="J187" s="177"/>
      <c r="K187" s="168"/>
      <c r="L187" s="149"/>
      <c r="M187" s="168"/>
      <c r="N187" s="168"/>
      <c r="O187" s="168"/>
      <c r="P187" s="168"/>
    </row>
    <row r="188" spans="1:16" x14ac:dyDescent="0.25">
      <c r="A188" s="7">
        <f t="shared" si="5"/>
        <v>179</v>
      </c>
      <c r="B188" s="180"/>
      <c r="C188" s="180"/>
      <c r="D188" s="181"/>
      <c r="E188" s="182"/>
      <c r="F188" s="182"/>
      <c r="G188" s="182"/>
      <c r="H188" s="182"/>
      <c r="I188" s="177"/>
      <c r="J188" s="177"/>
      <c r="K188" s="168"/>
      <c r="L188" s="149"/>
      <c r="M188" s="168"/>
      <c r="N188" s="168"/>
      <c r="O188" s="168"/>
      <c r="P188" s="168"/>
    </row>
    <row r="189" spans="1:16" x14ac:dyDescent="0.25">
      <c r="A189" s="7">
        <f t="shared" si="5"/>
        <v>180</v>
      </c>
      <c r="B189" s="180"/>
      <c r="C189" s="180"/>
      <c r="D189" s="181"/>
      <c r="E189" s="182"/>
      <c r="F189" s="182"/>
      <c r="G189" s="182"/>
      <c r="H189" s="182"/>
      <c r="I189" s="177"/>
      <c r="J189" s="177"/>
      <c r="K189" s="168"/>
      <c r="L189" s="149"/>
      <c r="M189" s="168"/>
      <c r="N189" s="168"/>
      <c r="O189" s="168"/>
      <c r="P189" s="168"/>
    </row>
    <row r="190" spans="1:16" x14ac:dyDescent="0.25">
      <c r="A190" s="7">
        <f t="shared" si="5"/>
        <v>181</v>
      </c>
      <c r="B190" s="180"/>
      <c r="C190" s="180"/>
      <c r="D190" s="181"/>
      <c r="E190" s="182"/>
      <c r="F190" s="182"/>
      <c r="G190" s="182"/>
      <c r="H190" s="182"/>
      <c r="I190" s="177"/>
      <c r="J190" s="177"/>
      <c r="K190" s="168"/>
      <c r="L190" s="149"/>
      <c r="M190" s="168"/>
      <c r="N190" s="168"/>
      <c r="O190" s="168"/>
      <c r="P190" s="168"/>
    </row>
    <row r="191" spans="1:16" x14ac:dyDescent="0.25">
      <c r="A191" s="7">
        <f t="shared" si="5"/>
        <v>182</v>
      </c>
      <c r="B191" s="180"/>
      <c r="C191" s="180"/>
      <c r="D191" s="181"/>
      <c r="E191" s="182"/>
      <c r="F191" s="182"/>
      <c r="G191" s="182"/>
      <c r="H191" s="182"/>
      <c r="I191" s="177"/>
      <c r="J191" s="177"/>
      <c r="K191" s="168"/>
      <c r="L191" s="149"/>
      <c r="M191" s="168"/>
      <c r="N191" s="168"/>
      <c r="O191" s="168"/>
      <c r="P191" s="168"/>
    </row>
    <row r="192" spans="1:16" x14ac:dyDescent="0.25">
      <c r="A192" s="7">
        <f t="shared" si="5"/>
        <v>183</v>
      </c>
      <c r="B192" s="180"/>
      <c r="C192" s="180"/>
      <c r="D192" s="181"/>
      <c r="E192" s="182"/>
      <c r="F192" s="182"/>
      <c r="G192" s="182"/>
      <c r="H192" s="182"/>
      <c r="I192" s="177"/>
      <c r="J192" s="177"/>
      <c r="K192" s="168"/>
      <c r="L192" s="149"/>
      <c r="M192" s="168"/>
      <c r="N192" s="168"/>
      <c r="O192" s="168"/>
      <c r="P192" s="168"/>
    </row>
    <row r="193" spans="1:16" x14ac:dyDescent="0.25">
      <c r="A193" s="7">
        <f t="shared" si="5"/>
        <v>184</v>
      </c>
      <c r="B193" s="180"/>
      <c r="C193" s="180"/>
      <c r="D193" s="181"/>
      <c r="E193" s="182"/>
      <c r="F193" s="182"/>
      <c r="G193" s="182"/>
      <c r="H193" s="182"/>
      <c r="I193" s="177"/>
      <c r="J193" s="177"/>
      <c r="K193" s="168"/>
      <c r="L193" s="149"/>
      <c r="M193" s="168"/>
      <c r="N193" s="168"/>
      <c r="O193" s="168"/>
      <c r="P193" s="168"/>
    </row>
    <row r="194" spans="1:16" x14ac:dyDescent="0.25">
      <c r="A194" s="7">
        <f t="shared" si="5"/>
        <v>185</v>
      </c>
      <c r="B194" s="180"/>
      <c r="C194" s="180"/>
      <c r="D194" s="181"/>
      <c r="E194" s="182"/>
      <c r="F194" s="182"/>
      <c r="G194" s="182"/>
      <c r="H194" s="182"/>
      <c r="I194" s="177"/>
      <c r="J194" s="177"/>
      <c r="K194" s="168"/>
      <c r="L194" s="149"/>
      <c r="M194" s="168"/>
      <c r="N194" s="168"/>
      <c r="O194" s="168"/>
      <c r="P194" s="168"/>
    </row>
    <row r="195" spans="1:16" x14ac:dyDescent="0.25">
      <c r="A195" s="7">
        <f t="shared" si="5"/>
        <v>186</v>
      </c>
      <c r="B195" s="180"/>
      <c r="C195" s="180"/>
      <c r="D195" s="181"/>
      <c r="E195" s="182"/>
      <c r="F195" s="182"/>
      <c r="G195" s="182"/>
      <c r="H195" s="182"/>
      <c r="I195" s="177"/>
      <c r="J195" s="177"/>
      <c r="K195" s="168"/>
      <c r="L195" s="149"/>
      <c r="M195" s="168"/>
      <c r="N195" s="168"/>
      <c r="O195" s="168"/>
      <c r="P195" s="168"/>
    </row>
    <row r="196" spans="1:16" x14ac:dyDescent="0.25">
      <c r="A196" s="7">
        <f t="shared" si="5"/>
        <v>187</v>
      </c>
      <c r="B196" s="180"/>
      <c r="C196" s="180"/>
      <c r="D196" s="181"/>
      <c r="E196" s="182"/>
      <c r="F196" s="182"/>
      <c r="G196" s="182"/>
      <c r="H196" s="182"/>
      <c r="I196" s="177"/>
      <c r="J196" s="177"/>
      <c r="K196" s="168"/>
      <c r="L196" s="149"/>
      <c r="M196" s="168"/>
      <c r="N196" s="168"/>
      <c r="O196" s="168"/>
      <c r="P196" s="168"/>
    </row>
    <row r="197" spans="1:16" x14ac:dyDescent="0.25">
      <c r="A197" s="7">
        <f t="shared" si="5"/>
        <v>188</v>
      </c>
      <c r="B197" s="180"/>
      <c r="C197" s="180"/>
      <c r="D197" s="181"/>
      <c r="E197" s="182"/>
      <c r="F197" s="182"/>
      <c r="G197" s="182"/>
      <c r="H197" s="182"/>
      <c r="I197" s="177"/>
      <c r="J197" s="177"/>
      <c r="K197" s="168"/>
      <c r="L197" s="149"/>
      <c r="M197" s="168"/>
      <c r="N197" s="168"/>
      <c r="O197" s="168"/>
      <c r="P197" s="168"/>
    </row>
    <row r="198" spans="1:16" x14ac:dyDescent="0.25">
      <c r="A198" s="7">
        <f t="shared" si="5"/>
        <v>189</v>
      </c>
      <c r="B198" s="180"/>
      <c r="C198" s="180"/>
      <c r="D198" s="181"/>
      <c r="E198" s="182"/>
      <c r="F198" s="182"/>
      <c r="G198" s="182"/>
      <c r="H198" s="182"/>
      <c r="I198" s="177"/>
      <c r="J198" s="177"/>
      <c r="K198" s="168"/>
      <c r="L198" s="149"/>
      <c r="M198" s="168"/>
      <c r="N198" s="168"/>
      <c r="O198" s="168"/>
      <c r="P198" s="168"/>
    </row>
    <row r="199" spans="1:16" x14ac:dyDescent="0.25">
      <c r="A199" s="7">
        <f t="shared" si="5"/>
        <v>190</v>
      </c>
      <c r="B199" s="180"/>
      <c r="C199" s="180"/>
      <c r="D199" s="181"/>
      <c r="E199" s="182"/>
      <c r="F199" s="182"/>
      <c r="G199" s="182"/>
      <c r="H199" s="182"/>
      <c r="I199" s="177"/>
      <c r="J199" s="177"/>
      <c r="K199" s="168"/>
      <c r="L199" s="149"/>
      <c r="M199" s="168"/>
      <c r="N199" s="168"/>
      <c r="O199" s="168"/>
      <c r="P199" s="168"/>
    </row>
    <row r="200" spans="1:16" x14ac:dyDescent="0.25">
      <c r="A200" s="7">
        <f t="shared" si="5"/>
        <v>191</v>
      </c>
      <c r="B200" s="180"/>
      <c r="C200" s="180"/>
      <c r="D200" s="181"/>
      <c r="E200" s="182"/>
      <c r="F200" s="182"/>
      <c r="G200" s="182"/>
      <c r="H200" s="182"/>
      <c r="I200" s="177"/>
      <c r="J200" s="177"/>
      <c r="K200" s="168"/>
      <c r="L200" s="149"/>
      <c r="M200" s="168"/>
      <c r="N200" s="168"/>
      <c r="O200" s="168"/>
      <c r="P200" s="168"/>
    </row>
    <row r="201" spans="1:16" x14ac:dyDescent="0.25">
      <c r="A201" s="7">
        <f t="shared" si="5"/>
        <v>192</v>
      </c>
      <c r="B201" s="180"/>
      <c r="C201" s="180"/>
      <c r="D201" s="181"/>
      <c r="E201" s="182"/>
      <c r="F201" s="182"/>
      <c r="G201" s="182"/>
      <c r="H201" s="182"/>
      <c r="I201" s="177"/>
      <c r="J201" s="177"/>
      <c r="K201" s="168"/>
      <c r="L201" s="149"/>
      <c r="M201" s="168"/>
      <c r="N201" s="168"/>
      <c r="O201" s="168"/>
      <c r="P201" s="168"/>
    </row>
    <row r="202" spans="1:16" x14ac:dyDescent="0.25">
      <c r="A202" s="7">
        <f t="shared" si="5"/>
        <v>193</v>
      </c>
      <c r="B202" s="180"/>
      <c r="C202" s="180"/>
      <c r="D202" s="181"/>
      <c r="E202" s="182"/>
      <c r="F202" s="182"/>
      <c r="G202" s="182"/>
      <c r="H202" s="182"/>
      <c r="I202" s="177"/>
      <c r="J202" s="177"/>
      <c r="K202" s="168"/>
      <c r="L202" s="149"/>
      <c r="M202" s="168"/>
      <c r="N202" s="168"/>
      <c r="O202" s="168"/>
      <c r="P202" s="168"/>
    </row>
    <row r="203" spans="1:16" x14ac:dyDescent="0.25">
      <c r="A203" s="7">
        <f t="shared" si="5"/>
        <v>194</v>
      </c>
      <c r="B203" s="180"/>
      <c r="C203" s="180"/>
      <c r="D203" s="181"/>
      <c r="E203" s="182"/>
      <c r="F203" s="182"/>
      <c r="G203" s="182"/>
      <c r="H203" s="182"/>
      <c r="I203" s="177"/>
      <c r="J203" s="177"/>
      <c r="K203" s="168"/>
      <c r="L203" s="149"/>
      <c r="M203" s="168"/>
      <c r="N203" s="168"/>
      <c r="O203" s="168"/>
      <c r="P203" s="168"/>
    </row>
    <row r="204" spans="1:16" x14ac:dyDescent="0.25">
      <c r="A204" s="7">
        <f t="shared" ref="A204:A209" si="6">+A203+1</f>
        <v>195</v>
      </c>
      <c r="B204" s="180"/>
      <c r="C204" s="180"/>
      <c r="D204" s="181"/>
      <c r="E204" s="182"/>
      <c r="F204" s="182"/>
      <c r="G204" s="182"/>
      <c r="H204" s="182"/>
      <c r="I204" s="177"/>
      <c r="J204" s="177"/>
      <c r="K204" s="168"/>
      <c r="L204" s="149"/>
      <c r="M204" s="168"/>
      <c r="N204" s="168"/>
      <c r="O204" s="168"/>
      <c r="P204" s="168"/>
    </row>
    <row r="205" spans="1:16" x14ac:dyDescent="0.25">
      <c r="A205" s="7">
        <f t="shared" si="6"/>
        <v>196</v>
      </c>
      <c r="B205" s="180"/>
      <c r="C205" s="180"/>
      <c r="D205" s="181"/>
      <c r="E205" s="182"/>
      <c r="F205" s="182"/>
      <c r="G205" s="182"/>
      <c r="H205" s="182"/>
      <c r="I205" s="177"/>
      <c r="J205" s="177"/>
      <c r="K205" s="168"/>
      <c r="L205" s="149"/>
      <c r="M205" s="168"/>
      <c r="N205" s="168"/>
      <c r="O205" s="168"/>
      <c r="P205" s="168"/>
    </row>
    <row r="206" spans="1:16" x14ac:dyDescent="0.25">
      <c r="A206" s="7">
        <f t="shared" si="6"/>
        <v>197</v>
      </c>
      <c r="B206" s="180"/>
      <c r="C206" s="180"/>
      <c r="D206" s="181"/>
      <c r="E206" s="182"/>
      <c r="F206" s="182"/>
      <c r="G206" s="182"/>
      <c r="H206" s="182"/>
      <c r="I206" s="177"/>
      <c r="J206" s="177"/>
      <c r="K206" s="168"/>
      <c r="L206" s="149"/>
      <c r="M206" s="168"/>
      <c r="N206" s="168"/>
      <c r="O206" s="168"/>
      <c r="P206" s="168"/>
    </row>
    <row r="207" spans="1:16" x14ac:dyDescent="0.25">
      <c r="A207" s="7">
        <f t="shared" si="6"/>
        <v>198</v>
      </c>
      <c r="B207" s="180"/>
      <c r="C207" s="180"/>
      <c r="D207" s="181"/>
      <c r="E207" s="182"/>
      <c r="F207" s="182"/>
      <c r="G207" s="182"/>
      <c r="H207" s="182"/>
      <c r="I207" s="177"/>
      <c r="J207" s="177"/>
      <c r="K207" s="168"/>
      <c r="L207" s="149"/>
      <c r="M207" s="168"/>
      <c r="N207" s="168"/>
      <c r="O207" s="168"/>
      <c r="P207" s="168"/>
    </row>
    <row r="208" spans="1:16" x14ac:dyDescent="0.25">
      <c r="A208" s="7">
        <f t="shared" si="6"/>
        <v>199</v>
      </c>
      <c r="B208" s="180"/>
      <c r="C208" s="180"/>
      <c r="D208" s="181"/>
      <c r="E208" s="182"/>
      <c r="F208" s="182"/>
      <c r="G208" s="182"/>
      <c r="H208" s="182"/>
      <c r="I208" s="177"/>
      <c r="J208" s="177"/>
      <c r="K208" s="168"/>
      <c r="L208" s="149"/>
      <c r="M208" s="168"/>
      <c r="N208" s="168"/>
      <c r="O208" s="168"/>
      <c r="P208" s="168"/>
    </row>
    <row r="209" spans="1:16" x14ac:dyDescent="0.25">
      <c r="A209" s="7">
        <f t="shared" si="6"/>
        <v>200</v>
      </c>
      <c r="B209" s="180"/>
      <c r="C209" s="180"/>
      <c r="D209" s="181"/>
      <c r="E209" s="182"/>
      <c r="F209" s="182"/>
      <c r="G209" s="182"/>
      <c r="H209" s="182"/>
      <c r="I209" s="177"/>
      <c r="J209" s="177"/>
      <c r="K209" s="168"/>
      <c r="L209" s="149"/>
      <c r="M209" s="168"/>
      <c r="N209" s="168"/>
      <c r="O209" s="168"/>
      <c r="P209" s="168"/>
    </row>
    <row r="210" spans="1:16" x14ac:dyDescent="0.25">
      <c r="E210" s="157"/>
      <c r="F210" s="157"/>
      <c r="G210" s="157"/>
      <c r="H210" s="157"/>
      <c r="I210" s="157"/>
      <c r="J210" s="157"/>
      <c r="K210" s="157"/>
      <c r="M210" s="157"/>
      <c r="N210" s="157"/>
      <c r="O210" s="157"/>
    </row>
    <row r="222" spans="1:16" x14ac:dyDescent="0.25">
      <c r="E222" s="10">
        <f>SUM(E16:E209)</f>
        <v>0</v>
      </c>
    </row>
  </sheetData>
  <sheetProtection sheet="1" objects="1" scenarios="1" selectLockedCells="1"/>
  <sortState xmlns:xlrd2="http://schemas.microsoft.com/office/spreadsheetml/2017/richdata2" ref="B10:P18">
    <sortCondition ref="P10"/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A2" sqref="A2"/>
    </sheetView>
  </sheetViews>
  <sheetFormatPr defaultRowHeight="21" x14ac:dyDescent="0.35"/>
  <cols>
    <col min="1" max="1" width="10.140625" style="110" customWidth="1"/>
    <col min="2" max="2" width="34.85546875" style="109" customWidth="1"/>
    <col min="3" max="3" width="28" style="109" customWidth="1"/>
    <col min="4" max="4" width="13.85546875" style="110" customWidth="1"/>
    <col min="5" max="5" width="11.7109375" style="110" customWidth="1"/>
    <col min="6" max="16384" width="9.140625" style="155"/>
  </cols>
  <sheetData>
    <row r="1" spans="1:18" x14ac:dyDescent="0.35">
      <c r="A1" s="107" t="s">
        <v>8</v>
      </c>
      <c r="B1" s="108" t="s">
        <v>152</v>
      </c>
      <c r="C1" s="140"/>
      <c r="G1" s="112"/>
    </row>
    <row r="2" spans="1:18" x14ac:dyDescent="0.35">
      <c r="A2" s="113">
        <v>10</v>
      </c>
      <c r="B2" s="109" t="s">
        <v>7</v>
      </c>
      <c r="C2" s="114" t="s">
        <v>6</v>
      </c>
      <c r="D2" s="115">
        <v>27</v>
      </c>
      <c r="G2" s="189"/>
      <c r="H2" s="162"/>
    </row>
    <row r="3" spans="1:18" x14ac:dyDescent="0.35">
      <c r="C3" s="114" t="s">
        <v>12</v>
      </c>
      <c r="D3" s="115">
        <v>6</v>
      </c>
      <c r="G3" s="189"/>
      <c r="H3" s="161"/>
    </row>
    <row r="5" spans="1:18" x14ac:dyDescent="0.35">
      <c r="B5" s="116" t="s">
        <v>0</v>
      </c>
      <c r="C5" s="117" t="s">
        <v>1</v>
      </c>
      <c r="D5" s="118" t="s">
        <v>2</v>
      </c>
      <c r="E5" s="118" t="s">
        <v>9</v>
      </c>
    </row>
    <row r="6" spans="1:18" x14ac:dyDescent="0.35">
      <c r="A6" s="119"/>
      <c r="B6" s="180"/>
      <c r="C6" s="184"/>
      <c r="D6" s="183"/>
      <c r="E6" s="99"/>
    </row>
    <row r="7" spans="1:18" x14ac:dyDescent="0.35">
      <c r="A7" s="119"/>
      <c r="B7" s="180"/>
      <c r="C7" s="180"/>
      <c r="D7" s="181"/>
      <c r="E7" s="99"/>
    </row>
    <row r="8" spans="1:18" x14ac:dyDescent="0.35">
      <c r="A8" s="119"/>
      <c r="B8" s="184"/>
      <c r="C8" s="184"/>
      <c r="D8" s="183"/>
      <c r="E8" s="99"/>
    </row>
    <row r="9" spans="1:18" x14ac:dyDescent="0.35">
      <c r="A9" s="119"/>
      <c r="B9" s="180"/>
      <c r="C9" s="180"/>
      <c r="D9" s="183"/>
      <c r="E9" s="99"/>
    </row>
    <row r="10" spans="1:18" x14ac:dyDescent="0.35">
      <c r="A10" s="119"/>
      <c r="B10" s="184"/>
      <c r="C10" s="180"/>
      <c r="D10" s="183"/>
      <c r="E10" s="99"/>
    </row>
    <row r="11" spans="1:18" x14ac:dyDescent="0.35">
      <c r="A11" s="119"/>
      <c r="B11" s="184"/>
      <c r="C11" s="180"/>
      <c r="D11" s="181"/>
      <c r="E11" s="99"/>
      <c r="Q11" s="120"/>
      <c r="R11" s="120"/>
    </row>
    <row r="12" spans="1:18" x14ac:dyDescent="0.35">
      <c r="A12" s="119"/>
      <c r="B12" s="97"/>
      <c r="C12" s="97"/>
      <c r="D12" s="98"/>
      <c r="E12" s="99"/>
      <c r="Q12" s="120"/>
    </row>
    <row r="13" spans="1:18" x14ac:dyDescent="0.35">
      <c r="A13" s="121"/>
      <c r="B13" s="100"/>
      <c r="C13" s="100"/>
      <c r="D13" s="101"/>
      <c r="E13" s="102"/>
    </row>
    <row r="14" spans="1:18" x14ac:dyDescent="0.35">
      <c r="A14" s="119"/>
      <c r="B14" s="97"/>
      <c r="C14" s="97"/>
      <c r="D14" s="98"/>
      <c r="E14" s="99"/>
      <c r="Q14" s="120"/>
      <c r="R14" s="120"/>
    </row>
    <row r="15" spans="1:18" x14ac:dyDescent="0.35">
      <c r="A15" s="121"/>
      <c r="B15" s="100"/>
      <c r="C15" s="100"/>
      <c r="D15" s="101"/>
      <c r="E15" s="102"/>
      <c r="Q15" s="120"/>
      <c r="R15" s="120"/>
    </row>
    <row r="16" spans="1:18" x14ac:dyDescent="0.35">
      <c r="A16" s="121"/>
      <c r="B16" s="103"/>
      <c r="C16" s="103"/>
      <c r="D16" s="104"/>
      <c r="E16" s="102"/>
      <c r="Q16" s="120"/>
      <c r="R16" s="120"/>
    </row>
    <row r="17" spans="1:19" x14ac:dyDescent="0.35">
      <c r="A17" s="119"/>
      <c r="B17" s="103"/>
      <c r="C17" s="105"/>
      <c r="D17" s="106"/>
      <c r="E17" s="99"/>
      <c r="Q17" s="120"/>
      <c r="R17" s="120"/>
    </row>
    <row r="18" spans="1:19" x14ac:dyDescent="0.35">
      <c r="A18" s="119"/>
      <c r="B18" s="105"/>
      <c r="C18" s="105"/>
      <c r="D18" s="106"/>
      <c r="E18" s="99"/>
    </row>
    <row r="19" spans="1:19" x14ac:dyDescent="0.35">
      <c r="A19" s="119"/>
      <c r="B19" s="105"/>
      <c r="C19" s="105"/>
      <c r="D19" s="106"/>
      <c r="E19" s="99"/>
    </row>
    <row r="20" spans="1:19" x14ac:dyDescent="0.35">
      <c r="A20" s="119"/>
      <c r="B20" s="105"/>
      <c r="C20" s="105"/>
      <c r="D20" s="106"/>
      <c r="E20" s="99"/>
    </row>
    <row r="21" spans="1:19" x14ac:dyDescent="0.35">
      <c r="A21" s="119"/>
      <c r="B21" s="105"/>
      <c r="C21" s="105"/>
      <c r="D21" s="106"/>
      <c r="E21" s="99"/>
      <c r="Q21" s="120"/>
    </row>
    <row r="22" spans="1:19" x14ac:dyDescent="0.35">
      <c r="A22" s="119"/>
      <c r="B22" s="105"/>
      <c r="C22" s="105"/>
      <c r="D22" s="106"/>
      <c r="E22" s="99"/>
      <c r="Q22" s="120"/>
      <c r="R22" s="120"/>
      <c r="S22" s="120"/>
    </row>
    <row r="23" spans="1:19" x14ac:dyDescent="0.35">
      <c r="A23" s="119"/>
      <c r="B23" s="105"/>
      <c r="C23" s="105"/>
      <c r="D23" s="106"/>
      <c r="E23" s="99"/>
      <c r="Q23" s="120"/>
      <c r="R23" s="120"/>
    </row>
    <row r="24" spans="1:19" x14ac:dyDescent="0.35">
      <c r="A24" s="119"/>
      <c r="B24" s="105"/>
      <c r="C24" s="105"/>
      <c r="D24" s="106"/>
      <c r="E24" s="99"/>
    </row>
    <row r="25" spans="1:19" x14ac:dyDescent="0.35">
      <c r="A25" s="119"/>
      <c r="B25" s="105"/>
      <c r="C25" s="105"/>
      <c r="D25" s="106"/>
      <c r="E25" s="99"/>
    </row>
    <row r="26" spans="1:19" x14ac:dyDescent="0.35">
      <c r="A26" s="119"/>
      <c r="B26" s="105"/>
      <c r="C26" s="105"/>
      <c r="D26" s="106"/>
      <c r="E26" s="99"/>
    </row>
    <row r="27" spans="1:19" x14ac:dyDescent="0.35">
      <c r="A27" s="119"/>
      <c r="B27" s="105"/>
      <c r="C27" s="105"/>
      <c r="D27" s="106"/>
      <c r="E27" s="99"/>
      <c r="Q27" s="120"/>
      <c r="R27" s="120"/>
      <c r="S27" s="120"/>
    </row>
    <row r="28" spans="1:19" x14ac:dyDescent="0.35">
      <c r="A28" s="119"/>
      <c r="B28" s="105"/>
      <c r="C28" s="105"/>
      <c r="D28" s="106"/>
      <c r="E28" s="99"/>
    </row>
    <row r="29" spans="1:19" x14ac:dyDescent="0.35">
      <c r="A29" s="119"/>
      <c r="B29" s="105"/>
      <c r="C29" s="105"/>
      <c r="D29" s="106"/>
      <c r="E29" s="99"/>
    </row>
    <row r="30" spans="1:19" x14ac:dyDescent="0.35">
      <c r="A30" s="119"/>
      <c r="B30" s="105"/>
      <c r="C30" s="105"/>
      <c r="D30" s="106"/>
      <c r="E30" s="99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5" sqref="E5"/>
    </sheetView>
  </sheetViews>
  <sheetFormatPr defaultRowHeight="21" x14ac:dyDescent="0.35"/>
  <cols>
    <col min="1" max="1" width="10.140625" style="110" customWidth="1"/>
    <col min="2" max="2" width="34.85546875" style="109" customWidth="1"/>
    <col min="3" max="3" width="28" style="109" customWidth="1"/>
    <col min="4" max="4" width="13.85546875" style="110" customWidth="1"/>
    <col min="5" max="5" width="11.7109375" style="113" customWidth="1"/>
    <col min="6" max="16384" width="9.140625" style="111"/>
  </cols>
  <sheetData>
    <row r="1" spans="1:18" x14ac:dyDescent="0.35">
      <c r="A1" s="107" t="s">
        <v>10</v>
      </c>
      <c r="B1" s="108" t="s">
        <v>154</v>
      </c>
      <c r="C1" s="140"/>
      <c r="G1" s="112"/>
    </row>
    <row r="2" spans="1:18" x14ac:dyDescent="0.35">
      <c r="A2" s="113">
        <v>10</v>
      </c>
      <c r="B2" s="109" t="s">
        <v>7</v>
      </c>
      <c r="C2" s="114" t="s">
        <v>6</v>
      </c>
      <c r="D2" s="115">
        <v>20</v>
      </c>
      <c r="G2" s="160"/>
      <c r="H2" s="120"/>
    </row>
    <row r="3" spans="1:18" x14ac:dyDescent="0.35">
      <c r="C3" s="114" t="s">
        <v>12</v>
      </c>
      <c r="D3" s="115">
        <v>4</v>
      </c>
      <c r="G3" s="160"/>
      <c r="H3" s="120"/>
    </row>
    <row r="5" spans="1:18" x14ac:dyDescent="0.35">
      <c r="A5" s="119"/>
      <c r="B5" s="192" t="s">
        <v>0</v>
      </c>
      <c r="C5" s="193" t="s">
        <v>1</v>
      </c>
      <c r="D5" s="194" t="s">
        <v>2</v>
      </c>
      <c r="E5" s="195" t="s">
        <v>9</v>
      </c>
    </row>
    <row r="6" spans="1:18" ht="33.75" x14ac:dyDescent="0.5">
      <c r="A6" s="119"/>
      <c r="B6" s="180" t="s">
        <v>83</v>
      </c>
      <c r="C6" s="184" t="s">
        <v>127</v>
      </c>
      <c r="D6" s="183" t="s">
        <v>111</v>
      </c>
      <c r="E6" s="238">
        <v>85</v>
      </c>
    </row>
    <row r="7" spans="1:18" ht="33.75" x14ac:dyDescent="0.5">
      <c r="A7" s="121"/>
      <c r="B7" s="180" t="s">
        <v>92</v>
      </c>
      <c r="C7" s="180" t="s">
        <v>125</v>
      </c>
      <c r="D7" s="181" t="s">
        <v>103</v>
      </c>
      <c r="E7" s="238">
        <v>55</v>
      </c>
    </row>
    <row r="8" spans="1:18" ht="33.75" x14ac:dyDescent="0.5">
      <c r="A8" s="119"/>
      <c r="B8" s="184" t="s">
        <v>95</v>
      </c>
      <c r="C8" s="184" t="s">
        <v>127</v>
      </c>
      <c r="D8" s="183" t="s">
        <v>105</v>
      </c>
      <c r="E8" s="238">
        <v>35</v>
      </c>
    </row>
    <row r="9" spans="1:18" ht="33.75" x14ac:dyDescent="0.5">
      <c r="A9" s="119"/>
      <c r="B9" s="180" t="s">
        <v>99</v>
      </c>
      <c r="C9" s="180" t="s">
        <v>126</v>
      </c>
      <c r="D9" s="183" t="s">
        <v>107</v>
      </c>
      <c r="E9" s="238">
        <v>25</v>
      </c>
    </row>
    <row r="10" spans="1:18" x14ac:dyDescent="0.35">
      <c r="A10" s="119"/>
      <c r="B10" s="97"/>
      <c r="C10" s="97"/>
      <c r="D10" s="98"/>
      <c r="E10" s="231"/>
    </row>
    <row r="11" spans="1:18" x14ac:dyDescent="0.35">
      <c r="A11" s="119"/>
      <c r="B11" s="97"/>
      <c r="C11" s="97"/>
      <c r="D11" s="98"/>
      <c r="E11" s="99"/>
      <c r="Q11" s="120"/>
      <c r="R11" s="120"/>
    </row>
    <row r="12" spans="1:18" x14ac:dyDescent="0.35">
      <c r="A12" s="121"/>
      <c r="B12" s="100"/>
      <c r="C12" s="100"/>
      <c r="D12" s="101"/>
      <c r="E12" s="102"/>
      <c r="Q12" s="120"/>
    </row>
    <row r="13" spans="1:18" x14ac:dyDescent="0.35">
      <c r="A13" s="119"/>
      <c r="B13" s="97"/>
      <c r="C13" s="97"/>
      <c r="D13" s="98"/>
      <c r="E13" s="99"/>
    </row>
    <row r="14" spans="1:18" x14ac:dyDescent="0.35">
      <c r="A14" s="119"/>
      <c r="B14" s="97"/>
      <c r="C14" s="97"/>
      <c r="D14" s="98"/>
      <c r="E14" s="99"/>
      <c r="Q14" s="120"/>
      <c r="R14" s="120"/>
    </row>
    <row r="15" spans="1:18" x14ac:dyDescent="0.35">
      <c r="A15" s="121"/>
      <c r="B15" s="100"/>
      <c r="C15" s="100"/>
      <c r="D15" s="101"/>
      <c r="E15" s="102"/>
      <c r="Q15" s="120"/>
      <c r="R15" s="120"/>
    </row>
    <row r="16" spans="1:18" x14ac:dyDescent="0.35">
      <c r="A16" s="121"/>
      <c r="B16" s="103"/>
      <c r="C16" s="103"/>
      <c r="D16" s="104"/>
      <c r="E16" s="102"/>
      <c r="Q16" s="120"/>
      <c r="R16" s="120"/>
    </row>
    <row r="17" spans="1:19" x14ac:dyDescent="0.35">
      <c r="A17" s="119"/>
      <c r="B17" s="105"/>
      <c r="C17" s="105"/>
      <c r="D17" s="106"/>
      <c r="E17" s="99"/>
      <c r="Q17" s="120"/>
      <c r="R17" s="120"/>
    </row>
    <row r="18" spans="1:19" x14ac:dyDescent="0.35">
      <c r="A18" s="119"/>
      <c r="B18" s="105"/>
      <c r="C18" s="105"/>
      <c r="D18" s="106"/>
      <c r="E18" s="99"/>
    </row>
    <row r="19" spans="1:19" x14ac:dyDescent="0.35">
      <c r="A19" s="119"/>
      <c r="B19" s="105"/>
      <c r="C19" s="105"/>
      <c r="D19" s="106"/>
      <c r="E19" s="99"/>
    </row>
    <row r="20" spans="1:19" x14ac:dyDescent="0.35">
      <c r="A20" s="119"/>
      <c r="B20" s="105"/>
      <c r="C20" s="105"/>
      <c r="D20" s="106"/>
      <c r="E20" s="99"/>
    </row>
    <row r="21" spans="1:19" x14ac:dyDescent="0.35">
      <c r="A21" s="119"/>
      <c r="B21" s="105"/>
      <c r="C21" s="105"/>
      <c r="D21" s="106"/>
      <c r="E21" s="99"/>
      <c r="Q21" s="120"/>
    </row>
    <row r="22" spans="1:19" x14ac:dyDescent="0.35">
      <c r="A22" s="119"/>
      <c r="B22" s="105"/>
      <c r="C22" s="105"/>
      <c r="D22" s="106"/>
      <c r="E22" s="99"/>
      <c r="Q22" s="120"/>
      <c r="R22" s="120"/>
      <c r="S22" s="120"/>
    </row>
    <row r="23" spans="1:19" x14ac:dyDescent="0.35">
      <c r="A23" s="119"/>
      <c r="B23" s="105"/>
      <c r="C23" s="105"/>
      <c r="D23" s="106"/>
      <c r="E23" s="99"/>
      <c r="Q23" s="120"/>
      <c r="R23" s="120"/>
    </row>
    <row r="24" spans="1:19" x14ac:dyDescent="0.35">
      <c r="A24" s="119"/>
      <c r="B24" s="105"/>
      <c r="C24" s="105"/>
      <c r="D24" s="106"/>
      <c r="E24" s="99"/>
    </row>
    <row r="25" spans="1:19" x14ac:dyDescent="0.35">
      <c r="A25" s="119"/>
      <c r="B25" s="105"/>
      <c r="C25" s="105"/>
      <c r="D25" s="106"/>
      <c r="E25" s="99"/>
    </row>
    <row r="26" spans="1:19" x14ac:dyDescent="0.35">
      <c r="A26" s="119"/>
      <c r="B26" s="105"/>
      <c r="C26" s="105"/>
      <c r="D26" s="106"/>
      <c r="E26" s="99"/>
    </row>
    <row r="27" spans="1:19" x14ac:dyDescent="0.35">
      <c r="A27" s="119"/>
      <c r="B27" s="105"/>
      <c r="C27" s="105"/>
      <c r="D27" s="106"/>
      <c r="E27" s="99"/>
      <c r="Q27" s="120"/>
      <c r="R27" s="120"/>
      <c r="S27" s="120"/>
    </row>
    <row r="28" spans="1:19" x14ac:dyDescent="0.35">
      <c r="A28" s="119"/>
      <c r="B28" s="105"/>
      <c r="C28" s="105"/>
      <c r="D28" s="106"/>
      <c r="E28" s="99"/>
    </row>
    <row r="29" spans="1:19" x14ac:dyDescent="0.35">
      <c r="A29" s="119"/>
      <c r="B29" s="105"/>
      <c r="C29" s="105"/>
      <c r="D29" s="106"/>
      <c r="E29" s="99"/>
    </row>
    <row r="30" spans="1:19" x14ac:dyDescent="0.35">
      <c r="A30" s="119"/>
      <c r="B30" s="105"/>
      <c r="C30" s="105"/>
      <c r="D30" s="106"/>
      <c r="E30" s="99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H30"/>
  <sheetViews>
    <sheetView workbookViewId="0">
      <selection activeCell="E5" sqref="E5"/>
    </sheetView>
  </sheetViews>
  <sheetFormatPr defaultRowHeight="21" x14ac:dyDescent="0.35"/>
  <cols>
    <col min="1" max="1" width="10.140625" style="62" customWidth="1"/>
    <col min="2" max="2" width="34.85546875" style="61" customWidth="1"/>
    <col min="3" max="3" width="28" style="61" customWidth="1"/>
    <col min="4" max="4" width="13.85546875" style="62" customWidth="1"/>
    <col min="5" max="5" width="11.7109375" style="163" customWidth="1"/>
  </cols>
  <sheetData>
    <row r="1" spans="1:8" x14ac:dyDescent="0.35">
      <c r="A1" s="67" t="s">
        <v>11</v>
      </c>
      <c r="B1" s="60" t="s">
        <v>155</v>
      </c>
      <c r="C1" s="140"/>
      <c r="G1" s="16"/>
      <c r="H1" s="19"/>
    </row>
    <row r="2" spans="1:8" x14ac:dyDescent="0.35">
      <c r="A2" s="113">
        <v>20</v>
      </c>
      <c r="B2" s="61" t="s">
        <v>7</v>
      </c>
      <c r="C2" s="63" t="s">
        <v>6</v>
      </c>
      <c r="D2" s="64">
        <v>17</v>
      </c>
      <c r="F2" s="47" t="s">
        <v>11</v>
      </c>
    </row>
    <row r="3" spans="1:8" x14ac:dyDescent="0.35">
      <c r="A3" s="65"/>
      <c r="C3" s="63" t="s">
        <v>12</v>
      </c>
      <c r="D3" s="115">
        <v>3</v>
      </c>
    </row>
    <row r="5" spans="1:8" x14ac:dyDescent="0.35">
      <c r="A5" s="66"/>
      <c r="B5" s="196" t="s">
        <v>0</v>
      </c>
      <c r="C5" s="197" t="s">
        <v>1</v>
      </c>
      <c r="D5" s="198" t="s">
        <v>2</v>
      </c>
      <c r="E5" s="199" t="s">
        <v>9</v>
      </c>
    </row>
    <row r="6" spans="1:8" ht="33.75" x14ac:dyDescent="0.5">
      <c r="A6" s="66"/>
      <c r="B6" s="239" t="s">
        <v>83</v>
      </c>
      <c r="C6" s="240" t="s">
        <v>127</v>
      </c>
      <c r="D6" s="241" t="s">
        <v>111</v>
      </c>
      <c r="E6" s="238">
        <v>180</v>
      </c>
    </row>
    <row r="7" spans="1:8" ht="33.75" x14ac:dyDescent="0.5">
      <c r="A7" s="68"/>
      <c r="B7" s="239" t="s">
        <v>92</v>
      </c>
      <c r="C7" s="239" t="s">
        <v>125</v>
      </c>
      <c r="D7" s="242" t="s">
        <v>103</v>
      </c>
      <c r="E7" s="238">
        <v>110</v>
      </c>
    </row>
    <row r="8" spans="1:8" ht="33.75" x14ac:dyDescent="0.5">
      <c r="A8" s="66"/>
      <c r="B8" s="240" t="s">
        <v>95</v>
      </c>
      <c r="C8" s="240" t="s">
        <v>127</v>
      </c>
      <c r="D8" s="241" t="s">
        <v>105</v>
      </c>
      <c r="E8" s="238">
        <v>50</v>
      </c>
    </row>
    <row r="9" spans="1:8" x14ac:dyDescent="0.35">
      <c r="A9" s="66"/>
      <c r="B9" s="97"/>
      <c r="C9" s="97"/>
      <c r="D9" s="98"/>
      <c r="E9" s="99"/>
    </row>
    <row r="10" spans="1:8" x14ac:dyDescent="0.35">
      <c r="A10" s="66"/>
      <c r="B10" s="97"/>
      <c r="C10" s="97"/>
      <c r="D10" s="98"/>
      <c r="E10" s="99"/>
    </row>
    <row r="11" spans="1:8" x14ac:dyDescent="0.35">
      <c r="A11" s="66"/>
      <c r="B11" s="97"/>
      <c r="C11" s="97"/>
      <c r="D11" s="98"/>
      <c r="E11" s="99"/>
    </row>
    <row r="12" spans="1:8" x14ac:dyDescent="0.35">
      <c r="A12" s="66"/>
      <c r="B12" s="97"/>
      <c r="C12" s="97"/>
      <c r="D12" s="98"/>
      <c r="E12" s="99"/>
    </row>
    <row r="13" spans="1:8" x14ac:dyDescent="0.35">
      <c r="A13" s="68"/>
      <c r="B13" s="100"/>
      <c r="C13" s="100"/>
      <c r="D13" s="101"/>
      <c r="E13" s="102"/>
    </row>
    <row r="14" spans="1:8" x14ac:dyDescent="0.35">
      <c r="A14" s="68"/>
      <c r="B14" s="103"/>
      <c r="C14" s="103"/>
      <c r="D14" s="104"/>
      <c r="E14" s="102"/>
    </row>
    <row r="15" spans="1:8" x14ac:dyDescent="0.35">
      <c r="A15" s="66"/>
      <c r="B15" s="105"/>
      <c r="C15" s="105"/>
      <c r="D15" s="106"/>
      <c r="E15" s="99"/>
    </row>
    <row r="16" spans="1:8" x14ac:dyDescent="0.35">
      <c r="A16" s="66"/>
      <c r="B16" s="105"/>
      <c r="C16" s="105"/>
      <c r="D16" s="106"/>
      <c r="E16" s="99"/>
    </row>
    <row r="17" spans="1:5" x14ac:dyDescent="0.35">
      <c r="A17" s="66"/>
      <c r="B17" s="105"/>
      <c r="C17" s="105"/>
      <c r="D17" s="106"/>
      <c r="E17" s="99"/>
    </row>
    <row r="18" spans="1:5" x14ac:dyDescent="0.35">
      <c r="A18" s="66"/>
      <c r="B18" s="105"/>
      <c r="C18" s="105"/>
      <c r="D18" s="106"/>
      <c r="E18" s="99"/>
    </row>
    <row r="19" spans="1:5" x14ac:dyDescent="0.35">
      <c r="A19" s="66"/>
      <c r="B19" s="105"/>
      <c r="C19" s="105"/>
      <c r="D19" s="106"/>
      <c r="E19" s="99"/>
    </row>
    <row r="20" spans="1:5" x14ac:dyDescent="0.35">
      <c r="A20" s="66"/>
      <c r="B20" s="105"/>
      <c r="C20" s="105"/>
      <c r="D20" s="106"/>
      <c r="E20" s="99"/>
    </row>
    <row r="21" spans="1:5" x14ac:dyDescent="0.35">
      <c r="A21" s="66"/>
      <c r="B21" s="105"/>
      <c r="C21" s="105"/>
      <c r="D21" s="106"/>
      <c r="E21" s="99"/>
    </row>
    <row r="22" spans="1:5" x14ac:dyDescent="0.35">
      <c r="A22" s="66"/>
      <c r="B22" s="105"/>
      <c r="C22" s="105"/>
      <c r="D22" s="106"/>
      <c r="E22" s="99"/>
    </row>
    <row r="23" spans="1:5" x14ac:dyDescent="0.35">
      <c r="A23" s="66"/>
      <c r="B23" s="105"/>
      <c r="C23" s="105"/>
      <c r="D23" s="106"/>
      <c r="E23" s="99"/>
    </row>
    <row r="24" spans="1:5" x14ac:dyDescent="0.35">
      <c r="A24" s="66"/>
      <c r="B24" s="105"/>
      <c r="C24" s="105"/>
      <c r="D24" s="106"/>
      <c r="E24" s="99"/>
    </row>
    <row r="25" spans="1:5" x14ac:dyDescent="0.35">
      <c r="A25" s="66"/>
      <c r="B25" s="105"/>
      <c r="C25" s="105"/>
      <c r="D25" s="106"/>
      <c r="E25" s="99"/>
    </row>
    <row r="26" spans="1:5" x14ac:dyDescent="0.35">
      <c r="A26" s="66"/>
      <c r="B26" s="105"/>
      <c r="C26" s="105"/>
      <c r="D26" s="106"/>
      <c r="E26" s="99"/>
    </row>
    <row r="27" spans="1:5" x14ac:dyDescent="0.35">
      <c r="A27" s="66"/>
      <c r="B27" s="105"/>
      <c r="C27" s="105"/>
      <c r="D27" s="106"/>
      <c r="E27" s="99"/>
    </row>
    <row r="28" spans="1:5" x14ac:dyDescent="0.35">
      <c r="A28" s="66"/>
      <c r="B28" s="105"/>
      <c r="C28" s="105"/>
      <c r="D28" s="106"/>
      <c r="E28" s="99"/>
    </row>
    <row r="29" spans="1:5" x14ac:dyDescent="0.35">
      <c r="A29" s="66"/>
      <c r="B29" s="105"/>
      <c r="C29" s="105"/>
      <c r="D29" s="106"/>
      <c r="E29" s="99"/>
    </row>
    <row r="30" spans="1:5" x14ac:dyDescent="0.35">
      <c r="A30" s="66"/>
      <c r="B30" s="105"/>
      <c r="C30" s="105"/>
      <c r="D30" s="106"/>
      <c r="E30" s="99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R30"/>
  <sheetViews>
    <sheetView workbookViewId="0">
      <selection activeCell="E5" sqref="E5"/>
    </sheetView>
  </sheetViews>
  <sheetFormatPr defaultRowHeight="21" x14ac:dyDescent="0.35"/>
  <cols>
    <col min="1" max="1" width="10.140625" style="78" customWidth="1"/>
    <col min="2" max="2" width="34.85546875" style="61" customWidth="1"/>
    <col min="3" max="3" width="28" style="61" customWidth="1"/>
    <col min="4" max="4" width="13.85546875" style="61" customWidth="1"/>
    <col min="5" max="5" width="11.7109375" style="164" customWidth="1"/>
  </cols>
  <sheetData>
    <row r="1" spans="1:18" x14ac:dyDescent="0.35">
      <c r="A1" s="76" t="s">
        <v>46</v>
      </c>
      <c r="B1" s="60" t="s">
        <v>155</v>
      </c>
      <c r="C1" s="140"/>
      <c r="D1" s="62"/>
      <c r="G1" s="16"/>
      <c r="H1" s="19"/>
    </row>
    <row r="2" spans="1:18" x14ac:dyDescent="0.35">
      <c r="A2" s="113">
        <v>50</v>
      </c>
      <c r="B2" s="61" t="s">
        <v>7</v>
      </c>
      <c r="C2" s="63" t="s">
        <v>6</v>
      </c>
      <c r="D2" s="64">
        <v>10</v>
      </c>
    </row>
    <row r="3" spans="1:18" x14ac:dyDescent="0.35">
      <c r="A3" s="77"/>
      <c r="C3" s="63" t="s">
        <v>12</v>
      </c>
      <c r="D3" s="115">
        <v>2</v>
      </c>
    </row>
    <row r="4" spans="1:18" x14ac:dyDescent="0.35">
      <c r="D4" s="62"/>
      <c r="R4" s="123"/>
    </row>
    <row r="5" spans="1:18" x14ac:dyDescent="0.35">
      <c r="A5" s="79"/>
      <c r="B5" s="247" t="s">
        <v>46</v>
      </c>
      <c r="C5" s="197" t="s">
        <v>1</v>
      </c>
      <c r="D5" s="198" t="s">
        <v>2</v>
      </c>
      <c r="E5" s="199" t="s">
        <v>9</v>
      </c>
    </row>
    <row r="6" spans="1:18" x14ac:dyDescent="0.35">
      <c r="A6" s="79"/>
      <c r="B6" s="243" t="s">
        <v>83</v>
      </c>
      <c r="C6" s="244" t="s">
        <v>127</v>
      </c>
      <c r="D6" s="245" t="s">
        <v>111</v>
      </c>
      <c r="E6" s="66">
        <v>350</v>
      </c>
    </row>
    <row r="7" spans="1:18" x14ac:dyDescent="0.35">
      <c r="A7" s="80"/>
      <c r="B7" s="243" t="s">
        <v>92</v>
      </c>
      <c r="C7" s="243" t="s">
        <v>125</v>
      </c>
      <c r="D7" s="246" t="s">
        <v>103</v>
      </c>
      <c r="E7" s="66">
        <v>150</v>
      </c>
    </row>
    <row r="8" spans="1:18" x14ac:dyDescent="0.35">
      <c r="A8" s="79"/>
      <c r="B8" s="105"/>
      <c r="C8" s="105"/>
      <c r="D8" s="105"/>
      <c r="E8" s="99"/>
    </row>
    <row r="9" spans="1:18" x14ac:dyDescent="0.35">
      <c r="A9" s="79"/>
      <c r="B9" s="105"/>
      <c r="C9" s="105"/>
      <c r="D9" s="105"/>
      <c r="E9" s="99"/>
    </row>
    <row r="10" spans="1:18" x14ac:dyDescent="0.35">
      <c r="A10" s="80"/>
      <c r="B10" s="103"/>
      <c r="C10" s="103"/>
      <c r="D10" s="103"/>
      <c r="E10" s="102"/>
    </row>
    <row r="11" spans="1:18" x14ac:dyDescent="0.35">
      <c r="A11" s="80"/>
      <c r="B11" s="103"/>
      <c r="C11" s="103"/>
      <c r="D11" s="103"/>
      <c r="E11" s="102"/>
      <c r="L11" s="47"/>
    </row>
    <row r="12" spans="1:18" x14ac:dyDescent="0.35">
      <c r="A12" s="79"/>
      <c r="B12" s="105"/>
      <c r="C12" s="105"/>
      <c r="D12" s="105"/>
      <c r="E12" s="99"/>
    </row>
    <row r="13" spans="1:18" x14ac:dyDescent="0.35">
      <c r="A13" s="79"/>
      <c r="B13" s="105"/>
      <c r="C13" s="105"/>
      <c r="D13" s="105"/>
      <c r="E13" s="99"/>
    </row>
    <row r="14" spans="1:18" x14ac:dyDescent="0.35">
      <c r="A14" s="79"/>
      <c r="B14" s="105"/>
      <c r="C14" s="105"/>
      <c r="D14" s="105"/>
      <c r="E14" s="99"/>
    </row>
    <row r="15" spans="1:18" x14ac:dyDescent="0.35">
      <c r="A15" s="79"/>
      <c r="B15" s="105"/>
      <c r="C15" s="105"/>
      <c r="D15" s="105"/>
      <c r="E15" s="99"/>
    </row>
    <row r="16" spans="1:18" x14ac:dyDescent="0.35">
      <c r="A16" s="79"/>
      <c r="B16" s="105"/>
      <c r="C16" s="105"/>
      <c r="D16" s="105"/>
      <c r="E16" s="99"/>
    </row>
    <row r="17" spans="1:5" x14ac:dyDescent="0.35">
      <c r="A17" s="80"/>
      <c r="B17" s="103"/>
      <c r="C17" s="103"/>
      <c r="D17" s="103"/>
      <c r="E17" s="165"/>
    </row>
    <row r="18" spans="1:5" x14ac:dyDescent="0.35">
      <c r="A18" s="79"/>
      <c r="B18" s="105"/>
      <c r="C18" s="105"/>
      <c r="D18" s="105"/>
      <c r="E18" s="166"/>
    </row>
    <row r="19" spans="1:5" x14ac:dyDescent="0.35">
      <c r="A19" s="79"/>
      <c r="B19" s="105"/>
      <c r="C19" s="105"/>
      <c r="D19" s="105"/>
      <c r="E19" s="166"/>
    </row>
    <row r="20" spans="1:5" x14ac:dyDescent="0.35">
      <c r="A20" s="79"/>
      <c r="B20" s="105"/>
      <c r="C20" s="105"/>
      <c r="D20" s="105"/>
      <c r="E20" s="166"/>
    </row>
    <row r="21" spans="1:5" x14ac:dyDescent="0.35">
      <c r="A21" s="79"/>
      <c r="B21" s="105"/>
      <c r="C21" s="105"/>
      <c r="D21" s="105"/>
      <c r="E21" s="166"/>
    </row>
    <row r="22" spans="1:5" x14ac:dyDescent="0.35">
      <c r="A22" s="79"/>
      <c r="B22" s="105"/>
      <c r="C22" s="105"/>
      <c r="D22" s="105"/>
      <c r="E22" s="166"/>
    </row>
    <row r="23" spans="1:5" x14ac:dyDescent="0.35">
      <c r="A23" s="79"/>
      <c r="B23" s="105"/>
      <c r="C23" s="105"/>
      <c r="D23" s="105"/>
      <c r="E23" s="166"/>
    </row>
    <row r="24" spans="1:5" x14ac:dyDescent="0.35">
      <c r="A24" s="79"/>
      <c r="B24" s="105"/>
      <c r="C24" s="105"/>
      <c r="D24" s="105"/>
      <c r="E24" s="166"/>
    </row>
    <row r="25" spans="1:5" x14ac:dyDescent="0.35">
      <c r="A25" s="79"/>
      <c r="B25" s="105"/>
      <c r="C25" s="105"/>
      <c r="D25" s="105"/>
      <c r="E25" s="166"/>
    </row>
    <row r="26" spans="1:5" x14ac:dyDescent="0.35">
      <c r="A26" s="79"/>
      <c r="B26" s="105"/>
      <c r="C26" s="105"/>
      <c r="D26" s="105"/>
      <c r="E26" s="166"/>
    </row>
    <row r="27" spans="1:5" x14ac:dyDescent="0.35">
      <c r="A27" s="79"/>
      <c r="B27" s="105"/>
      <c r="C27" s="105"/>
      <c r="D27" s="105"/>
      <c r="E27" s="166"/>
    </row>
    <row r="28" spans="1:5" x14ac:dyDescent="0.35">
      <c r="A28" s="79"/>
      <c r="B28" s="105"/>
      <c r="C28" s="105"/>
      <c r="D28" s="105"/>
      <c r="E28" s="166"/>
    </row>
    <row r="29" spans="1:5" x14ac:dyDescent="0.35">
      <c r="A29" s="79"/>
      <c r="B29" s="105"/>
      <c r="C29" s="105"/>
      <c r="D29" s="105"/>
      <c r="E29" s="166"/>
    </row>
    <row r="30" spans="1:5" x14ac:dyDescent="0.35">
      <c r="A30" s="79"/>
      <c r="B30" s="105"/>
      <c r="C30" s="105"/>
      <c r="D30" s="105"/>
      <c r="E30" s="166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A13" sqref="A13"/>
    </sheetView>
  </sheetViews>
  <sheetFormatPr defaultRowHeight="18.75" x14ac:dyDescent="0.3"/>
  <cols>
    <col min="1" max="1" width="7" style="48" customWidth="1"/>
    <col min="2" max="2" width="28.5703125" style="48" customWidth="1"/>
    <col min="3" max="3" width="24.7109375" style="48" customWidth="1"/>
    <col min="4" max="4" width="12.7109375" style="48" customWidth="1"/>
    <col min="5" max="16384" width="9.140625" style="48"/>
  </cols>
  <sheetData>
    <row r="1" spans="1:6" ht="21" x14ac:dyDescent="0.35">
      <c r="A1" s="50" t="s">
        <v>30</v>
      </c>
      <c r="C1" s="140"/>
    </row>
    <row r="3" spans="1:6" ht="21" x14ac:dyDescent="0.35">
      <c r="A3" s="254">
        <f>+Entries!A2</f>
        <v>0</v>
      </c>
      <c r="B3" s="254"/>
      <c r="C3" s="254"/>
      <c r="D3" s="140"/>
    </row>
    <row r="4" spans="1:6" x14ac:dyDescent="0.3">
      <c r="A4" s="255"/>
      <c r="B4" s="255"/>
      <c r="C4" s="52"/>
    </row>
    <row r="5" spans="1:6" x14ac:dyDescent="0.3">
      <c r="A5" s="256"/>
      <c r="B5" s="254"/>
      <c r="C5" s="53" t="s">
        <v>28</v>
      </c>
    </row>
    <row r="6" spans="1:6" x14ac:dyDescent="0.3">
      <c r="A6" s="58"/>
      <c r="B6" s="53" t="s">
        <v>36</v>
      </c>
      <c r="C6" s="52"/>
    </row>
    <row r="7" spans="1:6" x14ac:dyDescent="0.3">
      <c r="A7" s="58">
        <f>+Entries!B10</f>
        <v>35</v>
      </c>
      <c r="B7" s="257" t="s">
        <v>34</v>
      </c>
      <c r="C7" s="257"/>
    </row>
    <row r="8" spans="1:6" x14ac:dyDescent="0.3">
      <c r="A8" s="58" t="e">
        <f>+Results!#REF!</f>
        <v>#REF!</v>
      </c>
      <c r="B8" s="83" t="s">
        <v>5</v>
      </c>
    </row>
    <row r="9" spans="1:6" x14ac:dyDescent="0.3">
      <c r="A9" s="51"/>
      <c r="B9" s="54" t="s">
        <v>0</v>
      </c>
      <c r="C9" s="54" t="s">
        <v>1</v>
      </c>
      <c r="D9" s="55" t="s">
        <v>2</v>
      </c>
      <c r="E9" s="57" t="s">
        <v>33</v>
      </c>
      <c r="F9" s="57" t="s">
        <v>32</v>
      </c>
    </row>
    <row r="10" spans="1:6" x14ac:dyDescent="0.3">
      <c r="A10" s="56">
        <v>1</v>
      </c>
      <c r="B10" s="93"/>
      <c r="C10" s="93"/>
      <c r="D10" s="92"/>
      <c r="E10" s="92"/>
      <c r="F10" s="92"/>
    </row>
    <row r="11" spans="1:6" x14ac:dyDescent="0.3">
      <c r="A11" s="56">
        <f>+A10+1</f>
        <v>2</v>
      </c>
      <c r="B11" s="93"/>
      <c r="C11" s="93"/>
      <c r="D11" s="92"/>
      <c r="E11" s="92"/>
      <c r="F11" s="92"/>
    </row>
    <row r="12" spans="1:6" x14ac:dyDescent="0.3">
      <c r="A12" s="56">
        <f t="shared" ref="A12:A41" si="0">+A11+1</f>
        <v>3</v>
      </c>
      <c r="B12" s="93"/>
      <c r="C12" s="93"/>
      <c r="D12" s="92"/>
      <c r="E12" s="92"/>
      <c r="F12" s="92"/>
    </row>
    <row r="13" spans="1:6" x14ac:dyDescent="0.3">
      <c r="A13" s="56">
        <f t="shared" si="0"/>
        <v>4</v>
      </c>
      <c r="B13" s="93"/>
      <c r="C13" s="93"/>
      <c r="D13" s="92"/>
      <c r="E13" s="92"/>
      <c r="F13" s="92"/>
    </row>
    <row r="14" spans="1:6" x14ac:dyDescent="0.3">
      <c r="A14" s="56">
        <f t="shared" si="0"/>
        <v>5</v>
      </c>
      <c r="B14" s="93"/>
      <c r="C14" s="93"/>
      <c r="D14" s="92"/>
      <c r="E14" s="92"/>
      <c r="F14" s="92"/>
    </row>
    <row r="15" spans="1:6" x14ac:dyDescent="0.3">
      <c r="A15" s="56">
        <f t="shared" si="0"/>
        <v>6</v>
      </c>
      <c r="B15" s="93"/>
      <c r="C15" s="93"/>
      <c r="D15" s="92"/>
      <c r="E15" s="92"/>
      <c r="F15" s="92"/>
    </row>
    <row r="16" spans="1:6" x14ac:dyDescent="0.3">
      <c r="A16" s="56">
        <f t="shared" si="0"/>
        <v>7</v>
      </c>
      <c r="B16" s="93"/>
      <c r="C16" s="93"/>
      <c r="D16" s="92"/>
      <c r="E16" s="92"/>
      <c r="F16" s="92"/>
    </row>
    <row r="17" spans="1:6" x14ac:dyDescent="0.3">
      <c r="A17" s="56">
        <f t="shared" si="0"/>
        <v>8</v>
      </c>
      <c r="B17" s="93"/>
      <c r="C17" s="93"/>
      <c r="D17" s="92"/>
      <c r="E17" s="92"/>
      <c r="F17" s="92"/>
    </row>
    <row r="18" spans="1:6" x14ac:dyDescent="0.3">
      <c r="A18" s="56">
        <f t="shared" si="0"/>
        <v>9</v>
      </c>
      <c r="B18" s="93"/>
      <c r="C18" s="93"/>
      <c r="D18" s="92"/>
      <c r="E18" s="92"/>
      <c r="F18" s="92"/>
    </row>
    <row r="19" spans="1:6" x14ac:dyDescent="0.3">
      <c r="A19" s="56">
        <f t="shared" si="0"/>
        <v>10</v>
      </c>
      <c r="B19" s="93"/>
      <c r="C19" s="93"/>
      <c r="D19" s="92"/>
      <c r="E19" s="92"/>
      <c r="F19" s="92"/>
    </row>
    <row r="20" spans="1:6" x14ac:dyDescent="0.3">
      <c r="A20" s="56">
        <f t="shared" si="0"/>
        <v>11</v>
      </c>
      <c r="B20" s="93"/>
      <c r="C20" s="93"/>
      <c r="D20" s="92"/>
      <c r="E20" s="92"/>
      <c r="F20" s="92"/>
    </row>
    <row r="21" spans="1:6" x14ac:dyDescent="0.3">
      <c r="A21" s="56">
        <f t="shared" si="0"/>
        <v>12</v>
      </c>
      <c r="B21" s="93"/>
      <c r="C21" s="93"/>
      <c r="D21" s="92"/>
      <c r="E21" s="92"/>
      <c r="F21" s="92"/>
    </row>
    <row r="22" spans="1:6" x14ac:dyDescent="0.3">
      <c r="A22" s="56">
        <f t="shared" si="0"/>
        <v>13</v>
      </c>
      <c r="B22" s="93"/>
      <c r="C22" s="93"/>
      <c r="D22" s="92"/>
      <c r="E22" s="92"/>
      <c r="F22" s="92"/>
    </row>
    <row r="23" spans="1:6" x14ac:dyDescent="0.3">
      <c r="A23" s="56">
        <f t="shared" si="0"/>
        <v>14</v>
      </c>
      <c r="B23" s="93"/>
      <c r="C23" s="93"/>
      <c r="D23" s="92"/>
      <c r="E23" s="92"/>
      <c r="F23" s="92"/>
    </row>
    <row r="24" spans="1:6" x14ac:dyDescent="0.3">
      <c r="A24" s="56">
        <f t="shared" si="0"/>
        <v>15</v>
      </c>
      <c r="B24" s="93"/>
      <c r="C24" s="93"/>
      <c r="D24" s="92"/>
      <c r="E24" s="92"/>
      <c r="F24" s="92"/>
    </row>
    <row r="25" spans="1:6" x14ac:dyDescent="0.3">
      <c r="A25" s="56">
        <f t="shared" si="0"/>
        <v>16</v>
      </c>
      <c r="B25" s="93"/>
      <c r="C25" s="93"/>
      <c r="D25" s="92"/>
      <c r="E25" s="92"/>
      <c r="F25" s="92"/>
    </row>
    <row r="26" spans="1:6" x14ac:dyDescent="0.3">
      <c r="A26" s="56">
        <f t="shared" si="0"/>
        <v>17</v>
      </c>
      <c r="B26" s="93"/>
      <c r="C26" s="93"/>
      <c r="D26" s="92"/>
      <c r="E26" s="92"/>
      <c r="F26" s="92"/>
    </row>
    <row r="27" spans="1:6" x14ac:dyDescent="0.3">
      <c r="A27" s="56">
        <f t="shared" si="0"/>
        <v>18</v>
      </c>
      <c r="B27" s="93"/>
      <c r="C27" s="93"/>
      <c r="D27" s="92"/>
      <c r="E27" s="92"/>
      <c r="F27" s="92"/>
    </row>
    <row r="28" spans="1:6" x14ac:dyDescent="0.3">
      <c r="A28" s="56">
        <f t="shared" si="0"/>
        <v>19</v>
      </c>
      <c r="B28" s="93"/>
      <c r="C28" s="93"/>
      <c r="D28" s="92"/>
      <c r="E28" s="92"/>
      <c r="F28" s="92"/>
    </row>
    <row r="29" spans="1:6" x14ac:dyDescent="0.3">
      <c r="A29" s="56">
        <f t="shared" si="0"/>
        <v>20</v>
      </c>
      <c r="B29" s="93"/>
      <c r="C29" s="93"/>
      <c r="D29" s="92"/>
      <c r="E29" s="92"/>
      <c r="F29" s="92"/>
    </row>
    <row r="30" spans="1:6" x14ac:dyDescent="0.3">
      <c r="A30" s="56">
        <f t="shared" si="0"/>
        <v>21</v>
      </c>
      <c r="B30" s="93"/>
      <c r="C30" s="93"/>
      <c r="D30" s="92"/>
      <c r="E30" s="92"/>
      <c r="F30" s="92"/>
    </row>
    <row r="31" spans="1:6" x14ac:dyDescent="0.3">
      <c r="A31" s="56">
        <f t="shared" si="0"/>
        <v>22</v>
      </c>
      <c r="B31" s="93"/>
      <c r="C31" s="93"/>
      <c r="D31" s="92"/>
      <c r="E31" s="92"/>
      <c r="F31" s="92"/>
    </row>
    <row r="32" spans="1:6" x14ac:dyDescent="0.3">
      <c r="A32" s="56">
        <f t="shared" si="0"/>
        <v>23</v>
      </c>
      <c r="B32" s="93"/>
      <c r="C32" s="93"/>
      <c r="D32" s="92"/>
      <c r="E32" s="92"/>
      <c r="F32" s="92"/>
    </row>
    <row r="33" spans="1:6" x14ac:dyDescent="0.3">
      <c r="A33" s="56">
        <f t="shared" si="0"/>
        <v>24</v>
      </c>
      <c r="B33" s="93"/>
      <c r="C33" s="93"/>
      <c r="D33" s="92"/>
      <c r="E33" s="92"/>
      <c r="F33" s="92"/>
    </row>
    <row r="34" spans="1:6" x14ac:dyDescent="0.3">
      <c r="A34" s="56">
        <f t="shared" si="0"/>
        <v>25</v>
      </c>
      <c r="B34" s="93"/>
      <c r="C34" s="93"/>
      <c r="D34" s="92"/>
      <c r="E34" s="92"/>
      <c r="F34" s="92"/>
    </row>
    <row r="35" spans="1:6" x14ac:dyDescent="0.3">
      <c r="A35" s="56">
        <f t="shared" si="0"/>
        <v>26</v>
      </c>
      <c r="B35" s="93"/>
      <c r="C35" s="93"/>
      <c r="D35" s="92"/>
      <c r="E35" s="92"/>
      <c r="F35" s="92"/>
    </row>
    <row r="36" spans="1:6" x14ac:dyDescent="0.3">
      <c r="A36" s="56">
        <f t="shared" si="0"/>
        <v>27</v>
      </c>
      <c r="B36" s="93"/>
      <c r="C36" s="93"/>
      <c r="D36" s="92"/>
      <c r="E36" s="92"/>
      <c r="F36" s="92"/>
    </row>
    <row r="37" spans="1:6" x14ac:dyDescent="0.3">
      <c r="A37" s="56">
        <f t="shared" si="0"/>
        <v>28</v>
      </c>
      <c r="B37" s="93"/>
      <c r="C37" s="93"/>
      <c r="D37" s="92"/>
      <c r="E37" s="92"/>
      <c r="F37" s="92"/>
    </row>
    <row r="38" spans="1:6" x14ac:dyDescent="0.3">
      <c r="A38" s="56">
        <f t="shared" si="0"/>
        <v>29</v>
      </c>
      <c r="B38" s="93"/>
      <c r="C38" s="93"/>
      <c r="D38" s="92"/>
      <c r="E38" s="92"/>
      <c r="F38" s="92"/>
    </row>
    <row r="39" spans="1:6" x14ac:dyDescent="0.3">
      <c r="A39" s="56">
        <f t="shared" si="0"/>
        <v>30</v>
      </c>
      <c r="B39" s="93"/>
      <c r="C39" s="93"/>
      <c r="D39" s="92"/>
      <c r="E39" s="92"/>
      <c r="F39" s="92"/>
    </row>
    <row r="40" spans="1:6" x14ac:dyDescent="0.3">
      <c r="A40" s="56">
        <f t="shared" si="0"/>
        <v>31</v>
      </c>
      <c r="B40" s="93"/>
      <c r="C40" s="93"/>
      <c r="D40" s="92"/>
      <c r="E40" s="92"/>
      <c r="F40" s="92"/>
    </row>
    <row r="41" spans="1:6" x14ac:dyDescent="0.3">
      <c r="A41" s="56">
        <f t="shared" si="0"/>
        <v>32</v>
      </c>
      <c r="B41" s="93"/>
      <c r="C41" s="93"/>
      <c r="D41" s="92"/>
      <c r="E41" s="92"/>
      <c r="F41" s="9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D2" sqref="D2"/>
    </sheetView>
  </sheetViews>
  <sheetFormatPr defaultRowHeight="18.75" x14ac:dyDescent="0.3"/>
  <cols>
    <col min="1" max="1" width="10.140625" style="50" customWidth="1"/>
    <col min="2" max="2" width="28.5703125" style="52" customWidth="1"/>
    <col min="3" max="3" width="24.7109375" style="52" customWidth="1"/>
    <col min="4" max="4" width="12.7109375" style="51" customWidth="1"/>
    <col min="5" max="5" width="10.28515625" style="51" customWidth="1"/>
    <col min="6" max="6" width="11.140625" style="51" customWidth="1"/>
    <col min="7" max="16384" width="9.140625" style="50"/>
  </cols>
  <sheetData>
    <row r="1" spans="1:18" ht="21" x14ac:dyDescent="0.35">
      <c r="A1" s="50" t="s">
        <v>27</v>
      </c>
      <c r="C1" s="140"/>
      <c r="J1" s="88"/>
      <c r="K1" s="52"/>
      <c r="L1" s="52"/>
      <c r="M1" s="51"/>
      <c r="N1" s="51"/>
      <c r="O1" s="51"/>
    </row>
    <row r="2" spans="1:18" x14ac:dyDescent="0.3">
      <c r="J2" s="88"/>
      <c r="K2" s="52"/>
      <c r="L2" s="52"/>
      <c r="M2" s="51"/>
      <c r="N2" s="51"/>
      <c r="O2" s="51"/>
    </row>
    <row r="3" spans="1:18" x14ac:dyDescent="0.3">
      <c r="A3" s="258">
        <f>+Entries!A2</f>
        <v>0</v>
      </c>
      <c r="B3" s="258"/>
      <c r="C3" s="258"/>
      <c r="E3" s="52"/>
      <c r="F3" s="52"/>
      <c r="J3" s="254"/>
      <c r="K3" s="254"/>
      <c r="L3" s="254"/>
      <c r="M3" s="51"/>
      <c r="N3" s="52"/>
      <c r="O3" s="52"/>
    </row>
    <row r="4" spans="1:18" x14ac:dyDescent="0.3">
      <c r="A4" s="255"/>
      <c r="B4" s="255"/>
      <c r="J4" s="255"/>
      <c r="K4" s="255"/>
      <c r="L4" s="52"/>
      <c r="M4" s="51"/>
      <c r="N4" s="51"/>
      <c r="O4" s="51"/>
      <c r="R4" s="124"/>
    </row>
    <row r="5" spans="1:18" x14ac:dyDescent="0.3">
      <c r="A5" s="256" t="e">
        <f>+#REF!</f>
        <v>#REF!</v>
      </c>
      <c r="B5" s="254"/>
      <c r="C5" s="53" t="s">
        <v>28</v>
      </c>
      <c r="J5" s="254"/>
      <c r="K5" s="254"/>
      <c r="L5" s="89"/>
      <c r="M5" s="51"/>
      <c r="N5" s="51"/>
      <c r="O5" s="51"/>
    </row>
    <row r="6" spans="1:18" x14ac:dyDescent="0.3">
      <c r="A6" s="58"/>
      <c r="B6" s="138" t="s">
        <v>36</v>
      </c>
      <c r="J6" s="88"/>
      <c r="K6" s="89"/>
      <c r="L6" s="52"/>
      <c r="M6" s="51"/>
      <c r="N6" s="51"/>
      <c r="O6" s="51"/>
    </row>
    <row r="7" spans="1:18" x14ac:dyDescent="0.3">
      <c r="A7" s="58">
        <f>+Entries!B10</f>
        <v>35</v>
      </c>
      <c r="B7" s="257" t="s">
        <v>34</v>
      </c>
      <c r="C7" s="257"/>
      <c r="J7" s="58"/>
      <c r="K7" s="257"/>
      <c r="L7" s="257"/>
      <c r="M7" s="51"/>
      <c r="N7" s="51"/>
      <c r="O7" s="51"/>
    </row>
    <row r="8" spans="1:18" x14ac:dyDescent="0.3">
      <c r="A8" s="58" t="e">
        <f>+Results!#REF!</f>
        <v>#REF!</v>
      </c>
      <c r="B8" s="83" t="s">
        <v>5</v>
      </c>
      <c r="J8" s="58"/>
      <c r="K8" s="83"/>
      <c r="L8" s="52"/>
      <c r="M8" s="51"/>
      <c r="N8" s="51"/>
      <c r="O8" s="51"/>
    </row>
    <row r="9" spans="1:18" x14ac:dyDescent="0.3">
      <c r="A9" s="51"/>
      <c r="B9" s="54" t="s">
        <v>0</v>
      </c>
      <c r="C9" s="54" t="s">
        <v>1</v>
      </c>
      <c r="D9" s="55" t="s">
        <v>2</v>
      </c>
      <c r="E9" s="57" t="s">
        <v>31</v>
      </c>
      <c r="F9" s="57" t="s">
        <v>32</v>
      </c>
    </row>
    <row r="10" spans="1:18" x14ac:dyDescent="0.3">
      <c r="A10" s="94">
        <v>1</v>
      </c>
      <c r="B10" s="93"/>
      <c r="C10" s="93"/>
      <c r="D10" s="92"/>
      <c r="E10" s="92"/>
      <c r="F10" s="92"/>
    </row>
    <row r="11" spans="1:18" x14ac:dyDescent="0.3">
      <c r="A11" s="94">
        <f>+A10+1</f>
        <v>2</v>
      </c>
      <c r="B11" s="93"/>
      <c r="C11" s="93"/>
      <c r="D11" s="92"/>
      <c r="E11" s="92"/>
      <c r="F11" s="92"/>
    </row>
    <row r="12" spans="1:18" x14ac:dyDescent="0.3">
      <c r="A12" s="94">
        <f t="shared" ref="A12:A41" si="0">+A11+1</f>
        <v>3</v>
      </c>
      <c r="B12" s="93"/>
      <c r="C12" s="93"/>
      <c r="D12" s="92"/>
      <c r="E12" s="92"/>
      <c r="F12" s="92"/>
    </row>
    <row r="13" spans="1:18" x14ac:dyDescent="0.3">
      <c r="A13" s="94">
        <f t="shared" si="0"/>
        <v>4</v>
      </c>
      <c r="B13" s="93"/>
      <c r="C13" s="93"/>
      <c r="D13" s="92"/>
      <c r="E13" s="92"/>
      <c r="F13" s="92"/>
    </row>
    <row r="14" spans="1:18" x14ac:dyDescent="0.3">
      <c r="A14" s="94">
        <f t="shared" si="0"/>
        <v>5</v>
      </c>
      <c r="B14" s="93"/>
      <c r="C14" s="93"/>
      <c r="D14" s="92"/>
      <c r="E14" s="92"/>
      <c r="F14" s="92"/>
    </row>
    <row r="15" spans="1:18" x14ac:dyDescent="0.3">
      <c r="A15" s="94">
        <f t="shared" si="0"/>
        <v>6</v>
      </c>
      <c r="B15" s="93"/>
      <c r="C15" s="93"/>
      <c r="D15" s="92"/>
      <c r="E15" s="92"/>
      <c r="F15" s="92"/>
    </row>
    <row r="16" spans="1:18" x14ac:dyDescent="0.3">
      <c r="A16" s="94">
        <f t="shared" si="0"/>
        <v>7</v>
      </c>
      <c r="B16" s="93"/>
      <c r="C16" s="93"/>
      <c r="D16" s="92"/>
      <c r="E16" s="92"/>
      <c r="F16" s="92"/>
    </row>
    <row r="17" spans="1:6" x14ac:dyDescent="0.3">
      <c r="A17" s="94">
        <f t="shared" si="0"/>
        <v>8</v>
      </c>
      <c r="B17" s="93"/>
      <c r="C17" s="93"/>
      <c r="D17" s="92"/>
      <c r="E17" s="92"/>
      <c r="F17" s="92"/>
    </row>
    <row r="18" spans="1:6" x14ac:dyDescent="0.3">
      <c r="A18" s="94">
        <f t="shared" si="0"/>
        <v>9</v>
      </c>
      <c r="B18" s="93"/>
      <c r="C18" s="93"/>
      <c r="D18" s="92"/>
      <c r="E18" s="92"/>
      <c r="F18" s="92"/>
    </row>
    <row r="19" spans="1:6" x14ac:dyDescent="0.3">
      <c r="A19" s="94">
        <f t="shared" si="0"/>
        <v>10</v>
      </c>
      <c r="B19" s="93"/>
      <c r="C19" s="93"/>
      <c r="D19" s="92"/>
      <c r="E19" s="92"/>
      <c r="F19" s="92"/>
    </row>
    <row r="20" spans="1:6" x14ac:dyDescent="0.3">
      <c r="A20" s="94">
        <f t="shared" si="0"/>
        <v>11</v>
      </c>
      <c r="B20" s="93"/>
      <c r="C20" s="93"/>
      <c r="D20" s="92"/>
      <c r="E20" s="92"/>
      <c r="F20" s="92"/>
    </row>
    <row r="21" spans="1:6" x14ac:dyDescent="0.3">
      <c r="A21" s="94">
        <f t="shared" si="0"/>
        <v>12</v>
      </c>
      <c r="B21" s="93"/>
      <c r="C21" s="93"/>
      <c r="D21" s="92"/>
      <c r="E21" s="92"/>
      <c r="F21" s="92"/>
    </row>
    <row r="22" spans="1:6" x14ac:dyDescent="0.3">
      <c r="A22" s="94">
        <f t="shared" si="0"/>
        <v>13</v>
      </c>
      <c r="B22" s="93"/>
      <c r="C22" s="93"/>
      <c r="D22" s="92"/>
      <c r="E22" s="92"/>
      <c r="F22" s="92"/>
    </row>
    <row r="23" spans="1:6" x14ac:dyDescent="0.3">
      <c r="A23" s="94">
        <f t="shared" si="0"/>
        <v>14</v>
      </c>
      <c r="B23" s="93"/>
      <c r="C23" s="93"/>
      <c r="D23" s="92"/>
      <c r="E23" s="92"/>
      <c r="F23" s="92"/>
    </row>
    <row r="24" spans="1:6" x14ac:dyDescent="0.3">
      <c r="A24" s="94">
        <f t="shared" si="0"/>
        <v>15</v>
      </c>
      <c r="B24" s="93"/>
      <c r="C24" s="93"/>
      <c r="D24" s="92"/>
      <c r="E24" s="92"/>
      <c r="F24" s="92"/>
    </row>
    <row r="25" spans="1:6" x14ac:dyDescent="0.3">
      <c r="A25" s="94">
        <f t="shared" si="0"/>
        <v>16</v>
      </c>
      <c r="B25" s="93"/>
      <c r="C25" s="93"/>
      <c r="D25" s="92"/>
      <c r="E25" s="92"/>
      <c r="F25" s="92"/>
    </row>
    <row r="26" spans="1:6" x14ac:dyDescent="0.3">
      <c r="A26" s="94">
        <f t="shared" si="0"/>
        <v>17</v>
      </c>
      <c r="B26" s="93"/>
      <c r="C26" s="93"/>
      <c r="D26" s="92"/>
      <c r="E26" s="92"/>
      <c r="F26" s="92"/>
    </row>
    <row r="27" spans="1:6" x14ac:dyDescent="0.3">
      <c r="A27" s="94">
        <f t="shared" si="0"/>
        <v>18</v>
      </c>
      <c r="B27" s="93"/>
      <c r="C27" s="93"/>
      <c r="D27" s="92"/>
      <c r="E27" s="92"/>
      <c r="F27" s="92"/>
    </row>
    <row r="28" spans="1:6" x14ac:dyDescent="0.3">
      <c r="A28" s="94">
        <f t="shared" si="0"/>
        <v>19</v>
      </c>
      <c r="B28" s="93"/>
      <c r="C28" s="93"/>
      <c r="D28" s="92"/>
      <c r="E28" s="92"/>
      <c r="F28" s="92"/>
    </row>
    <row r="29" spans="1:6" x14ac:dyDescent="0.3">
      <c r="A29" s="94">
        <f t="shared" si="0"/>
        <v>20</v>
      </c>
      <c r="B29" s="93"/>
      <c r="C29" s="93"/>
      <c r="D29" s="92"/>
      <c r="E29" s="92"/>
      <c r="F29" s="92"/>
    </row>
    <row r="30" spans="1:6" x14ac:dyDescent="0.3">
      <c r="A30" s="94">
        <f t="shared" si="0"/>
        <v>21</v>
      </c>
      <c r="B30" s="93"/>
      <c r="C30" s="93"/>
      <c r="D30" s="92"/>
      <c r="E30" s="92"/>
      <c r="F30" s="92"/>
    </row>
    <row r="31" spans="1:6" x14ac:dyDescent="0.3">
      <c r="A31" s="94">
        <f t="shared" si="0"/>
        <v>22</v>
      </c>
      <c r="B31" s="93"/>
      <c r="C31" s="93"/>
      <c r="D31" s="92"/>
      <c r="E31" s="92"/>
      <c r="F31" s="92"/>
    </row>
    <row r="32" spans="1:6" x14ac:dyDescent="0.3">
      <c r="A32" s="94">
        <f t="shared" si="0"/>
        <v>23</v>
      </c>
      <c r="B32" s="93"/>
      <c r="C32" s="93"/>
      <c r="D32" s="92"/>
      <c r="E32" s="92"/>
      <c r="F32" s="92"/>
    </row>
    <row r="33" spans="1:6" x14ac:dyDescent="0.3">
      <c r="A33" s="94">
        <f t="shared" si="0"/>
        <v>24</v>
      </c>
      <c r="B33" s="93"/>
      <c r="C33" s="93"/>
      <c r="D33" s="92"/>
      <c r="E33" s="92"/>
      <c r="F33" s="92"/>
    </row>
    <row r="34" spans="1:6" x14ac:dyDescent="0.3">
      <c r="A34" s="94">
        <f t="shared" si="0"/>
        <v>25</v>
      </c>
      <c r="B34" s="93"/>
      <c r="C34" s="93"/>
      <c r="D34" s="92"/>
      <c r="E34" s="92"/>
      <c r="F34" s="92"/>
    </row>
    <row r="35" spans="1:6" x14ac:dyDescent="0.3">
      <c r="A35" s="94">
        <f t="shared" si="0"/>
        <v>26</v>
      </c>
      <c r="B35" s="93"/>
      <c r="C35" s="93"/>
      <c r="D35" s="92"/>
      <c r="E35" s="92"/>
      <c r="F35" s="92"/>
    </row>
    <row r="36" spans="1:6" x14ac:dyDescent="0.3">
      <c r="A36" s="94">
        <f t="shared" si="0"/>
        <v>27</v>
      </c>
      <c r="B36" s="93"/>
      <c r="C36" s="93"/>
      <c r="D36" s="92"/>
      <c r="E36" s="92"/>
      <c r="F36" s="92"/>
    </row>
    <row r="37" spans="1:6" x14ac:dyDescent="0.3">
      <c r="A37" s="94">
        <f t="shared" si="0"/>
        <v>28</v>
      </c>
      <c r="B37" s="93"/>
      <c r="C37" s="93"/>
      <c r="D37" s="92"/>
      <c r="E37" s="92"/>
      <c r="F37" s="92"/>
    </row>
    <row r="38" spans="1:6" x14ac:dyDescent="0.3">
      <c r="A38" s="94">
        <f t="shared" si="0"/>
        <v>29</v>
      </c>
      <c r="B38" s="93"/>
      <c r="C38" s="93"/>
      <c r="D38" s="92"/>
      <c r="E38" s="92"/>
      <c r="F38" s="92"/>
    </row>
    <row r="39" spans="1:6" x14ac:dyDescent="0.3">
      <c r="A39" s="94">
        <f t="shared" si="0"/>
        <v>30</v>
      </c>
      <c r="B39" s="93"/>
      <c r="C39" s="93"/>
      <c r="D39" s="92"/>
      <c r="E39" s="92"/>
      <c r="F39" s="92"/>
    </row>
    <row r="40" spans="1:6" x14ac:dyDescent="0.3">
      <c r="A40" s="94">
        <f t="shared" si="0"/>
        <v>31</v>
      </c>
      <c r="B40" s="93"/>
      <c r="C40" s="93"/>
      <c r="D40" s="92"/>
      <c r="E40" s="92"/>
      <c r="F40" s="92"/>
    </row>
    <row r="41" spans="1:6" x14ac:dyDescent="0.3">
      <c r="A41" s="94">
        <f t="shared" si="0"/>
        <v>32</v>
      </c>
      <c r="B41" s="93"/>
      <c r="C41" s="93"/>
      <c r="D41" s="92"/>
      <c r="E41" s="92"/>
      <c r="F41" s="92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D1" sqref="D1"/>
    </sheetView>
  </sheetViews>
  <sheetFormatPr defaultRowHeight="15" x14ac:dyDescent="0.25"/>
  <cols>
    <col min="1" max="1" width="7" style="18" customWidth="1"/>
    <col min="2" max="2" width="25.5703125" style="18" customWidth="1"/>
    <col min="3" max="3" width="19.42578125" style="18" customWidth="1"/>
    <col min="4" max="4" width="12.7109375" style="18" customWidth="1"/>
    <col min="5" max="6" width="9.140625" style="18"/>
    <col min="7" max="7" width="8" style="72" customWidth="1"/>
    <col min="8" max="8" width="7.5703125" style="72" customWidth="1"/>
    <col min="9" max="9" width="6.140625" style="75" customWidth="1"/>
    <col min="10" max="10" width="2.7109375" style="75" customWidth="1"/>
    <col min="11" max="11" width="8.28515625" style="30" customWidth="1"/>
    <col min="12" max="12" width="6.42578125" style="30" customWidth="1"/>
    <col min="13" max="13" width="9.28515625" style="30" customWidth="1"/>
    <col min="14" max="14" width="9.85546875" style="18" customWidth="1"/>
    <col min="15" max="19" width="9.140625" style="81" customWidth="1"/>
    <col min="20" max="16384" width="9.140625" style="18"/>
  </cols>
  <sheetData>
    <row r="1" spans="1:20" ht="15.75" x14ac:dyDescent="0.25">
      <c r="A1" s="18" t="s">
        <v>29</v>
      </c>
      <c r="D1" s="141"/>
      <c r="N1" s="33" t="s">
        <v>44</v>
      </c>
      <c r="T1" s="84" t="s">
        <v>23</v>
      </c>
    </row>
    <row r="3" spans="1:20" x14ac:dyDescent="0.25">
      <c r="A3" s="259">
        <f>+Entries!A2</f>
        <v>0</v>
      </c>
      <c r="B3" s="259"/>
      <c r="C3" s="259"/>
    </row>
    <row r="4" spans="1:20" x14ac:dyDescent="0.25">
      <c r="A4" s="260"/>
      <c r="B4" s="260"/>
      <c r="C4" s="71"/>
    </row>
    <row r="5" spans="1:20" x14ac:dyDescent="0.25">
      <c r="A5" s="261"/>
      <c r="B5" s="259"/>
      <c r="C5" s="49"/>
    </row>
    <row r="6" spans="1:20" x14ac:dyDescent="0.25">
      <c r="A6" s="73"/>
      <c r="B6" s="139"/>
      <c r="C6" s="71"/>
    </row>
    <row r="7" spans="1:20" x14ac:dyDescent="0.25">
      <c r="A7" s="73"/>
      <c r="B7" s="262"/>
      <c r="C7" s="262"/>
    </row>
    <row r="8" spans="1:20" x14ac:dyDescent="0.25">
      <c r="A8" s="73"/>
      <c r="B8" s="82"/>
    </row>
    <row r="9" spans="1:20" ht="34.5" customHeight="1" x14ac:dyDescent="0.25">
      <c r="A9" s="16"/>
      <c r="B9" s="4" t="s">
        <v>0</v>
      </c>
      <c r="C9" s="5" t="s">
        <v>1</v>
      </c>
      <c r="D9" s="6" t="s">
        <v>2</v>
      </c>
      <c r="E9" s="74" t="s">
        <v>31</v>
      </c>
      <c r="F9" s="74" t="s">
        <v>32</v>
      </c>
      <c r="G9" s="12" t="s">
        <v>33</v>
      </c>
      <c r="H9" s="12" t="s">
        <v>38</v>
      </c>
      <c r="I9" s="12" t="s">
        <v>37</v>
      </c>
      <c r="J9" s="12"/>
      <c r="K9" s="44" t="s">
        <v>35</v>
      </c>
      <c r="L9" s="44" t="s">
        <v>39</v>
      </c>
      <c r="M9" s="44" t="s">
        <v>40</v>
      </c>
      <c r="O9" s="81" t="s">
        <v>41</v>
      </c>
      <c r="P9" s="156" t="s">
        <v>49</v>
      </c>
      <c r="Q9" s="156" t="s">
        <v>50</v>
      </c>
      <c r="R9" s="156" t="s">
        <v>51</v>
      </c>
      <c r="S9" s="156" t="s">
        <v>52</v>
      </c>
    </row>
    <row r="10" spans="1:20" x14ac:dyDescent="0.25">
      <c r="A10" s="74">
        <v>1</v>
      </c>
      <c r="B10" s="95"/>
      <c r="C10" s="95"/>
      <c r="D10" s="96"/>
      <c r="E10" s="96"/>
      <c r="F10" s="96"/>
      <c r="G10" s="70"/>
      <c r="H10" s="70"/>
      <c r="I10" s="70">
        <f>+F10+H10</f>
        <v>0</v>
      </c>
      <c r="J10" s="70"/>
      <c r="K10" s="91"/>
      <c r="L10" s="91"/>
      <c r="M10" s="91">
        <f>+L10+K10</f>
        <v>0</v>
      </c>
      <c r="O10" s="122">
        <f t="shared" ref="O10:O41" si="0">SUM(P10:S10)</f>
        <v>129</v>
      </c>
      <c r="P10" s="122">
        <v>34</v>
      </c>
      <c r="Q10" s="122">
        <v>95</v>
      </c>
      <c r="R10" s="122"/>
      <c r="S10" s="122"/>
    </row>
    <row r="11" spans="1:20" x14ac:dyDescent="0.25">
      <c r="A11" s="74">
        <f>+A10+1</f>
        <v>2</v>
      </c>
      <c r="B11" s="95"/>
      <c r="C11" s="95"/>
      <c r="D11" s="96"/>
      <c r="E11" s="96"/>
      <c r="F11" s="96"/>
      <c r="G11" s="70"/>
      <c r="H11" s="70"/>
      <c r="I11" s="70">
        <f t="shared" ref="I11:I41" si="1">+F11+H11</f>
        <v>0</v>
      </c>
      <c r="J11" s="70"/>
      <c r="K11" s="91"/>
      <c r="L11" s="91"/>
      <c r="M11" s="91">
        <f t="shared" ref="M11:M41" si="2">+L11+K11</f>
        <v>0</v>
      </c>
      <c r="O11" s="122">
        <f t="shared" si="0"/>
        <v>34</v>
      </c>
      <c r="P11" s="122">
        <v>34</v>
      </c>
      <c r="Q11" s="122"/>
      <c r="R11" s="122"/>
      <c r="S11" s="122"/>
    </row>
    <row r="12" spans="1:20" x14ac:dyDescent="0.25">
      <c r="A12" s="74">
        <f t="shared" ref="A12:A41" si="3">+A11+1</f>
        <v>3</v>
      </c>
      <c r="B12" s="95"/>
      <c r="C12" s="95"/>
      <c r="D12" s="96"/>
      <c r="E12" s="96"/>
      <c r="F12" s="96"/>
      <c r="G12" s="70"/>
      <c r="H12" s="70"/>
      <c r="I12" s="70">
        <f t="shared" si="1"/>
        <v>0</v>
      </c>
      <c r="J12" s="70"/>
      <c r="K12" s="91"/>
      <c r="L12" s="91"/>
      <c r="M12" s="91">
        <f t="shared" si="2"/>
        <v>0</v>
      </c>
      <c r="O12" s="122">
        <f t="shared" si="0"/>
        <v>34</v>
      </c>
      <c r="P12" s="122">
        <v>34</v>
      </c>
      <c r="Q12" s="122"/>
      <c r="R12" s="122"/>
      <c r="S12" s="122"/>
    </row>
    <row r="13" spans="1:20" x14ac:dyDescent="0.25">
      <c r="A13" s="74">
        <f t="shared" si="3"/>
        <v>4</v>
      </c>
      <c r="B13" s="95"/>
      <c r="C13" s="95"/>
      <c r="D13" s="96"/>
      <c r="E13" s="96"/>
      <c r="F13" s="96"/>
      <c r="G13" s="70"/>
      <c r="H13" s="70"/>
      <c r="I13" s="70">
        <f t="shared" si="1"/>
        <v>0</v>
      </c>
      <c r="J13" s="70"/>
      <c r="K13" s="91"/>
      <c r="L13" s="91"/>
      <c r="M13" s="91">
        <f t="shared" si="2"/>
        <v>0</v>
      </c>
      <c r="O13" s="122">
        <f t="shared" si="0"/>
        <v>34</v>
      </c>
      <c r="P13" s="122">
        <v>34</v>
      </c>
      <c r="Q13" s="122"/>
      <c r="R13" s="122"/>
      <c r="S13" s="122"/>
    </row>
    <row r="14" spans="1:20" x14ac:dyDescent="0.25">
      <c r="A14" s="74">
        <f t="shared" si="3"/>
        <v>5</v>
      </c>
      <c r="B14" s="95"/>
      <c r="C14" s="95"/>
      <c r="D14" s="96"/>
      <c r="E14" s="96"/>
      <c r="F14" s="96"/>
      <c r="G14" s="70"/>
      <c r="H14" s="70"/>
      <c r="I14" s="70">
        <f t="shared" si="1"/>
        <v>0</v>
      </c>
      <c r="J14" s="70"/>
      <c r="K14" s="91"/>
      <c r="L14" s="91"/>
      <c r="M14" s="91">
        <f t="shared" si="2"/>
        <v>0</v>
      </c>
      <c r="O14" s="122">
        <f t="shared" si="0"/>
        <v>109</v>
      </c>
      <c r="P14" s="122">
        <v>34</v>
      </c>
      <c r="Q14" s="122">
        <v>75</v>
      </c>
      <c r="R14" s="122"/>
      <c r="S14" s="122"/>
    </row>
    <row r="15" spans="1:20" x14ac:dyDescent="0.25">
      <c r="A15" s="74">
        <f t="shared" si="3"/>
        <v>6</v>
      </c>
      <c r="B15" s="95"/>
      <c r="C15" s="95"/>
      <c r="D15" s="96"/>
      <c r="E15" s="96"/>
      <c r="F15" s="96"/>
      <c r="G15" s="70"/>
      <c r="H15" s="70"/>
      <c r="I15" s="70">
        <f t="shared" si="1"/>
        <v>0</v>
      </c>
      <c r="J15" s="70"/>
      <c r="K15" s="91"/>
      <c r="L15" s="91"/>
      <c r="M15" s="91">
        <f t="shared" si="2"/>
        <v>0</v>
      </c>
      <c r="O15" s="122">
        <f t="shared" si="0"/>
        <v>229</v>
      </c>
      <c r="P15" s="122">
        <v>34</v>
      </c>
      <c r="Q15" s="122">
        <v>195</v>
      </c>
      <c r="R15" s="122"/>
      <c r="S15" s="122"/>
    </row>
    <row r="16" spans="1:20" x14ac:dyDescent="0.25">
      <c r="A16" s="74">
        <f t="shared" si="3"/>
        <v>7</v>
      </c>
      <c r="B16" s="95"/>
      <c r="C16" s="95"/>
      <c r="D16" s="96"/>
      <c r="E16" s="96"/>
      <c r="F16" s="96"/>
      <c r="G16" s="70"/>
      <c r="H16" s="70"/>
      <c r="I16" s="70">
        <f t="shared" si="1"/>
        <v>0</v>
      </c>
      <c r="J16" s="70"/>
      <c r="K16" s="91"/>
      <c r="L16" s="91"/>
      <c r="M16" s="91">
        <f t="shared" si="2"/>
        <v>0</v>
      </c>
      <c r="O16" s="122">
        <f t="shared" si="0"/>
        <v>34</v>
      </c>
      <c r="P16" s="122">
        <v>34</v>
      </c>
      <c r="Q16" s="122"/>
      <c r="R16" s="122"/>
      <c r="S16" s="122"/>
    </row>
    <row r="17" spans="1:19" x14ac:dyDescent="0.25">
      <c r="A17" s="74">
        <f t="shared" si="3"/>
        <v>8</v>
      </c>
      <c r="B17" s="95"/>
      <c r="C17" s="95"/>
      <c r="D17" s="96"/>
      <c r="E17" s="96"/>
      <c r="F17" s="96"/>
      <c r="G17" s="70"/>
      <c r="H17" s="70"/>
      <c r="I17" s="70">
        <f t="shared" si="1"/>
        <v>0</v>
      </c>
      <c r="J17" s="70"/>
      <c r="K17" s="91"/>
      <c r="L17" s="91"/>
      <c r="M17" s="91">
        <f t="shared" si="2"/>
        <v>0</v>
      </c>
      <c r="O17" s="122">
        <f t="shared" si="0"/>
        <v>34</v>
      </c>
      <c r="P17" s="122">
        <v>34</v>
      </c>
      <c r="Q17" s="122"/>
      <c r="R17" s="122"/>
      <c r="S17" s="122"/>
    </row>
    <row r="18" spans="1:19" x14ac:dyDescent="0.25">
      <c r="A18" s="74">
        <f t="shared" si="3"/>
        <v>9</v>
      </c>
      <c r="B18" s="95"/>
      <c r="C18" s="95"/>
      <c r="D18" s="96"/>
      <c r="E18" s="96"/>
      <c r="F18" s="96"/>
      <c r="G18" s="70"/>
      <c r="H18" s="70"/>
      <c r="I18" s="70">
        <f t="shared" si="1"/>
        <v>0</v>
      </c>
      <c r="J18" s="70"/>
      <c r="K18" s="91"/>
      <c r="L18" s="91"/>
      <c r="M18" s="91">
        <f t="shared" si="2"/>
        <v>0</v>
      </c>
      <c r="O18" s="122">
        <f t="shared" si="0"/>
        <v>169</v>
      </c>
      <c r="P18" s="122">
        <v>34</v>
      </c>
      <c r="Q18" s="122">
        <v>135</v>
      </c>
      <c r="R18" s="122"/>
      <c r="S18" s="122"/>
    </row>
    <row r="19" spans="1:19" x14ac:dyDescent="0.25">
      <c r="A19" s="74">
        <f t="shared" si="3"/>
        <v>10</v>
      </c>
      <c r="B19" s="95"/>
      <c r="C19" s="95"/>
      <c r="D19" s="96"/>
      <c r="E19" s="96"/>
      <c r="F19" s="96"/>
      <c r="G19" s="70"/>
      <c r="H19" s="70"/>
      <c r="I19" s="70">
        <f t="shared" si="1"/>
        <v>0</v>
      </c>
      <c r="J19" s="70"/>
      <c r="K19" s="91"/>
      <c r="L19" s="91"/>
      <c r="M19" s="91">
        <f t="shared" si="2"/>
        <v>0</v>
      </c>
      <c r="O19" s="122">
        <f t="shared" si="0"/>
        <v>119</v>
      </c>
      <c r="P19" s="122">
        <v>34</v>
      </c>
      <c r="Q19" s="122">
        <v>85</v>
      </c>
      <c r="R19" s="122"/>
      <c r="S19" s="122"/>
    </row>
    <row r="20" spans="1:19" x14ac:dyDescent="0.25">
      <c r="A20" s="74">
        <f t="shared" si="3"/>
        <v>11</v>
      </c>
      <c r="B20" s="95"/>
      <c r="C20" s="95"/>
      <c r="D20" s="96"/>
      <c r="E20" s="96"/>
      <c r="F20" s="96"/>
      <c r="G20" s="70"/>
      <c r="H20" s="70"/>
      <c r="I20" s="70">
        <f t="shared" si="1"/>
        <v>0</v>
      </c>
      <c r="J20" s="70"/>
      <c r="K20" s="91"/>
      <c r="L20" s="91"/>
      <c r="M20" s="91">
        <f t="shared" si="2"/>
        <v>0</v>
      </c>
      <c r="O20" s="122">
        <f t="shared" si="0"/>
        <v>179</v>
      </c>
      <c r="P20" s="122">
        <v>34</v>
      </c>
      <c r="Q20" s="122">
        <v>145</v>
      </c>
      <c r="R20" s="122"/>
      <c r="S20" s="122"/>
    </row>
    <row r="21" spans="1:19" x14ac:dyDescent="0.25">
      <c r="A21" s="74">
        <f t="shared" si="3"/>
        <v>12</v>
      </c>
      <c r="B21" s="95"/>
      <c r="C21" s="95"/>
      <c r="D21" s="96"/>
      <c r="E21" s="96"/>
      <c r="F21" s="96"/>
      <c r="G21" s="70"/>
      <c r="H21" s="70"/>
      <c r="I21" s="70">
        <f t="shared" si="1"/>
        <v>0</v>
      </c>
      <c r="J21" s="70"/>
      <c r="K21" s="91"/>
      <c r="L21" s="91"/>
      <c r="M21" s="91">
        <f t="shared" si="2"/>
        <v>0</v>
      </c>
      <c r="O21" s="122">
        <f t="shared" si="0"/>
        <v>104</v>
      </c>
      <c r="P21" s="122">
        <v>34</v>
      </c>
      <c r="Q21" s="122">
        <v>70</v>
      </c>
      <c r="R21" s="122"/>
      <c r="S21" s="122"/>
    </row>
    <row r="22" spans="1:19" x14ac:dyDescent="0.25">
      <c r="A22" s="74">
        <f t="shared" si="3"/>
        <v>13</v>
      </c>
      <c r="B22" s="95"/>
      <c r="C22" s="95"/>
      <c r="D22" s="96"/>
      <c r="E22" s="96"/>
      <c r="F22" s="96"/>
      <c r="G22" s="70"/>
      <c r="H22" s="70"/>
      <c r="I22" s="70">
        <f t="shared" si="1"/>
        <v>0</v>
      </c>
      <c r="J22" s="70"/>
      <c r="K22" s="91"/>
      <c r="L22" s="91"/>
      <c r="M22" s="91">
        <f t="shared" si="2"/>
        <v>0</v>
      </c>
      <c r="O22" s="122">
        <f t="shared" si="0"/>
        <v>159</v>
      </c>
      <c r="P22" s="122">
        <v>34</v>
      </c>
      <c r="Q22" s="122">
        <v>125</v>
      </c>
      <c r="R22" s="122"/>
      <c r="S22" s="122"/>
    </row>
    <row r="23" spans="1:19" x14ac:dyDescent="0.25">
      <c r="A23" s="74">
        <f t="shared" si="3"/>
        <v>14</v>
      </c>
      <c r="B23" s="95"/>
      <c r="C23" s="95"/>
      <c r="D23" s="96"/>
      <c r="E23" s="96"/>
      <c r="F23" s="96"/>
      <c r="G23" s="70"/>
      <c r="H23" s="70"/>
      <c r="I23" s="70">
        <f t="shared" si="1"/>
        <v>0</v>
      </c>
      <c r="J23" s="70"/>
      <c r="K23" s="91"/>
      <c r="L23" s="91"/>
      <c r="M23" s="91">
        <f t="shared" si="2"/>
        <v>0</v>
      </c>
      <c r="O23" s="122">
        <f t="shared" si="0"/>
        <v>149</v>
      </c>
      <c r="P23" s="122">
        <v>34</v>
      </c>
      <c r="Q23" s="122">
        <v>115</v>
      </c>
      <c r="R23" s="122"/>
      <c r="S23" s="122"/>
    </row>
    <row r="24" spans="1:19" x14ac:dyDescent="0.25">
      <c r="A24" s="74">
        <f t="shared" si="3"/>
        <v>15</v>
      </c>
      <c r="B24" s="95"/>
      <c r="C24" s="95"/>
      <c r="D24" s="96"/>
      <c r="E24" s="96"/>
      <c r="F24" s="96"/>
      <c r="G24" s="70"/>
      <c r="H24" s="70"/>
      <c r="I24" s="70">
        <f t="shared" si="1"/>
        <v>0</v>
      </c>
      <c r="J24" s="70"/>
      <c r="K24" s="91"/>
      <c r="L24" s="91"/>
      <c r="M24" s="91">
        <f t="shared" si="2"/>
        <v>0</v>
      </c>
      <c r="O24" s="122">
        <f t="shared" si="0"/>
        <v>34</v>
      </c>
      <c r="P24" s="122">
        <v>34</v>
      </c>
      <c r="Q24" s="122"/>
      <c r="R24" s="122"/>
      <c r="S24" s="122"/>
    </row>
    <row r="25" spans="1:19" x14ac:dyDescent="0.25">
      <c r="A25" s="74">
        <f t="shared" si="3"/>
        <v>16</v>
      </c>
      <c r="B25" s="95"/>
      <c r="C25" s="95"/>
      <c r="D25" s="96"/>
      <c r="E25" s="96"/>
      <c r="F25" s="96"/>
      <c r="G25" s="70"/>
      <c r="H25" s="70"/>
      <c r="I25" s="70">
        <f t="shared" si="1"/>
        <v>0</v>
      </c>
      <c r="J25" s="70"/>
      <c r="K25" s="91"/>
      <c r="L25" s="91"/>
      <c r="M25" s="91">
        <f t="shared" si="2"/>
        <v>0</v>
      </c>
      <c r="O25" s="122">
        <f t="shared" si="0"/>
        <v>34</v>
      </c>
      <c r="P25" s="122">
        <v>34</v>
      </c>
      <c r="Q25" s="122"/>
      <c r="R25" s="122"/>
      <c r="S25" s="122"/>
    </row>
    <row r="26" spans="1:19" x14ac:dyDescent="0.25">
      <c r="A26" s="74">
        <f t="shared" si="3"/>
        <v>17</v>
      </c>
      <c r="B26" s="95"/>
      <c r="C26" s="95"/>
      <c r="D26" s="96"/>
      <c r="E26" s="96"/>
      <c r="F26" s="96"/>
      <c r="G26" s="70"/>
      <c r="H26" s="70"/>
      <c r="I26" s="70">
        <f t="shared" si="1"/>
        <v>0</v>
      </c>
      <c r="J26" s="70"/>
      <c r="K26" s="91"/>
      <c r="L26" s="91"/>
      <c r="M26" s="91">
        <f t="shared" si="2"/>
        <v>0</v>
      </c>
      <c r="O26" s="122">
        <f t="shared" si="0"/>
        <v>34</v>
      </c>
      <c r="P26" s="122">
        <v>34</v>
      </c>
      <c r="Q26" s="122"/>
      <c r="R26" s="122"/>
      <c r="S26" s="122"/>
    </row>
    <row r="27" spans="1:19" x14ac:dyDescent="0.25">
      <c r="A27" s="74">
        <f t="shared" si="3"/>
        <v>18</v>
      </c>
      <c r="B27" s="95"/>
      <c r="C27" s="95"/>
      <c r="D27" s="96"/>
      <c r="E27" s="96"/>
      <c r="F27" s="96"/>
      <c r="G27" s="70"/>
      <c r="H27" s="70"/>
      <c r="I27" s="70">
        <f t="shared" si="1"/>
        <v>0</v>
      </c>
      <c r="J27" s="70"/>
      <c r="K27" s="91"/>
      <c r="L27" s="91"/>
      <c r="M27" s="91">
        <f t="shared" si="2"/>
        <v>0</v>
      </c>
      <c r="O27" s="122">
        <f t="shared" si="0"/>
        <v>34</v>
      </c>
      <c r="P27" s="122">
        <v>34</v>
      </c>
      <c r="Q27" s="122"/>
      <c r="R27" s="122"/>
      <c r="S27" s="122"/>
    </row>
    <row r="28" spans="1:19" x14ac:dyDescent="0.25">
      <c r="A28" s="74">
        <f t="shared" si="3"/>
        <v>19</v>
      </c>
      <c r="B28" s="95"/>
      <c r="C28" s="95"/>
      <c r="D28" s="96"/>
      <c r="E28" s="96"/>
      <c r="F28" s="96"/>
      <c r="G28" s="70"/>
      <c r="H28" s="70"/>
      <c r="I28" s="70">
        <f t="shared" si="1"/>
        <v>0</v>
      </c>
      <c r="J28" s="70"/>
      <c r="K28" s="91"/>
      <c r="L28" s="91"/>
      <c r="M28" s="91">
        <f t="shared" si="2"/>
        <v>0</v>
      </c>
      <c r="O28" s="122">
        <f t="shared" si="0"/>
        <v>0</v>
      </c>
      <c r="P28" s="122"/>
      <c r="Q28" s="122"/>
      <c r="R28" s="122"/>
      <c r="S28" s="122"/>
    </row>
    <row r="29" spans="1:19" x14ac:dyDescent="0.25">
      <c r="A29" s="74">
        <f t="shared" si="3"/>
        <v>20</v>
      </c>
      <c r="B29" s="95"/>
      <c r="C29" s="95"/>
      <c r="D29" s="96"/>
      <c r="E29" s="96"/>
      <c r="F29" s="96"/>
      <c r="G29" s="70"/>
      <c r="H29" s="70"/>
      <c r="I29" s="70">
        <f t="shared" si="1"/>
        <v>0</v>
      </c>
      <c r="J29" s="70"/>
      <c r="K29" s="91"/>
      <c r="L29" s="91"/>
      <c r="M29" s="91">
        <f t="shared" si="2"/>
        <v>0</v>
      </c>
      <c r="O29" s="122">
        <f t="shared" si="0"/>
        <v>0</v>
      </c>
      <c r="P29" s="122"/>
      <c r="Q29" s="122"/>
      <c r="R29" s="122"/>
      <c r="S29" s="122"/>
    </row>
    <row r="30" spans="1:19" x14ac:dyDescent="0.25">
      <c r="A30" s="74">
        <f t="shared" si="3"/>
        <v>21</v>
      </c>
      <c r="B30" s="95"/>
      <c r="C30" s="95"/>
      <c r="D30" s="96"/>
      <c r="E30" s="96"/>
      <c r="F30" s="96"/>
      <c r="G30" s="70"/>
      <c r="H30" s="70"/>
      <c r="I30" s="70">
        <f t="shared" si="1"/>
        <v>0</v>
      </c>
      <c r="J30" s="70"/>
      <c r="K30" s="91"/>
      <c r="L30" s="91"/>
      <c r="M30" s="91">
        <f t="shared" si="2"/>
        <v>0</v>
      </c>
      <c r="O30" s="122">
        <f t="shared" si="0"/>
        <v>0</v>
      </c>
      <c r="P30" s="122"/>
      <c r="Q30" s="122"/>
      <c r="R30" s="122"/>
      <c r="S30" s="122"/>
    </row>
    <row r="31" spans="1:19" x14ac:dyDescent="0.25">
      <c r="A31" s="74">
        <f t="shared" si="3"/>
        <v>22</v>
      </c>
      <c r="B31" s="95"/>
      <c r="C31" s="95"/>
      <c r="D31" s="96"/>
      <c r="E31" s="96"/>
      <c r="F31" s="96"/>
      <c r="G31" s="70"/>
      <c r="H31" s="70"/>
      <c r="I31" s="70">
        <f t="shared" si="1"/>
        <v>0</v>
      </c>
      <c r="J31" s="70"/>
      <c r="K31" s="91"/>
      <c r="L31" s="91"/>
      <c r="M31" s="91">
        <f t="shared" si="2"/>
        <v>0</v>
      </c>
      <c r="O31" s="122">
        <f t="shared" si="0"/>
        <v>0</v>
      </c>
      <c r="P31" s="122"/>
      <c r="Q31" s="122"/>
      <c r="R31" s="122"/>
      <c r="S31" s="122"/>
    </row>
    <row r="32" spans="1:19" x14ac:dyDescent="0.25">
      <c r="A32" s="74">
        <f t="shared" si="3"/>
        <v>23</v>
      </c>
      <c r="B32" s="95"/>
      <c r="C32" s="95"/>
      <c r="D32" s="96"/>
      <c r="E32" s="96"/>
      <c r="F32" s="96"/>
      <c r="G32" s="70"/>
      <c r="H32" s="70"/>
      <c r="I32" s="70">
        <f t="shared" si="1"/>
        <v>0</v>
      </c>
      <c r="J32" s="70"/>
      <c r="K32" s="91"/>
      <c r="L32" s="91"/>
      <c r="M32" s="91">
        <f t="shared" si="2"/>
        <v>0</v>
      </c>
      <c r="O32" s="122">
        <f t="shared" si="0"/>
        <v>0</v>
      </c>
      <c r="P32" s="122"/>
      <c r="Q32" s="122"/>
      <c r="R32" s="122"/>
      <c r="S32" s="122"/>
    </row>
    <row r="33" spans="1:19" x14ac:dyDescent="0.25">
      <c r="A33" s="74">
        <f t="shared" si="3"/>
        <v>24</v>
      </c>
      <c r="B33" s="95"/>
      <c r="C33" s="95"/>
      <c r="D33" s="96"/>
      <c r="E33" s="96"/>
      <c r="F33" s="96"/>
      <c r="G33" s="70"/>
      <c r="H33" s="70"/>
      <c r="I33" s="70">
        <f t="shared" si="1"/>
        <v>0</v>
      </c>
      <c r="J33" s="70"/>
      <c r="K33" s="91"/>
      <c r="L33" s="91"/>
      <c r="M33" s="91">
        <f t="shared" si="2"/>
        <v>0</v>
      </c>
      <c r="O33" s="122">
        <f t="shared" si="0"/>
        <v>0</v>
      </c>
      <c r="P33" s="122"/>
      <c r="Q33" s="122"/>
      <c r="R33" s="122"/>
      <c r="S33" s="122"/>
    </row>
    <row r="34" spans="1:19" x14ac:dyDescent="0.25">
      <c r="A34" s="74">
        <f t="shared" si="3"/>
        <v>25</v>
      </c>
      <c r="B34" s="95"/>
      <c r="C34" s="95"/>
      <c r="D34" s="96"/>
      <c r="E34" s="96"/>
      <c r="F34" s="96"/>
      <c r="G34" s="70"/>
      <c r="H34" s="70"/>
      <c r="I34" s="70">
        <f t="shared" si="1"/>
        <v>0</v>
      </c>
      <c r="J34" s="70"/>
      <c r="K34" s="91"/>
      <c r="L34" s="91"/>
      <c r="M34" s="91">
        <f t="shared" si="2"/>
        <v>0</v>
      </c>
      <c r="O34" s="122">
        <f t="shared" si="0"/>
        <v>0</v>
      </c>
      <c r="P34" s="122"/>
      <c r="Q34" s="122"/>
      <c r="R34" s="122"/>
      <c r="S34" s="122"/>
    </row>
    <row r="35" spans="1:19" x14ac:dyDescent="0.25">
      <c r="A35" s="74">
        <f t="shared" si="3"/>
        <v>26</v>
      </c>
      <c r="B35" s="95"/>
      <c r="C35" s="95"/>
      <c r="D35" s="96"/>
      <c r="E35" s="96"/>
      <c r="F35" s="96"/>
      <c r="G35" s="70"/>
      <c r="H35" s="70"/>
      <c r="I35" s="70">
        <f t="shared" si="1"/>
        <v>0</v>
      </c>
      <c r="J35" s="70"/>
      <c r="K35" s="91"/>
      <c r="L35" s="91"/>
      <c r="M35" s="91">
        <f t="shared" si="2"/>
        <v>0</v>
      </c>
      <c r="O35" s="122">
        <f t="shared" si="0"/>
        <v>0</v>
      </c>
      <c r="P35" s="122"/>
      <c r="Q35" s="122"/>
      <c r="R35" s="122"/>
      <c r="S35" s="122"/>
    </row>
    <row r="36" spans="1:19" x14ac:dyDescent="0.25">
      <c r="A36" s="74">
        <f t="shared" si="3"/>
        <v>27</v>
      </c>
      <c r="B36" s="95"/>
      <c r="C36" s="95"/>
      <c r="D36" s="96"/>
      <c r="E36" s="96"/>
      <c r="F36" s="96"/>
      <c r="G36" s="70"/>
      <c r="H36" s="70"/>
      <c r="I36" s="70">
        <f t="shared" si="1"/>
        <v>0</v>
      </c>
      <c r="J36" s="70"/>
      <c r="K36" s="91"/>
      <c r="L36" s="91"/>
      <c r="M36" s="91">
        <f t="shared" si="2"/>
        <v>0</v>
      </c>
      <c r="O36" s="122">
        <f t="shared" si="0"/>
        <v>0</v>
      </c>
      <c r="P36" s="122"/>
      <c r="Q36" s="122"/>
      <c r="R36" s="122"/>
      <c r="S36" s="122"/>
    </row>
    <row r="37" spans="1:19" x14ac:dyDescent="0.25">
      <c r="A37" s="74">
        <f t="shared" si="3"/>
        <v>28</v>
      </c>
      <c r="B37" s="95"/>
      <c r="C37" s="95"/>
      <c r="D37" s="96"/>
      <c r="E37" s="96"/>
      <c r="F37" s="96"/>
      <c r="G37" s="70"/>
      <c r="H37" s="70"/>
      <c r="I37" s="70">
        <f t="shared" si="1"/>
        <v>0</v>
      </c>
      <c r="J37" s="70"/>
      <c r="K37" s="91"/>
      <c r="L37" s="91"/>
      <c r="M37" s="91">
        <f t="shared" si="2"/>
        <v>0</v>
      </c>
      <c r="O37" s="122">
        <f t="shared" si="0"/>
        <v>0</v>
      </c>
      <c r="P37" s="122"/>
      <c r="Q37" s="122"/>
      <c r="R37" s="122"/>
      <c r="S37" s="122"/>
    </row>
    <row r="38" spans="1:19" x14ac:dyDescent="0.25">
      <c r="A38" s="74">
        <f t="shared" si="3"/>
        <v>29</v>
      </c>
      <c r="B38" s="95"/>
      <c r="C38" s="95"/>
      <c r="D38" s="96"/>
      <c r="E38" s="96"/>
      <c r="F38" s="96"/>
      <c r="G38" s="70"/>
      <c r="H38" s="70"/>
      <c r="I38" s="70">
        <f t="shared" si="1"/>
        <v>0</v>
      </c>
      <c r="J38" s="70"/>
      <c r="K38" s="91"/>
      <c r="L38" s="91"/>
      <c r="M38" s="91">
        <f t="shared" si="2"/>
        <v>0</v>
      </c>
      <c r="O38" s="122">
        <f t="shared" si="0"/>
        <v>0</v>
      </c>
      <c r="P38" s="122"/>
      <c r="Q38" s="122"/>
      <c r="R38" s="122"/>
      <c r="S38" s="122"/>
    </row>
    <row r="39" spans="1:19" x14ac:dyDescent="0.25">
      <c r="A39" s="74">
        <f t="shared" si="3"/>
        <v>30</v>
      </c>
      <c r="B39" s="95"/>
      <c r="C39" s="95"/>
      <c r="D39" s="96"/>
      <c r="E39" s="96"/>
      <c r="F39" s="96"/>
      <c r="G39" s="70"/>
      <c r="H39" s="70"/>
      <c r="I39" s="70">
        <f t="shared" si="1"/>
        <v>0</v>
      </c>
      <c r="J39" s="70"/>
      <c r="K39" s="91"/>
      <c r="L39" s="91"/>
      <c r="M39" s="91">
        <f t="shared" si="2"/>
        <v>0</v>
      </c>
      <c r="O39" s="122">
        <f t="shared" si="0"/>
        <v>0</v>
      </c>
      <c r="P39" s="122"/>
      <c r="Q39" s="122"/>
      <c r="R39" s="122"/>
      <c r="S39" s="122"/>
    </row>
    <row r="40" spans="1:19" x14ac:dyDescent="0.25">
      <c r="A40" s="74">
        <f t="shared" si="3"/>
        <v>31</v>
      </c>
      <c r="B40" s="95"/>
      <c r="C40" s="95"/>
      <c r="D40" s="96"/>
      <c r="E40" s="96"/>
      <c r="F40" s="96"/>
      <c r="G40" s="70"/>
      <c r="H40" s="70"/>
      <c r="I40" s="70">
        <f t="shared" si="1"/>
        <v>0</v>
      </c>
      <c r="J40" s="70"/>
      <c r="K40" s="91"/>
      <c r="L40" s="91"/>
      <c r="M40" s="91">
        <f t="shared" si="2"/>
        <v>0</v>
      </c>
      <c r="O40" s="122">
        <f t="shared" si="0"/>
        <v>0</v>
      </c>
      <c r="P40" s="122"/>
      <c r="Q40" s="122"/>
      <c r="R40" s="122"/>
      <c r="S40" s="122"/>
    </row>
    <row r="41" spans="1:19" x14ac:dyDescent="0.25">
      <c r="A41" s="74">
        <f t="shared" si="3"/>
        <v>32</v>
      </c>
      <c r="B41" s="95"/>
      <c r="C41" s="95"/>
      <c r="D41" s="96"/>
      <c r="E41" s="96"/>
      <c r="F41" s="96"/>
      <c r="G41" s="70"/>
      <c r="H41" s="70"/>
      <c r="I41" s="70">
        <f t="shared" si="1"/>
        <v>0</v>
      </c>
      <c r="J41" s="70"/>
      <c r="K41" s="91"/>
      <c r="L41" s="91"/>
      <c r="M41" s="91">
        <f t="shared" si="2"/>
        <v>0</v>
      </c>
      <c r="O41" s="122">
        <f t="shared" si="0"/>
        <v>0</v>
      </c>
      <c r="P41" s="122"/>
      <c r="Q41" s="122"/>
      <c r="R41" s="122"/>
      <c r="S41" s="12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9" sqref="S9"/>
    </sheetView>
  </sheetViews>
  <sheetFormatPr defaultRowHeight="15" x14ac:dyDescent="0.25"/>
  <sheetData>
    <row r="1" spans="1:21" x14ac:dyDescent="0.25">
      <c r="A1">
        <v>1</v>
      </c>
      <c r="B1" t="s">
        <v>71</v>
      </c>
    </row>
    <row r="2" spans="1:21" x14ac:dyDescent="0.25">
      <c r="A2">
        <v>2</v>
      </c>
      <c r="B2" t="s">
        <v>74</v>
      </c>
    </row>
    <row r="3" spans="1:21" x14ac:dyDescent="0.25">
      <c r="A3">
        <v>3</v>
      </c>
      <c r="B3" t="s">
        <v>72</v>
      </c>
    </row>
    <row r="4" spans="1:21" x14ac:dyDescent="0.25">
      <c r="A4">
        <v>4</v>
      </c>
      <c r="B4" t="s">
        <v>73</v>
      </c>
    </row>
    <row r="5" spans="1:21" x14ac:dyDescent="0.25">
      <c r="A5">
        <v>5</v>
      </c>
      <c r="B5" t="s">
        <v>128</v>
      </c>
    </row>
    <row r="6" spans="1:21" x14ac:dyDescent="0.25">
      <c r="A6">
        <v>6</v>
      </c>
      <c r="B6" t="s">
        <v>144</v>
      </c>
    </row>
    <row r="7" spans="1:21" x14ac:dyDescent="0.25">
      <c r="R7" t="s">
        <v>148</v>
      </c>
    </row>
    <row r="8" spans="1:21" x14ac:dyDescent="0.25">
      <c r="R8" s="233" t="s">
        <v>145</v>
      </c>
      <c r="S8" s="233"/>
      <c r="T8" s="233" t="s">
        <v>146</v>
      </c>
      <c r="U8" s="233" t="s">
        <v>147</v>
      </c>
    </row>
    <row r="9" spans="1:21" x14ac:dyDescent="0.25">
      <c r="R9">
        <v>16</v>
      </c>
      <c r="S9" s="153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 s="153">
        <f>(R10-T10)/2</f>
        <v>1</v>
      </c>
    </row>
    <row r="11" spans="1:21" x14ac:dyDescent="0.25">
      <c r="R11">
        <v>18</v>
      </c>
      <c r="S11" s="153">
        <f t="shared" ref="S11:S32" si="0">2^(INT(LOG(R11-1,2))+1)</f>
        <v>32</v>
      </c>
      <c r="T11" s="153">
        <f t="shared" ref="T11:T32" si="1">S11-R11</f>
        <v>14</v>
      </c>
      <c r="U11" s="153">
        <f t="shared" ref="U11:U32" si="2">(R11-T11)/2</f>
        <v>2</v>
      </c>
    </row>
    <row r="12" spans="1:21" x14ac:dyDescent="0.25">
      <c r="R12" s="153">
        <v>19</v>
      </c>
      <c r="S12" s="153">
        <f t="shared" si="0"/>
        <v>32</v>
      </c>
      <c r="T12" s="153">
        <f t="shared" si="1"/>
        <v>13</v>
      </c>
      <c r="U12" s="153">
        <f t="shared" si="2"/>
        <v>3</v>
      </c>
    </row>
    <row r="13" spans="1:21" x14ac:dyDescent="0.25">
      <c r="R13" s="153">
        <v>20</v>
      </c>
      <c r="S13" s="153">
        <f t="shared" si="0"/>
        <v>32</v>
      </c>
      <c r="T13" s="153">
        <f t="shared" si="1"/>
        <v>12</v>
      </c>
      <c r="U13" s="153">
        <f t="shared" si="2"/>
        <v>4</v>
      </c>
    </row>
    <row r="14" spans="1:21" x14ac:dyDescent="0.25">
      <c r="R14" s="153">
        <v>21</v>
      </c>
      <c r="S14" s="153">
        <f t="shared" si="0"/>
        <v>32</v>
      </c>
      <c r="T14" s="153">
        <f t="shared" si="1"/>
        <v>11</v>
      </c>
      <c r="U14" s="153">
        <f t="shared" si="2"/>
        <v>5</v>
      </c>
    </row>
    <row r="15" spans="1:21" x14ac:dyDescent="0.25">
      <c r="R15" s="153">
        <v>22</v>
      </c>
      <c r="S15" s="153">
        <f t="shared" si="0"/>
        <v>32</v>
      </c>
      <c r="T15" s="153">
        <f t="shared" si="1"/>
        <v>10</v>
      </c>
      <c r="U15" s="153">
        <f t="shared" si="2"/>
        <v>6</v>
      </c>
    </row>
    <row r="16" spans="1:21" x14ac:dyDescent="0.25">
      <c r="R16" s="153">
        <v>23</v>
      </c>
      <c r="S16" s="153">
        <f t="shared" si="0"/>
        <v>32</v>
      </c>
      <c r="T16" s="153">
        <f t="shared" si="1"/>
        <v>9</v>
      </c>
      <c r="U16" s="153">
        <f t="shared" si="2"/>
        <v>7</v>
      </c>
    </row>
    <row r="17" spans="18:21" x14ac:dyDescent="0.25">
      <c r="R17" s="153">
        <v>24</v>
      </c>
      <c r="S17" s="153">
        <f t="shared" si="0"/>
        <v>32</v>
      </c>
      <c r="T17" s="153">
        <f t="shared" si="1"/>
        <v>8</v>
      </c>
      <c r="U17" s="153">
        <f t="shared" si="2"/>
        <v>8</v>
      </c>
    </row>
    <row r="18" spans="18:21" x14ac:dyDescent="0.25">
      <c r="R18" s="153">
        <v>25</v>
      </c>
      <c r="S18" s="153">
        <f t="shared" si="0"/>
        <v>32</v>
      </c>
      <c r="T18" s="153">
        <f t="shared" si="1"/>
        <v>7</v>
      </c>
      <c r="U18" s="153">
        <f t="shared" si="2"/>
        <v>9</v>
      </c>
    </row>
    <row r="19" spans="18:21" x14ac:dyDescent="0.25">
      <c r="R19" s="153">
        <v>26</v>
      </c>
      <c r="S19" s="153">
        <f t="shared" si="0"/>
        <v>32</v>
      </c>
      <c r="T19" s="153">
        <f t="shared" si="1"/>
        <v>6</v>
      </c>
      <c r="U19" s="153">
        <f t="shared" si="2"/>
        <v>10</v>
      </c>
    </row>
    <row r="20" spans="18:21" x14ac:dyDescent="0.25">
      <c r="R20" s="153">
        <v>27</v>
      </c>
      <c r="S20" s="153">
        <f t="shared" si="0"/>
        <v>32</v>
      </c>
      <c r="T20" s="153">
        <f t="shared" si="1"/>
        <v>5</v>
      </c>
      <c r="U20" s="153">
        <f t="shared" si="2"/>
        <v>11</v>
      </c>
    </row>
    <row r="21" spans="18:21" x14ac:dyDescent="0.25">
      <c r="R21" s="153">
        <v>28</v>
      </c>
      <c r="S21" s="153">
        <f t="shared" si="0"/>
        <v>32</v>
      </c>
      <c r="T21" s="153">
        <f t="shared" si="1"/>
        <v>4</v>
      </c>
      <c r="U21" s="153">
        <f t="shared" si="2"/>
        <v>12</v>
      </c>
    </row>
    <row r="22" spans="18:21" x14ac:dyDescent="0.25">
      <c r="R22" s="153">
        <v>29</v>
      </c>
      <c r="S22" s="153">
        <f t="shared" si="0"/>
        <v>32</v>
      </c>
      <c r="T22" s="153">
        <f t="shared" si="1"/>
        <v>3</v>
      </c>
      <c r="U22" s="153">
        <f t="shared" si="2"/>
        <v>13</v>
      </c>
    </row>
    <row r="23" spans="18:21" x14ac:dyDescent="0.25">
      <c r="R23" s="153">
        <v>30</v>
      </c>
      <c r="S23" s="153">
        <f t="shared" si="0"/>
        <v>32</v>
      </c>
      <c r="T23" s="153">
        <f t="shared" si="1"/>
        <v>2</v>
      </c>
      <c r="U23" s="153">
        <f t="shared" si="2"/>
        <v>14</v>
      </c>
    </row>
    <row r="24" spans="18:21" x14ac:dyDescent="0.25">
      <c r="R24" s="153">
        <v>31</v>
      </c>
      <c r="S24" s="153">
        <f t="shared" si="0"/>
        <v>32</v>
      </c>
      <c r="T24" s="153">
        <f t="shared" si="1"/>
        <v>1</v>
      </c>
      <c r="U24" s="153">
        <f t="shared" si="2"/>
        <v>15</v>
      </c>
    </row>
    <row r="25" spans="18:21" x14ac:dyDescent="0.25">
      <c r="R25" s="153">
        <v>32</v>
      </c>
      <c r="S25" s="153">
        <f t="shared" si="0"/>
        <v>32</v>
      </c>
      <c r="T25" s="153">
        <f t="shared" si="1"/>
        <v>0</v>
      </c>
      <c r="U25" s="153">
        <f t="shared" si="2"/>
        <v>16</v>
      </c>
    </row>
    <row r="26" spans="18:21" x14ac:dyDescent="0.25">
      <c r="R26" s="153">
        <v>33</v>
      </c>
      <c r="S26" s="153">
        <f t="shared" si="0"/>
        <v>64</v>
      </c>
      <c r="T26" s="153">
        <f t="shared" si="1"/>
        <v>31</v>
      </c>
      <c r="U26" s="153">
        <f t="shared" si="2"/>
        <v>1</v>
      </c>
    </row>
    <row r="27" spans="18:21" x14ac:dyDescent="0.25">
      <c r="R27" s="153">
        <v>34</v>
      </c>
      <c r="S27" s="153">
        <f t="shared" si="0"/>
        <v>64</v>
      </c>
      <c r="T27" s="153">
        <f t="shared" si="1"/>
        <v>30</v>
      </c>
      <c r="U27" s="153">
        <f t="shared" si="2"/>
        <v>2</v>
      </c>
    </row>
    <row r="28" spans="18:21" x14ac:dyDescent="0.25">
      <c r="R28" s="153">
        <v>35</v>
      </c>
      <c r="S28" s="153">
        <f t="shared" si="0"/>
        <v>64</v>
      </c>
      <c r="T28" s="153">
        <f t="shared" si="1"/>
        <v>29</v>
      </c>
      <c r="U28" s="153">
        <f t="shared" si="2"/>
        <v>3</v>
      </c>
    </row>
    <row r="29" spans="18:21" x14ac:dyDescent="0.25">
      <c r="R29" s="153">
        <v>36</v>
      </c>
      <c r="S29" s="153">
        <f t="shared" si="0"/>
        <v>64</v>
      </c>
      <c r="T29" s="153">
        <f t="shared" si="1"/>
        <v>28</v>
      </c>
      <c r="U29" s="153">
        <f t="shared" si="2"/>
        <v>4</v>
      </c>
    </row>
    <row r="30" spans="18:21" x14ac:dyDescent="0.25">
      <c r="R30" s="153">
        <v>37</v>
      </c>
      <c r="S30" s="153">
        <f t="shared" si="0"/>
        <v>64</v>
      </c>
      <c r="T30" s="153">
        <f t="shared" si="1"/>
        <v>27</v>
      </c>
      <c r="U30" s="153">
        <f t="shared" si="2"/>
        <v>5</v>
      </c>
    </row>
    <row r="31" spans="18:21" x14ac:dyDescent="0.25">
      <c r="R31" s="153">
        <v>38</v>
      </c>
      <c r="S31" s="153">
        <f t="shared" si="0"/>
        <v>64</v>
      </c>
      <c r="T31" s="153">
        <f t="shared" si="1"/>
        <v>26</v>
      </c>
      <c r="U31" s="153">
        <f t="shared" si="2"/>
        <v>6</v>
      </c>
    </row>
    <row r="32" spans="18:21" x14ac:dyDescent="0.25">
      <c r="R32" s="153">
        <v>39</v>
      </c>
      <c r="S32" s="153">
        <f t="shared" si="0"/>
        <v>64</v>
      </c>
      <c r="T32" s="153">
        <f t="shared" si="1"/>
        <v>25</v>
      </c>
      <c r="U32" s="153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121</vt:i4>
      </vt:variant>
    </vt:vector>
  </HeadingPairs>
  <TitlesOfParts>
    <vt:vector size="132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FMREntriesAllEntryFields</vt:lpstr>
      <vt:lpstr>FMREntriesAmtPaidHdr</vt:lpstr>
      <vt:lpstr>FMREntriesAmtPdCount</vt:lpstr>
      <vt:lpstr>FMREntriesAnchorCount</vt:lpstr>
      <vt:lpstr>FMREntriesAnchorHdr</vt:lpstr>
      <vt:lpstr>FMREntriesCityHdr</vt:lpstr>
      <vt:lpstr>FMREntriesEnteredHdr</vt:lpstr>
      <vt:lpstr>FMREntriesEntryAllFields</vt:lpstr>
      <vt:lpstr>FMREntriesFirstName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FMRResulstSpreadPointsHdr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FRMResultsFirstName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2022-12-10T21:52:42Z</cp:lastPrinted>
  <dcterms:created xsi:type="dcterms:W3CDTF">2014-07-12T17:55:34Z</dcterms:created>
  <dcterms:modified xsi:type="dcterms:W3CDTF">2024-01-07T20:21:00Z</dcterms:modified>
</cp:coreProperties>
</file>