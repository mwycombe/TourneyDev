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EF097EEE-7540-4281-A0B7-313B8F6E24FC}" xr6:coauthVersionLast="47" xr6:coauthVersionMax="47" xr10:uidLastSave="{00000000-0000-0000-0000-000000000000}"/>
  <bookViews>
    <workbookView xWindow="-120" yWindow="-120" windowWidth="29040" windowHeight="15840" tabRatio="753" activeTab="3" xr2:uid="{A925910D-C5B5-46B4-AC12-C1C8487408B6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Unpaid!$A$5:$K$45</definedName>
    <definedName name="FRegAllVeggies">Veggies!$C$7:$E$13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NameHdr">Entries!$C$11</definedName>
    <definedName name="FRegEntriesNotPaidCount">Entries!$N$10</definedName>
    <definedName name="FRegentriesPool1Count">Entries!$H$10</definedName>
    <definedName name="FRegEntriesPool1Header">Entries!$H$11</definedName>
    <definedName name="FRegEntriesPool2Count">Entries!$I$10</definedName>
    <definedName name="FRegEntriesPool2Header">Entries!$I$11</definedName>
    <definedName name="FRegEntriesPool3Count">Entries!$J$10</definedName>
    <definedName name="FRegEntriesPool3Header">Entries!$J$11</definedName>
    <definedName name="FRegEntriesPool4Count">Entries!$K$10</definedName>
    <definedName name="FRegEntriesPool4Header">Entries!$K$11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Unpaid!$A$5:$K$95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Dri1">Tourney!$C$11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  <definedName name="x">Tourney!$G$13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" i="1" l="1"/>
  <c r="T10" i="1"/>
  <c r="S10" i="1"/>
  <c r="R10" i="1"/>
  <c r="O10" i="1"/>
  <c r="N10" i="1"/>
  <c r="M10" i="1"/>
  <c r="L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K45" i="2" l="1" a="1"/>
  <c r="K45" i="2" s="1"/>
  <c r="K44" i="2" a="1"/>
  <c r="K44" i="2" s="1"/>
  <c r="K43" i="2" a="1"/>
  <c r="K43" i="2" s="1"/>
  <c r="K42" i="2" a="1"/>
  <c r="K42" i="2" s="1"/>
  <c r="K41" i="2" a="1"/>
  <c r="K41" i="2" s="1"/>
  <c r="K40" i="2" a="1"/>
  <c r="K40" i="2" s="1"/>
  <c r="K39" i="2" a="1"/>
  <c r="K39" i="2" s="1"/>
  <c r="K38" i="2" a="1"/>
  <c r="K38" i="2" s="1"/>
  <c r="K37" i="2" a="1"/>
  <c r="K37" i="2" s="1"/>
  <c r="K36" i="2" a="1"/>
  <c r="K36" i="2" s="1"/>
  <c r="K35" i="2" a="1"/>
  <c r="K35" i="2" s="1"/>
  <c r="K34" i="2" a="1"/>
  <c r="K34" i="2" s="1"/>
  <c r="K33" i="2" a="1"/>
  <c r="K33" i="2" s="1"/>
  <c r="K32" i="2" a="1"/>
  <c r="K32" i="2" s="1"/>
  <c r="K31" i="2" a="1"/>
  <c r="K31" i="2" s="1"/>
  <c r="K30" i="2" a="1"/>
  <c r="K30" i="2" s="1"/>
  <c r="K29" i="2" a="1"/>
  <c r="K29" i="2" s="1"/>
  <c r="K28" i="2" a="1"/>
  <c r="K28" i="2" s="1"/>
  <c r="K27" i="2" a="1"/>
  <c r="K27" i="2" s="1"/>
  <c r="K26" i="2" a="1"/>
  <c r="K26" i="2" s="1"/>
  <c r="K25" i="2" a="1"/>
  <c r="K25" i="2" s="1"/>
  <c r="K24" i="2" a="1"/>
  <c r="K24" i="2" s="1"/>
  <c r="K23" i="2" a="1"/>
  <c r="K23" i="2" s="1"/>
  <c r="K22" i="2" a="1"/>
  <c r="K22" i="2" s="1"/>
  <c r="K21" i="2" a="1"/>
  <c r="K21" i="2" s="1"/>
  <c r="K20" i="2" a="1"/>
  <c r="K20" i="2" s="1"/>
  <c r="K19" i="2" a="1"/>
  <c r="K19" i="2" s="1"/>
  <c r="K18" i="2" a="1"/>
  <c r="K18" i="2" s="1"/>
  <c r="K17" i="2" a="1"/>
  <c r="K17" i="2" s="1"/>
  <c r="K16" i="2" a="1"/>
  <c r="K16" i="2" s="1"/>
  <c r="K15" i="2" a="1"/>
  <c r="K15" i="2" s="1"/>
  <c r="K14" i="2" a="1"/>
  <c r="K14" i="2" s="1"/>
  <c r="K13" i="2" a="1"/>
  <c r="K13" i="2" s="1"/>
  <c r="K12" i="2" a="1"/>
  <c r="K12" i="2" s="1"/>
  <c r="K11" i="2" a="1"/>
  <c r="K11" i="2" s="1"/>
  <c r="K10" i="2" a="1"/>
  <c r="K10" i="2" s="1"/>
  <c r="K9" i="2" a="1"/>
  <c r="K9" i="2" s="1"/>
  <c r="K8" i="2" a="1"/>
  <c r="K8" i="2" s="1"/>
  <c r="K7" i="2" a="1"/>
  <c r="K7" i="2" s="1"/>
  <c r="K6" i="2" a="1"/>
  <c r="K6" i="2" s="1"/>
  <c r="K5" i="2" a="1"/>
  <c r="K5" i="2" s="1"/>
  <c r="B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<sst xmlns="http://schemas.openxmlformats.org/spreadsheetml/2006/main" count="2401" uniqueCount="650">
  <si>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</si>
  <si>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</si>
  <si>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</si>
  <si>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</si>
  <si>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</si>
  <si>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</si>
  <si>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</si>
  <si>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</si>
  <si>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</si>
  <si>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</si>
  <si>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</si>
  <si>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</si>
  <si>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</si>
  <si>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</si>
  <si>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</si>
  <si>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</si>
  <si>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</si>
  <si>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</si>
  <si>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</si>
  <si>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</si>
  <si>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</si>
  <si>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</si>
  <si>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</si>
  <si>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</si>
  <si>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</si>
  <si>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</si>
  <si>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</si>
  <si>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</si>
  <si>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</si>
  <si>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</si>
  <si>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</si>
  <si>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</si>
  <si>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</si>
  <si>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</si>
  <si>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</si>
  <si>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</si>
  <si>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</si>
  <si>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</si>
  <si>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</si>
  <si>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</si>
  <si>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</si>
  <si>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</si>
  <si>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</si>
  <si>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</si>
  <si>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</si>
  <si>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</si>
  <si>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</si>
  <si>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</si>
  <si>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</si>
  <si>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</si>
  <si>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</si>
  <si>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</si>
  <si>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</si>
  <si>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</si>
  <si>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</si>
  <si>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</si>
  <si>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</si>
  <si>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</si>
  <si>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</si>
  <si>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</si>
  <si>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</si>
  <si>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</si>
  <si>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</si>
  <si>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</si>
  <si>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</si>
  <si>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</si>
  <si>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</si>
  <si>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</si>
  <si>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</si>
  <si>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</si>
  <si>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</si>
  <si>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</si>
  <si>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</si>
  <si>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</si>
  <si>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</si>
  <si>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</si>
  <si>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</si>
  <si>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</si>
  <si>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</si>
  <si>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</si>
  <si>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</si>
  <si>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</si>
  <si>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</si>
  <si>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</si>
  <si>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</si>
  <si>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</si>
  <si>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</si>
  <si>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</si>
  <si>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</si>
  <si>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</si>
  <si>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</si>
  <si>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</si>
  <si>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</si>
  <si>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</si>
  <si>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</si>
  <si>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</si>
  <si>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</si>
  <si>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</si>
  <si>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</si>
  <si>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</si>
  <si>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</si>
  <si>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</si>
  <si>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</si>
  <si>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</si>
  <si>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</si>
  <si>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</si>
  <si>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</si>
  <si>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</si>
  <si>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</si>
  <si>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</si>
  <si>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</si>
  <si>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</si>
  <si>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</si>
  <si>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</si>
  <si>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</si>
  <si>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</si>
  <si>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</si>
  <si>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</si>
  <si>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</si>
  <si>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</si>
  <si>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</si>
  <si>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</si>
  <si>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</si>
  <si>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</si>
  <si>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</si>
  <si>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</si>
  <si>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</si>
  <si>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</si>
  <si>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</si>
  <si>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</si>
  <si>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</si>
  <si>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</si>
  <si>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</si>
  <si>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</si>
  <si>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</si>
  <si>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</si>
  <si>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</si>
  <si>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</si>
  <si>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</si>
  <si>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</si>
  <si>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</si>
  <si>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</si>
  <si>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</si>
  <si>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</si>
  <si>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</si>
  <si>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</si>
  <si>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</si>
  <si>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</si>
  <si>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</si>
  <si>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</si>
  <si>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</si>
  <si>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</si>
  <si>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</si>
  <si>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</si>
  <si>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</si>
  <si>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</si>
  <si>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</si>
  <si>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</si>
  <si>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</si>
  <si>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</si>
  <si>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</si>
  <si>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</si>
  <si>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</si>
  <si>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</si>
  <si>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</si>
  <si>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</si>
  <si>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</si>
  <si>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</si>
  <si>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</si>
  <si>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</si>
  <si>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</si>
  <si>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</si>
  <si>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</si>
  <si>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</si>
  <si>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</si>
  <si>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</si>
  <si>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</si>
  <si>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</si>
  <si>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</si>
  <si>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</si>
  <si>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</si>
  <si>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</si>
  <si>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</si>
  <si>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</si>
  <si>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</si>
  <si>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</si>
  <si>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</si>
  <si>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</si>
  <si>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</si>
  <si>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</si>
  <si>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</si>
  <si>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</si>
  <si>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</si>
  <si>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</si>
  <si>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</si>
  <si>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</si>
  <si>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</si>
  <si>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</si>
  <si>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</si>
  <si>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</si>
  <si>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</si>
  <si>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</si>
  <si>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</si>
  <si>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</si>
  <si>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</si>
  <si>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</si>
  <si>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</si>
  <si>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</si>
  <si>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</si>
  <si>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</si>
  <si>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</si>
  <si>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</si>
  <si>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</si>
  <si>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</si>
  <si>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</si>
  <si>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</si>
  <si>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</si>
  <si>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</si>
  <si>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</si>
  <si>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</si>
  <si>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</si>
  <si>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</si>
  <si>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</si>
  <si>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</si>
  <si>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</si>
  <si>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</si>
  <si>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</si>
  <si>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</si>
  <si>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</si>
  <si>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</si>
  <si>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</si>
  <si>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</si>
  <si>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</si>
  <si>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</si>
  <si>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</si>
  <si>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</si>
  <si>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</si>
  <si>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</si>
  <si>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</si>
  <si>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</si>
  <si>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</si>
  <si>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</si>
  <si>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</si>
  <si>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</si>
  <si>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</si>
  <si>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</si>
  <si>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</si>
  <si>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</si>
  <si>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</si>
  <si>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</si>
  <si>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</si>
  <si>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</si>
  <si>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</si>
  <si>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</si>
  <si>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</si>
  <si>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</si>
  <si>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</si>
  <si>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</si>
  <si>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</si>
  <si>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</si>
  <si>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</si>
  <si>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</si>
  <si>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</si>
  <si>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</si>
  <si>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</si>
  <si>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</si>
  <si>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</si>
  <si>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</si>
  <si>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</si>
  <si>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</si>
  <si>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</si>
  <si>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</si>
  <si>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</si>
  <si>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</si>
  <si>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</si>
  <si>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</si>
  <si>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</si>
  <si>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</si>
  <si>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</si>
  <si>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</si>
  <si>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</si>
  <si>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</si>
  <si>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</si>
  <si>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</si>
  <si>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</si>
  <si>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</si>
  <si>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</si>
  <si>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</si>
  <si>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</si>
  <si>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</si>
  <si>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</si>
  <si>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</si>
  <si>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</si>
  <si>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</si>
  <si>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</si>
  <si>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</si>
  <si>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</si>
  <si>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</si>
  <si>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</si>
  <si>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</si>
  <si>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</si>
  <si>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</si>
  <si>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</si>
  <si>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</si>
  <si>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</si>
  <si>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</si>
  <si>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</si>
  <si>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</si>
  <si>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</si>
  <si>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</si>
  <si>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</si>
  <si>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</si>
  <si>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</si>
  <si>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</si>
  <si>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</si>
  <si>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</si>
  <si>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</si>
  <si>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</si>
  <si>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</si>
  <si>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</si>
  <si>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</si>
  <si>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</si>
  <si>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</si>
  <si>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</si>
  <si>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</si>
  <si>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</si>
  <si>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</si>
  <si>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</si>
  <si>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</si>
  <si>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</si>
  <si>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</si>
  <si>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</si>
  <si>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</si>
  <si>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</si>
  <si>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</si>
  <si>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</si>
  <si>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</si>
  <si>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</si>
  <si>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</si>
  <si>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</si>
  <si>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</si>
  <si>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</si>
  <si>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</si>
  <si>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</si>
  <si>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</si>
  <si>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</si>
  <si>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</si>
  <si>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</si>
  <si>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</si>
  <si>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</si>
  <si>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</si>
  <si>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</si>
  <si>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</si>
  <si>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</si>
  <si>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</si>
  <si>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</si>
  <si>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</si>
  <si>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</si>
  <si>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</si>
  <si>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</si>
  <si>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</si>
  <si>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</si>
  <si>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</si>
  <si>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</si>
  <si>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</si>
  <si>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</si>
  <si>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</si>
  <si>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</si>
  <si>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</si>
  <si>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</si>
  <si>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</si>
  <si>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</si>
  <si>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</si>
  <si>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</si>
  <si>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</si>
  <si>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</si>
  <si>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</si>
  <si>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</si>
  <si>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</si>
  <si>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</si>
  <si>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</si>
  <si>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</si>
  <si>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</si>
  <si>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</si>
  <si>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</si>
  <si>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</si>
  <si>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</si>
  <si>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</si>
  <si>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</si>
  <si>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</si>
  <si>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</si>
  <si>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</si>
  <si>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</si>
  <si>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</si>
  <si>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</si>
  <si>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</si>
  <si>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</si>
  <si>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</si>
  <si>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</si>
  <si>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</si>
  <si>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</si>
  <si>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</si>
  <si>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</si>
  <si>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</si>
  <si>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</si>
  <si>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</si>
  <si>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</si>
  <si>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</si>
  <si>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</si>
  <si>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</si>
  <si>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</si>
  <si>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</si>
  <si>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</si>
  <si>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</si>
  <si>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</si>
  <si>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</si>
  <si>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</si>
  <si>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</si>
  <si>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>Napa Tourney</t>
  </si>
  <si>
    <t xml:space="preserve"> </t>
  </si>
  <si>
    <t>Tourney Location</t>
  </si>
  <si>
    <t>The Moose Lodge</t>
  </si>
  <si>
    <t>Tourney City</t>
  </si>
  <si>
    <t>Napa, Ca 94558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</si>
  <si>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</si>
  <si>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</si>
  <si>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</si>
  <si>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</si>
  <si>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</si>
  <si>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</si>
  <si>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</si>
  <si>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</si>
  <si>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</si>
  <si>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</si>
  <si>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</si>
  <si>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</si>
  <si>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</si>
  <si>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</si>
  <si>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</si>
  <si>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</si>
  <si>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</si>
  <si>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</si>
  <si>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</si>
  <si>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</si>
  <si>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</si>
  <si>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</si>
  <si>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</si>
  <si>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</si>
  <si>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</si>
  <si>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</si>
  <si>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</si>
  <si>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</si>
  <si>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</si>
  <si>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</si>
  <si>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</si>
  <si>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</si>
  <si>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</si>
  <si>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</si>
  <si>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</si>
  <si>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</si>
  <si>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</si>
  <si>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</si>
  <si>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</si>
  <si>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</si>
  <si>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</si>
  <si>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</si>
  <si>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</si>
  <si>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</si>
  <si>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</si>
  <si>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</si>
  <si>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</si>
  <si>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</si>
  <si>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</si>
  <si>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</si>
  <si>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</si>
  <si>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</si>
  <si>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</si>
  <si>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</si>
  <si>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</si>
  <si>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</si>
  <si>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</si>
  <si>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</si>
  <si>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</si>
  <si>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</si>
  <si>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</si>
  <si>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</si>
  <si>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</si>
  <si>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</si>
  <si>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</si>
  <si>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</si>
  <si>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</si>
  <si>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</si>
  <si>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</si>
  <si>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</si>
  <si>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</si>
  <si>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</si>
  <si>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</si>
  <si>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</si>
  <si>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</si>
  <si>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</si>
  <si>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</si>
  <si>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</si>
  <si>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</si>
  <si>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</si>
  <si>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</si>
  <si>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</si>
  <si>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</si>
  <si>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</si>
  <si>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</si>
  <si>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</si>
  <si>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</si>
  <si>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</si>
  <si>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</si>
  <si>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</si>
  <si>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</si>
  <si>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</si>
  <si>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</si>
  <si>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</si>
  <si>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</si>
  <si>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</si>
  <si>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</si>
  <si>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</si>
  <si>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</si>
  <si>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</si>
  <si>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</si>
  <si>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</si>
  <si>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</si>
  <si>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</si>
  <si>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</si>
  <si>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</si>
  <si>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</si>
  <si>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</si>
  <si>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</si>
  <si>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</si>
  <si>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</si>
  <si>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</si>
  <si>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</si>
  <si>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</si>
  <si>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</si>
  <si>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</si>
  <si>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</si>
  <si>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</si>
  <si>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</si>
  <si>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</si>
  <si>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</si>
  <si>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</si>
  <si>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</si>
  <si>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</si>
  <si>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</si>
  <si>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</si>
  <si>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</si>
  <si>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</si>
  <si>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</si>
  <si>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</si>
  <si>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</si>
  <si>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</si>
  <si>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</si>
  <si>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</si>
  <si>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</si>
  <si>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</si>
  <si>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</si>
  <si>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</si>
  <si>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</si>
  <si>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</si>
  <si>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</si>
  <si>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</si>
  <si>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</si>
  <si>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</si>
  <si>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</si>
  <si>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</si>
  <si>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</si>
  <si>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</si>
  <si>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</si>
  <si>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</si>
  <si>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</si>
  <si>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</si>
  <si>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</si>
  <si>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</si>
  <si>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</si>
  <si>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</si>
  <si>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</si>
  <si>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</si>
  <si>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</si>
  <si>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</si>
  <si>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</si>
  <si>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</si>
  <si>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</si>
  <si>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</si>
  <si>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</si>
  <si>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</si>
  <si>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</si>
  <si>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</si>
  <si>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</si>
  <si>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</si>
  <si>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</si>
  <si>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</si>
  <si>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</si>
  <si>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</si>
  <si>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</si>
  <si>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</si>
  <si>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</si>
  <si>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</si>
  <si>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</si>
  <si>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</si>
  <si>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</si>
  <si>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</si>
  <si>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</si>
  <si>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</si>
  <si>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</si>
  <si>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</si>
  <si>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</si>
  <si>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</si>
  <si>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</si>
  <si>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</si>
  <si>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</si>
  <si>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</si>
  <si>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Roland Hall</t>
  </si>
  <si>
    <t>Yvonne Bowers</t>
  </si>
  <si>
    <t>Michael Rogers</t>
  </si>
  <si>
    <t>707-555-1234</t>
  </si>
  <si>
    <t>707-555-5678</t>
  </si>
  <si>
    <t>510-504-6905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</si>
  <si>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</si>
  <si>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</si>
  <si>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</si>
  <si>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</si>
  <si>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</si>
  <si>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</si>
  <si>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</si>
  <si>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</si>
  <si>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</si>
  <si>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</si>
  <si>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</si>
  <si>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</si>
  <si>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</si>
  <si>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</si>
  <si>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</si>
  <si>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</si>
  <si>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</si>
  <si>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</si>
  <si>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</si>
  <si>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</si>
  <si>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</si>
  <si>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</si>
  <si>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</si>
  <si>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</si>
  <si>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</si>
  <si>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</si>
  <si>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</si>
  <si>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Napa Wine Country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</si>
</sst>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19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14" fillId="0" borderId="0" xfId="0" applyFont="1"/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64" fontId="2" fillId="0" borderId="3" xfId="0" applyNumberFormat="1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8" fillId="0" borderId="8" xfId="0" applyFont="1" applyBorder="1" applyAlignment="1" applyProtection="1">
      <alignment horizontal="center"/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4" fontId="4" fillId="0" borderId="3" xfId="0" applyNumberFormat="1" applyFont="1" applyBorder="1" applyAlignment="1" applyProtection="1">
      <alignment horizontal="center"/>
      <protection locked="0"/>
    </xf>
    <xf numFmtId="16" fontId="2" fillId="0" borderId="3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6" fillId="0" borderId="0" xfId="0" applyFont="1"/>
    <xf numFmtId="0" fontId="17" fillId="0" borderId="0" xfId="0" applyFont="1" applyAlignment="1">
      <alignment horizontal="left"/>
    </xf>
    <xf numFmtId="0" fontId="18" fillId="0" borderId="0" xfId="0" applyFont="1"/>
    <xf numFmtId="0" fontId="0" fillId="0" borderId="9" xfId="0" applyBorder="1"/>
    <xf numFmtId="0" fontId="19" fillId="0" borderId="0" xfId="0" applyFont="1" applyAlignment="1">
      <alignment horizontal="left"/>
    </xf>
    <xf numFmtId="14" fontId="2" fillId="0" borderId="0" xfId="0" applyNumberFormat="1" applyFont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20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1" fillId="0" borderId="0" xfId="0" applyFont="1"/>
    <xf numFmtId="0" fontId="22" fillId="0" borderId="0" xfId="0" applyFont="1" applyAlignment="1">
      <alignment horizontal="left"/>
    </xf>
    <xf numFmtId="14" fontId="0" fillId="0" borderId="10" xfId="0" applyNumberFormat="1" applyBorder="1" applyProtection="1">
      <protection locked="0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0" fontId="14" fillId="0" borderId="0" xfId="0" applyFont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23" fillId="0" borderId="11" xfId="0" applyFont="1" applyBorder="1" applyAlignment="1">
      <alignment horizontal="left"/>
    </xf>
    <xf numFmtId="0" fontId="23" fillId="0" borderId="12" xfId="0" applyFont="1" applyBorder="1" applyAlignment="1">
      <alignment horizontal="left"/>
    </xf>
    <xf numFmtId="0" fontId="23" fillId="0" borderId="13" xfId="0" applyFont="1" applyBorder="1" applyAlignment="1">
      <alignment horizontal="left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Protection="1">
      <protection locked="0"/>
    </xf>
    <xf numFmtId="0" fontId="0" fillId="0" borderId="0" xfId="0" applyAlignment="1">
      <alignment horizontal="center"/>
    </xf>
    <xf numFmtId="0" fontId="23" fillId="0" borderId="14" xfId="0" applyFont="1" applyBorder="1" applyAlignment="1">
      <alignment horizontal="left"/>
    </xf>
    <xf numFmtId="0" fontId="23" fillId="0" borderId="15" xfId="0" applyFont="1" applyBorder="1" applyAlignment="1">
      <alignment horizontal="left"/>
    </xf>
    <xf numFmtId="0" fontId="23" fillId="0" borderId="16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14" fontId="5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4</xdr:row>
          <xdr:rowOff>161925</xdr:rowOff>
        </xdr:from>
        <xdr:to>
          <xdr:col>14</xdr:col>
          <xdr:colOff>76200</xdr:colOff>
          <xdr:row>6</xdr:row>
          <xdr:rowOff>161925</xdr:rowOff>
        </xdr:to>
        <xdr:sp macro="" textlink="">
          <xdr:nvSpPr>
            <xdr:cNvPr id="5121" name="SaveTourneyPageInf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 Just This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8</xdr:row>
          <xdr:rowOff>19050</xdr:rowOff>
        </xdr:from>
        <xdr:to>
          <xdr:col>11</xdr:col>
          <xdr:colOff>28575</xdr:colOff>
          <xdr:row>10</xdr:row>
          <xdr:rowOff>19050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161925</xdr:rowOff>
        </xdr:from>
        <xdr:to>
          <xdr:col>14</xdr:col>
          <xdr:colOff>76200</xdr:colOff>
          <xdr:row>9</xdr:row>
          <xdr:rowOff>161925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19050</xdr:rowOff>
        </xdr:from>
        <xdr:to>
          <xdr:col>11</xdr:col>
          <xdr:colOff>28575</xdr:colOff>
          <xdr:row>7</xdr:row>
          <xdr:rowOff>19050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10</xdr:row>
          <xdr:rowOff>161925</xdr:rowOff>
        </xdr:from>
        <xdr:to>
          <xdr:col>14</xdr:col>
          <xdr:colOff>76200</xdr:colOff>
          <xdr:row>12</xdr:row>
          <xdr:rowOff>152400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5127" name="ToggleGlobals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Global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1</xdr:row>
          <xdr:rowOff>9525</xdr:rowOff>
        </xdr:from>
        <xdr:to>
          <xdr:col>20</xdr:col>
          <xdr:colOff>219075</xdr:colOff>
          <xdr:row>3</xdr:row>
          <xdr:rowOff>19050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3</xdr:row>
          <xdr:rowOff>123825</xdr:rowOff>
        </xdr:from>
        <xdr:to>
          <xdr:col>20</xdr:col>
          <xdr:colOff>219075</xdr:colOff>
          <xdr:row>5</xdr:row>
          <xdr:rowOff>152400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28575</xdr:rowOff>
        </xdr:from>
        <xdr:to>
          <xdr:col>2</xdr:col>
          <xdr:colOff>971550</xdr:colOff>
          <xdr:row>6</xdr:row>
          <xdr:rowOff>180975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6</xdr:row>
          <xdr:rowOff>38100</xdr:rowOff>
        </xdr:from>
        <xdr:to>
          <xdr:col>20</xdr:col>
          <xdr:colOff>219075</xdr:colOff>
          <xdr:row>8</xdr:row>
          <xdr:rowOff>66675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47625</xdr:rowOff>
        </xdr:from>
        <xdr:to>
          <xdr:col>3</xdr:col>
          <xdr:colOff>666750</xdr:colOff>
          <xdr:row>7</xdr:row>
          <xdr:rowOff>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0</xdr:rowOff>
        </xdr:from>
        <xdr:to>
          <xdr:col>3</xdr:col>
          <xdr:colOff>666750</xdr:colOff>
          <xdr:row>4</xdr:row>
          <xdr:rowOff>133350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866775</xdr:colOff>
          <xdr:row>5</xdr:row>
          <xdr:rowOff>66675</xdr:rowOff>
        </xdr:from>
        <xdr:to>
          <xdr:col>4</xdr:col>
          <xdr:colOff>485775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7</xdr:row>
          <xdr:rowOff>114300</xdr:rowOff>
        </xdr:from>
        <xdr:to>
          <xdr:col>3</xdr:col>
          <xdr:colOff>666750</xdr:colOff>
          <xdr:row>9</xdr:row>
          <xdr:rowOff>152400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6</xdr:row>
          <xdr:rowOff>38100</xdr:rowOff>
        </xdr:from>
        <xdr:to>
          <xdr:col>18</xdr:col>
          <xdr:colOff>104775</xdr:colOff>
          <xdr:row>8</xdr:row>
          <xdr:rowOff>66675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</xdr:row>
          <xdr:rowOff>9525</xdr:rowOff>
        </xdr:from>
        <xdr:to>
          <xdr:col>15</xdr:col>
          <xdr:colOff>180975</xdr:colOff>
          <xdr:row>3</xdr:row>
          <xdr:rowOff>19050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3</xdr:row>
          <xdr:rowOff>123825</xdr:rowOff>
        </xdr:from>
        <xdr:to>
          <xdr:col>18</xdr:col>
          <xdr:colOff>104775</xdr:colOff>
          <xdr:row>5</xdr:row>
          <xdr:rowOff>133350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7</xdr:row>
          <xdr:rowOff>104775</xdr:rowOff>
        </xdr:from>
        <xdr:to>
          <xdr:col>4</xdr:col>
          <xdr:colOff>495300</xdr:colOff>
          <xdr:row>9</xdr:row>
          <xdr:rowOff>161925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1</xdr:row>
          <xdr:rowOff>9525</xdr:rowOff>
        </xdr:from>
        <xdr:to>
          <xdr:col>18</xdr:col>
          <xdr:colOff>104775</xdr:colOff>
          <xdr:row>3</xdr:row>
          <xdr:rowOff>19050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3</xdr:row>
          <xdr:rowOff>123825</xdr:rowOff>
        </xdr:from>
        <xdr:to>
          <xdr:col>15</xdr:col>
          <xdr:colOff>180975</xdr:colOff>
          <xdr:row>5</xdr:row>
          <xdr:rowOff>133350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0</xdr:rowOff>
        </xdr:from>
        <xdr:to>
          <xdr:col>3</xdr:col>
          <xdr:colOff>657225</xdr:colOff>
          <xdr:row>2</xdr:row>
          <xdr:rowOff>133350</xdr:rowOff>
        </xdr:to>
        <xdr:sp macro="" textlink="">
          <xdr:nvSpPr>
            <xdr:cNvPr id="2067" name="ShowHideSortButto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Sorts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619125</xdr:colOff>
          <xdr:row>6</xdr:row>
          <xdr:rowOff>47625</xdr:rowOff>
        </xdr:from>
        <xdr:to>
          <xdr:col>15</xdr:col>
          <xdr:colOff>190500</xdr:colOff>
          <xdr:row>8</xdr:row>
          <xdr:rowOff>76200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4.xml"/><Relationship Id="rId39" Type="http://schemas.openxmlformats.org/officeDocument/2006/relationships/ctrlProp" Target="../ctrlProps/ctrlProp23.xm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47" Type="http://schemas.openxmlformats.org/officeDocument/2006/relationships/ctrlProp" Target="../ctrlProps/ctrlProp3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ctrlProp" Target="../ctrlProps/ctrlProp1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4.v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8" Type="http://schemas.openxmlformats.org/officeDocument/2006/relationships/hyperlink" Target="mailto:ellie.miller.hall@gmail.com" TargetMode="Externa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2.bin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B84A-0CE0-4E23-AB47-703AC6839390}">
  <sheetPr codeName="Sheet4"/>
  <dimension ref="A1:H15"/>
  <sheetViews>
    <sheetView workbookViewId="0">
      <selection activeCell="C3" sqref="C3:G3"/>
    </sheetView>
  </sheetViews>
  <sheetFormatPr defaultRowHeight="15" x14ac:dyDescent="0.25"/>
  <cols>
    <col min="1" max="1" width="17.7109375" customWidth="1"/>
    <col min="3" max="3" width="11.5703125" customWidth="1"/>
  </cols>
  <sheetData>
    <row r="1" spans="1:8" ht="19.5" thickBot="1" x14ac:dyDescent="0.35">
      <c r="A1" s="78" t="s">
        <v>611</v>
      </c>
      <c r="C1" s="101" t="s">
        <v>612</v>
      </c>
      <c r="D1" s="102"/>
      <c r="E1" s="103"/>
      <c r="F1" s="79"/>
      <c r="G1" s="93"/>
      <c r="H1" s="79"/>
    </row>
    <row r="2" spans="1:8" ht="15.75" thickBot="1" x14ac:dyDescent="0.3"/>
    <row r="3" spans="1:8" ht="16.5" thickBot="1" x14ac:dyDescent="0.3">
      <c r="A3" s="80" t="s">
        <v>417</v>
      </c>
      <c r="C3" s="104" t="s">
        <v>649</v>
      </c>
      <c r="D3" s="105"/>
      <c r="E3" s="105"/>
      <c r="F3" s="105"/>
      <c r="G3" s="106"/>
    </row>
    <row r="4" spans="1:8" ht="15.75" thickBot="1" x14ac:dyDescent="0.3"/>
    <row r="5" spans="1:8" ht="16.5" thickBot="1" x14ac:dyDescent="0.3">
      <c r="A5" s="80" t="s">
        <v>613</v>
      </c>
      <c r="C5" s="104" t="s">
        <v>421</v>
      </c>
      <c r="D5" s="105"/>
      <c r="E5" s="105"/>
      <c r="F5" s="105"/>
      <c r="G5" s="106"/>
    </row>
    <row r="6" spans="1:8" ht="15.75" thickBot="1" x14ac:dyDescent="0.3">
      <c r="H6" s="81"/>
    </row>
    <row r="7" spans="1:8" ht="16.5" thickBot="1" x14ac:dyDescent="0.3">
      <c r="A7" s="80" t="s">
        <v>614</v>
      </c>
      <c r="C7" s="104" t="s">
        <v>423</v>
      </c>
      <c r="D7" s="105"/>
      <c r="E7" s="105"/>
      <c r="F7" s="105"/>
      <c r="G7" s="106"/>
    </row>
    <row r="8" spans="1:8" ht="15.75" thickBot="1" x14ac:dyDescent="0.3"/>
    <row r="9" spans="1:8" ht="16.5" thickBot="1" x14ac:dyDescent="0.3">
      <c r="A9" s="80" t="s">
        <v>424</v>
      </c>
      <c r="C9" s="94">
        <v>45402</v>
      </c>
    </row>
    <row r="10" spans="1:8" ht="15.75" thickBot="1" x14ac:dyDescent="0.3"/>
    <row r="11" spans="1:8" ht="16.5" thickBot="1" x14ac:dyDescent="0.3">
      <c r="A11" s="80" t="s">
        <v>615</v>
      </c>
      <c r="C11" s="99" t="s">
        <v>616</v>
      </c>
      <c r="D11" s="100"/>
      <c r="E11" s="99" t="s">
        <v>617</v>
      </c>
      <c r="F11" s="100"/>
      <c r="G11" s="99" t="s">
        <v>618</v>
      </c>
      <c r="H11" s="100"/>
    </row>
    <row r="12" spans="1:8" ht="16.5" thickBot="1" x14ac:dyDescent="0.3">
      <c r="A12" s="80"/>
      <c r="C12" s="55"/>
      <c r="D12" s="55"/>
      <c r="E12" s="55"/>
      <c r="F12" s="55"/>
      <c r="G12" s="55"/>
      <c r="H12" s="55"/>
    </row>
    <row r="13" spans="1:8" ht="16.5" thickBot="1" x14ac:dyDescent="0.3">
      <c r="A13" s="80" t="s">
        <v>431</v>
      </c>
      <c r="C13" s="99" t="s">
        <v>619</v>
      </c>
      <c r="D13" s="100"/>
      <c r="E13" s="99" t="s">
        <v>620</v>
      </c>
      <c r="F13" s="100"/>
      <c r="G13" s="99" t="s">
        <v>621</v>
      </c>
      <c r="H13" s="100"/>
    </row>
    <row r="14" spans="1:8" ht="16.5" thickBot="1" x14ac:dyDescent="0.3">
      <c r="A14" s="80"/>
      <c r="C14" s="55"/>
      <c r="D14" s="55"/>
      <c r="E14" s="55"/>
      <c r="F14" s="55"/>
      <c r="G14" s="55"/>
      <c r="H14" s="55"/>
    </row>
    <row r="15" spans="1:8" ht="16.5" thickBot="1" x14ac:dyDescent="0.3">
      <c r="A15" s="80" t="s">
        <v>622</v>
      </c>
      <c r="C15" s="99"/>
      <c r="D15" s="100"/>
      <c r="E15" s="99"/>
      <c r="F15" s="100"/>
      <c r="G15" s="99"/>
      <c r="H15" s="100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aveTourneyPageInfo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4</xdr:row>
                    <xdr:rowOff>161925</xdr:rowOff>
                  </from>
                  <to>
                    <xdr:col>14</xdr:col>
                    <xdr:colOff>76200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8</xdr:row>
                    <xdr:rowOff>19050</xdr:rowOff>
                  </from>
                  <to>
                    <xdr:col>11</xdr:col>
                    <xdr:colOff>28575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aveAllOfTourney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7</xdr:row>
                    <xdr:rowOff>161925</xdr:rowOff>
                  </from>
                  <to>
                    <xdr:col>14</xdr:col>
                    <xdr:colOff>76200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5</xdr:row>
                    <xdr:rowOff>19050</xdr:rowOff>
                  </from>
                  <to>
                    <xdr:col>11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SaveEverythingAndClose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10</xdr:row>
                    <xdr:rowOff>161925</xdr:rowOff>
                  </from>
                  <to>
                    <xdr:col>14</xdr:col>
                    <xdr:colOff>76200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ToggleGlobals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AB42-4EB6-4C92-824D-E5202E9BDF46}">
  <sheetPr codeName="Sheet5"/>
  <dimension ref="A1:H25"/>
  <sheetViews>
    <sheetView workbookViewId="0">
      <selection activeCell="I12" sqref="I12"/>
    </sheetView>
  </sheetViews>
  <sheetFormatPr defaultRowHeight="15" x14ac:dyDescent="0.25"/>
  <cols>
    <col min="1" max="1" width="18" customWidth="1"/>
    <col min="2" max="2" width="12.140625" customWidth="1"/>
    <col min="8" max="8" width="16.5703125" customWidth="1"/>
  </cols>
  <sheetData>
    <row r="1" spans="1:7" ht="19.5" thickBot="1" x14ac:dyDescent="0.35">
      <c r="A1" s="78" t="s">
        <v>623</v>
      </c>
    </row>
    <row r="2" spans="1:7" ht="19.5" thickBot="1" x14ac:dyDescent="0.35">
      <c r="C2" s="107" t="s">
        <v>612</v>
      </c>
      <c r="D2" s="108"/>
      <c r="E2" s="108"/>
      <c r="F2" s="108"/>
      <c r="G2" s="109"/>
    </row>
    <row r="3" spans="1:7" ht="18.75" x14ac:dyDescent="0.3">
      <c r="C3" s="82"/>
      <c r="D3" s="82"/>
      <c r="E3" s="82"/>
      <c r="F3" s="82"/>
      <c r="G3" s="82"/>
    </row>
    <row r="4" spans="1:7" x14ac:dyDescent="0.25">
      <c r="A4" s="4" t="s">
        <v>624</v>
      </c>
      <c r="B4" s="110" t="s">
        <v>418</v>
      </c>
      <c r="C4" s="110"/>
      <c r="D4" s="110"/>
      <c r="E4" s="110"/>
      <c r="F4" s="110"/>
    </row>
    <row r="5" spans="1:7" x14ac:dyDescent="0.25">
      <c r="A5" s="4" t="s">
        <v>625</v>
      </c>
      <c r="B5" s="111" t="s">
        <v>421</v>
      </c>
      <c r="C5" s="111"/>
      <c r="D5" s="111"/>
      <c r="E5" s="111"/>
      <c r="F5" s="111"/>
    </row>
    <row r="6" spans="1:7" x14ac:dyDescent="0.25">
      <c r="A6" s="4" t="s">
        <v>626</v>
      </c>
      <c r="B6" s="111" t="s">
        <v>423</v>
      </c>
      <c r="C6" s="111"/>
      <c r="D6" s="111"/>
      <c r="E6" s="111"/>
      <c r="F6" s="111"/>
    </row>
    <row r="7" spans="1:7" x14ac:dyDescent="0.25">
      <c r="A7" s="4" t="s">
        <v>627</v>
      </c>
      <c r="B7" s="83">
        <v>45411</v>
      </c>
      <c r="C7" s="84"/>
      <c r="D7" s="84"/>
      <c r="E7" s="84"/>
      <c r="F7" s="84"/>
    </row>
    <row r="9" spans="1:7" ht="15.75" thickBot="1" x14ac:dyDescent="0.3">
      <c r="A9" s="4"/>
      <c r="B9" s="85"/>
    </row>
    <row r="10" spans="1:7" ht="15.75" thickBot="1" x14ac:dyDescent="0.3">
      <c r="A10" s="4" t="s">
        <v>628</v>
      </c>
      <c r="B10" s="95">
        <v>3</v>
      </c>
      <c r="C10" s="4" t="s">
        <v>629</v>
      </c>
      <c r="D10" s="95">
        <v>70</v>
      </c>
    </row>
    <row r="11" spans="1:7" ht="15.75" thickBot="1" x14ac:dyDescent="0.3"/>
    <row r="12" spans="1:7" ht="15.75" thickBot="1" x14ac:dyDescent="0.3">
      <c r="A12" s="4" t="s">
        <v>630</v>
      </c>
      <c r="B12" s="95">
        <v>14</v>
      </c>
    </row>
    <row r="13" spans="1:7" ht="15.75" thickBot="1" x14ac:dyDescent="0.3"/>
    <row r="14" spans="1:7" ht="15.75" thickBot="1" x14ac:dyDescent="0.3">
      <c r="A14" s="4" t="s">
        <v>631</v>
      </c>
      <c r="B14" s="95">
        <v>1</v>
      </c>
    </row>
    <row r="15" spans="1:7" x14ac:dyDescent="0.25">
      <c r="C15" s="112" t="s">
        <v>632</v>
      </c>
      <c r="D15" s="112"/>
      <c r="E15" s="112"/>
      <c r="F15" s="112"/>
    </row>
    <row r="16" spans="1:7" ht="15.75" thickBot="1" x14ac:dyDescent="0.3">
      <c r="A16" s="4" t="s">
        <v>633</v>
      </c>
      <c r="B16" s="4"/>
      <c r="C16" s="84">
        <v>1</v>
      </c>
      <c r="D16" s="84">
        <v>2</v>
      </c>
      <c r="E16" s="84">
        <v>3</v>
      </c>
      <c r="F16" s="84">
        <v>4</v>
      </c>
    </row>
    <row r="17" spans="1:8" ht="15.75" thickBot="1" x14ac:dyDescent="0.3">
      <c r="B17" s="86" t="s">
        <v>634</v>
      </c>
      <c r="C17" s="96">
        <v>1</v>
      </c>
      <c r="D17" s="96">
        <v>2</v>
      </c>
      <c r="E17" s="96">
        <v>2</v>
      </c>
      <c r="F17" s="96">
        <v>2</v>
      </c>
      <c r="H17" s="87" t="s">
        <v>635</v>
      </c>
    </row>
    <row r="18" spans="1:8" ht="15.75" thickBot="1" x14ac:dyDescent="0.3">
      <c r="B18" s="86" t="s">
        <v>629</v>
      </c>
      <c r="C18" s="96">
        <v>10</v>
      </c>
      <c r="D18" s="96">
        <v>10</v>
      </c>
      <c r="E18" s="96">
        <v>20</v>
      </c>
      <c r="F18" s="96">
        <v>50</v>
      </c>
      <c r="H18" s="87" t="s">
        <v>636</v>
      </c>
    </row>
    <row r="21" spans="1:8" x14ac:dyDescent="0.25">
      <c r="A21" s="88" t="s">
        <v>637</v>
      </c>
    </row>
    <row r="22" spans="1:8" ht="15.75" thickBot="1" x14ac:dyDescent="0.3"/>
    <row r="23" spans="1:8" ht="15.75" thickBot="1" x14ac:dyDescent="0.3">
      <c r="A23" s="4" t="s">
        <v>638</v>
      </c>
      <c r="B23" s="95">
        <v>5</v>
      </c>
      <c r="D23" t="s">
        <v>639</v>
      </c>
    </row>
    <row r="24" spans="1:8" ht="15.75" thickBot="1" x14ac:dyDescent="0.3">
      <c r="D24" t="s">
        <v>640</v>
      </c>
    </row>
    <row r="25" spans="1:8" ht="15.75" thickBot="1" x14ac:dyDescent="0.3">
      <c r="A25" s="4" t="s">
        <v>641</v>
      </c>
      <c r="B25" s="95"/>
      <c r="D25" t="s">
        <v>642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46B3745-2ADA-48A1-934E-B4E9AD0E7C68}">
      <formula1>"10, 20, 50"</formula1>
    </dataValidation>
    <dataValidation type="list" operator="equal" allowBlank="1" showInputMessage="1" showErrorMessage="1" sqref="C17:F17" xr:uid="{7CEE6CC5-9E76-4E06-847F-EB6CE172CB7C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MainTourneyPools">
              <controlPr defaultSize="0" print="0" autoFill="0" autoPict="0" macro="[0]!Sheet5.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7D3-B9BE-4C37-B140-53CE4FB48BDB}">
  <sheetPr codeName="Sheet6"/>
  <dimension ref="A1:H25"/>
  <sheetViews>
    <sheetView workbookViewId="0">
      <selection activeCell="K24" sqref="K24"/>
    </sheetView>
  </sheetViews>
  <sheetFormatPr defaultRowHeight="15" x14ac:dyDescent="0.25"/>
  <cols>
    <col min="1" max="1" width="18.28515625" customWidth="1"/>
    <col min="2" max="2" width="12" customWidth="1"/>
    <col min="8" max="8" width="15.85546875" customWidth="1"/>
  </cols>
  <sheetData>
    <row r="1" spans="1:7" ht="19.5" thickBot="1" x14ac:dyDescent="0.35">
      <c r="A1" s="78" t="s">
        <v>643</v>
      </c>
    </row>
    <row r="2" spans="1:7" ht="19.5" thickBot="1" x14ac:dyDescent="0.35">
      <c r="C2" s="113" t="s">
        <v>612</v>
      </c>
      <c r="D2" s="114"/>
      <c r="E2" s="114"/>
      <c r="F2" s="114"/>
      <c r="G2" s="115"/>
    </row>
    <row r="3" spans="1:7" ht="18.75" x14ac:dyDescent="0.3">
      <c r="C3" s="82"/>
      <c r="D3" s="82"/>
      <c r="E3" s="82"/>
      <c r="F3" s="82"/>
      <c r="G3" s="82"/>
    </row>
    <row r="4" spans="1:7" x14ac:dyDescent="0.25">
      <c r="A4" s="4" t="s">
        <v>624</v>
      </c>
      <c r="B4" s="116" t="s">
        <v>418</v>
      </c>
      <c r="C4" s="116"/>
      <c r="D4" s="116"/>
      <c r="E4" s="116"/>
      <c r="F4" s="116"/>
    </row>
    <row r="5" spans="1:7" x14ac:dyDescent="0.25">
      <c r="A5" s="4" t="s">
        <v>625</v>
      </c>
      <c r="B5" s="89" t="s">
        <v>421</v>
      </c>
      <c r="C5" s="89"/>
      <c r="D5" s="89"/>
      <c r="E5" s="89"/>
      <c r="F5" s="89"/>
    </row>
    <row r="6" spans="1:7" x14ac:dyDescent="0.25">
      <c r="A6" s="4" t="s">
        <v>626</v>
      </c>
      <c r="B6" s="89" t="s">
        <v>423</v>
      </c>
    </row>
    <row r="7" spans="1:7" x14ac:dyDescent="0.25">
      <c r="A7" s="4" t="s">
        <v>627</v>
      </c>
      <c r="B7" s="90">
        <v>45411</v>
      </c>
      <c r="C7" s="89"/>
      <c r="D7" s="89"/>
      <c r="E7" s="89"/>
      <c r="F7" s="89"/>
    </row>
    <row r="9" spans="1:7" ht="15.75" thickBot="1" x14ac:dyDescent="0.3">
      <c r="A9" s="4"/>
      <c r="B9" s="85"/>
    </row>
    <row r="10" spans="1:7" ht="15.75" thickBot="1" x14ac:dyDescent="0.3">
      <c r="A10" s="4" t="s">
        <v>628</v>
      </c>
      <c r="B10" s="95">
        <v>1</v>
      </c>
      <c r="C10" s="4" t="s">
        <v>629</v>
      </c>
      <c r="D10" s="95">
        <v>30</v>
      </c>
    </row>
    <row r="11" spans="1:7" ht="15.75" thickBot="1" x14ac:dyDescent="0.3">
      <c r="A11" s="4"/>
      <c r="B11" s="85"/>
    </row>
    <row r="12" spans="1:7" ht="15.75" thickBot="1" x14ac:dyDescent="0.3">
      <c r="A12" s="4" t="s">
        <v>644</v>
      </c>
      <c r="B12" s="95">
        <v>8</v>
      </c>
    </row>
    <row r="13" spans="1:7" ht="15.75" thickBot="1" x14ac:dyDescent="0.3"/>
    <row r="14" spans="1:7" ht="15.75" thickBot="1" x14ac:dyDescent="0.3">
      <c r="A14" s="4" t="s">
        <v>631</v>
      </c>
      <c r="B14" s="95">
        <v>1</v>
      </c>
    </row>
    <row r="15" spans="1:7" x14ac:dyDescent="0.25">
      <c r="C15" s="112" t="s">
        <v>645</v>
      </c>
      <c r="D15" s="112"/>
      <c r="E15" s="112"/>
      <c r="F15" s="112"/>
    </row>
    <row r="16" spans="1:7" ht="15.75" thickBot="1" x14ac:dyDescent="0.3">
      <c r="A16" s="4" t="s">
        <v>633</v>
      </c>
      <c r="B16" s="4"/>
      <c r="C16" s="84">
        <v>1</v>
      </c>
      <c r="D16" s="84">
        <v>2</v>
      </c>
      <c r="E16" s="84">
        <v>3</v>
      </c>
      <c r="F16" s="84">
        <v>4</v>
      </c>
    </row>
    <row r="17" spans="1:8" ht="15.75" thickBot="1" x14ac:dyDescent="0.3">
      <c r="B17" s="86" t="s">
        <v>634</v>
      </c>
      <c r="C17" s="96">
        <v>1</v>
      </c>
      <c r="D17" s="96"/>
      <c r="E17" s="96"/>
      <c r="F17" s="96"/>
      <c r="H17" s="87" t="s">
        <v>635</v>
      </c>
    </row>
    <row r="18" spans="1:8" ht="15.75" thickBot="1" x14ac:dyDescent="0.3">
      <c r="B18" s="86" t="s">
        <v>629</v>
      </c>
      <c r="C18" s="96">
        <v>10</v>
      </c>
      <c r="D18" s="96"/>
      <c r="E18" s="96"/>
      <c r="F18" s="96"/>
      <c r="H18" s="87" t="s">
        <v>636</v>
      </c>
    </row>
    <row r="21" spans="1:8" x14ac:dyDescent="0.25">
      <c r="A21" s="88" t="s">
        <v>637</v>
      </c>
    </row>
    <row r="22" spans="1:8" ht="15.75" thickBot="1" x14ac:dyDescent="0.3"/>
    <row r="23" spans="1:8" ht="15.75" thickBot="1" x14ac:dyDescent="0.3">
      <c r="A23" s="4" t="s">
        <v>638</v>
      </c>
      <c r="B23" s="95"/>
      <c r="D23" t="s">
        <v>646</v>
      </c>
    </row>
    <row r="24" spans="1:8" ht="15.75" thickBot="1" x14ac:dyDescent="0.3">
      <c r="D24" t="s">
        <v>647</v>
      </c>
    </row>
    <row r="25" spans="1:8" ht="15.75" thickBot="1" x14ac:dyDescent="0.3">
      <c r="A25" s="4" t="s">
        <v>641</v>
      </c>
      <c r="B25" s="95"/>
      <c r="D25" s="91" t="s">
        <v>648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6EDDECF4-3F5A-4F24-8BC3-11C54ED31B43}">
      <formula1>"10, 20, 50"</formula1>
    </dataValidation>
    <dataValidation type="list" allowBlank="1" showInputMessage="1" showErrorMessage="1" sqref="C17:F17" xr:uid="{39FA81F6-8614-4272-A30F-51C211D2F3CA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C6AA-19BD-46D5-BC1A-8B55153BDE06}">
  <sheetPr codeName="Sheet1"/>
  <dimension ref="A1:U411"/>
  <sheetViews>
    <sheetView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3.140625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9" t="s">
        <v>417</v>
      </c>
      <c r="I2" s="19"/>
      <c r="J2" s="16"/>
      <c r="K2" s="117" t="s">
        <v>418</v>
      </c>
      <c r="L2" s="117"/>
      <c r="M2" s="117"/>
      <c r="N2" s="117"/>
      <c r="O2" s="16"/>
      <c r="P2" s="19"/>
      <c r="Q2" s="21"/>
      <c r="R2" s="16"/>
      <c r="S2" s="21"/>
      <c r="T2" s="22"/>
      <c r="U2" s="22"/>
    </row>
    <row r="3" spans="1:21" x14ac:dyDescent="0.25">
      <c r="A3" s="24" t="s">
        <v>419</v>
      </c>
      <c r="D3" s="16"/>
      <c r="E3" s="17"/>
      <c r="F3" s="17"/>
      <c r="G3" s="17"/>
      <c r="H3" s="19" t="s">
        <v>420</v>
      </c>
      <c r="I3" s="19"/>
      <c r="J3" s="16"/>
      <c r="K3" s="117" t="s">
        <v>421</v>
      </c>
      <c r="L3" s="117"/>
      <c r="M3" s="117"/>
      <c r="N3" s="117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9" t="s">
        <v>422</v>
      </c>
      <c r="I4" s="19"/>
      <c r="J4" s="16"/>
      <c r="K4" s="117" t="s">
        <v>423</v>
      </c>
      <c r="L4" s="117"/>
      <c r="M4" s="117"/>
      <c r="N4" s="117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9" t="s">
        <v>424</v>
      </c>
      <c r="I5" s="19"/>
      <c r="J5" s="16"/>
      <c r="K5" s="118">
        <v>45411</v>
      </c>
      <c r="L5" s="118"/>
      <c r="M5" s="16"/>
      <c r="N5" s="1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98" t="s">
        <v>425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28" t="s">
        <v>426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9"/>
      <c r="O9" s="16"/>
      <c r="P9" s="19"/>
      <c r="Q9" s="25"/>
      <c r="R9" s="16"/>
      <c r="S9" s="21"/>
      <c r="T9" s="22"/>
      <c r="U9" s="26"/>
    </row>
    <row r="10" spans="1:21" x14ac:dyDescent="0.25">
      <c r="A10" s="30"/>
      <c r="B10" s="31">
        <f>COUNTIF(B12:B322,"&lt;&gt;" &amp; "")</f>
        <v>0</v>
      </c>
      <c r="C10" s="32"/>
      <c r="D10" s="32"/>
      <c r="E10" s="17"/>
      <c r="F10" s="17"/>
      <c r="G10" s="17"/>
      <c r="H10" s="31">
        <f>COUNTIF(H12:H411,"&lt;&gt;" &amp; "")</f>
        <v>0</v>
      </c>
      <c r="I10" s="31">
        <f t="shared" ref="I10:N10" si="0">COUNTIF(I12:I411,"&lt;&gt;" &amp; "")</f>
        <v>0</v>
      </c>
      <c r="J10" s="31">
        <f t="shared" si="0"/>
        <v>0</v>
      </c>
      <c r="K10" s="31">
        <f t="shared" si="0"/>
        <v>0</v>
      </c>
      <c r="L10" s="31">
        <f t="shared" si="0"/>
        <v>0</v>
      </c>
      <c r="M10" s="31">
        <f t="shared" si="0"/>
        <v>0</v>
      </c>
      <c r="N10" s="31">
        <f t="shared" si="0"/>
        <v>0</v>
      </c>
      <c r="O10" s="31">
        <f>SUM(P12:P411)</f>
        <v>0</v>
      </c>
      <c r="P10" s="33"/>
      <c r="Q10" s="25"/>
      <c r="R10" s="34">
        <f>SUM(R12:R411)</f>
        <v>0</v>
      </c>
      <c r="S10" s="34">
        <f>SUM(S12:S411)</f>
        <v>0</v>
      </c>
      <c r="T10" s="34">
        <f>SUM(T12:T411)</f>
        <v>0</v>
      </c>
      <c r="U10" s="31">
        <f t="shared" ref="U10" si="1">COUNTIF(U12:U411,"&lt;&gt;" &amp; "")</f>
        <v>0</v>
      </c>
    </row>
    <row r="11" spans="1:21" ht="30" x14ac:dyDescent="0.25">
      <c r="A11" s="35"/>
      <c r="B11" s="36" t="s">
        <v>427</v>
      </c>
      <c r="C11" s="37" t="s">
        <v>428</v>
      </c>
      <c r="D11" s="38" t="s">
        <v>429</v>
      </c>
      <c r="E11" s="39" t="s">
        <v>430</v>
      </c>
      <c r="F11" s="40" t="s">
        <v>431</v>
      </c>
      <c r="G11" s="40" t="s">
        <v>432</v>
      </c>
      <c r="H11" s="41" t="s">
        <v>433</v>
      </c>
      <c r="I11" s="41" t="s">
        <v>434</v>
      </c>
      <c r="J11" s="41" t="s">
        <v>435</v>
      </c>
      <c r="K11" s="41" t="s">
        <v>436</v>
      </c>
      <c r="L11" s="41" t="s">
        <v>437</v>
      </c>
      <c r="M11" s="41" t="s">
        <v>438</v>
      </c>
      <c r="N11" s="41" t="s">
        <v>439</v>
      </c>
      <c r="O11" s="42" t="s">
        <v>440</v>
      </c>
      <c r="P11" s="43" t="s">
        <v>441</v>
      </c>
      <c r="Q11" s="43" t="s">
        <v>442</v>
      </c>
      <c r="R11" s="44" t="s">
        <v>443</v>
      </c>
      <c r="S11" s="44" t="s">
        <v>444</v>
      </c>
      <c r="T11" s="45" t="s">
        <v>445</v>
      </c>
      <c r="U11" s="46" t="s">
        <v>446</v>
      </c>
    </row>
    <row r="12" spans="1:21" x14ac:dyDescent="0.25">
      <c r="A12" s="47">
        <f t="shared" ref="A12:A75" si="2">ROW() - ROW(FRegEntriesEnteredHdr)</f>
        <v>1</v>
      </c>
      <c r="B12" s="48"/>
      <c r="C12" s="5" t="s">
        <v>4</v>
      </c>
      <c r="D12" s="5" t="s">
        <v>5</v>
      </c>
      <c r="E12" s="6" t="s">
        <v>6</v>
      </c>
      <c r="F12" s="49"/>
      <c r="G12" s="12" t="s">
        <v>447</v>
      </c>
      <c r="H12" s="50"/>
      <c r="I12" s="48"/>
      <c r="J12" s="48"/>
      <c r="K12" s="48"/>
      <c r="L12" s="48"/>
      <c r="M12" s="48"/>
      <c r="N12" s="48"/>
      <c r="O12" s="51"/>
      <c r="P12" s="52"/>
      <c r="Q12" s="52"/>
      <c r="R12" s="53"/>
      <c r="S12" s="53"/>
      <c r="T12" s="51"/>
      <c r="U12" s="54"/>
    </row>
    <row r="13" spans="1:21" x14ac:dyDescent="0.25">
      <c r="A13" s="47">
        <f t="shared" si="2"/>
        <v>2</v>
      </c>
      <c r="B13" s="48"/>
      <c r="C13" s="7" t="s">
        <v>7</v>
      </c>
      <c r="D13" s="7" t="s">
        <v>8</v>
      </c>
      <c r="E13" s="8" t="s">
        <v>9</v>
      </c>
      <c r="F13" s="55" t="s">
        <v>448</v>
      </c>
      <c r="G13" s="12" t="s">
        <v>449</v>
      </c>
      <c r="H13" s="50"/>
      <c r="I13" s="48"/>
      <c r="J13" s="48"/>
      <c r="K13" s="48"/>
      <c r="L13" s="48"/>
      <c r="M13" s="48"/>
      <c r="N13" s="48"/>
      <c r="O13" s="51"/>
      <c r="P13" s="52"/>
      <c r="Q13" s="52"/>
      <c r="R13" s="53"/>
      <c r="S13" s="53"/>
      <c r="T13" s="51"/>
      <c r="U13" s="54"/>
    </row>
    <row r="14" spans="1:21" x14ac:dyDescent="0.25">
      <c r="A14" s="47">
        <f t="shared" si="2"/>
        <v>3</v>
      </c>
      <c r="B14" s="56"/>
      <c r="C14" s="5" t="s">
        <v>10</v>
      </c>
      <c r="D14" s="5" t="s">
        <v>11</v>
      </c>
      <c r="E14" s="6" t="s">
        <v>12</v>
      </c>
      <c r="F14" s="49"/>
      <c r="G14" s="5" t="s">
        <v>450</v>
      </c>
      <c r="H14" s="56"/>
      <c r="I14" s="56"/>
      <c r="J14" s="56"/>
      <c r="K14" s="57"/>
      <c r="L14" s="57"/>
      <c r="M14" s="57"/>
      <c r="N14" s="57"/>
      <c r="O14" s="51"/>
      <c r="P14" s="58"/>
      <c r="Q14" s="58"/>
      <c r="R14" s="53"/>
      <c r="S14" s="53"/>
      <c r="T14" s="51"/>
      <c r="U14" s="59"/>
    </row>
    <row r="15" spans="1:21" x14ac:dyDescent="0.25">
      <c r="A15" s="47">
        <f t="shared" si="2"/>
        <v>4</v>
      </c>
      <c r="B15" s="48"/>
      <c r="C15" s="7" t="s">
        <v>13</v>
      </c>
      <c r="D15" s="7" t="s">
        <v>14</v>
      </c>
      <c r="E15" s="8" t="s">
        <v>15</v>
      </c>
      <c r="F15" s="60"/>
      <c r="G15" s="61"/>
      <c r="H15" s="50"/>
      <c r="I15" s="48"/>
      <c r="J15" s="48"/>
      <c r="K15" s="48"/>
      <c r="L15" s="48"/>
      <c r="M15" s="48"/>
      <c r="N15" s="48"/>
      <c r="O15" s="51"/>
      <c r="P15" s="62"/>
      <c r="Q15" s="52"/>
      <c r="R15" s="53"/>
      <c r="S15" s="53"/>
      <c r="T15" s="51"/>
      <c r="U15" s="54"/>
    </row>
    <row r="16" spans="1:21" x14ac:dyDescent="0.25">
      <c r="A16" s="47">
        <f t="shared" si="2"/>
        <v>5</v>
      </c>
      <c r="B16" s="48"/>
      <c r="C16" s="5" t="s">
        <v>16</v>
      </c>
      <c r="D16" s="5" t="s">
        <v>17</v>
      </c>
      <c r="E16" s="6" t="s">
        <v>18</v>
      </c>
      <c r="F16" s="49">
        <v>9098875893</v>
      </c>
      <c r="G16" s="63" t="s">
        <v>451</v>
      </c>
      <c r="H16" s="50"/>
      <c r="I16" s="48"/>
      <c r="J16" s="48"/>
      <c r="K16" s="48"/>
      <c r="L16" s="48"/>
      <c r="M16" s="48"/>
      <c r="N16" s="48"/>
      <c r="O16" s="51"/>
      <c r="P16" s="52"/>
      <c r="Q16" s="52"/>
      <c r="R16" s="53"/>
      <c r="S16" s="53"/>
      <c r="T16" s="51"/>
      <c r="U16" s="54"/>
    </row>
    <row r="17" spans="1:21" x14ac:dyDescent="0.25">
      <c r="A17" s="47">
        <f t="shared" si="2"/>
        <v>6</v>
      </c>
      <c r="B17" s="48"/>
      <c r="C17" s="5" t="s">
        <v>19</v>
      </c>
      <c r="D17" s="5" t="s">
        <v>20</v>
      </c>
      <c r="E17" s="6" t="s">
        <v>21</v>
      </c>
      <c r="F17" s="49"/>
      <c r="G17" s="12" t="s">
        <v>452</v>
      </c>
      <c r="H17" s="50"/>
      <c r="I17" s="48"/>
      <c r="J17" s="48"/>
      <c r="K17" s="48"/>
      <c r="L17" s="48"/>
      <c r="M17" s="48"/>
      <c r="N17" s="48"/>
      <c r="O17" s="51"/>
      <c r="P17" s="52"/>
      <c r="Q17" s="52"/>
      <c r="R17" s="53"/>
      <c r="S17" s="53"/>
      <c r="T17" s="51"/>
      <c r="U17" s="54"/>
    </row>
    <row r="18" spans="1:21" x14ac:dyDescent="0.25">
      <c r="A18" s="47">
        <f t="shared" si="2"/>
        <v>7</v>
      </c>
      <c r="B18" s="48"/>
      <c r="C18" s="7" t="s">
        <v>22</v>
      </c>
      <c r="D18" s="7" t="s">
        <v>20</v>
      </c>
      <c r="E18" s="8" t="s">
        <v>23</v>
      </c>
      <c r="F18" s="64">
        <v>9168138609</v>
      </c>
      <c r="G18" s="12" t="s">
        <v>453</v>
      </c>
      <c r="H18" s="50"/>
      <c r="I18" s="48"/>
      <c r="J18" s="48"/>
      <c r="K18" s="48"/>
      <c r="L18" s="48"/>
      <c r="M18" s="48"/>
      <c r="N18" s="48"/>
      <c r="O18" s="51"/>
      <c r="P18" s="52"/>
      <c r="Q18" s="52"/>
      <c r="R18" s="53"/>
      <c r="S18" s="53"/>
      <c r="T18" s="51"/>
      <c r="U18" s="54"/>
    </row>
    <row r="19" spans="1:21" x14ac:dyDescent="0.25">
      <c r="A19" s="47">
        <f t="shared" si="2"/>
        <v>8</v>
      </c>
      <c r="B19" s="48"/>
      <c r="C19" s="5" t="s">
        <v>24</v>
      </c>
      <c r="D19" s="5" t="s">
        <v>25</v>
      </c>
      <c r="E19" s="6" t="s">
        <v>26</v>
      </c>
      <c r="F19" s="49">
        <v>5302775321</v>
      </c>
      <c r="G19" s="63" t="s">
        <v>454</v>
      </c>
      <c r="H19" s="50"/>
      <c r="I19" s="48"/>
      <c r="J19" s="48"/>
      <c r="K19" s="48"/>
      <c r="L19" s="48"/>
      <c r="M19" s="48"/>
      <c r="N19" s="48"/>
      <c r="O19" s="51"/>
      <c r="P19" s="52"/>
      <c r="Q19" s="52"/>
      <c r="R19" s="53"/>
      <c r="S19" s="53"/>
      <c r="T19" s="51"/>
      <c r="U19" s="54"/>
    </row>
    <row r="20" spans="1:21" x14ac:dyDescent="0.25">
      <c r="A20" s="47">
        <f t="shared" si="2"/>
        <v>9</v>
      </c>
      <c r="B20" s="48"/>
      <c r="C20" s="5" t="s">
        <v>27</v>
      </c>
      <c r="D20" s="5" t="s">
        <v>28</v>
      </c>
      <c r="E20" s="6" t="s">
        <v>29</v>
      </c>
      <c r="F20" s="65"/>
      <c r="G20" s="12" t="s">
        <v>455</v>
      </c>
      <c r="H20" s="50"/>
      <c r="I20" s="48"/>
      <c r="J20" s="48"/>
      <c r="K20" s="48"/>
      <c r="L20" s="48"/>
      <c r="M20" s="48"/>
      <c r="N20" s="48"/>
      <c r="O20" s="51"/>
      <c r="P20" s="52"/>
      <c r="Q20" s="52"/>
      <c r="R20" s="53"/>
      <c r="S20" s="53"/>
      <c r="T20" s="51"/>
      <c r="U20" s="54"/>
    </row>
    <row r="21" spans="1:21" x14ac:dyDescent="0.25">
      <c r="A21" s="47">
        <f t="shared" si="2"/>
        <v>10</v>
      </c>
      <c r="B21" s="56"/>
      <c r="C21" s="5" t="s">
        <v>30</v>
      </c>
      <c r="D21" s="5" t="s">
        <v>20</v>
      </c>
      <c r="E21" s="6" t="s">
        <v>31</v>
      </c>
      <c r="F21" s="65">
        <v>9162036636</v>
      </c>
      <c r="G21" s="12" t="s">
        <v>456</v>
      </c>
      <c r="H21" s="56"/>
      <c r="I21" s="56"/>
      <c r="J21" s="56"/>
      <c r="K21" s="57"/>
      <c r="L21" s="57"/>
      <c r="M21" s="57"/>
      <c r="N21" s="57"/>
      <c r="O21" s="51"/>
      <c r="P21" s="58"/>
      <c r="Q21" s="58"/>
      <c r="R21" s="53"/>
      <c r="S21" s="53"/>
      <c r="T21" s="51"/>
      <c r="U21" s="51"/>
    </row>
    <row r="22" spans="1:21" x14ac:dyDescent="0.25">
      <c r="A22" s="47">
        <f t="shared" si="2"/>
        <v>11</v>
      </c>
      <c r="B22" s="56"/>
      <c r="C22" s="7" t="s">
        <v>32</v>
      </c>
      <c r="D22" s="7" t="s">
        <v>33</v>
      </c>
      <c r="E22" s="8" t="s">
        <v>34</v>
      </c>
      <c r="F22" s="66">
        <v>7078430109</v>
      </c>
      <c r="G22" s="63" t="s">
        <v>457</v>
      </c>
      <c r="H22" s="56"/>
      <c r="I22" s="56"/>
      <c r="J22" s="56"/>
      <c r="K22" s="57"/>
      <c r="L22" s="57"/>
      <c r="M22" s="57"/>
      <c r="N22" s="57"/>
      <c r="O22" s="51"/>
      <c r="P22" s="58"/>
      <c r="Q22" s="58"/>
      <c r="R22" s="53"/>
      <c r="S22" s="53"/>
      <c r="T22" s="51"/>
      <c r="U22" s="51"/>
    </row>
    <row r="23" spans="1:21" x14ac:dyDescent="0.25">
      <c r="A23" s="47">
        <f t="shared" si="2"/>
        <v>12</v>
      </c>
      <c r="B23" s="48"/>
      <c r="C23" s="5" t="s">
        <v>35</v>
      </c>
      <c r="D23" s="5" t="s">
        <v>36</v>
      </c>
      <c r="E23" s="6" t="s">
        <v>37</v>
      </c>
      <c r="F23" s="65">
        <v>8054892161</v>
      </c>
      <c r="G23" s="15" t="s">
        <v>458</v>
      </c>
      <c r="H23" s="50"/>
      <c r="I23" s="48"/>
      <c r="J23" s="48"/>
      <c r="K23" s="48"/>
      <c r="L23" s="48"/>
      <c r="M23" s="48"/>
      <c r="N23" s="48"/>
      <c r="O23" s="51"/>
      <c r="P23" s="52"/>
      <c r="Q23" s="52"/>
      <c r="R23" s="53"/>
      <c r="S23" s="53"/>
      <c r="T23" s="51"/>
      <c r="U23" s="54"/>
    </row>
    <row r="24" spans="1:21" x14ac:dyDescent="0.25">
      <c r="A24" s="47">
        <f t="shared" si="2"/>
        <v>13</v>
      </c>
      <c r="B24" s="56"/>
      <c r="C24" s="5" t="s">
        <v>38</v>
      </c>
      <c r="D24" s="5" t="s">
        <v>39</v>
      </c>
      <c r="E24" s="6" t="s">
        <v>40</v>
      </c>
      <c r="F24" s="65">
        <v>9167055602</v>
      </c>
      <c r="G24" s="12" t="s">
        <v>459</v>
      </c>
      <c r="H24" s="56"/>
      <c r="I24" s="56"/>
      <c r="J24" s="56"/>
      <c r="K24" s="57"/>
      <c r="L24" s="57"/>
      <c r="M24" s="57"/>
      <c r="N24" s="57"/>
      <c r="O24" s="51"/>
      <c r="P24" s="58"/>
      <c r="Q24" s="58"/>
      <c r="R24" s="53"/>
      <c r="S24" s="53"/>
      <c r="T24" s="51"/>
      <c r="U24" s="51"/>
    </row>
    <row r="25" spans="1:21" x14ac:dyDescent="0.25">
      <c r="A25" s="47">
        <f t="shared" si="2"/>
        <v>14</v>
      </c>
      <c r="B25" s="56"/>
      <c r="C25" s="5" t="s">
        <v>41</v>
      </c>
      <c r="D25" s="5" t="s">
        <v>42</v>
      </c>
      <c r="E25" s="6" t="s">
        <v>43</v>
      </c>
      <c r="F25" s="55" t="s">
        <v>460</v>
      </c>
      <c r="G25" s="15" t="s">
        <v>461</v>
      </c>
      <c r="H25" s="56"/>
      <c r="I25" s="56"/>
      <c r="J25" s="56"/>
      <c r="K25" s="57"/>
      <c r="L25" s="57"/>
      <c r="M25" s="57"/>
      <c r="N25" s="57"/>
      <c r="O25" s="51"/>
      <c r="P25" s="58"/>
      <c r="Q25" s="58"/>
      <c r="R25" s="53"/>
      <c r="S25" s="53"/>
      <c r="T25" s="51"/>
      <c r="U25" s="51"/>
    </row>
    <row r="26" spans="1:21" x14ac:dyDescent="0.25">
      <c r="A26" s="47">
        <f t="shared" si="2"/>
        <v>15</v>
      </c>
      <c r="B26" s="48"/>
      <c r="C26" s="7" t="s">
        <v>44</v>
      </c>
      <c r="D26" s="7" t="s">
        <v>45</v>
      </c>
      <c r="E26" s="8" t="s">
        <v>46</v>
      </c>
      <c r="F26" s="66" t="s">
        <v>462</v>
      </c>
      <c r="G26" s="12" t="s">
        <v>463</v>
      </c>
      <c r="H26" s="50"/>
      <c r="I26" s="48"/>
      <c r="J26" s="48"/>
      <c r="K26" s="48"/>
      <c r="L26" s="48"/>
      <c r="M26" s="48"/>
      <c r="N26" s="48"/>
      <c r="O26" s="51"/>
      <c r="P26" s="52"/>
      <c r="Q26" s="52"/>
      <c r="R26" s="53"/>
      <c r="S26" s="53"/>
      <c r="T26" s="51"/>
      <c r="U26" s="54"/>
    </row>
    <row r="27" spans="1:21" x14ac:dyDescent="0.25">
      <c r="A27" s="47">
        <f t="shared" si="2"/>
        <v>16</v>
      </c>
      <c r="B27" s="56"/>
      <c r="C27" s="7" t="s">
        <v>47</v>
      </c>
      <c r="D27" s="7" t="s">
        <v>45</v>
      </c>
      <c r="E27" s="8" t="s">
        <v>48</v>
      </c>
      <c r="F27" s="66" t="s">
        <v>462</v>
      </c>
      <c r="G27" s="12" t="s">
        <v>463</v>
      </c>
      <c r="H27" s="57"/>
      <c r="I27" s="57"/>
      <c r="J27" s="57"/>
      <c r="K27" s="57"/>
      <c r="L27" s="57"/>
      <c r="M27" s="57"/>
      <c r="N27" s="57"/>
      <c r="O27" s="51"/>
      <c r="P27" s="58"/>
      <c r="Q27" s="58"/>
      <c r="R27" s="53"/>
      <c r="S27" s="53"/>
      <c r="T27" s="51"/>
      <c r="U27" s="51"/>
    </row>
    <row r="28" spans="1:21" x14ac:dyDescent="0.25">
      <c r="A28" s="47">
        <f t="shared" si="2"/>
        <v>17</v>
      </c>
      <c r="B28" s="56"/>
      <c r="C28" s="5" t="s">
        <v>49</v>
      </c>
      <c r="D28" s="5" t="s">
        <v>50</v>
      </c>
      <c r="E28" s="6" t="s">
        <v>51</v>
      </c>
      <c r="F28" s="65"/>
      <c r="G28" s="12" t="s">
        <v>464</v>
      </c>
      <c r="H28" s="56"/>
      <c r="I28" s="56"/>
      <c r="J28" s="56"/>
      <c r="K28" s="57"/>
      <c r="L28" s="57"/>
      <c r="M28" s="57"/>
      <c r="N28" s="57"/>
      <c r="O28" s="51"/>
      <c r="P28" s="58"/>
      <c r="Q28" s="58"/>
      <c r="R28" s="53"/>
      <c r="S28" s="53"/>
      <c r="T28" s="51"/>
      <c r="U28" s="59"/>
    </row>
    <row r="29" spans="1:21" x14ac:dyDescent="0.25">
      <c r="A29" s="47">
        <f t="shared" si="2"/>
        <v>18</v>
      </c>
      <c r="B29" s="48"/>
      <c r="C29" s="5" t="s">
        <v>52</v>
      </c>
      <c r="D29" s="7" t="s">
        <v>45</v>
      </c>
      <c r="E29" s="6" t="s">
        <v>53</v>
      </c>
      <c r="F29" s="65" t="s">
        <v>465</v>
      </c>
      <c r="G29" s="12" t="s">
        <v>466</v>
      </c>
      <c r="H29" s="50"/>
      <c r="I29" s="48"/>
      <c r="J29" s="48"/>
      <c r="K29" s="48"/>
      <c r="L29" s="48"/>
      <c r="M29" s="48"/>
      <c r="N29" s="48"/>
      <c r="O29" s="51"/>
      <c r="P29" s="52"/>
      <c r="Q29" s="52"/>
      <c r="R29" s="53"/>
      <c r="S29" s="53"/>
      <c r="T29" s="51"/>
      <c r="U29" s="54"/>
    </row>
    <row r="30" spans="1:21" x14ac:dyDescent="0.25">
      <c r="A30" s="47">
        <f t="shared" si="2"/>
        <v>19</v>
      </c>
      <c r="B30" s="48"/>
      <c r="C30" s="5" t="s">
        <v>54</v>
      </c>
      <c r="D30" s="5" t="s">
        <v>55</v>
      </c>
      <c r="E30" s="6" t="s">
        <v>56</v>
      </c>
      <c r="F30" s="65"/>
      <c r="G30" s="12" t="s">
        <v>467</v>
      </c>
      <c r="H30" s="50"/>
      <c r="I30" s="48"/>
      <c r="J30" s="48"/>
      <c r="K30" s="48"/>
      <c r="L30" s="48"/>
      <c r="M30" s="48"/>
      <c r="N30" s="48"/>
      <c r="O30" s="51"/>
      <c r="P30" s="52"/>
      <c r="Q30" s="52"/>
      <c r="R30" s="53"/>
      <c r="S30" s="53"/>
      <c r="T30" s="51"/>
      <c r="U30" s="54"/>
    </row>
    <row r="31" spans="1:21" x14ac:dyDescent="0.25">
      <c r="A31" s="47">
        <f t="shared" si="2"/>
        <v>20</v>
      </c>
      <c r="B31" s="56"/>
      <c r="C31" s="5" t="s">
        <v>57</v>
      </c>
      <c r="D31" s="5" t="s">
        <v>58</v>
      </c>
      <c r="E31" s="6" t="s">
        <v>59</v>
      </c>
      <c r="F31" s="65"/>
      <c r="G31" s="12" t="s">
        <v>468</v>
      </c>
      <c r="H31" s="56"/>
      <c r="I31" s="56"/>
      <c r="J31" s="56"/>
      <c r="K31" s="57"/>
      <c r="L31" s="57"/>
      <c r="M31" s="57"/>
      <c r="N31" s="57"/>
      <c r="O31" s="51"/>
      <c r="P31" s="58"/>
      <c r="Q31" s="58"/>
      <c r="R31" s="53"/>
      <c r="S31" s="53"/>
      <c r="T31" s="51"/>
      <c r="U31" s="51"/>
    </row>
    <row r="32" spans="1:21" x14ac:dyDescent="0.25">
      <c r="A32" s="47">
        <f t="shared" si="2"/>
        <v>21</v>
      </c>
      <c r="B32" s="48"/>
      <c r="C32" s="7" t="s">
        <v>60</v>
      </c>
      <c r="D32" s="7" t="s">
        <v>61</v>
      </c>
      <c r="E32" s="8" t="s">
        <v>62</v>
      </c>
      <c r="F32" s="66">
        <v>9253213485</v>
      </c>
      <c r="G32" s="12" t="s">
        <v>469</v>
      </c>
      <c r="H32" s="50"/>
      <c r="I32" s="48"/>
      <c r="J32" s="48"/>
      <c r="K32" s="48"/>
      <c r="L32" s="48"/>
      <c r="M32" s="48"/>
      <c r="N32" s="48"/>
      <c r="O32" s="51"/>
      <c r="P32" s="52"/>
      <c r="Q32" s="52"/>
      <c r="R32" s="53"/>
      <c r="S32" s="53"/>
      <c r="T32" s="51"/>
      <c r="U32" s="54"/>
    </row>
    <row r="33" spans="1:21" x14ac:dyDescent="0.25">
      <c r="A33" s="47">
        <f t="shared" si="2"/>
        <v>22</v>
      </c>
      <c r="B33" s="48"/>
      <c r="C33" s="5" t="s">
        <v>63</v>
      </c>
      <c r="D33" s="5" t="s">
        <v>64</v>
      </c>
      <c r="E33" s="6" t="s">
        <v>65</v>
      </c>
      <c r="F33" s="65"/>
      <c r="G33" s="12"/>
      <c r="H33" s="50"/>
      <c r="I33" s="48"/>
      <c r="J33" s="48"/>
      <c r="K33" s="48"/>
      <c r="L33" s="48"/>
      <c r="M33" s="48"/>
      <c r="N33" s="48"/>
      <c r="O33" s="67"/>
      <c r="P33" s="52"/>
      <c r="Q33" s="52"/>
      <c r="R33" s="53"/>
      <c r="S33" s="53"/>
      <c r="T33" s="51"/>
      <c r="U33" s="54"/>
    </row>
    <row r="34" spans="1:21" x14ac:dyDescent="0.25">
      <c r="A34" s="47">
        <f t="shared" si="2"/>
        <v>23</v>
      </c>
      <c r="B34" s="48"/>
      <c r="C34" s="5" t="s">
        <v>66</v>
      </c>
      <c r="D34" s="5" t="s">
        <v>67</v>
      </c>
      <c r="E34" s="6" t="s">
        <v>68</v>
      </c>
      <c r="F34" s="49"/>
      <c r="G34" s="12"/>
      <c r="H34" s="50"/>
      <c r="I34" s="48"/>
      <c r="J34" s="48"/>
      <c r="K34" s="48"/>
      <c r="L34" s="48"/>
      <c r="M34" s="48"/>
      <c r="N34" s="48"/>
      <c r="O34" s="67"/>
      <c r="P34" s="52"/>
      <c r="Q34" s="52"/>
      <c r="R34" s="53"/>
      <c r="S34" s="53"/>
      <c r="T34" s="54"/>
      <c r="U34" s="54"/>
    </row>
    <row r="35" spans="1:21" x14ac:dyDescent="0.25">
      <c r="A35" s="47">
        <f t="shared" si="2"/>
        <v>24</v>
      </c>
      <c r="B35" s="48"/>
      <c r="C35" s="5" t="s">
        <v>69</v>
      </c>
      <c r="D35" s="5" t="s">
        <v>67</v>
      </c>
      <c r="E35" s="6" t="s">
        <v>70</v>
      </c>
      <c r="F35" s="49"/>
      <c r="G35" s="63" t="s">
        <v>470</v>
      </c>
      <c r="H35" s="50"/>
      <c r="I35" s="48"/>
      <c r="J35" s="48"/>
      <c r="K35" s="48"/>
      <c r="L35" s="48"/>
      <c r="M35" s="48"/>
      <c r="N35" s="48"/>
      <c r="O35" s="67"/>
      <c r="P35" s="52"/>
      <c r="Q35" s="58"/>
      <c r="R35" s="53"/>
      <c r="S35" s="53"/>
      <c r="T35" s="51"/>
      <c r="U35" s="54"/>
    </row>
    <row r="36" spans="1:21" x14ac:dyDescent="0.25">
      <c r="A36" s="47">
        <f t="shared" si="2"/>
        <v>25</v>
      </c>
      <c r="B36" s="56"/>
      <c r="C36" s="7" t="s">
        <v>71</v>
      </c>
      <c r="D36" s="7" t="s">
        <v>72</v>
      </c>
      <c r="E36" s="8" t="s">
        <v>73</v>
      </c>
      <c r="F36" s="60">
        <v>9705539123</v>
      </c>
      <c r="G36" s="12" t="s">
        <v>471</v>
      </c>
      <c r="H36" s="56"/>
      <c r="I36" s="56"/>
      <c r="J36" s="56"/>
      <c r="K36" s="57"/>
      <c r="L36" s="57"/>
      <c r="M36" s="57"/>
      <c r="N36" s="57"/>
      <c r="O36" s="67"/>
      <c r="P36" s="58"/>
      <c r="Q36" s="58"/>
      <c r="R36" s="53"/>
      <c r="S36" s="53"/>
      <c r="T36" s="51"/>
      <c r="U36" s="51"/>
    </row>
    <row r="37" spans="1:21" x14ac:dyDescent="0.25">
      <c r="A37" s="47">
        <f t="shared" si="2"/>
        <v>26</v>
      </c>
      <c r="B37" s="56"/>
      <c r="C37" s="7" t="s">
        <v>74</v>
      </c>
      <c r="D37" s="7" t="s">
        <v>75</v>
      </c>
      <c r="E37" s="8" t="s">
        <v>76</v>
      </c>
      <c r="F37" s="60"/>
      <c r="G37" s="12" t="s">
        <v>472</v>
      </c>
      <c r="H37" s="56"/>
      <c r="I37" s="56"/>
      <c r="J37" s="56"/>
      <c r="K37" s="57"/>
      <c r="L37" s="57"/>
      <c r="M37" s="57"/>
      <c r="N37" s="57"/>
      <c r="O37" s="67"/>
      <c r="P37" s="58"/>
      <c r="Q37" s="58"/>
      <c r="R37" s="53"/>
      <c r="S37" s="53"/>
      <c r="T37" s="51"/>
      <c r="U37" s="51"/>
    </row>
    <row r="38" spans="1:21" ht="15.75" x14ac:dyDescent="0.25">
      <c r="A38" s="47">
        <f t="shared" si="2"/>
        <v>27</v>
      </c>
      <c r="B38" s="56"/>
      <c r="C38" s="7" t="s">
        <v>77</v>
      </c>
      <c r="D38" s="7" t="s">
        <v>78</v>
      </c>
      <c r="E38" s="9" t="s">
        <v>79</v>
      </c>
      <c r="F38" s="10" t="s">
        <v>473</v>
      </c>
      <c r="G38" s="15" t="s">
        <v>474</v>
      </c>
      <c r="H38" s="56"/>
      <c r="I38" s="56"/>
      <c r="J38" s="56"/>
      <c r="K38" s="57"/>
      <c r="L38" s="57"/>
      <c r="M38" s="57"/>
      <c r="N38" s="57"/>
      <c r="O38" s="67"/>
      <c r="P38" s="58"/>
      <c r="Q38" s="58"/>
      <c r="R38" s="53"/>
      <c r="S38" s="53"/>
      <c r="T38" s="51"/>
      <c r="U38" s="51"/>
    </row>
    <row r="39" spans="1:21" x14ac:dyDescent="0.25">
      <c r="A39" s="47">
        <f t="shared" si="2"/>
        <v>28</v>
      </c>
      <c r="B39" s="56"/>
      <c r="C39" s="5" t="s">
        <v>80</v>
      </c>
      <c r="D39" s="5" t="s">
        <v>81</v>
      </c>
      <c r="E39" s="6" t="s">
        <v>82</v>
      </c>
      <c r="F39" s="49"/>
      <c r="G39" s="12" t="s">
        <v>475</v>
      </c>
      <c r="H39" s="56"/>
      <c r="I39" s="56"/>
      <c r="J39" s="56"/>
      <c r="K39" s="57"/>
      <c r="L39" s="57"/>
      <c r="M39" s="57"/>
      <c r="N39" s="57"/>
      <c r="O39" s="67"/>
      <c r="P39" s="58"/>
      <c r="Q39" s="58"/>
      <c r="R39" s="53"/>
      <c r="S39" s="53"/>
      <c r="T39" s="51"/>
      <c r="U39" s="51"/>
    </row>
    <row r="40" spans="1:21" x14ac:dyDescent="0.25">
      <c r="A40" s="47">
        <f t="shared" si="2"/>
        <v>29</v>
      </c>
      <c r="B40" s="48"/>
      <c r="C40" s="7" t="s">
        <v>83</v>
      </c>
      <c r="D40" s="7" t="s">
        <v>84</v>
      </c>
      <c r="E40" s="8" t="s">
        <v>85</v>
      </c>
      <c r="F40" s="60"/>
      <c r="G40" s="12" t="s">
        <v>476</v>
      </c>
      <c r="H40" s="50"/>
      <c r="I40" s="48"/>
      <c r="J40" s="48"/>
      <c r="K40" s="48"/>
      <c r="L40" s="48"/>
      <c r="M40" s="48"/>
      <c r="N40" s="48"/>
      <c r="O40" s="67"/>
      <c r="P40" s="52"/>
      <c r="Q40" s="58"/>
      <c r="R40" s="53"/>
      <c r="S40" s="53"/>
      <c r="T40" s="51"/>
      <c r="U40" s="54"/>
    </row>
    <row r="41" spans="1:21" x14ac:dyDescent="0.25">
      <c r="A41" s="47">
        <f t="shared" si="2"/>
        <v>30</v>
      </c>
      <c r="B41" s="48"/>
      <c r="C41" s="7" t="s">
        <v>86</v>
      </c>
      <c r="D41" s="7" t="s">
        <v>64</v>
      </c>
      <c r="E41" s="8" t="s">
        <v>87</v>
      </c>
      <c r="F41" s="60">
        <v>7073175740</v>
      </c>
      <c r="G41" s="63" t="s">
        <v>477</v>
      </c>
      <c r="H41" s="50"/>
      <c r="I41" s="48"/>
      <c r="J41" s="48"/>
      <c r="K41" s="48"/>
      <c r="L41" s="48"/>
      <c r="M41" s="48"/>
      <c r="N41" s="48"/>
      <c r="O41" s="67"/>
      <c r="P41" s="52"/>
      <c r="Q41" s="52"/>
      <c r="R41" s="53"/>
      <c r="S41" s="53"/>
      <c r="T41" s="51"/>
      <c r="U41" s="54"/>
    </row>
    <row r="42" spans="1:21" x14ac:dyDescent="0.25">
      <c r="A42" s="47">
        <f t="shared" si="2"/>
        <v>31</v>
      </c>
      <c r="B42" s="48"/>
      <c r="C42" s="5" t="s">
        <v>88</v>
      </c>
      <c r="D42" s="5" t="s">
        <v>84</v>
      </c>
      <c r="E42" s="6" t="s">
        <v>89</v>
      </c>
      <c r="F42" s="49"/>
      <c r="G42" s="12" t="s">
        <v>478</v>
      </c>
      <c r="H42" s="50"/>
      <c r="I42" s="48"/>
      <c r="J42" s="48"/>
      <c r="K42" s="48"/>
      <c r="L42" s="48"/>
      <c r="M42" s="48"/>
      <c r="N42" s="48"/>
      <c r="O42" s="67"/>
      <c r="P42" s="52"/>
      <c r="Q42" s="58"/>
      <c r="R42" s="53"/>
      <c r="S42" s="53"/>
      <c r="T42" s="51"/>
      <c r="U42" s="54"/>
    </row>
    <row r="43" spans="1:21" x14ac:dyDescent="0.25">
      <c r="A43" s="47">
        <f t="shared" si="2"/>
        <v>32</v>
      </c>
      <c r="B43" s="48"/>
      <c r="C43" s="7" t="s">
        <v>90</v>
      </c>
      <c r="D43" s="7" t="s">
        <v>91</v>
      </c>
      <c r="E43" s="8" t="s">
        <v>92</v>
      </c>
      <c r="F43" s="60" t="s">
        <v>479</v>
      </c>
      <c r="G43" s="12" t="s">
        <v>480</v>
      </c>
      <c r="H43" s="50"/>
      <c r="I43" s="48"/>
      <c r="J43" s="48"/>
      <c r="K43" s="48"/>
      <c r="L43" s="48"/>
      <c r="M43" s="48"/>
      <c r="N43" s="48"/>
      <c r="O43" s="67"/>
      <c r="P43" s="52"/>
      <c r="Q43" s="52"/>
      <c r="R43" s="53"/>
      <c r="S43" s="53"/>
      <c r="T43" s="51"/>
      <c r="U43" s="54"/>
    </row>
    <row r="44" spans="1:21" x14ac:dyDescent="0.25">
      <c r="A44" s="47">
        <f t="shared" si="2"/>
        <v>33</v>
      </c>
      <c r="B44" s="56"/>
      <c r="C44" s="7" t="s">
        <v>93</v>
      </c>
      <c r="D44" s="7" t="s">
        <v>94</v>
      </c>
      <c r="E44" s="8" t="s">
        <v>95</v>
      </c>
      <c r="F44" s="60"/>
      <c r="G44" s="12" t="s">
        <v>481</v>
      </c>
      <c r="H44" s="56"/>
      <c r="I44" s="56"/>
      <c r="J44" s="56"/>
      <c r="K44" s="57"/>
      <c r="L44" s="57"/>
      <c r="M44" s="57"/>
      <c r="N44" s="57"/>
      <c r="O44" s="67"/>
      <c r="P44" s="58"/>
      <c r="Q44" s="58"/>
      <c r="R44" s="53"/>
      <c r="S44" s="53"/>
      <c r="T44" s="51"/>
      <c r="U44" s="51"/>
    </row>
    <row r="45" spans="1:21" x14ac:dyDescent="0.25">
      <c r="A45" s="47">
        <f t="shared" si="2"/>
        <v>34</v>
      </c>
      <c r="B45" s="48"/>
      <c r="C45" s="5" t="s">
        <v>96</v>
      </c>
      <c r="D45" s="5" t="s">
        <v>97</v>
      </c>
      <c r="E45" s="6" t="s">
        <v>98</v>
      </c>
      <c r="F45" s="49"/>
      <c r="G45" s="12" t="s">
        <v>482</v>
      </c>
      <c r="H45" s="50"/>
      <c r="I45" s="48"/>
      <c r="J45" s="48"/>
      <c r="K45" s="48"/>
      <c r="L45" s="48"/>
      <c r="M45" s="48"/>
      <c r="N45" s="48"/>
      <c r="O45" s="67"/>
      <c r="P45" s="52"/>
      <c r="Q45" s="52"/>
      <c r="R45" s="53"/>
      <c r="S45" s="53"/>
      <c r="T45" s="54"/>
      <c r="U45" s="54"/>
    </row>
    <row r="46" spans="1:21" x14ac:dyDescent="0.25">
      <c r="A46" s="47">
        <f t="shared" si="2"/>
        <v>35</v>
      </c>
      <c r="B46" s="48"/>
      <c r="C46" s="7" t="s">
        <v>99</v>
      </c>
      <c r="D46" s="7" t="s">
        <v>100</v>
      </c>
      <c r="E46" s="8" t="s">
        <v>101</v>
      </c>
      <c r="F46" s="60"/>
      <c r="G46" s="12" t="s">
        <v>483</v>
      </c>
      <c r="H46" s="50"/>
      <c r="I46" s="48"/>
      <c r="J46" s="48"/>
      <c r="K46" s="48"/>
      <c r="L46" s="48"/>
      <c r="M46" s="48"/>
      <c r="N46" s="48"/>
      <c r="O46" s="67"/>
      <c r="P46" s="52"/>
      <c r="Q46" s="52"/>
      <c r="R46" s="53"/>
      <c r="S46" s="53"/>
      <c r="T46" s="51"/>
      <c r="U46" s="54"/>
    </row>
    <row r="47" spans="1:21" x14ac:dyDescent="0.25">
      <c r="A47" s="47">
        <f t="shared" si="2"/>
        <v>36</v>
      </c>
      <c r="B47" s="56"/>
      <c r="C47" s="5" t="s">
        <v>102</v>
      </c>
      <c r="D47" s="5" t="s">
        <v>103</v>
      </c>
      <c r="E47" s="6" t="s">
        <v>104</v>
      </c>
      <c r="F47" s="49">
        <v>9165213208</v>
      </c>
      <c r="G47" s="12" t="s">
        <v>484</v>
      </c>
      <c r="H47" s="56"/>
      <c r="I47" s="56"/>
      <c r="J47" s="56"/>
      <c r="K47" s="57"/>
      <c r="L47" s="57"/>
      <c r="M47" s="57"/>
      <c r="N47" s="57"/>
      <c r="O47" s="67"/>
      <c r="P47" s="58"/>
      <c r="Q47" s="58"/>
      <c r="R47" s="53"/>
      <c r="S47" s="53"/>
      <c r="T47" s="51"/>
      <c r="U47" s="51"/>
    </row>
    <row r="48" spans="1:21" x14ac:dyDescent="0.25">
      <c r="A48" s="47">
        <f t="shared" si="2"/>
        <v>37</v>
      </c>
      <c r="B48" s="56"/>
      <c r="C48" s="5" t="s">
        <v>105</v>
      </c>
      <c r="D48" s="5" t="s">
        <v>106</v>
      </c>
      <c r="E48" s="6" t="s">
        <v>107</v>
      </c>
      <c r="F48" s="49"/>
      <c r="G48" s="12" t="s">
        <v>485</v>
      </c>
      <c r="H48" s="56"/>
      <c r="I48" s="56"/>
      <c r="J48" s="56"/>
      <c r="K48" s="57"/>
      <c r="L48" s="57"/>
      <c r="M48" s="57"/>
      <c r="N48" s="57"/>
      <c r="O48" s="67"/>
      <c r="P48" s="58"/>
      <c r="Q48" s="58"/>
      <c r="R48" s="53"/>
      <c r="S48" s="53"/>
      <c r="T48" s="51"/>
      <c r="U48" s="51"/>
    </row>
    <row r="49" spans="1:21" x14ac:dyDescent="0.25">
      <c r="A49" s="47">
        <f t="shared" si="2"/>
        <v>38</v>
      </c>
      <c r="B49" s="56"/>
      <c r="C49" s="7" t="s">
        <v>108</v>
      </c>
      <c r="D49" s="7" t="s">
        <v>72</v>
      </c>
      <c r="E49" s="8" t="s">
        <v>109</v>
      </c>
      <c r="F49" s="55" t="s">
        <v>486</v>
      </c>
      <c r="G49" s="12" t="s">
        <v>487</v>
      </c>
      <c r="H49" s="56"/>
      <c r="I49" s="56"/>
      <c r="J49" s="56"/>
      <c r="K49" s="57"/>
      <c r="L49" s="57"/>
      <c r="M49" s="57"/>
      <c r="N49" s="57"/>
      <c r="O49" s="67"/>
      <c r="P49" s="58"/>
      <c r="Q49" s="58"/>
      <c r="R49" s="53"/>
      <c r="S49" s="53"/>
      <c r="T49" s="51"/>
      <c r="U49" s="51"/>
    </row>
    <row r="50" spans="1:21" x14ac:dyDescent="0.25">
      <c r="A50" s="47">
        <f t="shared" si="2"/>
        <v>39</v>
      </c>
      <c r="B50" s="56"/>
      <c r="C50" s="7" t="s">
        <v>110</v>
      </c>
      <c r="D50" s="7" t="s">
        <v>20</v>
      </c>
      <c r="E50" s="8" t="s">
        <v>111</v>
      </c>
      <c r="F50" s="55" t="s">
        <v>488</v>
      </c>
      <c r="G50" s="12" t="s">
        <v>489</v>
      </c>
      <c r="H50" s="56"/>
      <c r="I50" s="56"/>
      <c r="J50" s="56"/>
      <c r="K50" s="57"/>
      <c r="L50" s="57"/>
      <c r="M50" s="57"/>
      <c r="N50" s="57"/>
      <c r="O50" s="67"/>
      <c r="P50" s="58"/>
      <c r="Q50" s="68"/>
      <c r="R50" s="53"/>
      <c r="S50" s="53"/>
      <c r="T50" s="51"/>
      <c r="U50" s="51"/>
    </row>
    <row r="51" spans="1:21" x14ac:dyDescent="0.25">
      <c r="A51" s="47">
        <f t="shared" si="2"/>
        <v>40</v>
      </c>
      <c r="B51" s="56"/>
      <c r="C51" s="5" t="s">
        <v>112</v>
      </c>
      <c r="D51" s="5" t="s">
        <v>55</v>
      </c>
      <c r="E51" s="6" t="s">
        <v>113</v>
      </c>
      <c r="F51" s="49"/>
      <c r="G51" s="12" t="s">
        <v>490</v>
      </c>
      <c r="H51" s="56"/>
      <c r="I51" s="56"/>
      <c r="J51" s="56"/>
      <c r="K51" s="57"/>
      <c r="L51" s="57"/>
      <c r="M51" s="57"/>
      <c r="N51" s="57"/>
      <c r="O51" s="67"/>
      <c r="P51" s="58"/>
      <c r="Q51" s="58"/>
      <c r="R51" s="53"/>
      <c r="S51" s="53"/>
      <c r="T51" s="51"/>
      <c r="U51" s="51"/>
    </row>
    <row r="52" spans="1:21" x14ac:dyDescent="0.25">
      <c r="A52" s="47">
        <f t="shared" si="2"/>
        <v>41</v>
      </c>
      <c r="B52" s="48"/>
      <c r="C52" s="7" t="s">
        <v>114</v>
      </c>
      <c r="D52" s="7" t="s">
        <v>72</v>
      </c>
      <c r="E52" s="8" t="s">
        <v>115</v>
      </c>
      <c r="F52" s="60" t="s">
        <v>491</v>
      </c>
      <c r="G52" s="12" t="s">
        <v>471</v>
      </c>
      <c r="H52" s="50"/>
      <c r="I52" s="48"/>
      <c r="J52" s="48"/>
      <c r="K52" s="48"/>
      <c r="L52" s="48"/>
      <c r="M52" s="48"/>
      <c r="N52" s="48"/>
      <c r="O52" s="67"/>
      <c r="P52" s="52"/>
      <c r="Q52" s="52"/>
      <c r="R52" s="53"/>
      <c r="S52" s="53"/>
      <c r="T52" s="54"/>
      <c r="U52" s="54"/>
    </row>
    <row r="53" spans="1:21" x14ac:dyDescent="0.25">
      <c r="A53" s="47">
        <f t="shared" si="2"/>
        <v>42</v>
      </c>
      <c r="B53" s="56"/>
      <c r="C53" s="5" t="s">
        <v>116</v>
      </c>
      <c r="D53" s="5" t="s">
        <v>117</v>
      </c>
      <c r="E53" s="6" t="s">
        <v>118</v>
      </c>
      <c r="F53" s="49"/>
      <c r="G53" s="12"/>
      <c r="H53" s="57"/>
      <c r="I53" s="57"/>
      <c r="J53" s="57"/>
      <c r="K53" s="57"/>
      <c r="L53" s="57"/>
      <c r="M53" s="57"/>
      <c r="N53" s="57"/>
      <c r="O53" s="67"/>
      <c r="P53" s="58"/>
      <c r="Q53" s="58"/>
      <c r="R53" s="53"/>
      <c r="S53" s="53"/>
      <c r="T53" s="51"/>
      <c r="U53" s="51"/>
    </row>
    <row r="54" spans="1:21" x14ac:dyDescent="0.25">
      <c r="A54" s="47">
        <f t="shared" si="2"/>
        <v>43</v>
      </c>
      <c r="B54" s="48"/>
      <c r="C54" s="5" t="s">
        <v>119</v>
      </c>
      <c r="D54" s="5" t="s">
        <v>72</v>
      </c>
      <c r="E54" s="6" t="s">
        <v>120</v>
      </c>
      <c r="F54" s="49">
        <v>7078499317</v>
      </c>
      <c r="G54" s="12" t="s">
        <v>492</v>
      </c>
      <c r="H54" s="50"/>
      <c r="I54" s="48"/>
      <c r="J54" s="48"/>
      <c r="K54" s="48"/>
      <c r="L54" s="48"/>
      <c r="M54" s="48"/>
      <c r="N54" s="48"/>
      <c r="O54" s="67"/>
      <c r="P54" s="52"/>
      <c r="Q54" s="52"/>
      <c r="R54" s="53"/>
      <c r="S54" s="53"/>
      <c r="T54" s="51"/>
      <c r="U54" s="54"/>
    </row>
    <row r="55" spans="1:21" x14ac:dyDescent="0.25">
      <c r="A55" s="47">
        <f t="shared" si="2"/>
        <v>44</v>
      </c>
      <c r="B55" s="56"/>
      <c r="C55" s="5" t="s">
        <v>121</v>
      </c>
      <c r="D55" s="5" t="s">
        <v>122</v>
      </c>
      <c r="E55" s="6" t="s">
        <v>123</v>
      </c>
      <c r="F55" s="49"/>
      <c r="G55" s="12" t="s">
        <v>493</v>
      </c>
      <c r="H55" s="57"/>
      <c r="I55" s="57"/>
      <c r="J55" s="57"/>
      <c r="K55" s="57"/>
      <c r="L55" s="57"/>
      <c r="M55" s="57"/>
      <c r="N55" s="57"/>
      <c r="O55" s="67"/>
      <c r="P55" s="58"/>
      <c r="Q55" s="58"/>
      <c r="R55" s="53"/>
      <c r="S55" s="53"/>
      <c r="T55" s="51"/>
      <c r="U55" s="51"/>
    </row>
    <row r="56" spans="1:21" x14ac:dyDescent="0.25">
      <c r="A56" s="47">
        <f t="shared" si="2"/>
        <v>45</v>
      </c>
      <c r="B56" s="48"/>
      <c r="C56" s="5" t="s">
        <v>124</v>
      </c>
      <c r="D56" s="5" t="s">
        <v>72</v>
      </c>
      <c r="E56" s="6" t="s">
        <v>125</v>
      </c>
      <c r="F56" s="49">
        <v>7073225806</v>
      </c>
      <c r="G56" s="63" t="s">
        <v>494</v>
      </c>
      <c r="H56" s="50"/>
      <c r="I56" s="48"/>
      <c r="J56" s="48"/>
      <c r="K56" s="48"/>
      <c r="L56" s="48"/>
      <c r="M56" s="48"/>
      <c r="N56" s="48"/>
      <c r="O56" s="67"/>
      <c r="P56" s="52"/>
      <c r="Q56" s="52"/>
      <c r="R56" s="53"/>
      <c r="S56" s="53"/>
      <c r="T56" s="51"/>
      <c r="U56" s="54"/>
    </row>
    <row r="57" spans="1:21" x14ac:dyDescent="0.25">
      <c r="A57" s="47">
        <f t="shared" si="2"/>
        <v>46</v>
      </c>
      <c r="B57" s="48"/>
      <c r="C57" s="7" t="s">
        <v>126</v>
      </c>
      <c r="D57" s="7" t="s">
        <v>127</v>
      </c>
      <c r="E57" s="8" t="s">
        <v>128</v>
      </c>
      <c r="F57" s="55" t="s">
        <v>495</v>
      </c>
      <c r="G57" s="12" t="s">
        <v>496</v>
      </c>
      <c r="H57" s="56"/>
      <c r="I57" s="56"/>
      <c r="J57" s="56"/>
      <c r="K57" s="57"/>
      <c r="L57" s="57"/>
      <c r="M57" s="57"/>
      <c r="N57" s="57"/>
      <c r="O57" s="67"/>
      <c r="P57" s="58"/>
      <c r="Q57" s="52"/>
      <c r="R57" s="53"/>
      <c r="S57" s="53"/>
      <c r="T57" s="51"/>
      <c r="U57" s="54"/>
    </row>
    <row r="58" spans="1:21" x14ac:dyDescent="0.25">
      <c r="A58" s="47">
        <f t="shared" si="2"/>
        <v>47</v>
      </c>
      <c r="B58" s="56"/>
      <c r="C58" s="5" t="s">
        <v>129</v>
      </c>
      <c r="D58" s="5" t="s">
        <v>130</v>
      </c>
      <c r="E58" s="6" t="s">
        <v>131</v>
      </c>
      <c r="F58" s="49"/>
      <c r="G58" s="12" t="s">
        <v>497</v>
      </c>
      <c r="H58" s="56"/>
      <c r="I58" s="56"/>
      <c r="J58" s="56"/>
      <c r="K58" s="57"/>
      <c r="L58" s="57"/>
      <c r="M58" s="57"/>
      <c r="N58" s="57"/>
      <c r="O58" s="67"/>
      <c r="P58" s="58"/>
      <c r="Q58" s="58"/>
      <c r="R58" s="53"/>
      <c r="S58" s="53"/>
      <c r="T58" s="51"/>
      <c r="U58" s="51"/>
    </row>
    <row r="59" spans="1:21" x14ac:dyDescent="0.25">
      <c r="A59" s="47">
        <f t="shared" si="2"/>
        <v>48</v>
      </c>
      <c r="B59" s="48"/>
      <c r="C59" s="5" t="s">
        <v>132</v>
      </c>
      <c r="D59" s="5" t="s">
        <v>84</v>
      </c>
      <c r="E59" s="6" t="s">
        <v>133</v>
      </c>
      <c r="F59" s="49"/>
      <c r="G59" s="12"/>
      <c r="H59" s="50"/>
      <c r="I59" s="48"/>
      <c r="J59" s="48"/>
      <c r="K59" s="48"/>
      <c r="L59" s="48"/>
      <c r="M59" s="48"/>
      <c r="N59" s="48"/>
      <c r="O59" s="67"/>
      <c r="P59" s="52"/>
      <c r="Q59" s="52"/>
      <c r="R59" s="53"/>
      <c r="S59" s="53"/>
      <c r="T59" s="54"/>
      <c r="U59" s="54"/>
    </row>
    <row r="60" spans="1:21" x14ac:dyDescent="0.25">
      <c r="A60" s="47">
        <f t="shared" si="2"/>
        <v>49</v>
      </c>
      <c r="B60" s="48"/>
      <c r="C60" s="5" t="s">
        <v>134</v>
      </c>
      <c r="D60" s="5" t="s">
        <v>135</v>
      </c>
      <c r="E60" s="6" t="s">
        <v>136</v>
      </c>
      <c r="F60" s="69">
        <v>4152058885</v>
      </c>
      <c r="G60" s="63" t="s">
        <v>498</v>
      </c>
      <c r="H60" s="50"/>
      <c r="I60" s="48"/>
      <c r="J60" s="48"/>
      <c r="K60" s="48"/>
      <c r="L60" s="48"/>
      <c r="M60" s="48"/>
      <c r="N60" s="48"/>
      <c r="O60" s="67"/>
      <c r="P60" s="52"/>
      <c r="Q60" s="52"/>
      <c r="R60" s="53"/>
      <c r="S60" s="53"/>
      <c r="T60" s="54"/>
      <c r="U60" s="54"/>
    </row>
    <row r="61" spans="1:21" x14ac:dyDescent="0.25">
      <c r="A61" s="47">
        <f t="shared" si="2"/>
        <v>50</v>
      </c>
      <c r="B61" s="48"/>
      <c r="C61" s="5" t="s">
        <v>137</v>
      </c>
      <c r="D61" s="5" t="s">
        <v>138</v>
      </c>
      <c r="E61" s="6" t="s">
        <v>139</v>
      </c>
      <c r="F61" s="69">
        <v>4152052574</v>
      </c>
      <c r="G61" s="63" t="s">
        <v>499</v>
      </c>
      <c r="H61" s="50"/>
      <c r="I61" s="48"/>
      <c r="J61" s="48"/>
      <c r="K61" s="48"/>
      <c r="L61" s="48"/>
      <c r="M61" s="48"/>
      <c r="N61" s="48"/>
      <c r="O61" s="67"/>
      <c r="P61" s="52"/>
      <c r="Q61" s="52"/>
      <c r="R61" s="53"/>
      <c r="S61" s="53"/>
      <c r="T61" s="51"/>
      <c r="U61" s="54"/>
    </row>
    <row r="62" spans="1:21" x14ac:dyDescent="0.25">
      <c r="A62" s="47">
        <f t="shared" si="2"/>
        <v>51</v>
      </c>
      <c r="B62" s="48"/>
      <c r="C62" s="5" t="s">
        <v>140</v>
      </c>
      <c r="D62" s="5" t="s">
        <v>138</v>
      </c>
      <c r="E62" s="10" t="s">
        <v>141</v>
      </c>
      <c r="F62" s="49"/>
      <c r="G62" s="12"/>
      <c r="H62" s="50"/>
      <c r="I62" s="48"/>
      <c r="J62" s="48"/>
      <c r="K62" s="48"/>
      <c r="L62" s="48"/>
      <c r="M62" s="48"/>
      <c r="N62" s="48"/>
      <c r="O62" s="67"/>
      <c r="P62" s="52"/>
      <c r="Q62" s="52"/>
      <c r="R62" s="53"/>
      <c r="S62" s="53"/>
      <c r="T62" s="54"/>
      <c r="U62" s="54"/>
    </row>
    <row r="63" spans="1:21" x14ac:dyDescent="0.25">
      <c r="A63" s="47">
        <f t="shared" si="2"/>
        <v>52</v>
      </c>
      <c r="B63" s="48"/>
      <c r="C63" s="5" t="s">
        <v>142</v>
      </c>
      <c r="D63" s="7" t="s">
        <v>45</v>
      </c>
      <c r="E63" s="6" t="s">
        <v>143</v>
      </c>
      <c r="F63" s="49" t="s">
        <v>500</v>
      </c>
      <c r="G63" s="12" t="s">
        <v>501</v>
      </c>
      <c r="H63" s="50"/>
      <c r="I63" s="48"/>
      <c r="J63" s="48"/>
      <c r="K63" s="48"/>
      <c r="L63" s="48"/>
      <c r="M63" s="48"/>
      <c r="N63" s="48"/>
      <c r="O63" s="67"/>
      <c r="P63" s="52"/>
      <c r="Q63" s="52"/>
      <c r="R63" s="53"/>
      <c r="S63" s="53"/>
      <c r="T63" s="54"/>
      <c r="U63" s="54"/>
    </row>
    <row r="64" spans="1:21" x14ac:dyDescent="0.25">
      <c r="A64" s="47">
        <f t="shared" si="2"/>
        <v>53</v>
      </c>
      <c r="B64" s="56"/>
      <c r="C64" s="5" t="s">
        <v>144</v>
      </c>
      <c r="D64" s="5" t="s">
        <v>145</v>
      </c>
      <c r="E64" s="11" t="s">
        <v>146</v>
      </c>
      <c r="F64" s="49"/>
      <c r="G64" s="12" t="s">
        <v>502</v>
      </c>
      <c r="H64" s="56"/>
      <c r="I64" s="56"/>
      <c r="J64" s="56"/>
      <c r="K64" s="57"/>
      <c r="L64" s="57"/>
      <c r="M64" s="57"/>
      <c r="N64" s="57"/>
      <c r="O64" s="67"/>
      <c r="P64" s="58"/>
      <c r="Q64" s="58"/>
      <c r="R64" s="53"/>
      <c r="S64" s="53"/>
      <c r="T64" s="51"/>
      <c r="U64" s="51"/>
    </row>
    <row r="65" spans="1:21" x14ac:dyDescent="0.25">
      <c r="A65" s="47">
        <f t="shared" si="2"/>
        <v>54</v>
      </c>
      <c r="B65" s="56"/>
      <c r="C65" s="7" t="s">
        <v>147</v>
      </c>
      <c r="D65" s="7" t="s">
        <v>148</v>
      </c>
      <c r="E65" s="8" t="s">
        <v>149</v>
      </c>
      <c r="F65" s="60">
        <v>9166997163</v>
      </c>
      <c r="G65" s="63" t="s">
        <v>503</v>
      </c>
      <c r="H65" s="56"/>
      <c r="I65" s="56"/>
      <c r="J65" s="56"/>
      <c r="K65" s="57"/>
      <c r="L65" s="57"/>
      <c r="M65" s="57"/>
      <c r="N65" s="57"/>
      <c r="O65" s="67"/>
      <c r="P65" s="58"/>
      <c r="Q65" s="58"/>
      <c r="R65" s="53"/>
      <c r="S65" s="53"/>
      <c r="T65" s="51"/>
      <c r="U65" s="51"/>
    </row>
    <row r="66" spans="1:21" x14ac:dyDescent="0.25">
      <c r="A66" s="47">
        <f t="shared" si="2"/>
        <v>55</v>
      </c>
      <c r="B66" s="56"/>
      <c r="C66" s="12" t="s">
        <v>150</v>
      </c>
      <c r="D66" s="7" t="s">
        <v>151</v>
      </c>
      <c r="E66" s="8" t="s">
        <v>152</v>
      </c>
      <c r="F66" s="60">
        <v>5104613953</v>
      </c>
      <c r="G66" s="63" t="s">
        <v>504</v>
      </c>
      <c r="H66" s="50"/>
      <c r="I66" s="48"/>
      <c r="J66" s="48"/>
      <c r="K66" s="48"/>
      <c r="L66" s="48"/>
      <c r="M66" s="48"/>
      <c r="N66" s="48"/>
      <c r="O66" s="67"/>
      <c r="P66" s="52"/>
      <c r="Q66" s="52"/>
      <c r="R66" s="53"/>
      <c r="S66" s="53"/>
      <c r="T66" s="51"/>
      <c r="U66" s="54"/>
    </row>
    <row r="67" spans="1:21" x14ac:dyDescent="0.25">
      <c r="A67" s="47">
        <f t="shared" si="2"/>
        <v>56</v>
      </c>
      <c r="B67" s="48"/>
      <c r="C67" s="7" t="s">
        <v>153</v>
      </c>
      <c r="D67" s="7" t="s">
        <v>72</v>
      </c>
      <c r="E67" s="8" t="s">
        <v>154</v>
      </c>
      <c r="F67" s="60">
        <v>7074848898</v>
      </c>
      <c r="G67" s="12" t="s">
        <v>505</v>
      </c>
      <c r="H67" s="50"/>
      <c r="I67" s="48"/>
      <c r="J67" s="48"/>
      <c r="K67" s="48"/>
      <c r="L67" s="48"/>
      <c r="M67" s="48"/>
      <c r="N67" s="48"/>
      <c r="O67" s="67"/>
      <c r="P67" s="52"/>
      <c r="Q67" s="52"/>
      <c r="R67" s="53"/>
      <c r="S67" s="53"/>
      <c r="T67" s="54"/>
      <c r="U67" s="54"/>
    </row>
    <row r="68" spans="1:21" x14ac:dyDescent="0.25">
      <c r="A68" s="47">
        <f t="shared" si="2"/>
        <v>57</v>
      </c>
      <c r="B68" s="48"/>
      <c r="C68" s="5" t="s">
        <v>155</v>
      </c>
      <c r="D68" s="5" t="s">
        <v>156</v>
      </c>
      <c r="E68" s="6" t="s">
        <v>157</v>
      </c>
      <c r="F68" s="49"/>
      <c r="G68" s="12" t="s">
        <v>506</v>
      </c>
      <c r="H68" s="50"/>
      <c r="I68" s="48"/>
      <c r="J68" s="48"/>
      <c r="K68" s="48"/>
      <c r="L68" s="48"/>
      <c r="M68" s="48"/>
      <c r="N68" s="48"/>
      <c r="O68" s="67"/>
      <c r="P68" s="52"/>
      <c r="Q68" s="52"/>
      <c r="R68" s="53"/>
      <c r="S68" s="53"/>
      <c r="T68" s="54"/>
      <c r="U68" s="54"/>
    </row>
    <row r="69" spans="1:21" x14ac:dyDescent="0.25">
      <c r="A69" s="47">
        <f t="shared" si="2"/>
        <v>58</v>
      </c>
      <c r="B69" s="48"/>
      <c r="C69" s="7" t="s">
        <v>158</v>
      </c>
      <c r="D69" s="7" t="s">
        <v>159</v>
      </c>
      <c r="E69" s="8" t="s">
        <v>160</v>
      </c>
      <c r="F69" s="10" t="s">
        <v>507</v>
      </c>
      <c r="G69" s="12" t="s">
        <v>471</v>
      </c>
      <c r="H69" s="50"/>
      <c r="I69" s="48"/>
      <c r="J69" s="48"/>
      <c r="K69" s="48"/>
      <c r="L69" s="48"/>
      <c r="M69" s="48"/>
      <c r="N69" s="48"/>
      <c r="O69" s="67"/>
      <c r="P69" s="52"/>
      <c r="Q69" s="52"/>
      <c r="R69" s="53"/>
      <c r="S69" s="53"/>
      <c r="T69" s="54"/>
      <c r="U69" s="54"/>
    </row>
    <row r="70" spans="1:21" x14ac:dyDescent="0.25">
      <c r="A70" s="47">
        <f t="shared" si="2"/>
        <v>59</v>
      </c>
      <c r="B70" s="48"/>
      <c r="C70" s="5" t="s">
        <v>161</v>
      </c>
      <c r="D70" s="5" t="s">
        <v>91</v>
      </c>
      <c r="E70" s="6" t="s">
        <v>162</v>
      </c>
      <c r="F70" s="49"/>
      <c r="G70" s="12" t="s">
        <v>508</v>
      </c>
      <c r="H70" s="50"/>
      <c r="I70" s="48"/>
      <c r="J70" s="48"/>
      <c r="K70" s="48"/>
      <c r="L70" s="48"/>
      <c r="M70" s="48"/>
      <c r="N70" s="48"/>
      <c r="O70" s="67"/>
      <c r="P70" s="52"/>
      <c r="Q70" s="52"/>
      <c r="R70" s="53"/>
      <c r="S70" s="53"/>
      <c r="T70" s="54"/>
      <c r="U70" s="54"/>
    </row>
    <row r="71" spans="1:21" x14ac:dyDescent="0.25">
      <c r="A71" s="47">
        <f t="shared" si="2"/>
        <v>60</v>
      </c>
      <c r="B71" s="48"/>
      <c r="C71" s="5" t="s">
        <v>163</v>
      </c>
      <c r="D71" s="5" t="s">
        <v>164</v>
      </c>
      <c r="E71" s="6" t="s">
        <v>165</v>
      </c>
      <c r="F71" s="69"/>
      <c r="G71" s="12" t="s">
        <v>509</v>
      </c>
      <c r="H71" s="50"/>
      <c r="I71" s="48"/>
      <c r="J71" s="48"/>
      <c r="K71" s="48"/>
      <c r="L71" s="48"/>
      <c r="M71" s="48"/>
      <c r="N71" s="48"/>
      <c r="O71" s="67"/>
      <c r="P71" s="52"/>
      <c r="Q71" s="52"/>
      <c r="R71" s="53"/>
      <c r="S71" s="53"/>
      <c r="T71" s="54"/>
      <c r="U71" s="54"/>
    </row>
    <row r="72" spans="1:21" x14ac:dyDescent="0.25">
      <c r="A72" s="47">
        <f t="shared" si="2"/>
        <v>61</v>
      </c>
      <c r="B72" s="56"/>
      <c r="C72" s="5" t="s">
        <v>166</v>
      </c>
      <c r="D72" s="5" t="s">
        <v>167</v>
      </c>
      <c r="E72" s="6" t="s">
        <v>168</v>
      </c>
      <c r="F72" s="49">
        <v>9253604907</v>
      </c>
      <c r="G72" s="12" t="s">
        <v>510</v>
      </c>
      <c r="H72" s="50"/>
      <c r="I72" s="48"/>
      <c r="J72" s="48"/>
      <c r="K72" s="48"/>
      <c r="L72" s="48"/>
      <c r="M72" s="48"/>
      <c r="N72" s="48"/>
      <c r="O72" s="67"/>
      <c r="P72" s="58"/>
      <c r="Q72" s="58"/>
      <c r="R72" s="53"/>
      <c r="S72" s="53"/>
      <c r="T72" s="51"/>
      <c r="U72" s="51"/>
    </row>
    <row r="73" spans="1:21" x14ac:dyDescent="0.25">
      <c r="A73" s="47">
        <f t="shared" si="2"/>
        <v>62</v>
      </c>
      <c r="B73" s="48"/>
      <c r="C73" s="7" t="s">
        <v>169</v>
      </c>
      <c r="D73" s="7" t="s">
        <v>170</v>
      </c>
      <c r="E73" s="8" t="s">
        <v>171</v>
      </c>
      <c r="F73" s="49"/>
      <c r="G73" s="12" t="s">
        <v>511</v>
      </c>
      <c r="H73" s="50"/>
      <c r="I73" s="48"/>
      <c r="J73" s="48"/>
      <c r="K73" s="48"/>
      <c r="L73" s="48"/>
      <c r="M73" s="48"/>
      <c r="N73" s="48"/>
      <c r="O73" s="67"/>
      <c r="P73" s="52"/>
      <c r="Q73" s="52"/>
      <c r="R73" s="53"/>
      <c r="S73" s="53"/>
      <c r="T73" s="51"/>
      <c r="U73" s="54"/>
    </row>
    <row r="74" spans="1:21" x14ac:dyDescent="0.25">
      <c r="A74" s="47">
        <f t="shared" si="2"/>
        <v>63</v>
      </c>
      <c r="B74" s="48"/>
      <c r="C74" s="5" t="s">
        <v>172</v>
      </c>
      <c r="D74" s="5" t="s">
        <v>173</v>
      </c>
      <c r="E74" s="6" t="s">
        <v>174</v>
      </c>
      <c r="F74" s="49">
        <v>5305180274</v>
      </c>
      <c r="G74" s="12" t="s">
        <v>512</v>
      </c>
      <c r="H74" s="50"/>
      <c r="I74" s="48"/>
      <c r="J74" s="48"/>
      <c r="K74" s="48"/>
      <c r="L74" s="48"/>
      <c r="M74" s="48"/>
      <c r="N74" s="48"/>
      <c r="O74" s="67"/>
      <c r="P74" s="52"/>
      <c r="Q74" s="52"/>
      <c r="R74" s="53"/>
      <c r="S74" s="53"/>
      <c r="T74" s="51"/>
      <c r="U74" s="54"/>
    </row>
    <row r="75" spans="1:21" x14ac:dyDescent="0.25">
      <c r="A75" s="47">
        <f t="shared" si="2"/>
        <v>64</v>
      </c>
      <c r="B75" s="48"/>
      <c r="C75" s="5" t="s">
        <v>175</v>
      </c>
      <c r="D75" s="5" t="s">
        <v>72</v>
      </c>
      <c r="E75" s="6" t="s">
        <v>176</v>
      </c>
      <c r="F75" s="49"/>
      <c r="G75" s="12"/>
      <c r="H75" s="50"/>
      <c r="I75" s="48"/>
      <c r="J75" s="48"/>
      <c r="K75" s="48"/>
      <c r="L75" s="48"/>
      <c r="M75" s="48"/>
      <c r="N75" s="48"/>
      <c r="O75" s="67"/>
      <c r="P75" s="52"/>
      <c r="Q75" s="52"/>
      <c r="R75" s="53"/>
      <c r="S75" s="53"/>
      <c r="T75" s="51"/>
      <c r="U75" s="54"/>
    </row>
    <row r="76" spans="1:21" x14ac:dyDescent="0.25">
      <c r="A76" s="47">
        <f t="shared" ref="A76:A139" si="3">ROW() - ROW(FRegEntriesEnteredHdr)</f>
        <v>65</v>
      </c>
      <c r="B76" s="48"/>
      <c r="C76" s="5" t="s">
        <v>177</v>
      </c>
      <c r="D76" s="5" t="s">
        <v>156</v>
      </c>
      <c r="E76" s="6" t="s">
        <v>178</v>
      </c>
      <c r="F76" s="49"/>
      <c r="G76" s="12" t="s">
        <v>513</v>
      </c>
      <c r="H76" s="50"/>
      <c r="I76" s="48"/>
      <c r="J76" s="48"/>
      <c r="K76" s="48"/>
      <c r="L76" s="48"/>
      <c r="M76" s="48"/>
      <c r="N76" s="48"/>
      <c r="O76" s="67"/>
      <c r="P76" s="52"/>
      <c r="Q76" s="52"/>
      <c r="R76" s="53"/>
      <c r="S76" s="53"/>
      <c r="T76" s="51"/>
      <c r="U76" s="54"/>
    </row>
    <row r="77" spans="1:21" x14ac:dyDescent="0.25">
      <c r="A77" s="47">
        <f t="shared" si="3"/>
        <v>66</v>
      </c>
      <c r="B77" s="48"/>
      <c r="C77" s="7" t="s">
        <v>179</v>
      </c>
      <c r="D77" s="7" t="s">
        <v>180</v>
      </c>
      <c r="E77" s="8" t="s">
        <v>181</v>
      </c>
      <c r="F77" s="60"/>
      <c r="G77" s="12" t="s">
        <v>514</v>
      </c>
      <c r="H77" s="50"/>
      <c r="I77" s="48"/>
      <c r="J77" s="48"/>
      <c r="K77" s="48"/>
      <c r="L77" s="48"/>
      <c r="M77" s="48"/>
      <c r="N77" s="48"/>
      <c r="O77" s="67"/>
      <c r="P77" s="52"/>
      <c r="Q77" s="52"/>
      <c r="R77" s="53"/>
      <c r="S77" s="53"/>
      <c r="T77" s="51"/>
      <c r="U77" s="54"/>
    </row>
    <row r="78" spans="1:21" x14ac:dyDescent="0.25">
      <c r="A78" s="47">
        <f t="shared" si="3"/>
        <v>67</v>
      </c>
      <c r="B78" s="56"/>
      <c r="C78" s="5" t="s">
        <v>182</v>
      </c>
      <c r="D78" s="5" t="s">
        <v>20</v>
      </c>
      <c r="E78" s="6" t="s">
        <v>183</v>
      </c>
      <c r="F78" s="49"/>
      <c r="G78" s="12" t="s">
        <v>515</v>
      </c>
      <c r="H78" s="56"/>
      <c r="I78" s="56"/>
      <c r="J78" s="56"/>
      <c r="K78" s="57"/>
      <c r="L78" s="57"/>
      <c r="M78" s="57"/>
      <c r="N78" s="57"/>
      <c r="O78" s="67"/>
      <c r="P78" s="58"/>
      <c r="Q78" s="58"/>
      <c r="R78" s="53"/>
      <c r="S78" s="53"/>
      <c r="T78" s="51"/>
      <c r="U78" s="51"/>
    </row>
    <row r="79" spans="1:21" x14ac:dyDescent="0.25">
      <c r="A79" s="47">
        <f t="shared" si="3"/>
        <v>68</v>
      </c>
      <c r="B79" s="56"/>
      <c r="C79" s="5" t="s">
        <v>184</v>
      </c>
      <c r="D79" s="5" t="s">
        <v>185</v>
      </c>
      <c r="E79" s="6" t="s">
        <v>186</v>
      </c>
      <c r="F79" s="15" t="s">
        <v>516</v>
      </c>
      <c r="G79" s="12" t="s">
        <v>471</v>
      </c>
      <c r="H79" s="56"/>
      <c r="I79" s="56"/>
      <c r="J79" s="56"/>
      <c r="K79" s="57"/>
      <c r="L79" s="57"/>
      <c r="M79" s="57"/>
      <c r="N79" s="57"/>
      <c r="O79" s="67"/>
      <c r="P79" s="58"/>
      <c r="Q79" s="58"/>
      <c r="R79" s="53"/>
      <c r="S79" s="53"/>
      <c r="T79" s="51"/>
      <c r="U79" s="51"/>
    </row>
    <row r="80" spans="1:21" x14ac:dyDescent="0.25">
      <c r="A80" s="47">
        <f t="shared" si="3"/>
        <v>69</v>
      </c>
      <c r="B80" s="56"/>
      <c r="C80" s="5" t="s">
        <v>187</v>
      </c>
      <c r="D80" s="5" t="s">
        <v>188</v>
      </c>
      <c r="E80" s="6" t="s">
        <v>189</v>
      </c>
      <c r="F80" s="49"/>
      <c r="G80" s="12" t="s">
        <v>517</v>
      </c>
      <c r="H80" s="56"/>
      <c r="I80" s="56"/>
      <c r="J80" s="56"/>
      <c r="K80" s="57"/>
      <c r="L80" s="57"/>
      <c r="M80" s="57"/>
      <c r="N80" s="57"/>
      <c r="O80" s="67"/>
      <c r="P80" s="58"/>
      <c r="Q80" s="58"/>
      <c r="R80" s="53"/>
      <c r="S80" s="53"/>
      <c r="T80" s="51"/>
      <c r="U80" s="59"/>
    </row>
    <row r="81" spans="1:21" x14ac:dyDescent="0.25">
      <c r="A81" s="47">
        <f t="shared" si="3"/>
        <v>70</v>
      </c>
      <c r="B81" s="48"/>
      <c r="C81" s="5" t="s">
        <v>190</v>
      </c>
      <c r="D81" s="5" t="s">
        <v>191</v>
      </c>
      <c r="E81" s="6" t="s">
        <v>192</v>
      </c>
      <c r="F81" s="69"/>
      <c r="G81" s="12" t="s">
        <v>518</v>
      </c>
      <c r="H81" s="50"/>
      <c r="I81" s="48"/>
      <c r="J81" s="48"/>
      <c r="K81" s="48"/>
      <c r="L81" s="48"/>
      <c r="M81" s="48"/>
      <c r="N81" s="48"/>
      <c r="O81" s="67"/>
      <c r="P81" s="52"/>
      <c r="Q81" s="52"/>
      <c r="R81" s="53"/>
      <c r="S81" s="53"/>
      <c r="T81" s="51"/>
      <c r="U81" s="54"/>
    </row>
    <row r="82" spans="1:21" x14ac:dyDescent="0.25">
      <c r="A82" s="47">
        <f t="shared" si="3"/>
        <v>71</v>
      </c>
      <c r="B82" s="48"/>
      <c r="C82" s="5" t="s">
        <v>193</v>
      </c>
      <c r="D82" s="5" t="s">
        <v>194</v>
      </c>
      <c r="E82" s="6" t="s">
        <v>195</v>
      </c>
      <c r="F82" s="10" t="s">
        <v>519</v>
      </c>
      <c r="G82" s="63" t="s">
        <v>520</v>
      </c>
      <c r="H82" s="50"/>
      <c r="I82" s="48"/>
      <c r="J82" s="48"/>
      <c r="K82" s="48"/>
      <c r="L82" s="48"/>
      <c r="M82" s="48"/>
      <c r="N82" s="48"/>
      <c r="O82" s="67"/>
      <c r="P82" s="52"/>
      <c r="Q82" s="52"/>
      <c r="R82" s="53"/>
      <c r="S82" s="53"/>
      <c r="T82" s="51"/>
      <c r="U82" s="54"/>
    </row>
    <row r="83" spans="1:21" x14ac:dyDescent="0.25">
      <c r="A83" s="47">
        <f t="shared" si="3"/>
        <v>72</v>
      </c>
      <c r="B83" s="48"/>
      <c r="C83" s="7" t="s">
        <v>196</v>
      </c>
      <c r="D83" s="7" t="s">
        <v>64</v>
      </c>
      <c r="E83" s="8" t="s">
        <v>197</v>
      </c>
      <c r="F83" s="60">
        <v>4084722020</v>
      </c>
      <c r="G83" s="63" t="s">
        <v>521</v>
      </c>
      <c r="H83" s="50"/>
      <c r="I83" s="48"/>
      <c r="J83" s="48"/>
      <c r="K83" s="48"/>
      <c r="L83" s="48"/>
      <c r="M83" s="48"/>
      <c r="N83" s="48"/>
      <c r="O83" s="67"/>
      <c r="P83" s="52"/>
      <c r="Q83" s="52"/>
      <c r="R83" s="53"/>
      <c r="S83" s="53"/>
      <c r="T83" s="51"/>
      <c r="U83" s="54"/>
    </row>
    <row r="84" spans="1:21" x14ac:dyDescent="0.25">
      <c r="A84" s="47">
        <f t="shared" si="3"/>
        <v>73</v>
      </c>
      <c r="B84" s="48"/>
      <c r="C84" s="7" t="s">
        <v>198</v>
      </c>
      <c r="D84" s="7" t="s">
        <v>199</v>
      </c>
      <c r="E84" s="8" t="s">
        <v>200</v>
      </c>
      <c r="F84" s="70"/>
      <c r="G84" s="12"/>
      <c r="H84" s="50"/>
      <c r="I84" s="48"/>
      <c r="J84" s="48"/>
      <c r="K84" s="48"/>
      <c r="L84" s="48"/>
      <c r="M84" s="48"/>
      <c r="N84" s="48"/>
      <c r="O84" s="67"/>
      <c r="P84" s="52"/>
      <c r="Q84" s="52"/>
      <c r="R84" s="53"/>
      <c r="S84" s="53"/>
      <c r="T84" s="51"/>
      <c r="U84" s="54"/>
    </row>
    <row r="85" spans="1:21" x14ac:dyDescent="0.25">
      <c r="A85" s="47">
        <f t="shared" si="3"/>
        <v>74</v>
      </c>
      <c r="B85" s="48"/>
      <c r="C85" s="5" t="s">
        <v>201</v>
      </c>
      <c r="D85" s="5" t="s">
        <v>202</v>
      </c>
      <c r="E85" s="6" t="s">
        <v>203</v>
      </c>
      <c r="F85" s="49"/>
      <c r="G85" s="12" t="s">
        <v>522</v>
      </c>
      <c r="H85" s="50"/>
      <c r="I85" s="48"/>
      <c r="J85" s="48"/>
      <c r="K85" s="48"/>
      <c r="L85" s="48"/>
      <c r="M85" s="48"/>
      <c r="N85" s="48"/>
      <c r="O85" s="67"/>
      <c r="P85" s="52"/>
      <c r="Q85" s="52"/>
      <c r="R85" s="53"/>
      <c r="S85" s="53"/>
      <c r="T85" s="51"/>
      <c r="U85" s="54"/>
    </row>
    <row r="86" spans="1:21" x14ac:dyDescent="0.25">
      <c r="A86" s="47">
        <f t="shared" si="3"/>
        <v>75</v>
      </c>
      <c r="B86" s="48"/>
      <c r="C86" s="7" t="s">
        <v>204</v>
      </c>
      <c r="D86" s="7" t="s">
        <v>205</v>
      </c>
      <c r="E86" s="8" t="s">
        <v>206</v>
      </c>
      <c r="F86" s="60"/>
      <c r="G86" s="12" t="s">
        <v>523</v>
      </c>
      <c r="H86" s="50"/>
      <c r="I86" s="48"/>
      <c r="J86" s="48"/>
      <c r="K86" s="48"/>
      <c r="L86" s="48"/>
      <c r="M86" s="48"/>
      <c r="N86" s="48"/>
      <c r="O86" s="67"/>
      <c r="P86" s="52"/>
      <c r="Q86" s="52"/>
      <c r="R86" s="53"/>
      <c r="S86" s="53"/>
      <c r="T86" s="51"/>
      <c r="U86" s="54"/>
    </row>
    <row r="87" spans="1:21" x14ac:dyDescent="0.25">
      <c r="A87" s="47">
        <f t="shared" si="3"/>
        <v>76</v>
      </c>
      <c r="B87" s="56"/>
      <c r="C87" s="5" t="s">
        <v>207</v>
      </c>
      <c r="D87" s="5" t="s">
        <v>208</v>
      </c>
      <c r="E87" s="6" t="s">
        <v>209</v>
      </c>
      <c r="F87" s="49">
        <v>9254579513</v>
      </c>
      <c r="G87" s="63" t="s">
        <v>524</v>
      </c>
      <c r="H87" s="57"/>
      <c r="I87" s="57"/>
      <c r="J87" s="57"/>
      <c r="K87" s="57"/>
      <c r="L87" s="57"/>
      <c r="M87" s="57"/>
      <c r="N87" s="57"/>
      <c r="O87" s="67"/>
      <c r="P87" s="58"/>
      <c r="Q87" s="58"/>
      <c r="R87" s="53"/>
      <c r="S87" s="53"/>
      <c r="T87" s="51"/>
      <c r="U87" s="51"/>
    </row>
    <row r="88" spans="1:21" x14ac:dyDescent="0.25">
      <c r="A88" s="47">
        <f t="shared" si="3"/>
        <v>77</v>
      </c>
      <c r="B88" s="48"/>
      <c r="C88" s="7" t="s">
        <v>210</v>
      </c>
      <c r="D88" s="7" t="s">
        <v>211</v>
      </c>
      <c r="E88" s="8" t="s">
        <v>212</v>
      </c>
      <c r="F88" s="60"/>
      <c r="G88" s="12"/>
      <c r="H88" s="50"/>
      <c r="I88" s="48"/>
      <c r="J88" s="48"/>
      <c r="K88" s="48"/>
      <c r="L88" s="48"/>
      <c r="M88" s="48"/>
      <c r="N88" s="48"/>
      <c r="O88" s="67"/>
      <c r="P88" s="52"/>
      <c r="Q88" s="52"/>
      <c r="R88" s="53"/>
      <c r="S88" s="53"/>
      <c r="T88" s="51"/>
      <c r="U88" s="54"/>
    </row>
    <row r="89" spans="1:21" x14ac:dyDescent="0.25">
      <c r="A89" s="47">
        <f t="shared" si="3"/>
        <v>78</v>
      </c>
      <c r="B89" s="56"/>
      <c r="C89" s="5" t="s">
        <v>213</v>
      </c>
      <c r="D89" s="5" t="s">
        <v>214</v>
      </c>
      <c r="E89" s="6" t="s">
        <v>215</v>
      </c>
      <c r="F89" s="49"/>
      <c r="G89" s="12" t="s">
        <v>525</v>
      </c>
      <c r="H89" s="56"/>
      <c r="I89" s="56"/>
      <c r="J89" s="56"/>
      <c r="K89" s="57"/>
      <c r="L89" s="57"/>
      <c r="M89" s="57"/>
      <c r="N89" s="57"/>
      <c r="O89" s="67"/>
      <c r="P89" s="58"/>
      <c r="Q89" s="58"/>
      <c r="R89" s="53"/>
      <c r="S89" s="53"/>
      <c r="T89" s="51"/>
      <c r="U89" s="51"/>
    </row>
    <row r="90" spans="1:21" x14ac:dyDescent="0.25">
      <c r="A90" s="47">
        <f t="shared" si="3"/>
        <v>79</v>
      </c>
      <c r="B90" s="56"/>
      <c r="C90" s="5" t="s">
        <v>216</v>
      </c>
      <c r="D90" s="5" t="s">
        <v>217</v>
      </c>
      <c r="E90" s="6" t="s">
        <v>218</v>
      </c>
      <c r="F90" s="49"/>
      <c r="G90" s="12" t="s">
        <v>526</v>
      </c>
      <c r="H90" s="56"/>
      <c r="I90" s="56"/>
      <c r="J90" s="56"/>
      <c r="K90" s="57"/>
      <c r="L90" s="57"/>
      <c r="M90" s="57"/>
      <c r="N90" s="57"/>
      <c r="O90" s="67"/>
      <c r="P90" s="58"/>
      <c r="Q90" s="58"/>
      <c r="R90" s="53"/>
      <c r="S90" s="53"/>
      <c r="T90" s="51"/>
      <c r="U90" s="59"/>
    </row>
    <row r="91" spans="1:21" x14ac:dyDescent="0.25">
      <c r="A91" s="47">
        <f t="shared" si="3"/>
        <v>80</v>
      </c>
      <c r="B91" s="48"/>
      <c r="C91" s="7" t="s">
        <v>219</v>
      </c>
      <c r="D91" s="7" t="s">
        <v>220</v>
      </c>
      <c r="E91" s="8" t="s">
        <v>221</v>
      </c>
      <c r="F91" s="60"/>
      <c r="G91" s="12" t="s">
        <v>527</v>
      </c>
      <c r="H91" s="50"/>
      <c r="I91" s="48"/>
      <c r="J91" s="48"/>
      <c r="K91" s="48"/>
      <c r="L91" s="48"/>
      <c r="M91" s="48"/>
      <c r="N91" s="48"/>
      <c r="O91" s="67"/>
      <c r="P91" s="52"/>
      <c r="Q91" s="52"/>
      <c r="R91" s="53"/>
      <c r="S91" s="53"/>
      <c r="T91" s="51"/>
      <c r="U91" s="54"/>
    </row>
    <row r="92" spans="1:21" x14ac:dyDescent="0.25">
      <c r="A92" s="47">
        <f t="shared" si="3"/>
        <v>81</v>
      </c>
      <c r="B92" s="56"/>
      <c r="C92" s="5" t="s">
        <v>222</v>
      </c>
      <c r="D92" s="5" t="s">
        <v>223</v>
      </c>
      <c r="E92" s="6" t="s">
        <v>224</v>
      </c>
      <c r="F92" s="49"/>
      <c r="G92" s="12"/>
      <c r="H92" s="56"/>
      <c r="I92" s="56"/>
      <c r="J92" s="56"/>
      <c r="K92" s="57"/>
      <c r="L92" s="57"/>
      <c r="M92" s="57"/>
      <c r="N92" s="57"/>
      <c r="O92" s="67"/>
      <c r="P92" s="58"/>
      <c r="Q92" s="58"/>
      <c r="R92" s="53"/>
      <c r="S92" s="53"/>
      <c r="T92" s="51"/>
      <c r="U92" s="51"/>
    </row>
    <row r="93" spans="1:21" x14ac:dyDescent="0.25">
      <c r="A93" s="47">
        <f t="shared" si="3"/>
        <v>82</v>
      </c>
      <c r="B93" s="48"/>
      <c r="C93" s="5" t="s">
        <v>225</v>
      </c>
      <c r="D93" s="5" t="s">
        <v>226</v>
      </c>
      <c r="E93" s="6" t="s">
        <v>227</v>
      </c>
      <c r="F93" s="49">
        <v>5106819675</v>
      </c>
      <c r="G93" s="63" t="s">
        <v>528</v>
      </c>
      <c r="H93" s="50"/>
      <c r="I93" s="48"/>
      <c r="J93" s="48"/>
      <c r="K93" s="48"/>
      <c r="L93" s="48"/>
      <c r="M93" s="48"/>
      <c r="N93" s="48"/>
      <c r="O93" s="67"/>
      <c r="P93" s="52"/>
      <c r="Q93" s="52"/>
      <c r="R93" s="53"/>
      <c r="S93" s="53"/>
      <c r="T93" s="51"/>
      <c r="U93" s="54"/>
    </row>
    <row r="94" spans="1:21" x14ac:dyDescent="0.25">
      <c r="A94" s="47">
        <f t="shared" si="3"/>
        <v>83</v>
      </c>
      <c r="B94" s="56"/>
      <c r="C94" s="5" t="s">
        <v>228</v>
      </c>
      <c r="D94" s="5" t="s">
        <v>229</v>
      </c>
      <c r="E94" s="6" t="s">
        <v>230</v>
      </c>
      <c r="F94" s="49"/>
      <c r="G94" s="12" t="s">
        <v>529</v>
      </c>
      <c r="H94" s="56"/>
      <c r="I94" s="56"/>
      <c r="J94" s="56"/>
      <c r="K94" s="57"/>
      <c r="L94" s="57"/>
      <c r="M94" s="57"/>
      <c r="N94" s="57"/>
      <c r="O94" s="67"/>
      <c r="P94" s="58"/>
      <c r="Q94" s="58"/>
      <c r="R94" s="53"/>
      <c r="S94" s="53"/>
      <c r="T94" s="51"/>
      <c r="U94" s="51"/>
    </row>
    <row r="95" spans="1:21" x14ac:dyDescent="0.25">
      <c r="A95" s="47">
        <f t="shared" si="3"/>
        <v>84</v>
      </c>
      <c r="B95" s="48"/>
      <c r="C95" s="7" t="s">
        <v>231</v>
      </c>
      <c r="D95" s="12" t="s">
        <v>232</v>
      </c>
      <c r="E95" s="8" t="s">
        <v>233</v>
      </c>
      <c r="F95" s="49"/>
      <c r="G95" s="12" t="s">
        <v>530</v>
      </c>
      <c r="H95" s="50"/>
      <c r="I95" s="48"/>
      <c r="J95" s="48"/>
      <c r="K95" s="48"/>
      <c r="L95" s="48"/>
      <c r="M95" s="48"/>
      <c r="N95" s="48"/>
      <c r="O95" s="67"/>
      <c r="P95" s="52"/>
      <c r="Q95" s="52"/>
      <c r="R95" s="53"/>
      <c r="S95" s="53"/>
      <c r="T95" s="51"/>
      <c r="U95" s="54"/>
    </row>
    <row r="96" spans="1:21" x14ac:dyDescent="0.25">
      <c r="A96" s="47">
        <f t="shared" si="3"/>
        <v>85</v>
      </c>
      <c r="B96" s="48"/>
      <c r="C96" s="7" t="s">
        <v>234</v>
      </c>
      <c r="D96" s="7" t="s">
        <v>235</v>
      </c>
      <c r="E96" s="8" t="s">
        <v>236</v>
      </c>
      <c r="F96" s="60"/>
      <c r="G96" s="12" t="s">
        <v>531</v>
      </c>
      <c r="H96" s="50"/>
      <c r="I96" s="48"/>
      <c r="J96" s="48"/>
      <c r="K96" s="48"/>
      <c r="L96" s="48"/>
      <c r="M96" s="48"/>
      <c r="N96" s="48"/>
      <c r="O96" s="67"/>
      <c r="P96" s="52"/>
      <c r="Q96" s="52"/>
      <c r="R96" s="53"/>
      <c r="S96" s="53"/>
      <c r="T96" s="51"/>
      <c r="U96" s="54"/>
    </row>
    <row r="97" spans="1:21" x14ac:dyDescent="0.25">
      <c r="A97" s="47">
        <f t="shared" si="3"/>
        <v>86</v>
      </c>
      <c r="B97" s="56"/>
      <c r="C97" s="7" t="s">
        <v>237</v>
      </c>
      <c r="D97" s="7" t="s">
        <v>194</v>
      </c>
      <c r="E97" s="8" t="s">
        <v>238</v>
      </c>
      <c r="F97" s="60"/>
      <c r="G97" s="12" t="s">
        <v>532</v>
      </c>
      <c r="H97" s="56"/>
      <c r="I97" s="56"/>
      <c r="J97" s="56"/>
      <c r="K97" s="57"/>
      <c r="L97" s="57"/>
      <c r="M97" s="57"/>
      <c r="N97" s="57"/>
      <c r="O97" s="67"/>
      <c r="P97" s="58"/>
      <c r="Q97" s="58"/>
      <c r="R97" s="53"/>
      <c r="S97" s="53"/>
      <c r="T97" s="51"/>
      <c r="U97" s="51"/>
    </row>
    <row r="98" spans="1:21" x14ac:dyDescent="0.25">
      <c r="A98" s="47">
        <f t="shared" si="3"/>
        <v>87</v>
      </c>
      <c r="B98" s="48"/>
      <c r="C98" s="5" t="s">
        <v>239</v>
      </c>
      <c r="D98" s="5" t="s">
        <v>240</v>
      </c>
      <c r="E98" s="6" t="s">
        <v>241</v>
      </c>
      <c r="F98" s="49"/>
      <c r="G98" s="12" t="s">
        <v>533</v>
      </c>
      <c r="H98" s="50"/>
      <c r="I98" s="48"/>
      <c r="J98" s="48"/>
      <c r="K98" s="48"/>
      <c r="L98" s="48"/>
      <c r="M98" s="48"/>
      <c r="N98" s="48"/>
      <c r="O98" s="67"/>
      <c r="P98" s="52"/>
      <c r="Q98" s="58"/>
      <c r="R98" s="53"/>
      <c r="S98" s="53"/>
      <c r="T98" s="51"/>
      <c r="U98" s="54"/>
    </row>
    <row r="99" spans="1:21" x14ac:dyDescent="0.25">
      <c r="A99" s="47">
        <f t="shared" si="3"/>
        <v>88</v>
      </c>
      <c r="B99" s="48"/>
      <c r="C99" s="5" t="s">
        <v>242</v>
      </c>
      <c r="D99" s="5" t="s">
        <v>130</v>
      </c>
      <c r="E99" s="6" t="s">
        <v>243</v>
      </c>
      <c r="F99" s="49"/>
      <c r="G99" s="12"/>
      <c r="H99" s="50"/>
      <c r="I99" s="48"/>
      <c r="J99" s="48"/>
      <c r="K99" s="48"/>
      <c r="L99" s="48"/>
      <c r="M99" s="48"/>
      <c r="N99" s="48"/>
      <c r="O99" s="67"/>
      <c r="P99" s="52"/>
      <c r="Q99" s="58"/>
      <c r="R99" s="53"/>
      <c r="S99" s="53"/>
      <c r="T99" s="51"/>
      <c r="U99" s="54"/>
    </row>
    <row r="100" spans="1:21" x14ac:dyDescent="0.25">
      <c r="A100" s="47">
        <f t="shared" si="3"/>
        <v>89</v>
      </c>
      <c r="B100" s="48"/>
      <c r="C100" s="5" t="s">
        <v>244</v>
      </c>
      <c r="D100" s="5" t="s">
        <v>245</v>
      </c>
      <c r="E100" s="6" t="s">
        <v>246</v>
      </c>
      <c r="F100" s="49"/>
      <c r="G100" s="12" t="s">
        <v>534</v>
      </c>
      <c r="H100" s="50"/>
      <c r="I100" s="48"/>
      <c r="J100" s="48"/>
      <c r="K100" s="48"/>
      <c r="L100" s="48"/>
      <c r="M100" s="48"/>
      <c r="N100" s="48"/>
      <c r="O100" s="67"/>
      <c r="P100" s="52"/>
      <c r="Q100" s="52"/>
      <c r="R100" s="53"/>
      <c r="S100" s="53"/>
      <c r="T100" s="51"/>
      <c r="U100" s="54"/>
    </row>
    <row r="101" spans="1:21" x14ac:dyDescent="0.25">
      <c r="A101" s="47">
        <f t="shared" si="3"/>
        <v>90</v>
      </c>
      <c r="B101" s="56"/>
      <c r="C101" s="7" t="s">
        <v>247</v>
      </c>
      <c r="D101" s="7" t="s">
        <v>185</v>
      </c>
      <c r="E101" s="8" t="s">
        <v>248</v>
      </c>
      <c r="F101" s="60"/>
      <c r="G101" s="12" t="s">
        <v>535</v>
      </c>
      <c r="H101" s="50"/>
      <c r="I101" s="48"/>
      <c r="J101" s="48"/>
      <c r="K101" s="48"/>
      <c r="L101" s="48"/>
      <c r="M101" s="48"/>
      <c r="N101" s="48"/>
      <c r="O101" s="67"/>
      <c r="P101" s="52"/>
      <c r="Q101" s="52"/>
      <c r="R101" s="53"/>
      <c r="S101" s="53"/>
      <c r="T101" s="51"/>
      <c r="U101" s="54"/>
    </row>
    <row r="102" spans="1:21" x14ac:dyDescent="0.25">
      <c r="A102" s="47">
        <f t="shared" si="3"/>
        <v>91</v>
      </c>
      <c r="B102" s="56"/>
      <c r="C102" s="7" t="s">
        <v>249</v>
      </c>
      <c r="D102" s="7" t="s">
        <v>250</v>
      </c>
      <c r="E102" s="8" t="s">
        <v>251</v>
      </c>
      <c r="F102" s="49"/>
      <c r="G102" s="12" t="s">
        <v>536</v>
      </c>
      <c r="H102" s="56"/>
      <c r="I102" s="56"/>
      <c r="J102" s="56"/>
      <c r="K102" s="57"/>
      <c r="L102" s="57"/>
      <c r="M102" s="57"/>
      <c r="N102" s="57"/>
      <c r="O102" s="67"/>
      <c r="P102" s="58"/>
      <c r="Q102" s="58"/>
      <c r="R102" s="53"/>
      <c r="S102" s="53"/>
      <c r="T102" s="51"/>
      <c r="U102" s="51"/>
    </row>
    <row r="103" spans="1:21" x14ac:dyDescent="0.25">
      <c r="A103" s="47">
        <f t="shared" si="3"/>
        <v>92</v>
      </c>
      <c r="B103" s="56"/>
      <c r="C103" s="5" t="s">
        <v>252</v>
      </c>
      <c r="D103" s="5" t="s">
        <v>42</v>
      </c>
      <c r="E103" s="6" t="s">
        <v>253</v>
      </c>
      <c r="F103" s="49"/>
      <c r="G103" s="12" t="s">
        <v>537</v>
      </c>
      <c r="H103" s="56"/>
      <c r="I103" s="56"/>
      <c r="J103" s="56"/>
      <c r="K103" s="57"/>
      <c r="L103" s="57"/>
      <c r="M103" s="57"/>
      <c r="N103" s="57"/>
      <c r="O103" s="67"/>
      <c r="P103" s="58"/>
      <c r="Q103" s="58"/>
      <c r="R103" s="53"/>
      <c r="S103" s="53"/>
      <c r="T103" s="51"/>
      <c r="U103" s="51"/>
    </row>
    <row r="104" spans="1:21" x14ac:dyDescent="0.25">
      <c r="A104" s="47">
        <f t="shared" si="3"/>
        <v>93</v>
      </c>
      <c r="B104" s="48"/>
      <c r="C104" s="5" t="s">
        <v>254</v>
      </c>
      <c r="D104" s="5" t="s">
        <v>255</v>
      </c>
      <c r="E104" s="6" t="s">
        <v>256</v>
      </c>
      <c r="F104" s="10" t="s">
        <v>538</v>
      </c>
      <c r="G104" s="63" t="s">
        <v>539</v>
      </c>
      <c r="H104" s="50"/>
      <c r="I104" s="48"/>
      <c r="J104" s="48"/>
      <c r="K104" s="48"/>
      <c r="L104" s="48"/>
      <c r="M104" s="48"/>
      <c r="N104" s="48"/>
      <c r="O104" s="67"/>
      <c r="P104" s="52"/>
      <c r="Q104" s="52"/>
      <c r="R104" s="53"/>
      <c r="S104" s="53"/>
      <c r="T104" s="51"/>
      <c r="U104" s="54"/>
    </row>
    <row r="105" spans="1:21" x14ac:dyDescent="0.25">
      <c r="A105" s="47">
        <f t="shared" si="3"/>
        <v>94</v>
      </c>
      <c r="B105" s="56"/>
      <c r="C105" s="5" t="s">
        <v>257</v>
      </c>
      <c r="D105" s="5" t="s">
        <v>255</v>
      </c>
      <c r="E105" s="6" t="s">
        <v>258</v>
      </c>
      <c r="F105" s="10" t="s">
        <v>538</v>
      </c>
      <c r="G105" s="63" t="s">
        <v>540</v>
      </c>
      <c r="H105" s="56"/>
      <c r="I105" s="56"/>
      <c r="J105" s="56"/>
      <c r="K105" s="57"/>
      <c r="L105" s="57"/>
      <c r="M105" s="57"/>
      <c r="N105" s="57"/>
      <c r="O105" s="67"/>
      <c r="P105" s="58"/>
      <c r="Q105" s="58"/>
      <c r="R105" s="53"/>
      <c r="S105" s="53"/>
      <c r="T105" s="51"/>
      <c r="U105" s="51"/>
    </row>
    <row r="106" spans="1:21" x14ac:dyDescent="0.25">
      <c r="A106" s="47">
        <f t="shared" si="3"/>
        <v>95</v>
      </c>
      <c r="B106" s="48"/>
      <c r="C106" s="5" t="s">
        <v>259</v>
      </c>
      <c r="D106" s="5" t="s">
        <v>75</v>
      </c>
      <c r="E106" s="6" t="s">
        <v>260</v>
      </c>
      <c r="F106" s="49"/>
      <c r="G106" s="12" t="s">
        <v>541</v>
      </c>
      <c r="H106" s="50"/>
      <c r="I106" s="48"/>
      <c r="J106" s="48"/>
      <c r="K106" s="48"/>
      <c r="L106" s="48"/>
      <c r="M106" s="48"/>
      <c r="N106" s="48"/>
      <c r="O106" s="67"/>
      <c r="P106" s="52"/>
      <c r="Q106" s="52"/>
      <c r="R106" s="53"/>
      <c r="S106" s="53"/>
      <c r="T106" s="51"/>
      <c r="U106" s="54"/>
    </row>
    <row r="107" spans="1:21" x14ac:dyDescent="0.25">
      <c r="A107" s="47">
        <f t="shared" si="3"/>
        <v>96</v>
      </c>
      <c r="B107" s="48"/>
      <c r="C107" s="5" t="s">
        <v>261</v>
      </c>
      <c r="D107" s="5" t="s">
        <v>262</v>
      </c>
      <c r="E107" s="6" t="s">
        <v>263</v>
      </c>
      <c r="F107" s="55" t="s">
        <v>542</v>
      </c>
      <c r="G107" s="15" t="s">
        <v>543</v>
      </c>
      <c r="H107" s="50"/>
      <c r="I107" s="48"/>
      <c r="J107" s="48"/>
      <c r="K107" s="48"/>
      <c r="L107" s="48"/>
      <c r="M107" s="48"/>
      <c r="N107" s="48"/>
      <c r="O107" s="67"/>
      <c r="P107" s="52"/>
      <c r="Q107" s="52"/>
      <c r="R107" s="53"/>
      <c r="S107" s="53"/>
      <c r="T107" s="51"/>
      <c r="U107" s="54"/>
    </row>
    <row r="108" spans="1:21" x14ac:dyDescent="0.25">
      <c r="A108" s="47">
        <f t="shared" si="3"/>
        <v>97</v>
      </c>
      <c r="B108" s="48"/>
      <c r="C108" s="5" t="s">
        <v>264</v>
      </c>
      <c r="D108" s="5" t="s">
        <v>45</v>
      </c>
      <c r="E108" s="6" t="s">
        <v>265</v>
      </c>
      <c r="F108" s="65" t="s">
        <v>544</v>
      </c>
      <c r="G108" s="15" t="s">
        <v>545</v>
      </c>
      <c r="H108" s="50"/>
      <c r="I108" s="48"/>
      <c r="J108" s="48"/>
      <c r="K108" s="48"/>
      <c r="L108" s="48"/>
      <c r="M108" s="48"/>
      <c r="N108" s="48"/>
      <c r="O108" s="67"/>
      <c r="P108" s="52"/>
      <c r="Q108" s="52"/>
      <c r="R108" s="53"/>
      <c r="S108" s="53"/>
      <c r="T108" s="51"/>
      <c r="U108" s="54"/>
    </row>
    <row r="109" spans="1:21" x14ac:dyDescent="0.25">
      <c r="A109" s="47">
        <f t="shared" si="3"/>
        <v>98</v>
      </c>
      <c r="B109" s="48"/>
      <c r="C109" s="7" t="s">
        <v>266</v>
      </c>
      <c r="D109" s="7" t="s">
        <v>267</v>
      </c>
      <c r="E109" s="8" t="s">
        <v>268</v>
      </c>
      <c r="F109" s="64"/>
      <c r="G109" s="12"/>
      <c r="H109" s="50"/>
      <c r="I109" s="48"/>
      <c r="J109" s="48"/>
      <c r="K109" s="48"/>
      <c r="L109" s="48"/>
      <c r="M109" s="48"/>
      <c r="N109" s="48"/>
      <c r="O109" s="67"/>
      <c r="P109" s="52"/>
      <c r="Q109" s="52"/>
      <c r="R109" s="53"/>
      <c r="S109" s="53"/>
      <c r="T109" s="51"/>
      <c r="U109" s="54"/>
    </row>
    <row r="110" spans="1:21" x14ac:dyDescent="0.25">
      <c r="A110" s="47">
        <f t="shared" si="3"/>
        <v>99</v>
      </c>
      <c r="B110" s="48"/>
      <c r="C110" s="5" t="s">
        <v>269</v>
      </c>
      <c r="D110" s="5" t="s">
        <v>270</v>
      </c>
      <c r="E110" s="6" t="s">
        <v>271</v>
      </c>
      <c r="F110" s="49"/>
      <c r="G110" s="12" t="s">
        <v>546</v>
      </c>
      <c r="H110" s="50"/>
      <c r="I110" s="48"/>
      <c r="J110" s="48"/>
      <c r="K110" s="48"/>
      <c r="L110" s="48"/>
      <c r="M110" s="48"/>
      <c r="N110" s="48"/>
      <c r="O110" s="67"/>
      <c r="P110" s="52"/>
      <c r="Q110" s="52"/>
      <c r="R110" s="53"/>
      <c r="S110" s="53"/>
      <c r="T110" s="51"/>
      <c r="U110" s="54"/>
    </row>
    <row r="111" spans="1:21" x14ac:dyDescent="0.25">
      <c r="A111" s="47">
        <f t="shared" si="3"/>
        <v>100</v>
      </c>
      <c r="B111" s="48"/>
      <c r="C111" s="7" t="s">
        <v>272</v>
      </c>
      <c r="D111" s="7" t="s">
        <v>45</v>
      </c>
      <c r="E111" s="8" t="s">
        <v>273</v>
      </c>
      <c r="F111" s="60">
        <v>7072242345</v>
      </c>
      <c r="G111" s="12" t="s">
        <v>547</v>
      </c>
      <c r="H111" s="50"/>
      <c r="I111" s="48"/>
      <c r="J111" s="48"/>
      <c r="K111" s="48"/>
      <c r="L111" s="48"/>
      <c r="M111" s="48"/>
      <c r="N111" s="48"/>
      <c r="O111" s="67"/>
      <c r="P111" s="52"/>
      <c r="Q111" s="52"/>
      <c r="R111" s="53"/>
      <c r="S111" s="53"/>
      <c r="T111" s="51"/>
      <c r="U111" s="54"/>
    </row>
    <row r="112" spans="1:21" x14ac:dyDescent="0.25">
      <c r="A112" s="47">
        <f t="shared" si="3"/>
        <v>101</v>
      </c>
      <c r="B112" s="48"/>
      <c r="C112" s="5" t="s">
        <v>274</v>
      </c>
      <c r="D112" s="5" t="s">
        <v>275</v>
      </c>
      <c r="E112" s="6" t="s">
        <v>276</v>
      </c>
      <c r="F112" s="49"/>
      <c r="G112" s="12" t="s">
        <v>548</v>
      </c>
      <c r="H112" s="50"/>
      <c r="I112" s="50"/>
      <c r="J112" s="50"/>
      <c r="K112" s="50"/>
      <c r="L112" s="48"/>
      <c r="M112" s="48"/>
      <c r="N112" s="48"/>
      <c r="O112" s="67"/>
      <c r="P112" s="52"/>
      <c r="Q112" s="52"/>
      <c r="R112" s="53"/>
      <c r="S112" s="53"/>
      <c r="T112" s="51"/>
      <c r="U112" s="54"/>
    </row>
    <row r="113" spans="1:21" x14ac:dyDescent="0.25">
      <c r="A113" s="47">
        <f t="shared" si="3"/>
        <v>102</v>
      </c>
      <c r="B113" s="48"/>
      <c r="C113" s="7" t="s">
        <v>277</v>
      </c>
      <c r="D113" s="7" t="s">
        <v>194</v>
      </c>
      <c r="E113" s="8" t="s">
        <v>278</v>
      </c>
      <c r="F113" s="60"/>
      <c r="G113" s="12" t="s">
        <v>549</v>
      </c>
      <c r="H113" s="50"/>
      <c r="I113" s="48"/>
      <c r="J113" s="48"/>
      <c r="K113" s="48"/>
      <c r="L113" s="48"/>
      <c r="M113" s="48"/>
      <c r="N113" s="48"/>
      <c r="O113" s="67"/>
      <c r="P113" s="52"/>
      <c r="Q113" s="52"/>
      <c r="R113" s="53"/>
      <c r="S113" s="53"/>
      <c r="T113" s="51"/>
      <c r="U113" s="54"/>
    </row>
    <row r="114" spans="1:21" x14ac:dyDescent="0.25">
      <c r="A114" s="47">
        <f t="shared" si="3"/>
        <v>103</v>
      </c>
      <c r="B114" s="48"/>
      <c r="C114" s="5" t="s">
        <v>279</v>
      </c>
      <c r="D114" s="5" t="s">
        <v>8</v>
      </c>
      <c r="E114" s="6" t="s">
        <v>280</v>
      </c>
      <c r="F114" s="49"/>
      <c r="G114" s="12" t="s">
        <v>550</v>
      </c>
      <c r="H114" s="50"/>
      <c r="I114" s="48"/>
      <c r="J114" s="48"/>
      <c r="K114" s="48"/>
      <c r="L114" s="48"/>
      <c r="M114" s="48"/>
      <c r="N114" s="48"/>
      <c r="O114" s="67"/>
      <c r="P114" s="52"/>
      <c r="Q114" s="58"/>
      <c r="R114" s="53"/>
      <c r="S114" s="53"/>
      <c r="T114" s="51"/>
      <c r="U114" s="54"/>
    </row>
    <row r="115" spans="1:21" x14ac:dyDescent="0.25">
      <c r="A115" s="47">
        <f t="shared" si="3"/>
        <v>104</v>
      </c>
      <c r="B115" s="56"/>
      <c r="C115" s="5" t="s">
        <v>281</v>
      </c>
      <c r="D115" s="5" t="s">
        <v>282</v>
      </c>
      <c r="E115" s="6"/>
      <c r="F115" s="49"/>
      <c r="G115" s="12" t="s">
        <v>551</v>
      </c>
      <c r="H115" s="56"/>
      <c r="I115" s="56"/>
      <c r="J115" s="56"/>
      <c r="K115" s="57"/>
      <c r="L115" s="57"/>
      <c r="M115" s="57"/>
      <c r="N115" s="57"/>
      <c r="O115" s="67"/>
      <c r="P115" s="58"/>
      <c r="Q115" s="58"/>
      <c r="R115" s="53"/>
      <c r="S115" s="53"/>
      <c r="T115" s="51"/>
      <c r="U115" s="51"/>
    </row>
    <row r="116" spans="1:21" x14ac:dyDescent="0.25">
      <c r="A116" s="47">
        <f t="shared" si="3"/>
        <v>105</v>
      </c>
      <c r="B116" s="48"/>
      <c r="C116" s="7" t="s">
        <v>283</v>
      </c>
      <c r="D116" s="7" t="s">
        <v>81</v>
      </c>
      <c r="E116" s="8" t="s">
        <v>284</v>
      </c>
      <c r="F116" s="60"/>
      <c r="G116" s="12" t="s">
        <v>552</v>
      </c>
      <c r="H116" s="50"/>
      <c r="I116" s="48"/>
      <c r="J116" s="48"/>
      <c r="K116" s="48"/>
      <c r="L116" s="48"/>
      <c r="M116" s="48"/>
      <c r="N116" s="48"/>
      <c r="O116" s="67"/>
      <c r="P116" s="52"/>
      <c r="Q116" s="58"/>
      <c r="R116" s="53"/>
      <c r="S116" s="53"/>
      <c r="T116" s="51"/>
      <c r="U116" s="54"/>
    </row>
    <row r="117" spans="1:21" x14ac:dyDescent="0.25">
      <c r="A117" s="47">
        <f t="shared" si="3"/>
        <v>106</v>
      </c>
      <c r="B117" s="48"/>
      <c r="C117" s="5" t="s">
        <v>285</v>
      </c>
      <c r="D117" s="5" t="s">
        <v>191</v>
      </c>
      <c r="E117" s="6" t="s">
        <v>286</v>
      </c>
      <c r="F117" s="49"/>
      <c r="G117" s="12" t="s">
        <v>553</v>
      </c>
      <c r="H117" s="50"/>
      <c r="I117" s="48"/>
      <c r="J117" s="48"/>
      <c r="K117" s="48"/>
      <c r="L117" s="48"/>
      <c r="M117" s="48"/>
      <c r="N117" s="48"/>
      <c r="O117" s="67"/>
      <c r="P117" s="52"/>
      <c r="Q117" s="52"/>
      <c r="R117" s="53"/>
      <c r="S117" s="53"/>
      <c r="T117" s="51"/>
      <c r="U117" s="54"/>
    </row>
    <row r="118" spans="1:21" x14ac:dyDescent="0.25">
      <c r="A118" s="47">
        <f t="shared" si="3"/>
        <v>107</v>
      </c>
      <c r="B118" s="48"/>
      <c r="C118" s="5" t="s">
        <v>287</v>
      </c>
      <c r="D118" s="5" t="s">
        <v>156</v>
      </c>
      <c r="E118" s="6" t="s">
        <v>288</v>
      </c>
      <c r="F118" s="49"/>
      <c r="G118" s="12" t="s">
        <v>554</v>
      </c>
      <c r="H118" s="50"/>
      <c r="I118" s="48"/>
      <c r="J118" s="48"/>
      <c r="K118" s="48"/>
      <c r="L118" s="48"/>
      <c r="M118" s="48"/>
      <c r="N118" s="48"/>
      <c r="O118" s="67"/>
      <c r="P118" s="52"/>
      <c r="Q118" s="52"/>
      <c r="R118" s="53"/>
      <c r="S118" s="53"/>
      <c r="T118" s="51"/>
      <c r="U118" s="54"/>
    </row>
    <row r="119" spans="1:21" x14ac:dyDescent="0.25">
      <c r="A119" s="47">
        <f t="shared" si="3"/>
        <v>108</v>
      </c>
      <c r="B119" s="48"/>
      <c r="C119" s="7" t="s">
        <v>289</v>
      </c>
      <c r="D119" s="7" t="s">
        <v>45</v>
      </c>
      <c r="E119" s="8" t="s">
        <v>290</v>
      </c>
      <c r="F119" s="55" t="s">
        <v>555</v>
      </c>
      <c r="G119" s="12" t="s">
        <v>556</v>
      </c>
      <c r="H119" s="50"/>
      <c r="I119" s="48"/>
      <c r="J119" s="48"/>
      <c r="K119" s="48"/>
      <c r="L119" s="48"/>
      <c r="M119" s="48"/>
      <c r="N119" s="48"/>
      <c r="O119" s="67"/>
      <c r="P119" s="52"/>
      <c r="Q119" s="52"/>
      <c r="R119" s="53"/>
      <c r="S119" s="53"/>
      <c r="T119" s="54"/>
      <c r="U119" s="54"/>
    </row>
    <row r="120" spans="1:21" x14ac:dyDescent="0.25">
      <c r="A120" s="47">
        <f t="shared" si="3"/>
        <v>109</v>
      </c>
      <c r="B120" s="56"/>
      <c r="C120" s="5" t="s">
        <v>291</v>
      </c>
      <c r="D120" s="13" t="s">
        <v>255</v>
      </c>
      <c r="E120" s="6"/>
      <c r="F120" s="49"/>
      <c r="G120" s="12" t="s">
        <v>557</v>
      </c>
      <c r="H120" s="56"/>
      <c r="I120" s="56"/>
      <c r="J120" s="56"/>
      <c r="K120" s="57"/>
      <c r="L120" s="57"/>
      <c r="M120" s="57"/>
      <c r="N120" s="57"/>
      <c r="O120" s="67"/>
      <c r="P120" s="58"/>
      <c r="Q120" s="58"/>
      <c r="R120" s="53"/>
      <c r="S120" s="53"/>
      <c r="T120" s="51"/>
      <c r="U120" s="51"/>
    </row>
    <row r="121" spans="1:21" x14ac:dyDescent="0.25">
      <c r="A121" s="47">
        <f t="shared" si="3"/>
        <v>110</v>
      </c>
      <c r="B121" s="48"/>
      <c r="C121" s="7" t="s">
        <v>292</v>
      </c>
      <c r="D121" s="7" t="s">
        <v>293</v>
      </c>
      <c r="E121" s="8" t="s">
        <v>294</v>
      </c>
      <c r="F121" s="60"/>
      <c r="G121" s="12" t="s">
        <v>558</v>
      </c>
      <c r="H121" s="50"/>
      <c r="I121" s="48"/>
      <c r="J121" s="48"/>
      <c r="K121" s="48"/>
      <c r="L121" s="48"/>
      <c r="M121" s="48"/>
      <c r="N121" s="48"/>
      <c r="O121" s="67"/>
      <c r="P121" s="52"/>
      <c r="Q121" s="52"/>
      <c r="R121" s="53"/>
      <c r="S121" s="53"/>
      <c r="T121" s="51"/>
      <c r="U121" s="54"/>
    </row>
    <row r="122" spans="1:21" x14ac:dyDescent="0.25">
      <c r="A122" s="47">
        <f t="shared" si="3"/>
        <v>111</v>
      </c>
      <c r="B122" s="56"/>
      <c r="C122" s="5" t="s">
        <v>295</v>
      </c>
      <c r="D122" s="5" t="s">
        <v>127</v>
      </c>
      <c r="E122" s="6" t="s">
        <v>296</v>
      </c>
      <c r="F122" s="49">
        <v>8057047967</v>
      </c>
      <c r="G122" s="12"/>
      <c r="H122" s="56"/>
      <c r="I122" s="56"/>
      <c r="J122" s="56"/>
      <c r="K122" s="57"/>
      <c r="L122" s="57"/>
      <c r="M122" s="57"/>
      <c r="N122" s="57"/>
      <c r="O122" s="67"/>
      <c r="P122" s="58"/>
      <c r="Q122" s="58"/>
      <c r="R122" s="53"/>
      <c r="S122" s="53"/>
      <c r="T122" s="51"/>
      <c r="U122" s="51"/>
    </row>
    <row r="123" spans="1:21" x14ac:dyDescent="0.25">
      <c r="A123" s="47">
        <f t="shared" si="3"/>
        <v>112</v>
      </c>
      <c r="B123" s="56"/>
      <c r="C123" s="7" t="s">
        <v>297</v>
      </c>
      <c r="D123" s="7" t="s">
        <v>61</v>
      </c>
      <c r="E123" s="8" t="s">
        <v>298</v>
      </c>
      <c r="F123" s="60"/>
      <c r="G123" s="12" t="s">
        <v>559</v>
      </c>
      <c r="H123" s="56"/>
      <c r="I123" s="56"/>
      <c r="J123" s="56"/>
      <c r="K123" s="57"/>
      <c r="L123" s="57"/>
      <c r="M123" s="57"/>
      <c r="N123" s="57"/>
      <c r="O123" s="67"/>
      <c r="P123" s="58"/>
      <c r="Q123" s="58"/>
      <c r="R123" s="53"/>
      <c r="S123" s="53"/>
      <c r="T123" s="51"/>
      <c r="U123" s="51"/>
    </row>
    <row r="124" spans="1:21" x14ac:dyDescent="0.25">
      <c r="A124" s="47">
        <f t="shared" si="3"/>
        <v>113</v>
      </c>
      <c r="B124" s="48"/>
      <c r="C124" s="5" t="s">
        <v>299</v>
      </c>
      <c r="D124" s="5" t="s">
        <v>300</v>
      </c>
      <c r="E124" s="6" t="s">
        <v>301</v>
      </c>
      <c r="F124" s="49"/>
      <c r="G124" s="12"/>
      <c r="H124" s="50"/>
      <c r="I124" s="48"/>
      <c r="J124" s="48"/>
      <c r="K124" s="48"/>
      <c r="L124" s="48"/>
      <c r="M124" s="48"/>
      <c r="N124" s="48"/>
      <c r="O124" s="67"/>
      <c r="P124" s="52"/>
      <c r="Q124" s="52"/>
      <c r="R124" s="53"/>
      <c r="S124" s="53"/>
      <c r="T124" s="51"/>
      <c r="U124" s="54"/>
    </row>
    <row r="125" spans="1:21" x14ac:dyDescent="0.25">
      <c r="A125" s="47">
        <f t="shared" si="3"/>
        <v>114</v>
      </c>
      <c r="B125" s="48"/>
      <c r="C125" s="7" t="s">
        <v>302</v>
      </c>
      <c r="D125" s="7" t="s">
        <v>72</v>
      </c>
      <c r="E125" s="8" t="s">
        <v>303</v>
      </c>
      <c r="F125" s="60"/>
      <c r="G125" s="12" t="s">
        <v>560</v>
      </c>
      <c r="H125" s="50"/>
      <c r="I125" s="48"/>
      <c r="J125" s="48"/>
      <c r="K125" s="48"/>
      <c r="L125" s="48"/>
      <c r="M125" s="48"/>
      <c r="N125" s="48"/>
      <c r="O125" s="67"/>
      <c r="P125" s="52"/>
      <c r="Q125" s="52"/>
      <c r="R125" s="53"/>
      <c r="S125" s="53"/>
      <c r="T125" s="51"/>
      <c r="U125" s="54"/>
    </row>
    <row r="126" spans="1:21" x14ac:dyDescent="0.25">
      <c r="A126" s="47">
        <f t="shared" si="3"/>
        <v>115</v>
      </c>
      <c r="B126" s="56"/>
      <c r="C126" s="5" t="s">
        <v>304</v>
      </c>
      <c r="D126" s="5" t="s">
        <v>305</v>
      </c>
      <c r="E126" s="6" t="s">
        <v>306</v>
      </c>
      <c r="F126" s="49"/>
      <c r="G126" s="12" t="s">
        <v>561</v>
      </c>
      <c r="H126" s="56"/>
      <c r="I126" s="56"/>
      <c r="J126" s="56"/>
      <c r="K126" s="57"/>
      <c r="L126" s="57"/>
      <c r="M126" s="57"/>
      <c r="N126" s="57"/>
      <c r="O126" s="67"/>
      <c r="P126" s="58"/>
      <c r="Q126" s="58"/>
      <c r="R126" s="53"/>
      <c r="S126" s="53"/>
      <c r="T126" s="51"/>
      <c r="U126" s="51"/>
    </row>
    <row r="127" spans="1:21" x14ac:dyDescent="0.25">
      <c r="A127" s="47">
        <f t="shared" si="3"/>
        <v>116</v>
      </c>
      <c r="B127" s="48"/>
      <c r="C127" s="5" t="s">
        <v>307</v>
      </c>
      <c r="D127" s="5" t="s">
        <v>39</v>
      </c>
      <c r="E127" s="6" t="s">
        <v>308</v>
      </c>
      <c r="F127" s="49"/>
      <c r="G127" s="12" t="s">
        <v>562</v>
      </c>
      <c r="H127" s="50"/>
      <c r="I127" s="48"/>
      <c r="J127" s="48"/>
      <c r="K127" s="48"/>
      <c r="L127" s="48"/>
      <c r="M127" s="48"/>
      <c r="N127" s="48"/>
      <c r="O127" s="67"/>
      <c r="P127" s="52"/>
      <c r="Q127" s="58"/>
      <c r="R127" s="53"/>
      <c r="S127" s="53"/>
      <c r="T127" s="51"/>
      <c r="U127" s="54"/>
    </row>
    <row r="128" spans="1:21" x14ac:dyDescent="0.25">
      <c r="A128" s="47">
        <f t="shared" si="3"/>
        <v>117</v>
      </c>
      <c r="B128" s="48"/>
      <c r="C128" s="5" t="s">
        <v>309</v>
      </c>
      <c r="D128" s="5" t="s">
        <v>72</v>
      </c>
      <c r="E128" s="6" t="s">
        <v>310</v>
      </c>
      <c r="F128" s="49"/>
      <c r="G128" s="12" t="s">
        <v>563</v>
      </c>
      <c r="H128" s="50"/>
      <c r="I128" s="48"/>
      <c r="J128" s="48"/>
      <c r="K128" s="48"/>
      <c r="L128" s="48"/>
      <c r="M128" s="48"/>
      <c r="N128" s="48"/>
      <c r="O128" s="67"/>
      <c r="P128" s="52"/>
      <c r="Q128" s="52"/>
      <c r="R128" s="53"/>
      <c r="S128" s="53"/>
      <c r="T128" s="51"/>
      <c r="U128" s="54"/>
    </row>
    <row r="129" spans="1:21" x14ac:dyDescent="0.25">
      <c r="A129" s="47">
        <f t="shared" si="3"/>
        <v>118</v>
      </c>
      <c r="B129" s="48"/>
      <c r="C129" s="5" t="s">
        <v>311</v>
      </c>
      <c r="D129" s="5" t="s">
        <v>84</v>
      </c>
      <c r="E129" s="6" t="s">
        <v>312</v>
      </c>
      <c r="F129" s="49"/>
      <c r="G129" s="12" t="s">
        <v>564</v>
      </c>
      <c r="H129" s="50"/>
      <c r="I129" s="48"/>
      <c r="J129" s="48"/>
      <c r="K129" s="48"/>
      <c r="L129" s="48"/>
      <c r="M129" s="48"/>
      <c r="N129" s="48"/>
      <c r="O129" s="67"/>
      <c r="P129" s="52"/>
      <c r="Q129" s="52"/>
      <c r="R129" s="53"/>
      <c r="S129" s="53"/>
      <c r="T129" s="51"/>
      <c r="U129" s="54"/>
    </row>
    <row r="130" spans="1:21" x14ac:dyDescent="0.25">
      <c r="A130" s="47">
        <f t="shared" si="3"/>
        <v>119</v>
      </c>
      <c r="B130" s="56"/>
      <c r="C130" s="5" t="s">
        <v>313</v>
      </c>
      <c r="D130" s="5" t="s">
        <v>314</v>
      </c>
      <c r="E130" s="6" t="s">
        <v>315</v>
      </c>
      <c r="F130" s="49"/>
      <c r="G130" s="12"/>
      <c r="H130" s="56"/>
      <c r="I130" s="56"/>
      <c r="J130" s="56"/>
      <c r="K130" s="57"/>
      <c r="L130" s="57"/>
      <c r="M130" s="57"/>
      <c r="N130" s="57"/>
      <c r="O130" s="67"/>
      <c r="P130" s="58"/>
      <c r="Q130" s="58"/>
      <c r="R130" s="53"/>
      <c r="S130" s="53"/>
      <c r="T130" s="51"/>
      <c r="U130" s="51"/>
    </row>
    <row r="131" spans="1:21" x14ac:dyDescent="0.25">
      <c r="A131" s="47">
        <f t="shared" si="3"/>
        <v>120</v>
      </c>
      <c r="B131" s="56"/>
      <c r="C131" s="7" t="s">
        <v>316</v>
      </c>
      <c r="D131" s="7" t="s">
        <v>45</v>
      </c>
      <c r="E131" s="8" t="s">
        <v>317</v>
      </c>
      <c r="F131" s="60">
        <v>5105046905</v>
      </c>
      <c r="G131" s="63" t="s">
        <v>565</v>
      </c>
      <c r="H131" s="56"/>
      <c r="I131" s="56"/>
      <c r="J131" s="56"/>
      <c r="K131" s="57"/>
      <c r="L131" s="57"/>
      <c r="M131" s="57"/>
      <c r="N131" s="57"/>
      <c r="O131" s="67"/>
      <c r="P131" s="58"/>
      <c r="Q131" s="58"/>
      <c r="R131" s="53"/>
      <c r="S131" s="53"/>
      <c r="T131" s="51"/>
      <c r="U131" s="51"/>
    </row>
    <row r="132" spans="1:21" x14ac:dyDescent="0.25">
      <c r="A132" s="47">
        <f t="shared" si="3"/>
        <v>121</v>
      </c>
      <c r="B132" s="48"/>
      <c r="C132" s="5" t="s">
        <v>318</v>
      </c>
      <c r="D132" s="5" t="s">
        <v>148</v>
      </c>
      <c r="E132" s="6" t="s">
        <v>319</v>
      </c>
      <c r="F132" s="55" t="s">
        <v>566</v>
      </c>
      <c r="G132" s="12" t="s">
        <v>567</v>
      </c>
      <c r="H132" s="50"/>
      <c r="I132" s="50"/>
      <c r="J132" s="50"/>
      <c r="K132" s="50"/>
      <c r="L132" s="48"/>
      <c r="M132" s="48"/>
      <c r="N132" s="48"/>
      <c r="O132" s="67"/>
      <c r="P132" s="52"/>
      <c r="Q132" s="58"/>
      <c r="R132" s="53"/>
      <c r="S132" s="53"/>
      <c r="T132" s="51"/>
      <c r="U132" s="54"/>
    </row>
    <row r="133" spans="1:21" x14ac:dyDescent="0.25">
      <c r="A133" s="47">
        <f t="shared" si="3"/>
        <v>122</v>
      </c>
      <c r="B133" s="48"/>
      <c r="C133" s="7" t="s">
        <v>320</v>
      </c>
      <c r="D133" s="7" t="s">
        <v>321</v>
      </c>
      <c r="E133" s="8" t="s">
        <v>322</v>
      </c>
      <c r="F133" s="60">
        <v>9167697400</v>
      </c>
      <c r="G133" s="12" t="s">
        <v>568</v>
      </c>
      <c r="H133" s="50"/>
      <c r="I133" s="48"/>
      <c r="J133" s="48"/>
      <c r="K133" s="48"/>
      <c r="L133" s="48"/>
      <c r="M133" s="48"/>
      <c r="N133" s="48"/>
      <c r="O133" s="67"/>
      <c r="P133" s="52"/>
      <c r="Q133" s="52"/>
      <c r="R133" s="53"/>
      <c r="S133" s="53"/>
      <c r="T133" s="51"/>
      <c r="U133" s="54"/>
    </row>
    <row r="134" spans="1:21" x14ac:dyDescent="0.25">
      <c r="A134" s="47">
        <f t="shared" si="3"/>
        <v>123</v>
      </c>
      <c r="B134" s="48"/>
      <c r="C134" s="7" t="s">
        <v>323</v>
      </c>
      <c r="D134" s="7" t="s">
        <v>235</v>
      </c>
      <c r="E134" s="8" t="s">
        <v>324</v>
      </c>
      <c r="F134" s="64"/>
      <c r="G134" s="12" t="s">
        <v>569</v>
      </c>
      <c r="H134" s="50"/>
      <c r="I134" s="48"/>
      <c r="J134" s="48"/>
      <c r="K134" s="48"/>
      <c r="L134" s="48"/>
      <c r="M134" s="48"/>
      <c r="N134" s="48"/>
      <c r="O134" s="67"/>
      <c r="P134" s="52"/>
      <c r="Q134" s="52"/>
      <c r="R134" s="53"/>
      <c r="S134" s="53"/>
      <c r="T134" s="51"/>
      <c r="U134" s="54"/>
    </row>
    <row r="135" spans="1:21" x14ac:dyDescent="0.25">
      <c r="A135" s="47">
        <f t="shared" si="3"/>
        <v>124</v>
      </c>
      <c r="B135" s="56"/>
      <c r="C135" s="7" t="s">
        <v>325</v>
      </c>
      <c r="D135" s="7" t="s">
        <v>326</v>
      </c>
      <c r="E135" s="8" t="s">
        <v>327</v>
      </c>
      <c r="F135" s="60"/>
      <c r="G135" s="12" t="s">
        <v>570</v>
      </c>
      <c r="H135" s="56"/>
      <c r="I135" s="56"/>
      <c r="J135" s="56"/>
      <c r="K135" s="57"/>
      <c r="L135" s="57"/>
      <c r="M135" s="57"/>
      <c r="N135" s="57"/>
      <c r="O135" s="67"/>
      <c r="P135" s="58"/>
      <c r="Q135" s="58"/>
      <c r="R135" s="53"/>
      <c r="S135" s="53"/>
      <c r="T135" s="51"/>
      <c r="U135" s="51"/>
    </row>
    <row r="136" spans="1:21" x14ac:dyDescent="0.25">
      <c r="A136" s="47">
        <f t="shared" si="3"/>
        <v>125</v>
      </c>
      <c r="B136" s="48"/>
      <c r="C136" s="5" t="s">
        <v>328</v>
      </c>
      <c r="D136" s="5" t="s">
        <v>329</v>
      </c>
      <c r="E136" s="6" t="s">
        <v>330</v>
      </c>
      <c r="F136" s="49">
        <v>5302194729</v>
      </c>
      <c r="G136" s="63" t="s">
        <v>571</v>
      </c>
      <c r="H136" s="50"/>
      <c r="I136" s="50"/>
      <c r="J136" s="50"/>
      <c r="K136" s="50"/>
      <c r="L136" s="48"/>
      <c r="M136" s="48"/>
      <c r="N136" s="48"/>
      <c r="O136" s="67"/>
      <c r="P136" s="52"/>
      <c r="Q136" s="58"/>
      <c r="R136" s="53"/>
      <c r="S136" s="53"/>
      <c r="T136" s="51"/>
      <c r="U136" s="54"/>
    </row>
    <row r="137" spans="1:21" x14ac:dyDescent="0.25">
      <c r="A137" s="47">
        <f t="shared" si="3"/>
        <v>126</v>
      </c>
      <c r="B137" s="48"/>
      <c r="C137" s="5" t="s">
        <v>331</v>
      </c>
      <c r="D137" s="5" t="s">
        <v>332</v>
      </c>
      <c r="E137" s="6" t="s">
        <v>333</v>
      </c>
      <c r="F137" s="49"/>
      <c r="G137" s="12" t="s">
        <v>572</v>
      </c>
      <c r="H137" s="50"/>
      <c r="I137" s="48"/>
      <c r="J137" s="48"/>
      <c r="K137" s="48"/>
      <c r="L137" s="48"/>
      <c r="M137" s="48"/>
      <c r="N137" s="48"/>
      <c r="O137" s="67"/>
      <c r="P137" s="52"/>
      <c r="Q137" s="52"/>
      <c r="R137" s="53"/>
      <c r="S137" s="53"/>
      <c r="T137" s="51"/>
      <c r="U137" s="54"/>
    </row>
    <row r="138" spans="1:21" x14ac:dyDescent="0.25">
      <c r="A138" s="47">
        <f t="shared" si="3"/>
        <v>127</v>
      </c>
      <c r="B138" s="48"/>
      <c r="C138" s="5" t="s">
        <v>334</v>
      </c>
      <c r="D138" s="5" t="s">
        <v>33</v>
      </c>
      <c r="E138" s="6" t="s">
        <v>335</v>
      </c>
      <c r="F138" s="49"/>
      <c r="G138" s="12"/>
      <c r="H138" s="50"/>
      <c r="I138" s="50"/>
      <c r="J138" s="50"/>
      <c r="K138" s="50"/>
      <c r="L138" s="48"/>
      <c r="M138" s="48"/>
      <c r="N138" s="48"/>
      <c r="O138" s="67"/>
      <c r="P138" s="52"/>
      <c r="Q138" s="52"/>
      <c r="R138" s="53"/>
      <c r="S138" s="53"/>
      <c r="T138" s="51"/>
      <c r="U138" s="54"/>
    </row>
    <row r="139" spans="1:21" x14ac:dyDescent="0.25">
      <c r="A139" s="47">
        <f t="shared" si="3"/>
        <v>128</v>
      </c>
      <c r="B139" s="48"/>
      <c r="C139" s="5" t="s">
        <v>336</v>
      </c>
      <c r="D139" s="5" t="s">
        <v>67</v>
      </c>
      <c r="E139" s="6" t="s">
        <v>337</v>
      </c>
      <c r="F139" s="49">
        <v>7075991826</v>
      </c>
      <c r="G139" s="12" t="s">
        <v>573</v>
      </c>
      <c r="H139" s="50"/>
      <c r="I139" s="48"/>
      <c r="J139" s="48"/>
      <c r="K139" s="48"/>
      <c r="L139" s="48"/>
      <c r="M139" s="48"/>
      <c r="N139" s="48"/>
      <c r="O139" s="67"/>
      <c r="P139" s="52"/>
      <c r="Q139" s="52"/>
      <c r="R139" s="53"/>
      <c r="S139" s="53"/>
      <c r="T139" s="51"/>
      <c r="U139" s="54"/>
    </row>
    <row r="140" spans="1:21" x14ac:dyDescent="0.25">
      <c r="A140" s="47">
        <f t="shared" ref="A140:A203" si="4">ROW() - ROW(FRegEntriesEnteredHdr)</f>
        <v>129</v>
      </c>
      <c r="B140" s="48"/>
      <c r="C140" s="7" t="s">
        <v>338</v>
      </c>
      <c r="D140" s="7" t="s">
        <v>67</v>
      </c>
      <c r="E140" s="8" t="s">
        <v>339</v>
      </c>
      <c r="F140" s="60">
        <v>7075994605</v>
      </c>
      <c r="G140" s="15" t="s">
        <v>574</v>
      </c>
      <c r="H140" s="50"/>
      <c r="I140" s="48"/>
      <c r="J140" s="48"/>
      <c r="K140" s="48"/>
      <c r="L140" s="48"/>
      <c r="M140" s="48"/>
      <c r="N140" s="48"/>
      <c r="O140" s="67"/>
      <c r="P140" s="52"/>
      <c r="Q140" s="58"/>
      <c r="R140" s="53"/>
      <c r="S140" s="53"/>
      <c r="T140" s="51"/>
      <c r="U140" s="54"/>
    </row>
    <row r="141" spans="1:21" ht="15.75" x14ac:dyDescent="0.25">
      <c r="A141" s="47">
        <f t="shared" si="4"/>
        <v>130</v>
      </c>
      <c r="B141" s="56"/>
      <c r="C141" s="14" t="s">
        <v>340</v>
      </c>
      <c r="D141" s="14" t="s">
        <v>255</v>
      </c>
      <c r="E141" s="6"/>
      <c r="F141" s="49"/>
      <c r="G141" s="12" t="s">
        <v>575</v>
      </c>
      <c r="H141" s="56"/>
      <c r="I141" s="56"/>
      <c r="J141" s="56"/>
      <c r="K141" s="57"/>
      <c r="L141" s="57"/>
      <c r="M141" s="57"/>
      <c r="N141" s="57"/>
      <c r="O141" s="67"/>
      <c r="P141" s="58"/>
      <c r="Q141" s="58"/>
      <c r="R141" s="53"/>
      <c r="S141" s="53"/>
      <c r="T141" s="51"/>
      <c r="U141" s="59"/>
    </row>
    <row r="142" spans="1:21" x14ac:dyDescent="0.25">
      <c r="A142" s="47">
        <f t="shared" si="4"/>
        <v>131</v>
      </c>
      <c r="B142" s="48"/>
      <c r="C142" s="5" t="s">
        <v>341</v>
      </c>
      <c r="D142" s="5" t="s">
        <v>342</v>
      </c>
      <c r="E142" s="6" t="s">
        <v>343</v>
      </c>
      <c r="F142" s="49">
        <v>7073490481</v>
      </c>
      <c r="G142" s="63" t="s">
        <v>576</v>
      </c>
      <c r="H142" s="50"/>
      <c r="I142" s="48"/>
      <c r="J142" s="48"/>
      <c r="K142" s="48"/>
      <c r="L142" s="48"/>
      <c r="M142" s="48"/>
      <c r="N142" s="48"/>
      <c r="O142" s="67"/>
      <c r="P142" s="52"/>
      <c r="Q142" s="52"/>
      <c r="R142" s="53"/>
      <c r="S142" s="53"/>
      <c r="T142" s="51"/>
      <c r="U142" s="54"/>
    </row>
    <row r="143" spans="1:21" ht="15.75" x14ac:dyDescent="0.25">
      <c r="A143" s="47">
        <f t="shared" si="4"/>
        <v>132</v>
      </c>
      <c r="B143" s="48"/>
      <c r="C143" s="14" t="s">
        <v>344</v>
      </c>
      <c r="D143" s="14" t="s">
        <v>33</v>
      </c>
      <c r="E143" s="6" t="s">
        <v>345</v>
      </c>
      <c r="F143" s="49"/>
      <c r="G143" s="12" t="s">
        <v>577</v>
      </c>
      <c r="H143" s="50"/>
      <c r="I143" s="48"/>
      <c r="J143" s="48"/>
      <c r="K143" s="48"/>
      <c r="L143" s="48"/>
      <c r="M143" s="48"/>
      <c r="N143" s="48"/>
      <c r="O143" s="67"/>
      <c r="P143" s="52"/>
      <c r="Q143" s="52"/>
      <c r="R143" s="53"/>
      <c r="S143" s="53"/>
      <c r="T143" s="51"/>
      <c r="U143" s="54"/>
    </row>
    <row r="144" spans="1:21" x14ac:dyDescent="0.25">
      <c r="A144" s="47">
        <f t="shared" si="4"/>
        <v>133</v>
      </c>
      <c r="B144" s="56"/>
      <c r="C144" s="5" t="s">
        <v>346</v>
      </c>
      <c r="D144" s="5" t="s">
        <v>347</v>
      </c>
      <c r="E144" s="6" t="s">
        <v>348</v>
      </c>
      <c r="F144" s="49">
        <v>2093653232</v>
      </c>
      <c r="G144" s="63" t="s">
        <v>578</v>
      </c>
      <c r="H144" s="56"/>
      <c r="I144" s="56"/>
      <c r="J144" s="56"/>
      <c r="K144" s="57"/>
      <c r="L144" s="57"/>
      <c r="M144" s="57"/>
      <c r="N144" s="57"/>
      <c r="O144" s="67"/>
      <c r="P144" s="58"/>
      <c r="Q144" s="58"/>
      <c r="R144" s="53"/>
      <c r="S144" s="53"/>
      <c r="T144" s="51"/>
      <c r="U144" s="51"/>
    </row>
    <row r="145" spans="1:21" x14ac:dyDescent="0.25">
      <c r="A145" s="47">
        <f t="shared" si="4"/>
        <v>134</v>
      </c>
      <c r="B145" s="48"/>
      <c r="C145" s="5" t="s">
        <v>349</v>
      </c>
      <c r="D145" s="5" t="s">
        <v>350</v>
      </c>
      <c r="E145" s="6" t="s">
        <v>351</v>
      </c>
      <c r="F145" s="49">
        <v>7076641532</v>
      </c>
      <c r="G145" s="63" t="s">
        <v>579</v>
      </c>
      <c r="H145" s="50"/>
      <c r="I145" s="48"/>
      <c r="J145" s="48"/>
      <c r="K145" s="48"/>
      <c r="L145" s="48"/>
      <c r="M145" s="48"/>
      <c r="N145" s="48"/>
      <c r="O145" s="67"/>
      <c r="P145" s="52"/>
      <c r="Q145" s="52"/>
      <c r="R145" s="53"/>
      <c r="S145" s="53"/>
      <c r="T145" s="51"/>
      <c r="U145" s="54"/>
    </row>
    <row r="146" spans="1:21" x14ac:dyDescent="0.25">
      <c r="A146" s="47">
        <f t="shared" si="4"/>
        <v>135</v>
      </c>
      <c r="B146" s="48"/>
      <c r="C146" s="5" t="s">
        <v>352</v>
      </c>
      <c r="D146" s="5" t="s">
        <v>45</v>
      </c>
      <c r="E146" s="6" t="s">
        <v>353</v>
      </c>
      <c r="F146" s="55" t="s">
        <v>580</v>
      </c>
      <c r="G146" s="12" t="s">
        <v>581</v>
      </c>
      <c r="H146" s="50"/>
      <c r="I146" s="48"/>
      <c r="J146" s="48"/>
      <c r="K146" s="48"/>
      <c r="L146" s="48"/>
      <c r="M146" s="48"/>
      <c r="N146" s="48"/>
      <c r="O146" s="67"/>
      <c r="P146" s="52"/>
      <c r="Q146" s="52"/>
      <c r="R146" s="53"/>
      <c r="S146" s="53"/>
      <c r="T146" s="51"/>
      <c r="U146" s="54"/>
    </row>
    <row r="147" spans="1:21" x14ac:dyDescent="0.25">
      <c r="A147" s="47">
        <f t="shared" si="4"/>
        <v>136</v>
      </c>
      <c r="B147" s="56"/>
      <c r="C147" s="7" t="s">
        <v>354</v>
      </c>
      <c r="D147" s="7" t="s">
        <v>355</v>
      </c>
      <c r="E147" s="8" t="s">
        <v>356</v>
      </c>
      <c r="F147" s="60"/>
      <c r="G147" s="12" t="s">
        <v>582</v>
      </c>
      <c r="H147" s="56"/>
      <c r="I147" s="56"/>
      <c r="J147" s="56"/>
      <c r="K147" s="57"/>
      <c r="L147" s="57"/>
      <c r="M147" s="57"/>
      <c r="N147" s="57"/>
      <c r="O147" s="67"/>
      <c r="P147" s="58"/>
      <c r="Q147" s="58"/>
      <c r="R147" s="53"/>
      <c r="S147" s="53"/>
      <c r="T147" s="51"/>
      <c r="U147" s="51"/>
    </row>
    <row r="148" spans="1:21" x14ac:dyDescent="0.25">
      <c r="A148" s="47">
        <f t="shared" si="4"/>
        <v>137</v>
      </c>
      <c r="B148" s="48"/>
      <c r="C148" s="5" t="s">
        <v>357</v>
      </c>
      <c r="D148" s="5" t="s">
        <v>358</v>
      </c>
      <c r="E148" s="6" t="s">
        <v>359</v>
      </c>
      <c r="F148" s="49"/>
      <c r="G148" s="12" t="s">
        <v>583</v>
      </c>
      <c r="H148" s="50"/>
      <c r="I148" s="48"/>
      <c r="J148" s="48"/>
      <c r="K148" s="48"/>
      <c r="L148" s="48"/>
      <c r="M148" s="48"/>
      <c r="N148" s="48"/>
      <c r="O148" s="67"/>
      <c r="P148" s="52"/>
      <c r="Q148" s="52"/>
      <c r="R148" s="53"/>
      <c r="S148" s="53"/>
      <c r="T148" s="51"/>
      <c r="U148" s="54"/>
    </row>
    <row r="149" spans="1:21" x14ac:dyDescent="0.25">
      <c r="A149" s="47">
        <f t="shared" si="4"/>
        <v>138</v>
      </c>
      <c r="B149" s="48"/>
      <c r="C149" s="5" t="s">
        <v>360</v>
      </c>
      <c r="D149" s="5" t="s">
        <v>255</v>
      </c>
      <c r="E149" s="6"/>
      <c r="F149" s="49"/>
      <c r="G149" s="12" t="s">
        <v>584</v>
      </c>
      <c r="H149" s="50"/>
      <c r="I149" s="48"/>
      <c r="J149" s="48"/>
      <c r="K149" s="48"/>
      <c r="L149" s="48"/>
      <c r="M149" s="48"/>
      <c r="N149" s="48"/>
      <c r="O149" s="67"/>
      <c r="P149" s="52"/>
      <c r="Q149" s="52"/>
      <c r="R149" s="53"/>
      <c r="S149" s="53"/>
      <c r="T149" s="51"/>
      <c r="U149" s="54"/>
    </row>
    <row r="150" spans="1:21" x14ac:dyDescent="0.25">
      <c r="A150" s="47">
        <f t="shared" si="4"/>
        <v>139</v>
      </c>
      <c r="B150" s="48"/>
      <c r="C150" s="5" t="s">
        <v>361</v>
      </c>
      <c r="D150" s="5" t="s">
        <v>45</v>
      </c>
      <c r="E150" s="6" t="s">
        <v>362</v>
      </c>
      <c r="F150" s="49">
        <v>5303666465</v>
      </c>
      <c r="G150" s="63" t="s">
        <v>585</v>
      </c>
      <c r="H150" s="50"/>
      <c r="I150" s="48"/>
      <c r="J150" s="48"/>
      <c r="K150" s="48"/>
      <c r="L150" s="48"/>
      <c r="M150" s="48"/>
      <c r="N150" s="48"/>
      <c r="O150" s="67"/>
      <c r="P150" s="52"/>
      <c r="Q150" s="52"/>
      <c r="R150" s="53"/>
      <c r="S150" s="53"/>
      <c r="T150" s="51"/>
      <c r="U150" s="54"/>
    </row>
    <row r="151" spans="1:21" x14ac:dyDescent="0.25">
      <c r="A151" s="47">
        <f t="shared" si="4"/>
        <v>140</v>
      </c>
      <c r="B151" s="56"/>
      <c r="C151" s="5" t="s">
        <v>363</v>
      </c>
      <c r="D151" s="5" t="s">
        <v>355</v>
      </c>
      <c r="E151" s="6" t="s">
        <v>364</v>
      </c>
      <c r="F151" s="49"/>
      <c r="G151" s="12" t="s">
        <v>586</v>
      </c>
      <c r="H151" s="56"/>
      <c r="I151" s="56"/>
      <c r="J151" s="56"/>
      <c r="K151" s="57"/>
      <c r="L151" s="57"/>
      <c r="M151" s="57"/>
      <c r="N151" s="57"/>
      <c r="O151" s="67"/>
      <c r="P151" s="58"/>
      <c r="Q151" s="58"/>
      <c r="R151" s="53"/>
      <c r="S151" s="53"/>
      <c r="T151" s="51"/>
      <c r="U151" s="51"/>
    </row>
    <row r="152" spans="1:21" x14ac:dyDescent="0.25">
      <c r="A152" s="47">
        <f t="shared" si="4"/>
        <v>141</v>
      </c>
      <c r="B152" s="56"/>
      <c r="C152" s="7" t="s">
        <v>365</v>
      </c>
      <c r="D152" s="7" t="s">
        <v>72</v>
      </c>
      <c r="E152" s="8" t="s">
        <v>366</v>
      </c>
      <c r="F152" s="64"/>
      <c r="G152" s="12" t="s">
        <v>587</v>
      </c>
      <c r="H152" s="56"/>
      <c r="I152" s="56"/>
      <c r="J152" s="56"/>
      <c r="K152" s="57"/>
      <c r="L152" s="57"/>
      <c r="M152" s="57"/>
      <c r="N152" s="57"/>
      <c r="O152" s="67"/>
      <c r="P152" s="58"/>
      <c r="Q152" s="58"/>
      <c r="R152" s="53"/>
      <c r="S152" s="53"/>
      <c r="T152" s="51"/>
      <c r="U152" s="51"/>
    </row>
    <row r="153" spans="1:21" x14ac:dyDescent="0.25">
      <c r="A153" s="47">
        <f t="shared" si="4"/>
        <v>142</v>
      </c>
      <c r="B153" s="56"/>
      <c r="C153" s="7" t="s">
        <v>367</v>
      </c>
      <c r="D153" s="7" t="s">
        <v>45</v>
      </c>
      <c r="E153" s="8" t="s">
        <v>368</v>
      </c>
      <c r="F153" s="60">
        <v>7072524331</v>
      </c>
      <c r="G153" s="12" t="s">
        <v>588</v>
      </c>
      <c r="H153" s="56"/>
      <c r="I153" s="56"/>
      <c r="J153" s="56"/>
      <c r="K153" s="57"/>
      <c r="L153" s="57"/>
      <c r="M153" s="57"/>
      <c r="N153" s="57"/>
      <c r="O153" s="67"/>
      <c r="P153" s="58"/>
      <c r="Q153" s="58"/>
      <c r="R153" s="53"/>
      <c r="S153" s="53"/>
      <c r="T153" s="51"/>
      <c r="U153" s="51"/>
    </row>
    <row r="154" spans="1:21" x14ac:dyDescent="0.25">
      <c r="A154" s="47">
        <f t="shared" si="4"/>
        <v>143</v>
      </c>
      <c r="B154" s="48"/>
      <c r="C154" s="7" t="s">
        <v>369</v>
      </c>
      <c r="D154" s="7" t="s">
        <v>45</v>
      </c>
      <c r="E154" s="8" t="s">
        <v>370</v>
      </c>
      <c r="F154" s="60" t="s">
        <v>589</v>
      </c>
      <c r="G154" s="12" t="s">
        <v>590</v>
      </c>
      <c r="H154" s="50"/>
      <c r="I154" s="48"/>
      <c r="J154" s="48"/>
      <c r="K154" s="48"/>
      <c r="L154" s="48"/>
      <c r="M154" s="48"/>
      <c r="N154" s="48"/>
      <c r="O154" s="67"/>
      <c r="P154" s="52"/>
      <c r="Q154" s="52"/>
      <c r="R154" s="53"/>
      <c r="S154" s="53"/>
      <c r="T154" s="51"/>
      <c r="U154" s="54"/>
    </row>
    <row r="155" spans="1:21" x14ac:dyDescent="0.25">
      <c r="A155" s="47">
        <f t="shared" si="4"/>
        <v>144</v>
      </c>
      <c r="B155" s="56"/>
      <c r="C155" s="7" t="s">
        <v>371</v>
      </c>
      <c r="D155" s="7" t="s">
        <v>372</v>
      </c>
      <c r="E155" s="8" t="s">
        <v>373</v>
      </c>
      <c r="F155" s="60"/>
      <c r="G155" s="12" t="s">
        <v>591</v>
      </c>
      <c r="H155" s="57"/>
      <c r="I155" s="57"/>
      <c r="J155" s="57"/>
      <c r="K155" s="57"/>
      <c r="L155" s="57"/>
      <c r="M155" s="57"/>
      <c r="N155" s="57"/>
      <c r="O155" s="67"/>
      <c r="P155" s="58"/>
      <c r="Q155" s="58"/>
      <c r="R155" s="53"/>
      <c r="S155" s="53"/>
      <c r="T155" s="51"/>
      <c r="U155" s="51"/>
    </row>
    <row r="156" spans="1:21" x14ac:dyDescent="0.25">
      <c r="A156" s="47">
        <f t="shared" si="4"/>
        <v>145</v>
      </c>
      <c r="B156" s="48"/>
      <c r="C156" s="5" t="s">
        <v>374</v>
      </c>
      <c r="D156" s="5" t="s">
        <v>375</v>
      </c>
      <c r="E156" s="6" t="s">
        <v>376</v>
      </c>
      <c r="F156" s="49"/>
      <c r="G156" s="12" t="s">
        <v>592</v>
      </c>
      <c r="H156" s="50"/>
      <c r="I156" s="48"/>
      <c r="J156" s="48"/>
      <c r="K156" s="48"/>
      <c r="L156" s="48"/>
      <c r="M156" s="48"/>
      <c r="N156" s="48"/>
      <c r="O156" s="67"/>
      <c r="P156" s="52"/>
      <c r="Q156" s="52"/>
      <c r="R156" s="53"/>
      <c r="S156" s="53"/>
      <c r="T156" s="51"/>
      <c r="U156" s="54"/>
    </row>
    <row r="157" spans="1:21" x14ac:dyDescent="0.25">
      <c r="A157" s="47">
        <f t="shared" si="4"/>
        <v>146</v>
      </c>
      <c r="B157" s="48"/>
      <c r="C157" s="7" t="s">
        <v>377</v>
      </c>
      <c r="D157" s="7" t="s">
        <v>25</v>
      </c>
      <c r="E157" s="8" t="s">
        <v>378</v>
      </c>
      <c r="F157" s="49"/>
      <c r="G157" s="12" t="s">
        <v>593</v>
      </c>
      <c r="H157" s="50"/>
      <c r="I157" s="48"/>
      <c r="J157" s="48"/>
      <c r="K157" s="48"/>
      <c r="L157" s="48"/>
      <c r="M157" s="48"/>
      <c r="N157" s="48"/>
      <c r="O157" s="67"/>
      <c r="P157" s="52"/>
      <c r="Q157" s="52"/>
      <c r="R157" s="53"/>
      <c r="S157" s="53"/>
      <c r="T157" s="51"/>
      <c r="U157" s="54"/>
    </row>
    <row r="158" spans="1:21" x14ac:dyDescent="0.25">
      <c r="A158" s="47">
        <f t="shared" si="4"/>
        <v>147</v>
      </c>
      <c r="B158" s="48"/>
      <c r="C158" s="5" t="s">
        <v>379</v>
      </c>
      <c r="D158" s="5" t="s">
        <v>145</v>
      </c>
      <c r="E158" s="6" t="s">
        <v>380</v>
      </c>
      <c r="F158" s="49"/>
      <c r="G158" s="12" t="s">
        <v>594</v>
      </c>
      <c r="H158" s="50"/>
      <c r="I158" s="48"/>
      <c r="J158" s="48"/>
      <c r="K158" s="48"/>
      <c r="L158" s="48"/>
      <c r="M158" s="48"/>
      <c r="N158" s="48"/>
      <c r="O158" s="67"/>
      <c r="P158" s="52"/>
      <c r="Q158" s="52"/>
      <c r="R158" s="53"/>
      <c r="S158" s="53"/>
      <c r="T158" s="51"/>
      <c r="U158" s="54"/>
    </row>
    <row r="159" spans="1:21" x14ac:dyDescent="0.25">
      <c r="A159" s="47">
        <f t="shared" si="4"/>
        <v>148</v>
      </c>
      <c r="B159" s="48"/>
      <c r="C159" s="7" t="s">
        <v>381</v>
      </c>
      <c r="D159" s="7" t="s">
        <v>103</v>
      </c>
      <c r="E159" s="8" t="s">
        <v>382</v>
      </c>
      <c r="F159" s="49"/>
      <c r="G159" s="12" t="s">
        <v>595</v>
      </c>
      <c r="H159" s="50"/>
      <c r="I159" s="48"/>
      <c r="J159" s="48"/>
      <c r="K159" s="48"/>
      <c r="L159" s="48"/>
      <c r="M159" s="48"/>
      <c r="N159" s="48"/>
      <c r="O159" s="67"/>
      <c r="P159" s="52"/>
      <c r="Q159" s="52"/>
      <c r="R159" s="53"/>
      <c r="S159" s="53"/>
      <c r="T159" s="51"/>
      <c r="U159" s="54"/>
    </row>
    <row r="160" spans="1:21" x14ac:dyDescent="0.25">
      <c r="A160" s="47">
        <f t="shared" si="4"/>
        <v>149</v>
      </c>
      <c r="B160" s="56"/>
      <c r="C160" s="5" t="s">
        <v>383</v>
      </c>
      <c r="D160" s="5" t="s">
        <v>185</v>
      </c>
      <c r="E160" s="6" t="s">
        <v>384</v>
      </c>
      <c r="F160" s="10" t="s">
        <v>596</v>
      </c>
      <c r="G160" s="15" t="s">
        <v>597</v>
      </c>
      <c r="H160" s="50"/>
      <c r="I160" s="48"/>
      <c r="J160" s="48"/>
      <c r="K160" s="48"/>
      <c r="L160" s="48"/>
      <c r="M160" s="48"/>
      <c r="N160" s="48"/>
      <c r="O160" s="67"/>
      <c r="P160" s="52"/>
      <c r="Q160" s="52"/>
      <c r="R160" s="53"/>
      <c r="S160" s="53"/>
      <c r="T160" s="51"/>
      <c r="U160" s="54"/>
    </row>
    <row r="161" spans="1:21" x14ac:dyDescent="0.25">
      <c r="A161" s="47">
        <f t="shared" si="4"/>
        <v>150</v>
      </c>
      <c r="B161" s="48"/>
      <c r="C161" s="5" t="s">
        <v>385</v>
      </c>
      <c r="D161" s="5" t="s">
        <v>84</v>
      </c>
      <c r="E161" s="6" t="s">
        <v>386</v>
      </c>
      <c r="F161" s="49"/>
      <c r="G161" s="12"/>
      <c r="H161" s="50"/>
      <c r="I161" s="48"/>
      <c r="J161" s="48"/>
      <c r="K161" s="48"/>
      <c r="L161" s="48"/>
      <c r="M161" s="48"/>
      <c r="N161" s="48"/>
      <c r="O161" s="67"/>
      <c r="P161" s="52"/>
      <c r="Q161" s="52"/>
      <c r="R161" s="53"/>
      <c r="S161" s="53"/>
      <c r="T161" s="51"/>
      <c r="U161" s="54"/>
    </row>
    <row r="162" spans="1:21" x14ac:dyDescent="0.25">
      <c r="A162" s="47">
        <f t="shared" si="4"/>
        <v>151</v>
      </c>
      <c r="B162" s="56"/>
      <c r="C162" s="5" t="s">
        <v>387</v>
      </c>
      <c r="D162" s="5" t="s">
        <v>388</v>
      </c>
      <c r="E162" s="6" t="s">
        <v>389</v>
      </c>
      <c r="F162" s="49"/>
      <c r="G162" s="12"/>
      <c r="H162" s="56"/>
      <c r="I162" s="56"/>
      <c r="J162" s="56"/>
      <c r="K162" s="57"/>
      <c r="L162" s="57"/>
      <c r="M162" s="57"/>
      <c r="N162" s="57"/>
      <c r="O162" s="67"/>
      <c r="P162" s="58"/>
      <c r="Q162" s="58"/>
      <c r="R162" s="53"/>
      <c r="S162" s="53"/>
      <c r="T162" s="51"/>
      <c r="U162" s="59"/>
    </row>
    <row r="163" spans="1:21" x14ac:dyDescent="0.25">
      <c r="A163" s="47">
        <f t="shared" si="4"/>
        <v>152</v>
      </c>
      <c r="B163" s="56"/>
      <c r="C163" s="5" t="s">
        <v>390</v>
      </c>
      <c r="D163" s="5" t="s">
        <v>208</v>
      </c>
      <c r="E163" s="6" t="s">
        <v>391</v>
      </c>
      <c r="F163" s="49"/>
      <c r="G163" s="12" t="s">
        <v>598</v>
      </c>
      <c r="H163" s="56"/>
      <c r="I163" s="56"/>
      <c r="J163" s="56"/>
      <c r="K163" s="57"/>
      <c r="L163" s="57"/>
      <c r="M163" s="57"/>
      <c r="N163" s="57"/>
      <c r="O163" s="67"/>
      <c r="P163" s="58"/>
      <c r="Q163" s="58"/>
      <c r="R163" s="53"/>
      <c r="S163" s="53"/>
      <c r="T163" s="51"/>
      <c r="U163" s="51"/>
    </row>
    <row r="164" spans="1:21" x14ac:dyDescent="0.25">
      <c r="A164" s="47">
        <f t="shared" si="4"/>
        <v>153</v>
      </c>
      <c r="B164" s="48"/>
      <c r="C164" s="5" t="s">
        <v>392</v>
      </c>
      <c r="D164" s="5" t="s">
        <v>342</v>
      </c>
      <c r="E164" s="6" t="s">
        <v>393</v>
      </c>
      <c r="F164" s="49">
        <v>7075087889</v>
      </c>
      <c r="G164" s="12" t="s">
        <v>471</v>
      </c>
      <c r="H164" s="50"/>
      <c r="I164" s="48"/>
      <c r="J164" s="48"/>
      <c r="K164" s="48"/>
      <c r="L164" s="48"/>
      <c r="M164" s="48"/>
      <c r="N164" s="48"/>
      <c r="O164" s="67"/>
      <c r="P164" s="52"/>
      <c r="Q164" s="52"/>
      <c r="R164" s="53"/>
      <c r="S164" s="53"/>
      <c r="T164" s="51"/>
      <c r="U164" s="54"/>
    </row>
    <row r="165" spans="1:21" x14ac:dyDescent="0.25">
      <c r="A165" s="47">
        <f t="shared" si="4"/>
        <v>154</v>
      </c>
      <c r="B165" s="48"/>
      <c r="C165" s="5" t="s">
        <v>394</v>
      </c>
      <c r="D165" s="5" t="s">
        <v>50</v>
      </c>
      <c r="E165" s="6" t="s">
        <v>395</v>
      </c>
      <c r="F165" s="49"/>
      <c r="G165" s="12" t="s">
        <v>599</v>
      </c>
      <c r="H165" s="50"/>
      <c r="I165" s="48"/>
      <c r="J165" s="48"/>
      <c r="K165" s="48"/>
      <c r="L165" s="48"/>
      <c r="M165" s="48"/>
      <c r="N165" s="48"/>
      <c r="O165" s="67"/>
      <c r="P165" s="52"/>
      <c r="Q165" s="52"/>
      <c r="R165" s="53"/>
      <c r="S165" s="53"/>
      <c r="T165" s="51"/>
      <c r="U165" s="54"/>
    </row>
    <row r="166" spans="1:21" x14ac:dyDescent="0.25">
      <c r="A166" s="47">
        <f t="shared" si="4"/>
        <v>155</v>
      </c>
      <c r="B166" s="56"/>
      <c r="C166" s="5" t="s">
        <v>396</v>
      </c>
      <c r="D166" s="5" t="s">
        <v>72</v>
      </c>
      <c r="E166" s="6" t="s">
        <v>397</v>
      </c>
      <c r="F166" s="49">
        <v>7075290228</v>
      </c>
      <c r="G166" s="63" t="s">
        <v>600</v>
      </c>
      <c r="H166" s="56"/>
      <c r="I166" s="56"/>
      <c r="J166" s="56"/>
      <c r="K166" s="57"/>
      <c r="L166" s="57"/>
      <c r="M166" s="57"/>
      <c r="N166" s="57"/>
      <c r="O166" s="67"/>
      <c r="P166" s="58"/>
      <c r="Q166" s="58"/>
      <c r="R166" s="53"/>
      <c r="S166" s="53"/>
      <c r="T166" s="51"/>
      <c r="U166" s="51"/>
    </row>
    <row r="167" spans="1:21" x14ac:dyDescent="0.25">
      <c r="A167" s="47">
        <f t="shared" si="4"/>
        <v>156</v>
      </c>
      <c r="B167" s="48"/>
      <c r="C167" s="7" t="s">
        <v>398</v>
      </c>
      <c r="D167" s="7" t="s">
        <v>185</v>
      </c>
      <c r="E167" s="8" t="s">
        <v>399</v>
      </c>
      <c r="F167" s="64"/>
      <c r="G167" s="12" t="s">
        <v>535</v>
      </c>
      <c r="H167" s="50"/>
      <c r="I167" s="50"/>
      <c r="J167" s="50"/>
      <c r="K167" s="50"/>
      <c r="L167" s="48"/>
      <c r="M167" s="48"/>
      <c r="N167" s="48"/>
      <c r="O167" s="67"/>
      <c r="P167" s="52"/>
      <c r="Q167" s="52"/>
      <c r="R167" s="53"/>
      <c r="S167" s="53"/>
      <c r="T167" s="51"/>
      <c r="U167" s="54"/>
    </row>
    <row r="168" spans="1:21" x14ac:dyDescent="0.25">
      <c r="A168" s="47">
        <f t="shared" si="4"/>
        <v>157</v>
      </c>
      <c r="B168" s="48"/>
      <c r="C168" s="5" t="s">
        <v>400</v>
      </c>
      <c r="D168" s="5" t="s">
        <v>194</v>
      </c>
      <c r="E168" s="6" t="s">
        <v>401</v>
      </c>
      <c r="F168" s="49"/>
      <c r="G168" s="12" t="s">
        <v>601</v>
      </c>
      <c r="H168" s="50"/>
      <c r="I168" s="48"/>
      <c r="J168" s="48"/>
      <c r="K168" s="48"/>
      <c r="L168" s="48"/>
      <c r="M168" s="48"/>
      <c r="N168" s="48"/>
      <c r="O168" s="67"/>
      <c r="P168" s="52"/>
      <c r="Q168" s="52"/>
      <c r="R168" s="53"/>
      <c r="S168" s="53"/>
      <c r="T168" s="51"/>
      <c r="U168" s="54"/>
    </row>
    <row r="169" spans="1:21" x14ac:dyDescent="0.25">
      <c r="A169" s="47">
        <f t="shared" si="4"/>
        <v>158</v>
      </c>
      <c r="B169" s="56"/>
      <c r="C169" s="5" t="s">
        <v>402</v>
      </c>
      <c r="D169" s="5" t="s">
        <v>329</v>
      </c>
      <c r="E169" s="6" t="s">
        <v>403</v>
      </c>
      <c r="F169" s="49"/>
      <c r="G169" s="12" t="s">
        <v>602</v>
      </c>
      <c r="H169" s="56"/>
      <c r="I169" s="56"/>
      <c r="J169" s="56"/>
      <c r="K169" s="57"/>
      <c r="L169" s="57"/>
      <c r="M169" s="57"/>
      <c r="N169" s="57"/>
      <c r="O169" s="67"/>
      <c r="P169" s="58"/>
      <c r="Q169" s="58"/>
      <c r="R169" s="53"/>
      <c r="S169" s="53"/>
      <c r="T169" s="51"/>
      <c r="U169" s="51"/>
    </row>
    <row r="170" spans="1:21" x14ac:dyDescent="0.25">
      <c r="A170" s="47">
        <f t="shared" si="4"/>
        <v>159</v>
      </c>
      <c r="B170" s="48"/>
      <c r="C170" s="5" t="s">
        <v>404</v>
      </c>
      <c r="D170" s="5" t="s">
        <v>42</v>
      </c>
      <c r="E170" s="6" t="s">
        <v>405</v>
      </c>
      <c r="F170" s="49"/>
      <c r="G170" s="12"/>
      <c r="H170" s="50"/>
      <c r="I170" s="48"/>
      <c r="J170" s="48"/>
      <c r="K170" s="48"/>
      <c r="L170" s="48"/>
      <c r="M170" s="48"/>
      <c r="N170" s="48"/>
      <c r="O170" s="67"/>
      <c r="P170" s="52"/>
      <c r="Q170" s="52"/>
      <c r="R170" s="53"/>
      <c r="S170" s="53"/>
      <c r="T170" s="51"/>
      <c r="U170" s="54"/>
    </row>
    <row r="171" spans="1:21" x14ac:dyDescent="0.25">
      <c r="A171" s="47">
        <f t="shared" si="4"/>
        <v>160</v>
      </c>
      <c r="B171" s="48"/>
      <c r="C171" s="5" t="s">
        <v>406</v>
      </c>
      <c r="D171" s="5" t="s">
        <v>45</v>
      </c>
      <c r="E171" s="6" t="s">
        <v>407</v>
      </c>
      <c r="F171" s="49">
        <v>7078150886</v>
      </c>
      <c r="G171" s="63" t="s">
        <v>603</v>
      </c>
      <c r="H171" s="50"/>
      <c r="I171" s="48"/>
      <c r="J171" s="48"/>
      <c r="K171" s="48"/>
      <c r="L171" s="48"/>
      <c r="M171" s="48"/>
      <c r="N171" s="48"/>
      <c r="O171" s="67"/>
      <c r="P171" s="52"/>
      <c r="Q171" s="52"/>
      <c r="R171" s="53"/>
      <c r="S171" s="53"/>
      <c r="T171" s="51"/>
      <c r="U171" s="54"/>
    </row>
    <row r="172" spans="1:21" x14ac:dyDescent="0.25">
      <c r="A172" s="47">
        <f t="shared" si="4"/>
        <v>161</v>
      </c>
      <c r="B172" s="48"/>
      <c r="C172" s="5" t="s">
        <v>408</v>
      </c>
      <c r="D172" s="5" t="s">
        <v>409</v>
      </c>
      <c r="E172" s="6" t="s">
        <v>410</v>
      </c>
      <c r="F172" s="49">
        <v>5106764872</v>
      </c>
      <c r="G172" s="63" t="s">
        <v>604</v>
      </c>
      <c r="H172" s="50"/>
      <c r="I172" s="48"/>
      <c r="J172" s="48"/>
      <c r="K172" s="48"/>
      <c r="L172" s="48"/>
      <c r="M172" s="48"/>
      <c r="N172" s="48"/>
      <c r="O172" s="67"/>
      <c r="P172" s="52"/>
      <c r="Q172" s="52"/>
      <c r="R172" s="53"/>
      <c r="S172" s="53"/>
      <c r="T172" s="51"/>
      <c r="U172" s="54"/>
    </row>
    <row r="173" spans="1:21" x14ac:dyDescent="0.25">
      <c r="A173" s="47">
        <f t="shared" si="4"/>
        <v>162</v>
      </c>
      <c r="B173" s="56"/>
      <c r="C173" s="5" t="s">
        <v>411</v>
      </c>
      <c r="D173" s="5" t="s">
        <v>412</v>
      </c>
      <c r="E173" s="6" t="s">
        <v>413</v>
      </c>
      <c r="F173" s="49"/>
      <c r="G173" s="12"/>
      <c r="H173" s="56"/>
      <c r="I173" s="56"/>
      <c r="J173" s="56"/>
      <c r="K173" s="57"/>
      <c r="L173" s="57"/>
      <c r="M173" s="57"/>
      <c r="N173" s="57"/>
      <c r="O173" s="67"/>
      <c r="P173" s="58"/>
      <c r="Q173" s="58"/>
      <c r="R173" s="53"/>
      <c r="S173" s="53"/>
      <c r="T173" s="51"/>
      <c r="U173" s="59"/>
    </row>
    <row r="174" spans="1:21" x14ac:dyDescent="0.25">
      <c r="A174" s="47">
        <f t="shared" si="4"/>
        <v>163</v>
      </c>
      <c r="B174" s="56"/>
      <c r="C174" s="5" t="s">
        <v>414</v>
      </c>
      <c r="D174" s="5" t="s">
        <v>412</v>
      </c>
      <c r="E174" s="6" t="s">
        <v>415</v>
      </c>
      <c r="F174" s="10" t="s">
        <v>605</v>
      </c>
      <c r="G174" s="12" t="s">
        <v>606</v>
      </c>
      <c r="H174" s="56"/>
      <c r="I174" s="56"/>
      <c r="J174" s="56"/>
      <c r="K174" s="57"/>
      <c r="L174" s="57"/>
      <c r="M174" s="57"/>
      <c r="N174" s="57"/>
      <c r="O174" s="67"/>
      <c r="P174" s="58"/>
      <c r="Q174" s="58"/>
      <c r="R174" s="53"/>
      <c r="S174" s="53"/>
      <c r="T174" s="51"/>
      <c r="U174" s="51"/>
    </row>
    <row r="175" spans="1:21" x14ac:dyDescent="0.25">
      <c r="A175" s="47">
        <f t="shared" si="4"/>
        <v>164</v>
      </c>
      <c r="B175" s="48"/>
      <c r="C175" s="15"/>
      <c r="D175" s="15"/>
      <c r="E175" s="15"/>
      <c r="F175" s="15"/>
      <c r="G175" s="15"/>
      <c r="H175" s="50"/>
      <c r="I175" s="48"/>
      <c r="J175" s="48"/>
      <c r="K175" s="48"/>
      <c r="L175" s="48"/>
      <c r="M175" s="48"/>
      <c r="N175" s="48"/>
      <c r="O175" s="67"/>
      <c r="P175" s="52"/>
      <c r="Q175" s="52"/>
      <c r="R175" s="53"/>
      <c r="S175" s="53"/>
      <c r="T175" s="51"/>
      <c r="U175" s="54"/>
    </row>
    <row r="176" spans="1:21" x14ac:dyDescent="0.25">
      <c r="A176" s="47">
        <f t="shared" si="4"/>
        <v>165</v>
      </c>
      <c r="B176" s="48"/>
      <c r="C176" s="15"/>
      <c r="D176" s="15"/>
      <c r="E176" s="15"/>
      <c r="F176" s="15"/>
      <c r="G176" s="15"/>
      <c r="H176" s="50"/>
      <c r="I176" s="50"/>
      <c r="J176" s="50"/>
      <c r="K176" s="50"/>
      <c r="L176" s="48"/>
      <c r="M176" s="48"/>
      <c r="N176" s="48"/>
      <c r="O176" s="67"/>
      <c r="P176" s="52"/>
      <c r="Q176" s="58"/>
      <c r="R176" s="53"/>
      <c r="S176" s="53"/>
      <c r="T176" s="51"/>
      <c r="U176" s="54"/>
    </row>
    <row r="177" spans="1:21" x14ac:dyDescent="0.25">
      <c r="A177" s="47">
        <f t="shared" si="4"/>
        <v>166</v>
      </c>
      <c r="B177" s="48"/>
      <c r="C177" s="15"/>
      <c r="D177" s="15"/>
      <c r="E177" s="15"/>
      <c r="F177" s="15"/>
      <c r="G177" s="15"/>
      <c r="H177" s="50"/>
      <c r="I177" s="48"/>
      <c r="J177" s="48"/>
      <c r="K177" s="48"/>
      <c r="L177" s="48"/>
      <c r="M177" s="48"/>
      <c r="N177" s="48"/>
      <c r="O177" s="67"/>
      <c r="P177" s="52"/>
      <c r="Q177" s="52"/>
      <c r="R177" s="53"/>
      <c r="S177" s="53"/>
      <c r="T177" s="51"/>
      <c r="U177" s="54"/>
    </row>
    <row r="178" spans="1:21" x14ac:dyDescent="0.25">
      <c r="A178" s="47">
        <f t="shared" si="4"/>
        <v>167</v>
      </c>
      <c r="B178" s="48"/>
      <c r="C178" s="15"/>
      <c r="D178" s="15"/>
      <c r="E178" s="15"/>
      <c r="F178" s="15"/>
      <c r="G178" s="15"/>
      <c r="H178" s="50"/>
      <c r="I178" s="48"/>
      <c r="J178" s="48"/>
      <c r="K178" s="48"/>
      <c r="L178" s="48"/>
      <c r="M178" s="48"/>
      <c r="N178" s="48"/>
      <c r="O178" s="67"/>
      <c r="P178" s="52"/>
      <c r="Q178" s="52"/>
      <c r="R178" s="53"/>
      <c r="S178" s="53"/>
      <c r="T178" s="51"/>
      <c r="U178" s="54"/>
    </row>
    <row r="179" spans="1:21" x14ac:dyDescent="0.25">
      <c r="A179" s="47">
        <f t="shared" si="4"/>
        <v>168</v>
      </c>
      <c r="B179" s="48"/>
      <c r="C179" s="15"/>
      <c r="D179" s="15"/>
      <c r="E179" s="15"/>
      <c r="F179" s="15"/>
      <c r="G179" s="15"/>
      <c r="H179" s="50"/>
      <c r="I179" s="48"/>
      <c r="J179" s="48"/>
      <c r="K179" s="48"/>
      <c r="L179" s="48"/>
      <c r="M179" s="48"/>
      <c r="N179" s="48"/>
      <c r="O179" s="67"/>
      <c r="P179" s="52"/>
      <c r="Q179" s="58"/>
      <c r="R179" s="53"/>
      <c r="S179" s="53"/>
      <c r="T179" s="51"/>
      <c r="U179" s="54"/>
    </row>
    <row r="180" spans="1:21" x14ac:dyDescent="0.25">
      <c r="A180" s="47">
        <f t="shared" si="4"/>
        <v>169</v>
      </c>
      <c r="B180" s="48"/>
      <c r="C180" s="15"/>
      <c r="D180" s="15"/>
      <c r="E180" s="15"/>
      <c r="F180" s="15"/>
      <c r="G180" s="15"/>
      <c r="H180" s="50"/>
      <c r="I180" s="48"/>
      <c r="J180" s="48"/>
      <c r="K180" s="48"/>
      <c r="L180" s="48"/>
      <c r="M180" s="48"/>
      <c r="N180" s="48"/>
      <c r="O180" s="67"/>
      <c r="P180" s="52"/>
      <c r="Q180" s="52"/>
      <c r="R180" s="53"/>
      <c r="S180" s="53"/>
      <c r="T180" s="51"/>
      <c r="U180" s="54"/>
    </row>
    <row r="181" spans="1:21" x14ac:dyDescent="0.25">
      <c r="A181" s="47">
        <f t="shared" si="4"/>
        <v>170</v>
      </c>
      <c r="B181" s="48"/>
      <c r="C181" s="15"/>
      <c r="D181" s="15"/>
      <c r="E181" s="15"/>
      <c r="F181" s="15"/>
      <c r="G181" s="15"/>
      <c r="H181" s="50"/>
      <c r="I181" s="48"/>
      <c r="J181" s="48"/>
      <c r="K181" s="48"/>
      <c r="L181" s="48"/>
      <c r="M181" s="48"/>
      <c r="N181" s="48"/>
      <c r="O181" s="67"/>
      <c r="P181" s="52"/>
      <c r="Q181" s="52"/>
      <c r="R181" s="53"/>
      <c r="S181" s="53"/>
      <c r="T181" s="51"/>
      <c r="U181" s="54"/>
    </row>
    <row r="182" spans="1:21" x14ac:dyDescent="0.25">
      <c r="A182" s="47">
        <f t="shared" si="4"/>
        <v>171</v>
      </c>
      <c r="B182" s="48"/>
      <c r="C182" s="15"/>
      <c r="D182" s="15"/>
      <c r="E182" s="15"/>
      <c r="F182" s="15"/>
      <c r="G182" s="15"/>
      <c r="H182" s="50"/>
      <c r="I182" s="48"/>
      <c r="J182" s="48"/>
      <c r="K182" s="48"/>
      <c r="L182" s="48"/>
      <c r="M182" s="48"/>
      <c r="N182" s="48"/>
      <c r="O182" s="67"/>
      <c r="P182" s="52"/>
      <c r="Q182" s="52"/>
      <c r="R182" s="53"/>
      <c r="S182" s="53"/>
      <c r="T182" s="51"/>
      <c r="U182" s="54"/>
    </row>
    <row r="183" spans="1:21" x14ac:dyDescent="0.25">
      <c r="A183" s="47">
        <f t="shared" si="4"/>
        <v>172</v>
      </c>
      <c r="B183" s="48"/>
      <c r="C183" s="15"/>
      <c r="D183" s="15"/>
      <c r="E183" s="15"/>
      <c r="F183" s="15"/>
      <c r="G183" s="15"/>
      <c r="H183" s="50"/>
      <c r="I183" s="48"/>
      <c r="J183" s="48"/>
      <c r="K183" s="48"/>
      <c r="L183" s="48"/>
      <c r="M183" s="48"/>
      <c r="N183" s="48"/>
      <c r="O183" s="67"/>
      <c r="P183" s="52"/>
      <c r="Q183" s="52"/>
      <c r="R183" s="53"/>
      <c r="S183" s="53"/>
      <c r="T183" s="51"/>
      <c r="U183" s="54"/>
    </row>
    <row r="184" spans="1:21" x14ac:dyDescent="0.25">
      <c r="A184" s="47">
        <f t="shared" si="4"/>
        <v>173</v>
      </c>
      <c r="B184" s="56"/>
      <c r="C184" s="15"/>
      <c r="D184" s="15"/>
      <c r="E184" s="15"/>
      <c r="F184" s="15"/>
      <c r="G184" s="15"/>
      <c r="H184" s="56"/>
      <c r="I184" s="56"/>
      <c r="J184" s="56"/>
      <c r="K184" s="57"/>
      <c r="L184" s="57"/>
      <c r="M184" s="57"/>
      <c r="N184" s="57"/>
      <c r="O184" s="67"/>
      <c r="P184" s="58"/>
      <c r="Q184" s="58"/>
      <c r="R184" s="53"/>
      <c r="S184" s="53"/>
      <c r="T184" s="51"/>
      <c r="U184" s="59"/>
    </row>
    <row r="185" spans="1:21" x14ac:dyDescent="0.25">
      <c r="A185" s="47">
        <f t="shared" si="4"/>
        <v>174</v>
      </c>
      <c r="B185" s="56"/>
      <c r="C185" s="15"/>
      <c r="D185" s="15"/>
      <c r="E185" s="15"/>
      <c r="F185" s="15"/>
      <c r="G185" s="15"/>
      <c r="H185" s="50"/>
      <c r="I185" s="48"/>
      <c r="J185" s="48"/>
      <c r="K185" s="48"/>
      <c r="L185" s="48"/>
      <c r="M185" s="48"/>
      <c r="N185" s="48"/>
      <c r="O185" s="67"/>
      <c r="P185" s="52"/>
      <c r="Q185" s="58"/>
      <c r="R185" s="53"/>
      <c r="S185" s="53"/>
      <c r="T185" s="51"/>
      <c r="U185" s="54"/>
    </row>
    <row r="186" spans="1:21" x14ac:dyDescent="0.25">
      <c r="A186" s="47">
        <f t="shared" si="4"/>
        <v>175</v>
      </c>
      <c r="B186" s="48"/>
      <c r="C186" s="15"/>
      <c r="D186" s="15"/>
      <c r="E186" s="15"/>
      <c r="F186" s="15"/>
      <c r="G186" s="15"/>
      <c r="H186" s="50"/>
      <c r="I186" s="48"/>
      <c r="J186" s="48"/>
      <c r="K186" s="48"/>
      <c r="L186" s="48"/>
      <c r="M186" s="48"/>
      <c r="N186" s="48"/>
      <c r="O186" s="67"/>
      <c r="P186" s="52"/>
      <c r="Q186" s="52"/>
      <c r="R186" s="53"/>
      <c r="S186" s="53"/>
      <c r="T186" s="51"/>
      <c r="U186" s="54"/>
    </row>
    <row r="187" spans="1:21" x14ac:dyDescent="0.25">
      <c r="A187" s="47">
        <f t="shared" si="4"/>
        <v>176</v>
      </c>
      <c r="B187" s="56"/>
      <c r="C187" s="15"/>
      <c r="D187" s="15"/>
      <c r="E187" s="15"/>
      <c r="F187" s="15"/>
      <c r="G187" s="15"/>
      <c r="H187" s="50"/>
      <c r="I187" s="48"/>
      <c r="J187" s="48"/>
      <c r="K187" s="48"/>
      <c r="L187" s="48"/>
      <c r="M187" s="48"/>
      <c r="N187" s="48"/>
      <c r="O187" s="67"/>
      <c r="P187" s="52"/>
      <c r="Q187" s="52"/>
      <c r="R187" s="53"/>
      <c r="S187" s="53"/>
      <c r="T187" s="51"/>
      <c r="U187" s="54"/>
    </row>
    <row r="188" spans="1:21" x14ac:dyDescent="0.25">
      <c r="A188" s="47">
        <f t="shared" si="4"/>
        <v>177</v>
      </c>
      <c r="B188" s="56"/>
      <c r="C188" s="15"/>
      <c r="D188" s="15"/>
      <c r="E188" s="15"/>
      <c r="F188" s="15"/>
      <c r="G188" s="15"/>
      <c r="H188" s="56"/>
      <c r="I188" s="56"/>
      <c r="J188" s="56"/>
      <c r="K188" s="57"/>
      <c r="L188" s="57"/>
      <c r="M188" s="57"/>
      <c r="N188" s="57"/>
      <c r="O188" s="67"/>
      <c r="P188" s="58"/>
      <c r="Q188" s="58"/>
      <c r="R188" s="53"/>
      <c r="S188" s="53"/>
      <c r="T188" s="51"/>
      <c r="U188" s="51"/>
    </row>
    <row r="189" spans="1:21" x14ac:dyDescent="0.25">
      <c r="A189" s="47">
        <f t="shared" si="4"/>
        <v>178</v>
      </c>
      <c r="B189" s="56"/>
      <c r="C189" s="15"/>
      <c r="D189" s="15"/>
      <c r="E189" s="15"/>
      <c r="F189" s="15"/>
      <c r="G189" s="15"/>
      <c r="H189" s="56"/>
      <c r="I189" s="56"/>
      <c r="J189" s="56"/>
      <c r="K189" s="57"/>
      <c r="L189" s="56"/>
      <c r="M189" s="56"/>
      <c r="N189" s="57"/>
      <c r="O189" s="67"/>
      <c r="P189" s="58"/>
      <c r="Q189" s="58"/>
      <c r="R189" s="53"/>
      <c r="S189" s="53"/>
      <c r="T189" s="51"/>
      <c r="U189" s="51"/>
    </row>
    <row r="190" spans="1:21" x14ac:dyDescent="0.25">
      <c r="A190" s="47">
        <f t="shared" si="4"/>
        <v>179</v>
      </c>
      <c r="B190" s="56"/>
      <c r="C190" s="15"/>
      <c r="D190" s="15"/>
      <c r="E190" s="15"/>
      <c r="F190" s="15"/>
      <c r="G190" s="15"/>
      <c r="H190" s="50"/>
      <c r="I190" s="48"/>
      <c r="J190" s="48"/>
      <c r="K190" s="48"/>
      <c r="L190" s="48"/>
      <c r="M190" s="48"/>
      <c r="N190" s="48"/>
      <c r="O190" s="67"/>
      <c r="P190" s="52"/>
      <c r="Q190" s="52"/>
      <c r="R190" s="53"/>
      <c r="S190" s="53"/>
      <c r="T190" s="51"/>
      <c r="U190" s="54"/>
    </row>
    <row r="191" spans="1:21" x14ac:dyDescent="0.25">
      <c r="A191" s="47">
        <f t="shared" si="4"/>
        <v>180</v>
      </c>
      <c r="B191" s="56"/>
      <c r="C191" s="15"/>
      <c r="D191" s="15"/>
      <c r="E191" s="15"/>
      <c r="F191" s="15"/>
      <c r="G191" s="15"/>
      <c r="H191" s="50"/>
      <c r="I191" s="48"/>
      <c r="J191" s="48"/>
      <c r="K191" s="48"/>
      <c r="L191" s="48"/>
      <c r="M191" s="48"/>
      <c r="N191" s="48"/>
      <c r="O191" s="67"/>
      <c r="P191" s="52"/>
      <c r="Q191" s="52"/>
      <c r="R191" s="53"/>
      <c r="S191" s="53"/>
      <c r="T191" s="51"/>
      <c r="U191" s="54"/>
    </row>
    <row r="192" spans="1:21" x14ac:dyDescent="0.25">
      <c r="A192" s="47">
        <f t="shared" si="4"/>
        <v>181</v>
      </c>
      <c r="B192" s="48"/>
      <c r="C192" s="15"/>
      <c r="D192" s="15"/>
      <c r="E192" s="15"/>
      <c r="F192" s="15"/>
      <c r="G192" s="15"/>
      <c r="H192" s="50"/>
      <c r="I192" s="48"/>
      <c r="J192" s="48"/>
      <c r="K192" s="48"/>
      <c r="L192" s="48"/>
      <c r="M192" s="48"/>
      <c r="N192" s="48"/>
      <c r="O192" s="67"/>
      <c r="P192" s="52"/>
      <c r="Q192" s="52"/>
      <c r="R192" s="53"/>
      <c r="S192" s="71"/>
      <c r="T192" s="54"/>
      <c r="U192" s="54"/>
    </row>
    <row r="193" spans="1:21" x14ac:dyDescent="0.25">
      <c r="A193" s="47">
        <f t="shared" si="4"/>
        <v>182</v>
      </c>
      <c r="B193" s="48"/>
      <c r="C193" s="15"/>
      <c r="D193" s="15"/>
      <c r="E193" s="15"/>
      <c r="F193" s="15"/>
      <c r="G193" s="15"/>
      <c r="H193" s="50"/>
      <c r="I193" s="48"/>
      <c r="J193" s="48"/>
      <c r="K193" s="48"/>
      <c r="L193" s="48"/>
      <c r="M193" s="48"/>
      <c r="N193" s="48"/>
      <c r="O193" s="67"/>
      <c r="P193" s="52"/>
      <c r="Q193" s="52"/>
      <c r="R193" s="53"/>
      <c r="S193" s="71"/>
      <c r="T193" s="54"/>
      <c r="U193" s="54"/>
    </row>
    <row r="194" spans="1:21" x14ac:dyDescent="0.25">
      <c r="A194" s="47">
        <f t="shared" si="4"/>
        <v>183</v>
      </c>
      <c r="B194" s="48"/>
      <c r="C194" s="15"/>
      <c r="D194" s="15"/>
      <c r="E194" s="15"/>
      <c r="F194" s="15"/>
      <c r="G194" s="15"/>
      <c r="H194" s="50"/>
      <c r="I194" s="48"/>
      <c r="J194" s="48"/>
      <c r="K194" s="48"/>
      <c r="L194" s="48"/>
      <c r="M194" s="48"/>
      <c r="N194" s="48"/>
      <c r="O194" s="67"/>
      <c r="P194" s="52"/>
      <c r="Q194" s="52"/>
      <c r="R194" s="53"/>
      <c r="S194" s="71"/>
      <c r="T194" s="54"/>
      <c r="U194" s="54"/>
    </row>
    <row r="195" spans="1:21" x14ac:dyDescent="0.25">
      <c r="A195" s="47">
        <f t="shared" si="4"/>
        <v>184</v>
      </c>
      <c r="B195" s="48"/>
      <c r="C195" s="15"/>
      <c r="D195" s="15"/>
      <c r="E195" s="15"/>
      <c r="F195" s="15"/>
      <c r="G195" s="15"/>
      <c r="H195" s="50"/>
      <c r="I195" s="48"/>
      <c r="J195" s="48"/>
      <c r="K195" s="48"/>
      <c r="L195" s="48"/>
      <c r="M195" s="48"/>
      <c r="N195" s="48"/>
      <c r="O195" s="67"/>
      <c r="P195" s="52"/>
      <c r="Q195" s="52"/>
      <c r="R195" s="53"/>
      <c r="S195" s="71"/>
      <c r="T195" s="54"/>
      <c r="U195" s="54"/>
    </row>
    <row r="196" spans="1:21" x14ac:dyDescent="0.25">
      <c r="A196" s="47">
        <f t="shared" si="4"/>
        <v>185</v>
      </c>
      <c r="B196" s="48"/>
      <c r="C196" s="15"/>
      <c r="D196" s="15"/>
      <c r="E196" s="15"/>
      <c r="F196" s="15"/>
      <c r="G196" s="15"/>
      <c r="H196" s="50"/>
      <c r="I196" s="48"/>
      <c r="J196" s="48"/>
      <c r="K196" s="48"/>
      <c r="L196" s="48"/>
      <c r="M196" s="48"/>
      <c r="N196" s="48"/>
      <c r="O196" s="67"/>
      <c r="P196" s="52"/>
      <c r="Q196" s="52"/>
      <c r="R196" s="53"/>
      <c r="S196" s="71"/>
      <c r="T196" s="54"/>
      <c r="U196" s="54"/>
    </row>
    <row r="197" spans="1:21" x14ac:dyDescent="0.25">
      <c r="A197" s="47">
        <f t="shared" si="4"/>
        <v>186</v>
      </c>
      <c r="B197" s="48"/>
      <c r="C197" s="15"/>
      <c r="D197" s="15"/>
      <c r="E197" s="15"/>
      <c r="F197" s="15"/>
      <c r="G197" s="15"/>
      <c r="H197" s="50"/>
      <c r="I197" s="48"/>
      <c r="J197" s="48"/>
      <c r="K197" s="48"/>
      <c r="L197" s="48"/>
      <c r="M197" s="48"/>
      <c r="N197" s="48"/>
      <c r="O197" s="67"/>
      <c r="P197" s="52"/>
      <c r="Q197" s="52"/>
      <c r="R197" s="53"/>
      <c r="S197" s="71"/>
      <c r="T197" s="54"/>
      <c r="U197" s="54"/>
    </row>
    <row r="198" spans="1:21" x14ac:dyDescent="0.25">
      <c r="A198" s="47">
        <f t="shared" si="4"/>
        <v>187</v>
      </c>
      <c r="B198" s="48"/>
      <c r="C198" s="15"/>
      <c r="D198" s="15"/>
      <c r="E198" s="15"/>
      <c r="F198" s="15"/>
      <c r="G198" s="15"/>
      <c r="H198" s="50"/>
      <c r="I198" s="48"/>
      <c r="J198" s="48"/>
      <c r="K198" s="48"/>
      <c r="L198" s="48"/>
      <c r="M198" s="48"/>
      <c r="N198" s="48"/>
      <c r="O198" s="67"/>
      <c r="P198" s="52"/>
      <c r="Q198" s="52"/>
      <c r="R198" s="53"/>
      <c r="S198" s="71"/>
      <c r="T198" s="54"/>
      <c r="U198" s="54"/>
    </row>
    <row r="199" spans="1:21" x14ac:dyDescent="0.25">
      <c r="A199" s="47">
        <f t="shared" si="4"/>
        <v>188</v>
      </c>
      <c r="B199" s="48"/>
      <c r="C199" s="15"/>
      <c r="D199" s="15"/>
      <c r="E199" s="15"/>
      <c r="F199" s="15"/>
      <c r="G199" s="15"/>
      <c r="H199" s="50"/>
      <c r="I199" s="48"/>
      <c r="J199" s="48"/>
      <c r="K199" s="48"/>
      <c r="L199" s="48"/>
      <c r="M199" s="48"/>
      <c r="N199" s="48"/>
      <c r="O199" s="67"/>
      <c r="P199" s="52"/>
      <c r="Q199" s="52"/>
      <c r="R199" s="53"/>
      <c r="S199" s="71"/>
      <c r="T199" s="54"/>
      <c r="U199" s="54"/>
    </row>
    <row r="200" spans="1:21" x14ac:dyDescent="0.25">
      <c r="A200" s="47">
        <f t="shared" si="4"/>
        <v>189</v>
      </c>
      <c r="B200" s="48"/>
      <c r="C200" s="15"/>
      <c r="D200" s="15"/>
      <c r="E200" s="15"/>
      <c r="F200" s="15"/>
      <c r="G200" s="15"/>
      <c r="H200" s="50"/>
      <c r="I200" s="48"/>
      <c r="J200" s="48"/>
      <c r="K200" s="48"/>
      <c r="L200" s="48"/>
      <c r="M200" s="48"/>
      <c r="N200" s="48"/>
      <c r="O200" s="67"/>
      <c r="P200" s="52"/>
      <c r="Q200" s="52"/>
      <c r="R200" s="53"/>
      <c r="S200" s="71"/>
      <c r="T200" s="54"/>
      <c r="U200" s="54"/>
    </row>
    <row r="201" spans="1:21" x14ac:dyDescent="0.25">
      <c r="A201" s="47">
        <f t="shared" si="4"/>
        <v>190</v>
      </c>
      <c r="B201" s="48"/>
      <c r="C201" s="15"/>
      <c r="D201" s="15"/>
      <c r="E201" s="15"/>
      <c r="F201" s="15"/>
      <c r="G201" s="15"/>
      <c r="H201" s="50"/>
      <c r="I201" s="48"/>
      <c r="J201" s="48"/>
      <c r="K201" s="48"/>
      <c r="L201" s="48"/>
      <c r="M201" s="48"/>
      <c r="N201" s="48"/>
      <c r="O201" s="67"/>
      <c r="P201" s="52"/>
      <c r="Q201" s="52"/>
      <c r="R201" s="53"/>
      <c r="S201" s="71"/>
      <c r="T201" s="54"/>
      <c r="U201" s="54"/>
    </row>
    <row r="202" spans="1:21" x14ac:dyDescent="0.25">
      <c r="A202" s="47">
        <f t="shared" si="4"/>
        <v>191</v>
      </c>
      <c r="B202" s="48"/>
      <c r="C202" s="15"/>
      <c r="D202" s="15"/>
      <c r="E202" s="15"/>
      <c r="F202" s="15"/>
      <c r="G202" s="15"/>
      <c r="H202" s="50"/>
      <c r="I202" s="48"/>
      <c r="J202" s="48"/>
      <c r="K202" s="48"/>
      <c r="L202" s="48"/>
      <c r="M202" s="48"/>
      <c r="N202" s="48"/>
      <c r="O202" s="67"/>
      <c r="P202" s="52"/>
      <c r="Q202" s="52"/>
      <c r="R202" s="53"/>
      <c r="S202" s="71"/>
      <c r="T202" s="54"/>
      <c r="U202" s="54"/>
    </row>
    <row r="203" spans="1:21" x14ac:dyDescent="0.25">
      <c r="A203" s="47">
        <f t="shared" si="4"/>
        <v>192</v>
      </c>
      <c r="B203" s="48"/>
      <c r="C203" s="15"/>
      <c r="D203" s="15"/>
      <c r="E203" s="15"/>
      <c r="F203" s="15"/>
      <c r="G203" s="15"/>
      <c r="H203" s="50"/>
      <c r="I203" s="48"/>
      <c r="J203" s="48"/>
      <c r="K203" s="48"/>
      <c r="L203" s="48"/>
      <c r="M203" s="48"/>
      <c r="N203" s="48"/>
      <c r="O203" s="67"/>
      <c r="P203" s="52"/>
      <c r="Q203" s="52"/>
      <c r="R203" s="53"/>
      <c r="S203" s="71"/>
      <c r="T203" s="54"/>
      <c r="U203" s="54"/>
    </row>
    <row r="204" spans="1:21" x14ac:dyDescent="0.25">
      <c r="A204" s="47">
        <f t="shared" ref="A204:A267" si="5">ROW() - ROW(FRegEntriesEnteredHdr)</f>
        <v>193</v>
      </c>
      <c r="B204" s="48"/>
      <c r="C204" s="15"/>
      <c r="D204" s="15"/>
      <c r="E204" s="15"/>
      <c r="F204" s="15"/>
      <c r="G204" s="15"/>
      <c r="H204" s="50"/>
      <c r="I204" s="48"/>
      <c r="J204" s="48"/>
      <c r="K204" s="48"/>
      <c r="L204" s="48"/>
      <c r="M204" s="48"/>
      <c r="N204" s="48"/>
      <c r="O204" s="67"/>
      <c r="P204" s="52"/>
      <c r="Q204" s="52"/>
      <c r="R204" s="53"/>
      <c r="S204" s="71"/>
      <c r="T204" s="54"/>
      <c r="U204" s="54"/>
    </row>
    <row r="205" spans="1:21" x14ac:dyDescent="0.25">
      <c r="A205" s="47">
        <f t="shared" si="5"/>
        <v>194</v>
      </c>
      <c r="B205" s="48"/>
      <c r="C205" s="15"/>
      <c r="D205" s="15"/>
      <c r="E205" s="15"/>
      <c r="F205" s="15"/>
      <c r="G205" s="15"/>
      <c r="H205" s="50"/>
      <c r="I205" s="48"/>
      <c r="J205" s="48"/>
      <c r="K205" s="48"/>
      <c r="L205" s="48"/>
      <c r="M205" s="48"/>
      <c r="N205" s="48"/>
      <c r="O205" s="67"/>
      <c r="P205" s="52"/>
      <c r="Q205" s="52"/>
      <c r="R205" s="53"/>
      <c r="S205" s="71"/>
      <c r="T205" s="54"/>
      <c r="U205" s="54"/>
    </row>
    <row r="206" spans="1:21" x14ac:dyDescent="0.25">
      <c r="A206" s="47">
        <f t="shared" si="5"/>
        <v>195</v>
      </c>
      <c r="B206" s="48"/>
      <c r="C206" s="15"/>
      <c r="D206" s="15"/>
      <c r="E206" s="15"/>
      <c r="F206" s="15"/>
      <c r="G206" s="15"/>
      <c r="H206" s="50"/>
      <c r="I206" s="48"/>
      <c r="J206" s="48"/>
      <c r="K206" s="48"/>
      <c r="L206" s="48"/>
      <c r="M206" s="48"/>
      <c r="N206" s="48"/>
      <c r="O206" s="67"/>
      <c r="P206" s="52"/>
      <c r="Q206" s="52"/>
      <c r="R206" s="53"/>
      <c r="S206" s="71"/>
      <c r="T206" s="54"/>
      <c r="U206" s="54"/>
    </row>
    <row r="207" spans="1:21" x14ac:dyDescent="0.25">
      <c r="A207" s="47">
        <f t="shared" si="5"/>
        <v>196</v>
      </c>
      <c r="B207" s="48"/>
      <c r="C207" s="15"/>
      <c r="D207" s="15"/>
      <c r="E207" s="15"/>
      <c r="F207" s="15"/>
      <c r="G207" s="15"/>
      <c r="H207" s="50"/>
      <c r="I207" s="48"/>
      <c r="J207" s="48"/>
      <c r="K207" s="48"/>
      <c r="L207" s="48"/>
      <c r="M207" s="48"/>
      <c r="N207" s="48"/>
      <c r="O207" s="67"/>
      <c r="P207" s="52"/>
      <c r="Q207" s="52"/>
      <c r="R207" s="53"/>
      <c r="S207" s="71"/>
      <c r="T207" s="54"/>
      <c r="U207" s="54"/>
    </row>
    <row r="208" spans="1:21" x14ac:dyDescent="0.25">
      <c r="A208" s="47">
        <f t="shared" si="5"/>
        <v>197</v>
      </c>
      <c r="B208" s="48"/>
      <c r="C208" s="15"/>
      <c r="D208" s="15"/>
      <c r="E208" s="15"/>
      <c r="F208" s="15"/>
      <c r="G208" s="15"/>
      <c r="H208" s="50"/>
      <c r="I208" s="48"/>
      <c r="J208" s="48"/>
      <c r="K208" s="48"/>
      <c r="L208" s="48"/>
      <c r="M208" s="48"/>
      <c r="N208" s="48"/>
      <c r="O208" s="67"/>
      <c r="P208" s="52"/>
      <c r="Q208" s="52"/>
      <c r="R208" s="53"/>
      <c r="S208" s="71"/>
      <c r="T208" s="54"/>
      <c r="U208" s="54"/>
    </row>
    <row r="209" spans="1:21" x14ac:dyDescent="0.25">
      <c r="A209" s="47">
        <f t="shared" si="5"/>
        <v>198</v>
      </c>
      <c r="B209" s="48"/>
      <c r="C209" s="15"/>
      <c r="D209" s="15"/>
      <c r="E209" s="15"/>
      <c r="F209" s="15"/>
      <c r="G209" s="15"/>
      <c r="H209" s="50"/>
      <c r="I209" s="48"/>
      <c r="J209" s="48"/>
      <c r="K209" s="48"/>
      <c r="L209" s="48"/>
      <c r="M209" s="48"/>
      <c r="N209" s="48"/>
      <c r="O209" s="67"/>
      <c r="P209" s="52"/>
      <c r="Q209" s="52"/>
      <c r="R209" s="53"/>
      <c r="S209" s="71"/>
      <c r="T209" s="54"/>
      <c r="U209" s="54"/>
    </row>
    <row r="210" spans="1:21" x14ac:dyDescent="0.25">
      <c r="A210" s="47">
        <f t="shared" si="5"/>
        <v>199</v>
      </c>
      <c r="B210" s="48"/>
      <c r="C210" s="15"/>
      <c r="D210" s="15"/>
      <c r="E210" s="15"/>
      <c r="F210" s="15"/>
      <c r="G210" s="15"/>
      <c r="H210" s="50"/>
      <c r="I210" s="48"/>
      <c r="J210" s="48"/>
      <c r="K210" s="48"/>
      <c r="L210" s="48"/>
      <c r="M210" s="48"/>
      <c r="N210" s="48"/>
      <c r="O210" s="67"/>
      <c r="P210" s="52"/>
      <c r="Q210" s="52"/>
      <c r="R210" s="53"/>
      <c r="S210" s="71"/>
      <c r="T210" s="54"/>
      <c r="U210" s="54"/>
    </row>
    <row r="211" spans="1:21" x14ac:dyDescent="0.25">
      <c r="A211" s="47">
        <f t="shared" si="5"/>
        <v>200</v>
      </c>
      <c r="B211" s="48"/>
      <c r="C211" s="15"/>
      <c r="D211" s="15"/>
      <c r="E211" s="15"/>
      <c r="F211" s="15"/>
      <c r="G211" s="15"/>
      <c r="H211" s="50"/>
      <c r="I211" s="48"/>
      <c r="J211" s="48"/>
      <c r="K211" s="48"/>
      <c r="L211" s="48"/>
      <c r="M211" s="48"/>
      <c r="N211" s="48"/>
      <c r="O211" s="67"/>
      <c r="P211" s="52"/>
      <c r="Q211" s="52"/>
      <c r="R211" s="53"/>
      <c r="S211" s="71"/>
      <c r="T211" s="54"/>
      <c r="U211" s="54"/>
    </row>
    <row r="212" spans="1:21" x14ac:dyDescent="0.25">
      <c r="A212" s="47">
        <f t="shared" si="5"/>
        <v>201</v>
      </c>
      <c r="B212" s="48"/>
      <c r="C212" s="15"/>
      <c r="D212" s="15"/>
      <c r="E212" s="15"/>
      <c r="F212" s="15"/>
      <c r="G212" s="15"/>
      <c r="H212" s="50"/>
      <c r="I212" s="48"/>
      <c r="J212" s="48"/>
      <c r="K212" s="48"/>
      <c r="L212" s="48"/>
      <c r="M212" s="48"/>
      <c r="N212" s="48"/>
      <c r="O212" s="67"/>
      <c r="P212" s="52"/>
      <c r="Q212" s="52"/>
      <c r="R212" s="53"/>
      <c r="S212" s="71"/>
      <c r="T212" s="54"/>
      <c r="U212" s="54"/>
    </row>
    <row r="213" spans="1:21" x14ac:dyDescent="0.25">
      <c r="A213" s="47">
        <f t="shared" si="5"/>
        <v>202</v>
      </c>
      <c r="B213" s="48"/>
      <c r="C213" s="15"/>
      <c r="D213" s="15"/>
      <c r="E213" s="15"/>
      <c r="F213" s="15"/>
      <c r="G213" s="15"/>
      <c r="H213" s="50"/>
      <c r="I213" s="48"/>
      <c r="J213" s="48"/>
      <c r="K213" s="48"/>
      <c r="L213" s="48"/>
      <c r="M213" s="48"/>
      <c r="N213" s="48"/>
      <c r="O213" s="67"/>
      <c r="P213" s="52"/>
      <c r="Q213" s="52"/>
      <c r="R213" s="53"/>
      <c r="S213" s="71"/>
      <c r="T213" s="54"/>
      <c r="U213" s="54"/>
    </row>
    <row r="214" spans="1:21" x14ac:dyDescent="0.25">
      <c r="A214" s="47">
        <f t="shared" si="5"/>
        <v>203</v>
      </c>
      <c r="B214" s="48"/>
      <c r="C214" s="15"/>
      <c r="D214" s="15"/>
      <c r="E214" s="15"/>
      <c r="F214" s="15"/>
      <c r="G214" s="15"/>
      <c r="H214" s="50"/>
      <c r="I214" s="48"/>
      <c r="J214" s="48"/>
      <c r="K214" s="48"/>
      <c r="L214" s="48"/>
      <c r="M214" s="48"/>
      <c r="N214" s="48"/>
      <c r="O214" s="67"/>
      <c r="P214" s="52"/>
      <c r="Q214" s="52"/>
      <c r="R214" s="53"/>
      <c r="S214" s="71"/>
      <c r="T214" s="54"/>
      <c r="U214" s="54"/>
    </row>
    <row r="215" spans="1:21" x14ac:dyDescent="0.25">
      <c r="A215" s="47">
        <f t="shared" si="5"/>
        <v>204</v>
      </c>
      <c r="B215" s="48"/>
      <c r="C215" s="15"/>
      <c r="D215" s="15"/>
      <c r="E215" s="15"/>
      <c r="F215" s="15"/>
      <c r="G215" s="15"/>
      <c r="H215" s="50"/>
      <c r="I215" s="48"/>
      <c r="J215" s="48"/>
      <c r="K215" s="48"/>
      <c r="L215" s="48"/>
      <c r="M215" s="48"/>
      <c r="N215" s="48"/>
      <c r="O215" s="67"/>
      <c r="P215" s="52"/>
      <c r="Q215" s="52"/>
      <c r="R215" s="53"/>
      <c r="S215" s="71"/>
      <c r="T215" s="54"/>
      <c r="U215" s="54"/>
    </row>
    <row r="216" spans="1:21" x14ac:dyDescent="0.25">
      <c r="A216" s="47">
        <f t="shared" si="5"/>
        <v>205</v>
      </c>
      <c r="B216" s="48"/>
      <c r="C216" s="15"/>
      <c r="D216" s="15"/>
      <c r="E216" s="15"/>
      <c r="F216" s="15"/>
      <c r="G216" s="15"/>
      <c r="H216" s="50"/>
      <c r="I216" s="48"/>
      <c r="J216" s="48"/>
      <c r="K216" s="48"/>
      <c r="L216" s="48"/>
      <c r="M216" s="48"/>
      <c r="N216" s="48"/>
      <c r="O216" s="67"/>
      <c r="P216" s="52"/>
      <c r="Q216" s="52"/>
      <c r="R216" s="53"/>
      <c r="S216" s="71"/>
      <c r="T216" s="54"/>
      <c r="U216" s="54"/>
    </row>
    <row r="217" spans="1:21" x14ac:dyDescent="0.25">
      <c r="A217" s="47">
        <f t="shared" si="5"/>
        <v>206</v>
      </c>
      <c r="B217" s="48"/>
      <c r="C217" s="15"/>
      <c r="D217" s="15"/>
      <c r="E217" s="15"/>
      <c r="F217" s="15"/>
      <c r="G217" s="15"/>
      <c r="H217" s="50"/>
      <c r="I217" s="48"/>
      <c r="J217" s="48"/>
      <c r="K217" s="48"/>
      <c r="L217" s="48"/>
      <c r="M217" s="48"/>
      <c r="N217" s="48"/>
      <c r="O217" s="67"/>
      <c r="P217" s="52"/>
      <c r="Q217" s="52"/>
      <c r="R217" s="53"/>
      <c r="S217" s="71"/>
      <c r="T217" s="54"/>
      <c r="U217" s="54"/>
    </row>
    <row r="218" spans="1:21" x14ac:dyDescent="0.25">
      <c r="A218" s="47">
        <f t="shared" si="5"/>
        <v>207</v>
      </c>
      <c r="B218" s="48"/>
      <c r="C218" s="15"/>
      <c r="D218" s="15"/>
      <c r="E218" s="15"/>
      <c r="F218" s="15"/>
      <c r="G218" s="15"/>
      <c r="H218" s="50"/>
      <c r="I218" s="48"/>
      <c r="J218" s="48"/>
      <c r="K218" s="48"/>
      <c r="L218" s="48"/>
      <c r="M218" s="48"/>
      <c r="N218" s="48"/>
      <c r="O218" s="67"/>
      <c r="P218" s="52"/>
      <c r="Q218" s="52"/>
      <c r="R218" s="53"/>
      <c r="S218" s="71"/>
      <c r="T218" s="54"/>
      <c r="U218" s="54"/>
    </row>
    <row r="219" spans="1:21" x14ac:dyDescent="0.25">
      <c r="A219" s="47">
        <f t="shared" si="5"/>
        <v>208</v>
      </c>
      <c r="B219" s="48"/>
      <c r="C219" s="15"/>
      <c r="D219" s="15"/>
      <c r="E219" s="15"/>
      <c r="F219" s="15"/>
      <c r="G219" s="15"/>
      <c r="H219" s="50"/>
      <c r="I219" s="48"/>
      <c r="J219" s="48"/>
      <c r="K219" s="48"/>
      <c r="L219" s="48"/>
      <c r="M219" s="48"/>
      <c r="N219" s="48"/>
      <c r="O219" s="67"/>
      <c r="P219" s="52"/>
      <c r="Q219" s="52"/>
      <c r="R219" s="53"/>
      <c r="S219" s="71"/>
      <c r="T219" s="54"/>
      <c r="U219" s="54"/>
    </row>
    <row r="220" spans="1:21" x14ac:dyDescent="0.25">
      <c r="A220" s="47">
        <f t="shared" si="5"/>
        <v>209</v>
      </c>
      <c r="B220" s="48"/>
      <c r="C220" s="15"/>
      <c r="D220" s="15"/>
      <c r="E220" s="15"/>
      <c r="F220" s="15"/>
      <c r="G220" s="15"/>
      <c r="H220" s="50"/>
      <c r="I220" s="48"/>
      <c r="J220" s="48"/>
      <c r="K220" s="48"/>
      <c r="L220" s="48"/>
      <c r="M220" s="48"/>
      <c r="N220" s="48"/>
      <c r="O220" s="67"/>
      <c r="P220" s="52"/>
      <c r="Q220" s="52"/>
      <c r="R220" s="53"/>
      <c r="S220" s="71"/>
      <c r="T220" s="54"/>
      <c r="U220" s="54"/>
    </row>
    <row r="221" spans="1:21" x14ac:dyDescent="0.25">
      <c r="A221" s="47">
        <f t="shared" si="5"/>
        <v>210</v>
      </c>
      <c r="B221" s="48"/>
      <c r="C221" s="15"/>
      <c r="D221" s="15"/>
      <c r="E221" s="15"/>
      <c r="F221" s="15"/>
      <c r="G221" s="15"/>
      <c r="H221" s="50"/>
      <c r="I221" s="48"/>
      <c r="J221" s="48"/>
      <c r="K221" s="48"/>
      <c r="L221" s="48"/>
      <c r="M221" s="48"/>
      <c r="N221" s="48"/>
      <c r="O221" s="67"/>
      <c r="P221" s="52"/>
      <c r="Q221" s="52"/>
      <c r="R221" s="53"/>
      <c r="S221" s="71"/>
      <c r="T221" s="54"/>
      <c r="U221" s="54"/>
    </row>
    <row r="222" spans="1:21" x14ac:dyDescent="0.25">
      <c r="A222" s="47">
        <f t="shared" si="5"/>
        <v>211</v>
      </c>
      <c r="B222" s="48"/>
      <c r="C222" s="15"/>
      <c r="D222" s="15"/>
      <c r="E222" s="15"/>
      <c r="F222" s="15"/>
      <c r="G222" s="15"/>
      <c r="H222" s="50"/>
      <c r="I222" s="48"/>
      <c r="J222" s="48"/>
      <c r="K222" s="48"/>
      <c r="L222" s="48"/>
      <c r="M222" s="48"/>
      <c r="N222" s="48"/>
      <c r="O222" s="67"/>
      <c r="P222" s="52"/>
      <c r="Q222" s="52"/>
      <c r="R222" s="53"/>
      <c r="S222" s="71"/>
      <c r="T222" s="54"/>
      <c r="U222" s="54"/>
    </row>
    <row r="223" spans="1:21" x14ac:dyDescent="0.25">
      <c r="A223" s="47">
        <f t="shared" si="5"/>
        <v>212</v>
      </c>
      <c r="B223" s="48"/>
      <c r="C223" s="15"/>
      <c r="D223" s="15"/>
      <c r="E223" s="15"/>
      <c r="F223" s="15"/>
      <c r="G223" s="15"/>
      <c r="H223" s="50"/>
      <c r="I223" s="48"/>
      <c r="J223" s="48"/>
      <c r="K223" s="48"/>
      <c r="L223" s="48"/>
      <c r="M223" s="48"/>
      <c r="N223" s="48"/>
      <c r="O223" s="67"/>
      <c r="P223" s="52"/>
      <c r="Q223" s="52"/>
      <c r="R223" s="53"/>
      <c r="S223" s="71"/>
      <c r="T223" s="54"/>
      <c r="U223" s="54"/>
    </row>
    <row r="224" spans="1:21" x14ac:dyDescent="0.25">
      <c r="A224" s="47">
        <f t="shared" si="5"/>
        <v>213</v>
      </c>
      <c r="B224" s="48"/>
      <c r="C224" s="15"/>
      <c r="D224" s="15"/>
      <c r="E224" s="15"/>
      <c r="F224" s="15"/>
      <c r="G224" s="15"/>
      <c r="H224" s="50"/>
      <c r="I224" s="48"/>
      <c r="J224" s="48"/>
      <c r="K224" s="48"/>
      <c r="L224" s="48"/>
      <c r="M224" s="48"/>
      <c r="N224" s="48"/>
      <c r="O224" s="67"/>
      <c r="P224" s="52"/>
      <c r="Q224" s="52"/>
      <c r="R224" s="53"/>
      <c r="S224" s="71"/>
      <c r="T224" s="54"/>
      <c r="U224" s="54"/>
    </row>
    <row r="225" spans="1:21" x14ac:dyDescent="0.25">
      <c r="A225" s="47">
        <f t="shared" si="5"/>
        <v>214</v>
      </c>
      <c r="B225" s="48"/>
      <c r="C225" s="15"/>
      <c r="D225" s="15"/>
      <c r="E225" s="15"/>
      <c r="F225" s="15"/>
      <c r="G225" s="15"/>
      <c r="H225" s="50"/>
      <c r="I225" s="48"/>
      <c r="J225" s="48"/>
      <c r="K225" s="48"/>
      <c r="L225" s="48"/>
      <c r="M225" s="48"/>
      <c r="N225" s="48"/>
      <c r="O225" s="67"/>
      <c r="P225" s="52"/>
      <c r="Q225" s="52"/>
      <c r="R225" s="53"/>
      <c r="S225" s="71"/>
      <c r="T225" s="54"/>
      <c r="U225" s="54"/>
    </row>
    <row r="226" spans="1:21" x14ac:dyDescent="0.25">
      <c r="A226" s="47">
        <f t="shared" si="5"/>
        <v>215</v>
      </c>
      <c r="B226" s="48"/>
      <c r="C226" s="15"/>
      <c r="D226" s="15"/>
      <c r="E226" s="15"/>
      <c r="F226" s="15"/>
      <c r="G226" s="15"/>
      <c r="H226" s="50"/>
      <c r="I226" s="48"/>
      <c r="J226" s="48"/>
      <c r="K226" s="48"/>
      <c r="L226" s="48"/>
      <c r="M226" s="48"/>
      <c r="N226" s="48"/>
      <c r="O226" s="67"/>
      <c r="P226" s="52"/>
      <c r="Q226" s="52"/>
      <c r="R226" s="53"/>
      <c r="S226" s="71"/>
      <c r="T226" s="54"/>
      <c r="U226" s="54"/>
    </row>
    <row r="227" spans="1:21" x14ac:dyDescent="0.25">
      <c r="A227" s="47">
        <f t="shared" si="5"/>
        <v>216</v>
      </c>
      <c r="B227" s="48"/>
      <c r="C227" s="15"/>
      <c r="D227" s="15"/>
      <c r="E227" s="15"/>
      <c r="F227" s="15"/>
      <c r="G227" s="15"/>
      <c r="H227" s="50"/>
      <c r="I227" s="48"/>
      <c r="J227" s="48"/>
      <c r="K227" s="48"/>
      <c r="L227" s="48"/>
      <c r="M227" s="48"/>
      <c r="N227" s="48"/>
      <c r="O227" s="67"/>
      <c r="P227" s="52"/>
      <c r="Q227" s="52"/>
      <c r="R227" s="53"/>
      <c r="S227" s="71"/>
      <c r="T227" s="54"/>
      <c r="U227" s="54"/>
    </row>
    <row r="228" spans="1:21" x14ac:dyDescent="0.25">
      <c r="A228" s="47">
        <f t="shared" si="5"/>
        <v>217</v>
      </c>
      <c r="B228" s="48"/>
      <c r="C228" s="15"/>
      <c r="D228" s="15"/>
      <c r="E228" s="15"/>
      <c r="F228" s="15"/>
      <c r="G228" s="15"/>
      <c r="H228" s="50"/>
      <c r="I228" s="48"/>
      <c r="J228" s="48"/>
      <c r="K228" s="48"/>
      <c r="L228" s="48"/>
      <c r="M228" s="48"/>
      <c r="N228" s="48"/>
      <c r="O228" s="67"/>
      <c r="P228" s="52"/>
      <c r="Q228" s="52"/>
      <c r="R228" s="53"/>
      <c r="S228" s="71"/>
      <c r="T228" s="54"/>
      <c r="U228" s="54"/>
    </row>
    <row r="229" spans="1:21" x14ac:dyDescent="0.25">
      <c r="A229" s="47">
        <f t="shared" si="5"/>
        <v>218</v>
      </c>
      <c r="B229" s="48"/>
      <c r="C229" s="15"/>
      <c r="D229" s="15"/>
      <c r="E229" s="15"/>
      <c r="F229" s="15"/>
      <c r="G229" s="15"/>
      <c r="H229" s="50"/>
      <c r="I229" s="48"/>
      <c r="J229" s="48"/>
      <c r="K229" s="48"/>
      <c r="L229" s="48"/>
      <c r="M229" s="48"/>
      <c r="N229" s="48"/>
      <c r="O229" s="67"/>
      <c r="P229" s="52"/>
      <c r="Q229" s="52"/>
      <c r="R229" s="53"/>
      <c r="S229" s="71"/>
      <c r="T229" s="54"/>
      <c r="U229" s="54"/>
    </row>
    <row r="230" spans="1:21" x14ac:dyDescent="0.25">
      <c r="A230" s="47">
        <f t="shared" si="5"/>
        <v>219</v>
      </c>
      <c r="B230" s="48"/>
      <c r="C230" s="15"/>
      <c r="D230" s="15"/>
      <c r="E230" s="15"/>
      <c r="F230" s="15"/>
      <c r="G230" s="15"/>
      <c r="H230" s="50"/>
      <c r="I230" s="48"/>
      <c r="J230" s="48"/>
      <c r="K230" s="48"/>
      <c r="L230" s="48"/>
      <c r="M230" s="48"/>
      <c r="N230" s="48"/>
      <c r="O230" s="67"/>
      <c r="P230" s="52"/>
      <c r="Q230" s="52"/>
      <c r="R230" s="53"/>
      <c r="S230" s="71"/>
      <c r="T230" s="54"/>
      <c r="U230" s="54"/>
    </row>
    <row r="231" spans="1:21" x14ac:dyDescent="0.25">
      <c r="A231" s="47">
        <f t="shared" si="5"/>
        <v>220</v>
      </c>
      <c r="B231" s="48"/>
      <c r="C231" s="15"/>
      <c r="D231" s="15"/>
      <c r="E231" s="15"/>
      <c r="F231" s="15"/>
      <c r="G231" s="15"/>
      <c r="H231" s="50"/>
      <c r="I231" s="48"/>
      <c r="J231" s="48"/>
      <c r="K231" s="48"/>
      <c r="L231" s="48"/>
      <c r="M231" s="48"/>
      <c r="N231" s="48"/>
      <c r="O231" s="67"/>
      <c r="P231" s="52"/>
      <c r="Q231" s="52"/>
      <c r="R231" s="53"/>
      <c r="S231" s="71"/>
      <c r="T231" s="54"/>
      <c r="U231" s="54"/>
    </row>
    <row r="232" spans="1:21" x14ac:dyDescent="0.25">
      <c r="A232" s="47">
        <f t="shared" si="5"/>
        <v>221</v>
      </c>
      <c r="B232" s="48"/>
      <c r="C232" s="15"/>
      <c r="D232" s="15"/>
      <c r="E232" s="15"/>
      <c r="F232" s="15"/>
      <c r="G232" s="15"/>
      <c r="H232" s="50"/>
      <c r="I232" s="48"/>
      <c r="J232" s="48"/>
      <c r="K232" s="48"/>
      <c r="L232" s="48"/>
      <c r="M232" s="48"/>
      <c r="N232" s="48"/>
      <c r="O232" s="67"/>
      <c r="P232" s="52"/>
      <c r="Q232" s="52"/>
      <c r="R232" s="53"/>
      <c r="S232" s="71"/>
      <c r="T232" s="54"/>
      <c r="U232" s="54"/>
    </row>
    <row r="233" spans="1:21" x14ac:dyDescent="0.25">
      <c r="A233" s="47">
        <f t="shared" si="5"/>
        <v>222</v>
      </c>
      <c r="B233" s="48"/>
      <c r="C233" s="15"/>
      <c r="D233" s="15"/>
      <c r="E233" s="15"/>
      <c r="F233" s="15"/>
      <c r="G233" s="15"/>
      <c r="H233" s="50"/>
      <c r="I233" s="48"/>
      <c r="J233" s="48"/>
      <c r="K233" s="48"/>
      <c r="L233" s="48"/>
      <c r="M233" s="48"/>
      <c r="N233" s="48"/>
      <c r="O233" s="67"/>
      <c r="P233" s="52"/>
      <c r="Q233" s="52"/>
      <c r="R233" s="53"/>
      <c r="S233" s="71"/>
      <c r="T233" s="54"/>
      <c r="U233" s="54"/>
    </row>
    <row r="234" spans="1:21" x14ac:dyDescent="0.25">
      <c r="A234" s="47">
        <f t="shared" si="5"/>
        <v>223</v>
      </c>
      <c r="B234" s="48"/>
      <c r="C234" s="15"/>
      <c r="D234" s="15"/>
      <c r="E234" s="15"/>
      <c r="F234" s="15"/>
      <c r="G234" s="15"/>
      <c r="H234" s="50"/>
      <c r="I234" s="48"/>
      <c r="J234" s="48"/>
      <c r="K234" s="48"/>
      <c r="L234" s="48"/>
      <c r="M234" s="48"/>
      <c r="N234" s="48"/>
      <c r="O234" s="67"/>
      <c r="P234" s="52"/>
      <c r="Q234" s="52"/>
      <c r="R234" s="53"/>
      <c r="S234" s="71"/>
      <c r="T234" s="54"/>
      <c r="U234" s="54"/>
    </row>
    <row r="235" spans="1:21" x14ac:dyDescent="0.25">
      <c r="A235" s="47">
        <f t="shared" si="5"/>
        <v>224</v>
      </c>
      <c r="B235" s="48"/>
      <c r="C235" s="15"/>
      <c r="D235" s="15"/>
      <c r="E235" s="15"/>
      <c r="F235" s="15"/>
      <c r="G235" s="15"/>
      <c r="H235" s="50"/>
      <c r="I235" s="48"/>
      <c r="J235" s="48"/>
      <c r="K235" s="48"/>
      <c r="L235" s="48"/>
      <c r="M235" s="48"/>
      <c r="N235" s="48"/>
      <c r="O235" s="67"/>
      <c r="P235" s="52"/>
      <c r="Q235" s="52"/>
      <c r="R235" s="53"/>
      <c r="S235" s="71"/>
      <c r="T235" s="54"/>
      <c r="U235" s="54"/>
    </row>
    <row r="236" spans="1:21" x14ac:dyDescent="0.25">
      <c r="A236" s="47">
        <f t="shared" si="5"/>
        <v>225</v>
      </c>
      <c r="B236" s="48"/>
      <c r="C236" s="15"/>
      <c r="D236" s="15"/>
      <c r="E236" s="15"/>
      <c r="F236" s="15"/>
      <c r="G236" s="15"/>
      <c r="H236" s="50"/>
      <c r="I236" s="48"/>
      <c r="J236" s="48"/>
      <c r="K236" s="48"/>
      <c r="L236" s="48"/>
      <c r="M236" s="48"/>
      <c r="N236" s="48"/>
      <c r="O236" s="67"/>
      <c r="P236" s="52"/>
      <c r="Q236" s="52"/>
      <c r="R236" s="53"/>
      <c r="S236" s="71"/>
      <c r="T236" s="54"/>
      <c r="U236" s="54"/>
    </row>
    <row r="237" spans="1:21" x14ac:dyDescent="0.25">
      <c r="A237" s="47">
        <f t="shared" si="5"/>
        <v>226</v>
      </c>
      <c r="B237" s="48"/>
      <c r="C237" s="15"/>
      <c r="D237" s="15"/>
      <c r="E237" s="15"/>
      <c r="F237" s="15"/>
      <c r="G237" s="15"/>
      <c r="H237" s="50"/>
      <c r="I237" s="48"/>
      <c r="J237" s="48"/>
      <c r="K237" s="48"/>
      <c r="L237" s="48"/>
      <c r="M237" s="48"/>
      <c r="N237" s="48"/>
      <c r="O237" s="67"/>
      <c r="P237" s="52"/>
      <c r="Q237" s="52"/>
      <c r="R237" s="53"/>
      <c r="S237" s="71"/>
      <c r="T237" s="54"/>
      <c r="U237" s="54"/>
    </row>
    <row r="238" spans="1:21" x14ac:dyDescent="0.25">
      <c r="A238" s="47">
        <f t="shared" si="5"/>
        <v>227</v>
      </c>
      <c r="B238" s="48"/>
      <c r="C238" s="15"/>
      <c r="D238" s="15"/>
      <c r="E238" s="15"/>
      <c r="F238" s="15"/>
      <c r="G238" s="15"/>
      <c r="H238" s="50"/>
      <c r="I238" s="48"/>
      <c r="J238" s="48"/>
      <c r="K238" s="48"/>
      <c r="L238" s="48"/>
      <c r="M238" s="48"/>
      <c r="N238" s="48"/>
      <c r="O238" s="67"/>
      <c r="P238" s="52"/>
      <c r="Q238" s="52"/>
      <c r="R238" s="53"/>
      <c r="S238" s="71"/>
      <c r="T238" s="54"/>
      <c r="U238" s="54"/>
    </row>
    <row r="239" spans="1:21" x14ac:dyDescent="0.25">
      <c r="A239" s="47">
        <f t="shared" si="5"/>
        <v>228</v>
      </c>
      <c r="B239" s="48"/>
      <c r="C239" s="15"/>
      <c r="D239" s="15"/>
      <c r="E239" s="15"/>
      <c r="F239" s="15"/>
      <c r="G239" s="15"/>
      <c r="H239" s="50"/>
      <c r="I239" s="48"/>
      <c r="J239" s="48"/>
      <c r="K239" s="48"/>
      <c r="L239" s="48"/>
      <c r="M239" s="48"/>
      <c r="N239" s="48"/>
      <c r="O239" s="67"/>
      <c r="P239" s="52"/>
      <c r="Q239" s="52"/>
      <c r="R239" s="53"/>
      <c r="S239" s="71"/>
      <c r="T239" s="54"/>
      <c r="U239" s="54"/>
    </row>
    <row r="240" spans="1:21" x14ac:dyDescent="0.25">
      <c r="A240" s="47">
        <f t="shared" si="5"/>
        <v>229</v>
      </c>
      <c r="B240" s="48"/>
      <c r="C240" s="15"/>
      <c r="D240" s="15"/>
      <c r="E240" s="15"/>
      <c r="F240" s="15"/>
      <c r="G240" s="15"/>
      <c r="H240" s="50"/>
      <c r="I240" s="48"/>
      <c r="J240" s="48"/>
      <c r="K240" s="48"/>
      <c r="L240" s="48"/>
      <c r="M240" s="48"/>
      <c r="N240" s="48"/>
      <c r="O240" s="67"/>
      <c r="P240" s="52"/>
      <c r="Q240" s="52"/>
      <c r="R240" s="53"/>
      <c r="S240" s="71"/>
      <c r="T240" s="54"/>
      <c r="U240" s="54"/>
    </row>
    <row r="241" spans="1:21" x14ac:dyDescent="0.25">
      <c r="A241" s="47">
        <f t="shared" si="5"/>
        <v>230</v>
      </c>
      <c r="B241" s="48"/>
      <c r="C241" s="15"/>
      <c r="D241" s="15"/>
      <c r="E241" s="15"/>
      <c r="F241" s="15"/>
      <c r="G241" s="15"/>
      <c r="H241" s="50"/>
      <c r="I241" s="48"/>
      <c r="J241" s="48"/>
      <c r="K241" s="48"/>
      <c r="L241" s="48"/>
      <c r="M241" s="48"/>
      <c r="N241" s="48"/>
      <c r="O241" s="67"/>
      <c r="P241" s="52"/>
      <c r="Q241" s="52"/>
      <c r="R241" s="53"/>
      <c r="S241" s="71"/>
      <c r="T241" s="54"/>
      <c r="U241" s="54"/>
    </row>
    <row r="242" spans="1:21" x14ac:dyDescent="0.25">
      <c r="A242" s="47">
        <f t="shared" si="5"/>
        <v>231</v>
      </c>
      <c r="B242" s="48"/>
      <c r="C242" s="15"/>
      <c r="D242" s="15"/>
      <c r="E242" s="15"/>
      <c r="F242" s="15"/>
      <c r="G242" s="15"/>
      <c r="H242" s="50"/>
      <c r="I242" s="48"/>
      <c r="J242" s="48"/>
      <c r="K242" s="48"/>
      <c r="L242" s="48"/>
      <c r="M242" s="48"/>
      <c r="N242" s="48"/>
      <c r="O242" s="67"/>
      <c r="P242" s="52"/>
      <c r="Q242" s="52"/>
      <c r="R242" s="53"/>
      <c r="S242" s="71"/>
      <c r="T242" s="54"/>
      <c r="U242" s="54"/>
    </row>
    <row r="243" spans="1:21" x14ac:dyDescent="0.25">
      <c r="A243" s="47">
        <f t="shared" si="5"/>
        <v>232</v>
      </c>
      <c r="B243" s="48"/>
      <c r="C243" s="15"/>
      <c r="D243" s="15"/>
      <c r="E243" s="15"/>
      <c r="F243" s="15"/>
      <c r="G243" s="15"/>
      <c r="H243" s="50"/>
      <c r="I243" s="48"/>
      <c r="J243" s="48"/>
      <c r="K243" s="48"/>
      <c r="L243" s="48"/>
      <c r="M243" s="48"/>
      <c r="N243" s="48"/>
      <c r="O243" s="67"/>
      <c r="P243" s="52"/>
      <c r="Q243" s="52"/>
      <c r="R243" s="53"/>
      <c r="S243" s="71"/>
      <c r="T243" s="54"/>
      <c r="U243" s="54"/>
    </row>
    <row r="244" spans="1:21" x14ac:dyDescent="0.25">
      <c r="A244" s="47">
        <f t="shared" si="5"/>
        <v>233</v>
      </c>
      <c r="B244" s="48"/>
      <c r="C244" s="15"/>
      <c r="D244" s="15"/>
      <c r="E244" s="15"/>
      <c r="F244" s="15"/>
      <c r="G244" s="15"/>
      <c r="H244" s="50"/>
      <c r="I244" s="48"/>
      <c r="J244" s="48"/>
      <c r="K244" s="48"/>
      <c r="L244" s="48"/>
      <c r="M244" s="48"/>
      <c r="N244" s="48"/>
      <c r="O244" s="67"/>
      <c r="P244" s="52"/>
      <c r="Q244" s="52"/>
      <c r="R244" s="53"/>
      <c r="S244" s="71"/>
      <c r="T244" s="54"/>
      <c r="U244" s="54"/>
    </row>
    <row r="245" spans="1:21" x14ac:dyDescent="0.25">
      <c r="A245" s="47">
        <f t="shared" si="5"/>
        <v>234</v>
      </c>
      <c r="B245" s="48"/>
      <c r="C245" s="15"/>
      <c r="D245" s="15"/>
      <c r="E245" s="15"/>
      <c r="F245" s="15"/>
      <c r="G245" s="15"/>
      <c r="H245" s="50"/>
      <c r="I245" s="48"/>
      <c r="J245" s="48"/>
      <c r="K245" s="48"/>
      <c r="L245" s="48"/>
      <c r="M245" s="48"/>
      <c r="N245" s="48"/>
      <c r="O245" s="67"/>
      <c r="P245" s="52"/>
      <c r="Q245" s="52"/>
      <c r="R245" s="53"/>
      <c r="S245" s="71"/>
      <c r="T245" s="54"/>
      <c r="U245" s="54"/>
    </row>
    <row r="246" spans="1:21" x14ac:dyDescent="0.25">
      <c r="A246" s="47">
        <f t="shared" si="5"/>
        <v>235</v>
      </c>
      <c r="B246" s="48"/>
      <c r="C246" s="15"/>
      <c r="D246" s="15"/>
      <c r="E246" s="15"/>
      <c r="F246" s="15"/>
      <c r="G246" s="15"/>
      <c r="H246" s="50"/>
      <c r="I246" s="48"/>
      <c r="J246" s="48"/>
      <c r="K246" s="48"/>
      <c r="L246" s="48"/>
      <c r="M246" s="48"/>
      <c r="N246" s="48"/>
      <c r="O246" s="67"/>
      <c r="P246" s="52"/>
      <c r="Q246" s="52"/>
      <c r="R246" s="53"/>
      <c r="S246" s="71"/>
      <c r="T246" s="54"/>
      <c r="U246" s="54"/>
    </row>
    <row r="247" spans="1:21" x14ac:dyDescent="0.25">
      <c r="A247" s="47">
        <f t="shared" si="5"/>
        <v>236</v>
      </c>
      <c r="B247" s="48"/>
      <c r="C247" s="15"/>
      <c r="D247" s="15"/>
      <c r="E247" s="15"/>
      <c r="F247" s="15"/>
      <c r="G247" s="15"/>
      <c r="H247" s="50"/>
      <c r="I247" s="48"/>
      <c r="J247" s="48"/>
      <c r="K247" s="48"/>
      <c r="L247" s="48"/>
      <c r="M247" s="48"/>
      <c r="N247" s="48"/>
      <c r="O247" s="67"/>
      <c r="P247" s="52"/>
      <c r="Q247" s="52"/>
      <c r="R247" s="53"/>
      <c r="S247" s="71"/>
      <c r="T247" s="54"/>
      <c r="U247" s="54"/>
    </row>
    <row r="248" spans="1:21" x14ac:dyDescent="0.25">
      <c r="A248" s="47">
        <f t="shared" si="5"/>
        <v>237</v>
      </c>
      <c r="B248" s="48"/>
      <c r="C248" s="15"/>
      <c r="D248" s="15"/>
      <c r="E248" s="15"/>
      <c r="F248" s="15"/>
      <c r="G248" s="15"/>
      <c r="H248" s="50"/>
      <c r="I248" s="48"/>
      <c r="J248" s="48"/>
      <c r="K248" s="48"/>
      <c r="L248" s="48"/>
      <c r="M248" s="48"/>
      <c r="N248" s="48"/>
      <c r="O248" s="67"/>
      <c r="P248" s="52"/>
      <c r="Q248" s="52"/>
      <c r="R248" s="53"/>
      <c r="S248" s="71"/>
      <c r="T248" s="54"/>
      <c r="U248" s="54"/>
    </row>
    <row r="249" spans="1:21" x14ac:dyDescent="0.25">
      <c r="A249" s="47">
        <f t="shared" si="5"/>
        <v>238</v>
      </c>
      <c r="B249" s="48"/>
      <c r="C249" s="15"/>
      <c r="D249" s="15"/>
      <c r="E249" s="15"/>
      <c r="F249" s="15"/>
      <c r="G249" s="15"/>
      <c r="H249" s="50"/>
      <c r="I249" s="48"/>
      <c r="J249" s="48"/>
      <c r="K249" s="48"/>
      <c r="L249" s="48"/>
      <c r="M249" s="48"/>
      <c r="N249" s="48"/>
      <c r="O249" s="67"/>
      <c r="P249" s="52"/>
      <c r="Q249" s="52"/>
      <c r="R249" s="53"/>
      <c r="S249" s="71"/>
      <c r="T249" s="54"/>
      <c r="U249" s="54"/>
    </row>
    <row r="250" spans="1:21" x14ac:dyDescent="0.25">
      <c r="A250" s="47">
        <f t="shared" si="5"/>
        <v>239</v>
      </c>
      <c r="B250" s="48"/>
      <c r="C250" s="15"/>
      <c r="D250" s="15"/>
      <c r="E250" s="15"/>
      <c r="F250" s="15"/>
      <c r="G250" s="15"/>
      <c r="H250" s="50"/>
      <c r="I250" s="48"/>
      <c r="J250" s="48"/>
      <c r="K250" s="48"/>
      <c r="L250" s="48"/>
      <c r="M250" s="48"/>
      <c r="N250" s="48"/>
      <c r="O250" s="67"/>
      <c r="P250" s="52"/>
      <c r="Q250" s="52"/>
      <c r="R250" s="53"/>
      <c r="S250" s="71"/>
      <c r="T250" s="54"/>
      <c r="U250" s="54"/>
    </row>
    <row r="251" spans="1:21" x14ac:dyDescent="0.25">
      <c r="A251" s="47">
        <f t="shared" si="5"/>
        <v>240</v>
      </c>
      <c r="B251" s="48"/>
      <c r="C251" s="15"/>
      <c r="D251" s="15"/>
      <c r="E251" s="15"/>
      <c r="F251" s="15"/>
      <c r="G251" s="15"/>
      <c r="H251" s="50"/>
      <c r="I251" s="48"/>
      <c r="J251" s="48"/>
      <c r="K251" s="48"/>
      <c r="L251" s="48"/>
      <c r="M251" s="48"/>
      <c r="N251" s="48"/>
      <c r="O251" s="67"/>
      <c r="P251" s="52"/>
      <c r="Q251" s="52"/>
      <c r="R251" s="53"/>
      <c r="S251" s="71"/>
      <c r="T251" s="54"/>
      <c r="U251" s="54"/>
    </row>
    <row r="252" spans="1:21" x14ac:dyDescent="0.25">
      <c r="A252" s="47">
        <f t="shared" si="5"/>
        <v>241</v>
      </c>
      <c r="B252" s="48"/>
      <c r="C252" s="15"/>
      <c r="D252" s="15"/>
      <c r="E252" s="15"/>
      <c r="F252" s="15"/>
      <c r="G252" s="15"/>
      <c r="H252" s="50"/>
      <c r="I252" s="48"/>
      <c r="J252" s="48"/>
      <c r="K252" s="48"/>
      <c r="L252" s="48"/>
      <c r="M252" s="48"/>
      <c r="N252" s="48"/>
      <c r="O252" s="67"/>
      <c r="P252" s="52"/>
      <c r="Q252" s="52"/>
      <c r="R252" s="53"/>
      <c r="S252" s="71"/>
      <c r="T252" s="54"/>
      <c r="U252" s="54"/>
    </row>
    <row r="253" spans="1:21" x14ac:dyDescent="0.25">
      <c r="A253" s="47">
        <f t="shared" si="5"/>
        <v>242</v>
      </c>
      <c r="B253" s="48"/>
      <c r="C253" s="15"/>
      <c r="D253" s="15"/>
      <c r="E253" s="15"/>
      <c r="F253" s="15"/>
      <c r="G253" s="15"/>
      <c r="H253" s="50"/>
      <c r="I253" s="48"/>
      <c r="J253" s="48"/>
      <c r="K253" s="48"/>
      <c r="L253" s="48"/>
      <c r="M253" s="48"/>
      <c r="N253" s="48"/>
      <c r="O253" s="67"/>
      <c r="P253" s="52"/>
      <c r="Q253" s="52"/>
      <c r="R253" s="53"/>
      <c r="S253" s="71"/>
      <c r="T253" s="54"/>
      <c r="U253" s="54"/>
    </row>
    <row r="254" spans="1:21" x14ac:dyDescent="0.25">
      <c r="A254" s="47">
        <f t="shared" si="5"/>
        <v>243</v>
      </c>
      <c r="B254" s="48"/>
      <c r="C254" s="15"/>
      <c r="D254" s="15"/>
      <c r="E254" s="15"/>
      <c r="F254" s="15"/>
      <c r="G254" s="15"/>
      <c r="H254" s="50"/>
      <c r="I254" s="48"/>
      <c r="J254" s="48"/>
      <c r="K254" s="48"/>
      <c r="L254" s="48"/>
      <c r="M254" s="48"/>
      <c r="N254" s="48"/>
      <c r="O254" s="67"/>
      <c r="P254" s="52"/>
      <c r="Q254" s="52"/>
      <c r="R254" s="53"/>
      <c r="S254" s="71"/>
      <c r="T254" s="54"/>
      <c r="U254" s="54"/>
    </row>
    <row r="255" spans="1:21" x14ac:dyDescent="0.25">
      <c r="A255" s="47">
        <f t="shared" si="5"/>
        <v>244</v>
      </c>
      <c r="B255" s="48"/>
      <c r="C255" s="15"/>
      <c r="D255" s="15"/>
      <c r="E255" s="15"/>
      <c r="F255" s="15"/>
      <c r="G255" s="15"/>
      <c r="H255" s="50"/>
      <c r="I255" s="48"/>
      <c r="J255" s="48"/>
      <c r="K255" s="48"/>
      <c r="L255" s="48"/>
      <c r="M255" s="48"/>
      <c r="N255" s="48"/>
      <c r="O255" s="67"/>
      <c r="P255" s="52"/>
      <c r="Q255" s="52"/>
      <c r="R255" s="53"/>
      <c r="S255" s="71"/>
      <c r="T255" s="54"/>
      <c r="U255" s="54"/>
    </row>
    <row r="256" spans="1:21" x14ac:dyDescent="0.25">
      <c r="A256" s="47">
        <f t="shared" si="5"/>
        <v>245</v>
      </c>
      <c r="B256" s="48"/>
      <c r="C256" s="15"/>
      <c r="D256" s="15"/>
      <c r="E256" s="15"/>
      <c r="F256" s="15"/>
      <c r="G256" s="15"/>
      <c r="H256" s="50"/>
      <c r="I256" s="48"/>
      <c r="J256" s="48"/>
      <c r="K256" s="48"/>
      <c r="L256" s="48"/>
      <c r="M256" s="48"/>
      <c r="N256" s="48"/>
      <c r="O256" s="67"/>
      <c r="P256" s="52"/>
      <c r="Q256" s="52"/>
      <c r="R256" s="53"/>
      <c r="S256" s="71"/>
      <c r="T256" s="54"/>
      <c r="U256" s="54"/>
    </row>
    <row r="257" spans="1:21" x14ac:dyDescent="0.25">
      <c r="A257" s="47">
        <f t="shared" si="5"/>
        <v>246</v>
      </c>
      <c r="B257" s="48"/>
      <c r="C257" s="15"/>
      <c r="D257" s="15"/>
      <c r="E257" s="15"/>
      <c r="F257" s="15"/>
      <c r="G257" s="15"/>
      <c r="H257" s="50"/>
      <c r="I257" s="48"/>
      <c r="J257" s="48"/>
      <c r="K257" s="48"/>
      <c r="L257" s="48"/>
      <c r="M257" s="48"/>
      <c r="N257" s="48"/>
      <c r="O257" s="67"/>
      <c r="P257" s="52"/>
      <c r="Q257" s="52"/>
      <c r="R257" s="53"/>
      <c r="S257" s="71"/>
      <c r="T257" s="54"/>
      <c r="U257" s="54"/>
    </row>
    <row r="258" spans="1:21" x14ac:dyDescent="0.25">
      <c r="A258" s="47">
        <f t="shared" si="5"/>
        <v>247</v>
      </c>
      <c r="B258" s="48"/>
      <c r="C258" s="15"/>
      <c r="D258" s="15"/>
      <c r="E258" s="15"/>
      <c r="F258" s="15"/>
      <c r="G258" s="15"/>
      <c r="H258" s="50"/>
      <c r="I258" s="48"/>
      <c r="J258" s="48"/>
      <c r="K258" s="48"/>
      <c r="L258" s="48"/>
      <c r="M258" s="48"/>
      <c r="N258" s="48"/>
      <c r="O258" s="67"/>
      <c r="P258" s="52"/>
      <c r="Q258" s="52"/>
      <c r="R258" s="53"/>
      <c r="S258" s="71"/>
      <c r="T258" s="54"/>
      <c r="U258" s="54"/>
    </row>
    <row r="259" spans="1:21" x14ac:dyDescent="0.25">
      <c r="A259" s="47">
        <f t="shared" si="5"/>
        <v>248</v>
      </c>
      <c r="B259" s="48"/>
      <c r="C259" s="15"/>
      <c r="D259" s="15"/>
      <c r="E259" s="15"/>
      <c r="F259" s="15"/>
      <c r="G259" s="15"/>
      <c r="H259" s="50"/>
      <c r="I259" s="48"/>
      <c r="J259" s="48"/>
      <c r="K259" s="48"/>
      <c r="L259" s="48"/>
      <c r="M259" s="48"/>
      <c r="N259" s="48"/>
      <c r="O259" s="67"/>
      <c r="P259" s="52"/>
      <c r="Q259" s="52"/>
      <c r="R259" s="53"/>
      <c r="S259" s="71"/>
      <c r="T259" s="54"/>
      <c r="U259" s="54"/>
    </row>
    <row r="260" spans="1:21" x14ac:dyDescent="0.25">
      <c r="A260" s="47">
        <f t="shared" si="5"/>
        <v>249</v>
      </c>
      <c r="B260" s="48"/>
      <c r="C260" s="15"/>
      <c r="D260" s="15"/>
      <c r="E260" s="15"/>
      <c r="F260" s="15"/>
      <c r="G260" s="15"/>
      <c r="H260" s="50"/>
      <c r="I260" s="48"/>
      <c r="J260" s="48"/>
      <c r="K260" s="48"/>
      <c r="L260" s="48"/>
      <c r="M260" s="48"/>
      <c r="N260" s="48"/>
      <c r="O260" s="67"/>
      <c r="P260" s="52"/>
      <c r="Q260" s="52"/>
      <c r="R260" s="53"/>
      <c r="S260" s="71"/>
      <c r="T260" s="54"/>
      <c r="U260" s="54"/>
    </row>
    <row r="261" spans="1:21" x14ac:dyDescent="0.25">
      <c r="A261" s="47">
        <f t="shared" si="5"/>
        <v>250</v>
      </c>
      <c r="B261" s="48"/>
      <c r="C261" s="15"/>
      <c r="D261" s="15"/>
      <c r="E261" s="15"/>
      <c r="F261" s="15"/>
      <c r="G261" s="15"/>
      <c r="H261" s="50"/>
      <c r="I261" s="48"/>
      <c r="J261" s="48"/>
      <c r="K261" s="48"/>
      <c r="L261" s="48"/>
      <c r="M261" s="48"/>
      <c r="N261" s="48"/>
      <c r="O261" s="67"/>
      <c r="P261" s="52"/>
      <c r="Q261" s="52"/>
      <c r="R261" s="53"/>
      <c r="S261" s="71"/>
      <c r="T261" s="54"/>
      <c r="U261" s="54"/>
    </row>
    <row r="262" spans="1:21" x14ac:dyDescent="0.25">
      <c r="A262" s="47">
        <f t="shared" si="5"/>
        <v>251</v>
      </c>
      <c r="B262" s="48"/>
      <c r="C262" s="15"/>
      <c r="D262" s="15"/>
      <c r="E262" s="15"/>
      <c r="F262" s="15"/>
      <c r="G262" s="15"/>
      <c r="H262" s="50"/>
      <c r="I262" s="48"/>
      <c r="J262" s="48"/>
      <c r="K262" s="48"/>
      <c r="L262" s="48"/>
      <c r="M262" s="48"/>
      <c r="N262" s="48"/>
      <c r="O262" s="67"/>
      <c r="P262" s="52"/>
      <c r="Q262" s="52"/>
      <c r="R262" s="53"/>
      <c r="S262" s="71"/>
      <c r="T262" s="54"/>
      <c r="U262" s="54"/>
    </row>
    <row r="263" spans="1:21" x14ac:dyDescent="0.25">
      <c r="A263" s="47">
        <f t="shared" si="5"/>
        <v>252</v>
      </c>
      <c r="B263" s="48"/>
      <c r="C263" s="15"/>
      <c r="D263" s="15"/>
      <c r="E263" s="15"/>
      <c r="F263" s="15"/>
      <c r="G263" s="15"/>
      <c r="H263" s="50"/>
      <c r="I263" s="48"/>
      <c r="J263" s="48"/>
      <c r="K263" s="48"/>
      <c r="L263" s="48"/>
      <c r="M263" s="48"/>
      <c r="N263" s="48"/>
      <c r="O263" s="67"/>
      <c r="P263" s="52"/>
      <c r="Q263" s="52"/>
      <c r="R263" s="53"/>
      <c r="S263" s="71"/>
      <c r="T263" s="54"/>
      <c r="U263" s="54"/>
    </row>
    <row r="264" spans="1:21" x14ac:dyDescent="0.25">
      <c r="A264" s="47">
        <f t="shared" si="5"/>
        <v>253</v>
      </c>
      <c r="B264" s="48"/>
      <c r="C264" s="15"/>
      <c r="D264" s="15"/>
      <c r="E264" s="15"/>
      <c r="F264" s="15"/>
      <c r="G264" s="15"/>
      <c r="H264" s="50"/>
      <c r="I264" s="48"/>
      <c r="J264" s="48"/>
      <c r="K264" s="48"/>
      <c r="L264" s="48"/>
      <c r="M264" s="48"/>
      <c r="N264" s="48"/>
      <c r="O264" s="67"/>
      <c r="P264" s="52"/>
      <c r="Q264" s="52"/>
      <c r="R264" s="53"/>
      <c r="S264" s="71"/>
      <c r="T264" s="54"/>
      <c r="U264" s="54"/>
    </row>
    <row r="265" spans="1:21" x14ac:dyDescent="0.25">
      <c r="A265" s="47">
        <f t="shared" si="5"/>
        <v>254</v>
      </c>
      <c r="B265" s="48"/>
      <c r="C265" s="15"/>
      <c r="D265" s="15"/>
      <c r="E265" s="15"/>
      <c r="F265" s="15"/>
      <c r="G265" s="15"/>
      <c r="H265" s="50"/>
      <c r="I265" s="48"/>
      <c r="J265" s="48"/>
      <c r="K265" s="48"/>
      <c r="L265" s="48"/>
      <c r="M265" s="48"/>
      <c r="N265" s="48"/>
      <c r="O265" s="67"/>
      <c r="P265" s="52"/>
      <c r="Q265" s="52"/>
      <c r="R265" s="53"/>
      <c r="S265" s="71"/>
      <c r="T265" s="54"/>
      <c r="U265" s="54"/>
    </row>
    <row r="266" spans="1:21" x14ac:dyDescent="0.25">
      <c r="A266" s="47">
        <f t="shared" si="5"/>
        <v>255</v>
      </c>
      <c r="B266" s="48"/>
      <c r="C266" s="15"/>
      <c r="D266" s="15"/>
      <c r="E266" s="15"/>
      <c r="F266" s="15"/>
      <c r="G266" s="15"/>
      <c r="H266" s="50"/>
      <c r="I266" s="48"/>
      <c r="J266" s="48"/>
      <c r="K266" s="48"/>
      <c r="L266" s="48"/>
      <c r="M266" s="48"/>
      <c r="N266" s="48"/>
      <c r="O266" s="67"/>
      <c r="P266" s="52"/>
      <c r="Q266" s="52"/>
      <c r="R266" s="53"/>
      <c r="S266" s="71"/>
      <c r="T266" s="54"/>
      <c r="U266" s="54"/>
    </row>
    <row r="267" spans="1:21" x14ac:dyDescent="0.25">
      <c r="A267" s="47">
        <f t="shared" si="5"/>
        <v>256</v>
      </c>
      <c r="B267" s="48"/>
      <c r="C267" s="15"/>
      <c r="D267" s="15"/>
      <c r="E267" s="15"/>
      <c r="F267" s="15"/>
      <c r="G267" s="15"/>
      <c r="H267" s="50"/>
      <c r="I267" s="48"/>
      <c r="J267" s="48"/>
      <c r="K267" s="48"/>
      <c r="L267" s="48"/>
      <c r="M267" s="48"/>
      <c r="N267" s="48"/>
      <c r="O267" s="67"/>
      <c r="P267" s="52"/>
      <c r="Q267" s="52"/>
      <c r="R267" s="53"/>
      <c r="S267" s="71"/>
      <c r="T267" s="54"/>
      <c r="U267" s="54"/>
    </row>
    <row r="268" spans="1:21" x14ac:dyDescent="0.25">
      <c r="A268" s="47">
        <f t="shared" ref="A268:A331" si="6">ROW() - ROW(FRegEntriesEnteredHdr)</f>
        <v>257</v>
      </c>
      <c r="B268" s="48"/>
      <c r="C268" s="15"/>
      <c r="D268" s="15"/>
      <c r="E268" s="15"/>
      <c r="F268" s="15"/>
      <c r="G268" s="15"/>
      <c r="H268" s="50"/>
      <c r="I268" s="48"/>
      <c r="J268" s="48"/>
      <c r="K268" s="48"/>
      <c r="L268" s="48"/>
      <c r="M268" s="48"/>
      <c r="N268" s="48"/>
      <c r="O268" s="67"/>
      <c r="P268" s="52"/>
      <c r="Q268" s="52"/>
      <c r="R268" s="53"/>
      <c r="S268" s="71"/>
      <c r="T268" s="54"/>
      <c r="U268" s="54"/>
    </row>
    <row r="269" spans="1:21" x14ac:dyDescent="0.25">
      <c r="A269" s="47">
        <f t="shared" si="6"/>
        <v>258</v>
      </c>
      <c r="B269" s="48"/>
      <c r="C269" s="15"/>
      <c r="D269" s="15"/>
      <c r="E269" s="15"/>
      <c r="F269" s="15"/>
      <c r="G269" s="15"/>
      <c r="H269" s="50"/>
      <c r="I269" s="48"/>
      <c r="J269" s="48"/>
      <c r="K269" s="48"/>
      <c r="L269" s="48"/>
      <c r="M269" s="48"/>
      <c r="N269" s="48"/>
      <c r="O269" s="67"/>
      <c r="P269" s="52"/>
      <c r="Q269" s="52"/>
      <c r="R269" s="53"/>
      <c r="S269" s="71"/>
      <c r="T269" s="54"/>
      <c r="U269" s="54"/>
    </row>
    <row r="270" spans="1:21" x14ac:dyDescent="0.25">
      <c r="A270" s="47">
        <f t="shared" si="6"/>
        <v>259</v>
      </c>
      <c r="B270" s="48"/>
      <c r="C270" s="15"/>
      <c r="D270" s="15"/>
      <c r="E270" s="15"/>
      <c r="F270" s="15"/>
      <c r="G270" s="15"/>
      <c r="H270" s="50"/>
      <c r="I270" s="48"/>
      <c r="J270" s="48"/>
      <c r="K270" s="48"/>
      <c r="L270" s="48"/>
      <c r="M270" s="48"/>
      <c r="N270" s="48"/>
      <c r="O270" s="67"/>
      <c r="P270" s="52"/>
      <c r="Q270" s="52"/>
      <c r="R270" s="53"/>
      <c r="S270" s="71"/>
      <c r="T270" s="54"/>
      <c r="U270" s="54"/>
    </row>
    <row r="271" spans="1:21" x14ac:dyDescent="0.25">
      <c r="A271" s="47">
        <f t="shared" si="6"/>
        <v>260</v>
      </c>
      <c r="B271" s="48"/>
      <c r="C271" s="15"/>
      <c r="D271" s="15"/>
      <c r="E271" s="15"/>
      <c r="F271" s="15"/>
      <c r="G271" s="15"/>
      <c r="H271" s="50"/>
      <c r="I271" s="48"/>
      <c r="J271" s="48"/>
      <c r="K271" s="48"/>
      <c r="L271" s="48"/>
      <c r="M271" s="48"/>
      <c r="N271" s="48"/>
      <c r="O271" s="67"/>
      <c r="P271" s="52"/>
      <c r="Q271" s="52"/>
      <c r="R271" s="53"/>
      <c r="S271" s="71"/>
      <c r="T271" s="54"/>
      <c r="U271" s="54"/>
    </row>
    <row r="272" spans="1:21" x14ac:dyDescent="0.25">
      <c r="A272" s="47">
        <f t="shared" si="6"/>
        <v>261</v>
      </c>
      <c r="B272" s="48"/>
      <c r="C272" s="15"/>
      <c r="D272" s="15"/>
      <c r="E272" s="15"/>
      <c r="F272" s="15"/>
      <c r="G272" s="15"/>
      <c r="H272" s="50"/>
      <c r="I272" s="48"/>
      <c r="J272" s="48"/>
      <c r="K272" s="48"/>
      <c r="L272" s="48"/>
      <c r="M272" s="48"/>
      <c r="N272" s="48"/>
      <c r="O272" s="67"/>
      <c r="P272" s="52"/>
      <c r="Q272" s="52"/>
      <c r="R272" s="53"/>
      <c r="S272" s="71"/>
      <c r="T272" s="54"/>
      <c r="U272" s="54"/>
    </row>
    <row r="273" spans="1:21" x14ac:dyDescent="0.25">
      <c r="A273" s="47">
        <f t="shared" si="6"/>
        <v>262</v>
      </c>
      <c r="B273" s="48"/>
      <c r="C273" s="15"/>
      <c r="D273" s="15"/>
      <c r="E273" s="15"/>
      <c r="F273" s="15"/>
      <c r="G273" s="15"/>
      <c r="H273" s="50"/>
      <c r="I273" s="48"/>
      <c r="J273" s="48"/>
      <c r="K273" s="48"/>
      <c r="L273" s="48"/>
      <c r="M273" s="48"/>
      <c r="N273" s="48"/>
      <c r="O273" s="67"/>
      <c r="P273" s="52"/>
      <c r="Q273" s="52"/>
      <c r="R273" s="53"/>
      <c r="S273" s="71"/>
      <c r="T273" s="54"/>
      <c r="U273" s="54"/>
    </row>
    <row r="274" spans="1:21" x14ac:dyDescent="0.25">
      <c r="A274" s="47">
        <f t="shared" si="6"/>
        <v>263</v>
      </c>
      <c r="B274" s="48"/>
      <c r="C274" s="15"/>
      <c r="D274" s="15"/>
      <c r="E274" s="15"/>
      <c r="F274" s="15"/>
      <c r="G274" s="15"/>
      <c r="H274" s="50"/>
      <c r="I274" s="48"/>
      <c r="J274" s="48"/>
      <c r="K274" s="48"/>
      <c r="L274" s="48"/>
      <c r="M274" s="48"/>
      <c r="N274" s="48"/>
      <c r="O274" s="67"/>
      <c r="P274" s="52"/>
      <c r="Q274" s="52"/>
      <c r="R274" s="53"/>
      <c r="S274" s="71"/>
      <c r="T274" s="54"/>
      <c r="U274" s="54"/>
    </row>
    <row r="275" spans="1:21" x14ac:dyDescent="0.25">
      <c r="A275" s="47">
        <f t="shared" si="6"/>
        <v>264</v>
      </c>
      <c r="B275" s="48"/>
      <c r="C275" s="15"/>
      <c r="D275" s="15"/>
      <c r="E275" s="15"/>
      <c r="F275" s="15"/>
      <c r="G275" s="15"/>
      <c r="H275" s="50"/>
      <c r="I275" s="48"/>
      <c r="J275" s="48"/>
      <c r="K275" s="48"/>
      <c r="L275" s="48"/>
      <c r="M275" s="48"/>
      <c r="N275" s="48"/>
      <c r="O275" s="67"/>
      <c r="P275" s="52"/>
      <c r="Q275" s="52"/>
      <c r="R275" s="53"/>
      <c r="S275" s="71"/>
      <c r="T275" s="54"/>
      <c r="U275" s="54"/>
    </row>
    <row r="276" spans="1:21" x14ac:dyDescent="0.25">
      <c r="A276" s="47">
        <f t="shared" si="6"/>
        <v>265</v>
      </c>
      <c r="B276" s="48"/>
      <c r="C276" s="15"/>
      <c r="D276" s="15"/>
      <c r="E276" s="15"/>
      <c r="F276" s="15"/>
      <c r="G276" s="15"/>
      <c r="H276" s="50"/>
      <c r="I276" s="48"/>
      <c r="J276" s="48"/>
      <c r="K276" s="48"/>
      <c r="L276" s="48"/>
      <c r="M276" s="48"/>
      <c r="N276" s="48"/>
      <c r="O276" s="67"/>
      <c r="P276" s="52"/>
      <c r="Q276" s="52"/>
      <c r="R276" s="53"/>
      <c r="S276" s="71"/>
      <c r="T276" s="54"/>
      <c r="U276" s="54"/>
    </row>
    <row r="277" spans="1:21" x14ac:dyDescent="0.25">
      <c r="A277" s="47">
        <f t="shared" si="6"/>
        <v>266</v>
      </c>
      <c r="B277" s="48"/>
      <c r="C277" s="15"/>
      <c r="D277" s="15"/>
      <c r="E277" s="15"/>
      <c r="F277" s="15"/>
      <c r="G277" s="15"/>
      <c r="H277" s="50"/>
      <c r="I277" s="48"/>
      <c r="J277" s="48"/>
      <c r="K277" s="48"/>
      <c r="L277" s="48"/>
      <c r="M277" s="48"/>
      <c r="N277" s="48"/>
      <c r="O277" s="67"/>
      <c r="P277" s="52"/>
      <c r="Q277" s="52"/>
      <c r="R277" s="53"/>
      <c r="S277" s="71"/>
      <c r="T277" s="54"/>
      <c r="U277" s="54"/>
    </row>
    <row r="278" spans="1:21" x14ac:dyDescent="0.25">
      <c r="A278" s="47">
        <f t="shared" si="6"/>
        <v>267</v>
      </c>
      <c r="B278" s="48"/>
      <c r="C278" s="15"/>
      <c r="D278" s="15"/>
      <c r="E278" s="15"/>
      <c r="F278" s="15"/>
      <c r="G278" s="15"/>
      <c r="H278" s="50"/>
      <c r="I278" s="48"/>
      <c r="J278" s="48"/>
      <c r="K278" s="48"/>
      <c r="L278" s="48"/>
      <c r="M278" s="48"/>
      <c r="N278" s="48"/>
      <c r="O278" s="67"/>
      <c r="P278" s="52"/>
      <c r="Q278" s="52"/>
      <c r="R278" s="53"/>
      <c r="S278" s="71"/>
      <c r="T278" s="54"/>
      <c r="U278" s="54"/>
    </row>
    <row r="279" spans="1:21" x14ac:dyDescent="0.25">
      <c r="A279" s="47">
        <f t="shared" si="6"/>
        <v>268</v>
      </c>
      <c r="B279" s="48"/>
      <c r="C279" s="15"/>
      <c r="D279" s="15"/>
      <c r="E279" s="15"/>
      <c r="F279" s="15"/>
      <c r="G279" s="15"/>
      <c r="H279" s="50"/>
      <c r="I279" s="48"/>
      <c r="J279" s="48"/>
      <c r="K279" s="48"/>
      <c r="L279" s="48"/>
      <c r="M279" s="48"/>
      <c r="N279" s="48"/>
      <c r="O279" s="67"/>
      <c r="P279" s="52"/>
      <c r="Q279" s="52"/>
      <c r="R279" s="53"/>
      <c r="S279" s="71"/>
      <c r="T279" s="54"/>
      <c r="U279" s="54"/>
    </row>
    <row r="280" spans="1:21" x14ac:dyDescent="0.25">
      <c r="A280" s="47">
        <f t="shared" si="6"/>
        <v>269</v>
      </c>
      <c r="B280" s="48"/>
      <c r="C280" s="15"/>
      <c r="D280" s="15"/>
      <c r="E280" s="15"/>
      <c r="F280" s="15"/>
      <c r="G280" s="15"/>
      <c r="H280" s="50"/>
      <c r="I280" s="48"/>
      <c r="J280" s="48"/>
      <c r="K280" s="48"/>
      <c r="L280" s="48"/>
      <c r="M280" s="48"/>
      <c r="N280" s="48"/>
      <c r="O280" s="67"/>
      <c r="P280" s="52"/>
      <c r="Q280" s="52"/>
      <c r="R280" s="53"/>
      <c r="S280" s="71"/>
      <c r="T280" s="54"/>
      <c r="U280" s="54"/>
    </row>
    <row r="281" spans="1:21" x14ac:dyDescent="0.25">
      <c r="A281" s="47">
        <f t="shared" si="6"/>
        <v>270</v>
      </c>
      <c r="B281" s="48"/>
      <c r="C281" s="15"/>
      <c r="D281" s="15"/>
      <c r="E281" s="15"/>
      <c r="F281" s="15"/>
      <c r="G281" s="15"/>
      <c r="H281" s="50"/>
      <c r="I281" s="48"/>
      <c r="J281" s="48"/>
      <c r="K281" s="48"/>
      <c r="L281" s="48"/>
      <c r="M281" s="48"/>
      <c r="N281" s="48"/>
      <c r="O281" s="67"/>
      <c r="P281" s="52"/>
      <c r="Q281" s="52"/>
      <c r="R281" s="53"/>
      <c r="S281" s="71"/>
      <c r="T281" s="54"/>
      <c r="U281" s="54"/>
    </row>
    <row r="282" spans="1:21" x14ac:dyDescent="0.25">
      <c r="A282" s="47">
        <f t="shared" si="6"/>
        <v>271</v>
      </c>
      <c r="B282" s="48"/>
      <c r="C282" s="15"/>
      <c r="D282" s="15"/>
      <c r="E282" s="15"/>
      <c r="F282" s="15"/>
      <c r="G282" s="15"/>
      <c r="H282" s="50"/>
      <c r="I282" s="48"/>
      <c r="J282" s="48"/>
      <c r="K282" s="48"/>
      <c r="L282" s="48"/>
      <c r="M282" s="48"/>
      <c r="N282" s="48"/>
      <c r="O282" s="67"/>
      <c r="P282" s="52"/>
      <c r="Q282" s="52"/>
      <c r="R282" s="53"/>
      <c r="S282" s="71"/>
      <c r="T282" s="54"/>
      <c r="U282" s="54"/>
    </row>
    <row r="283" spans="1:21" x14ac:dyDescent="0.25">
      <c r="A283" s="47">
        <f t="shared" si="6"/>
        <v>272</v>
      </c>
      <c r="B283" s="48"/>
      <c r="C283" s="15"/>
      <c r="D283" s="15"/>
      <c r="E283" s="15"/>
      <c r="F283" s="15"/>
      <c r="G283" s="15"/>
      <c r="H283" s="50"/>
      <c r="I283" s="48"/>
      <c r="J283" s="48"/>
      <c r="K283" s="48"/>
      <c r="L283" s="48"/>
      <c r="M283" s="48"/>
      <c r="N283" s="48"/>
      <c r="O283" s="67"/>
      <c r="P283" s="52"/>
      <c r="Q283" s="52"/>
      <c r="R283" s="53"/>
      <c r="S283" s="71"/>
      <c r="T283" s="54"/>
      <c r="U283" s="54"/>
    </row>
    <row r="284" spans="1:21" x14ac:dyDescent="0.25">
      <c r="A284" s="47">
        <f t="shared" si="6"/>
        <v>273</v>
      </c>
      <c r="B284" s="48"/>
      <c r="C284" s="15"/>
      <c r="D284" s="15"/>
      <c r="E284" s="15"/>
      <c r="F284" s="15"/>
      <c r="G284" s="15"/>
      <c r="H284" s="50"/>
      <c r="I284" s="48"/>
      <c r="J284" s="48"/>
      <c r="K284" s="48"/>
      <c r="L284" s="48"/>
      <c r="M284" s="48"/>
      <c r="N284" s="48"/>
      <c r="O284" s="67"/>
      <c r="P284" s="52"/>
      <c r="Q284" s="52"/>
      <c r="R284" s="53"/>
      <c r="S284" s="71"/>
      <c r="T284" s="54"/>
      <c r="U284" s="54"/>
    </row>
    <row r="285" spans="1:21" x14ac:dyDescent="0.25">
      <c r="A285" s="47">
        <f t="shared" si="6"/>
        <v>274</v>
      </c>
      <c r="B285" s="48"/>
      <c r="C285" s="15"/>
      <c r="D285" s="15"/>
      <c r="E285" s="15"/>
      <c r="F285" s="15"/>
      <c r="G285" s="15"/>
      <c r="H285" s="50"/>
      <c r="I285" s="48"/>
      <c r="J285" s="48"/>
      <c r="K285" s="48"/>
      <c r="L285" s="48"/>
      <c r="M285" s="48"/>
      <c r="N285" s="48"/>
      <c r="O285" s="67"/>
      <c r="P285" s="52"/>
      <c r="Q285" s="52"/>
      <c r="R285" s="53"/>
      <c r="S285" s="71"/>
      <c r="T285" s="54"/>
      <c r="U285" s="54"/>
    </row>
    <row r="286" spans="1:21" x14ac:dyDescent="0.25">
      <c r="A286" s="47">
        <f t="shared" si="6"/>
        <v>275</v>
      </c>
      <c r="B286" s="48"/>
      <c r="C286" s="15"/>
      <c r="D286" s="15"/>
      <c r="E286" s="15"/>
      <c r="F286" s="15"/>
      <c r="G286" s="15"/>
      <c r="H286" s="50"/>
      <c r="I286" s="48"/>
      <c r="J286" s="48"/>
      <c r="K286" s="48"/>
      <c r="L286" s="48"/>
      <c r="M286" s="48"/>
      <c r="N286" s="48"/>
      <c r="O286" s="67"/>
      <c r="P286" s="52"/>
      <c r="Q286" s="52"/>
      <c r="R286" s="53"/>
      <c r="S286" s="71"/>
      <c r="T286" s="54"/>
      <c r="U286" s="54"/>
    </row>
    <row r="287" spans="1:21" x14ac:dyDescent="0.25">
      <c r="A287" s="47">
        <f t="shared" si="6"/>
        <v>276</v>
      </c>
      <c r="B287" s="48"/>
      <c r="C287" s="15"/>
      <c r="D287" s="15"/>
      <c r="E287" s="15"/>
      <c r="F287" s="15"/>
      <c r="G287" s="15"/>
      <c r="H287" s="50"/>
      <c r="I287" s="48"/>
      <c r="J287" s="48"/>
      <c r="K287" s="48"/>
      <c r="L287" s="48"/>
      <c r="M287" s="48"/>
      <c r="N287" s="48"/>
      <c r="O287" s="67"/>
      <c r="P287" s="52"/>
      <c r="Q287" s="52"/>
      <c r="R287" s="53"/>
      <c r="S287" s="71"/>
      <c r="T287" s="54"/>
      <c r="U287" s="54"/>
    </row>
    <row r="288" spans="1:21" x14ac:dyDescent="0.25">
      <c r="A288" s="47">
        <f t="shared" si="6"/>
        <v>277</v>
      </c>
      <c r="B288" s="48"/>
      <c r="C288" s="15"/>
      <c r="D288" s="15"/>
      <c r="E288" s="15"/>
      <c r="F288" s="15"/>
      <c r="G288" s="15"/>
      <c r="H288" s="50"/>
      <c r="I288" s="48"/>
      <c r="J288" s="48"/>
      <c r="K288" s="48"/>
      <c r="L288" s="48"/>
      <c r="M288" s="48"/>
      <c r="N288" s="48"/>
      <c r="O288" s="67"/>
      <c r="P288" s="52"/>
      <c r="Q288" s="52"/>
      <c r="R288" s="53"/>
      <c r="S288" s="71"/>
      <c r="T288" s="54"/>
      <c r="U288" s="54"/>
    </row>
    <row r="289" spans="1:21" x14ac:dyDescent="0.25">
      <c r="A289" s="47">
        <f t="shared" si="6"/>
        <v>278</v>
      </c>
      <c r="B289" s="48"/>
      <c r="C289" s="15"/>
      <c r="D289" s="15"/>
      <c r="E289" s="15"/>
      <c r="F289" s="15"/>
      <c r="G289" s="15"/>
      <c r="H289" s="50"/>
      <c r="I289" s="48"/>
      <c r="J289" s="48"/>
      <c r="K289" s="48"/>
      <c r="L289" s="48"/>
      <c r="M289" s="48"/>
      <c r="N289" s="48"/>
      <c r="O289" s="67"/>
      <c r="P289" s="52"/>
      <c r="Q289" s="52"/>
      <c r="R289" s="53"/>
      <c r="S289" s="71"/>
      <c r="T289" s="54"/>
      <c r="U289" s="54"/>
    </row>
    <row r="290" spans="1:21" x14ac:dyDescent="0.25">
      <c r="A290" s="47">
        <f t="shared" si="6"/>
        <v>279</v>
      </c>
      <c r="B290" s="48"/>
      <c r="C290" s="15"/>
      <c r="D290" s="15"/>
      <c r="E290" s="15"/>
      <c r="F290" s="15"/>
      <c r="G290" s="15"/>
      <c r="H290" s="50"/>
      <c r="I290" s="48"/>
      <c r="J290" s="48"/>
      <c r="K290" s="48"/>
      <c r="L290" s="48"/>
      <c r="M290" s="48"/>
      <c r="N290" s="48"/>
      <c r="O290" s="67"/>
      <c r="P290" s="52"/>
      <c r="Q290" s="52"/>
      <c r="R290" s="53"/>
      <c r="S290" s="71"/>
      <c r="T290" s="54"/>
      <c r="U290" s="54"/>
    </row>
    <row r="291" spans="1:21" x14ac:dyDescent="0.25">
      <c r="A291" s="47">
        <f t="shared" si="6"/>
        <v>280</v>
      </c>
      <c r="B291" s="48"/>
      <c r="C291" s="15"/>
      <c r="D291" s="15"/>
      <c r="E291" s="15"/>
      <c r="F291" s="15"/>
      <c r="G291" s="15"/>
      <c r="H291" s="50"/>
      <c r="I291" s="48"/>
      <c r="J291" s="48"/>
      <c r="K291" s="48"/>
      <c r="L291" s="48"/>
      <c r="M291" s="48"/>
      <c r="N291" s="48"/>
      <c r="O291" s="67"/>
      <c r="P291" s="52"/>
      <c r="Q291" s="52"/>
      <c r="R291" s="53"/>
      <c r="S291" s="71"/>
      <c r="T291" s="54"/>
      <c r="U291" s="54"/>
    </row>
    <row r="292" spans="1:21" x14ac:dyDescent="0.25">
      <c r="A292" s="47">
        <f t="shared" si="6"/>
        <v>281</v>
      </c>
      <c r="B292" s="48"/>
      <c r="C292" s="15"/>
      <c r="D292" s="15"/>
      <c r="E292" s="15"/>
      <c r="F292" s="15"/>
      <c r="G292" s="15"/>
      <c r="H292" s="50"/>
      <c r="I292" s="48"/>
      <c r="J292" s="48"/>
      <c r="K292" s="48"/>
      <c r="L292" s="48"/>
      <c r="M292" s="48"/>
      <c r="N292" s="48"/>
      <c r="O292" s="67"/>
      <c r="P292" s="52"/>
      <c r="Q292" s="52"/>
      <c r="R292" s="53"/>
      <c r="S292" s="71"/>
      <c r="T292" s="54"/>
      <c r="U292" s="54"/>
    </row>
    <row r="293" spans="1:21" x14ac:dyDescent="0.25">
      <c r="A293" s="47">
        <f t="shared" si="6"/>
        <v>282</v>
      </c>
      <c r="B293" s="48"/>
      <c r="C293" s="15"/>
      <c r="D293" s="15"/>
      <c r="E293" s="15"/>
      <c r="F293" s="15"/>
      <c r="G293" s="15"/>
      <c r="H293" s="50"/>
      <c r="I293" s="48"/>
      <c r="J293" s="48"/>
      <c r="K293" s="48"/>
      <c r="L293" s="48"/>
      <c r="M293" s="48"/>
      <c r="N293" s="48"/>
      <c r="O293" s="67"/>
      <c r="P293" s="52"/>
      <c r="Q293" s="52"/>
      <c r="R293" s="53"/>
      <c r="S293" s="71"/>
      <c r="T293" s="54"/>
      <c r="U293" s="54"/>
    </row>
    <row r="294" spans="1:21" x14ac:dyDescent="0.25">
      <c r="A294" s="47">
        <f t="shared" si="6"/>
        <v>283</v>
      </c>
      <c r="B294" s="48"/>
      <c r="C294" s="15"/>
      <c r="D294" s="15"/>
      <c r="E294" s="15"/>
      <c r="F294" s="15"/>
      <c r="G294" s="15"/>
      <c r="H294" s="50"/>
      <c r="I294" s="48"/>
      <c r="J294" s="48"/>
      <c r="K294" s="48"/>
      <c r="L294" s="48"/>
      <c r="M294" s="48"/>
      <c r="N294" s="48"/>
      <c r="O294" s="67"/>
      <c r="P294" s="52"/>
      <c r="Q294" s="52"/>
      <c r="R294" s="53"/>
      <c r="S294" s="71"/>
      <c r="T294" s="54"/>
      <c r="U294" s="54"/>
    </row>
    <row r="295" spans="1:21" x14ac:dyDescent="0.25">
      <c r="A295" s="47">
        <f t="shared" si="6"/>
        <v>284</v>
      </c>
      <c r="B295" s="48"/>
      <c r="C295" s="15"/>
      <c r="D295" s="15"/>
      <c r="E295" s="15"/>
      <c r="F295" s="15"/>
      <c r="G295" s="15"/>
      <c r="H295" s="50"/>
      <c r="I295" s="48"/>
      <c r="J295" s="48"/>
      <c r="K295" s="48"/>
      <c r="L295" s="48"/>
      <c r="M295" s="48"/>
      <c r="N295" s="48"/>
      <c r="O295" s="67"/>
      <c r="P295" s="52"/>
      <c r="Q295" s="52"/>
      <c r="R295" s="53"/>
      <c r="S295" s="71"/>
      <c r="T295" s="54"/>
      <c r="U295" s="54"/>
    </row>
    <row r="296" spans="1:21" x14ac:dyDescent="0.25">
      <c r="A296" s="47">
        <f t="shared" si="6"/>
        <v>285</v>
      </c>
      <c r="B296" s="48"/>
      <c r="C296" s="15"/>
      <c r="D296" s="15"/>
      <c r="E296" s="15"/>
      <c r="F296" s="15"/>
      <c r="G296" s="15"/>
      <c r="H296" s="50"/>
      <c r="I296" s="48"/>
      <c r="J296" s="48"/>
      <c r="K296" s="48"/>
      <c r="L296" s="48"/>
      <c r="M296" s="48"/>
      <c r="N296" s="48"/>
      <c r="O296" s="67"/>
      <c r="P296" s="52"/>
      <c r="Q296" s="52"/>
      <c r="R296" s="53"/>
      <c r="S296" s="71"/>
      <c r="T296" s="54"/>
      <c r="U296" s="54"/>
    </row>
    <row r="297" spans="1:21" x14ac:dyDescent="0.25">
      <c r="A297" s="47">
        <f t="shared" si="6"/>
        <v>286</v>
      </c>
      <c r="B297" s="48"/>
      <c r="C297" s="15"/>
      <c r="D297" s="15"/>
      <c r="E297" s="15"/>
      <c r="F297" s="15"/>
      <c r="G297" s="15"/>
      <c r="H297" s="50"/>
      <c r="I297" s="48"/>
      <c r="J297" s="48"/>
      <c r="K297" s="48"/>
      <c r="L297" s="48"/>
      <c r="M297" s="48"/>
      <c r="N297" s="48"/>
      <c r="O297" s="67"/>
      <c r="P297" s="52"/>
      <c r="Q297" s="52"/>
      <c r="R297" s="53"/>
      <c r="S297" s="71"/>
      <c r="T297" s="54"/>
      <c r="U297" s="54"/>
    </row>
    <row r="298" spans="1:21" x14ac:dyDescent="0.25">
      <c r="A298" s="47">
        <f t="shared" si="6"/>
        <v>287</v>
      </c>
      <c r="B298" s="48"/>
      <c r="C298" s="15"/>
      <c r="D298" s="15"/>
      <c r="E298" s="15"/>
      <c r="F298" s="15"/>
      <c r="G298" s="15"/>
      <c r="H298" s="50"/>
      <c r="I298" s="48"/>
      <c r="J298" s="48"/>
      <c r="K298" s="48"/>
      <c r="L298" s="48"/>
      <c r="M298" s="48"/>
      <c r="N298" s="48"/>
      <c r="O298" s="67"/>
      <c r="P298" s="52"/>
      <c r="Q298" s="52"/>
      <c r="R298" s="53"/>
      <c r="S298" s="71"/>
      <c r="T298" s="54"/>
      <c r="U298" s="54"/>
    </row>
    <row r="299" spans="1:21" x14ac:dyDescent="0.25">
      <c r="A299" s="47">
        <f t="shared" si="6"/>
        <v>288</v>
      </c>
      <c r="B299" s="48"/>
      <c r="C299" s="15"/>
      <c r="D299" s="15"/>
      <c r="E299" s="15"/>
      <c r="F299" s="15"/>
      <c r="G299" s="15"/>
      <c r="H299" s="50"/>
      <c r="I299" s="48"/>
      <c r="J299" s="48"/>
      <c r="K299" s="48"/>
      <c r="L299" s="48"/>
      <c r="M299" s="48"/>
      <c r="N299" s="48"/>
      <c r="O299" s="67"/>
      <c r="P299" s="52"/>
      <c r="Q299" s="52"/>
      <c r="R299" s="53"/>
      <c r="S299" s="71"/>
      <c r="T299" s="54"/>
      <c r="U299" s="54"/>
    </row>
    <row r="300" spans="1:21" x14ac:dyDescent="0.25">
      <c r="A300" s="47">
        <f t="shared" si="6"/>
        <v>289</v>
      </c>
      <c r="B300" s="48"/>
      <c r="C300" s="15"/>
      <c r="D300" s="15"/>
      <c r="E300" s="15"/>
      <c r="F300" s="15"/>
      <c r="G300" s="15"/>
      <c r="H300" s="50"/>
      <c r="I300" s="48"/>
      <c r="J300" s="48"/>
      <c r="K300" s="48"/>
      <c r="L300" s="48"/>
      <c r="M300" s="48"/>
      <c r="N300" s="48"/>
      <c r="O300" s="67"/>
      <c r="P300" s="52"/>
      <c r="Q300" s="52"/>
      <c r="R300" s="53"/>
      <c r="S300" s="71"/>
      <c r="T300" s="54"/>
      <c r="U300" s="54"/>
    </row>
    <row r="301" spans="1:21" x14ac:dyDescent="0.25">
      <c r="A301" s="47">
        <f t="shared" si="6"/>
        <v>290</v>
      </c>
      <c r="B301" s="48"/>
      <c r="C301" s="15"/>
      <c r="D301" s="15"/>
      <c r="E301" s="15"/>
      <c r="F301" s="15"/>
      <c r="G301" s="15"/>
      <c r="H301" s="50"/>
      <c r="I301" s="48"/>
      <c r="J301" s="48"/>
      <c r="K301" s="48"/>
      <c r="L301" s="48"/>
      <c r="M301" s="48"/>
      <c r="N301" s="48"/>
      <c r="O301" s="67"/>
      <c r="P301" s="52"/>
      <c r="Q301" s="52"/>
      <c r="R301" s="53"/>
      <c r="S301" s="71"/>
      <c r="T301" s="54"/>
      <c r="U301" s="54"/>
    </row>
    <row r="302" spans="1:21" x14ac:dyDescent="0.25">
      <c r="A302" s="47">
        <f t="shared" si="6"/>
        <v>291</v>
      </c>
      <c r="B302" s="48"/>
      <c r="C302" s="15"/>
      <c r="D302" s="15"/>
      <c r="E302" s="15"/>
      <c r="F302" s="15"/>
      <c r="G302" s="15"/>
      <c r="H302" s="50"/>
      <c r="I302" s="48"/>
      <c r="J302" s="48"/>
      <c r="K302" s="48"/>
      <c r="L302" s="48"/>
      <c r="M302" s="48"/>
      <c r="N302" s="48"/>
      <c r="O302" s="67"/>
      <c r="P302" s="52"/>
      <c r="Q302" s="52"/>
      <c r="R302" s="53"/>
      <c r="S302" s="71"/>
      <c r="T302" s="54"/>
      <c r="U302" s="54"/>
    </row>
    <row r="303" spans="1:21" x14ac:dyDescent="0.25">
      <c r="A303" s="47">
        <f t="shared" si="6"/>
        <v>292</v>
      </c>
      <c r="B303" s="48"/>
      <c r="C303" s="15"/>
      <c r="D303" s="15"/>
      <c r="E303" s="15"/>
      <c r="F303" s="15"/>
      <c r="G303" s="15"/>
      <c r="H303" s="50"/>
      <c r="I303" s="48"/>
      <c r="J303" s="48"/>
      <c r="K303" s="48"/>
      <c r="L303" s="48"/>
      <c r="M303" s="48"/>
      <c r="N303" s="48"/>
      <c r="O303" s="67"/>
      <c r="P303" s="52"/>
      <c r="Q303" s="52"/>
      <c r="R303" s="53"/>
      <c r="S303" s="71"/>
      <c r="T303" s="54"/>
      <c r="U303" s="54"/>
    </row>
    <row r="304" spans="1:21" x14ac:dyDescent="0.25">
      <c r="A304" s="47">
        <f t="shared" si="6"/>
        <v>293</v>
      </c>
      <c r="B304" s="48"/>
      <c r="C304" s="15"/>
      <c r="D304" s="15"/>
      <c r="E304" s="15"/>
      <c r="F304" s="15"/>
      <c r="G304" s="15"/>
      <c r="H304" s="50"/>
      <c r="I304" s="48"/>
      <c r="J304" s="48"/>
      <c r="K304" s="48"/>
      <c r="L304" s="48"/>
      <c r="M304" s="48"/>
      <c r="N304" s="48"/>
      <c r="O304" s="67"/>
      <c r="P304" s="52"/>
      <c r="Q304" s="52"/>
      <c r="R304" s="53"/>
      <c r="S304" s="71"/>
      <c r="T304" s="54"/>
      <c r="U304" s="54"/>
    </row>
    <row r="305" spans="1:21" x14ac:dyDescent="0.25">
      <c r="A305" s="47">
        <f t="shared" si="6"/>
        <v>294</v>
      </c>
      <c r="B305" s="48"/>
      <c r="C305" s="15"/>
      <c r="D305" s="15"/>
      <c r="E305" s="15"/>
      <c r="F305" s="15"/>
      <c r="G305" s="15"/>
      <c r="H305" s="50"/>
      <c r="I305" s="48"/>
      <c r="J305" s="48"/>
      <c r="K305" s="48"/>
      <c r="L305" s="48"/>
      <c r="M305" s="48"/>
      <c r="N305" s="48"/>
      <c r="O305" s="67"/>
      <c r="P305" s="52"/>
      <c r="Q305" s="52"/>
      <c r="R305" s="53"/>
      <c r="S305" s="71"/>
      <c r="T305" s="54"/>
      <c r="U305" s="54"/>
    </row>
    <row r="306" spans="1:21" x14ac:dyDescent="0.25">
      <c r="A306" s="47">
        <f t="shared" si="6"/>
        <v>295</v>
      </c>
      <c r="B306" s="48"/>
      <c r="C306" s="15"/>
      <c r="D306" s="15"/>
      <c r="E306" s="15"/>
      <c r="F306" s="15"/>
      <c r="G306" s="15"/>
      <c r="H306" s="50"/>
      <c r="I306" s="48"/>
      <c r="J306" s="48"/>
      <c r="K306" s="48"/>
      <c r="L306" s="48"/>
      <c r="M306" s="48"/>
      <c r="N306" s="48"/>
      <c r="O306" s="67"/>
      <c r="P306" s="52"/>
      <c r="Q306" s="52"/>
      <c r="R306" s="53"/>
      <c r="S306" s="71"/>
      <c r="T306" s="54"/>
      <c r="U306" s="54"/>
    </row>
    <row r="307" spans="1:21" x14ac:dyDescent="0.25">
      <c r="A307" s="47">
        <f t="shared" si="6"/>
        <v>296</v>
      </c>
      <c r="B307" s="48"/>
      <c r="C307" s="15"/>
      <c r="D307" s="15"/>
      <c r="E307" s="15"/>
      <c r="F307" s="15"/>
      <c r="G307" s="15"/>
      <c r="H307" s="50"/>
      <c r="I307" s="48"/>
      <c r="J307" s="48"/>
      <c r="K307" s="48"/>
      <c r="L307" s="48"/>
      <c r="M307" s="48"/>
      <c r="N307" s="48"/>
      <c r="O307" s="67"/>
      <c r="P307" s="52"/>
      <c r="Q307" s="52"/>
      <c r="R307" s="53"/>
      <c r="S307" s="71"/>
      <c r="T307" s="54"/>
      <c r="U307" s="54"/>
    </row>
    <row r="308" spans="1:21" x14ac:dyDescent="0.25">
      <c r="A308" s="47">
        <f t="shared" si="6"/>
        <v>297</v>
      </c>
      <c r="B308" s="48"/>
      <c r="C308" s="15"/>
      <c r="D308" s="15"/>
      <c r="E308" s="15"/>
      <c r="F308" s="15"/>
      <c r="G308" s="15"/>
      <c r="H308" s="50"/>
      <c r="I308" s="48"/>
      <c r="J308" s="48"/>
      <c r="K308" s="48"/>
      <c r="L308" s="48"/>
      <c r="M308" s="48"/>
      <c r="N308" s="48"/>
      <c r="O308" s="67"/>
      <c r="P308" s="52"/>
      <c r="Q308" s="52"/>
      <c r="R308" s="53"/>
      <c r="S308" s="71"/>
      <c r="T308" s="54"/>
      <c r="U308" s="54"/>
    </row>
    <row r="309" spans="1:21" x14ac:dyDescent="0.25">
      <c r="A309" s="47">
        <f t="shared" si="6"/>
        <v>298</v>
      </c>
      <c r="B309" s="48"/>
      <c r="C309" s="15"/>
      <c r="D309" s="15"/>
      <c r="E309" s="15"/>
      <c r="F309" s="15"/>
      <c r="G309" s="15"/>
      <c r="H309" s="50"/>
      <c r="I309" s="48"/>
      <c r="J309" s="48"/>
      <c r="K309" s="48"/>
      <c r="L309" s="48"/>
      <c r="M309" s="48"/>
      <c r="N309" s="48"/>
      <c r="O309" s="67"/>
      <c r="P309" s="52"/>
      <c r="Q309" s="52"/>
      <c r="R309" s="53"/>
      <c r="S309" s="71"/>
      <c r="T309" s="54"/>
      <c r="U309" s="54"/>
    </row>
    <row r="310" spans="1:21" x14ac:dyDescent="0.25">
      <c r="A310" s="47">
        <f t="shared" si="6"/>
        <v>299</v>
      </c>
      <c r="B310" s="48"/>
      <c r="C310" s="15"/>
      <c r="D310" s="15"/>
      <c r="E310" s="15"/>
      <c r="F310" s="15"/>
      <c r="G310" s="15"/>
      <c r="H310" s="50"/>
      <c r="I310" s="48"/>
      <c r="J310" s="48"/>
      <c r="K310" s="48"/>
      <c r="L310" s="48"/>
      <c r="M310" s="48"/>
      <c r="N310" s="48"/>
      <c r="O310" s="67"/>
      <c r="P310" s="52"/>
      <c r="Q310" s="52"/>
      <c r="R310" s="53"/>
      <c r="S310" s="71"/>
      <c r="T310" s="54"/>
      <c r="U310" s="54"/>
    </row>
    <row r="311" spans="1:21" x14ac:dyDescent="0.25">
      <c r="A311" s="47">
        <f t="shared" si="6"/>
        <v>300</v>
      </c>
      <c r="B311" s="48"/>
      <c r="C311" s="5"/>
      <c r="D311" s="5"/>
      <c r="E311" s="6"/>
      <c r="F311" s="6"/>
      <c r="G311" s="6"/>
      <c r="H311" s="50"/>
      <c r="I311" s="48"/>
      <c r="J311" s="48"/>
      <c r="K311" s="48"/>
      <c r="L311" s="48"/>
      <c r="M311" s="48"/>
      <c r="N311" s="48"/>
      <c r="O311" s="67"/>
      <c r="P311" s="52"/>
      <c r="Q311" s="52"/>
      <c r="R311" s="53"/>
      <c r="S311" s="71"/>
      <c r="T311" s="54"/>
      <c r="U311" s="54"/>
    </row>
    <row r="312" spans="1:21" x14ac:dyDescent="0.25">
      <c r="A312" s="47">
        <f t="shared" si="6"/>
        <v>301</v>
      </c>
      <c r="B312" s="48"/>
      <c r="C312" s="5"/>
      <c r="D312" s="5"/>
      <c r="E312" s="6"/>
      <c r="F312" s="6"/>
      <c r="G312" s="6"/>
      <c r="H312" s="50"/>
      <c r="I312" s="48"/>
      <c r="J312" s="48"/>
      <c r="K312" s="48"/>
      <c r="L312" s="48"/>
      <c r="M312" s="48"/>
      <c r="N312" s="48"/>
      <c r="O312" s="67"/>
      <c r="P312" s="52"/>
      <c r="Q312" s="52"/>
      <c r="R312" s="53"/>
      <c r="S312" s="71"/>
      <c r="T312" s="54"/>
      <c r="U312" s="54"/>
    </row>
    <row r="313" spans="1:21" x14ac:dyDescent="0.25">
      <c r="A313" s="47">
        <f t="shared" si="6"/>
        <v>302</v>
      </c>
      <c r="B313" s="48"/>
      <c r="C313" s="5"/>
      <c r="D313" s="5"/>
      <c r="E313" s="6"/>
      <c r="F313" s="6"/>
      <c r="G313" s="6"/>
      <c r="H313" s="50"/>
      <c r="I313" s="48"/>
      <c r="J313" s="48"/>
      <c r="K313" s="48"/>
      <c r="L313" s="48"/>
      <c r="M313" s="48"/>
      <c r="N313" s="48"/>
      <c r="O313" s="67"/>
      <c r="P313" s="52"/>
      <c r="Q313" s="52"/>
      <c r="R313" s="53"/>
      <c r="S313" s="71"/>
      <c r="T313" s="54"/>
      <c r="U313" s="54"/>
    </row>
    <row r="314" spans="1:21" x14ac:dyDescent="0.25">
      <c r="A314" s="47">
        <f t="shared" si="6"/>
        <v>303</v>
      </c>
      <c r="B314" s="48"/>
      <c r="C314" s="5"/>
      <c r="D314" s="5"/>
      <c r="E314" s="6"/>
      <c r="F314" s="6"/>
      <c r="G314" s="6"/>
      <c r="H314" s="50"/>
      <c r="I314" s="48"/>
      <c r="J314" s="48"/>
      <c r="K314" s="48"/>
      <c r="L314" s="48"/>
      <c r="M314" s="48"/>
      <c r="N314" s="48"/>
      <c r="O314" s="67"/>
      <c r="P314" s="52"/>
      <c r="Q314" s="52"/>
      <c r="R314" s="53"/>
      <c r="S314" s="71"/>
      <c r="T314" s="54"/>
      <c r="U314" s="54"/>
    </row>
    <row r="315" spans="1:21" x14ac:dyDescent="0.25">
      <c r="A315" s="47">
        <f t="shared" si="6"/>
        <v>304</v>
      </c>
      <c r="B315" s="48"/>
      <c r="C315" s="5"/>
      <c r="D315" s="5"/>
      <c r="E315" s="6"/>
      <c r="F315" s="6"/>
      <c r="G315" s="6"/>
      <c r="H315" s="50"/>
      <c r="I315" s="48"/>
      <c r="J315" s="48"/>
      <c r="K315" s="48"/>
      <c r="L315" s="48"/>
      <c r="M315" s="48"/>
      <c r="N315" s="48"/>
      <c r="O315" s="67"/>
      <c r="P315" s="52"/>
      <c r="Q315" s="52"/>
      <c r="R315" s="53"/>
      <c r="S315" s="71"/>
      <c r="T315" s="54"/>
      <c r="U315" s="54"/>
    </row>
    <row r="316" spans="1:21" x14ac:dyDescent="0.25">
      <c r="A316" s="47">
        <f t="shared" si="6"/>
        <v>305</v>
      </c>
      <c r="B316" s="48"/>
      <c r="C316" s="5"/>
      <c r="D316" s="5"/>
      <c r="E316" s="6"/>
      <c r="F316" s="6"/>
      <c r="G316" s="6"/>
      <c r="H316" s="50"/>
      <c r="I316" s="48"/>
      <c r="J316" s="48"/>
      <c r="K316" s="48"/>
      <c r="L316" s="48"/>
      <c r="M316" s="48"/>
      <c r="N316" s="48"/>
      <c r="O316" s="67"/>
      <c r="P316" s="52"/>
      <c r="Q316" s="52"/>
      <c r="R316" s="53"/>
      <c r="S316" s="71"/>
      <c r="T316" s="54"/>
      <c r="U316" s="54"/>
    </row>
    <row r="317" spans="1:21" x14ac:dyDescent="0.25">
      <c r="A317" s="47">
        <f t="shared" si="6"/>
        <v>306</v>
      </c>
      <c r="B317" s="48"/>
      <c r="C317" s="5"/>
      <c r="D317" s="5"/>
      <c r="E317" s="6"/>
      <c r="F317" s="6"/>
      <c r="G317" s="6"/>
      <c r="H317" s="50"/>
      <c r="I317" s="48"/>
      <c r="J317" s="48"/>
      <c r="K317" s="48"/>
      <c r="L317" s="48"/>
      <c r="M317" s="48"/>
      <c r="N317" s="48"/>
      <c r="O317" s="67"/>
      <c r="P317" s="52"/>
      <c r="Q317" s="52"/>
      <c r="R317" s="53"/>
      <c r="S317" s="71"/>
      <c r="T317" s="54"/>
      <c r="U317" s="54"/>
    </row>
    <row r="318" spans="1:21" x14ac:dyDescent="0.25">
      <c r="A318" s="47">
        <f t="shared" si="6"/>
        <v>307</v>
      </c>
      <c r="B318" s="48"/>
      <c r="C318" s="5"/>
      <c r="D318" s="5"/>
      <c r="E318" s="6"/>
      <c r="F318" s="6"/>
      <c r="G318" s="6"/>
      <c r="H318" s="50"/>
      <c r="I318" s="48"/>
      <c r="J318" s="48"/>
      <c r="K318" s="48"/>
      <c r="L318" s="48"/>
      <c r="M318" s="48"/>
      <c r="N318" s="48"/>
      <c r="O318" s="67"/>
      <c r="P318" s="52"/>
      <c r="Q318" s="52"/>
      <c r="R318" s="53"/>
      <c r="S318" s="71"/>
      <c r="T318" s="54"/>
      <c r="U318" s="54"/>
    </row>
    <row r="319" spans="1:21" x14ac:dyDescent="0.25">
      <c r="A319" s="47">
        <f t="shared" si="6"/>
        <v>308</v>
      </c>
      <c r="B319" s="48"/>
      <c r="C319" s="5"/>
      <c r="D319" s="5"/>
      <c r="E319" s="6"/>
      <c r="F319" s="6"/>
      <c r="G319" s="6"/>
      <c r="H319" s="50"/>
      <c r="I319" s="48"/>
      <c r="J319" s="48"/>
      <c r="K319" s="48"/>
      <c r="L319" s="48"/>
      <c r="M319" s="48"/>
      <c r="N319" s="48"/>
      <c r="O319" s="67"/>
      <c r="P319" s="52"/>
      <c r="Q319" s="52"/>
      <c r="R319" s="53"/>
      <c r="S319" s="71"/>
      <c r="T319" s="54"/>
      <c r="U319" s="54"/>
    </row>
    <row r="320" spans="1:21" x14ac:dyDescent="0.25">
      <c r="A320" s="47">
        <f t="shared" si="6"/>
        <v>309</v>
      </c>
      <c r="B320" s="48"/>
      <c r="C320" s="5"/>
      <c r="D320" s="5"/>
      <c r="E320" s="6"/>
      <c r="F320" s="6"/>
      <c r="G320" s="6"/>
      <c r="H320" s="50"/>
      <c r="I320" s="48"/>
      <c r="J320" s="48"/>
      <c r="K320" s="48"/>
      <c r="L320" s="48"/>
      <c r="M320" s="48"/>
      <c r="N320" s="48"/>
      <c r="O320" s="67"/>
      <c r="P320" s="52"/>
      <c r="Q320" s="52"/>
      <c r="R320" s="53"/>
      <c r="S320" s="71"/>
      <c r="T320" s="54"/>
      <c r="U320" s="54"/>
    </row>
    <row r="321" spans="1:21" x14ac:dyDescent="0.25">
      <c r="A321" s="47">
        <f t="shared" si="6"/>
        <v>310</v>
      </c>
      <c r="B321" s="48"/>
      <c r="C321" s="5"/>
      <c r="D321" s="5"/>
      <c r="E321" s="6"/>
      <c r="F321" s="6"/>
      <c r="G321" s="6"/>
      <c r="H321" s="50"/>
      <c r="I321" s="48"/>
      <c r="J321" s="48"/>
      <c r="K321" s="48"/>
      <c r="L321" s="48"/>
      <c r="M321" s="48"/>
      <c r="N321" s="48"/>
      <c r="O321" s="67"/>
      <c r="P321" s="52"/>
      <c r="Q321" s="52"/>
      <c r="R321" s="53"/>
      <c r="S321" s="71"/>
      <c r="T321" s="54"/>
      <c r="U321" s="54"/>
    </row>
    <row r="322" spans="1:21" x14ac:dyDescent="0.25">
      <c r="A322" s="47">
        <f t="shared" si="6"/>
        <v>311</v>
      </c>
      <c r="B322" s="48"/>
      <c r="C322" s="5"/>
      <c r="D322" s="5"/>
      <c r="E322" s="6"/>
      <c r="F322" s="6"/>
      <c r="G322" s="6"/>
      <c r="H322" s="50"/>
      <c r="I322" s="48"/>
      <c r="J322" s="48"/>
      <c r="K322" s="48"/>
      <c r="L322" s="48"/>
      <c r="M322" s="48"/>
      <c r="N322" s="48"/>
      <c r="O322" s="67"/>
      <c r="P322" s="52"/>
      <c r="Q322" s="52"/>
      <c r="R322" s="53"/>
      <c r="S322" s="71"/>
      <c r="T322" s="54"/>
      <c r="U322" s="54"/>
    </row>
    <row r="323" spans="1:21" x14ac:dyDescent="0.25">
      <c r="A323" s="47">
        <f t="shared" si="6"/>
        <v>312</v>
      </c>
      <c r="B323" s="48"/>
      <c r="C323" s="5"/>
      <c r="D323" s="5"/>
      <c r="E323" s="6"/>
      <c r="F323" s="6"/>
      <c r="G323" s="6"/>
      <c r="H323" s="50"/>
      <c r="I323" s="48"/>
      <c r="J323" s="48"/>
      <c r="K323" s="48"/>
      <c r="L323" s="48"/>
      <c r="M323" s="48"/>
      <c r="N323" s="48"/>
      <c r="O323" s="67"/>
      <c r="P323" s="52"/>
      <c r="Q323" s="52"/>
      <c r="R323" s="53"/>
      <c r="S323" s="71"/>
      <c r="T323" s="54"/>
      <c r="U323" s="54"/>
    </row>
    <row r="324" spans="1:21" x14ac:dyDescent="0.25">
      <c r="A324" s="47">
        <f t="shared" si="6"/>
        <v>313</v>
      </c>
      <c r="B324" s="48"/>
      <c r="C324" s="5"/>
      <c r="D324" s="5"/>
      <c r="E324" s="6"/>
      <c r="F324" s="6"/>
      <c r="G324" s="6"/>
      <c r="H324" s="50"/>
      <c r="I324" s="48"/>
      <c r="J324" s="48"/>
      <c r="K324" s="48"/>
      <c r="L324" s="48"/>
      <c r="M324" s="48"/>
      <c r="N324" s="48"/>
      <c r="O324" s="67"/>
      <c r="P324" s="52"/>
      <c r="Q324" s="52"/>
      <c r="R324" s="53"/>
      <c r="S324" s="71"/>
      <c r="T324" s="54"/>
      <c r="U324" s="54"/>
    </row>
    <row r="325" spans="1:21" x14ac:dyDescent="0.25">
      <c r="A325" s="47">
        <f t="shared" si="6"/>
        <v>314</v>
      </c>
      <c r="B325" s="48"/>
      <c r="C325" s="5"/>
      <c r="D325" s="5"/>
      <c r="E325" s="6"/>
      <c r="F325" s="6"/>
      <c r="G325" s="6"/>
      <c r="H325" s="50"/>
      <c r="I325" s="48"/>
      <c r="J325" s="48"/>
      <c r="K325" s="48"/>
      <c r="L325" s="48"/>
      <c r="M325" s="48"/>
      <c r="N325" s="48"/>
      <c r="O325" s="67"/>
      <c r="P325" s="52"/>
      <c r="Q325" s="52"/>
      <c r="R325" s="53"/>
      <c r="S325" s="71"/>
      <c r="T325" s="54"/>
      <c r="U325" s="54"/>
    </row>
    <row r="326" spans="1:21" x14ac:dyDescent="0.25">
      <c r="A326" s="47">
        <f t="shared" si="6"/>
        <v>315</v>
      </c>
      <c r="B326" s="48"/>
      <c r="C326" s="5"/>
      <c r="D326" s="5"/>
      <c r="E326" s="6"/>
      <c r="F326" s="6"/>
      <c r="G326" s="6"/>
      <c r="H326" s="50"/>
      <c r="I326" s="48"/>
      <c r="J326" s="48"/>
      <c r="K326" s="48"/>
      <c r="L326" s="48"/>
      <c r="M326" s="48"/>
      <c r="N326" s="48"/>
      <c r="O326" s="67"/>
      <c r="P326" s="52"/>
      <c r="Q326" s="52"/>
      <c r="R326" s="53"/>
      <c r="S326" s="71"/>
      <c r="T326" s="54"/>
      <c r="U326" s="54"/>
    </row>
    <row r="327" spans="1:21" x14ac:dyDescent="0.25">
      <c r="A327" s="47">
        <f t="shared" si="6"/>
        <v>316</v>
      </c>
      <c r="B327" s="48"/>
      <c r="C327" s="5"/>
      <c r="D327" s="5"/>
      <c r="E327" s="6"/>
      <c r="F327" s="6"/>
      <c r="G327" s="6"/>
      <c r="H327" s="50"/>
      <c r="I327" s="48"/>
      <c r="J327" s="48"/>
      <c r="K327" s="48"/>
      <c r="L327" s="48"/>
      <c r="M327" s="48"/>
      <c r="N327" s="48"/>
      <c r="O327" s="67"/>
      <c r="P327" s="52"/>
      <c r="Q327" s="52"/>
      <c r="R327" s="53"/>
      <c r="S327" s="71"/>
      <c r="T327" s="54"/>
      <c r="U327" s="54"/>
    </row>
    <row r="328" spans="1:21" x14ac:dyDescent="0.25">
      <c r="A328" s="47">
        <f t="shared" si="6"/>
        <v>317</v>
      </c>
      <c r="B328" s="48"/>
      <c r="C328" s="5"/>
      <c r="D328" s="5"/>
      <c r="E328" s="6"/>
      <c r="F328" s="6"/>
      <c r="G328" s="6"/>
      <c r="H328" s="50"/>
      <c r="I328" s="48"/>
      <c r="J328" s="48"/>
      <c r="K328" s="48"/>
      <c r="L328" s="48"/>
      <c r="M328" s="48"/>
      <c r="N328" s="48"/>
      <c r="O328" s="67"/>
      <c r="P328" s="52"/>
      <c r="Q328" s="52"/>
      <c r="R328" s="53"/>
      <c r="S328" s="71"/>
      <c r="T328" s="54"/>
      <c r="U328" s="54"/>
    </row>
    <row r="329" spans="1:21" x14ac:dyDescent="0.25">
      <c r="A329" s="47">
        <f t="shared" si="6"/>
        <v>318</v>
      </c>
      <c r="B329" s="48"/>
      <c r="C329" s="5"/>
      <c r="D329" s="5"/>
      <c r="E329" s="6"/>
      <c r="F329" s="6"/>
      <c r="G329" s="6"/>
      <c r="H329" s="50"/>
      <c r="I329" s="48"/>
      <c r="J329" s="48"/>
      <c r="K329" s="48"/>
      <c r="L329" s="48"/>
      <c r="M329" s="48"/>
      <c r="N329" s="48"/>
      <c r="O329" s="67"/>
      <c r="P329" s="52"/>
      <c r="Q329" s="52"/>
      <c r="R329" s="53"/>
      <c r="S329" s="71"/>
      <c r="T329" s="54"/>
      <c r="U329" s="54"/>
    </row>
    <row r="330" spans="1:21" x14ac:dyDescent="0.25">
      <c r="A330" s="47">
        <f t="shared" si="6"/>
        <v>319</v>
      </c>
      <c r="B330" s="48"/>
      <c r="C330" s="5"/>
      <c r="D330" s="5"/>
      <c r="E330" s="6"/>
      <c r="F330" s="6"/>
      <c r="G330" s="6"/>
      <c r="H330" s="50"/>
      <c r="I330" s="48"/>
      <c r="J330" s="48"/>
      <c r="K330" s="48"/>
      <c r="L330" s="48"/>
      <c r="M330" s="48"/>
      <c r="N330" s="48"/>
      <c r="O330" s="67"/>
      <c r="P330" s="52"/>
      <c r="Q330" s="52"/>
      <c r="R330" s="53"/>
      <c r="S330" s="71"/>
      <c r="T330" s="54"/>
      <c r="U330" s="54"/>
    </row>
    <row r="331" spans="1:21" x14ac:dyDescent="0.25">
      <c r="A331" s="47">
        <f t="shared" si="6"/>
        <v>320</v>
      </c>
      <c r="B331" s="48"/>
      <c r="C331" s="5"/>
      <c r="D331" s="5"/>
      <c r="E331" s="6"/>
      <c r="F331" s="6"/>
      <c r="G331" s="6"/>
      <c r="H331" s="50"/>
      <c r="I331" s="48"/>
      <c r="J331" s="48"/>
      <c r="K331" s="48"/>
      <c r="L331" s="48"/>
      <c r="M331" s="48"/>
      <c r="N331" s="48"/>
      <c r="O331" s="67"/>
      <c r="P331" s="52"/>
      <c r="Q331" s="52"/>
      <c r="R331" s="53"/>
      <c r="S331" s="71"/>
      <c r="T331" s="54"/>
      <c r="U331" s="54"/>
    </row>
    <row r="332" spans="1:21" x14ac:dyDescent="0.25">
      <c r="A332" s="47">
        <f t="shared" ref="A332:A395" si="7">ROW() - ROW(FRegEntriesEnteredHdr)</f>
        <v>321</v>
      </c>
      <c r="B332" s="48"/>
      <c r="C332" s="5"/>
      <c r="D332" s="5"/>
      <c r="E332" s="6"/>
      <c r="F332" s="6"/>
      <c r="G332" s="6"/>
      <c r="H332" s="50"/>
      <c r="I332" s="48"/>
      <c r="J332" s="48"/>
      <c r="K332" s="48"/>
      <c r="L332" s="48"/>
      <c r="M332" s="48"/>
      <c r="N332" s="48"/>
      <c r="O332" s="67"/>
      <c r="P332" s="52"/>
      <c r="Q332" s="52"/>
      <c r="R332" s="53"/>
      <c r="S332" s="71"/>
      <c r="T332" s="54"/>
      <c r="U332" s="54"/>
    </row>
    <row r="333" spans="1:21" x14ac:dyDescent="0.25">
      <c r="A333" s="47">
        <f t="shared" si="7"/>
        <v>322</v>
      </c>
      <c r="B333" s="48"/>
      <c r="C333" s="5"/>
      <c r="D333" s="5"/>
      <c r="E333" s="6"/>
      <c r="F333" s="6"/>
      <c r="G333" s="6"/>
      <c r="H333" s="50"/>
      <c r="I333" s="48"/>
      <c r="J333" s="48"/>
      <c r="K333" s="48"/>
      <c r="L333" s="48"/>
      <c r="M333" s="48"/>
      <c r="N333" s="48"/>
      <c r="O333" s="67"/>
      <c r="P333" s="52"/>
      <c r="Q333" s="52"/>
      <c r="R333" s="53"/>
      <c r="S333" s="71"/>
      <c r="T333" s="54"/>
      <c r="U333" s="54"/>
    </row>
    <row r="334" spans="1:21" x14ac:dyDescent="0.25">
      <c r="A334" s="47">
        <f t="shared" si="7"/>
        <v>323</v>
      </c>
      <c r="B334" s="48"/>
      <c r="C334" s="5"/>
      <c r="D334" s="5"/>
      <c r="E334" s="6"/>
      <c r="F334" s="6"/>
      <c r="G334" s="6"/>
      <c r="H334" s="50"/>
      <c r="I334" s="48"/>
      <c r="J334" s="48"/>
      <c r="K334" s="48"/>
      <c r="L334" s="48"/>
      <c r="M334" s="48"/>
      <c r="N334" s="48"/>
      <c r="O334" s="67"/>
      <c r="P334" s="52"/>
      <c r="Q334" s="52"/>
      <c r="R334" s="53"/>
      <c r="S334" s="71"/>
      <c r="T334" s="54"/>
      <c r="U334" s="54"/>
    </row>
    <row r="335" spans="1:21" x14ac:dyDescent="0.25">
      <c r="A335" s="47">
        <f t="shared" si="7"/>
        <v>324</v>
      </c>
      <c r="B335" s="48"/>
      <c r="C335" s="5"/>
      <c r="D335" s="5"/>
      <c r="E335" s="6"/>
      <c r="F335" s="6"/>
      <c r="G335" s="6"/>
      <c r="H335" s="50"/>
      <c r="I335" s="48"/>
      <c r="J335" s="48"/>
      <c r="K335" s="48"/>
      <c r="L335" s="48"/>
      <c r="M335" s="48"/>
      <c r="N335" s="48"/>
      <c r="O335" s="67"/>
      <c r="P335" s="52"/>
      <c r="Q335" s="52"/>
      <c r="R335" s="53"/>
      <c r="S335" s="71"/>
      <c r="T335" s="54"/>
      <c r="U335" s="54"/>
    </row>
    <row r="336" spans="1:21" x14ac:dyDescent="0.25">
      <c r="A336" s="47">
        <f t="shared" si="7"/>
        <v>325</v>
      </c>
      <c r="B336" s="48"/>
      <c r="C336" s="5"/>
      <c r="D336" s="5"/>
      <c r="E336" s="6"/>
      <c r="F336" s="6"/>
      <c r="G336" s="6"/>
      <c r="H336" s="50"/>
      <c r="I336" s="48"/>
      <c r="J336" s="48"/>
      <c r="K336" s="48"/>
      <c r="L336" s="48"/>
      <c r="M336" s="48"/>
      <c r="N336" s="48"/>
      <c r="O336" s="67"/>
      <c r="P336" s="52"/>
      <c r="Q336" s="52"/>
      <c r="R336" s="53"/>
      <c r="S336" s="71"/>
      <c r="T336" s="54"/>
      <c r="U336" s="54"/>
    </row>
    <row r="337" spans="1:21" x14ac:dyDescent="0.25">
      <c r="A337" s="47">
        <f t="shared" si="7"/>
        <v>326</v>
      </c>
      <c r="B337" s="48"/>
      <c r="C337" s="5"/>
      <c r="D337" s="5"/>
      <c r="E337" s="6"/>
      <c r="F337" s="6"/>
      <c r="G337" s="6"/>
      <c r="H337" s="50"/>
      <c r="I337" s="48"/>
      <c r="J337" s="48"/>
      <c r="K337" s="48"/>
      <c r="L337" s="48"/>
      <c r="M337" s="48"/>
      <c r="N337" s="48"/>
      <c r="O337" s="67"/>
      <c r="P337" s="52"/>
      <c r="Q337" s="52"/>
      <c r="R337" s="53"/>
      <c r="S337" s="71"/>
      <c r="T337" s="54"/>
      <c r="U337" s="54"/>
    </row>
    <row r="338" spans="1:21" x14ac:dyDescent="0.25">
      <c r="A338" s="47">
        <f t="shared" si="7"/>
        <v>327</v>
      </c>
      <c r="B338" s="48"/>
      <c r="C338" s="5"/>
      <c r="D338" s="5"/>
      <c r="E338" s="6"/>
      <c r="F338" s="6"/>
      <c r="G338" s="6"/>
      <c r="H338" s="50"/>
      <c r="I338" s="48"/>
      <c r="J338" s="48"/>
      <c r="K338" s="48"/>
      <c r="L338" s="48"/>
      <c r="M338" s="48"/>
      <c r="N338" s="48"/>
      <c r="O338" s="67"/>
      <c r="P338" s="52"/>
      <c r="Q338" s="52"/>
      <c r="R338" s="53"/>
      <c r="S338" s="71"/>
      <c r="T338" s="54"/>
      <c r="U338" s="54"/>
    </row>
    <row r="339" spans="1:21" x14ac:dyDescent="0.25">
      <c r="A339" s="47">
        <f t="shared" si="7"/>
        <v>328</v>
      </c>
      <c r="B339" s="48"/>
      <c r="C339" s="5"/>
      <c r="D339" s="5"/>
      <c r="E339" s="6"/>
      <c r="F339" s="6"/>
      <c r="G339" s="6"/>
      <c r="H339" s="50"/>
      <c r="I339" s="48"/>
      <c r="J339" s="48"/>
      <c r="K339" s="48"/>
      <c r="L339" s="48"/>
      <c r="M339" s="48"/>
      <c r="N339" s="48"/>
      <c r="O339" s="67"/>
      <c r="P339" s="52"/>
      <c r="Q339" s="52"/>
      <c r="R339" s="53"/>
      <c r="S339" s="71"/>
      <c r="T339" s="54"/>
      <c r="U339" s="54"/>
    </row>
    <row r="340" spans="1:21" x14ac:dyDescent="0.25">
      <c r="A340" s="47">
        <f t="shared" si="7"/>
        <v>329</v>
      </c>
      <c r="B340" s="48"/>
      <c r="C340" s="5"/>
      <c r="D340" s="5"/>
      <c r="E340" s="6"/>
      <c r="F340" s="6"/>
      <c r="G340" s="6"/>
      <c r="H340" s="50"/>
      <c r="I340" s="48"/>
      <c r="J340" s="48"/>
      <c r="K340" s="48"/>
      <c r="L340" s="48"/>
      <c r="M340" s="48"/>
      <c r="N340" s="48"/>
      <c r="O340" s="67"/>
      <c r="P340" s="52"/>
      <c r="Q340" s="52"/>
      <c r="R340" s="53"/>
      <c r="S340" s="71"/>
      <c r="T340" s="54"/>
      <c r="U340" s="54"/>
    </row>
    <row r="341" spans="1:21" x14ac:dyDescent="0.25">
      <c r="A341" s="47">
        <f t="shared" si="7"/>
        <v>330</v>
      </c>
      <c r="B341" s="48"/>
      <c r="C341" s="5"/>
      <c r="D341" s="5"/>
      <c r="E341" s="6"/>
      <c r="F341" s="6"/>
      <c r="G341" s="6"/>
      <c r="H341" s="50"/>
      <c r="I341" s="48"/>
      <c r="J341" s="48"/>
      <c r="K341" s="48"/>
      <c r="L341" s="48"/>
      <c r="M341" s="48"/>
      <c r="N341" s="48"/>
      <c r="O341" s="67"/>
      <c r="P341" s="52"/>
      <c r="Q341" s="52"/>
      <c r="R341" s="53"/>
      <c r="S341" s="71"/>
      <c r="T341" s="54"/>
      <c r="U341" s="54"/>
    </row>
    <row r="342" spans="1:21" x14ac:dyDescent="0.25">
      <c r="A342" s="47">
        <f t="shared" si="7"/>
        <v>331</v>
      </c>
      <c r="B342" s="48"/>
      <c r="C342" s="5"/>
      <c r="D342" s="5"/>
      <c r="E342" s="6"/>
      <c r="F342" s="6"/>
      <c r="G342" s="6"/>
      <c r="H342" s="50"/>
      <c r="I342" s="48"/>
      <c r="J342" s="48"/>
      <c r="K342" s="48"/>
      <c r="L342" s="48"/>
      <c r="M342" s="48"/>
      <c r="N342" s="48"/>
      <c r="O342" s="67"/>
      <c r="P342" s="52"/>
      <c r="Q342" s="52"/>
      <c r="R342" s="53"/>
      <c r="S342" s="71"/>
      <c r="T342" s="54"/>
      <c r="U342" s="54"/>
    </row>
    <row r="343" spans="1:21" x14ac:dyDescent="0.25">
      <c r="A343" s="47">
        <f t="shared" si="7"/>
        <v>332</v>
      </c>
      <c r="B343" s="48"/>
      <c r="C343" s="5"/>
      <c r="D343" s="5"/>
      <c r="E343" s="6"/>
      <c r="F343" s="6"/>
      <c r="G343" s="6"/>
      <c r="H343" s="50"/>
      <c r="I343" s="48"/>
      <c r="J343" s="48"/>
      <c r="K343" s="48"/>
      <c r="L343" s="48"/>
      <c r="M343" s="48"/>
      <c r="N343" s="48"/>
      <c r="O343" s="67"/>
      <c r="P343" s="52"/>
      <c r="Q343" s="52"/>
      <c r="R343" s="53"/>
      <c r="S343" s="71"/>
      <c r="T343" s="54"/>
      <c r="U343" s="54"/>
    </row>
    <row r="344" spans="1:21" x14ac:dyDescent="0.25">
      <c r="A344" s="47">
        <f t="shared" si="7"/>
        <v>333</v>
      </c>
      <c r="B344" s="48"/>
      <c r="C344" s="5"/>
      <c r="D344" s="5"/>
      <c r="E344" s="6"/>
      <c r="F344" s="6"/>
      <c r="G344" s="6"/>
      <c r="H344" s="50"/>
      <c r="I344" s="48"/>
      <c r="J344" s="48"/>
      <c r="K344" s="48"/>
      <c r="L344" s="48"/>
      <c r="M344" s="48"/>
      <c r="N344" s="48"/>
      <c r="O344" s="67"/>
      <c r="P344" s="52"/>
      <c r="Q344" s="52"/>
      <c r="R344" s="53"/>
      <c r="S344" s="71"/>
      <c r="T344" s="54"/>
      <c r="U344" s="54"/>
    </row>
    <row r="345" spans="1:21" x14ac:dyDescent="0.25">
      <c r="A345" s="47">
        <f t="shared" si="7"/>
        <v>334</v>
      </c>
      <c r="B345" s="48"/>
      <c r="C345" s="5"/>
      <c r="D345" s="5"/>
      <c r="E345" s="6"/>
      <c r="F345" s="6"/>
      <c r="G345" s="6"/>
      <c r="H345" s="50"/>
      <c r="I345" s="48"/>
      <c r="J345" s="48"/>
      <c r="K345" s="48"/>
      <c r="L345" s="48"/>
      <c r="M345" s="48"/>
      <c r="N345" s="48"/>
      <c r="O345" s="67"/>
      <c r="P345" s="52"/>
      <c r="Q345" s="52"/>
      <c r="R345" s="53"/>
      <c r="S345" s="71"/>
      <c r="T345" s="54"/>
      <c r="U345" s="54"/>
    </row>
    <row r="346" spans="1:21" x14ac:dyDescent="0.25">
      <c r="A346" s="47">
        <f t="shared" si="7"/>
        <v>335</v>
      </c>
      <c r="B346" s="48"/>
      <c r="C346" s="5"/>
      <c r="D346" s="5"/>
      <c r="E346" s="6"/>
      <c r="F346" s="6"/>
      <c r="G346" s="6"/>
      <c r="H346" s="50"/>
      <c r="I346" s="48"/>
      <c r="J346" s="48"/>
      <c r="K346" s="48"/>
      <c r="L346" s="48"/>
      <c r="M346" s="48"/>
      <c r="N346" s="48"/>
      <c r="O346" s="67"/>
      <c r="P346" s="52"/>
      <c r="Q346" s="52"/>
      <c r="R346" s="53"/>
      <c r="S346" s="71"/>
      <c r="T346" s="54"/>
      <c r="U346" s="54"/>
    </row>
    <row r="347" spans="1:21" x14ac:dyDescent="0.25">
      <c r="A347" s="47">
        <f t="shared" si="7"/>
        <v>336</v>
      </c>
      <c r="B347" s="48"/>
      <c r="C347" s="5"/>
      <c r="D347" s="5"/>
      <c r="E347" s="6"/>
      <c r="F347" s="6"/>
      <c r="G347" s="6"/>
      <c r="H347" s="50"/>
      <c r="I347" s="48"/>
      <c r="J347" s="48"/>
      <c r="K347" s="48"/>
      <c r="L347" s="48"/>
      <c r="M347" s="48"/>
      <c r="N347" s="48"/>
      <c r="O347" s="67"/>
      <c r="P347" s="52"/>
      <c r="Q347" s="52"/>
      <c r="R347" s="53"/>
      <c r="S347" s="71"/>
      <c r="T347" s="54"/>
      <c r="U347" s="54"/>
    </row>
    <row r="348" spans="1:21" x14ac:dyDescent="0.25">
      <c r="A348" s="47">
        <f t="shared" si="7"/>
        <v>337</v>
      </c>
      <c r="B348" s="48"/>
      <c r="C348" s="5"/>
      <c r="D348" s="5"/>
      <c r="E348" s="6"/>
      <c r="F348" s="6"/>
      <c r="G348" s="6"/>
      <c r="H348" s="50"/>
      <c r="I348" s="48"/>
      <c r="J348" s="48"/>
      <c r="K348" s="48"/>
      <c r="L348" s="48"/>
      <c r="M348" s="48"/>
      <c r="N348" s="48"/>
      <c r="O348" s="67"/>
      <c r="P348" s="52"/>
      <c r="Q348" s="52"/>
      <c r="R348" s="53"/>
      <c r="S348" s="71"/>
      <c r="T348" s="54"/>
      <c r="U348" s="54"/>
    </row>
    <row r="349" spans="1:21" x14ac:dyDescent="0.25">
      <c r="A349" s="47">
        <f t="shared" si="7"/>
        <v>338</v>
      </c>
      <c r="B349" s="48"/>
      <c r="C349" s="5"/>
      <c r="D349" s="5"/>
      <c r="E349" s="6"/>
      <c r="F349" s="6"/>
      <c r="G349" s="6"/>
      <c r="H349" s="50"/>
      <c r="I349" s="48"/>
      <c r="J349" s="48"/>
      <c r="K349" s="48"/>
      <c r="L349" s="48"/>
      <c r="M349" s="48"/>
      <c r="N349" s="48"/>
      <c r="O349" s="67"/>
      <c r="P349" s="52"/>
      <c r="Q349" s="52"/>
      <c r="R349" s="53"/>
      <c r="S349" s="71"/>
      <c r="T349" s="54"/>
      <c r="U349" s="54"/>
    </row>
    <row r="350" spans="1:21" x14ac:dyDescent="0.25">
      <c r="A350" s="47">
        <f t="shared" si="7"/>
        <v>339</v>
      </c>
      <c r="B350" s="48"/>
      <c r="C350" s="5"/>
      <c r="D350" s="5"/>
      <c r="E350" s="6"/>
      <c r="F350" s="6"/>
      <c r="G350" s="6"/>
      <c r="H350" s="50"/>
      <c r="I350" s="48"/>
      <c r="J350" s="48"/>
      <c r="K350" s="48"/>
      <c r="L350" s="48"/>
      <c r="M350" s="48"/>
      <c r="N350" s="48"/>
      <c r="O350" s="67"/>
      <c r="P350" s="52"/>
      <c r="Q350" s="52"/>
      <c r="R350" s="53"/>
      <c r="S350" s="71"/>
      <c r="T350" s="54"/>
      <c r="U350" s="54"/>
    </row>
    <row r="351" spans="1:21" x14ac:dyDescent="0.25">
      <c r="A351" s="47">
        <f t="shared" si="7"/>
        <v>340</v>
      </c>
      <c r="B351" s="48"/>
      <c r="C351" s="5"/>
      <c r="D351" s="5"/>
      <c r="E351" s="6"/>
      <c r="F351" s="6"/>
      <c r="G351" s="6"/>
      <c r="H351" s="50"/>
      <c r="I351" s="48"/>
      <c r="J351" s="48"/>
      <c r="K351" s="48"/>
      <c r="L351" s="48"/>
      <c r="M351" s="48"/>
      <c r="N351" s="48"/>
      <c r="O351" s="67"/>
      <c r="P351" s="52"/>
      <c r="Q351" s="52"/>
      <c r="R351" s="53"/>
      <c r="S351" s="71"/>
      <c r="T351" s="54"/>
      <c r="U351" s="54"/>
    </row>
    <row r="352" spans="1:21" x14ac:dyDescent="0.25">
      <c r="A352" s="47">
        <f t="shared" si="7"/>
        <v>341</v>
      </c>
      <c r="B352" s="48"/>
      <c r="C352" s="5"/>
      <c r="D352" s="5"/>
      <c r="E352" s="6"/>
      <c r="F352" s="6"/>
      <c r="G352" s="6"/>
      <c r="H352" s="50"/>
      <c r="I352" s="48"/>
      <c r="J352" s="48"/>
      <c r="K352" s="48"/>
      <c r="L352" s="48"/>
      <c r="M352" s="48"/>
      <c r="N352" s="48"/>
      <c r="O352" s="67"/>
      <c r="P352" s="52"/>
      <c r="Q352" s="52"/>
      <c r="R352" s="53"/>
      <c r="S352" s="71"/>
      <c r="T352" s="54"/>
      <c r="U352" s="54"/>
    </row>
    <row r="353" spans="1:21" x14ac:dyDescent="0.25">
      <c r="A353" s="47">
        <f t="shared" si="7"/>
        <v>342</v>
      </c>
      <c r="B353" s="48"/>
      <c r="C353" s="5"/>
      <c r="D353" s="5"/>
      <c r="E353" s="6"/>
      <c r="F353" s="6"/>
      <c r="G353" s="6"/>
      <c r="H353" s="50"/>
      <c r="I353" s="48"/>
      <c r="J353" s="48"/>
      <c r="K353" s="48"/>
      <c r="L353" s="48"/>
      <c r="M353" s="48"/>
      <c r="N353" s="48"/>
      <c r="O353" s="67"/>
      <c r="P353" s="52"/>
      <c r="Q353" s="52"/>
      <c r="R353" s="53"/>
      <c r="S353" s="71"/>
      <c r="T353" s="54"/>
      <c r="U353" s="54"/>
    </row>
    <row r="354" spans="1:21" x14ac:dyDescent="0.25">
      <c r="A354" s="47">
        <f t="shared" si="7"/>
        <v>343</v>
      </c>
      <c r="B354" s="48"/>
      <c r="C354" s="5"/>
      <c r="D354" s="5"/>
      <c r="E354" s="6"/>
      <c r="F354" s="6"/>
      <c r="G354" s="6"/>
      <c r="H354" s="50"/>
      <c r="I354" s="48"/>
      <c r="J354" s="48"/>
      <c r="K354" s="48"/>
      <c r="L354" s="48"/>
      <c r="M354" s="48"/>
      <c r="N354" s="48"/>
      <c r="O354" s="67"/>
      <c r="P354" s="52"/>
      <c r="Q354" s="52"/>
      <c r="R354" s="53"/>
      <c r="S354" s="71"/>
      <c r="T354" s="54"/>
      <c r="U354" s="54"/>
    </row>
    <row r="355" spans="1:21" x14ac:dyDescent="0.25">
      <c r="A355" s="47">
        <f t="shared" si="7"/>
        <v>344</v>
      </c>
      <c r="B355" s="48"/>
      <c r="C355" s="5"/>
      <c r="D355" s="5"/>
      <c r="E355" s="6"/>
      <c r="F355" s="6"/>
      <c r="G355" s="6"/>
      <c r="H355" s="50"/>
      <c r="I355" s="48"/>
      <c r="J355" s="48"/>
      <c r="K355" s="48"/>
      <c r="L355" s="48"/>
      <c r="M355" s="48"/>
      <c r="N355" s="48"/>
      <c r="O355" s="67"/>
      <c r="P355" s="52"/>
      <c r="Q355" s="52"/>
      <c r="R355" s="53"/>
      <c r="S355" s="71"/>
      <c r="T355" s="54"/>
      <c r="U355" s="54"/>
    </row>
    <row r="356" spans="1:21" x14ac:dyDescent="0.25">
      <c r="A356" s="47">
        <f t="shared" si="7"/>
        <v>345</v>
      </c>
      <c r="B356" s="48"/>
      <c r="C356" s="5"/>
      <c r="D356" s="5"/>
      <c r="E356" s="6"/>
      <c r="F356" s="6"/>
      <c r="G356" s="6"/>
      <c r="H356" s="50"/>
      <c r="I356" s="48"/>
      <c r="J356" s="48"/>
      <c r="K356" s="48"/>
      <c r="L356" s="48"/>
      <c r="M356" s="48"/>
      <c r="N356" s="48"/>
      <c r="O356" s="67"/>
      <c r="P356" s="52"/>
      <c r="Q356" s="52"/>
      <c r="R356" s="53"/>
      <c r="S356" s="71"/>
      <c r="T356" s="54"/>
      <c r="U356" s="54"/>
    </row>
    <row r="357" spans="1:21" x14ac:dyDescent="0.25">
      <c r="A357" s="47">
        <f t="shared" si="7"/>
        <v>346</v>
      </c>
      <c r="B357" s="48"/>
      <c r="C357" s="5"/>
      <c r="D357" s="5"/>
      <c r="E357" s="6"/>
      <c r="F357" s="6"/>
      <c r="G357" s="6"/>
      <c r="H357" s="50"/>
      <c r="I357" s="48"/>
      <c r="J357" s="48"/>
      <c r="K357" s="48"/>
      <c r="L357" s="48"/>
      <c r="M357" s="48"/>
      <c r="N357" s="48"/>
      <c r="O357" s="67"/>
      <c r="P357" s="52"/>
      <c r="Q357" s="52"/>
      <c r="R357" s="53"/>
      <c r="S357" s="71"/>
      <c r="T357" s="54"/>
      <c r="U357" s="54"/>
    </row>
    <row r="358" spans="1:21" x14ac:dyDescent="0.25">
      <c r="A358" s="47">
        <f t="shared" si="7"/>
        <v>347</v>
      </c>
      <c r="B358" s="48"/>
      <c r="C358" s="5"/>
      <c r="D358" s="5"/>
      <c r="E358" s="6"/>
      <c r="F358" s="6"/>
      <c r="G358" s="6"/>
      <c r="H358" s="50"/>
      <c r="I358" s="48"/>
      <c r="J358" s="48"/>
      <c r="K358" s="48"/>
      <c r="L358" s="48"/>
      <c r="M358" s="48"/>
      <c r="N358" s="48"/>
      <c r="O358" s="67"/>
      <c r="P358" s="52"/>
      <c r="Q358" s="52"/>
      <c r="R358" s="53"/>
      <c r="S358" s="71"/>
      <c r="T358" s="54"/>
      <c r="U358" s="54"/>
    </row>
    <row r="359" spans="1:21" x14ac:dyDescent="0.25">
      <c r="A359" s="47">
        <f t="shared" si="7"/>
        <v>348</v>
      </c>
      <c r="B359" s="48"/>
      <c r="C359" s="5"/>
      <c r="D359" s="5"/>
      <c r="E359" s="6"/>
      <c r="F359" s="6"/>
      <c r="G359" s="6"/>
      <c r="H359" s="50"/>
      <c r="I359" s="48"/>
      <c r="J359" s="48"/>
      <c r="K359" s="48"/>
      <c r="L359" s="48"/>
      <c r="M359" s="48"/>
      <c r="N359" s="48"/>
      <c r="O359" s="67"/>
      <c r="P359" s="52"/>
      <c r="Q359" s="52"/>
      <c r="R359" s="53"/>
      <c r="S359" s="71"/>
      <c r="T359" s="54"/>
      <c r="U359" s="54"/>
    </row>
    <row r="360" spans="1:21" x14ac:dyDescent="0.25">
      <c r="A360" s="47">
        <f t="shared" si="7"/>
        <v>349</v>
      </c>
      <c r="B360" s="48"/>
      <c r="C360" s="5"/>
      <c r="D360" s="5"/>
      <c r="E360" s="6"/>
      <c r="F360" s="6"/>
      <c r="G360" s="6"/>
      <c r="H360" s="50"/>
      <c r="I360" s="48"/>
      <c r="J360" s="48"/>
      <c r="K360" s="48"/>
      <c r="L360" s="48"/>
      <c r="M360" s="48"/>
      <c r="N360" s="48"/>
      <c r="O360" s="67"/>
      <c r="P360" s="52"/>
      <c r="Q360" s="52"/>
      <c r="R360" s="53"/>
      <c r="S360" s="71"/>
      <c r="T360" s="54"/>
      <c r="U360" s="54"/>
    </row>
    <row r="361" spans="1:21" x14ac:dyDescent="0.25">
      <c r="A361" s="47">
        <f t="shared" si="7"/>
        <v>350</v>
      </c>
      <c r="B361" s="48"/>
      <c r="C361" s="5"/>
      <c r="D361" s="5"/>
      <c r="E361" s="6"/>
      <c r="F361" s="6"/>
      <c r="G361" s="6"/>
      <c r="H361" s="50"/>
      <c r="I361" s="48"/>
      <c r="J361" s="48"/>
      <c r="K361" s="48"/>
      <c r="L361" s="48"/>
      <c r="M361" s="48"/>
      <c r="N361" s="48"/>
      <c r="O361" s="67"/>
      <c r="P361" s="52"/>
      <c r="Q361" s="52"/>
      <c r="R361" s="53"/>
      <c r="S361" s="71"/>
      <c r="T361" s="54"/>
      <c r="U361" s="54"/>
    </row>
    <row r="362" spans="1:21" x14ac:dyDescent="0.25">
      <c r="A362" s="47">
        <f t="shared" si="7"/>
        <v>351</v>
      </c>
      <c r="B362" s="48"/>
      <c r="C362" s="5"/>
      <c r="D362" s="5"/>
      <c r="E362" s="6"/>
      <c r="F362" s="6"/>
      <c r="G362" s="6"/>
      <c r="H362" s="50"/>
      <c r="I362" s="48"/>
      <c r="J362" s="48"/>
      <c r="K362" s="48"/>
      <c r="L362" s="48"/>
      <c r="M362" s="48"/>
      <c r="N362" s="48"/>
      <c r="O362" s="67"/>
      <c r="P362" s="52"/>
      <c r="Q362" s="52"/>
      <c r="R362" s="53"/>
      <c r="S362" s="71"/>
      <c r="T362" s="54"/>
      <c r="U362" s="54"/>
    </row>
    <row r="363" spans="1:21" x14ac:dyDescent="0.25">
      <c r="A363" s="47">
        <f t="shared" si="7"/>
        <v>352</v>
      </c>
      <c r="B363" s="48"/>
      <c r="C363" s="5"/>
      <c r="D363" s="5"/>
      <c r="E363" s="6"/>
      <c r="F363" s="6"/>
      <c r="G363" s="6"/>
      <c r="H363" s="50"/>
      <c r="I363" s="48"/>
      <c r="J363" s="48"/>
      <c r="K363" s="48"/>
      <c r="L363" s="48"/>
      <c r="M363" s="48"/>
      <c r="N363" s="48"/>
      <c r="O363" s="67"/>
      <c r="P363" s="52"/>
      <c r="Q363" s="52"/>
      <c r="R363" s="53"/>
      <c r="S363" s="71"/>
      <c r="T363" s="54"/>
      <c r="U363" s="54"/>
    </row>
    <row r="364" spans="1:21" x14ac:dyDescent="0.25">
      <c r="A364" s="47">
        <f t="shared" si="7"/>
        <v>353</v>
      </c>
      <c r="B364" s="48"/>
      <c r="C364" s="5"/>
      <c r="D364" s="5"/>
      <c r="E364" s="6"/>
      <c r="F364" s="6"/>
      <c r="G364" s="6"/>
      <c r="H364" s="50"/>
      <c r="I364" s="48"/>
      <c r="J364" s="48"/>
      <c r="K364" s="48"/>
      <c r="L364" s="48"/>
      <c r="M364" s="48"/>
      <c r="N364" s="48"/>
      <c r="O364" s="67"/>
      <c r="P364" s="52"/>
      <c r="Q364" s="52"/>
      <c r="R364" s="53"/>
      <c r="S364" s="71"/>
      <c r="T364" s="54"/>
      <c r="U364" s="54"/>
    </row>
    <row r="365" spans="1:21" x14ac:dyDescent="0.25">
      <c r="A365" s="47">
        <f t="shared" si="7"/>
        <v>354</v>
      </c>
      <c r="B365" s="48"/>
      <c r="C365" s="5"/>
      <c r="D365" s="5"/>
      <c r="E365" s="6"/>
      <c r="F365" s="6"/>
      <c r="G365" s="6"/>
      <c r="H365" s="50"/>
      <c r="I365" s="48"/>
      <c r="J365" s="48"/>
      <c r="K365" s="48"/>
      <c r="L365" s="48"/>
      <c r="M365" s="48"/>
      <c r="N365" s="48"/>
      <c r="O365" s="67"/>
      <c r="P365" s="52"/>
      <c r="Q365" s="52"/>
      <c r="R365" s="53"/>
      <c r="S365" s="71"/>
      <c r="T365" s="54"/>
      <c r="U365" s="54"/>
    </row>
    <row r="366" spans="1:21" x14ac:dyDescent="0.25">
      <c r="A366" s="47">
        <f t="shared" si="7"/>
        <v>355</v>
      </c>
      <c r="B366" s="48"/>
      <c r="C366" s="5"/>
      <c r="D366" s="5"/>
      <c r="E366" s="6"/>
      <c r="F366" s="6"/>
      <c r="G366" s="6"/>
      <c r="H366" s="50"/>
      <c r="I366" s="48"/>
      <c r="J366" s="48"/>
      <c r="K366" s="48"/>
      <c r="L366" s="48"/>
      <c r="M366" s="48"/>
      <c r="N366" s="48"/>
      <c r="O366" s="67"/>
      <c r="P366" s="52"/>
      <c r="Q366" s="52"/>
      <c r="R366" s="53"/>
      <c r="S366" s="71"/>
      <c r="T366" s="54"/>
      <c r="U366" s="54"/>
    </row>
    <row r="367" spans="1:21" x14ac:dyDescent="0.25">
      <c r="A367" s="47">
        <f t="shared" si="7"/>
        <v>356</v>
      </c>
      <c r="B367" s="48"/>
      <c r="C367" s="5"/>
      <c r="D367" s="5"/>
      <c r="E367" s="6"/>
      <c r="F367" s="6"/>
      <c r="G367" s="6"/>
      <c r="H367" s="50"/>
      <c r="I367" s="48"/>
      <c r="J367" s="48"/>
      <c r="K367" s="48"/>
      <c r="L367" s="48"/>
      <c r="M367" s="48"/>
      <c r="N367" s="48"/>
      <c r="O367" s="67"/>
      <c r="P367" s="52"/>
      <c r="Q367" s="52"/>
      <c r="R367" s="53"/>
      <c r="S367" s="71"/>
      <c r="T367" s="54"/>
      <c r="U367" s="54"/>
    </row>
    <row r="368" spans="1:21" x14ac:dyDescent="0.25">
      <c r="A368" s="47">
        <f t="shared" si="7"/>
        <v>357</v>
      </c>
      <c r="B368" s="48"/>
      <c r="C368" s="5"/>
      <c r="D368" s="5"/>
      <c r="E368" s="6"/>
      <c r="F368" s="6"/>
      <c r="G368" s="6"/>
      <c r="H368" s="50"/>
      <c r="I368" s="48"/>
      <c r="J368" s="48"/>
      <c r="K368" s="48"/>
      <c r="L368" s="48"/>
      <c r="M368" s="48"/>
      <c r="N368" s="48"/>
      <c r="O368" s="67"/>
      <c r="P368" s="52"/>
      <c r="Q368" s="52"/>
      <c r="R368" s="53"/>
      <c r="S368" s="71"/>
      <c r="T368" s="54"/>
      <c r="U368" s="54"/>
    </row>
    <row r="369" spans="1:21" x14ac:dyDescent="0.25">
      <c r="A369" s="47">
        <f t="shared" si="7"/>
        <v>358</v>
      </c>
      <c r="B369" s="48"/>
      <c r="C369" s="5"/>
      <c r="D369" s="5"/>
      <c r="E369" s="6"/>
      <c r="F369" s="6"/>
      <c r="G369" s="6"/>
      <c r="H369" s="50"/>
      <c r="I369" s="48"/>
      <c r="J369" s="48"/>
      <c r="K369" s="48"/>
      <c r="L369" s="48"/>
      <c r="M369" s="48"/>
      <c r="N369" s="48"/>
      <c r="O369" s="67"/>
      <c r="P369" s="52"/>
      <c r="Q369" s="52"/>
      <c r="R369" s="53"/>
      <c r="S369" s="71"/>
      <c r="T369" s="54"/>
      <c r="U369" s="54"/>
    </row>
    <row r="370" spans="1:21" x14ac:dyDescent="0.25">
      <c r="A370" s="47">
        <f t="shared" si="7"/>
        <v>359</v>
      </c>
      <c r="B370" s="48"/>
      <c r="C370" s="5"/>
      <c r="D370" s="5"/>
      <c r="E370" s="6"/>
      <c r="F370" s="6"/>
      <c r="G370" s="6"/>
      <c r="H370" s="50"/>
      <c r="I370" s="48"/>
      <c r="J370" s="48"/>
      <c r="K370" s="48"/>
      <c r="L370" s="48"/>
      <c r="M370" s="48"/>
      <c r="N370" s="48"/>
      <c r="O370" s="67"/>
      <c r="P370" s="52"/>
      <c r="Q370" s="52"/>
      <c r="R370" s="53"/>
      <c r="S370" s="71"/>
      <c r="T370" s="54"/>
      <c r="U370" s="54"/>
    </row>
    <row r="371" spans="1:21" x14ac:dyDescent="0.25">
      <c r="A371" s="47">
        <f t="shared" si="7"/>
        <v>360</v>
      </c>
      <c r="B371" s="48"/>
      <c r="C371" s="5"/>
      <c r="D371" s="5"/>
      <c r="E371" s="6"/>
      <c r="F371" s="6"/>
      <c r="G371" s="6"/>
      <c r="H371" s="50"/>
      <c r="I371" s="48"/>
      <c r="J371" s="48"/>
      <c r="K371" s="48"/>
      <c r="L371" s="48"/>
      <c r="M371" s="48"/>
      <c r="N371" s="48"/>
      <c r="O371" s="67"/>
      <c r="P371" s="52"/>
      <c r="Q371" s="52"/>
      <c r="R371" s="53"/>
      <c r="S371" s="71"/>
      <c r="T371" s="54"/>
      <c r="U371" s="54"/>
    </row>
    <row r="372" spans="1:21" x14ac:dyDescent="0.25">
      <c r="A372" s="47">
        <f t="shared" si="7"/>
        <v>361</v>
      </c>
      <c r="B372" s="48"/>
      <c r="C372" s="5"/>
      <c r="D372" s="5"/>
      <c r="E372" s="6"/>
      <c r="F372" s="6"/>
      <c r="G372" s="6"/>
      <c r="H372" s="50"/>
      <c r="I372" s="48"/>
      <c r="J372" s="48"/>
      <c r="K372" s="48"/>
      <c r="L372" s="48"/>
      <c r="M372" s="48"/>
      <c r="N372" s="48"/>
      <c r="O372" s="67"/>
      <c r="P372" s="52"/>
      <c r="Q372" s="52"/>
      <c r="R372" s="53"/>
      <c r="S372" s="71"/>
      <c r="T372" s="54"/>
      <c r="U372" s="54"/>
    </row>
    <row r="373" spans="1:21" x14ac:dyDescent="0.25">
      <c r="A373" s="47">
        <f t="shared" si="7"/>
        <v>362</v>
      </c>
      <c r="B373" s="48"/>
      <c r="C373" s="5"/>
      <c r="D373" s="5"/>
      <c r="E373" s="6"/>
      <c r="F373" s="6"/>
      <c r="G373" s="6"/>
      <c r="H373" s="50"/>
      <c r="I373" s="48"/>
      <c r="J373" s="48"/>
      <c r="K373" s="48"/>
      <c r="L373" s="48"/>
      <c r="M373" s="48"/>
      <c r="N373" s="48"/>
      <c r="O373" s="67"/>
      <c r="P373" s="52"/>
      <c r="Q373" s="52"/>
      <c r="R373" s="53"/>
      <c r="S373" s="71"/>
      <c r="T373" s="54"/>
      <c r="U373" s="54"/>
    </row>
    <row r="374" spans="1:21" x14ac:dyDescent="0.25">
      <c r="A374" s="47">
        <f t="shared" si="7"/>
        <v>363</v>
      </c>
      <c r="B374" s="48"/>
      <c r="C374" s="5"/>
      <c r="D374" s="5"/>
      <c r="E374" s="6"/>
      <c r="F374" s="6"/>
      <c r="G374" s="6"/>
      <c r="H374" s="50"/>
      <c r="I374" s="48"/>
      <c r="J374" s="48"/>
      <c r="K374" s="48"/>
      <c r="L374" s="48"/>
      <c r="M374" s="48"/>
      <c r="N374" s="48"/>
      <c r="O374" s="67"/>
      <c r="P374" s="52"/>
      <c r="Q374" s="52"/>
      <c r="R374" s="53"/>
      <c r="S374" s="71"/>
      <c r="T374" s="54"/>
      <c r="U374" s="54"/>
    </row>
    <row r="375" spans="1:21" x14ac:dyDescent="0.25">
      <c r="A375" s="47">
        <f t="shared" si="7"/>
        <v>364</v>
      </c>
      <c r="B375" s="48"/>
      <c r="C375" s="5"/>
      <c r="D375" s="5"/>
      <c r="E375" s="6"/>
      <c r="F375" s="6"/>
      <c r="G375" s="6"/>
      <c r="H375" s="50"/>
      <c r="I375" s="48"/>
      <c r="J375" s="48"/>
      <c r="K375" s="48"/>
      <c r="L375" s="48"/>
      <c r="M375" s="48"/>
      <c r="N375" s="48"/>
      <c r="O375" s="67"/>
      <c r="P375" s="52"/>
      <c r="Q375" s="52"/>
      <c r="R375" s="53"/>
      <c r="S375" s="71"/>
      <c r="T375" s="54"/>
      <c r="U375" s="54"/>
    </row>
    <row r="376" spans="1:21" x14ac:dyDescent="0.25">
      <c r="A376" s="47">
        <f t="shared" si="7"/>
        <v>365</v>
      </c>
      <c r="B376" s="48"/>
      <c r="C376" s="5"/>
      <c r="D376" s="5"/>
      <c r="E376" s="6"/>
      <c r="F376" s="6"/>
      <c r="G376" s="6"/>
      <c r="H376" s="50"/>
      <c r="I376" s="48"/>
      <c r="J376" s="48"/>
      <c r="K376" s="48"/>
      <c r="L376" s="48"/>
      <c r="M376" s="48"/>
      <c r="N376" s="48"/>
      <c r="O376" s="67"/>
      <c r="P376" s="52"/>
      <c r="Q376" s="52"/>
      <c r="R376" s="53"/>
      <c r="S376" s="71"/>
      <c r="T376" s="54"/>
      <c r="U376" s="54"/>
    </row>
    <row r="377" spans="1:21" x14ac:dyDescent="0.25">
      <c r="A377" s="47">
        <f t="shared" si="7"/>
        <v>366</v>
      </c>
      <c r="B377" s="48"/>
      <c r="C377" s="5"/>
      <c r="D377" s="5"/>
      <c r="E377" s="6"/>
      <c r="F377" s="6"/>
      <c r="G377" s="6"/>
      <c r="H377" s="50"/>
      <c r="I377" s="48"/>
      <c r="J377" s="48"/>
      <c r="K377" s="48"/>
      <c r="L377" s="48"/>
      <c r="M377" s="48"/>
      <c r="N377" s="48"/>
      <c r="O377" s="67"/>
      <c r="P377" s="52"/>
      <c r="Q377" s="52"/>
      <c r="R377" s="53"/>
      <c r="S377" s="71"/>
      <c r="T377" s="54"/>
      <c r="U377" s="54"/>
    </row>
    <row r="378" spans="1:21" x14ac:dyDescent="0.25">
      <c r="A378" s="47">
        <f t="shared" si="7"/>
        <v>367</v>
      </c>
      <c r="B378" s="48"/>
      <c r="C378" s="5"/>
      <c r="D378" s="5"/>
      <c r="E378" s="6"/>
      <c r="F378" s="6"/>
      <c r="G378" s="6"/>
      <c r="H378" s="50"/>
      <c r="I378" s="48"/>
      <c r="J378" s="48"/>
      <c r="K378" s="48"/>
      <c r="L378" s="48"/>
      <c r="M378" s="48"/>
      <c r="N378" s="48"/>
      <c r="O378" s="67"/>
      <c r="P378" s="52"/>
      <c r="Q378" s="52"/>
      <c r="R378" s="53"/>
      <c r="S378" s="71"/>
      <c r="T378" s="54"/>
      <c r="U378" s="54"/>
    </row>
    <row r="379" spans="1:21" x14ac:dyDescent="0.25">
      <c r="A379" s="47">
        <f t="shared" si="7"/>
        <v>368</v>
      </c>
      <c r="B379" s="48"/>
      <c r="C379" s="5"/>
      <c r="D379" s="5"/>
      <c r="E379" s="6"/>
      <c r="F379" s="6"/>
      <c r="G379" s="6"/>
      <c r="H379" s="50"/>
      <c r="I379" s="48"/>
      <c r="J379" s="48"/>
      <c r="K379" s="48"/>
      <c r="L379" s="48"/>
      <c r="M379" s="48"/>
      <c r="N379" s="48"/>
      <c r="O379" s="67"/>
      <c r="P379" s="52"/>
      <c r="Q379" s="52"/>
      <c r="R379" s="53"/>
      <c r="S379" s="71"/>
      <c r="T379" s="54"/>
      <c r="U379" s="54"/>
    </row>
    <row r="380" spans="1:21" x14ac:dyDescent="0.25">
      <c r="A380" s="47">
        <f t="shared" si="7"/>
        <v>369</v>
      </c>
      <c r="B380" s="48"/>
      <c r="C380" s="5"/>
      <c r="D380" s="5"/>
      <c r="E380" s="6"/>
      <c r="F380" s="6"/>
      <c r="G380" s="6"/>
      <c r="H380" s="50"/>
      <c r="I380" s="48"/>
      <c r="J380" s="48"/>
      <c r="K380" s="48"/>
      <c r="L380" s="48"/>
      <c r="M380" s="48"/>
      <c r="N380" s="48"/>
      <c r="O380" s="67"/>
      <c r="P380" s="52"/>
      <c r="Q380" s="52"/>
      <c r="R380" s="53"/>
      <c r="S380" s="71"/>
      <c r="T380" s="54"/>
      <c r="U380" s="54"/>
    </row>
    <row r="381" spans="1:21" x14ac:dyDescent="0.25">
      <c r="A381" s="47">
        <f t="shared" si="7"/>
        <v>370</v>
      </c>
      <c r="B381" s="48"/>
      <c r="C381" s="5"/>
      <c r="D381" s="5"/>
      <c r="E381" s="6"/>
      <c r="F381" s="6"/>
      <c r="G381" s="6"/>
      <c r="H381" s="50"/>
      <c r="I381" s="48"/>
      <c r="J381" s="48"/>
      <c r="K381" s="48"/>
      <c r="L381" s="48"/>
      <c r="M381" s="48"/>
      <c r="N381" s="48"/>
      <c r="O381" s="67"/>
      <c r="P381" s="52"/>
      <c r="Q381" s="52"/>
      <c r="R381" s="53"/>
      <c r="S381" s="71"/>
      <c r="T381" s="54"/>
      <c r="U381" s="54"/>
    </row>
    <row r="382" spans="1:21" x14ac:dyDescent="0.25">
      <c r="A382" s="47">
        <f t="shared" si="7"/>
        <v>371</v>
      </c>
      <c r="B382" s="48"/>
      <c r="C382" s="5"/>
      <c r="D382" s="5"/>
      <c r="E382" s="6"/>
      <c r="F382" s="6"/>
      <c r="G382" s="6"/>
      <c r="H382" s="50"/>
      <c r="I382" s="48"/>
      <c r="J382" s="48"/>
      <c r="K382" s="48"/>
      <c r="L382" s="48"/>
      <c r="M382" s="48"/>
      <c r="N382" s="48"/>
      <c r="O382" s="67"/>
      <c r="P382" s="52"/>
      <c r="Q382" s="52"/>
      <c r="R382" s="53"/>
      <c r="S382" s="71"/>
      <c r="T382" s="54"/>
      <c r="U382" s="54"/>
    </row>
    <row r="383" spans="1:21" x14ac:dyDescent="0.25">
      <c r="A383" s="47">
        <f t="shared" si="7"/>
        <v>372</v>
      </c>
      <c r="B383" s="48"/>
      <c r="C383" s="5"/>
      <c r="D383" s="5"/>
      <c r="E383" s="6"/>
      <c r="F383" s="6"/>
      <c r="G383" s="6"/>
      <c r="H383" s="50"/>
      <c r="I383" s="48"/>
      <c r="J383" s="48"/>
      <c r="K383" s="48"/>
      <c r="L383" s="48"/>
      <c r="M383" s="48"/>
      <c r="N383" s="48"/>
      <c r="O383" s="67"/>
      <c r="P383" s="52"/>
      <c r="Q383" s="52"/>
      <c r="R383" s="53"/>
      <c r="S383" s="71"/>
      <c r="T383" s="54"/>
      <c r="U383" s="54"/>
    </row>
    <row r="384" spans="1:21" x14ac:dyDescent="0.25">
      <c r="A384" s="47">
        <f t="shared" si="7"/>
        <v>373</v>
      </c>
      <c r="B384" s="48"/>
      <c r="C384" s="5"/>
      <c r="D384" s="5"/>
      <c r="E384" s="6"/>
      <c r="F384" s="6"/>
      <c r="G384" s="6"/>
      <c r="H384" s="50"/>
      <c r="I384" s="48"/>
      <c r="J384" s="48"/>
      <c r="K384" s="48"/>
      <c r="L384" s="48"/>
      <c r="M384" s="48"/>
      <c r="N384" s="48"/>
      <c r="O384" s="67"/>
      <c r="P384" s="52"/>
      <c r="Q384" s="52"/>
      <c r="R384" s="53"/>
      <c r="S384" s="71"/>
      <c r="T384" s="54"/>
      <c r="U384" s="54"/>
    </row>
    <row r="385" spans="1:21" x14ac:dyDescent="0.25">
      <c r="A385" s="47">
        <f t="shared" si="7"/>
        <v>374</v>
      </c>
      <c r="B385" s="48"/>
      <c r="C385" s="5"/>
      <c r="D385" s="5"/>
      <c r="E385" s="6"/>
      <c r="F385" s="6"/>
      <c r="G385" s="6"/>
      <c r="H385" s="50"/>
      <c r="I385" s="48"/>
      <c r="J385" s="48"/>
      <c r="K385" s="48"/>
      <c r="L385" s="48"/>
      <c r="M385" s="48"/>
      <c r="N385" s="48"/>
      <c r="O385" s="67"/>
      <c r="P385" s="52"/>
      <c r="Q385" s="52"/>
      <c r="R385" s="53"/>
      <c r="S385" s="71"/>
      <c r="T385" s="54"/>
      <c r="U385" s="54"/>
    </row>
    <row r="386" spans="1:21" x14ac:dyDescent="0.25">
      <c r="A386" s="47">
        <f t="shared" si="7"/>
        <v>375</v>
      </c>
      <c r="B386" s="48"/>
      <c r="C386" s="5"/>
      <c r="D386" s="5"/>
      <c r="E386" s="6"/>
      <c r="F386" s="6"/>
      <c r="G386" s="6"/>
      <c r="H386" s="50"/>
      <c r="I386" s="48"/>
      <c r="J386" s="48"/>
      <c r="K386" s="48"/>
      <c r="L386" s="48"/>
      <c r="M386" s="48"/>
      <c r="N386" s="48"/>
      <c r="O386" s="67"/>
      <c r="P386" s="52"/>
      <c r="Q386" s="52"/>
      <c r="R386" s="53"/>
      <c r="S386" s="71"/>
      <c r="T386" s="54"/>
      <c r="U386" s="54"/>
    </row>
    <row r="387" spans="1:21" x14ac:dyDescent="0.25">
      <c r="A387" s="47">
        <f t="shared" si="7"/>
        <v>376</v>
      </c>
      <c r="B387" s="48"/>
      <c r="C387" s="5"/>
      <c r="D387" s="5"/>
      <c r="E387" s="6"/>
      <c r="F387" s="6"/>
      <c r="G387" s="6"/>
      <c r="H387" s="50"/>
      <c r="I387" s="48"/>
      <c r="J387" s="48"/>
      <c r="K387" s="48"/>
      <c r="L387" s="48"/>
      <c r="M387" s="48"/>
      <c r="N387" s="48"/>
      <c r="O387" s="67"/>
      <c r="P387" s="52"/>
      <c r="Q387" s="52"/>
      <c r="R387" s="53"/>
      <c r="S387" s="71"/>
      <c r="T387" s="54"/>
      <c r="U387" s="54"/>
    </row>
    <row r="388" spans="1:21" x14ac:dyDescent="0.25">
      <c r="A388" s="47">
        <f t="shared" si="7"/>
        <v>377</v>
      </c>
      <c r="B388" s="48"/>
      <c r="C388" s="5"/>
      <c r="D388" s="5"/>
      <c r="E388" s="6"/>
      <c r="F388" s="6"/>
      <c r="G388" s="6"/>
      <c r="H388" s="50"/>
      <c r="I388" s="48"/>
      <c r="J388" s="48"/>
      <c r="K388" s="48"/>
      <c r="L388" s="48"/>
      <c r="M388" s="48"/>
      <c r="N388" s="48"/>
      <c r="O388" s="67"/>
      <c r="P388" s="52"/>
      <c r="Q388" s="52"/>
      <c r="R388" s="53"/>
      <c r="S388" s="71"/>
      <c r="T388" s="54"/>
      <c r="U388" s="54"/>
    </row>
    <row r="389" spans="1:21" x14ac:dyDescent="0.25">
      <c r="A389" s="47">
        <f t="shared" si="7"/>
        <v>378</v>
      </c>
      <c r="B389" s="48"/>
      <c r="C389" s="5"/>
      <c r="D389" s="5"/>
      <c r="E389" s="6"/>
      <c r="F389" s="6"/>
      <c r="G389" s="6"/>
      <c r="H389" s="50"/>
      <c r="I389" s="48"/>
      <c r="J389" s="48"/>
      <c r="K389" s="48"/>
      <c r="L389" s="48"/>
      <c r="M389" s="48"/>
      <c r="N389" s="48"/>
      <c r="O389" s="67"/>
      <c r="P389" s="52"/>
      <c r="Q389" s="52"/>
      <c r="R389" s="53"/>
      <c r="S389" s="71"/>
      <c r="T389" s="54"/>
      <c r="U389" s="54"/>
    </row>
    <row r="390" spans="1:21" x14ac:dyDescent="0.25">
      <c r="A390" s="47">
        <f t="shared" si="7"/>
        <v>379</v>
      </c>
      <c r="B390" s="48"/>
      <c r="C390" s="5"/>
      <c r="D390" s="5"/>
      <c r="E390" s="6"/>
      <c r="F390" s="6"/>
      <c r="G390" s="6"/>
      <c r="H390" s="50"/>
      <c r="I390" s="48"/>
      <c r="J390" s="48"/>
      <c r="K390" s="48"/>
      <c r="L390" s="48"/>
      <c r="M390" s="48"/>
      <c r="N390" s="48"/>
      <c r="O390" s="67"/>
      <c r="P390" s="52"/>
      <c r="Q390" s="52"/>
      <c r="R390" s="53"/>
      <c r="S390" s="71"/>
      <c r="T390" s="54"/>
      <c r="U390" s="54"/>
    </row>
    <row r="391" spans="1:21" x14ac:dyDescent="0.25">
      <c r="A391" s="47">
        <f t="shared" si="7"/>
        <v>380</v>
      </c>
      <c r="B391" s="48"/>
      <c r="C391" s="5"/>
      <c r="D391" s="5"/>
      <c r="E391" s="6"/>
      <c r="F391" s="6"/>
      <c r="G391" s="6"/>
      <c r="H391" s="50"/>
      <c r="I391" s="48"/>
      <c r="J391" s="48"/>
      <c r="K391" s="48"/>
      <c r="L391" s="48"/>
      <c r="M391" s="48"/>
      <c r="N391" s="48"/>
      <c r="O391" s="67"/>
      <c r="P391" s="52"/>
      <c r="Q391" s="52"/>
      <c r="R391" s="53"/>
      <c r="S391" s="71"/>
      <c r="T391" s="54"/>
      <c r="U391" s="54"/>
    </row>
    <row r="392" spans="1:21" x14ac:dyDescent="0.25">
      <c r="A392" s="47">
        <f t="shared" si="7"/>
        <v>381</v>
      </c>
      <c r="B392" s="48"/>
      <c r="C392" s="5"/>
      <c r="D392" s="5"/>
      <c r="E392" s="6"/>
      <c r="F392" s="6"/>
      <c r="G392" s="6"/>
      <c r="H392" s="50"/>
      <c r="I392" s="48"/>
      <c r="J392" s="48"/>
      <c r="K392" s="48"/>
      <c r="L392" s="48"/>
      <c r="M392" s="48"/>
      <c r="N392" s="48"/>
      <c r="O392" s="67"/>
      <c r="P392" s="52"/>
      <c r="Q392" s="52"/>
      <c r="R392" s="53"/>
      <c r="S392" s="71"/>
      <c r="T392" s="54"/>
      <c r="U392" s="54"/>
    </row>
    <row r="393" spans="1:21" x14ac:dyDescent="0.25">
      <c r="A393" s="47">
        <f t="shared" si="7"/>
        <v>382</v>
      </c>
      <c r="B393" s="48"/>
      <c r="C393" s="5"/>
      <c r="D393" s="5"/>
      <c r="E393" s="6"/>
      <c r="F393" s="6"/>
      <c r="G393" s="6"/>
      <c r="H393" s="50"/>
      <c r="I393" s="48"/>
      <c r="J393" s="48"/>
      <c r="K393" s="48"/>
      <c r="L393" s="48"/>
      <c r="M393" s="48"/>
      <c r="N393" s="48"/>
      <c r="O393" s="67"/>
      <c r="P393" s="52"/>
      <c r="Q393" s="52"/>
      <c r="R393" s="53"/>
      <c r="S393" s="71"/>
      <c r="T393" s="54"/>
      <c r="U393" s="54"/>
    </row>
    <row r="394" spans="1:21" x14ac:dyDescent="0.25">
      <c r="A394" s="47">
        <f t="shared" si="7"/>
        <v>383</v>
      </c>
      <c r="B394" s="48"/>
      <c r="C394" s="5"/>
      <c r="D394" s="5"/>
      <c r="E394" s="6"/>
      <c r="F394" s="6"/>
      <c r="G394" s="6"/>
      <c r="H394" s="50"/>
      <c r="I394" s="48"/>
      <c r="J394" s="48"/>
      <c r="K394" s="48"/>
      <c r="L394" s="48"/>
      <c r="M394" s="48"/>
      <c r="N394" s="48"/>
      <c r="O394" s="67"/>
      <c r="P394" s="52"/>
      <c r="Q394" s="52"/>
      <c r="R394" s="53"/>
      <c r="S394" s="71"/>
      <c r="T394" s="54"/>
      <c r="U394" s="54"/>
    </row>
    <row r="395" spans="1:21" x14ac:dyDescent="0.25">
      <c r="A395" s="47">
        <f t="shared" si="7"/>
        <v>384</v>
      </c>
      <c r="B395" s="48"/>
      <c r="C395" s="5"/>
      <c r="D395" s="5"/>
      <c r="E395" s="6"/>
      <c r="F395" s="6"/>
      <c r="G395" s="6"/>
      <c r="H395" s="50"/>
      <c r="I395" s="48"/>
      <c r="J395" s="48"/>
      <c r="K395" s="48"/>
      <c r="L395" s="48"/>
      <c r="M395" s="48"/>
      <c r="N395" s="48"/>
      <c r="O395" s="67"/>
      <c r="P395" s="52"/>
      <c r="Q395" s="52"/>
      <c r="R395" s="53"/>
      <c r="S395" s="71"/>
      <c r="T395" s="54"/>
      <c r="U395" s="54"/>
    </row>
    <row r="396" spans="1:21" x14ac:dyDescent="0.25">
      <c r="A396" s="47">
        <f t="shared" ref="A396:A411" si="8">ROW() - ROW(FRegEntriesEnteredHdr)</f>
        <v>385</v>
      </c>
      <c r="B396" s="48"/>
      <c r="C396" s="5"/>
      <c r="D396" s="5"/>
      <c r="E396" s="6"/>
      <c r="F396" s="6"/>
      <c r="G396" s="6"/>
      <c r="H396" s="50"/>
      <c r="I396" s="48"/>
      <c r="J396" s="48"/>
      <c r="K396" s="48"/>
      <c r="L396" s="48"/>
      <c r="M396" s="48"/>
      <c r="N396" s="48"/>
      <c r="O396" s="67"/>
      <c r="P396" s="52"/>
      <c r="Q396" s="52"/>
      <c r="R396" s="53"/>
      <c r="S396" s="71"/>
      <c r="T396" s="54"/>
      <c r="U396" s="54"/>
    </row>
    <row r="397" spans="1:21" x14ac:dyDescent="0.25">
      <c r="A397" s="47">
        <f t="shared" si="8"/>
        <v>386</v>
      </c>
      <c r="B397" s="48"/>
      <c r="C397" s="5"/>
      <c r="D397" s="5"/>
      <c r="E397" s="6"/>
      <c r="F397" s="6"/>
      <c r="G397" s="6"/>
      <c r="H397" s="50"/>
      <c r="I397" s="48"/>
      <c r="J397" s="48"/>
      <c r="K397" s="48"/>
      <c r="L397" s="48"/>
      <c r="M397" s="48"/>
      <c r="N397" s="48"/>
      <c r="O397" s="67"/>
      <c r="P397" s="52"/>
      <c r="Q397" s="52"/>
      <c r="R397" s="53"/>
      <c r="S397" s="71"/>
      <c r="T397" s="54"/>
      <c r="U397" s="54"/>
    </row>
    <row r="398" spans="1:21" x14ac:dyDescent="0.25">
      <c r="A398" s="47">
        <f t="shared" si="8"/>
        <v>387</v>
      </c>
      <c r="B398" s="48"/>
      <c r="C398" s="5"/>
      <c r="D398" s="5"/>
      <c r="E398" s="6"/>
      <c r="F398" s="6"/>
      <c r="G398" s="6"/>
      <c r="H398" s="50"/>
      <c r="I398" s="48"/>
      <c r="J398" s="48"/>
      <c r="K398" s="48"/>
      <c r="L398" s="48"/>
      <c r="M398" s="48"/>
      <c r="N398" s="48"/>
      <c r="O398" s="67"/>
      <c r="P398" s="52"/>
      <c r="Q398" s="52"/>
      <c r="R398" s="53"/>
      <c r="S398" s="71"/>
      <c r="T398" s="54"/>
      <c r="U398" s="54"/>
    </row>
    <row r="399" spans="1:21" x14ac:dyDescent="0.25">
      <c r="A399" s="47">
        <f t="shared" si="8"/>
        <v>388</v>
      </c>
      <c r="B399" s="48"/>
      <c r="C399" s="5"/>
      <c r="D399" s="5"/>
      <c r="E399" s="6"/>
      <c r="F399" s="6"/>
      <c r="G399" s="6"/>
      <c r="H399" s="50"/>
      <c r="I399" s="48"/>
      <c r="J399" s="48"/>
      <c r="K399" s="48"/>
      <c r="L399" s="48"/>
      <c r="M399" s="48"/>
      <c r="N399" s="48"/>
      <c r="O399" s="67"/>
      <c r="P399" s="52"/>
      <c r="Q399" s="52"/>
      <c r="R399" s="53"/>
      <c r="S399" s="71"/>
      <c r="T399" s="54"/>
      <c r="U399" s="54"/>
    </row>
    <row r="400" spans="1:21" x14ac:dyDescent="0.25">
      <c r="A400" s="47">
        <f t="shared" si="8"/>
        <v>389</v>
      </c>
      <c r="B400" s="48"/>
      <c r="C400" s="5"/>
      <c r="D400" s="5"/>
      <c r="E400" s="6"/>
      <c r="F400" s="6"/>
      <c r="G400" s="6"/>
      <c r="H400" s="50"/>
      <c r="I400" s="48"/>
      <c r="J400" s="48"/>
      <c r="K400" s="48"/>
      <c r="L400" s="48"/>
      <c r="M400" s="48"/>
      <c r="N400" s="48"/>
      <c r="O400" s="67"/>
      <c r="P400" s="52"/>
      <c r="Q400" s="52"/>
      <c r="R400" s="53"/>
      <c r="S400" s="71"/>
      <c r="T400" s="54"/>
      <c r="U400" s="54"/>
    </row>
    <row r="401" spans="1:21" x14ac:dyDescent="0.25">
      <c r="A401" s="47">
        <f t="shared" si="8"/>
        <v>390</v>
      </c>
      <c r="B401" s="48"/>
      <c r="C401" s="5"/>
      <c r="D401" s="5"/>
      <c r="E401" s="6"/>
      <c r="F401" s="6"/>
      <c r="G401" s="6"/>
      <c r="H401" s="50"/>
      <c r="I401" s="48"/>
      <c r="J401" s="48"/>
      <c r="K401" s="48"/>
      <c r="L401" s="48"/>
      <c r="M401" s="48"/>
      <c r="N401" s="48"/>
      <c r="O401" s="67"/>
      <c r="P401" s="52"/>
      <c r="Q401" s="52"/>
      <c r="R401" s="53"/>
      <c r="S401" s="71"/>
      <c r="T401" s="54"/>
      <c r="U401" s="54"/>
    </row>
    <row r="402" spans="1:21" x14ac:dyDescent="0.25">
      <c r="A402" s="47">
        <f t="shared" si="8"/>
        <v>391</v>
      </c>
      <c r="B402" s="48"/>
      <c r="C402" s="5"/>
      <c r="D402" s="5"/>
      <c r="E402" s="6"/>
      <c r="F402" s="6"/>
      <c r="G402" s="6"/>
      <c r="H402" s="50"/>
      <c r="I402" s="48"/>
      <c r="J402" s="48"/>
      <c r="K402" s="48"/>
      <c r="L402" s="48"/>
      <c r="M402" s="48"/>
      <c r="N402" s="48"/>
      <c r="O402" s="67"/>
      <c r="P402" s="52"/>
      <c r="Q402" s="52"/>
      <c r="R402" s="53"/>
      <c r="S402" s="71"/>
      <c r="T402" s="54"/>
      <c r="U402" s="54"/>
    </row>
    <row r="403" spans="1:21" x14ac:dyDescent="0.25">
      <c r="A403" s="47">
        <f t="shared" si="8"/>
        <v>392</v>
      </c>
      <c r="B403" s="48"/>
      <c r="C403" s="5"/>
      <c r="D403" s="5"/>
      <c r="E403" s="6"/>
      <c r="F403" s="6"/>
      <c r="G403" s="6"/>
      <c r="H403" s="50"/>
      <c r="I403" s="48"/>
      <c r="J403" s="48"/>
      <c r="K403" s="48"/>
      <c r="L403" s="48"/>
      <c r="M403" s="48"/>
      <c r="N403" s="48"/>
      <c r="O403" s="67"/>
      <c r="P403" s="52"/>
      <c r="Q403" s="52"/>
      <c r="R403" s="53"/>
      <c r="S403" s="71"/>
      <c r="T403" s="54"/>
      <c r="U403" s="54"/>
    </row>
    <row r="404" spans="1:21" x14ac:dyDescent="0.25">
      <c r="A404" s="47">
        <f t="shared" si="8"/>
        <v>393</v>
      </c>
      <c r="B404" s="48"/>
      <c r="C404" s="5"/>
      <c r="D404" s="5"/>
      <c r="E404" s="6"/>
      <c r="F404" s="6"/>
      <c r="G404" s="6"/>
      <c r="H404" s="50"/>
      <c r="I404" s="48"/>
      <c r="J404" s="48"/>
      <c r="K404" s="48"/>
      <c r="L404" s="48"/>
      <c r="M404" s="48"/>
      <c r="N404" s="48"/>
      <c r="O404" s="67"/>
      <c r="P404" s="52"/>
      <c r="Q404" s="52"/>
      <c r="R404" s="53"/>
      <c r="S404" s="71"/>
      <c r="T404" s="54"/>
      <c r="U404" s="54"/>
    </row>
    <row r="405" spans="1:21" x14ac:dyDescent="0.25">
      <c r="A405" s="47">
        <f t="shared" si="8"/>
        <v>394</v>
      </c>
      <c r="B405" s="48"/>
      <c r="C405" s="5"/>
      <c r="D405" s="5"/>
      <c r="E405" s="6"/>
      <c r="F405" s="6"/>
      <c r="G405" s="6"/>
      <c r="H405" s="50"/>
      <c r="I405" s="48"/>
      <c r="J405" s="48"/>
      <c r="K405" s="48"/>
      <c r="L405" s="48"/>
      <c r="M405" s="48"/>
      <c r="N405" s="48"/>
      <c r="O405" s="67"/>
      <c r="P405" s="52"/>
      <c r="Q405" s="52"/>
      <c r="R405" s="53"/>
      <c r="S405" s="71"/>
      <c r="T405" s="54"/>
      <c r="U405" s="54"/>
    </row>
    <row r="406" spans="1:21" x14ac:dyDescent="0.25">
      <c r="A406" s="47">
        <f t="shared" si="8"/>
        <v>395</v>
      </c>
      <c r="B406" s="48"/>
      <c r="C406" s="5"/>
      <c r="D406" s="5"/>
      <c r="E406" s="6"/>
      <c r="F406" s="6"/>
      <c r="G406" s="6"/>
      <c r="H406" s="50"/>
      <c r="I406" s="48"/>
      <c r="J406" s="48"/>
      <c r="K406" s="48"/>
      <c r="L406" s="48"/>
      <c r="M406" s="48"/>
      <c r="N406" s="48"/>
      <c r="O406" s="67"/>
      <c r="P406" s="52"/>
      <c r="Q406" s="52"/>
      <c r="R406" s="53"/>
      <c r="S406" s="71"/>
      <c r="T406" s="54"/>
      <c r="U406" s="54"/>
    </row>
    <row r="407" spans="1:21" x14ac:dyDescent="0.25">
      <c r="A407" s="47">
        <f t="shared" si="8"/>
        <v>396</v>
      </c>
      <c r="B407" s="48"/>
      <c r="C407" s="5"/>
      <c r="D407" s="5"/>
      <c r="E407" s="6"/>
      <c r="F407" s="6"/>
      <c r="G407" s="6"/>
      <c r="H407" s="50"/>
      <c r="I407" s="48"/>
      <c r="J407" s="48"/>
      <c r="K407" s="48"/>
      <c r="L407" s="48"/>
      <c r="M407" s="48"/>
      <c r="N407" s="48"/>
      <c r="O407" s="67"/>
      <c r="P407" s="52"/>
      <c r="Q407" s="52"/>
      <c r="R407" s="53"/>
      <c r="S407" s="71"/>
      <c r="T407" s="54"/>
      <c r="U407" s="54"/>
    </row>
    <row r="408" spans="1:21" x14ac:dyDescent="0.25">
      <c r="A408" s="47">
        <f t="shared" si="8"/>
        <v>397</v>
      </c>
      <c r="B408" s="48"/>
      <c r="C408" s="5"/>
      <c r="D408" s="5"/>
      <c r="E408" s="6"/>
      <c r="F408" s="6"/>
      <c r="G408" s="6"/>
      <c r="H408" s="50"/>
      <c r="I408" s="48"/>
      <c r="J408" s="48"/>
      <c r="K408" s="48"/>
      <c r="L408" s="48"/>
      <c r="M408" s="48"/>
      <c r="N408" s="48"/>
      <c r="O408" s="67"/>
      <c r="P408" s="52"/>
      <c r="Q408" s="52"/>
      <c r="R408" s="53"/>
      <c r="S408" s="71"/>
      <c r="T408" s="54"/>
      <c r="U408" s="54"/>
    </row>
    <row r="409" spans="1:21" x14ac:dyDescent="0.25">
      <c r="A409" s="47">
        <f t="shared" si="8"/>
        <v>398</v>
      </c>
      <c r="B409" s="48"/>
      <c r="C409" s="5"/>
      <c r="D409" s="5"/>
      <c r="E409" s="6"/>
      <c r="F409" s="6"/>
      <c r="G409" s="6"/>
      <c r="H409" s="50"/>
      <c r="I409" s="48"/>
      <c r="J409" s="48"/>
      <c r="K409" s="48"/>
      <c r="L409" s="48"/>
      <c r="M409" s="48"/>
      <c r="N409" s="48"/>
      <c r="O409" s="67"/>
      <c r="P409" s="52"/>
      <c r="Q409" s="52"/>
      <c r="R409" s="53"/>
      <c r="S409" s="71"/>
      <c r="T409" s="54"/>
      <c r="U409" s="54"/>
    </row>
    <row r="410" spans="1:21" x14ac:dyDescent="0.25">
      <c r="A410" s="47">
        <f t="shared" si="8"/>
        <v>399</v>
      </c>
      <c r="B410" s="48"/>
      <c r="C410" s="5"/>
      <c r="D410" s="5"/>
      <c r="E410" s="6"/>
      <c r="F410" s="6"/>
      <c r="G410" s="6"/>
      <c r="H410" s="50"/>
      <c r="I410" s="48"/>
      <c r="J410" s="48"/>
      <c r="K410" s="48"/>
      <c r="L410" s="48"/>
      <c r="M410" s="48"/>
      <c r="N410" s="48"/>
      <c r="O410" s="67"/>
      <c r="P410" s="52"/>
      <c r="Q410" s="52"/>
      <c r="R410" s="53"/>
      <c r="S410" s="71"/>
      <c r="T410" s="54"/>
      <c r="U410" s="54"/>
    </row>
    <row r="411" spans="1:21" x14ac:dyDescent="0.25">
      <c r="A411" s="47">
        <f t="shared" si="8"/>
        <v>400</v>
      </c>
      <c r="B411" s="48"/>
      <c r="C411" s="5"/>
      <c r="D411" s="5"/>
      <c r="E411" s="6"/>
      <c r="F411" s="6"/>
      <c r="G411" s="6"/>
      <c r="H411" s="50"/>
      <c r="I411" s="48"/>
      <c r="J411" s="48"/>
      <c r="K411" s="48"/>
      <c r="L411" s="48"/>
      <c r="M411" s="48"/>
      <c r="N411" s="48"/>
      <c r="O411" s="67"/>
      <c r="P411" s="52"/>
      <c r="Q411" s="52"/>
      <c r="R411" s="53"/>
      <c r="S411" s="71"/>
      <c r="T411" s="54"/>
      <c r="U411" s="54"/>
    </row>
  </sheetData>
  <sheetProtection selectLockedCells="1"/>
  <sortState xmlns:xlrd2="http://schemas.microsoft.com/office/spreadsheetml/2017/richdata2" ref="B12:U174">
    <sortCondition ref="B12"/>
    <sortCondition ref="C12"/>
  </sortState>
  <mergeCells count="4">
    <mergeCell ref="K2:N2"/>
    <mergeCell ref="K3:N3"/>
    <mergeCell ref="K4:N4"/>
    <mergeCell ref="K5:L5"/>
  </mergeCells>
  <hyperlinks>
    <hyperlink ref="G60" r:id="rId1" xr:uid="{C7D22BF4-9D6B-4016-9207-F920A251C96E}"/>
    <hyperlink ref="G145" r:id="rId2" xr:uid="{EBC69254-9E6A-49EF-93A5-2BB0D4EBF596}"/>
    <hyperlink ref="G16" r:id="rId3" xr:uid="{B1E3F914-14CC-412E-ABB8-443E28694A53}"/>
    <hyperlink ref="G19" r:id="rId4" xr:uid="{094C063B-5EFF-4211-8FF3-F9EC8DE0974A}"/>
    <hyperlink ref="G22" r:id="rId5" xr:uid="{5C0EACB7-1714-43FC-9BEC-CF2389912BFE}"/>
    <hyperlink ref="G41" r:id="rId6" xr:uid="{57C647EF-F0B4-4A01-91B0-CB25845DD352}"/>
    <hyperlink ref="G56" r:id="rId7" xr:uid="{22636DFB-7247-4DA3-BD85-9B6BBF775399}"/>
    <hyperlink ref="G61" r:id="rId8" xr:uid="{804202D5-190B-4110-8EE1-DF20069C8008}"/>
    <hyperlink ref="G65" r:id="rId9" xr:uid="{BFBDC9F9-0B72-426C-BA61-3DBFD333FEBA}"/>
    <hyperlink ref="G66" r:id="rId10" xr:uid="{F5F15CD8-3923-47E6-9D1C-C93ADFD522E6}"/>
    <hyperlink ref="G82" r:id="rId11" xr:uid="{FDEB0DD2-5D16-4DD0-B215-4281B3A5C293}"/>
    <hyperlink ref="G83" r:id="rId12" xr:uid="{17C2A95C-EB80-484C-AB60-C5C2AE3CBFBC}"/>
    <hyperlink ref="G87" r:id="rId13" xr:uid="{7288A392-6C0A-43EC-8EA6-6C2070E06BB4}"/>
    <hyperlink ref="G93" r:id="rId14" xr:uid="{73200211-55DD-4068-9B34-2805C355436D}"/>
    <hyperlink ref="G131" r:id="rId15" xr:uid="{812B63DE-FF66-4099-8A09-ECDD5024E6BD}"/>
    <hyperlink ref="G136" r:id="rId16" xr:uid="{2C782859-2233-45FC-A34C-1C5B32716C41}"/>
    <hyperlink ref="G142" r:id="rId17" xr:uid="{62A60D7B-55F7-4569-89DD-91CE426863EC}"/>
    <hyperlink ref="G144" r:id="rId18" xr:uid="{EDDF7E8F-B48F-4FE8-8C52-618B3843BB7B}"/>
    <hyperlink ref="G150" r:id="rId19" xr:uid="{EC77D969-132C-4105-8BEC-F1FC2B5C276D}"/>
    <hyperlink ref="G166" r:id="rId20" xr:uid="{73385557-0400-416F-ACA9-70BDC266A89B}"/>
    <hyperlink ref="G171" r:id="rId21" xr:uid="{16246937-E455-4F17-8C8F-5AF1DC101CA7}"/>
    <hyperlink ref="G172" r:id="rId22" xr:uid="{8DA96807-6A88-4480-B8E7-3094B63B5B27}"/>
    <hyperlink ref="G104" r:id="rId23" xr:uid="{5D580E0B-FBD8-4C0D-9EFA-C121F8B79FCF}"/>
    <hyperlink ref="G105" r:id="rId24" xr:uid="{9BDA0B76-08CB-4281-BD8B-483D2322192F}"/>
  </hyperlinks>
  <pageMargins left="0.7" right="0.7" top="0.75" bottom="0.75" header="0.3" footer="0.3"/>
  <pageSetup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8" name="WhereAmI">
              <controlPr defaultSize="0" print="0" autoFill="0" autoPict="0" macro="[0]!WhereAmI_Click">
                <anchor moveWithCells="1" sizeWithCells="1">
                  <from>
                    <xdr:col>18</xdr:col>
                    <xdr:colOff>781050</xdr:colOff>
                    <xdr:row>1</xdr:row>
                    <xdr:rowOff>9525</xdr:rowOff>
                  </from>
                  <to>
                    <xdr:col>20</xdr:col>
                    <xdr:colOff>219075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9" name="WhoAmI">
              <controlPr defaultSize="0" print="0" autoFill="0" autoPict="0" macro="[0]!WhoAmI_Click">
                <anchor moveWithCells="1">
                  <from>
                    <xdr:col>18</xdr:col>
                    <xdr:colOff>781050</xdr:colOff>
                    <xdr:row>3</xdr:row>
                    <xdr:rowOff>123825</xdr:rowOff>
                  </from>
                  <to>
                    <xdr:col>20</xdr:col>
                    <xdr:colOff>219075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3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3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3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28575</xdr:rowOff>
                  </from>
                  <to>
                    <xdr:col>2</xdr:col>
                    <xdr:colOff>971550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3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781050</xdr:colOff>
                    <xdr:row>6</xdr:row>
                    <xdr:rowOff>38100</xdr:rowOff>
                  </from>
                  <to>
                    <xdr:col>20</xdr:col>
                    <xdr:colOff>219075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3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5</xdr:row>
                    <xdr:rowOff>47625</xdr:rowOff>
                  </from>
                  <to>
                    <xdr:col>3</xdr:col>
                    <xdr:colOff>666750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3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3</xdr:row>
                    <xdr:rowOff>0</xdr:rowOff>
                  </from>
                  <to>
                    <xdr:col>3</xdr:col>
                    <xdr:colOff>666750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36" name="FRegEntriesSortUnpaid">
              <controlPr defaultSize="0" print="0" autoFill="0" autoPict="0" macro="[0]!SortUnpaid_Click">
                <anchor moveWithCells="1" sizeWithCells="1">
                  <from>
                    <xdr:col>3</xdr:col>
                    <xdr:colOff>866775</xdr:colOff>
                    <xdr:row>5</xdr:row>
                    <xdr:rowOff>66675</xdr:rowOff>
                  </from>
                  <to>
                    <xdr:col>4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3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3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3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1209675</xdr:colOff>
                    <xdr:row>7</xdr:row>
                    <xdr:rowOff>114300</xdr:rowOff>
                  </from>
                  <to>
                    <xdr:col>3</xdr:col>
                    <xdr:colOff>666750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314325</xdr:colOff>
                    <xdr:row>6</xdr:row>
                    <xdr:rowOff>38100</xdr:rowOff>
                  </from>
                  <to>
                    <xdr:col>18</xdr:col>
                    <xdr:colOff>104775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609600</xdr:colOff>
                    <xdr:row>1</xdr:row>
                    <xdr:rowOff>9525</xdr:rowOff>
                  </from>
                  <to>
                    <xdr:col>15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314325</xdr:colOff>
                    <xdr:row>3</xdr:row>
                    <xdr:rowOff>123825</xdr:rowOff>
                  </from>
                  <to>
                    <xdr:col>18</xdr:col>
                    <xdr:colOff>104775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885825</xdr:colOff>
                    <xdr:row>7</xdr:row>
                    <xdr:rowOff>104775</xdr:rowOff>
                  </from>
                  <to>
                    <xdr:col>4</xdr:col>
                    <xdr:colOff>495300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4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314325</xdr:colOff>
                    <xdr:row>1</xdr:row>
                    <xdr:rowOff>9525</xdr:rowOff>
                  </from>
                  <to>
                    <xdr:col>18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609600</xdr:colOff>
                    <xdr:row>3</xdr:row>
                    <xdr:rowOff>123825</xdr:rowOff>
                  </from>
                  <to>
                    <xdr:col>15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46" name="ShowHideSortButton">
              <controlPr defaultSize="0" print="0" autoFill="0" autoPict="0" macro="[0]!showHideSortButtons_Click">
                <anchor moveWithCells="1" sizeWithCells="1">
                  <from>
                    <xdr:col>2</xdr:col>
                    <xdr:colOff>1200150</xdr:colOff>
                    <xdr:row>1</xdr:row>
                    <xdr:rowOff>0</xdr:rowOff>
                  </from>
                  <to>
                    <xdr:col>3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47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619125</xdr:colOff>
                    <xdr:row>6</xdr:row>
                    <xdr:rowOff>47625</xdr:rowOff>
                  </from>
                  <to>
                    <xdr:col>15</xdr:col>
                    <xdr:colOff>190500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175B-7311-43E2-9A00-253C16DC9048}">
  <sheetPr codeName="Sheet2"/>
  <dimension ref="A2:L45"/>
  <sheetViews>
    <sheetView workbookViewId="0">
      <selection activeCell="N6" sqref="N6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72" t="s">
        <v>607</v>
      </c>
    </row>
    <row r="3" spans="1:12" x14ac:dyDescent="0.25">
      <c r="K3" s="73"/>
    </row>
    <row r="4" spans="1:12" ht="30" x14ac:dyDescent="0.25">
      <c r="A4" s="37" t="s">
        <v>428</v>
      </c>
      <c r="B4" s="38" t="s">
        <v>429</v>
      </c>
      <c r="C4" s="39" t="s">
        <v>430</v>
      </c>
      <c r="D4" s="41" t="s">
        <v>433</v>
      </c>
      <c r="E4" s="41" t="s">
        <v>434</v>
      </c>
      <c r="F4" s="41" t="s">
        <v>435</v>
      </c>
      <c r="G4" s="41" t="s">
        <v>436</v>
      </c>
      <c r="H4" s="41" t="s">
        <v>437</v>
      </c>
      <c r="I4" s="41" t="s">
        <v>608</v>
      </c>
      <c r="J4" s="41" t="s">
        <v>439</v>
      </c>
      <c r="K4" s="74" t="s">
        <v>609</v>
      </c>
      <c r="L4" s="75" t="s">
        <v>610</v>
      </c>
    </row>
    <row r="5" spans="1:12" x14ac:dyDescent="0.25">
      <c r="A5" s="5"/>
      <c r="B5" s="5"/>
      <c r="C5" s="6"/>
      <c r="D5" s="50"/>
      <c r="E5" s="48"/>
      <c r="F5" s="48"/>
      <c r="G5" s="48"/>
      <c r="H5" s="48"/>
      <c r="I5" s="48"/>
      <c r="J5" s="48"/>
      <c r="K5" s="76" t="str" cm="1">
        <f t="array" ref="K5">IF(A5="","",FRegMainSetUpEntryFee+ (D5*FRegMainSetUpPool1Fee) + (E5*FRegMainSetUpPool2Fee ) + (F5*FRegMainSetUpPool3Fee) + (G5*FRebMainSetupPool4fee))</f>
        <v/>
      </c>
      <c r="L5" s="77"/>
    </row>
    <row r="6" spans="1:12" x14ac:dyDescent="0.25">
      <c r="A6" s="5"/>
      <c r="B6" s="5"/>
      <c r="C6" s="6"/>
      <c r="D6" s="50"/>
      <c r="E6" s="48"/>
      <c r="F6" s="48"/>
      <c r="G6" s="48"/>
      <c r="H6" s="48"/>
      <c r="I6" s="48"/>
      <c r="J6" s="48"/>
      <c r="K6" s="76" t="str" cm="1">
        <f t="array" ref="K6">IF(A6="","",FRegMainSetUpEntryFee+ (D6*FRegMainSetUpPool1Fee) + (E6*FRegMainSetUpPool2Fee ) + (F6*FRegMainSetUpPool3Fee) + (G6*FRebMainSetupPool4fee))</f>
        <v/>
      </c>
      <c r="L6" s="77"/>
    </row>
    <row r="7" spans="1:12" x14ac:dyDescent="0.25">
      <c r="A7" s="5"/>
      <c r="B7" s="5"/>
      <c r="C7" s="6"/>
      <c r="D7" s="50"/>
      <c r="E7" s="48"/>
      <c r="F7" s="48"/>
      <c r="G7" s="48"/>
      <c r="H7" s="48"/>
      <c r="I7" s="48"/>
      <c r="J7" s="48"/>
      <c r="K7" s="76" t="str" cm="1">
        <f t="array" ref="K7">IF(A7="","",FRegMainSetUpEntryFee+ (D7*FRegMainSetUpPool1Fee) + (E7*FRegMainSetUpPool2Fee ) + (F7*FRegMainSetUpPool3Fee) + (G7*FRebMainSetupPool4fee))</f>
        <v/>
      </c>
      <c r="L7" s="77"/>
    </row>
    <row r="8" spans="1:12" x14ac:dyDescent="0.25">
      <c r="A8" s="7"/>
      <c r="B8" s="7"/>
      <c r="C8" s="8"/>
      <c r="D8" s="56"/>
      <c r="E8" s="56"/>
      <c r="F8" s="56"/>
      <c r="G8" s="57"/>
      <c r="H8" s="57"/>
      <c r="I8" s="57"/>
      <c r="J8" s="57"/>
      <c r="K8" s="76" t="str" cm="1">
        <f t="array" ref="K8">IF(A8="","",FRegMainSetUpEntryFee+ (D8*FRegMainSetUpPool1Fee) + (E8*FRegMainSetUpPool2Fee ) + (F8*FRegMainSetUpPool3Fee) + (G8*FRebMainSetupPool4fee))</f>
        <v/>
      </c>
      <c r="L8" s="77"/>
    </row>
    <row r="9" spans="1:12" x14ac:dyDescent="0.25">
      <c r="A9" s="5"/>
      <c r="B9" s="5"/>
      <c r="C9" s="6"/>
      <c r="D9" s="50"/>
      <c r="E9" s="48"/>
      <c r="F9" s="48"/>
      <c r="G9" s="48"/>
      <c r="H9" s="48"/>
      <c r="I9" s="48"/>
      <c r="J9" s="48"/>
      <c r="K9" s="76" t="str" cm="1">
        <f t="array" ref="K9">IF(A9="","",FRegMainSetUpEntryFee+ (D9*FRegMainSetUpPool1Fee) + (E9*FRegMainSetUpPool2Fee ) + (F9*FRegMainSetUpPool3Fee) + (G9*FRebMainSetupPool4fee))</f>
        <v/>
      </c>
      <c r="L9" s="77"/>
    </row>
    <row r="10" spans="1:12" x14ac:dyDescent="0.25">
      <c r="A10" s="7"/>
      <c r="B10" s="7"/>
      <c r="C10" s="8"/>
      <c r="D10" s="56"/>
      <c r="E10" s="56"/>
      <c r="F10" s="56"/>
      <c r="G10" s="57"/>
      <c r="H10" s="57"/>
      <c r="I10" s="57"/>
      <c r="J10" s="57"/>
      <c r="K10" s="76" t="str" cm="1">
        <f t="array" ref="K10">IF(A10="","",FRegMainSetUpEntryFee+ (D10*FRegMainSetUpPool1Fee) + (E10*FRegMainSetUpPool2Fee ) + (F10*FRegMainSetUpPool3Fee) + (G10*FRebMainSetupPool4fee))</f>
        <v/>
      </c>
      <c r="L10" s="77"/>
    </row>
    <row r="11" spans="1:12" x14ac:dyDescent="0.25">
      <c r="A11" s="7"/>
      <c r="B11" s="7"/>
      <c r="C11" s="8"/>
      <c r="D11" s="57"/>
      <c r="E11" s="57"/>
      <c r="F11" s="57"/>
      <c r="G11" s="57"/>
      <c r="H11" s="57"/>
      <c r="I11" s="57"/>
      <c r="J11" s="57"/>
      <c r="K11" s="76" t="str" cm="1">
        <f t="array" ref="K11">IF(A11="","",FRegMainSetUpEntryFee+ (D11*FRegMainSetUpPool1Fee) + (E11*FRegMainSetUpPool2Fee ) + (F11*FRegMainSetUpPool3Fee) + (G11*FRebMainSetupPool4fee))</f>
        <v/>
      </c>
      <c r="L11" s="77"/>
    </row>
    <row r="12" spans="1:12" x14ac:dyDescent="0.25">
      <c r="A12" s="7"/>
      <c r="B12" s="7"/>
      <c r="C12" s="8"/>
      <c r="D12" s="56"/>
      <c r="E12" s="56"/>
      <c r="F12" s="56"/>
      <c r="G12" s="57"/>
      <c r="H12" s="57"/>
      <c r="I12" s="57"/>
      <c r="J12" s="57"/>
      <c r="K12" s="76" t="str" cm="1">
        <f t="array" ref="K12">IF(A12="","",FRegMainSetUpEntryFee+ (D12*FRegMainSetUpPool1Fee) + (E12*FRegMainSetUpPool2Fee ) + (F12*FRegMainSetUpPool3Fee) + (G12*FRebMainSetupPool4fee))</f>
        <v/>
      </c>
      <c r="L12" s="77"/>
    </row>
    <row r="13" spans="1:12" x14ac:dyDescent="0.25">
      <c r="A13" s="7"/>
      <c r="B13" s="7"/>
      <c r="C13" s="8"/>
      <c r="D13" s="56"/>
      <c r="E13" s="56"/>
      <c r="F13" s="56"/>
      <c r="G13" s="57"/>
      <c r="H13" s="57"/>
      <c r="I13" s="57"/>
      <c r="J13" s="57"/>
      <c r="K13" s="76" t="str" cm="1">
        <f t="array" ref="K13">IF(A13="","",FRegMainSetUpEntryFee+ (D13*FRegMainSetUpPool1Fee) + (E13*FRegMainSetUpPool2Fee ) + (F13*FRegMainSetUpPool3Fee) + (G13*FRebMainSetupPool4fee))</f>
        <v/>
      </c>
      <c r="L13" s="77"/>
    </row>
    <row r="14" spans="1:12" x14ac:dyDescent="0.25">
      <c r="A14" s="5"/>
      <c r="B14" s="5"/>
      <c r="C14" s="6"/>
      <c r="D14" s="50"/>
      <c r="E14" s="48"/>
      <c r="F14" s="48"/>
      <c r="G14" s="48"/>
      <c r="H14" s="48"/>
      <c r="I14" s="48"/>
      <c r="J14" s="48"/>
      <c r="K14" s="76" t="str" cm="1">
        <f t="array" ref="K14">IF(A14="","",FRegMainSetUpEntryFee+ (D14*FRegMainSetUpPool1Fee) + (E14*FRegMainSetUpPool2Fee ) + (F14*FRegMainSetUpPool3Fee) + (G14*FRebMainSetupPool4fee))</f>
        <v/>
      </c>
      <c r="L14" s="77"/>
    </row>
    <row r="15" spans="1:12" x14ac:dyDescent="0.25">
      <c r="A15" s="7"/>
      <c r="B15" s="7"/>
      <c r="C15" s="8"/>
      <c r="D15" s="56"/>
      <c r="E15" s="56"/>
      <c r="F15" s="56"/>
      <c r="G15" s="57"/>
      <c r="H15" s="57"/>
      <c r="I15" s="57"/>
      <c r="J15" s="57"/>
      <c r="K15" s="76" t="str" cm="1">
        <f t="array" ref="K15">IF(A15="","",FRegMainSetUpEntryFee+ (D15*FRegMainSetUpPool1Fee) + (E15*FRegMainSetUpPool2Fee ) + (F15*FRegMainSetUpPool3Fee) + (G15*FRebMainSetupPool4fee))</f>
        <v/>
      </c>
      <c r="L15" s="77"/>
    </row>
    <row r="16" spans="1:12" x14ac:dyDescent="0.25">
      <c r="A16" s="5"/>
      <c r="B16" s="5"/>
      <c r="C16" s="6"/>
      <c r="D16" s="50"/>
      <c r="E16" s="48"/>
      <c r="F16" s="48"/>
      <c r="G16" s="48"/>
      <c r="H16" s="48"/>
      <c r="I16" s="48"/>
      <c r="J16" s="48"/>
      <c r="K16" s="76" t="str" cm="1">
        <f t="array" ref="K16">IF(A16="","",FRegMainSetUpEntryFee+ (D16*FRegMainSetUpPool1Fee) + (E16*FRegMainSetUpPool2Fee ) + (F16*FRegMainSetUpPool3Fee) + (G16*FRebMainSetupPool4fee))</f>
        <v/>
      </c>
      <c r="L16" s="77"/>
    </row>
    <row r="17" spans="1:12" x14ac:dyDescent="0.25">
      <c r="A17" s="5"/>
      <c r="B17" s="5"/>
      <c r="C17" s="6"/>
      <c r="D17" s="50"/>
      <c r="E17" s="48"/>
      <c r="F17" s="48"/>
      <c r="G17" s="48"/>
      <c r="H17" s="48"/>
      <c r="I17" s="48"/>
      <c r="J17" s="48"/>
      <c r="K17" s="76" t="str" cm="1">
        <f t="array" ref="K17">IF(A17="","",FRegMainSetUpEntryFee+ (D17*FRegMainSetUpPool1Fee) + (E17*FRegMainSetUpPool2Fee ) + (F17*FRegMainSetUpPool3Fee) + (G17*FRebMainSetupPool4fee))</f>
        <v/>
      </c>
      <c r="L17" s="77"/>
    </row>
    <row r="18" spans="1:12" x14ac:dyDescent="0.25">
      <c r="A18" s="7"/>
      <c r="B18" s="7"/>
      <c r="C18" s="8"/>
      <c r="D18" s="56"/>
      <c r="E18" s="56"/>
      <c r="F18" s="56"/>
      <c r="G18" s="57"/>
      <c r="H18" s="57"/>
      <c r="I18" s="57"/>
      <c r="J18" s="57"/>
      <c r="K18" s="76" t="str" cm="1">
        <f t="array" ref="K18">IF(A18="","",FRegMainSetUpEntryFee+ (D18*FRegMainSetUpPool1Fee) + (E18*FRegMainSetUpPool2Fee ) + (F18*FRegMainSetUpPool3Fee) + (G18*FRebMainSetupPool4fee))</f>
        <v/>
      </c>
      <c r="L18" s="77"/>
    </row>
    <row r="19" spans="1:12" x14ac:dyDescent="0.25">
      <c r="A19" s="7"/>
      <c r="B19" s="7"/>
      <c r="C19" s="8"/>
      <c r="D19" s="56"/>
      <c r="E19" s="56"/>
      <c r="F19" s="56"/>
      <c r="G19" s="57"/>
      <c r="H19" s="57"/>
      <c r="I19" s="57"/>
      <c r="J19" s="57"/>
      <c r="K19" s="76" t="str" cm="1">
        <f t="array" ref="K19">IF(A19="","",FRegMainSetUpEntryFee+ (D19*FRegMainSetUpPool1Fee) + (E19*FRegMainSetUpPool2Fee ) + (F19*FRegMainSetUpPool3Fee) + (G19*FRebMainSetupPool4fee))</f>
        <v/>
      </c>
      <c r="L19" s="77"/>
    </row>
    <row r="20" spans="1:12" x14ac:dyDescent="0.25">
      <c r="A20" s="7"/>
      <c r="B20" s="7"/>
      <c r="C20" s="8"/>
      <c r="D20" s="56"/>
      <c r="E20" s="56"/>
      <c r="F20" s="56"/>
      <c r="G20" s="57"/>
      <c r="H20" s="57"/>
      <c r="I20" s="57"/>
      <c r="J20" s="57"/>
      <c r="K20" s="76" t="str" cm="1">
        <f t="array" ref="K20">IF(A20="","",FRegMainSetUpEntryFee+ (D20*FRegMainSetUpPool1Fee) + (E20*FRegMainSetUpPool2Fee ) + (F20*FRegMainSetUpPool3Fee) + (G20*FRebMainSetupPool4fee))</f>
        <v/>
      </c>
      <c r="L20" s="77"/>
    </row>
    <row r="21" spans="1:12" x14ac:dyDescent="0.25">
      <c r="A21" s="5"/>
      <c r="B21" s="5"/>
      <c r="C21" s="6"/>
      <c r="D21" s="50"/>
      <c r="E21" s="48"/>
      <c r="F21" s="48"/>
      <c r="G21" s="48"/>
      <c r="H21" s="48"/>
      <c r="I21" s="48"/>
      <c r="J21" s="48"/>
      <c r="K21" s="76" t="str" cm="1">
        <f t="array" ref="K21">IF(A21="","",FRegMainSetUpEntryFee+ (D21*FRegMainSetUpPool1Fee) + (E21*FRegMainSetUpPool2Fee ) + (F21*FRegMainSetUpPool3Fee) + (G21*FRebMainSetupPool4fee))</f>
        <v/>
      </c>
      <c r="L21" s="77"/>
    </row>
    <row r="22" spans="1:12" x14ac:dyDescent="0.25">
      <c r="A22" s="7"/>
      <c r="B22" s="7"/>
      <c r="C22" s="8"/>
      <c r="D22" s="57"/>
      <c r="E22" s="57"/>
      <c r="F22" s="57"/>
      <c r="G22" s="57"/>
      <c r="H22" s="57"/>
      <c r="I22" s="57"/>
      <c r="J22" s="57"/>
      <c r="K22" s="76" t="str" cm="1">
        <f t="array" ref="K22">IF(A22="","",FRegMainSetUpEntryFee+ (D22*FRegMainSetUpPool1Fee) + (E22*FRegMainSetUpPool2Fee ) + (F22*FRegMainSetUpPool3Fee) + (G22*FRebMainSetupPool4fee))</f>
        <v/>
      </c>
      <c r="L22" s="77"/>
    </row>
    <row r="23" spans="1:12" x14ac:dyDescent="0.25">
      <c r="A23" s="12"/>
      <c r="B23" s="12"/>
      <c r="C23" s="57"/>
      <c r="D23" s="50"/>
      <c r="E23" s="48"/>
      <c r="F23" s="48"/>
      <c r="G23" s="48"/>
      <c r="H23" s="48"/>
      <c r="I23" s="48"/>
      <c r="J23" s="48"/>
      <c r="K23" s="76" t="str" cm="1">
        <f t="array" ref="K23">IF(A23="","",FRegMainSetUpEntryFee+ (D23*FRegMainSetUpPool1Fee) + (E23*FRegMainSetUpPool2Fee ) + (F23*FRegMainSetUpPool3Fee) + (G23*FRebMainSetupPool4fee))</f>
        <v/>
      </c>
      <c r="L23" s="77"/>
    </row>
    <row r="24" spans="1:12" x14ac:dyDescent="0.25">
      <c r="A24" s="5"/>
      <c r="B24" s="5"/>
      <c r="C24" s="6"/>
      <c r="D24" s="50"/>
      <c r="E24" s="48"/>
      <c r="F24" s="48"/>
      <c r="G24" s="48"/>
      <c r="H24" s="48"/>
      <c r="I24" s="48"/>
      <c r="J24" s="48"/>
      <c r="K24" s="76" t="str" cm="1">
        <f t="array" ref="K24">IF(A24="","",FRegMainSetUpEntryFee+ (D24*FRegMainSetUpPool1Fee) + (E24*FRegMainSetUpPool2Fee ) + (F24*FRegMainSetUpPool3Fee) + (G24*FRebMainSetupPool4fee))</f>
        <v/>
      </c>
      <c r="L24" s="77"/>
    </row>
    <row r="25" spans="1:12" x14ac:dyDescent="0.25">
      <c r="A25" s="5"/>
      <c r="B25" s="5"/>
      <c r="C25" s="6"/>
      <c r="D25" s="50"/>
      <c r="E25" s="48"/>
      <c r="F25" s="48"/>
      <c r="G25" s="48"/>
      <c r="H25" s="48"/>
      <c r="I25" s="48"/>
      <c r="J25" s="48"/>
      <c r="K25" s="76" t="str" cm="1">
        <f t="array" ref="K25">IF(A25="","",FRegMainSetUpEntryFee+ (D25*FRegMainSetUpPool1Fee) + (E25*FRegMainSetUpPool2Fee ) + (F25*FRegMainSetUpPool3Fee) + (G25*FRebMainSetupPool4fee))</f>
        <v/>
      </c>
      <c r="L25" s="77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76" t="str" cm="1">
        <f t="array" ref="K26">IF(A26="","",FRegMainSetUpEntryFee+ (D26*FRegMainSetUpPool1Fee) + (E26*FRegMainSetUpPool2Fee ) + (F26*FRegMainSetUpPool3Fee) + (G26*FRebMainSetupPool4fee))</f>
        <v/>
      </c>
      <c r="L26" s="77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76" t="str" cm="1">
        <f t="array" ref="K27">IF(A27="","",FRegMainSetUpEntryFee+ (D27*FRegMainSetUpPool1Fee) + (E27*FRegMainSetUpPool2Fee ) + (F27*FRegMainSetUpPool3Fee) + (G27*FRebMainSetupPool4fee))</f>
        <v/>
      </c>
      <c r="L27" s="77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76" t="str" cm="1">
        <f t="array" ref="K28">IF(A28="","",FRegMainSetUpEntryFee+ (D28*FRegMainSetUpPool1Fee) + (E28*FRegMainSetUpPool2Fee ) + (F28*FRegMainSetUpPool3Fee) + (G28*FRebMainSetupPool4fee))</f>
        <v/>
      </c>
      <c r="L28" s="77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76" t="str" cm="1">
        <f t="array" ref="K29">IF(A29="","",FRegMainSetUpEntryFee+ (D29*FRegMainSetUpPool1Fee) + (E29*FRegMainSetUpPool2Fee ) + (F29*FRegMainSetUpPool3Fee) + (G29*FRebMainSetupPool4fee))</f>
        <v/>
      </c>
      <c r="L29" s="77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76" t="str" cm="1">
        <f t="array" ref="K30">IF(A30="","",FRegMainSetUpEntryFee+ (D30*FRegMainSetUpPool1Fee) + (E30*FRegMainSetUpPool2Fee ) + (F30*FRegMainSetUpPool3Fee) + (G30*FRebMainSetupPool4fee))</f>
        <v/>
      </c>
      <c r="L30" s="77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76" t="str" cm="1">
        <f t="array" ref="K31">IF(A31="","",FRegMainSetUpEntryFee+ (D31*FRegMainSetUpPool1Fee) + (E31*FRegMainSetUpPool2Fee ) + (F31*FRegMainSetUpPool3Fee) + (G31*FRebMainSetupPool4fee))</f>
        <v/>
      </c>
      <c r="L31" s="77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76" t="str" cm="1">
        <f t="array" ref="K32">IF(A32="","",FRegMainSetUpEntryFee+ (D32*FRegMainSetUpPool1Fee) + (E32*FRegMainSetUpPool2Fee ) + (F32*FRegMainSetUpPool3Fee) + (G32*FRebMainSetupPool4fee))</f>
        <v/>
      </c>
      <c r="L32" s="77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76" t="str" cm="1">
        <f t="array" ref="K33">IF(A33="","",FRegMainSetUpEntryFee+ (D33*FRegMainSetUpPool1Fee) + (E33*FRegMainSetUpPool2Fee ) + (F33*FRegMainSetUpPool3Fee) + (G33*FRebMainSetupPool4fee))</f>
        <v/>
      </c>
      <c r="L33" s="77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76" t="str" cm="1">
        <f t="array" ref="K34">IF(A34="","",FRegMainSetUpEntryFee+ (D34*FRegMainSetUpPool1Fee) + (E34*FRegMainSetUpPool2Fee ) + (F34*FRegMainSetUpPool3Fee) + (G34*FRebMainSetupPool4fee))</f>
        <v/>
      </c>
      <c r="L34" s="77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76" t="str" cm="1">
        <f t="array" ref="K35">IF(A35="","",FRegMainSetUpEntryFee+ (D35*FRegMainSetUpPool1Fee) + (E35*FRegMainSetUpPool2Fee ) + (F35*FRegMainSetUpPool3Fee) + (G35*FRebMainSetupPool4fee))</f>
        <v/>
      </c>
      <c r="L35" s="77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76" t="str" cm="1">
        <f t="array" ref="K36">IF(A36="","",FRegMainSetUpEntryFee+ (D36*FRegMainSetUpPool1Fee) + (E36*FRegMainSetUpPool2Fee ) + (F36*FRegMainSetUpPool3Fee) + (G36*FRebMainSetupPool4fee))</f>
        <v/>
      </c>
      <c r="L36" s="77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76" t="str" cm="1">
        <f t="array" ref="K37">IF(A37="","",FRegMainSetUpEntryFee+ (D37*FRegMainSetUpPool1Fee) + (E37*FRegMainSetUpPool2Fee ) + (F37*FRegMainSetUpPool3Fee) + (G37*FRebMainSetupPool4fee))</f>
        <v/>
      </c>
      <c r="L37" s="77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76" t="str" cm="1">
        <f t="array" ref="K38">IF(A38="","",FRegMainSetUpEntryFee+ (D38*FRegMainSetUpPool1Fee) + (E38*FRegMainSetUpPool2Fee ) + (F38*FRegMainSetUpPool3Fee) + (G38*FRebMainSetupPool4fee))</f>
        <v/>
      </c>
      <c r="L38" s="77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76" t="str" cm="1">
        <f t="array" ref="K39">IF(A39="","",FRegMainSetUpEntryFee+ (D39*FRegMainSetUpPool1Fee) + (E39*FRegMainSetUpPool2Fee ) + (F39*FRegMainSetUpPool3Fee) + (G39*FRebMainSetupPool4fee))</f>
        <v/>
      </c>
      <c r="L39" s="77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76" t="str" cm="1">
        <f t="array" ref="K40">IF(A40="","",FRegMainSetUpEntryFee+ (D40*FRegMainSetUpPool1Fee) + (E40*FRegMainSetUpPool2Fee ) + (F40*FRegMainSetUpPool3Fee) + (G40*FRebMainSetupPool4fee))</f>
        <v/>
      </c>
      <c r="L40" s="77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76" t="str" cm="1">
        <f t="array" ref="K41">IF(A41="","",FRegMainSetUpEntryFee+ (D41*FRegMainSetUpPool1Fee) + (E41*FRegMainSetUpPool2Fee ) + (F41*FRegMainSetUpPool3Fee) + (G41*FRebMainSetupPool4fee))</f>
        <v/>
      </c>
      <c r="L41" s="77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76" t="str" cm="1">
        <f t="array" ref="K42">IF(A42="","",FRegMainSetUpEntryFee+ (D42*FRegMainSetUpPool1Fee) + (E42*FRegMainSetUpPool2Fee ) + (F42*FRegMainSetUpPool3Fee) + (G42*FRebMainSetupPool4fee))</f>
        <v/>
      </c>
      <c r="L42" s="77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76" t="str" cm="1">
        <f t="array" ref="K43">IF(A43="","",FRegMainSetUpEntryFee+ (D43*FRegMainSetUpPool1Fee) + (E43*FRegMainSetUpPool2Fee ) + (F43*FRegMainSetUpPool3Fee) + (G43*FRebMainSetupPool4fee))</f>
        <v/>
      </c>
      <c r="L43" s="77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76" t="str" cm="1">
        <f t="array" ref="K44">IF(A44="","",FRegMainSetUpEntryFee+ (D44*FRegMainSetUpPool1Fee) + (E44*FRegMainSetUpPool2Fee ) + (F44*FRegMainSetUpPool3Fee) + (G44*FRebMainSetupPool4fee))</f>
        <v/>
      </c>
      <c r="L44" s="77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76" t="str" cm="1">
        <f t="array" ref="K45">IF(A45="","",FRegMainSetUpEntryFee+ (D45*FRegMainSetUpPool1Fee) + (E45*FRegMainSetUpPool2Fee ) + (F45*FRegMainSetUpPool3Fee) + (G45*FRebMainSetupPool4fee))</f>
        <v/>
      </c>
      <c r="L45" s="77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737-8E8E-4CD9-A229-D7F038F49137}">
  <sheetPr codeName="Sheet8"/>
  <dimension ref="C5:E407"/>
  <sheetViews>
    <sheetView workbookViewId="0">
      <selection activeCell="F2" sqref="F2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97" t="s">
        <v>3</v>
      </c>
    </row>
    <row r="7" spans="3:5" x14ac:dyDescent="0.25">
      <c r="C7" s="5" t="s">
        <v>4</v>
      </c>
      <c r="D7" s="5" t="s">
        <v>5</v>
      </c>
      <c r="E7" s="6" t="s">
        <v>6</v>
      </c>
    </row>
    <row r="8" spans="3:5" x14ac:dyDescent="0.25">
      <c r="C8" s="7" t="s">
        <v>7</v>
      </c>
      <c r="D8" s="7" t="s">
        <v>8</v>
      </c>
      <c r="E8" s="8" t="s">
        <v>9</v>
      </c>
    </row>
    <row r="9" spans="3:5" x14ac:dyDescent="0.25">
      <c r="C9" s="5" t="s">
        <v>10</v>
      </c>
      <c r="D9" s="5" t="s">
        <v>11</v>
      </c>
      <c r="E9" s="6" t="s">
        <v>12</v>
      </c>
    </row>
    <row r="10" spans="3:5" x14ac:dyDescent="0.25">
      <c r="C10" s="7" t="s">
        <v>13</v>
      </c>
      <c r="D10" s="7" t="s">
        <v>14</v>
      </c>
      <c r="E10" s="8" t="s">
        <v>15</v>
      </c>
    </row>
    <row r="11" spans="3:5" x14ac:dyDescent="0.25">
      <c r="C11" s="5" t="s">
        <v>16</v>
      </c>
      <c r="D11" s="5" t="s">
        <v>17</v>
      </c>
      <c r="E11" s="6" t="s">
        <v>18</v>
      </c>
    </row>
    <row r="12" spans="3:5" x14ac:dyDescent="0.25">
      <c r="C12" s="5" t="s">
        <v>19</v>
      </c>
      <c r="D12" s="5" t="s">
        <v>20</v>
      </c>
      <c r="E12" s="6" t="s">
        <v>21</v>
      </c>
    </row>
    <row r="13" spans="3:5" x14ac:dyDescent="0.25">
      <c r="C13" s="7" t="s">
        <v>22</v>
      </c>
      <c r="D13" s="7" t="s">
        <v>20</v>
      </c>
      <c r="E13" s="8" t="s">
        <v>23</v>
      </c>
    </row>
    <row r="14" spans="3:5" x14ac:dyDescent="0.25">
      <c r="C14" s="5" t="s">
        <v>24</v>
      </c>
      <c r="D14" s="5" t="s">
        <v>25</v>
      </c>
      <c r="E14" s="6" t="s">
        <v>26</v>
      </c>
    </row>
    <row r="15" spans="3:5" x14ac:dyDescent="0.25">
      <c r="C15" s="5" t="s">
        <v>27</v>
      </c>
      <c r="D15" s="5" t="s">
        <v>28</v>
      </c>
      <c r="E15" s="6" t="s">
        <v>29</v>
      </c>
    </row>
    <row r="16" spans="3:5" x14ac:dyDescent="0.25">
      <c r="C16" s="5" t="s">
        <v>30</v>
      </c>
      <c r="D16" s="5" t="s">
        <v>20</v>
      </c>
      <c r="E16" s="6" t="s">
        <v>31</v>
      </c>
    </row>
    <row r="17" spans="3:5" x14ac:dyDescent="0.25">
      <c r="C17" s="7" t="s">
        <v>32</v>
      </c>
      <c r="D17" s="7" t="s">
        <v>33</v>
      </c>
      <c r="E17" s="8" t="s">
        <v>34</v>
      </c>
    </row>
    <row r="18" spans="3:5" x14ac:dyDescent="0.25">
      <c r="C18" s="5" t="s">
        <v>35</v>
      </c>
      <c r="D18" s="5" t="s">
        <v>36</v>
      </c>
      <c r="E18" s="6" t="s">
        <v>37</v>
      </c>
    </row>
    <row r="19" spans="3:5" x14ac:dyDescent="0.25">
      <c r="C19" s="5" t="s">
        <v>38</v>
      </c>
      <c r="D19" s="5" t="s">
        <v>39</v>
      </c>
      <c r="E19" s="6" t="s">
        <v>40</v>
      </c>
    </row>
    <row r="20" spans="3:5" x14ac:dyDescent="0.25">
      <c r="C20" s="5" t="s">
        <v>41</v>
      </c>
      <c r="D20" s="5" t="s">
        <v>42</v>
      </c>
      <c r="E20" s="6" t="s">
        <v>43</v>
      </c>
    </row>
    <row r="21" spans="3:5" x14ac:dyDescent="0.25">
      <c r="C21" s="7" t="s">
        <v>44</v>
      </c>
      <c r="D21" s="7" t="s">
        <v>45</v>
      </c>
      <c r="E21" s="8" t="s">
        <v>46</v>
      </c>
    </row>
    <row r="22" spans="3:5" x14ac:dyDescent="0.25">
      <c r="C22" s="7" t="s">
        <v>47</v>
      </c>
      <c r="D22" s="7" t="s">
        <v>45</v>
      </c>
      <c r="E22" s="8" t="s">
        <v>48</v>
      </c>
    </row>
    <row r="23" spans="3:5" x14ac:dyDescent="0.25">
      <c r="C23" s="5" t="s">
        <v>49</v>
      </c>
      <c r="D23" s="5" t="s">
        <v>50</v>
      </c>
      <c r="E23" s="6" t="s">
        <v>51</v>
      </c>
    </row>
    <row r="24" spans="3:5" x14ac:dyDescent="0.25">
      <c r="C24" s="5" t="s">
        <v>52</v>
      </c>
      <c r="D24" s="7" t="s">
        <v>45</v>
      </c>
      <c r="E24" s="6" t="s">
        <v>53</v>
      </c>
    </row>
    <row r="25" spans="3:5" x14ac:dyDescent="0.25">
      <c r="C25" s="5" t="s">
        <v>54</v>
      </c>
      <c r="D25" s="5" t="s">
        <v>55</v>
      </c>
      <c r="E25" s="6" t="s">
        <v>56</v>
      </c>
    </row>
    <row r="26" spans="3:5" x14ac:dyDescent="0.25">
      <c r="C26" s="5" t="s">
        <v>57</v>
      </c>
      <c r="D26" s="5" t="s">
        <v>58</v>
      </c>
      <c r="E26" s="6" t="s">
        <v>59</v>
      </c>
    </row>
    <row r="27" spans="3:5" x14ac:dyDescent="0.25">
      <c r="C27" s="7" t="s">
        <v>60</v>
      </c>
      <c r="D27" s="7" t="s">
        <v>61</v>
      </c>
      <c r="E27" s="8" t="s">
        <v>62</v>
      </c>
    </row>
    <row r="28" spans="3:5" x14ac:dyDescent="0.25">
      <c r="C28" s="5" t="s">
        <v>63</v>
      </c>
      <c r="D28" s="5" t="s">
        <v>64</v>
      </c>
      <c r="E28" s="6" t="s">
        <v>65</v>
      </c>
    </row>
    <row r="29" spans="3:5" x14ac:dyDescent="0.25">
      <c r="C29" s="5" t="s">
        <v>66</v>
      </c>
      <c r="D29" s="5" t="s">
        <v>67</v>
      </c>
      <c r="E29" s="6" t="s">
        <v>68</v>
      </c>
    </row>
    <row r="30" spans="3:5" x14ac:dyDescent="0.25">
      <c r="C30" s="5" t="s">
        <v>69</v>
      </c>
      <c r="D30" s="5" t="s">
        <v>67</v>
      </c>
      <c r="E30" s="6" t="s">
        <v>70</v>
      </c>
    </row>
    <row r="31" spans="3:5" x14ac:dyDescent="0.25">
      <c r="C31" s="7" t="s">
        <v>71</v>
      </c>
      <c r="D31" s="7" t="s">
        <v>72</v>
      </c>
      <c r="E31" s="8" t="s">
        <v>73</v>
      </c>
    </row>
    <row r="32" spans="3:5" x14ac:dyDescent="0.25">
      <c r="C32" s="7" t="s">
        <v>74</v>
      </c>
      <c r="D32" s="7" t="s">
        <v>75</v>
      </c>
      <c r="E32" s="8" t="s">
        <v>76</v>
      </c>
    </row>
    <row r="33" spans="3:5" ht="15.75" x14ac:dyDescent="0.25">
      <c r="C33" s="7" t="s">
        <v>77</v>
      </c>
      <c r="D33" s="7" t="s">
        <v>78</v>
      </c>
      <c r="E33" s="9" t="s">
        <v>79</v>
      </c>
    </row>
    <row r="34" spans="3:5" x14ac:dyDescent="0.25">
      <c r="C34" s="5" t="s">
        <v>80</v>
      </c>
      <c r="D34" s="5" t="s">
        <v>81</v>
      </c>
      <c r="E34" s="6" t="s">
        <v>82</v>
      </c>
    </row>
    <row r="35" spans="3:5" x14ac:dyDescent="0.25">
      <c r="C35" s="7" t="s">
        <v>83</v>
      </c>
      <c r="D35" s="7" t="s">
        <v>84</v>
      </c>
      <c r="E35" s="8" t="s">
        <v>85</v>
      </c>
    </row>
    <row r="36" spans="3:5" x14ac:dyDescent="0.25">
      <c r="C36" s="7" t="s">
        <v>86</v>
      </c>
      <c r="D36" s="7" t="s">
        <v>64</v>
      </c>
      <c r="E36" s="8" t="s">
        <v>87</v>
      </c>
    </row>
    <row r="37" spans="3:5" x14ac:dyDescent="0.25">
      <c r="C37" s="5" t="s">
        <v>88</v>
      </c>
      <c r="D37" s="5" t="s">
        <v>84</v>
      </c>
      <c r="E37" s="6" t="s">
        <v>89</v>
      </c>
    </row>
    <row r="38" spans="3:5" x14ac:dyDescent="0.25">
      <c r="C38" s="7" t="s">
        <v>90</v>
      </c>
      <c r="D38" s="7" t="s">
        <v>91</v>
      </c>
      <c r="E38" s="8" t="s">
        <v>92</v>
      </c>
    </row>
    <row r="39" spans="3:5" x14ac:dyDescent="0.25">
      <c r="C39" s="7" t="s">
        <v>93</v>
      </c>
      <c r="D39" s="7" t="s">
        <v>94</v>
      </c>
      <c r="E39" s="8" t="s">
        <v>95</v>
      </c>
    </row>
    <row r="40" spans="3:5" x14ac:dyDescent="0.25">
      <c r="C40" s="5" t="s">
        <v>96</v>
      </c>
      <c r="D40" s="5" t="s">
        <v>97</v>
      </c>
      <c r="E40" s="6" t="s">
        <v>98</v>
      </c>
    </row>
    <row r="41" spans="3:5" x14ac:dyDescent="0.25">
      <c r="C41" s="7" t="s">
        <v>99</v>
      </c>
      <c r="D41" s="7" t="s">
        <v>100</v>
      </c>
      <c r="E41" s="8" t="s">
        <v>101</v>
      </c>
    </row>
    <row r="42" spans="3:5" x14ac:dyDescent="0.25">
      <c r="C42" s="5" t="s">
        <v>102</v>
      </c>
      <c r="D42" s="5" t="s">
        <v>103</v>
      </c>
      <c r="E42" s="6" t="s">
        <v>104</v>
      </c>
    </row>
    <row r="43" spans="3:5" x14ac:dyDescent="0.25">
      <c r="C43" s="5" t="s">
        <v>105</v>
      </c>
      <c r="D43" s="5" t="s">
        <v>106</v>
      </c>
      <c r="E43" s="6" t="s">
        <v>107</v>
      </c>
    </row>
    <row r="44" spans="3:5" x14ac:dyDescent="0.25">
      <c r="C44" s="7" t="s">
        <v>108</v>
      </c>
      <c r="D44" s="7" t="s">
        <v>72</v>
      </c>
      <c r="E44" s="8" t="s">
        <v>109</v>
      </c>
    </row>
    <row r="45" spans="3:5" x14ac:dyDescent="0.25">
      <c r="C45" s="7" t="s">
        <v>110</v>
      </c>
      <c r="D45" s="7" t="s">
        <v>20</v>
      </c>
      <c r="E45" s="8" t="s">
        <v>111</v>
      </c>
    </row>
    <row r="46" spans="3:5" x14ac:dyDescent="0.25">
      <c r="C46" s="5" t="s">
        <v>112</v>
      </c>
      <c r="D46" s="5" t="s">
        <v>55</v>
      </c>
      <c r="E46" s="6" t="s">
        <v>113</v>
      </c>
    </row>
    <row r="47" spans="3:5" x14ac:dyDescent="0.25">
      <c r="C47" s="7" t="s">
        <v>114</v>
      </c>
      <c r="D47" s="7" t="s">
        <v>72</v>
      </c>
      <c r="E47" s="8" t="s">
        <v>115</v>
      </c>
    </row>
    <row r="48" spans="3:5" x14ac:dyDescent="0.25">
      <c r="C48" s="5" t="s">
        <v>116</v>
      </c>
      <c r="D48" s="5" t="s">
        <v>117</v>
      </c>
      <c r="E48" s="6" t="s">
        <v>118</v>
      </c>
    </row>
    <row r="49" spans="3:5" x14ac:dyDescent="0.25">
      <c r="C49" s="5" t="s">
        <v>119</v>
      </c>
      <c r="D49" s="5" t="s">
        <v>72</v>
      </c>
      <c r="E49" s="6" t="s">
        <v>120</v>
      </c>
    </row>
    <row r="50" spans="3:5" x14ac:dyDescent="0.25">
      <c r="C50" s="5" t="s">
        <v>121</v>
      </c>
      <c r="D50" s="5" t="s">
        <v>122</v>
      </c>
      <c r="E50" s="6" t="s">
        <v>123</v>
      </c>
    </row>
    <row r="51" spans="3:5" x14ac:dyDescent="0.25">
      <c r="C51" s="5" t="s">
        <v>124</v>
      </c>
      <c r="D51" s="5" t="s">
        <v>72</v>
      </c>
      <c r="E51" s="6" t="s">
        <v>125</v>
      </c>
    </row>
    <row r="52" spans="3:5" x14ac:dyDescent="0.25">
      <c r="C52" s="7" t="s">
        <v>126</v>
      </c>
      <c r="D52" s="7" t="s">
        <v>127</v>
      </c>
      <c r="E52" s="8" t="s">
        <v>128</v>
      </c>
    </row>
    <row r="53" spans="3:5" x14ac:dyDescent="0.25">
      <c r="C53" s="5" t="s">
        <v>129</v>
      </c>
      <c r="D53" s="5" t="s">
        <v>130</v>
      </c>
      <c r="E53" s="6" t="s">
        <v>131</v>
      </c>
    </row>
    <row r="54" spans="3:5" x14ac:dyDescent="0.25">
      <c r="C54" s="5" t="s">
        <v>132</v>
      </c>
      <c r="D54" s="5" t="s">
        <v>84</v>
      </c>
      <c r="E54" s="6" t="s">
        <v>133</v>
      </c>
    </row>
    <row r="55" spans="3:5" x14ac:dyDescent="0.25">
      <c r="C55" s="5" t="s">
        <v>134</v>
      </c>
      <c r="D55" s="5" t="s">
        <v>135</v>
      </c>
      <c r="E55" s="6" t="s">
        <v>136</v>
      </c>
    </row>
    <row r="56" spans="3:5" x14ac:dyDescent="0.25">
      <c r="C56" s="5" t="s">
        <v>137</v>
      </c>
      <c r="D56" s="5" t="s">
        <v>138</v>
      </c>
      <c r="E56" s="6" t="s">
        <v>139</v>
      </c>
    </row>
    <row r="57" spans="3:5" x14ac:dyDescent="0.25">
      <c r="C57" s="5" t="s">
        <v>140</v>
      </c>
      <c r="D57" s="5" t="s">
        <v>138</v>
      </c>
      <c r="E57" s="10" t="s">
        <v>141</v>
      </c>
    </row>
    <row r="58" spans="3:5" x14ac:dyDescent="0.25">
      <c r="C58" s="5" t="s">
        <v>142</v>
      </c>
      <c r="D58" s="7" t="s">
        <v>45</v>
      </c>
      <c r="E58" s="6" t="s">
        <v>143</v>
      </c>
    </row>
    <row r="59" spans="3:5" x14ac:dyDescent="0.25">
      <c r="C59" s="5" t="s">
        <v>144</v>
      </c>
      <c r="D59" s="5" t="s">
        <v>145</v>
      </c>
      <c r="E59" s="11" t="s">
        <v>146</v>
      </c>
    </row>
    <row r="60" spans="3:5" x14ac:dyDescent="0.25">
      <c r="C60" s="7" t="s">
        <v>147</v>
      </c>
      <c r="D60" s="7" t="s">
        <v>148</v>
      </c>
      <c r="E60" s="8" t="s">
        <v>149</v>
      </c>
    </row>
    <row r="61" spans="3:5" x14ac:dyDescent="0.25">
      <c r="C61" s="12" t="s">
        <v>150</v>
      </c>
      <c r="D61" s="7" t="s">
        <v>151</v>
      </c>
      <c r="E61" s="8" t="s">
        <v>152</v>
      </c>
    </row>
    <row r="62" spans="3:5" x14ac:dyDescent="0.25">
      <c r="C62" s="7" t="s">
        <v>153</v>
      </c>
      <c r="D62" s="7" t="s">
        <v>72</v>
      </c>
      <c r="E62" s="8" t="s">
        <v>154</v>
      </c>
    </row>
    <row r="63" spans="3:5" x14ac:dyDescent="0.25">
      <c r="C63" s="5" t="s">
        <v>155</v>
      </c>
      <c r="D63" s="5" t="s">
        <v>156</v>
      </c>
      <c r="E63" s="6" t="s">
        <v>157</v>
      </c>
    </row>
    <row r="64" spans="3:5" x14ac:dyDescent="0.25">
      <c r="C64" s="7" t="s">
        <v>158</v>
      </c>
      <c r="D64" s="7" t="s">
        <v>159</v>
      </c>
      <c r="E64" s="8" t="s">
        <v>160</v>
      </c>
    </row>
    <row r="65" spans="3:5" x14ac:dyDescent="0.25">
      <c r="C65" s="5" t="s">
        <v>161</v>
      </c>
      <c r="D65" s="5" t="s">
        <v>91</v>
      </c>
      <c r="E65" s="6" t="s">
        <v>162</v>
      </c>
    </row>
    <row r="66" spans="3:5" x14ac:dyDescent="0.25">
      <c r="C66" s="5" t="s">
        <v>163</v>
      </c>
      <c r="D66" s="5" t="s">
        <v>164</v>
      </c>
      <c r="E66" s="6" t="s">
        <v>165</v>
      </c>
    </row>
    <row r="67" spans="3:5" x14ac:dyDescent="0.25">
      <c r="C67" s="5" t="s">
        <v>166</v>
      </c>
      <c r="D67" s="5" t="s">
        <v>167</v>
      </c>
      <c r="E67" s="6" t="s">
        <v>168</v>
      </c>
    </row>
    <row r="68" spans="3:5" x14ac:dyDescent="0.25">
      <c r="C68" s="7" t="s">
        <v>169</v>
      </c>
      <c r="D68" s="7" t="s">
        <v>170</v>
      </c>
      <c r="E68" s="8" t="s">
        <v>171</v>
      </c>
    </row>
    <row r="69" spans="3:5" x14ac:dyDescent="0.25">
      <c r="C69" s="5" t="s">
        <v>172</v>
      </c>
      <c r="D69" s="5" t="s">
        <v>173</v>
      </c>
      <c r="E69" s="6" t="s">
        <v>174</v>
      </c>
    </row>
    <row r="70" spans="3:5" x14ac:dyDescent="0.25">
      <c r="C70" s="5" t="s">
        <v>175</v>
      </c>
      <c r="D70" s="5" t="s">
        <v>72</v>
      </c>
      <c r="E70" s="6" t="s">
        <v>176</v>
      </c>
    </row>
    <row r="71" spans="3:5" x14ac:dyDescent="0.25">
      <c r="C71" s="5" t="s">
        <v>177</v>
      </c>
      <c r="D71" s="5" t="s">
        <v>156</v>
      </c>
      <c r="E71" s="6" t="s">
        <v>178</v>
      </c>
    </row>
    <row r="72" spans="3:5" x14ac:dyDescent="0.25">
      <c r="C72" s="7" t="s">
        <v>179</v>
      </c>
      <c r="D72" s="7" t="s">
        <v>180</v>
      </c>
      <c r="E72" s="8" t="s">
        <v>181</v>
      </c>
    </row>
    <row r="73" spans="3:5" x14ac:dyDescent="0.25">
      <c r="C73" s="5" t="s">
        <v>182</v>
      </c>
      <c r="D73" s="5" t="s">
        <v>20</v>
      </c>
      <c r="E73" s="6" t="s">
        <v>183</v>
      </c>
    </row>
    <row r="74" spans="3:5" x14ac:dyDescent="0.25">
      <c r="C74" s="5" t="s">
        <v>184</v>
      </c>
      <c r="D74" s="5" t="s">
        <v>185</v>
      </c>
      <c r="E74" s="6" t="s">
        <v>186</v>
      </c>
    </row>
    <row r="75" spans="3:5" x14ac:dyDescent="0.25">
      <c r="C75" s="5" t="s">
        <v>187</v>
      </c>
      <c r="D75" s="5" t="s">
        <v>188</v>
      </c>
      <c r="E75" s="6" t="s">
        <v>189</v>
      </c>
    </row>
    <row r="76" spans="3:5" x14ac:dyDescent="0.25">
      <c r="C76" s="5" t="s">
        <v>190</v>
      </c>
      <c r="D76" s="5" t="s">
        <v>191</v>
      </c>
      <c r="E76" s="6" t="s">
        <v>192</v>
      </c>
    </row>
    <row r="77" spans="3:5" x14ac:dyDescent="0.25">
      <c r="C77" s="5" t="s">
        <v>193</v>
      </c>
      <c r="D77" s="5" t="s">
        <v>194</v>
      </c>
      <c r="E77" s="6" t="s">
        <v>195</v>
      </c>
    </row>
    <row r="78" spans="3:5" x14ac:dyDescent="0.25">
      <c r="C78" s="7" t="s">
        <v>196</v>
      </c>
      <c r="D78" s="7" t="s">
        <v>64</v>
      </c>
      <c r="E78" s="8" t="s">
        <v>197</v>
      </c>
    </row>
    <row r="79" spans="3:5" x14ac:dyDescent="0.25">
      <c r="C79" s="7" t="s">
        <v>198</v>
      </c>
      <c r="D79" s="7" t="s">
        <v>199</v>
      </c>
      <c r="E79" s="8" t="s">
        <v>200</v>
      </c>
    </row>
    <row r="80" spans="3:5" x14ac:dyDescent="0.25">
      <c r="C80" s="5" t="s">
        <v>201</v>
      </c>
      <c r="D80" s="5" t="s">
        <v>202</v>
      </c>
      <c r="E80" s="6" t="s">
        <v>203</v>
      </c>
    </row>
    <row r="81" spans="3:5" x14ac:dyDescent="0.25">
      <c r="C81" s="7" t="s">
        <v>204</v>
      </c>
      <c r="D81" s="7" t="s">
        <v>205</v>
      </c>
      <c r="E81" s="8" t="s">
        <v>206</v>
      </c>
    </row>
    <row r="82" spans="3:5" x14ac:dyDescent="0.25">
      <c r="C82" s="5" t="s">
        <v>207</v>
      </c>
      <c r="D82" s="5" t="s">
        <v>208</v>
      </c>
      <c r="E82" s="6" t="s">
        <v>209</v>
      </c>
    </row>
    <row r="83" spans="3:5" x14ac:dyDescent="0.25">
      <c r="C83" s="7" t="s">
        <v>210</v>
      </c>
      <c r="D83" s="7" t="s">
        <v>211</v>
      </c>
      <c r="E83" s="8" t="s">
        <v>212</v>
      </c>
    </row>
    <row r="84" spans="3:5" x14ac:dyDescent="0.25">
      <c r="C84" s="5" t="s">
        <v>213</v>
      </c>
      <c r="D84" s="5" t="s">
        <v>214</v>
      </c>
      <c r="E84" s="6" t="s">
        <v>215</v>
      </c>
    </row>
    <row r="85" spans="3:5" x14ac:dyDescent="0.25">
      <c r="C85" s="5" t="s">
        <v>216</v>
      </c>
      <c r="D85" s="5" t="s">
        <v>217</v>
      </c>
      <c r="E85" s="6" t="s">
        <v>218</v>
      </c>
    </row>
    <row r="86" spans="3:5" x14ac:dyDescent="0.25">
      <c r="C86" s="7" t="s">
        <v>219</v>
      </c>
      <c r="D86" s="7" t="s">
        <v>220</v>
      </c>
      <c r="E86" s="8" t="s">
        <v>221</v>
      </c>
    </row>
    <row r="87" spans="3:5" x14ac:dyDescent="0.25">
      <c r="C87" s="5" t="s">
        <v>222</v>
      </c>
      <c r="D87" s="5" t="s">
        <v>223</v>
      </c>
      <c r="E87" s="6" t="s">
        <v>224</v>
      </c>
    </row>
    <row r="88" spans="3:5" x14ac:dyDescent="0.25">
      <c r="C88" s="5" t="s">
        <v>225</v>
      </c>
      <c r="D88" s="5" t="s">
        <v>226</v>
      </c>
      <c r="E88" s="6" t="s">
        <v>227</v>
      </c>
    </row>
    <row r="89" spans="3:5" x14ac:dyDescent="0.25">
      <c r="C89" s="5" t="s">
        <v>228</v>
      </c>
      <c r="D89" s="5" t="s">
        <v>229</v>
      </c>
      <c r="E89" s="6" t="s">
        <v>230</v>
      </c>
    </row>
    <row r="90" spans="3:5" x14ac:dyDescent="0.25">
      <c r="C90" s="7" t="s">
        <v>231</v>
      </c>
      <c r="D90" s="12" t="s">
        <v>232</v>
      </c>
      <c r="E90" s="8" t="s">
        <v>233</v>
      </c>
    </row>
    <row r="91" spans="3:5" x14ac:dyDescent="0.25">
      <c r="C91" s="7" t="s">
        <v>234</v>
      </c>
      <c r="D91" s="7" t="s">
        <v>235</v>
      </c>
      <c r="E91" s="8" t="s">
        <v>236</v>
      </c>
    </row>
    <row r="92" spans="3:5" x14ac:dyDescent="0.25">
      <c r="C92" s="7" t="s">
        <v>237</v>
      </c>
      <c r="D92" s="7" t="s">
        <v>194</v>
      </c>
      <c r="E92" s="8" t="s">
        <v>238</v>
      </c>
    </row>
    <row r="93" spans="3:5" x14ac:dyDescent="0.25">
      <c r="C93" s="5" t="s">
        <v>239</v>
      </c>
      <c r="D93" s="5" t="s">
        <v>240</v>
      </c>
      <c r="E93" s="6" t="s">
        <v>241</v>
      </c>
    </row>
    <row r="94" spans="3:5" x14ac:dyDescent="0.25">
      <c r="C94" s="5" t="s">
        <v>242</v>
      </c>
      <c r="D94" s="5" t="s">
        <v>130</v>
      </c>
      <c r="E94" s="6" t="s">
        <v>243</v>
      </c>
    </row>
    <row r="95" spans="3:5" x14ac:dyDescent="0.25">
      <c r="C95" s="5" t="s">
        <v>244</v>
      </c>
      <c r="D95" s="5" t="s">
        <v>245</v>
      </c>
      <c r="E95" s="6" t="s">
        <v>246</v>
      </c>
    </row>
    <row r="96" spans="3:5" x14ac:dyDescent="0.25">
      <c r="C96" s="7" t="s">
        <v>247</v>
      </c>
      <c r="D96" s="7" t="s">
        <v>185</v>
      </c>
      <c r="E96" s="8" t="s">
        <v>248</v>
      </c>
    </row>
    <row r="97" spans="3:5" x14ac:dyDescent="0.25">
      <c r="C97" s="7" t="s">
        <v>249</v>
      </c>
      <c r="D97" s="7" t="s">
        <v>250</v>
      </c>
      <c r="E97" s="8" t="s">
        <v>251</v>
      </c>
    </row>
    <row r="98" spans="3:5" x14ac:dyDescent="0.25">
      <c r="C98" s="5" t="s">
        <v>252</v>
      </c>
      <c r="D98" s="5" t="s">
        <v>42</v>
      </c>
      <c r="E98" s="6" t="s">
        <v>253</v>
      </c>
    </row>
    <row r="99" spans="3:5" x14ac:dyDescent="0.25">
      <c r="C99" s="5" t="s">
        <v>254</v>
      </c>
      <c r="D99" s="5" t="s">
        <v>255</v>
      </c>
      <c r="E99" s="6" t="s">
        <v>256</v>
      </c>
    </row>
    <row r="100" spans="3:5" x14ac:dyDescent="0.25">
      <c r="C100" s="5" t="s">
        <v>257</v>
      </c>
      <c r="D100" s="5" t="s">
        <v>255</v>
      </c>
      <c r="E100" s="6" t="s">
        <v>258</v>
      </c>
    </row>
    <row r="101" spans="3:5" x14ac:dyDescent="0.25">
      <c r="C101" s="5" t="s">
        <v>259</v>
      </c>
      <c r="D101" s="5" t="s">
        <v>75</v>
      </c>
      <c r="E101" s="6" t="s">
        <v>260</v>
      </c>
    </row>
    <row r="102" spans="3:5" x14ac:dyDescent="0.25">
      <c r="C102" s="5" t="s">
        <v>261</v>
      </c>
      <c r="D102" s="5" t="s">
        <v>262</v>
      </c>
      <c r="E102" s="6" t="s">
        <v>263</v>
      </c>
    </row>
    <row r="103" spans="3:5" x14ac:dyDescent="0.25">
      <c r="C103" s="5" t="s">
        <v>264</v>
      </c>
      <c r="D103" s="5" t="s">
        <v>45</v>
      </c>
      <c r="E103" s="6" t="s">
        <v>265</v>
      </c>
    </row>
    <row r="104" spans="3:5" x14ac:dyDescent="0.25">
      <c r="C104" s="7" t="s">
        <v>266</v>
      </c>
      <c r="D104" s="7" t="s">
        <v>267</v>
      </c>
      <c r="E104" s="8" t="s">
        <v>268</v>
      </c>
    </row>
    <row r="105" spans="3:5" x14ac:dyDescent="0.25">
      <c r="C105" s="5" t="s">
        <v>269</v>
      </c>
      <c r="D105" s="5" t="s">
        <v>270</v>
      </c>
      <c r="E105" s="6" t="s">
        <v>271</v>
      </c>
    </row>
    <row r="106" spans="3:5" x14ac:dyDescent="0.25">
      <c r="C106" s="7" t="s">
        <v>272</v>
      </c>
      <c r="D106" s="7" t="s">
        <v>45</v>
      </c>
      <c r="E106" s="8" t="s">
        <v>273</v>
      </c>
    </row>
    <row r="107" spans="3:5" x14ac:dyDescent="0.25">
      <c r="C107" s="5" t="s">
        <v>274</v>
      </c>
      <c r="D107" s="5" t="s">
        <v>275</v>
      </c>
      <c r="E107" s="6" t="s">
        <v>276</v>
      </c>
    </row>
    <row r="108" spans="3:5" x14ac:dyDescent="0.25">
      <c r="C108" s="7" t="s">
        <v>277</v>
      </c>
      <c r="D108" s="7" t="s">
        <v>194</v>
      </c>
      <c r="E108" s="8" t="s">
        <v>278</v>
      </c>
    </row>
    <row r="109" spans="3:5" x14ac:dyDescent="0.25">
      <c r="C109" s="5" t="s">
        <v>279</v>
      </c>
      <c r="D109" s="5" t="s">
        <v>8</v>
      </c>
      <c r="E109" s="6" t="s">
        <v>280</v>
      </c>
    </row>
    <row r="110" spans="3:5" x14ac:dyDescent="0.25">
      <c r="C110" s="5" t="s">
        <v>281</v>
      </c>
      <c r="D110" s="5" t="s">
        <v>282</v>
      </c>
      <c r="E110" s="6"/>
    </row>
    <row r="111" spans="3:5" x14ac:dyDescent="0.25">
      <c r="C111" s="7" t="s">
        <v>283</v>
      </c>
      <c r="D111" s="7" t="s">
        <v>81</v>
      </c>
      <c r="E111" s="8" t="s">
        <v>284</v>
      </c>
    </row>
    <row r="112" spans="3:5" x14ac:dyDescent="0.25">
      <c r="C112" s="5" t="s">
        <v>285</v>
      </c>
      <c r="D112" s="5" t="s">
        <v>191</v>
      </c>
      <c r="E112" s="6" t="s">
        <v>286</v>
      </c>
    </row>
    <row r="113" spans="3:5" x14ac:dyDescent="0.25">
      <c r="C113" s="5" t="s">
        <v>287</v>
      </c>
      <c r="D113" s="5" t="s">
        <v>156</v>
      </c>
      <c r="E113" s="6" t="s">
        <v>288</v>
      </c>
    </row>
    <row r="114" spans="3:5" x14ac:dyDescent="0.25">
      <c r="C114" s="7" t="s">
        <v>289</v>
      </c>
      <c r="D114" s="7" t="s">
        <v>45</v>
      </c>
      <c r="E114" s="8" t="s">
        <v>290</v>
      </c>
    </row>
    <row r="115" spans="3:5" x14ac:dyDescent="0.25">
      <c r="C115" s="5" t="s">
        <v>291</v>
      </c>
      <c r="D115" s="13" t="s">
        <v>255</v>
      </c>
      <c r="E115" s="6"/>
    </row>
    <row r="116" spans="3:5" x14ac:dyDescent="0.25">
      <c r="C116" s="7" t="s">
        <v>292</v>
      </c>
      <c r="D116" s="7" t="s">
        <v>293</v>
      </c>
      <c r="E116" s="8" t="s">
        <v>294</v>
      </c>
    </row>
    <row r="117" spans="3:5" x14ac:dyDescent="0.25">
      <c r="C117" s="5" t="s">
        <v>295</v>
      </c>
      <c r="D117" s="5" t="s">
        <v>127</v>
      </c>
      <c r="E117" s="6" t="s">
        <v>296</v>
      </c>
    </row>
    <row r="118" spans="3:5" x14ac:dyDescent="0.25">
      <c r="C118" s="7" t="s">
        <v>297</v>
      </c>
      <c r="D118" s="7" t="s">
        <v>61</v>
      </c>
      <c r="E118" s="8" t="s">
        <v>298</v>
      </c>
    </row>
    <row r="119" spans="3:5" x14ac:dyDescent="0.25">
      <c r="C119" s="5" t="s">
        <v>299</v>
      </c>
      <c r="D119" s="5" t="s">
        <v>300</v>
      </c>
      <c r="E119" s="6" t="s">
        <v>301</v>
      </c>
    </row>
    <row r="120" spans="3:5" x14ac:dyDescent="0.25">
      <c r="C120" s="7" t="s">
        <v>302</v>
      </c>
      <c r="D120" s="7" t="s">
        <v>72</v>
      </c>
      <c r="E120" s="8" t="s">
        <v>303</v>
      </c>
    </row>
    <row r="121" spans="3:5" x14ac:dyDescent="0.25">
      <c r="C121" s="5" t="s">
        <v>304</v>
      </c>
      <c r="D121" s="5" t="s">
        <v>305</v>
      </c>
      <c r="E121" s="6" t="s">
        <v>306</v>
      </c>
    </row>
    <row r="122" spans="3:5" x14ac:dyDescent="0.25">
      <c r="C122" s="5" t="s">
        <v>307</v>
      </c>
      <c r="D122" s="5" t="s">
        <v>39</v>
      </c>
      <c r="E122" s="6" t="s">
        <v>308</v>
      </c>
    </row>
    <row r="123" spans="3:5" x14ac:dyDescent="0.25">
      <c r="C123" s="5" t="s">
        <v>309</v>
      </c>
      <c r="D123" s="5" t="s">
        <v>72</v>
      </c>
      <c r="E123" s="6" t="s">
        <v>310</v>
      </c>
    </row>
    <row r="124" spans="3:5" x14ac:dyDescent="0.25">
      <c r="C124" s="5" t="s">
        <v>311</v>
      </c>
      <c r="D124" s="5" t="s">
        <v>84</v>
      </c>
      <c r="E124" s="6" t="s">
        <v>312</v>
      </c>
    </row>
    <row r="125" spans="3:5" x14ac:dyDescent="0.25">
      <c r="C125" s="5" t="s">
        <v>313</v>
      </c>
      <c r="D125" s="5" t="s">
        <v>314</v>
      </c>
      <c r="E125" s="6" t="s">
        <v>315</v>
      </c>
    </row>
    <row r="126" spans="3:5" x14ac:dyDescent="0.25">
      <c r="C126" s="7" t="s">
        <v>316</v>
      </c>
      <c r="D126" s="7" t="s">
        <v>45</v>
      </c>
      <c r="E126" s="8" t="s">
        <v>317</v>
      </c>
    </row>
    <row r="127" spans="3:5" x14ac:dyDescent="0.25">
      <c r="C127" s="5" t="s">
        <v>318</v>
      </c>
      <c r="D127" s="5" t="s">
        <v>148</v>
      </c>
      <c r="E127" s="6" t="s">
        <v>319</v>
      </c>
    </row>
    <row r="128" spans="3:5" x14ac:dyDescent="0.25">
      <c r="C128" s="7" t="s">
        <v>320</v>
      </c>
      <c r="D128" s="7" t="s">
        <v>321</v>
      </c>
      <c r="E128" s="8" t="s">
        <v>322</v>
      </c>
    </row>
    <row r="129" spans="3:5" x14ac:dyDescent="0.25">
      <c r="C129" s="7" t="s">
        <v>323</v>
      </c>
      <c r="D129" s="7" t="s">
        <v>235</v>
      </c>
      <c r="E129" s="8" t="s">
        <v>324</v>
      </c>
    </row>
    <row r="130" spans="3:5" x14ac:dyDescent="0.25">
      <c r="C130" s="7" t="s">
        <v>325</v>
      </c>
      <c r="D130" s="7" t="s">
        <v>326</v>
      </c>
      <c r="E130" s="8" t="s">
        <v>327</v>
      </c>
    </row>
    <row r="131" spans="3:5" x14ac:dyDescent="0.25">
      <c r="C131" s="5" t="s">
        <v>328</v>
      </c>
      <c r="D131" s="5" t="s">
        <v>329</v>
      </c>
      <c r="E131" s="6" t="s">
        <v>330</v>
      </c>
    </row>
    <row r="132" spans="3:5" x14ac:dyDescent="0.25">
      <c r="C132" s="5" t="s">
        <v>331</v>
      </c>
      <c r="D132" s="5" t="s">
        <v>332</v>
      </c>
      <c r="E132" s="6" t="s">
        <v>333</v>
      </c>
    </row>
    <row r="133" spans="3:5" x14ac:dyDescent="0.25">
      <c r="C133" s="5" t="s">
        <v>334</v>
      </c>
      <c r="D133" s="5" t="s">
        <v>33</v>
      </c>
      <c r="E133" s="6" t="s">
        <v>335</v>
      </c>
    </row>
    <row r="134" spans="3:5" x14ac:dyDescent="0.25">
      <c r="C134" s="5" t="s">
        <v>336</v>
      </c>
      <c r="D134" s="5" t="s">
        <v>67</v>
      </c>
      <c r="E134" s="6" t="s">
        <v>337</v>
      </c>
    </row>
    <row r="135" spans="3:5" x14ac:dyDescent="0.25">
      <c r="C135" s="7" t="s">
        <v>338</v>
      </c>
      <c r="D135" s="7" t="s">
        <v>67</v>
      </c>
      <c r="E135" s="8" t="s">
        <v>339</v>
      </c>
    </row>
    <row r="136" spans="3:5" ht="15.75" x14ac:dyDescent="0.25">
      <c r="C136" s="14" t="s">
        <v>340</v>
      </c>
      <c r="D136" s="14" t="s">
        <v>255</v>
      </c>
      <c r="E136" s="6"/>
    </row>
    <row r="137" spans="3:5" x14ac:dyDescent="0.25">
      <c r="C137" s="5" t="s">
        <v>341</v>
      </c>
      <c r="D137" s="5" t="s">
        <v>342</v>
      </c>
      <c r="E137" s="6" t="s">
        <v>343</v>
      </c>
    </row>
    <row r="138" spans="3:5" ht="15.75" x14ac:dyDescent="0.25">
      <c r="C138" s="14" t="s">
        <v>344</v>
      </c>
      <c r="D138" s="14" t="s">
        <v>33</v>
      </c>
      <c r="E138" s="6" t="s">
        <v>345</v>
      </c>
    </row>
    <row r="139" spans="3:5" x14ac:dyDescent="0.25">
      <c r="C139" s="5" t="s">
        <v>346</v>
      </c>
      <c r="D139" s="5" t="s">
        <v>347</v>
      </c>
      <c r="E139" s="6" t="s">
        <v>348</v>
      </c>
    </row>
    <row r="140" spans="3:5" x14ac:dyDescent="0.25">
      <c r="C140" s="5" t="s">
        <v>349</v>
      </c>
      <c r="D140" s="5" t="s">
        <v>350</v>
      </c>
      <c r="E140" s="6" t="s">
        <v>351</v>
      </c>
    </row>
    <row r="141" spans="3:5" x14ac:dyDescent="0.25">
      <c r="C141" s="5" t="s">
        <v>352</v>
      </c>
      <c r="D141" s="5" t="s">
        <v>45</v>
      </c>
      <c r="E141" s="6" t="s">
        <v>353</v>
      </c>
    </row>
    <row r="142" spans="3:5" x14ac:dyDescent="0.25">
      <c r="C142" s="7" t="s">
        <v>354</v>
      </c>
      <c r="D142" s="7" t="s">
        <v>355</v>
      </c>
      <c r="E142" s="8" t="s">
        <v>356</v>
      </c>
    </row>
    <row r="143" spans="3:5" x14ac:dyDescent="0.25">
      <c r="C143" s="5" t="s">
        <v>357</v>
      </c>
      <c r="D143" s="5" t="s">
        <v>358</v>
      </c>
      <c r="E143" s="6" t="s">
        <v>359</v>
      </c>
    </row>
    <row r="144" spans="3:5" x14ac:dyDescent="0.25">
      <c r="C144" s="5" t="s">
        <v>360</v>
      </c>
      <c r="D144" s="5" t="s">
        <v>255</v>
      </c>
      <c r="E144" s="6"/>
    </row>
    <row r="145" spans="3:5" x14ac:dyDescent="0.25">
      <c r="C145" s="5" t="s">
        <v>361</v>
      </c>
      <c r="D145" s="5" t="s">
        <v>45</v>
      </c>
      <c r="E145" s="6" t="s">
        <v>362</v>
      </c>
    </row>
    <row r="146" spans="3:5" x14ac:dyDescent="0.25">
      <c r="C146" s="5" t="s">
        <v>363</v>
      </c>
      <c r="D146" s="5" t="s">
        <v>355</v>
      </c>
      <c r="E146" s="6" t="s">
        <v>364</v>
      </c>
    </row>
    <row r="147" spans="3:5" x14ac:dyDescent="0.25">
      <c r="C147" s="7" t="s">
        <v>365</v>
      </c>
      <c r="D147" s="7" t="s">
        <v>72</v>
      </c>
      <c r="E147" s="8" t="s">
        <v>366</v>
      </c>
    </row>
    <row r="148" spans="3:5" x14ac:dyDescent="0.25">
      <c r="C148" s="7" t="s">
        <v>367</v>
      </c>
      <c r="D148" s="7" t="s">
        <v>45</v>
      </c>
      <c r="E148" s="8" t="s">
        <v>368</v>
      </c>
    </row>
    <row r="149" spans="3:5" x14ac:dyDescent="0.25">
      <c r="C149" s="7" t="s">
        <v>369</v>
      </c>
      <c r="D149" s="7" t="s">
        <v>45</v>
      </c>
      <c r="E149" s="8" t="s">
        <v>370</v>
      </c>
    </row>
    <row r="150" spans="3:5" x14ac:dyDescent="0.25">
      <c r="C150" s="7" t="s">
        <v>371</v>
      </c>
      <c r="D150" s="7" t="s">
        <v>372</v>
      </c>
      <c r="E150" s="8" t="s">
        <v>373</v>
      </c>
    </row>
    <row r="151" spans="3:5" x14ac:dyDescent="0.25">
      <c r="C151" s="5" t="s">
        <v>374</v>
      </c>
      <c r="D151" s="5" t="s">
        <v>375</v>
      </c>
      <c r="E151" s="6" t="s">
        <v>376</v>
      </c>
    </row>
    <row r="152" spans="3:5" x14ac:dyDescent="0.25">
      <c r="C152" s="7" t="s">
        <v>377</v>
      </c>
      <c r="D152" s="7" t="s">
        <v>25</v>
      </c>
      <c r="E152" s="8" t="s">
        <v>378</v>
      </c>
    </row>
    <row r="153" spans="3:5" x14ac:dyDescent="0.25">
      <c r="C153" s="5" t="s">
        <v>379</v>
      </c>
      <c r="D153" s="5" t="s">
        <v>145</v>
      </c>
      <c r="E153" s="6" t="s">
        <v>380</v>
      </c>
    </row>
    <row r="154" spans="3:5" x14ac:dyDescent="0.25">
      <c r="C154" s="7" t="s">
        <v>381</v>
      </c>
      <c r="D154" s="7" t="s">
        <v>103</v>
      </c>
      <c r="E154" s="8" t="s">
        <v>382</v>
      </c>
    </row>
    <row r="155" spans="3:5" x14ac:dyDescent="0.25">
      <c r="C155" s="5" t="s">
        <v>383</v>
      </c>
      <c r="D155" s="5" t="s">
        <v>185</v>
      </c>
      <c r="E155" s="6" t="s">
        <v>384</v>
      </c>
    </row>
    <row r="156" spans="3:5" x14ac:dyDescent="0.25">
      <c r="C156" s="5" t="s">
        <v>385</v>
      </c>
      <c r="D156" s="5" t="s">
        <v>84</v>
      </c>
      <c r="E156" s="6" t="s">
        <v>386</v>
      </c>
    </row>
    <row r="157" spans="3:5" x14ac:dyDescent="0.25">
      <c r="C157" s="5" t="s">
        <v>387</v>
      </c>
      <c r="D157" s="5" t="s">
        <v>388</v>
      </c>
      <c r="E157" s="6" t="s">
        <v>389</v>
      </c>
    </row>
    <row r="158" spans="3:5" x14ac:dyDescent="0.25">
      <c r="C158" s="5" t="s">
        <v>390</v>
      </c>
      <c r="D158" s="5" t="s">
        <v>208</v>
      </c>
      <c r="E158" s="6" t="s">
        <v>391</v>
      </c>
    </row>
    <row r="159" spans="3:5" x14ac:dyDescent="0.25">
      <c r="C159" s="5" t="s">
        <v>392</v>
      </c>
      <c r="D159" s="5" t="s">
        <v>342</v>
      </c>
      <c r="E159" s="6" t="s">
        <v>393</v>
      </c>
    </row>
    <row r="160" spans="3:5" x14ac:dyDescent="0.25">
      <c r="C160" s="5" t="s">
        <v>394</v>
      </c>
      <c r="D160" s="5" t="s">
        <v>50</v>
      </c>
      <c r="E160" s="6" t="s">
        <v>395</v>
      </c>
    </row>
    <row r="161" spans="3:5" x14ac:dyDescent="0.25">
      <c r="C161" s="5" t="s">
        <v>396</v>
      </c>
      <c r="D161" s="5" t="s">
        <v>72</v>
      </c>
      <c r="E161" s="6" t="s">
        <v>397</v>
      </c>
    </row>
    <row r="162" spans="3:5" x14ac:dyDescent="0.25">
      <c r="C162" s="7" t="s">
        <v>398</v>
      </c>
      <c r="D162" s="7" t="s">
        <v>185</v>
      </c>
      <c r="E162" s="8" t="s">
        <v>399</v>
      </c>
    </row>
    <row r="163" spans="3:5" x14ac:dyDescent="0.25">
      <c r="C163" s="5" t="s">
        <v>400</v>
      </c>
      <c r="D163" s="5" t="s">
        <v>194</v>
      </c>
      <c r="E163" s="6" t="s">
        <v>401</v>
      </c>
    </row>
    <row r="164" spans="3:5" x14ac:dyDescent="0.25">
      <c r="C164" s="5" t="s">
        <v>402</v>
      </c>
      <c r="D164" s="5" t="s">
        <v>329</v>
      </c>
      <c r="E164" s="6" t="s">
        <v>403</v>
      </c>
    </row>
    <row r="165" spans="3:5" x14ac:dyDescent="0.25">
      <c r="C165" s="5" t="s">
        <v>404</v>
      </c>
      <c r="D165" s="5" t="s">
        <v>42</v>
      </c>
      <c r="E165" s="6" t="s">
        <v>405</v>
      </c>
    </row>
    <row r="166" spans="3:5" x14ac:dyDescent="0.25">
      <c r="C166" s="5" t="s">
        <v>406</v>
      </c>
      <c r="D166" s="5" t="s">
        <v>45</v>
      </c>
      <c r="E166" s="6" t="s">
        <v>407</v>
      </c>
    </row>
    <row r="167" spans="3:5" x14ac:dyDescent="0.25">
      <c r="C167" s="5" t="s">
        <v>408</v>
      </c>
      <c r="D167" s="5" t="s">
        <v>409</v>
      </c>
      <c r="E167" s="6" t="s">
        <v>410</v>
      </c>
    </row>
    <row r="168" spans="3:5" x14ac:dyDescent="0.25">
      <c r="C168" s="5" t="s">
        <v>411</v>
      </c>
      <c r="D168" s="5" t="s">
        <v>412</v>
      </c>
      <c r="E168" s="6" t="s">
        <v>413</v>
      </c>
    </row>
    <row r="169" spans="3:5" x14ac:dyDescent="0.25">
      <c r="C169" s="5" t="s">
        <v>414</v>
      </c>
      <c r="D169" s="5" t="s">
        <v>412</v>
      </c>
      <c r="E169" s="6" t="s">
        <v>415</v>
      </c>
    </row>
    <row r="170" spans="3:5" x14ac:dyDescent="0.25">
      <c r="C170" s="15"/>
      <c r="D170" s="15"/>
      <c r="E170" s="15"/>
    </row>
    <row r="171" spans="3:5" x14ac:dyDescent="0.25">
      <c r="C171" s="15"/>
      <c r="D171" s="15"/>
      <c r="E171" s="15"/>
    </row>
    <row r="172" spans="3:5" x14ac:dyDescent="0.25">
      <c r="C172" s="15"/>
      <c r="D172" s="15"/>
      <c r="E172" s="15"/>
    </row>
    <row r="173" spans="3:5" x14ac:dyDescent="0.25">
      <c r="C173" s="15"/>
      <c r="D173" s="15"/>
      <c r="E173" s="15"/>
    </row>
    <row r="174" spans="3:5" x14ac:dyDescent="0.25">
      <c r="C174" s="15"/>
      <c r="D174" s="15"/>
      <c r="E174" s="15"/>
    </row>
    <row r="175" spans="3:5" x14ac:dyDescent="0.25">
      <c r="C175" s="15"/>
      <c r="D175" s="15"/>
      <c r="E175" s="15"/>
    </row>
    <row r="176" spans="3:5" x14ac:dyDescent="0.25">
      <c r="C176" s="15"/>
      <c r="D176" s="15"/>
      <c r="E176" s="15"/>
    </row>
    <row r="177" spans="3:5" x14ac:dyDescent="0.25">
      <c r="C177" s="15"/>
      <c r="D177" s="15"/>
      <c r="E177" s="15"/>
    </row>
    <row r="178" spans="3:5" x14ac:dyDescent="0.25">
      <c r="C178" s="15"/>
      <c r="D178" s="15"/>
      <c r="E178" s="15"/>
    </row>
    <row r="179" spans="3:5" x14ac:dyDescent="0.25">
      <c r="C179" s="15"/>
      <c r="D179" s="15"/>
      <c r="E179" s="15"/>
    </row>
    <row r="180" spans="3:5" x14ac:dyDescent="0.25">
      <c r="C180" s="15"/>
      <c r="D180" s="15"/>
      <c r="E180" s="15"/>
    </row>
    <row r="181" spans="3:5" x14ac:dyDescent="0.25">
      <c r="C181" s="15"/>
      <c r="D181" s="15"/>
      <c r="E181" s="15"/>
    </row>
    <row r="182" spans="3:5" x14ac:dyDescent="0.25">
      <c r="C182" s="15"/>
      <c r="D182" s="15"/>
      <c r="E182" s="15"/>
    </row>
    <row r="183" spans="3:5" x14ac:dyDescent="0.25">
      <c r="C183" s="15"/>
      <c r="D183" s="15"/>
      <c r="E183" s="15"/>
    </row>
    <row r="184" spans="3:5" x14ac:dyDescent="0.25">
      <c r="C184" s="15"/>
      <c r="D184" s="15"/>
      <c r="E184" s="15"/>
    </row>
    <row r="185" spans="3:5" x14ac:dyDescent="0.25">
      <c r="C185" s="15"/>
      <c r="D185" s="15"/>
      <c r="E185" s="15"/>
    </row>
    <row r="186" spans="3:5" x14ac:dyDescent="0.25">
      <c r="C186" s="15"/>
      <c r="D186" s="15"/>
      <c r="E186" s="15"/>
    </row>
    <row r="187" spans="3:5" x14ac:dyDescent="0.25">
      <c r="C187" s="15"/>
      <c r="D187" s="15"/>
      <c r="E187" s="15"/>
    </row>
    <row r="188" spans="3:5" x14ac:dyDescent="0.25">
      <c r="C188" s="15"/>
      <c r="D188" s="15"/>
      <c r="E188" s="15"/>
    </row>
    <row r="189" spans="3:5" x14ac:dyDescent="0.25">
      <c r="C189" s="15"/>
      <c r="D189" s="15"/>
      <c r="E189" s="15"/>
    </row>
    <row r="190" spans="3:5" x14ac:dyDescent="0.25">
      <c r="C190" s="15"/>
      <c r="D190" s="15"/>
      <c r="E190" s="15"/>
    </row>
    <row r="191" spans="3:5" x14ac:dyDescent="0.25">
      <c r="C191" s="15"/>
      <c r="D191" s="15"/>
      <c r="E191" s="15"/>
    </row>
    <row r="192" spans="3:5" x14ac:dyDescent="0.25">
      <c r="C192" s="15"/>
      <c r="D192" s="15"/>
      <c r="E192" s="15"/>
    </row>
    <row r="193" spans="3:5" x14ac:dyDescent="0.25">
      <c r="C193" s="15"/>
      <c r="D193" s="15"/>
      <c r="E193" s="15"/>
    </row>
    <row r="194" spans="3:5" x14ac:dyDescent="0.25">
      <c r="C194" s="15"/>
      <c r="D194" s="15"/>
      <c r="E194" s="15"/>
    </row>
    <row r="195" spans="3:5" x14ac:dyDescent="0.25">
      <c r="C195" s="15"/>
      <c r="D195" s="15"/>
      <c r="E195" s="15"/>
    </row>
    <row r="196" spans="3:5" x14ac:dyDescent="0.25">
      <c r="C196" s="15"/>
      <c r="D196" s="15"/>
      <c r="E196" s="15"/>
    </row>
    <row r="197" spans="3:5" x14ac:dyDescent="0.25">
      <c r="C197" s="15"/>
      <c r="D197" s="15"/>
      <c r="E197" s="15"/>
    </row>
    <row r="198" spans="3:5" x14ac:dyDescent="0.25">
      <c r="C198" s="15"/>
      <c r="D198" s="15"/>
      <c r="E198" s="15"/>
    </row>
    <row r="199" spans="3:5" x14ac:dyDescent="0.25">
      <c r="C199" s="15"/>
      <c r="D199" s="15"/>
      <c r="E199" s="15"/>
    </row>
    <row r="200" spans="3:5" x14ac:dyDescent="0.25">
      <c r="C200" s="15"/>
      <c r="D200" s="15"/>
      <c r="E200" s="15"/>
    </row>
    <row r="201" spans="3:5" x14ac:dyDescent="0.25">
      <c r="C201" s="15"/>
      <c r="D201" s="15"/>
      <c r="E201" s="15"/>
    </row>
    <row r="202" spans="3:5" x14ac:dyDescent="0.25">
      <c r="C202" s="15"/>
      <c r="D202" s="15"/>
      <c r="E202" s="15"/>
    </row>
    <row r="203" spans="3:5" x14ac:dyDescent="0.25">
      <c r="C203" s="15"/>
      <c r="D203" s="15"/>
      <c r="E203" s="15"/>
    </row>
    <row r="204" spans="3:5" x14ac:dyDescent="0.25">
      <c r="C204" s="15"/>
      <c r="D204" s="15"/>
      <c r="E204" s="15"/>
    </row>
    <row r="205" spans="3:5" x14ac:dyDescent="0.25">
      <c r="C205" s="15"/>
      <c r="D205" s="15"/>
      <c r="E205" s="15"/>
    </row>
    <row r="206" spans="3:5" x14ac:dyDescent="0.25">
      <c r="C206" s="15"/>
      <c r="D206" s="15"/>
      <c r="E206" s="15"/>
    </row>
    <row r="207" spans="3:5" x14ac:dyDescent="0.25">
      <c r="C207" s="15"/>
      <c r="D207" s="15"/>
      <c r="E207" s="15"/>
    </row>
    <row r="208" spans="3:5" x14ac:dyDescent="0.25">
      <c r="C208" s="15"/>
      <c r="D208" s="15"/>
      <c r="E208" s="15"/>
    </row>
    <row r="209" spans="3:5" x14ac:dyDescent="0.25">
      <c r="C209" s="15"/>
      <c r="D209" s="15"/>
      <c r="E209" s="15"/>
    </row>
    <row r="210" spans="3:5" x14ac:dyDescent="0.25">
      <c r="C210" s="15"/>
      <c r="D210" s="15"/>
      <c r="E210" s="15"/>
    </row>
    <row r="211" spans="3:5" x14ac:dyDescent="0.25">
      <c r="C211" s="15"/>
      <c r="D211" s="15"/>
      <c r="E211" s="15"/>
    </row>
    <row r="212" spans="3:5" x14ac:dyDescent="0.25">
      <c r="C212" s="15"/>
      <c r="D212" s="15"/>
      <c r="E212" s="15"/>
    </row>
    <row r="213" spans="3:5" x14ac:dyDescent="0.25">
      <c r="C213" s="15"/>
      <c r="D213" s="15"/>
      <c r="E213" s="15"/>
    </row>
    <row r="214" spans="3:5" x14ac:dyDescent="0.25">
      <c r="C214" s="15"/>
      <c r="D214" s="15"/>
      <c r="E214" s="15"/>
    </row>
    <row r="215" spans="3:5" x14ac:dyDescent="0.25">
      <c r="C215" s="15"/>
      <c r="D215" s="15"/>
      <c r="E215" s="15"/>
    </row>
    <row r="216" spans="3:5" x14ac:dyDescent="0.25">
      <c r="C216" s="15"/>
      <c r="D216" s="15"/>
      <c r="E216" s="15"/>
    </row>
    <row r="217" spans="3:5" x14ac:dyDescent="0.25">
      <c r="C217" s="15"/>
      <c r="D217" s="15"/>
      <c r="E217" s="15"/>
    </row>
    <row r="218" spans="3:5" x14ac:dyDescent="0.25">
      <c r="C218" s="15"/>
      <c r="D218" s="15"/>
      <c r="E218" s="15"/>
    </row>
    <row r="219" spans="3:5" x14ac:dyDescent="0.25">
      <c r="C219" s="15"/>
      <c r="D219" s="15"/>
      <c r="E219" s="15"/>
    </row>
    <row r="220" spans="3:5" x14ac:dyDescent="0.25">
      <c r="C220" s="15"/>
      <c r="D220" s="15"/>
      <c r="E220" s="15"/>
    </row>
    <row r="221" spans="3:5" x14ac:dyDescent="0.25">
      <c r="C221" s="15"/>
      <c r="D221" s="15"/>
      <c r="E221" s="15"/>
    </row>
    <row r="222" spans="3:5" x14ac:dyDescent="0.25">
      <c r="C222" s="15"/>
      <c r="D222" s="15"/>
      <c r="E222" s="15"/>
    </row>
    <row r="223" spans="3:5" x14ac:dyDescent="0.25">
      <c r="C223" s="15"/>
      <c r="D223" s="15"/>
      <c r="E223" s="15"/>
    </row>
    <row r="224" spans="3:5" x14ac:dyDescent="0.25">
      <c r="C224" s="15"/>
      <c r="D224" s="15"/>
      <c r="E224" s="15"/>
    </row>
    <row r="225" spans="3:5" x14ac:dyDescent="0.25">
      <c r="C225" s="15"/>
      <c r="D225" s="15"/>
      <c r="E225" s="15"/>
    </row>
    <row r="226" spans="3:5" x14ac:dyDescent="0.25">
      <c r="C226" s="15"/>
      <c r="D226" s="15"/>
      <c r="E226" s="15"/>
    </row>
    <row r="227" spans="3:5" x14ac:dyDescent="0.25">
      <c r="C227" s="15"/>
      <c r="D227" s="15"/>
      <c r="E227" s="15"/>
    </row>
    <row r="228" spans="3:5" x14ac:dyDescent="0.25">
      <c r="C228" s="15"/>
      <c r="D228" s="15"/>
      <c r="E228" s="15"/>
    </row>
    <row r="229" spans="3:5" x14ac:dyDescent="0.25">
      <c r="C229" s="15"/>
      <c r="D229" s="15"/>
      <c r="E229" s="15"/>
    </row>
    <row r="230" spans="3:5" x14ac:dyDescent="0.25">
      <c r="C230" s="15"/>
      <c r="D230" s="15"/>
      <c r="E230" s="15"/>
    </row>
    <row r="231" spans="3:5" x14ac:dyDescent="0.25">
      <c r="C231" s="15"/>
      <c r="D231" s="15"/>
      <c r="E231" s="15"/>
    </row>
    <row r="232" spans="3:5" x14ac:dyDescent="0.25">
      <c r="C232" s="15"/>
      <c r="D232" s="15"/>
      <c r="E232" s="15"/>
    </row>
    <row r="233" spans="3:5" x14ac:dyDescent="0.25">
      <c r="C233" s="15"/>
      <c r="D233" s="15"/>
      <c r="E233" s="15"/>
    </row>
    <row r="234" spans="3:5" x14ac:dyDescent="0.25">
      <c r="C234" s="15"/>
      <c r="D234" s="15"/>
      <c r="E234" s="15"/>
    </row>
    <row r="235" spans="3:5" x14ac:dyDescent="0.25">
      <c r="C235" s="15"/>
      <c r="D235" s="15"/>
      <c r="E235" s="15"/>
    </row>
    <row r="236" spans="3:5" x14ac:dyDescent="0.25">
      <c r="C236" s="15"/>
      <c r="D236" s="15"/>
      <c r="E236" s="15"/>
    </row>
    <row r="237" spans="3:5" x14ac:dyDescent="0.25">
      <c r="C237" s="15"/>
      <c r="D237" s="15"/>
      <c r="E237" s="15"/>
    </row>
    <row r="238" spans="3:5" x14ac:dyDescent="0.25">
      <c r="C238" s="15"/>
      <c r="D238" s="15"/>
      <c r="E238" s="15"/>
    </row>
    <row r="239" spans="3:5" x14ac:dyDescent="0.25">
      <c r="C239" s="15"/>
      <c r="D239" s="15"/>
      <c r="E239" s="15"/>
    </row>
    <row r="240" spans="3:5" x14ac:dyDescent="0.25">
      <c r="C240" s="15"/>
      <c r="D240" s="15"/>
      <c r="E240" s="15"/>
    </row>
    <row r="241" spans="3:5" x14ac:dyDescent="0.25">
      <c r="C241" s="15"/>
      <c r="D241" s="15"/>
      <c r="E241" s="15"/>
    </row>
    <row r="242" spans="3:5" x14ac:dyDescent="0.25">
      <c r="C242" s="15"/>
      <c r="D242" s="15"/>
      <c r="E242" s="15"/>
    </row>
    <row r="243" spans="3:5" x14ac:dyDescent="0.25">
      <c r="C243" s="15"/>
      <c r="D243" s="15"/>
      <c r="E243" s="15"/>
    </row>
    <row r="244" spans="3:5" x14ac:dyDescent="0.25">
      <c r="C244" s="15"/>
      <c r="D244" s="15"/>
      <c r="E244" s="15"/>
    </row>
    <row r="245" spans="3:5" x14ac:dyDescent="0.25">
      <c r="C245" s="15"/>
      <c r="D245" s="15"/>
      <c r="E245" s="15"/>
    </row>
    <row r="246" spans="3:5" x14ac:dyDescent="0.25">
      <c r="C246" s="15"/>
      <c r="D246" s="15"/>
      <c r="E246" s="15"/>
    </row>
    <row r="247" spans="3:5" x14ac:dyDescent="0.25">
      <c r="C247" s="15"/>
      <c r="D247" s="15"/>
      <c r="E247" s="15"/>
    </row>
    <row r="248" spans="3:5" x14ac:dyDescent="0.25">
      <c r="C248" s="15"/>
      <c r="D248" s="15"/>
      <c r="E248" s="15"/>
    </row>
    <row r="249" spans="3:5" x14ac:dyDescent="0.25">
      <c r="C249" s="15"/>
      <c r="D249" s="15"/>
      <c r="E249" s="15"/>
    </row>
    <row r="250" spans="3:5" x14ac:dyDescent="0.25">
      <c r="C250" s="15"/>
      <c r="D250" s="15"/>
      <c r="E250" s="15"/>
    </row>
    <row r="251" spans="3:5" x14ac:dyDescent="0.25">
      <c r="C251" s="15"/>
      <c r="D251" s="15"/>
      <c r="E251" s="15"/>
    </row>
    <row r="252" spans="3:5" x14ac:dyDescent="0.25">
      <c r="C252" s="15"/>
      <c r="D252" s="15"/>
      <c r="E252" s="15"/>
    </row>
    <row r="253" spans="3:5" x14ac:dyDescent="0.25">
      <c r="C253" s="15"/>
      <c r="D253" s="15"/>
      <c r="E253" s="15"/>
    </row>
    <row r="254" spans="3:5" x14ac:dyDescent="0.25">
      <c r="C254" s="15"/>
      <c r="D254" s="15"/>
      <c r="E254" s="15"/>
    </row>
    <row r="255" spans="3:5" x14ac:dyDescent="0.25">
      <c r="C255" s="15"/>
      <c r="D255" s="15"/>
      <c r="E255" s="15"/>
    </row>
    <row r="256" spans="3:5" x14ac:dyDescent="0.25">
      <c r="C256" s="15"/>
      <c r="D256" s="15"/>
      <c r="E256" s="15"/>
    </row>
    <row r="257" spans="3:5" x14ac:dyDescent="0.25">
      <c r="C257" s="15"/>
      <c r="D257" s="15"/>
      <c r="E257" s="15"/>
    </row>
    <row r="258" spans="3:5" x14ac:dyDescent="0.25">
      <c r="C258" s="15"/>
      <c r="D258" s="15"/>
      <c r="E258" s="15"/>
    </row>
    <row r="259" spans="3:5" x14ac:dyDescent="0.25">
      <c r="C259" s="15"/>
      <c r="D259" s="15"/>
      <c r="E259" s="15"/>
    </row>
    <row r="260" spans="3:5" x14ac:dyDescent="0.25">
      <c r="C260" s="15"/>
      <c r="D260" s="15"/>
      <c r="E260" s="15"/>
    </row>
    <row r="261" spans="3:5" x14ac:dyDescent="0.25">
      <c r="C261" s="15"/>
      <c r="D261" s="15"/>
      <c r="E261" s="15"/>
    </row>
    <row r="262" spans="3:5" x14ac:dyDescent="0.25">
      <c r="C262" s="15"/>
      <c r="D262" s="15"/>
      <c r="E262" s="15"/>
    </row>
    <row r="263" spans="3:5" x14ac:dyDescent="0.25">
      <c r="C263" s="15"/>
      <c r="D263" s="15"/>
      <c r="E263" s="15"/>
    </row>
    <row r="264" spans="3:5" x14ac:dyDescent="0.25">
      <c r="C264" s="15"/>
      <c r="D264" s="15"/>
      <c r="E264" s="15"/>
    </row>
    <row r="265" spans="3:5" x14ac:dyDescent="0.25">
      <c r="C265" s="15"/>
      <c r="D265" s="15"/>
      <c r="E265" s="15"/>
    </row>
    <row r="266" spans="3:5" x14ac:dyDescent="0.25">
      <c r="C266" s="15"/>
      <c r="D266" s="15"/>
      <c r="E266" s="15"/>
    </row>
    <row r="267" spans="3:5" x14ac:dyDescent="0.25">
      <c r="C267" s="15"/>
      <c r="D267" s="15"/>
      <c r="E267" s="15"/>
    </row>
    <row r="268" spans="3:5" x14ac:dyDescent="0.25">
      <c r="C268" s="15"/>
      <c r="D268" s="15"/>
      <c r="E268" s="15"/>
    </row>
    <row r="269" spans="3:5" x14ac:dyDescent="0.25">
      <c r="C269" s="15"/>
      <c r="D269" s="15"/>
      <c r="E269" s="15"/>
    </row>
    <row r="270" spans="3:5" x14ac:dyDescent="0.25">
      <c r="C270" s="15"/>
      <c r="D270" s="15"/>
      <c r="E270" s="15"/>
    </row>
    <row r="271" spans="3:5" x14ac:dyDescent="0.25">
      <c r="C271" s="15"/>
      <c r="D271" s="15"/>
      <c r="E271" s="15"/>
    </row>
    <row r="272" spans="3:5" x14ac:dyDescent="0.25">
      <c r="C272" s="15"/>
      <c r="D272" s="15"/>
      <c r="E272" s="15"/>
    </row>
    <row r="273" spans="3:5" x14ac:dyDescent="0.25">
      <c r="C273" s="15"/>
      <c r="D273" s="15"/>
      <c r="E273" s="15"/>
    </row>
    <row r="274" spans="3:5" x14ac:dyDescent="0.25">
      <c r="C274" s="15"/>
      <c r="D274" s="15"/>
      <c r="E274" s="15"/>
    </row>
    <row r="275" spans="3:5" x14ac:dyDescent="0.25">
      <c r="C275" s="15"/>
      <c r="D275" s="15"/>
      <c r="E275" s="15"/>
    </row>
    <row r="276" spans="3:5" x14ac:dyDescent="0.25">
      <c r="C276" s="15"/>
      <c r="D276" s="15"/>
      <c r="E276" s="15"/>
    </row>
    <row r="277" spans="3:5" x14ac:dyDescent="0.25">
      <c r="C277" s="15"/>
      <c r="D277" s="15"/>
      <c r="E277" s="15"/>
    </row>
    <row r="278" spans="3:5" x14ac:dyDescent="0.25">
      <c r="C278" s="15"/>
      <c r="D278" s="15"/>
      <c r="E278" s="15"/>
    </row>
    <row r="279" spans="3:5" x14ac:dyDescent="0.25">
      <c r="C279" s="15"/>
      <c r="D279" s="15"/>
      <c r="E279" s="15"/>
    </row>
    <row r="280" spans="3:5" x14ac:dyDescent="0.25">
      <c r="C280" s="15"/>
      <c r="D280" s="15"/>
      <c r="E280" s="15"/>
    </row>
    <row r="281" spans="3:5" x14ac:dyDescent="0.25">
      <c r="C281" s="15"/>
      <c r="D281" s="15"/>
      <c r="E281" s="15"/>
    </row>
    <row r="282" spans="3:5" x14ac:dyDescent="0.25">
      <c r="C282" s="15"/>
      <c r="D282" s="15"/>
      <c r="E282" s="15"/>
    </row>
    <row r="283" spans="3:5" x14ac:dyDescent="0.25">
      <c r="C283" s="15"/>
      <c r="D283" s="15"/>
      <c r="E283" s="15"/>
    </row>
    <row r="284" spans="3:5" x14ac:dyDescent="0.25">
      <c r="C284" s="15"/>
      <c r="D284" s="15"/>
      <c r="E284" s="15"/>
    </row>
    <row r="285" spans="3:5" x14ac:dyDescent="0.25">
      <c r="C285" s="15"/>
      <c r="D285" s="15"/>
      <c r="E285" s="15"/>
    </row>
    <row r="286" spans="3:5" x14ac:dyDescent="0.25">
      <c r="C286" s="15"/>
      <c r="D286" s="15"/>
      <c r="E286" s="15"/>
    </row>
    <row r="287" spans="3:5" x14ac:dyDescent="0.25">
      <c r="C287" s="15"/>
      <c r="D287" s="15"/>
      <c r="E287" s="15"/>
    </row>
    <row r="288" spans="3:5" x14ac:dyDescent="0.25">
      <c r="C288" s="15"/>
      <c r="D288" s="15"/>
      <c r="E288" s="15"/>
    </row>
    <row r="289" spans="3:5" x14ac:dyDescent="0.25">
      <c r="C289" s="15"/>
      <c r="D289" s="15"/>
      <c r="E289" s="15"/>
    </row>
    <row r="290" spans="3:5" x14ac:dyDescent="0.25">
      <c r="C290" s="15"/>
      <c r="D290" s="15"/>
      <c r="E290" s="15"/>
    </row>
    <row r="291" spans="3:5" x14ac:dyDescent="0.25">
      <c r="C291" s="15"/>
      <c r="D291" s="15"/>
      <c r="E291" s="15"/>
    </row>
    <row r="292" spans="3:5" x14ac:dyDescent="0.25">
      <c r="C292" s="15"/>
      <c r="D292" s="15"/>
      <c r="E292" s="15"/>
    </row>
    <row r="293" spans="3:5" x14ac:dyDescent="0.25">
      <c r="C293" s="15"/>
      <c r="D293" s="15"/>
      <c r="E293" s="15"/>
    </row>
    <row r="294" spans="3:5" x14ac:dyDescent="0.25">
      <c r="C294" s="15"/>
      <c r="D294" s="15"/>
      <c r="E294" s="15"/>
    </row>
    <row r="295" spans="3:5" x14ac:dyDescent="0.25">
      <c r="C295" s="15"/>
      <c r="D295" s="15"/>
      <c r="E295" s="15"/>
    </row>
    <row r="296" spans="3:5" x14ac:dyDescent="0.25">
      <c r="C296" s="15"/>
      <c r="D296" s="15"/>
      <c r="E296" s="15"/>
    </row>
    <row r="297" spans="3:5" x14ac:dyDescent="0.25">
      <c r="C297" s="15"/>
      <c r="D297" s="15"/>
      <c r="E297" s="15"/>
    </row>
    <row r="298" spans="3:5" x14ac:dyDescent="0.25">
      <c r="C298" s="15"/>
      <c r="D298" s="15"/>
      <c r="E298" s="15"/>
    </row>
    <row r="299" spans="3:5" x14ac:dyDescent="0.25">
      <c r="C299" s="15"/>
      <c r="D299" s="15"/>
      <c r="E299" s="15"/>
    </row>
    <row r="300" spans="3:5" x14ac:dyDescent="0.25">
      <c r="C300" s="15"/>
      <c r="D300" s="15"/>
      <c r="E300" s="15"/>
    </row>
    <row r="301" spans="3:5" x14ac:dyDescent="0.25">
      <c r="C301" s="15"/>
      <c r="D301" s="15"/>
      <c r="E301" s="15"/>
    </row>
    <row r="302" spans="3:5" x14ac:dyDescent="0.25">
      <c r="C302" s="15"/>
      <c r="D302" s="15"/>
      <c r="E302" s="15"/>
    </row>
    <row r="303" spans="3:5" x14ac:dyDescent="0.25">
      <c r="C303" s="15"/>
      <c r="D303" s="15"/>
      <c r="E303" s="15"/>
    </row>
    <row r="304" spans="3:5" x14ac:dyDescent="0.25">
      <c r="C304" s="15"/>
      <c r="D304" s="15"/>
      <c r="E304" s="15"/>
    </row>
    <row r="305" spans="3:5" x14ac:dyDescent="0.25">
      <c r="C305" s="15"/>
      <c r="D305" s="15"/>
      <c r="E305" s="15"/>
    </row>
    <row r="306" spans="3:5" x14ac:dyDescent="0.25">
      <c r="C306" s="5"/>
      <c r="D306" s="5"/>
      <c r="E306" s="6"/>
    </row>
    <row r="307" spans="3:5" x14ac:dyDescent="0.25">
      <c r="C307" s="5"/>
      <c r="D307" s="5"/>
      <c r="E307" s="6"/>
    </row>
    <row r="308" spans="3:5" x14ac:dyDescent="0.25">
      <c r="C308" s="5"/>
      <c r="D308" s="5"/>
      <c r="E308" s="6"/>
    </row>
    <row r="309" spans="3:5" x14ac:dyDescent="0.25">
      <c r="C309" s="5"/>
      <c r="D309" s="5"/>
      <c r="E309" s="6"/>
    </row>
    <row r="310" spans="3:5" x14ac:dyDescent="0.25">
      <c r="C310" s="5"/>
      <c r="D310" s="5"/>
      <c r="E310" s="6"/>
    </row>
    <row r="311" spans="3:5" x14ac:dyDescent="0.25">
      <c r="C311" s="5"/>
      <c r="D311" s="5"/>
      <c r="E311" s="6"/>
    </row>
    <row r="312" spans="3:5" x14ac:dyDescent="0.25">
      <c r="C312" s="5"/>
      <c r="D312" s="5"/>
      <c r="E312" s="6"/>
    </row>
    <row r="313" spans="3:5" x14ac:dyDescent="0.25">
      <c r="C313" s="5"/>
      <c r="D313" s="5"/>
      <c r="E313" s="6"/>
    </row>
    <row r="314" spans="3:5" x14ac:dyDescent="0.25">
      <c r="C314" s="5"/>
      <c r="D314" s="5"/>
      <c r="E314" s="6"/>
    </row>
    <row r="315" spans="3:5" x14ac:dyDescent="0.25">
      <c r="C315" s="5"/>
      <c r="D315" s="5"/>
      <c r="E315" s="6"/>
    </row>
    <row r="316" spans="3:5" x14ac:dyDescent="0.25">
      <c r="C316" s="5"/>
      <c r="D316" s="5"/>
      <c r="E316" s="6"/>
    </row>
    <row r="317" spans="3:5" x14ac:dyDescent="0.25">
      <c r="C317" s="5"/>
      <c r="D317" s="5"/>
      <c r="E317" s="6"/>
    </row>
    <row r="318" spans="3:5" x14ac:dyDescent="0.25">
      <c r="C318" s="5"/>
      <c r="D318" s="5"/>
      <c r="E318" s="6"/>
    </row>
    <row r="319" spans="3:5" x14ac:dyDescent="0.25">
      <c r="C319" s="5"/>
      <c r="D319" s="5"/>
      <c r="E319" s="6"/>
    </row>
    <row r="320" spans="3:5" x14ac:dyDescent="0.25">
      <c r="C320" s="5"/>
      <c r="D320" s="5"/>
      <c r="E320" s="6"/>
    </row>
    <row r="321" spans="3:5" x14ac:dyDescent="0.25">
      <c r="C321" s="5"/>
      <c r="D321" s="5"/>
      <c r="E321" s="6"/>
    </row>
    <row r="322" spans="3:5" x14ac:dyDescent="0.25">
      <c r="C322" s="5"/>
      <c r="D322" s="5"/>
      <c r="E322" s="6"/>
    </row>
    <row r="323" spans="3:5" x14ac:dyDescent="0.25">
      <c r="C323" s="5"/>
      <c r="D323" s="5"/>
      <c r="E323" s="6"/>
    </row>
    <row r="324" spans="3:5" x14ac:dyDescent="0.25">
      <c r="C324" s="5"/>
      <c r="D324" s="5"/>
      <c r="E324" s="6"/>
    </row>
    <row r="325" spans="3:5" x14ac:dyDescent="0.25">
      <c r="C325" s="5"/>
      <c r="D325" s="5"/>
      <c r="E325" s="6"/>
    </row>
    <row r="326" spans="3:5" x14ac:dyDescent="0.25">
      <c r="C326" s="5"/>
      <c r="D326" s="5"/>
      <c r="E326" s="6"/>
    </row>
    <row r="327" spans="3:5" x14ac:dyDescent="0.25">
      <c r="C327" s="5"/>
      <c r="D327" s="5"/>
      <c r="E327" s="6"/>
    </row>
    <row r="328" spans="3:5" x14ac:dyDescent="0.25">
      <c r="C328" s="5"/>
      <c r="D328" s="5"/>
      <c r="E328" s="6"/>
    </row>
    <row r="329" spans="3:5" x14ac:dyDescent="0.25">
      <c r="C329" s="5"/>
      <c r="D329" s="5"/>
      <c r="E329" s="6"/>
    </row>
    <row r="330" spans="3:5" x14ac:dyDescent="0.25">
      <c r="C330" s="5"/>
      <c r="D330" s="5"/>
      <c r="E330" s="6"/>
    </row>
    <row r="331" spans="3:5" x14ac:dyDescent="0.25">
      <c r="C331" s="5"/>
      <c r="D331" s="5"/>
      <c r="E331" s="6"/>
    </row>
    <row r="332" spans="3:5" x14ac:dyDescent="0.25">
      <c r="C332" s="5"/>
      <c r="D332" s="5"/>
      <c r="E332" s="6"/>
    </row>
    <row r="333" spans="3:5" x14ac:dyDescent="0.25">
      <c r="C333" s="5"/>
      <c r="D333" s="5"/>
      <c r="E333" s="6"/>
    </row>
    <row r="334" spans="3:5" x14ac:dyDescent="0.25">
      <c r="C334" s="5"/>
      <c r="D334" s="5"/>
      <c r="E334" s="6"/>
    </row>
    <row r="335" spans="3:5" x14ac:dyDescent="0.25">
      <c r="C335" s="5"/>
      <c r="D335" s="5"/>
      <c r="E335" s="6"/>
    </row>
    <row r="336" spans="3:5" x14ac:dyDescent="0.25">
      <c r="C336" s="5"/>
      <c r="D336" s="5"/>
      <c r="E336" s="6"/>
    </row>
    <row r="337" spans="3:5" x14ac:dyDescent="0.25">
      <c r="C337" s="5"/>
      <c r="D337" s="5"/>
      <c r="E337" s="6"/>
    </row>
    <row r="338" spans="3:5" x14ac:dyDescent="0.25">
      <c r="C338" s="5"/>
      <c r="D338" s="5"/>
      <c r="E338" s="6"/>
    </row>
    <row r="339" spans="3:5" x14ac:dyDescent="0.25">
      <c r="C339" s="5"/>
      <c r="D339" s="5"/>
      <c r="E339" s="6"/>
    </row>
    <row r="340" spans="3:5" x14ac:dyDescent="0.25">
      <c r="C340" s="5"/>
      <c r="D340" s="5"/>
      <c r="E340" s="6"/>
    </row>
    <row r="341" spans="3:5" x14ac:dyDescent="0.25">
      <c r="C341" s="5"/>
      <c r="D341" s="5"/>
      <c r="E341" s="6"/>
    </row>
    <row r="342" spans="3:5" x14ac:dyDescent="0.25">
      <c r="C342" s="5"/>
      <c r="D342" s="5"/>
      <c r="E342" s="6"/>
    </row>
    <row r="343" spans="3:5" x14ac:dyDescent="0.25">
      <c r="C343" s="5"/>
      <c r="D343" s="5"/>
      <c r="E343" s="6"/>
    </row>
    <row r="344" spans="3:5" x14ac:dyDescent="0.25">
      <c r="C344" s="5"/>
      <c r="D344" s="5"/>
      <c r="E344" s="6"/>
    </row>
    <row r="345" spans="3:5" x14ac:dyDescent="0.25">
      <c r="C345" s="5"/>
      <c r="D345" s="5"/>
      <c r="E345" s="6"/>
    </row>
    <row r="346" spans="3:5" x14ac:dyDescent="0.25">
      <c r="C346" s="5"/>
      <c r="D346" s="5"/>
      <c r="E346" s="6"/>
    </row>
    <row r="347" spans="3:5" x14ac:dyDescent="0.25">
      <c r="C347" s="5"/>
      <c r="D347" s="5"/>
      <c r="E347" s="6"/>
    </row>
    <row r="348" spans="3:5" x14ac:dyDescent="0.25">
      <c r="C348" s="5"/>
      <c r="D348" s="5"/>
      <c r="E348" s="6"/>
    </row>
    <row r="349" spans="3:5" x14ac:dyDescent="0.25">
      <c r="C349" s="5"/>
      <c r="D349" s="5"/>
      <c r="E349" s="6"/>
    </row>
    <row r="350" spans="3:5" x14ac:dyDescent="0.25">
      <c r="C350" s="5"/>
      <c r="D350" s="5"/>
      <c r="E350" s="6"/>
    </row>
    <row r="351" spans="3:5" x14ac:dyDescent="0.25">
      <c r="C351" s="5"/>
      <c r="D351" s="5"/>
      <c r="E351" s="6"/>
    </row>
    <row r="352" spans="3:5" x14ac:dyDescent="0.25">
      <c r="C352" s="5"/>
      <c r="D352" s="5"/>
      <c r="E352" s="6"/>
    </row>
    <row r="353" spans="3:5" x14ac:dyDescent="0.25">
      <c r="C353" s="5"/>
      <c r="D353" s="5"/>
      <c r="E353" s="6"/>
    </row>
    <row r="354" spans="3:5" x14ac:dyDescent="0.25">
      <c r="C354" s="5"/>
      <c r="D354" s="5"/>
      <c r="E354" s="6"/>
    </row>
    <row r="355" spans="3:5" x14ac:dyDescent="0.25">
      <c r="C355" s="5"/>
      <c r="D355" s="5"/>
      <c r="E355" s="6"/>
    </row>
    <row r="356" spans="3:5" x14ac:dyDescent="0.25">
      <c r="C356" s="5"/>
      <c r="D356" s="5"/>
      <c r="E356" s="6"/>
    </row>
    <row r="357" spans="3:5" x14ac:dyDescent="0.25">
      <c r="C357" s="5"/>
      <c r="D357" s="5"/>
      <c r="E357" s="6"/>
    </row>
    <row r="358" spans="3:5" x14ac:dyDescent="0.25">
      <c r="C358" s="5"/>
      <c r="D358" s="5"/>
      <c r="E358" s="6"/>
    </row>
    <row r="359" spans="3:5" x14ac:dyDescent="0.25">
      <c r="C359" s="5"/>
      <c r="D359" s="5"/>
      <c r="E359" s="6"/>
    </row>
    <row r="360" spans="3:5" x14ac:dyDescent="0.25">
      <c r="C360" s="5"/>
      <c r="D360" s="5"/>
      <c r="E360" s="6"/>
    </row>
    <row r="361" spans="3:5" x14ac:dyDescent="0.25">
      <c r="C361" s="5"/>
      <c r="D361" s="5"/>
      <c r="E361" s="6"/>
    </row>
    <row r="362" spans="3:5" x14ac:dyDescent="0.25">
      <c r="C362" s="5"/>
      <c r="D362" s="5"/>
      <c r="E362" s="6"/>
    </row>
    <row r="363" spans="3:5" x14ac:dyDescent="0.25">
      <c r="C363" s="5"/>
      <c r="D363" s="5"/>
      <c r="E363" s="6"/>
    </row>
    <row r="364" spans="3:5" x14ac:dyDescent="0.25">
      <c r="C364" s="5"/>
      <c r="D364" s="5"/>
      <c r="E364" s="6"/>
    </row>
    <row r="365" spans="3:5" x14ac:dyDescent="0.25">
      <c r="C365" s="5"/>
      <c r="D365" s="5"/>
      <c r="E365" s="6"/>
    </row>
    <row r="366" spans="3:5" x14ac:dyDescent="0.25">
      <c r="C366" s="5"/>
      <c r="D366" s="5"/>
      <c r="E366" s="6"/>
    </row>
    <row r="367" spans="3:5" x14ac:dyDescent="0.25">
      <c r="C367" s="5"/>
      <c r="D367" s="5"/>
      <c r="E367" s="6"/>
    </row>
    <row r="368" spans="3:5" x14ac:dyDescent="0.25">
      <c r="C368" s="5"/>
      <c r="D368" s="5"/>
      <c r="E368" s="6"/>
    </row>
    <row r="369" spans="3:5" x14ac:dyDescent="0.25">
      <c r="C369" s="5"/>
      <c r="D369" s="5"/>
      <c r="E369" s="6"/>
    </row>
    <row r="370" spans="3:5" x14ac:dyDescent="0.25">
      <c r="C370" s="5"/>
      <c r="D370" s="5"/>
      <c r="E370" s="6"/>
    </row>
    <row r="371" spans="3:5" x14ac:dyDescent="0.25">
      <c r="C371" s="5"/>
      <c r="D371" s="5"/>
      <c r="E371" s="6"/>
    </row>
    <row r="372" spans="3:5" x14ac:dyDescent="0.25">
      <c r="C372" s="5"/>
      <c r="D372" s="5"/>
      <c r="E372" s="6"/>
    </row>
    <row r="373" spans="3:5" x14ac:dyDescent="0.25">
      <c r="C373" s="5"/>
      <c r="D373" s="5"/>
      <c r="E373" s="6"/>
    </row>
    <row r="374" spans="3:5" x14ac:dyDescent="0.25">
      <c r="C374" s="5"/>
      <c r="D374" s="5"/>
      <c r="E374" s="6"/>
    </row>
    <row r="375" spans="3:5" x14ac:dyDescent="0.25">
      <c r="C375" s="5"/>
      <c r="D375" s="5"/>
      <c r="E375" s="6"/>
    </row>
    <row r="376" spans="3:5" x14ac:dyDescent="0.25">
      <c r="C376" s="5"/>
      <c r="D376" s="5"/>
      <c r="E376" s="6"/>
    </row>
    <row r="377" spans="3:5" x14ac:dyDescent="0.25">
      <c r="C377" s="5"/>
      <c r="D377" s="5"/>
      <c r="E377" s="6"/>
    </row>
    <row r="378" spans="3:5" x14ac:dyDescent="0.25">
      <c r="C378" s="5"/>
      <c r="D378" s="5"/>
      <c r="E378" s="6"/>
    </row>
    <row r="379" spans="3:5" x14ac:dyDescent="0.25">
      <c r="C379" s="5"/>
      <c r="D379" s="5"/>
      <c r="E379" s="6"/>
    </row>
    <row r="380" spans="3:5" x14ac:dyDescent="0.25">
      <c r="C380" s="5"/>
      <c r="D380" s="5"/>
      <c r="E380" s="6"/>
    </row>
    <row r="381" spans="3:5" x14ac:dyDescent="0.25">
      <c r="C381" s="5"/>
      <c r="D381" s="5"/>
      <c r="E381" s="6"/>
    </row>
    <row r="382" spans="3:5" x14ac:dyDescent="0.25">
      <c r="C382" s="5"/>
      <c r="D382" s="5"/>
      <c r="E382" s="6"/>
    </row>
    <row r="383" spans="3:5" x14ac:dyDescent="0.25">
      <c r="C383" s="5"/>
      <c r="D383" s="5"/>
      <c r="E383" s="6"/>
    </row>
    <row r="384" spans="3:5" x14ac:dyDescent="0.25">
      <c r="C384" s="5"/>
      <c r="D384" s="5"/>
      <c r="E384" s="6"/>
    </row>
    <row r="385" spans="3:5" x14ac:dyDescent="0.25">
      <c r="C385" s="5"/>
      <c r="D385" s="5"/>
      <c r="E385" s="6"/>
    </row>
    <row r="386" spans="3:5" x14ac:dyDescent="0.25">
      <c r="C386" s="5"/>
      <c r="D386" s="5"/>
      <c r="E386" s="6"/>
    </row>
    <row r="387" spans="3:5" x14ac:dyDescent="0.25">
      <c r="C387" s="5"/>
      <c r="D387" s="5"/>
      <c r="E387" s="6"/>
    </row>
    <row r="388" spans="3:5" x14ac:dyDescent="0.25">
      <c r="C388" s="5"/>
      <c r="D388" s="5"/>
      <c r="E388" s="6"/>
    </row>
    <row r="389" spans="3:5" x14ac:dyDescent="0.25">
      <c r="C389" s="5"/>
      <c r="D389" s="5"/>
      <c r="E389" s="6"/>
    </row>
    <row r="390" spans="3:5" x14ac:dyDescent="0.25">
      <c r="C390" s="5"/>
      <c r="D390" s="5"/>
      <c r="E390" s="6"/>
    </row>
    <row r="391" spans="3:5" x14ac:dyDescent="0.25">
      <c r="C391" s="5"/>
      <c r="D391" s="5"/>
      <c r="E391" s="6"/>
    </row>
    <row r="392" spans="3:5" x14ac:dyDescent="0.25">
      <c r="C392" s="5"/>
      <c r="D392" s="5"/>
      <c r="E392" s="6"/>
    </row>
    <row r="393" spans="3:5" x14ac:dyDescent="0.25">
      <c r="C393" s="5"/>
      <c r="D393" s="5"/>
      <c r="E393" s="6"/>
    </row>
    <row r="394" spans="3:5" x14ac:dyDescent="0.25">
      <c r="C394" s="5"/>
      <c r="D394" s="5"/>
      <c r="E394" s="6"/>
    </row>
    <row r="395" spans="3:5" x14ac:dyDescent="0.25">
      <c r="C395" s="5"/>
      <c r="D395" s="5"/>
      <c r="E395" s="6"/>
    </row>
    <row r="396" spans="3:5" x14ac:dyDescent="0.25">
      <c r="C396" s="5"/>
      <c r="D396" s="5"/>
      <c r="E396" s="6"/>
    </row>
    <row r="397" spans="3:5" x14ac:dyDescent="0.25">
      <c r="C397" s="5"/>
      <c r="D397" s="5"/>
      <c r="E397" s="6"/>
    </row>
    <row r="398" spans="3:5" x14ac:dyDescent="0.25">
      <c r="C398" s="5"/>
      <c r="D398" s="5"/>
      <c r="E398" s="6"/>
    </row>
    <row r="399" spans="3:5" x14ac:dyDescent="0.25">
      <c r="C399" s="5"/>
      <c r="D399" s="5"/>
      <c r="E399" s="6"/>
    </row>
    <row r="400" spans="3:5" x14ac:dyDescent="0.25">
      <c r="C400" s="5"/>
      <c r="D400" s="5"/>
      <c r="E400" s="6"/>
    </row>
    <row r="401" spans="3:5" x14ac:dyDescent="0.25">
      <c r="C401" s="5"/>
      <c r="D401" s="5"/>
      <c r="E401" s="6"/>
    </row>
    <row r="402" spans="3:5" x14ac:dyDescent="0.25">
      <c r="C402" s="5"/>
      <c r="D402" s="5"/>
      <c r="E402" s="6"/>
    </row>
    <row r="403" spans="3:5" x14ac:dyDescent="0.25">
      <c r="C403" s="5"/>
      <c r="D403" s="5"/>
      <c r="E403" s="6"/>
    </row>
    <row r="404" spans="3:5" x14ac:dyDescent="0.25">
      <c r="C404" s="5"/>
      <c r="D404" s="5"/>
      <c r="E404" s="6"/>
    </row>
    <row r="405" spans="3:5" x14ac:dyDescent="0.25">
      <c r="C405" s="5"/>
      <c r="D405" s="5"/>
      <c r="E405" s="6"/>
    </row>
    <row r="406" spans="3:5" x14ac:dyDescent="0.25">
      <c r="C406" s="5"/>
      <c r="D406" s="5"/>
      <c r="E406" s="6"/>
    </row>
    <row r="407" spans="3:5" x14ac:dyDescent="0.25">
      <c r="C407" s="16"/>
      <c r="D407" s="16"/>
      <c r="E407" s="17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8456-BE74-4248-AE5B-B2154C4C04E0}">
  <sheetPr codeName="Sheet7"/>
  <dimension ref="C5:E406"/>
  <sheetViews>
    <sheetView workbookViewId="0">
      <selection activeCell="F3" sqref="F3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92" t="s">
        <v>446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5" t="s">
        <v>4</v>
      </c>
      <c r="D7" s="5" t="s">
        <v>5</v>
      </c>
      <c r="E7" s="6" t="s">
        <v>6</v>
      </c>
    </row>
    <row r="8" spans="3:5" x14ac:dyDescent="0.25">
      <c r="C8" s="7" t="s">
        <v>7</v>
      </c>
      <c r="D8" s="7" t="s">
        <v>8</v>
      </c>
      <c r="E8" s="8" t="s">
        <v>9</v>
      </c>
    </row>
    <row r="9" spans="3:5" x14ac:dyDescent="0.25">
      <c r="C9" s="5" t="s">
        <v>10</v>
      </c>
      <c r="D9" s="5" t="s">
        <v>11</v>
      </c>
      <c r="E9" s="6" t="s">
        <v>12</v>
      </c>
    </row>
    <row r="10" spans="3:5" x14ac:dyDescent="0.25">
      <c r="C10" s="7" t="s">
        <v>13</v>
      </c>
      <c r="D10" s="7" t="s">
        <v>14</v>
      </c>
      <c r="E10" s="8" t="s">
        <v>15</v>
      </c>
    </row>
    <row r="11" spans="3:5" x14ac:dyDescent="0.25">
      <c r="C11" s="5" t="s">
        <v>16</v>
      </c>
      <c r="D11" s="5" t="s">
        <v>17</v>
      </c>
      <c r="E11" s="6" t="s">
        <v>18</v>
      </c>
    </row>
    <row r="12" spans="3:5" x14ac:dyDescent="0.25">
      <c r="C12" s="5" t="s">
        <v>19</v>
      </c>
      <c r="D12" s="5" t="s">
        <v>20</v>
      </c>
      <c r="E12" s="6" t="s">
        <v>21</v>
      </c>
    </row>
    <row r="13" spans="3:5" x14ac:dyDescent="0.25">
      <c r="C13" s="7" t="s">
        <v>22</v>
      </c>
      <c r="D13" s="7" t="s">
        <v>20</v>
      </c>
      <c r="E13" s="8" t="s">
        <v>23</v>
      </c>
    </row>
    <row r="14" spans="3:5" x14ac:dyDescent="0.25">
      <c r="C14" s="5" t="s">
        <v>24</v>
      </c>
      <c r="D14" s="5" t="s">
        <v>25</v>
      </c>
      <c r="E14" s="6" t="s">
        <v>26</v>
      </c>
    </row>
    <row r="15" spans="3:5" x14ac:dyDescent="0.25">
      <c r="C15" s="5" t="s">
        <v>27</v>
      </c>
      <c r="D15" s="5" t="s">
        <v>28</v>
      </c>
      <c r="E15" s="6" t="s">
        <v>29</v>
      </c>
    </row>
    <row r="16" spans="3:5" x14ac:dyDescent="0.25">
      <c r="C16" s="5" t="s">
        <v>30</v>
      </c>
      <c r="D16" s="5" t="s">
        <v>20</v>
      </c>
      <c r="E16" s="6" t="s">
        <v>31</v>
      </c>
    </row>
    <row r="17" spans="3:5" x14ac:dyDescent="0.25">
      <c r="C17" s="7" t="s">
        <v>32</v>
      </c>
      <c r="D17" s="7" t="s">
        <v>33</v>
      </c>
      <c r="E17" s="8" t="s">
        <v>34</v>
      </c>
    </row>
    <row r="18" spans="3:5" x14ac:dyDescent="0.25">
      <c r="C18" s="5" t="s">
        <v>35</v>
      </c>
      <c r="D18" s="5" t="s">
        <v>36</v>
      </c>
      <c r="E18" s="6" t="s">
        <v>37</v>
      </c>
    </row>
    <row r="19" spans="3:5" x14ac:dyDescent="0.25">
      <c r="C19" s="5" t="s">
        <v>38</v>
      </c>
      <c r="D19" s="5" t="s">
        <v>39</v>
      </c>
      <c r="E19" s="6" t="s">
        <v>40</v>
      </c>
    </row>
    <row r="20" spans="3:5" x14ac:dyDescent="0.25">
      <c r="C20" s="5" t="s">
        <v>41</v>
      </c>
      <c r="D20" s="5" t="s">
        <v>42</v>
      </c>
      <c r="E20" s="6" t="s">
        <v>43</v>
      </c>
    </row>
    <row r="21" spans="3:5" x14ac:dyDescent="0.25">
      <c r="C21" s="7" t="s">
        <v>44</v>
      </c>
      <c r="D21" s="7" t="s">
        <v>45</v>
      </c>
      <c r="E21" s="8" t="s">
        <v>46</v>
      </c>
    </row>
    <row r="22" spans="3:5" x14ac:dyDescent="0.25">
      <c r="C22" s="7" t="s">
        <v>47</v>
      </c>
      <c r="D22" s="7" t="s">
        <v>45</v>
      </c>
      <c r="E22" s="8" t="s">
        <v>48</v>
      </c>
    </row>
    <row r="23" spans="3:5" x14ac:dyDescent="0.25">
      <c r="C23" s="5" t="s">
        <v>49</v>
      </c>
      <c r="D23" s="5" t="s">
        <v>50</v>
      </c>
      <c r="E23" s="6" t="s">
        <v>51</v>
      </c>
    </row>
    <row r="24" spans="3:5" x14ac:dyDescent="0.25">
      <c r="C24" s="5" t="s">
        <v>52</v>
      </c>
      <c r="D24" s="7" t="s">
        <v>45</v>
      </c>
      <c r="E24" s="6" t="s">
        <v>53</v>
      </c>
    </row>
    <row r="25" spans="3:5" x14ac:dyDescent="0.25">
      <c r="C25" s="5" t="s">
        <v>54</v>
      </c>
      <c r="D25" s="5" t="s">
        <v>55</v>
      </c>
      <c r="E25" s="6" t="s">
        <v>56</v>
      </c>
    </row>
    <row r="26" spans="3:5" x14ac:dyDescent="0.25">
      <c r="C26" s="5" t="s">
        <v>57</v>
      </c>
      <c r="D26" s="5" t="s">
        <v>58</v>
      </c>
      <c r="E26" s="6" t="s">
        <v>59</v>
      </c>
    </row>
    <row r="27" spans="3:5" x14ac:dyDescent="0.25">
      <c r="C27" s="7" t="s">
        <v>60</v>
      </c>
      <c r="D27" s="7" t="s">
        <v>61</v>
      </c>
      <c r="E27" s="8" t="s">
        <v>62</v>
      </c>
    </row>
    <row r="28" spans="3:5" x14ac:dyDescent="0.25">
      <c r="C28" s="5" t="s">
        <v>63</v>
      </c>
      <c r="D28" s="5" t="s">
        <v>64</v>
      </c>
      <c r="E28" s="6" t="s">
        <v>65</v>
      </c>
    </row>
    <row r="29" spans="3:5" x14ac:dyDescent="0.25">
      <c r="C29" s="5" t="s">
        <v>66</v>
      </c>
      <c r="D29" s="5" t="s">
        <v>67</v>
      </c>
      <c r="E29" s="6" t="s">
        <v>68</v>
      </c>
    </row>
    <row r="30" spans="3:5" x14ac:dyDescent="0.25">
      <c r="C30" s="5" t="s">
        <v>69</v>
      </c>
      <c r="D30" s="5" t="s">
        <v>67</v>
      </c>
      <c r="E30" s="6" t="s">
        <v>70</v>
      </c>
    </row>
    <row r="31" spans="3:5" x14ac:dyDescent="0.25">
      <c r="C31" s="7" t="s">
        <v>71</v>
      </c>
      <c r="D31" s="7" t="s">
        <v>72</v>
      </c>
      <c r="E31" s="8" t="s">
        <v>73</v>
      </c>
    </row>
    <row r="32" spans="3:5" x14ac:dyDescent="0.25">
      <c r="C32" s="7" t="s">
        <v>74</v>
      </c>
      <c r="D32" s="7" t="s">
        <v>75</v>
      </c>
      <c r="E32" s="8" t="s">
        <v>76</v>
      </c>
    </row>
    <row r="33" spans="3:5" ht="15.75" x14ac:dyDescent="0.25">
      <c r="C33" s="7" t="s">
        <v>77</v>
      </c>
      <c r="D33" s="7" t="s">
        <v>78</v>
      </c>
      <c r="E33" s="9" t="s">
        <v>79</v>
      </c>
    </row>
    <row r="34" spans="3:5" x14ac:dyDescent="0.25">
      <c r="C34" s="5" t="s">
        <v>80</v>
      </c>
      <c r="D34" s="5" t="s">
        <v>81</v>
      </c>
      <c r="E34" s="6" t="s">
        <v>82</v>
      </c>
    </row>
    <row r="35" spans="3:5" x14ac:dyDescent="0.25">
      <c r="C35" s="7" t="s">
        <v>83</v>
      </c>
      <c r="D35" s="7" t="s">
        <v>84</v>
      </c>
      <c r="E35" s="8" t="s">
        <v>85</v>
      </c>
    </row>
    <row r="36" spans="3:5" x14ac:dyDescent="0.25">
      <c r="C36" s="7" t="s">
        <v>86</v>
      </c>
      <c r="D36" s="7" t="s">
        <v>64</v>
      </c>
      <c r="E36" s="8" t="s">
        <v>87</v>
      </c>
    </row>
    <row r="37" spans="3:5" x14ac:dyDescent="0.25">
      <c r="C37" s="5" t="s">
        <v>88</v>
      </c>
      <c r="D37" s="5" t="s">
        <v>84</v>
      </c>
      <c r="E37" s="6" t="s">
        <v>89</v>
      </c>
    </row>
    <row r="38" spans="3:5" x14ac:dyDescent="0.25">
      <c r="C38" s="7" t="s">
        <v>90</v>
      </c>
      <c r="D38" s="7" t="s">
        <v>91</v>
      </c>
      <c r="E38" s="8" t="s">
        <v>92</v>
      </c>
    </row>
    <row r="39" spans="3:5" x14ac:dyDescent="0.25">
      <c r="C39" s="7" t="s">
        <v>93</v>
      </c>
      <c r="D39" s="7" t="s">
        <v>94</v>
      </c>
      <c r="E39" s="8" t="s">
        <v>95</v>
      </c>
    </row>
    <row r="40" spans="3:5" x14ac:dyDescent="0.25">
      <c r="C40" s="5" t="s">
        <v>96</v>
      </c>
      <c r="D40" s="5" t="s">
        <v>97</v>
      </c>
      <c r="E40" s="6" t="s">
        <v>98</v>
      </c>
    </row>
    <row r="41" spans="3:5" x14ac:dyDescent="0.25">
      <c r="C41" s="7" t="s">
        <v>99</v>
      </c>
      <c r="D41" s="7" t="s">
        <v>100</v>
      </c>
      <c r="E41" s="8" t="s">
        <v>101</v>
      </c>
    </row>
    <row r="42" spans="3:5" x14ac:dyDescent="0.25">
      <c r="C42" s="5" t="s">
        <v>102</v>
      </c>
      <c r="D42" s="5" t="s">
        <v>103</v>
      </c>
      <c r="E42" s="6" t="s">
        <v>104</v>
      </c>
    </row>
    <row r="43" spans="3:5" x14ac:dyDescent="0.25">
      <c r="C43" s="5" t="s">
        <v>105</v>
      </c>
      <c r="D43" s="5" t="s">
        <v>106</v>
      </c>
      <c r="E43" s="6" t="s">
        <v>107</v>
      </c>
    </row>
    <row r="44" spans="3:5" x14ac:dyDescent="0.25">
      <c r="C44" s="7" t="s">
        <v>108</v>
      </c>
      <c r="D44" s="7" t="s">
        <v>72</v>
      </c>
      <c r="E44" s="8" t="s">
        <v>109</v>
      </c>
    </row>
    <row r="45" spans="3:5" x14ac:dyDescent="0.25">
      <c r="C45" s="7" t="s">
        <v>110</v>
      </c>
      <c r="D45" s="7" t="s">
        <v>20</v>
      </c>
      <c r="E45" s="8" t="s">
        <v>111</v>
      </c>
    </row>
    <row r="46" spans="3:5" x14ac:dyDescent="0.25">
      <c r="C46" s="5" t="s">
        <v>112</v>
      </c>
      <c r="D46" s="5" t="s">
        <v>55</v>
      </c>
      <c r="E46" s="6" t="s">
        <v>113</v>
      </c>
    </row>
    <row r="47" spans="3:5" x14ac:dyDescent="0.25">
      <c r="C47" s="7" t="s">
        <v>114</v>
      </c>
      <c r="D47" s="7" t="s">
        <v>72</v>
      </c>
      <c r="E47" s="8" t="s">
        <v>115</v>
      </c>
    </row>
    <row r="48" spans="3:5" x14ac:dyDescent="0.25">
      <c r="C48" s="5" t="s">
        <v>116</v>
      </c>
      <c r="D48" s="5" t="s">
        <v>117</v>
      </c>
      <c r="E48" s="6" t="s">
        <v>118</v>
      </c>
    </row>
    <row r="49" spans="3:5" x14ac:dyDescent="0.25">
      <c r="C49" s="5" t="s">
        <v>119</v>
      </c>
      <c r="D49" s="5" t="s">
        <v>72</v>
      </c>
      <c r="E49" s="6" t="s">
        <v>120</v>
      </c>
    </row>
    <row r="50" spans="3:5" x14ac:dyDescent="0.25">
      <c r="C50" s="5" t="s">
        <v>121</v>
      </c>
      <c r="D50" s="5" t="s">
        <v>122</v>
      </c>
      <c r="E50" s="6" t="s">
        <v>123</v>
      </c>
    </row>
    <row r="51" spans="3:5" x14ac:dyDescent="0.25">
      <c r="C51" s="5" t="s">
        <v>124</v>
      </c>
      <c r="D51" s="5" t="s">
        <v>72</v>
      </c>
      <c r="E51" s="6" t="s">
        <v>125</v>
      </c>
    </row>
    <row r="52" spans="3:5" x14ac:dyDescent="0.25">
      <c r="C52" s="7" t="s">
        <v>126</v>
      </c>
      <c r="D52" s="7" t="s">
        <v>127</v>
      </c>
      <c r="E52" s="8" t="s">
        <v>128</v>
      </c>
    </row>
    <row r="53" spans="3:5" x14ac:dyDescent="0.25">
      <c r="C53" s="5" t="s">
        <v>129</v>
      </c>
      <c r="D53" s="5" t="s">
        <v>130</v>
      </c>
      <c r="E53" s="6" t="s">
        <v>131</v>
      </c>
    </row>
    <row r="54" spans="3:5" x14ac:dyDescent="0.25">
      <c r="C54" s="5" t="s">
        <v>132</v>
      </c>
      <c r="D54" s="5" t="s">
        <v>84</v>
      </c>
      <c r="E54" s="6" t="s">
        <v>133</v>
      </c>
    </row>
    <row r="55" spans="3:5" x14ac:dyDescent="0.25">
      <c r="C55" s="5" t="s">
        <v>134</v>
      </c>
      <c r="D55" s="5" t="s">
        <v>135</v>
      </c>
      <c r="E55" s="6" t="s">
        <v>136</v>
      </c>
    </row>
    <row r="56" spans="3:5" x14ac:dyDescent="0.25">
      <c r="C56" s="5" t="s">
        <v>137</v>
      </c>
      <c r="D56" s="5" t="s">
        <v>138</v>
      </c>
      <c r="E56" s="6" t="s">
        <v>139</v>
      </c>
    </row>
    <row r="57" spans="3:5" x14ac:dyDescent="0.25">
      <c r="C57" s="5" t="s">
        <v>140</v>
      </c>
      <c r="D57" s="5" t="s">
        <v>138</v>
      </c>
      <c r="E57" s="10" t="s">
        <v>141</v>
      </c>
    </row>
    <row r="58" spans="3:5" x14ac:dyDescent="0.25">
      <c r="C58" s="5" t="s">
        <v>142</v>
      </c>
      <c r="D58" s="7" t="s">
        <v>45</v>
      </c>
      <c r="E58" s="6" t="s">
        <v>143</v>
      </c>
    </row>
    <row r="59" spans="3:5" x14ac:dyDescent="0.25">
      <c r="C59" s="5" t="s">
        <v>144</v>
      </c>
      <c r="D59" s="5" t="s">
        <v>145</v>
      </c>
      <c r="E59" s="11" t="s">
        <v>146</v>
      </c>
    </row>
    <row r="60" spans="3:5" x14ac:dyDescent="0.25">
      <c r="C60" s="7" t="s">
        <v>147</v>
      </c>
      <c r="D60" s="7" t="s">
        <v>148</v>
      </c>
      <c r="E60" s="8" t="s">
        <v>149</v>
      </c>
    </row>
    <row r="61" spans="3:5" x14ac:dyDescent="0.25">
      <c r="C61" s="12" t="s">
        <v>150</v>
      </c>
      <c r="D61" s="7" t="s">
        <v>151</v>
      </c>
      <c r="E61" s="8" t="s">
        <v>152</v>
      </c>
    </row>
    <row r="62" spans="3:5" x14ac:dyDescent="0.25">
      <c r="C62" s="7" t="s">
        <v>153</v>
      </c>
      <c r="D62" s="7" t="s">
        <v>72</v>
      </c>
      <c r="E62" s="8" t="s">
        <v>154</v>
      </c>
    </row>
    <row r="63" spans="3:5" x14ac:dyDescent="0.25">
      <c r="C63" s="5" t="s">
        <v>155</v>
      </c>
      <c r="D63" s="5" t="s">
        <v>156</v>
      </c>
      <c r="E63" s="6" t="s">
        <v>157</v>
      </c>
    </row>
    <row r="64" spans="3:5" x14ac:dyDescent="0.25">
      <c r="C64" s="7" t="s">
        <v>158</v>
      </c>
      <c r="D64" s="7" t="s">
        <v>159</v>
      </c>
      <c r="E64" s="8" t="s">
        <v>160</v>
      </c>
    </row>
    <row r="65" spans="3:5" x14ac:dyDescent="0.25">
      <c r="C65" s="5" t="s">
        <v>161</v>
      </c>
      <c r="D65" s="5" t="s">
        <v>91</v>
      </c>
      <c r="E65" s="6" t="s">
        <v>162</v>
      </c>
    </row>
    <row r="66" spans="3:5" x14ac:dyDescent="0.25">
      <c r="C66" s="5" t="s">
        <v>163</v>
      </c>
      <c r="D66" s="5" t="s">
        <v>164</v>
      </c>
      <c r="E66" s="6" t="s">
        <v>165</v>
      </c>
    </row>
    <row r="67" spans="3:5" x14ac:dyDescent="0.25">
      <c r="C67" s="5" t="s">
        <v>166</v>
      </c>
      <c r="D67" s="5" t="s">
        <v>167</v>
      </c>
      <c r="E67" s="6" t="s">
        <v>168</v>
      </c>
    </row>
    <row r="68" spans="3:5" x14ac:dyDescent="0.25">
      <c r="C68" s="7" t="s">
        <v>169</v>
      </c>
      <c r="D68" s="7" t="s">
        <v>170</v>
      </c>
      <c r="E68" s="8" t="s">
        <v>171</v>
      </c>
    </row>
    <row r="69" spans="3:5" x14ac:dyDescent="0.25">
      <c r="C69" s="5" t="s">
        <v>172</v>
      </c>
      <c r="D69" s="5" t="s">
        <v>173</v>
      </c>
      <c r="E69" s="6" t="s">
        <v>174</v>
      </c>
    </row>
    <row r="70" spans="3:5" x14ac:dyDescent="0.25">
      <c r="C70" s="5" t="s">
        <v>175</v>
      </c>
      <c r="D70" s="5" t="s">
        <v>72</v>
      </c>
      <c r="E70" s="6" t="s">
        <v>176</v>
      </c>
    </row>
    <row r="71" spans="3:5" x14ac:dyDescent="0.25">
      <c r="C71" s="5" t="s">
        <v>177</v>
      </c>
      <c r="D71" s="5" t="s">
        <v>156</v>
      </c>
      <c r="E71" s="6" t="s">
        <v>178</v>
      </c>
    </row>
    <row r="72" spans="3:5" x14ac:dyDescent="0.25">
      <c r="C72" s="7" t="s">
        <v>179</v>
      </c>
      <c r="D72" s="7" t="s">
        <v>180</v>
      </c>
      <c r="E72" s="8" t="s">
        <v>181</v>
      </c>
    </row>
    <row r="73" spans="3:5" x14ac:dyDescent="0.25">
      <c r="C73" s="5" t="s">
        <v>182</v>
      </c>
      <c r="D73" s="5" t="s">
        <v>20</v>
      </c>
      <c r="E73" s="6" t="s">
        <v>183</v>
      </c>
    </row>
    <row r="74" spans="3:5" x14ac:dyDescent="0.25">
      <c r="C74" s="5" t="s">
        <v>184</v>
      </c>
      <c r="D74" s="5" t="s">
        <v>185</v>
      </c>
      <c r="E74" s="6" t="s">
        <v>186</v>
      </c>
    </row>
    <row r="75" spans="3:5" x14ac:dyDescent="0.25">
      <c r="C75" s="5" t="s">
        <v>187</v>
      </c>
      <c r="D75" s="5" t="s">
        <v>188</v>
      </c>
      <c r="E75" s="6" t="s">
        <v>189</v>
      </c>
    </row>
    <row r="76" spans="3:5" x14ac:dyDescent="0.25">
      <c r="C76" s="5" t="s">
        <v>190</v>
      </c>
      <c r="D76" s="5" t="s">
        <v>191</v>
      </c>
      <c r="E76" s="6" t="s">
        <v>192</v>
      </c>
    </row>
    <row r="77" spans="3:5" x14ac:dyDescent="0.25">
      <c r="C77" s="5" t="s">
        <v>193</v>
      </c>
      <c r="D77" s="5" t="s">
        <v>194</v>
      </c>
      <c r="E77" s="6" t="s">
        <v>195</v>
      </c>
    </row>
    <row r="78" spans="3:5" x14ac:dyDescent="0.25">
      <c r="C78" s="7" t="s">
        <v>196</v>
      </c>
      <c r="D78" s="7" t="s">
        <v>64</v>
      </c>
      <c r="E78" s="8" t="s">
        <v>197</v>
      </c>
    </row>
    <row r="79" spans="3:5" x14ac:dyDescent="0.25">
      <c r="C79" s="7" t="s">
        <v>198</v>
      </c>
      <c r="D79" s="7" t="s">
        <v>199</v>
      </c>
      <c r="E79" s="8" t="s">
        <v>200</v>
      </c>
    </row>
    <row r="80" spans="3:5" x14ac:dyDescent="0.25">
      <c r="C80" s="5" t="s">
        <v>201</v>
      </c>
      <c r="D80" s="5" t="s">
        <v>202</v>
      </c>
      <c r="E80" s="6" t="s">
        <v>203</v>
      </c>
    </row>
    <row r="81" spans="3:5" x14ac:dyDescent="0.25">
      <c r="C81" s="7" t="s">
        <v>204</v>
      </c>
      <c r="D81" s="7" t="s">
        <v>205</v>
      </c>
      <c r="E81" s="8" t="s">
        <v>206</v>
      </c>
    </row>
    <row r="82" spans="3:5" x14ac:dyDescent="0.25">
      <c r="C82" s="5" t="s">
        <v>207</v>
      </c>
      <c r="D82" s="5" t="s">
        <v>208</v>
      </c>
      <c r="E82" s="6" t="s">
        <v>209</v>
      </c>
    </row>
    <row r="83" spans="3:5" x14ac:dyDescent="0.25">
      <c r="C83" s="7" t="s">
        <v>210</v>
      </c>
      <c r="D83" s="7" t="s">
        <v>211</v>
      </c>
      <c r="E83" s="8" t="s">
        <v>212</v>
      </c>
    </row>
    <row r="84" spans="3:5" x14ac:dyDescent="0.25">
      <c r="C84" s="5" t="s">
        <v>213</v>
      </c>
      <c r="D84" s="5" t="s">
        <v>214</v>
      </c>
      <c r="E84" s="6" t="s">
        <v>215</v>
      </c>
    </row>
    <row r="85" spans="3:5" x14ac:dyDescent="0.25">
      <c r="C85" s="5" t="s">
        <v>216</v>
      </c>
      <c r="D85" s="5" t="s">
        <v>217</v>
      </c>
      <c r="E85" s="6" t="s">
        <v>218</v>
      </c>
    </row>
    <row r="86" spans="3:5" x14ac:dyDescent="0.25">
      <c r="C86" s="7" t="s">
        <v>219</v>
      </c>
      <c r="D86" s="7" t="s">
        <v>220</v>
      </c>
      <c r="E86" s="8" t="s">
        <v>221</v>
      </c>
    </row>
    <row r="87" spans="3:5" x14ac:dyDescent="0.25">
      <c r="C87" s="5" t="s">
        <v>222</v>
      </c>
      <c r="D87" s="5" t="s">
        <v>223</v>
      </c>
      <c r="E87" s="6" t="s">
        <v>224</v>
      </c>
    </row>
    <row r="88" spans="3:5" x14ac:dyDescent="0.25">
      <c r="C88" s="5" t="s">
        <v>225</v>
      </c>
      <c r="D88" s="5" t="s">
        <v>226</v>
      </c>
      <c r="E88" s="6" t="s">
        <v>227</v>
      </c>
    </row>
    <row r="89" spans="3:5" x14ac:dyDescent="0.25">
      <c r="C89" s="5" t="s">
        <v>228</v>
      </c>
      <c r="D89" s="5" t="s">
        <v>229</v>
      </c>
      <c r="E89" s="6" t="s">
        <v>230</v>
      </c>
    </row>
    <row r="90" spans="3:5" x14ac:dyDescent="0.25">
      <c r="C90" s="7" t="s">
        <v>231</v>
      </c>
      <c r="D90" s="12" t="s">
        <v>232</v>
      </c>
      <c r="E90" s="8" t="s">
        <v>233</v>
      </c>
    </row>
    <row r="91" spans="3:5" x14ac:dyDescent="0.25">
      <c r="C91" s="7" t="s">
        <v>234</v>
      </c>
      <c r="D91" s="7" t="s">
        <v>235</v>
      </c>
      <c r="E91" s="8" t="s">
        <v>236</v>
      </c>
    </row>
    <row r="92" spans="3:5" x14ac:dyDescent="0.25">
      <c r="C92" s="7" t="s">
        <v>237</v>
      </c>
      <c r="D92" s="7" t="s">
        <v>194</v>
      </c>
      <c r="E92" s="8" t="s">
        <v>238</v>
      </c>
    </row>
    <row r="93" spans="3:5" x14ac:dyDescent="0.25">
      <c r="C93" s="5" t="s">
        <v>239</v>
      </c>
      <c r="D93" s="5" t="s">
        <v>240</v>
      </c>
      <c r="E93" s="6" t="s">
        <v>241</v>
      </c>
    </row>
    <row r="94" spans="3:5" x14ac:dyDescent="0.25">
      <c r="C94" s="5" t="s">
        <v>242</v>
      </c>
      <c r="D94" s="5" t="s">
        <v>130</v>
      </c>
      <c r="E94" s="6" t="s">
        <v>243</v>
      </c>
    </row>
    <row r="95" spans="3:5" x14ac:dyDescent="0.25">
      <c r="C95" s="5" t="s">
        <v>244</v>
      </c>
      <c r="D95" s="5" t="s">
        <v>245</v>
      </c>
      <c r="E95" s="6" t="s">
        <v>246</v>
      </c>
    </row>
    <row r="96" spans="3:5" x14ac:dyDescent="0.25">
      <c r="C96" s="7" t="s">
        <v>247</v>
      </c>
      <c r="D96" s="7" t="s">
        <v>185</v>
      </c>
      <c r="E96" s="8" t="s">
        <v>248</v>
      </c>
    </row>
    <row r="97" spans="3:5" x14ac:dyDescent="0.25">
      <c r="C97" s="7" t="s">
        <v>249</v>
      </c>
      <c r="D97" s="7" t="s">
        <v>250</v>
      </c>
      <c r="E97" s="8" t="s">
        <v>251</v>
      </c>
    </row>
    <row r="98" spans="3:5" x14ac:dyDescent="0.25">
      <c r="C98" s="5" t="s">
        <v>252</v>
      </c>
      <c r="D98" s="5" t="s">
        <v>42</v>
      </c>
      <c r="E98" s="6" t="s">
        <v>253</v>
      </c>
    </row>
    <row r="99" spans="3:5" x14ac:dyDescent="0.25">
      <c r="C99" s="5" t="s">
        <v>254</v>
      </c>
      <c r="D99" s="5" t="s">
        <v>255</v>
      </c>
      <c r="E99" s="6" t="s">
        <v>256</v>
      </c>
    </row>
    <row r="100" spans="3:5" x14ac:dyDescent="0.25">
      <c r="C100" s="5" t="s">
        <v>257</v>
      </c>
      <c r="D100" s="5" t="s">
        <v>255</v>
      </c>
      <c r="E100" s="6" t="s">
        <v>258</v>
      </c>
    </row>
    <row r="101" spans="3:5" x14ac:dyDescent="0.25">
      <c r="C101" s="5" t="s">
        <v>259</v>
      </c>
      <c r="D101" s="5" t="s">
        <v>75</v>
      </c>
      <c r="E101" s="6" t="s">
        <v>260</v>
      </c>
    </row>
    <row r="102" spans="3:5" x14ac:dyDescent="0.25">
      <c r="C102" s="5" t="s">
        <v>261</v>
      </c>
      <c r="D102" s="5" t="s">
        <v>262</v>
      </c>
      <c r="E102" s="6" t="s">
        <v>263</v>
      </c>
    </row>
    <row r="103" spans="3:5" x14ac:dyDescent="0.25">
      <c r="C103" s="5" t="s">
        <v>264</v>
      </c>
      <c r="D103" s="5" t="s">
        <v>45</v>
      </c>
      <c r="E103" s="6" t="s">
        <v>265</v>
      </c>
    </row>
    <row r="104" spans="3:5" x14ac:dyDescent="0.25">
      <c r="C104" s="7" t="s">
        <v>266</v>
      </c>
      <c r="D104" s="7" t="s">
        <v>267</v>
      </c>
      <c r="E104" s="8" t="s">
        <v>268</v>
      </c>
    </row>
    <row r="105" spans="3:5" x14ac:dyDescent="0.25">
      <c r="C105" s="5" t="s">
        <v>269</v>
      </c>
      <c r="D105" s="5" t="s">
        <v>270</v>
      </c>
      <c r="E105" s="6" t="s">
        <v>271</v>
      </c>
    </row>
    <row r="106" spans="3:5" x14ac:dyDescent="0.25">
      <c r="C106" s="7" t="s">
        <v>272</v>
      </c>
      <c r="D106" s="7" t="s">
        <v>45</v>
      </c>
      <c r="E106" s="8" t="s">
        <v>273</v>
      </c>
    </row>
    <row r="107" spans="3:5" x14ac:dyDescent="0.25">
      <c r="C107" s="5" t="s">
        <v>274</v>
      </c>
      <c r="D107" s="5" t="s">
        <v>275</v>
      </c>
      <c r="E107" s="6" t="s">
        <v>276</v>
      </c>
    </row>
    <row r="108" spans="3:5" x14ac:dyDescent="0.25">
      <c r="C108" s="7" t="s">
        <v>277</v>
      </c>
      <c r="D108" s="7" t="s">
        <v>194</v>
      </c>
      <c r="E108" s="8" t="s">
        <v>278</v>
      </c>
    </row>
    <row r="109" spans="3:5" x14ac:dyDescent="0.25">
      <c r="C109" s="5" t="s">
        <v>279</v>
      </c>
      <c r="D109" s="5" t="s">
        <v>8</v>
      </c>
      <c r="E109" s="6" t="s">
        <v>280</v>
      </c>
    </row>
    <row r="110" spans="3:5" x14ac:dyDescent="0.25">
      <c r="C110" s="5" t="s">
        <v>281</v>
      </c>
      <c r="D110" s="5" t="s">
        <v>282</v>
      </c>
      <c r="E110" s="6"/>
    </row>
    <row r="111" spans="3:5" x14ac:dyDescent="0.25">
      <c r="C111" s="7" t="s">
        <v>283</v>
      </c>
      <c r="D111" s="7" t="s">
        <v>81</v>
      </c>
      <c r="E111" s="8" t="s">
        <v>284</v>
      </c>
    </row>
    <row r="112" spans="3:5" x14ac:dyDescent="0.25">
      <c r="C112" s="5" t="s">
        <v>285</v>
      </c>
      <c r="D112" s="5" t="s">
        <v>191</v>
      </c>
      <c r="E112" s="6" t="s">
        <v>286</v>
      </c>
    </row>
    <row r="113" spans="3:5" x14ac:dyDescent="0.25">
      <c r="C113" s="5" t="s">
        <v>287</v>
      </c>
      <c r="D113" s="5" t="s">
        <v>156</v>
      </c>
      <c r="E113" s="6" t="s">
        <v>288</v>
      </c>
    </row>
    <row r="114" spans="3:5" x14ac:dyDescent="0.25">
      <c r="C114" s="7" t="s">
        <v>289</v>
      </c>
      <c r="D114" s="7" t="s">
        <v>45</v>
      </c>
      <c r="E114" s="8" t="s">
        <v>290</v>
      </c>
    </row>
    <row r="115" spans="3:5" x14ac:dyDescent="0.25">
      <c r="C115" s="5" t="s">
        <v>291</v>
      </c>
      <c r="D115" s="13" t="s">
        <v>255</v>
      </c>
      <c r="E115" s="6"/>
    </row>
    <row r="116" spans="3:5" x14ac:dyDescent="0.25">
      <c r="C116" s="7" t="s">
        <v>292</v>
      </c>
      <c r="D116" s="7" t="s">
        <v>293</v>
      </c>
      <c r="E116" s="8" t="s">
        <v>294</v>
      </c>
    </row>
    <row r="117" spans="3:5" x14ac:dyDescent="0.25">
      <c r="C117" s="5" t="s">
        <v>295</v>
      </c>
      <c r="D117" s="5" t="s">
        <v>127</v>
      </c>
      <c r="E117" s="6" t="s">
        <v>296</v>
      </c>
    </row>
    <row r="118" spans="3:5" x14ac:dyDescent="0.25">
      <c r="C118" s="7" t="s">
        <v>297</v>
      </c>
      <c r="D118" s="7" t="s">
        <v>61</v>
      </c>
      <c r="E118" s="8" t="s">
        <v>298</v>
      </c>
    </row>
    <row r="119" spans="3:5" x14ac:dyDescent="0.25">
      <c r="C119" s="5" t="s">
        <v>299</v>
      </c>
      <c r="D119" s="5" t="s">
        <v>300</v>
      </c>
      <c r="E119" s="6" t="s">
        <v>301</v>
      </c>
    </row>
    <row r="120" spans="3:5" x14ac:dyDescent="0.25">
      <c r="C120" s="7" t="s">
        <v>302</v>
      </c>
      <c r="D120" s="7" t="s">
        <v>72</v>
      </c>
      <c r="E120" s="8" t="s">
        <v>303</v>
      </c>
    </row>
    <row r="121" spans="3:5" x14ac:dyDescent="0.25">
      <c r="C121" s="5" t="s">
        <v>304</v>
      </c>
      <c r="D121" s="5" t="s">
        <v>305</v>
      </c>
      <c r="E121" s="6" t="s">
        <v>306</v>
      </c>
    </row>
    <row r="122" spans="3:5" x14ac:dyDescent="0.25">
      <c r="C122" s="5" t="s">
        <v>307</v>
      </c>
      <c r="D122" s="5" t="s">
        <v>39</v>
      </c>
      <c r="E122" s="6" t="s">
        <v>308</v>
      </c>
    </row>
    <row r="123" spans="3:5" x14ac:dyDescent="0.25">
      <c r="C123" s="5" t="s">
        <v>309</v>
      </c>
      <c r="D123" s="5" t="s">
        <v>72</v>
      </c>
      <c r="E123" s="6" t="s">
        <v>310</v>
      </c>
    </row>
    <row r="124" spans="3:5" x14ac:dyDescent="0.25">
      <c r="C124" s="5" t="s">
        <v>311</v>
      </c>
      <c r="D124" s="5" t="s">
        <v>84</v>
      </c>
      <c r="E124" s="6" t="s">
        <v>312</v>
      </c>
    </row>
    <row r="125" spans="3:5" x14ac:dyDescent="0.25">
      <c r="C125" s="5" t="s">
        <v>313</v>
      </c>
      <c r="D125" s="5" t="s">
        <v>314</v>
      </c>
      <c r="E125" s="6" t="s">
        <v>315</v>
      </c>
    </row>
    <row r="126" spans="3:5" x14ac:dyDescent="0.25">
      <c r="C126" s="7" t="s">
        <v>316</v>
      </c>
      <c r="D126" s="7" t="s">
        <v>45</v>
      </c>
      <c r="E126" s="8" t="s">
        <v>317</v>
      </c>
    </row>
    <row r="127" spans="3:5" x14ac:dyDescent="0.25">
      <c r="C127" s="5" t="s">
        <v>318</v>
      </c>
      <c r="D127" s="5" t="s">
        <v>148</v>
      </c>
      <c r="E127" s="6" t="s">
        <v>319</v>
      </c>
    </row>
    <row r="128" spans="3:5" x14ac:dyDescent="0.25">
      <c r="C128" s="7" t="s">
        <v>320</v>
      </c>
      <c r="D128" s="7" t="s">
        <v>321</v>
      </c>
      <c r="E128" s="8" t="s">
        <v>322</v>
      </c>
    </row>
    <row r="129" spans="3:5" x14ac:dyDescent="0.25">
      <c r="C129" s="7" t="s">
        <v>323</v>
      </c>
      <c r="D129" s="7" t="s">
        <v>235</v>
      </c>
      <c r="E129" s="8" t="s">
        <v>324</v>
      </c>
    </row>
    <row r="130" spans="3:5" x14ac:dyDescent="0.25">
      <c r="C130" s="7" t="s">
        <v>325</v>
      </c>
      <c r="D130" s="7" t="s">
        <v>326</v>
      </c>
      <c r="E130" s="8" t="s">
        <v>327</v>
      </c>
    </row>
    <row r="131" spans="3:5" x14ac:dyDescent="0.25">
      <c r="C131" s="5" t="s">
        <v>328</v>
      </c>
      <c r="D131" s="5" t="s">
        <v>329</v>
      </c>
      <c r="E131" s="6" t="s">
        <v>330</v>
      </c>
    </row>
    <row r="132" spans="3:5" x14ac:dyDescent="0.25">
      <c r="C132" s="5" t="s">
        <v>331</v>
      </c>
      <c r="D132" s="5" t="s">
        <v>332</v>
      </c>
      <c r="E132" s="6" t="s">
        <v>333</v>
      </c>
    </row>
    <row r="133" spans="3:5" x14ac:dyDescent="0.25">
      <c r="C133" s="5" t="s">
        <v>334</v>
      </c>
      <c r="D133" s="5" t="s">
        <v>33</v>
      </c>
      <c r="E133" s="6" t="s">
        <v>335</v>
      </c>
    </row>
    <row r="134" spans="3:5" x14ac:dyDescent="0.25">
      <c r="C134" s="5" t="s">
        <v>336</v>
      </c>
      <c r="D134" s="5" t="s">
        <v>67</v>
      </c>
      <c r="E134" s="6" t="s">
        <v>337</v>
      </c>
    </row>
    <row r="135" spans="3:5" x14ac:dyDescent="0.25">
      <c r="C135" s="7" t="s">
        <v>338</v>
      </c>
      <c r="D135" s="7" t="s">
        <v>67</v>
      </c>
      <c r="E135" s="8" t="s">
        <v>339</v>
      </c>
    </row>
    <row r="136" spans="3:5" ht="15.75" x14ac:dyDescent="0.25">
      <c r="C136" s="14" t="s">
        <v>340</v>
      </c>
      <c r="D136" s="14" t="s">
        <v>255</v>
      </c>
      <c r="E136" s="6"/>
    </row>
    <row r="137" spans="3:5" x14ac:dyDescent="0.25">
      <c r="C137" s="5" t="s">
        <v>341</v>
      </c>
      <c r="D137" s="5" t="s">
        <v>342</v>
      </c>
      <c r="E137" s="6" t="s">
        <v>343</v>
      </c>
    </row>
    <row r="138" spans="3:5" ht="15.75" x14ac:dyDescent="0.25">
      <c r="C138" s="14" t="s">
        <v>344</v>
      </c>
      <c r="D138" s="14" t="s">
        <v>33</v>
      </c>
      <c r="E138" s="6" t="s">
        <v>345</v>
      </c>
    </row>
    <row r="139" spans="3:5" x14ac:dyDescent="0.25">
      <c r="C139" s="5" t="s">
        <v>346</v>
      </c>
      <c r="D139" s="5" t="s">
        <v>347</v>
      </c>
      <c r="E139" s="6" t="s">
        <v>348</v>
      </c>
    </row>
    <row r="140" spans="3:5" x14ac:dyDescent="0.25">
      <c r="C140" s="5" t="s">
        <v>349</v>
      </c>
      <c r="D140" s="5" t="s">
        <v>350</v>
      </c>
      <c r="E140" s="6" t="s">
        <v>351</v>
      </c>
    </row>
    <row r="141" spans="3:5" x14ac:dyDescent="0.25">
      <c r="C141" s="5" t="s">
        <v>352</v>
      </c>
      <c r="D141" s="5" t="s">
        <v>45</v>
      </c>
      <c r="E141" s="6" t="s">
        <v>353</v>
      </c>
    </row>
    <row r="142" spans="3:5" x14ac:dyDescent="0.25">
      <c r="C142" s="7" t="s">
        <v>354</v>
      </c>
      <c r="D142" s="7" t="s">
        <v>355</v>
      </c>
      <c r="E142" s="8" t="s">
        <v>356</v>
      </c>
    </row>
    <row r="143" spans="3:5" x14ac:dyDescent="0.25">
      <c r="C143" s="5" t="s">
        <v>357</v>
      </c>
      <c r="D143" s="5" t="s">
        <v>358</v>
      </c>
      <c r="E143" s="6" t="s">
        <v>359</v>
      </c>
    </row>
    <row r="144" spans="3:5" x14ac:dyDescent="0.25">
      <c r="C144" s="5" t="s">
        <v>360</v>
      </c>
      <c r="D144" s="5" t="s">
        <v>255</v>
      </c>
      <c r="E144" s="6"/>
    </row>
    <row r="145" spans="3:5" x14ac:dyDescent="0.25">
      <c r="C145" s="5" t="s">
        <v>361</v>
      </c>
      <c r="D145" s="5" t="s">
        <v>45</v>
      </c>
      <c r="E145" s="6" t="s">
        <v>362</v>
      </c>
    </row>
    <row r="146" spans="3:5" x14ac:dyDescent="0.25">
      <c r="C146" s="5" t="s">
        <v>363</v>
      </c>
      <c r="D146" s="5" t="s">
        <v>355</v>
      </c>
      <c r="E146" s="6" t="s">
        <v>364</v>
      </c>
    </row>
    <row r="147" spans="3:5" x14ac:dyDescent="0.25">
      <c r="C147" s="7" t="s">
        <v>365</v>
      </c>
      <c r="D147" s="7" t="s">
        <v>72</v>
      </c>
      <c r="E147" s="8" t="s">
        <v>366</v>
      </c>
    </row>
    <row r="148" spans="3:5" x14ac:dyDescent="0.25">
      <c r="C148" s="7" t="s">
        <v>367</v>
      </c>
      <c r="D148" s="7" t="s">
        <v>45</v>
      </c>
      <c r="E148" s="8" t="s">
        <v>368</v>
      </c>
    </row>
    <row r="149" spans="3:5" x14ac:dyDescent="0.25">
      <c r="C149" s="7" t="s">
        <v>369</v>
      </c>
      <c r="D149" s="7" t="s">
        <v>45</v>
      </c>
      <c r="E149" s="8" t="s">
        <v>370</v>
      </c>
    </row>
    <row r="150" spans="3:5" x14ac:dyDescent="0.25">
      <c r="C150" s="7" t="s">
        <v>371</v>
      </c>
      <c r="D150" s="7" t="s">
        <v>372</v>
      </c>
      <c r="E150" s="8" t="s">
        <v>373</v>
      </c>
    </row>
    <row r="151" spans="3:5" x14ac:dyDescent="0.25">
      <c r="C151" s="5" t="s">
        <v>374</v>
      </c>
      <c r="D151" s="5" t="s">
        <v>375</v>
      </c>
      <c r="E151" s="6" t="s">
        <v>376</v>
      </c>
    </row>
    <row r="152" spans="3:5" x14ac:dyDescent="0.25">
      <c r="C152" s="7" t="s">
        <v>377</v>
      </c>
      <c r="D152" s="7" t="s">
        <v>25</v>
      </c>
      <c r="E152" s="8" t="s">
        <v>378</v>
      </c>
    </row>
    <row r="153" spans="3:5" x14ac:dyDescent="0.25">
      <c r="C153" s="5" t="s">
        <v>379</v>
      </c>
      <c r="D153" s="5" t="s">
        <v>145</v>
      </c>
      <c r="E153" s="6" t="s">
        <v>380</v>
      </c>
    </row>
    <row r="154" spans="3:5" x14ac:dyDescent="0.25">
      <c r="C154" s="7" t="s">
        <v>381</v>
      </c>
      <c r="D154" s="7" t="s">
        <v>103</v>
      </c>
      <c r="E154" s="8" t="s">
        <v>382</v>
      </c>
    </row>
    <row r="155" spans="3:5" x14ac:dyDescent="0.25">
      <c r="C155" s="5" t="s">
        <v>383</v>
      </c>
      <c r="D155" s="5" t="s">
        <v>185</v>
      </c>
      <c r="E155" s="6" t="s">
        <v>384</v>
      </c>
    </row>
    <row r="156" spans="3:5" x14ac:dyDescent="0.25">
      <c r="C156" s="5" t="s">
        <v>385</v>
      </c>
      <c r="D156" s="5" t="s">
        <v>84</v>
      </c>
      <c r="E156" s="6" t="s">
        <v>386</v>
      </c>
    </row>
    <row r="157" spans="3:5" x14ac:dyDescent="0.25">
      <c r="C157" s="5" t="s">
        <v>387</v>
      </c>
      <c r="D157" s="5" t="s">
        <v>388</v>
      </c>
      <c r="E157" s="6" t="s">
        <v>389</v>
      </c>
    </row>
    <row r="158" spans="3:5" x14ac:dyDescent="0.25">
      <c r="C158" s="5" t="s">
        <v>390</v>
      </c>
      <c r="D158" s="5" t="s">
        <v>208</v>
      </c>
      <c r="E158" s="6" t="s">
        <v>391</v>
      </c>
    </row>
    <row r="159" spans="3:5" x14ac:dyDescent="0.25">
      <c r="C159" s="5" t="s">
        <v>392</v>
      </c>
      <c r="D159" s="5" t="s">
        <v>342</v>
      </c>
      <c r="E159" s="6" t="s">
        <v>393</v>
      </c>
    </row>
    <row r="160" spans="3:5" x14ac:dyDescent="0.25">
      <c r="C160" s="5" t="s">
        <v>394</v>
      </c>
      <c r="D160" s="5" t="s">
        <v>50</v>
      </c>
      <c r="E160" s="6" t="s">
        <v>395</v>
      </c>
    </row>
    <row r="161" spans="3:5" x14ac:dyDescent="0.25">
      <c r="C161" s="5" t="s">
        <v>396</v>
      </c>
      <c r="D161" s="5" t="s">
        <v>72</v>
      </c>
      <c r="E161" s="6" t="s">
        <v>397</v>
      </c>
    </row>
    <row r="162" spans="3:5" x14ac:dyDescent="0.25">
      <c r="C162" s="7" t="s">
        <v>398</v>
      </c>
      <c r="D162" s="7" t="s">
        <v>185</v>
      </c>
      <c r="E162" s="8" t="s">
        <v>399</v>
      </c>
    </row>
    <row r="163" spans="3:5" x14ac:dyDescent="0.25">
      <c r="C163" s="5" t="s">
        <v>400</v>
      </c>
      <c r="D163" s="5" t="s">
        <v>194</v>
      </c>
      <c r="E163" s="6" t="s">
        <v>401</v>
      </c>
    </row>
    <row r="164" spans="3:5" x14ac:dyDescent="0.25">
      <c r="C164" s="5" t="s">
        <v>402</v>
      </c>
      <c r="D164" s="5" t="s">
        <v>329</v>
      </c>
      <c r="E164" s="6" t="s">
        <v>403</v>
      </c>
    </row>
    <row r="165" spans="3:5" x14ac:dyDescent="0.25">
      <c r="C165" s="5" t="s">
        <v>404</v>
      </c>
      <c r="D165" s="5" t="s">
        <v>42</v>
      </c>
      <c r="E165" s="6" t="s">
        <v>405</v>
      </c>
    </row>
    <row r="166" spans="3:5" x14ac:dyDescent="0.25">
      <c r="C166" s="5" t="s">
        <v>406</v>
      </c>
      <c r="D166" s="5" t="s">
        <v>45</v>
      </c>
      <c r="E166" s="6" t="s">
        <v>407</v>
      </c>
    </row>
    <row r="167" spans="3:5" x14ac:dyDescent="0.25">
      <c r="C167" s="5" t="s">
        <v>408</v>
      </c>
      <c r="D167" s="5" t="s">
        <v>409</v>
      </c>
      <c r="E167" s="6" t="s">
        <v>410</v>
      </c>
    </row>
    <row r="168" spans="3:5" x14ac:dyDescent="0.25">
      <c r="C168" s="5" t="s">
        <v>411</v>
      </c>
      <c r="D168" s="5" t="s">
        <v>412</v>
      </c>
      <c r="E168" s="6" t="s">
        <v>413</v>
      </c>
    </row>
    <row r="169" spans="3:5" x14ac:dyDescent="0.25">
      <c r="C169" s="5" t="s">
        <v>414</v>
      </c>
      <c r="D169" s="5" t="s">
        <v>412</v>
      </c>
      <c r="E169" s="6" t="s">
        <v>415</v>
      </c>
    </row>
    <row r="170" spans="3:5" x14ac:dyDescent="0.25">
      <c r="C170" s="15"/>
      <c r="D170" s="15"/>
      <c r="E170" s="15"/>
    </row>
    <row r="171" spans="3:5" x14ac:dyDescent="0.25">
      <c r="C171" s="15"/>
      <c r="D171" s="15"/>
      <c r="E171" s="15"/>
    </row>
    <row r="172" spans="3:5" x14ac:dyDescent="0.25">
      <c r="C172" s="15"/>
      <c r="D172" s="15"/>
      <c r="E172" s="15"/>
    </row>
    <row r="173" spans="3:5" x14ac:dyDescent="0.25">
      <c r="C173" s="15"/>
      <c r="D173" s="15"/>
      <c r="E173" s="15"/>
    </row>
    <row r="174" spans="3:5" x14ac:dyDescent="0.25">
      <c r="C174" s="15"/>
      <c r="D174" s="15"/>
      <c r="E174" s="15"/>
    </row>
    <row r="175" spans="3:5" x14ac:dyDescent="0.25">
      <c r="C175" s="15"/>
      <c r="D175" s="15"/>
      <c r="E175" s="15"/>
    </row>
    <row r="176" spans="3:5" x14ac:dyDescent="0.25">
      <c r="C176" s="15"/>
      <c r="D176" s="15"/>
      <c r="E176" s="15"/>
    </row>
    <row r="177" spans="3:5" x14ac:dyDescent="0.25">
      <c r="C177" s="15"/>
      <c r="D177" s="15"/>
      <c r="E177" s="15"/>
    </row>
    <row r="178" spans="3:5" x14ac:dyDescent="0.25">
      <c r="C178" s="15"/>
      <c r="D178" s="15"/>
      <c r="E178" s="15"/>
    </row>
    <row r="179" spans="3:5" x14ac:dyDescent="0.25">
      <c r="C179" s="15"/>
      <c r="D179" s="15"/>
      <c r="E179" s="15"/>
    </row>
    <row r="180" spans="3:5" x14ac:dyDescent="0.25">
      <c r="C180" s="15"/>
      <c r="D180" s="15"/>
      <c r="E180" s="15"/>
    </row>
    <row r="181" spans="3:5" x14ac:dyDescent="0.25">
      <c r="C181" s="15"/>
      <c r="D181" s="15"/>
      <c r="E181" s="15"/>
    </row>
    <row r="182" spans="3:5" x14ac:dyDescent="0.25">
      <c r="C182" s="15"/>
      <c r="D182" s="15"/>
      <c r="E182" s="15"/>
    </row>
    <row r="183" spans="3:5" x14ac:dyDescent="0.25">
      <c r="C183" s="15"/>
      <c r="D183" s="15"/>
      <c r="E183" s="15"/>
    </row>
    <row r="184" spans="3:5" x14ac:dyDescent="0.25">
      <c r="C184" s="15"/>
      <c r="D184" s="15"/>
      <c r="E184" s="15"/>
    </row>
    <row r="185" spans="3:5" x14ac:dyDescent="0.25">
      <c r="C185" s="15"/>
      <c r="D185" s="15"/>
      <c r="E185" s="15"/>
    </row>
    <row r="186" spans="3:5" x14ac:dyDescent="0.25">
      <c r="C186" s="15"/>
      <c r="D186" s="15"/>
      <c r="E186" s="15"/>
    </row>
    <row r="187" spans="3:5" x14ac:dyDescent="0.25">
      <c r="C187" s="15"/>
      <c r="D187" s="15"/>
      <c r="E187" s="15"/>
    </row>
    <row r="188" spans="3:5" x14ac:dyDescent="0.25">
      <c r="C188" s="15"/>
      <c r="D188" s="15"/>
      <c r="E188" s="15"/>
    </row>
    <row r="189" spans="3:5" x14ac:dyDescent="0.25">
      <c r="C189" s="15"/>
      <c r="D189" s="15"/>
      <c r="E189" s="15"/>
    </row>
    <row r="190" spans="3:5" x14ac:dyDescent="0.25">
      <c r="C190" s="15"/>
      <c r="D190" s="15"/>
      <c r="E190" s="15"/>
    </row>
    <row r="191" spans="3:5" x14ac:dyDescent="0.25">
      <c r="C191" s="15"/>
      <c r="D191" s="15"/>
      <c r="E191" s="15"/>
    </row>
    <row r="192" spans="3:5" x14ac:dyDescent="0.25">
      <c r="C192" s="15"/>
      <c r="D192" s="15"/>
      <c r="E192" s="15"/>
    </row>
    <row r="193" spans="3:5" x14ac:dyDescent="0.25">
      <c r="C193" s="15"/>
      <c r="D193" s="15"/>
      <c r="E193" s="15"/>
    </row>
    <row r="194" spans="3:5" x14ac:dyDescent="0.25">
      <c r="C194" s="15"/>
      <c r="D194" s="15"/>
      <c r="E194" s="15"/>
    </row>
    <row r="195" spans="3:5" x14ac:dyDescent="0.25">
      <c r="C195" s="15"/>
      <c r="D195" s="15"/>
      <c r="E195" s="15"/>
    </row>
    <row r="196" spans="3:5" x14ac:dyDescent="0.25">
      <c r="C196" s="15"/>
      <c r="D196" s="15"/>
      <c r="E196" s="15"/>
    </row>
    <row r="197" spans="3:5" x14ac:dyDescent="0.25">
      <c r="C197" s="15"/>
      <c r="D197" s="15"/>
      <c r="E197" s="15"/>
    </row>
    <row r="198" spans="3:5" x14ac:dyDescent="0.25">
      <c r="C198" s="15"/>
      <c r="D198" s="15"/>
      <c r="E198" s="15"/>
    </row>
    <row r="199" spans="3:5" x14ac:dyDescent="0.25">
      <c r="C199" s="15"/>
      <c r="D199" s="15"/>
      <c r="E199" s="15"/>
    </row>
    <row r="200" spans="3:5" x14ac:dyDescent="0.25">
      <c r="C200" s="15"/>
      <c r="D200" s="15"/>
      <c r="E200" s="15"/>
    </row>
    <row r="201" spans="3:5" x14ac:dyDescent="0.25">
      <c r="C201" s="15"/>
      <c r="D201" s="15"/>
      <c r="E201" s="15"/>
    </row>
    <row r="202" spans="3:5" x14ac:dyDescent="0.25">
      <c r="C202" s="15"/>
      <c r="D202" s="15"/>
      <c r="E202" s="15"/>
    </row>
    <row r="203" spans="3:5" x14ac:dyDescent="0.25">
      <c r="C203" s="15"/>
      <c r="D203" s="15"/>
      <c r="E203" s="15"/>
    </row>
    <row r="204" spans="3:5" x14ac:dyDescent="0.25">
      <c r="C204" s="15"/>
      <c r="D204" s="15"/>
      <c r="E204" s="15"/>
    </row>
    <row r="205" spans="3:5" x14ac:dyDescent="0.25">
      <c r="C205" s="15"/>
      <c r="D205" s="15"/>
      <c r="E205" s="15"/>
    </row>
    <row r="206" spans="3:5" x14ac:dyDescent="0.25">
      <c r="C206" s="15"/>
      <c r="D206" s="15"/>
      <c r="E206" s="15"/>
    </row>
    <row r="207" spans="3:5" x14ac:dyDescent="0.25">
      <c r="C207" s="15"/>
      <c r="D207" s="15"/>
      <c r="E207" s="15"/>
    </row>
    <row r="208" spans="3:5" x14ac:dyDescent="0.25">
      <c r="C208" s="15"/>
      <c r="D208" s="15"/>
      <c r="E208" s="15"/>
    </row>
    <row r="209" spans="3:5" x14ac:dyDescent="0.25">
      <c r="C209" s="15"/>
      <c r="D209" s="15"/>
      <c r="E209" s="15"/>
    </row>
    <row r="210" spans="3:5" x14ac:dyDescent="0.25">
      <c r="C210" s="15"/>
      <c r="D210" s="15"/>
      <c r="E210" s="15"/>
    </row>
    <row r="211" spans="3:5" x14ac:dyDescent="0.25">
      <c r="C211" s="15"/>
      <c r="D211" s="15"/>
      <c r="E211" s="15"/>
    </row>
    <row r="212" spans="3:5" x14ac:dyDescent="0.25">
      <c r="C212" s="15"/>
      <c r="D212" s="15"/>
      <c r="E212" s="15"/>
    </row>
    <row r="213" spans="3:5" x14ac:dyDescent="0.25">
      <c r="C213" s="15"/>
      <c r="D213" s="15"/>
      <c r="E213" s="15"/>
    </row>
    <row r="214" spans="3:5" x14ac:dyDescent="0.25">
      <c r="C214" s="15"/>
      <c r="D214" s="15"/>
      <c r="E214" s="15"/>
    </row>
    <row r="215" spans="3:5" x14ac:dyDescent="0.25">
      <c r="C215" s="15"/>
      <c r="D215" s="15"/>
      <c r="E215" s="15"/>
    </row>
    <row r="216" spans="3:5" x14ac:dyDescent="0.25">
      <c r="C216" s="15"/>
      <c r="D216" s="15"/>
      <c r="E216" s="15"/>
    </row>
    <row r="217" spans="3:5" x14ac:dyDescent="0.25">
      <c r="C217" s="15"/>
      <c r="D217" s="15"/>
      <c r="E217" s="15"/>
    </row>
    <row r="218" spans="3:5" x14ac:dyDescent="0.25">
      <c r="C218" s="15"/>
      <c r="D218" s="15"/>
      <c r="E218" s="15"/>
    </row>
    <row r="219" spans="3:5" x14ac:dyDescent="0.25">
      <c r="C219" s="15"/>
      <c r="D219" s="15"/>
      <c r="E219" s="15"/>
    </row>
    <row r="220" spans="3:5" x14ac:dyDescent="0.25">
      <c r="C220" s="15"/>
      <c r="D220" s="15"/>
      <c r="E220" s="15"/>
    </row>
    <row r="221" spans="3:5" x14ac:dyDescent="0.25">
      <c r="C221" s="15"/>
      <c r="D221" s="15"/>
      <c r="E221" s="15"/>
    </row>
    <row r="222" spans="3:5" x14ac:dyDescent="0.25">
      <c r="C222" s="15"/>
      <c r="D222" s="15"/>
      <c r="E222" s="15"/>
    </row>
    <row r="223" spans="3:5" x14ac:dyDescent="0.25">
      <c r="C223" s="15"/>
      <c r="D223" s="15"/>
      <c r="E223" s="15"/>
    </row>
    <row r="224" spans="3:5" x14ac:dyDescent="0.25">
      <c r="C224" s="15"/>
      <c r="D224" s="15"/>
      <c r="E224" s="15"/>
    </row>
    <row r="225" spans="3:5" x14ac:dyDescent="0.25">
      <c r="C225" s="15"/>
      <c r="D225" s="15"/>
      <c r="E225" s="15"/>
    </row>
    <row r="226" spans="3:5" x14ac:dyDescent="0.25">
      <c r="C226" s="15"/>
      <c r="D226" s="15"/>
      <c r="E226" s="15"/>
    </row>
    <row r="227" spans="3:5" x14ac:dyDescent="0.25">
      <c r="C227" s="15"/>
      <c r="D227" s="15"/>
      <c r="E227" s="15"/>
    </row>
    <row r="228" spans="3:5" x14ac:dyDescent="0.25">
      <c r="C228" s="15"/>
      <c r="D228" s="15"/>
      <c r="E228" s="15"/>
    </row>
    <row r="229" spans="3:5" x14ac:dyDescent="0.25">
      <c r="C229" s="15"/>
      <c r="D229" s="15"/>
      <c r="E229" s="15"/>
    </row>
    <row r="230" spans="3:5" x14ac:dyDescent="0.25">
      <c r="C230" s="15"/>
      <c r="D230" s="15"/>
      <c r="E230" s="15"/>
    </row>
    <row r="231" spans="3:5" x14ac:dyDescent="0.25">
      <c r="C231" s="15"/>
      <c r="D231" s="15"/>
      <c r="E231" s="15"/>
    </row>
    <row r="232" spans="3:5" x14ac:dyDescent="0.25">
      <c r="C232" s="15"/>
      <c r="D232" s="15"/>
      <c r="E232" s="15"/>
    </row>
    <row r="233" spans="3:5" x14ac:dyDescent="0.25">
      <c r="C233" s="15"/>
      <c r="D233" s="15"/>
      <c r="E233" s="15"/>
    </row>
    <row r="234" spans="3:5" x14ac:dyDescent="0.25">
      <c r="C234" s="15"/>
      <c r="D234" s="15"/>
      <c r="E234" s="15"/>
    </row>
    <row r="235" spans="3:5" x14ac:dyDescent="0.25">
      <c r="C235" s="15"/>
      <c r="D235" s="15"/>
      <c r="E235" s="15"/>
    </row>
    <row r="236" spans="3:5" x14ac:dyDescent="0.25">
      <c r="C236" s="15"/>
      <c r="D236" s="15"/>
      <c r="E236" s="15"/>
    </row>
    <row r="237" spans="3:5" x14ac:dyDescent="0.25">
      <c r="C237" s="15"/>
      <c r="D237" s="15"/>
      <c r="E237" s="15"/>
    </row>
    <row r="238" spans="3:5" x14ac:dyDescent="0.25">
      <c r="C238" s="15"/>
      <c r="D238" s="15"/>
      <c r="E238" s="15"/>
    </row>
    <row r="239" spans="3:5" x14ac:dyDescent="0.25">
      <c r="C239" s="15"/>
      <c r="D239" s="15"/>
      <c r="E239" s="15"/>
    </row>
    <row r="240" spans="3:5" x14ac:dyDescent="0.25">
      <c r="C240" s="15"/>
      <c r="D240" s="15"/>
      <c r="E240" s="15"/>
    </row>
    <row r="241" spans="3:5" x14ac:dyDescent="0.25">
      <c r="C241" s="15"/>
      <c r="D241" s="15"/>
      <c r="E241" s="15"/>
    </row>
    <row r="242" spans="3:5" x14ac:dyDescent="0.25">
      <c r="C242" s="15"/>
      <c r="D242" s="15"/>
      <c r="E242" s="15"/>
    </row>
    <row r="243" spans="3:5" x14ac:dyDescent="0.25">
      <c r="C243" s="15"/>
      <c r="D243" s="15"/>
      <c r="E243" s="15"/>
    </row>
    <row r="244" spans="3:5" x14ac:dyDescent="0.25">
      <c r="C244" s="15"/>
      <c r="D244" s="15"/>
      <c r="E244" s="15"/>
    </row>
    <row r="245" spans="3:5" x14ac:dyDescent="0.25">
      <c r="C245" s="15"/>
      <c r="D245" s="15"/>
      <c r="E245" s="15"/>
    </row>
    <row r="246" spans="3:5" x14ac:dyDescent="0.25">
      <c r="C246" s="15"/>
      <c r="D246" s="15"/>
      <c r="E246" s="15"/>
    </row>
    <row r="247" spans="3:5" x14ac:dyDescent="0.25">
      <c r="C247" s="15"/>
      <c r="D247" s="15"/>
      <c r="E247" s="15"/>
    </row>
    <row r="248" spans="3:5" x14ac:dyDescent="0.25">
      <c r="C248" s="15"/>
      <c r="D248" s="15"/>
      <c r="E248" s="15"/>
    </row>
    <row r="249" spans="3:5" x14ac:dyDescent="0.25">
      <c r="C249" s="15"/>
      <c r="D249" s="15"/>
      <c r="E249" s="15"/>
    </row>
    <row r="250" spans="3:5" x14ac:dyDescent="0.25">
      <c r="C250" s="15"/>
      <c r="D250" s="15"/>
      <c r="E250" s="15"/>
    </row>
    <row r="251" spans="3:5" x14ac:dyDescent="0.25">
      <c r="C251" s="15"/>
      <c r="D251" s="15"/>
      <c r="E251" s="15"/>
    </row>
    <row r="252" spans="3:5" x14ac:dyDescent="0.25">
      <c r="C252" s="15"/>
      <c r="D252" s="15"/>
      <c r="E252" s="15"/>
    </row>
    <row r="253" spans="3:5" x14ac:dyDescent="0.25">
      <c r="C253" s="15"/>
      <c r="D253" s="15"/>
      <c r="E253" s="15"/>
    </row>
    <row r="254" spans="3:5" x14ac:dyDescent="0.25">
      <c r="C254" s="15"/>
      <c r="D254" s="15"/>
      <c r="E254" s="15"/>
    </row>
    <row r="255" spans="3:5" x14ac:dyDescent="0.25">
      <c r="C255" s="15"/>
      <c r="D255" s="15"/>
      <c r="E255" s="15"/>
    </row>
    <row r="256" spans="3:5" x14ac:dyDescent="0.25">
      <c r="C256" s="15"/>
      <c r="D256" s="15"/>
      <c r="E256" s="15"/>
    </row>
    <row r="257" spans="3:5" x14ac:dyDescent="0.25">
      <c r="C257" s="15"/>
      <c r="D257" s="15"/>
      <c r="E257" s="15"/>
    </row>
    <row r="258" spans="3:5" x14ac:dyDescent="0.25">
      <c r="C258" s="15"/>
      <c r="D258" s="15"/>
      <c r="E258" s="15"/>
    </row>
    <row r="259" spans="3:5" x14ac:dyDescent="0.25">
      <c r="C259" s="15"/>
      <c r="D259" s="15"/>
      <c r="E259" s="15"/>
    </row>
    <row r="260" spans="3:5" x14ac:dyDescent="0.25">
      <c r="C260" s="15"/>
      <c r="D260" s="15"/>
      <c r="E260" s="15"/>
    </row>
    <row r="261" spans="3:5" x14ac:dyDescent="0.25">
      <c r="C261" s="15"/>
      <c r="D261" s="15"/>
      <c r="E261" s="15"/>
    </row>
    <row r="262" spans="3:5" x14ac:dyDescent="0.25">
      <c r="C262" s="15"/>
      <c r="D262" s="15"/>
      <c r="E262" s="15"/>
    </row>
    <row r="263" spans="3:5" x14ac:dyDescent="0.25">
      <c r="C263" s="15"/>
      <c r="D263" s="15"/>
      <c r="E263" s="15"/>
    </row>
    <row r="264" spans="3:5" x14ac:dyDescent="0.25">
      <c r="C264" s="15"/>
      <c r="D264" s="15"/>
      <c r="E264" s="15"/>
    </row>
    <row r="265" spans="3:5" x14ac:dyDescent="0.25">
      <c r="C265" s="15"/>
      <c r="D265" s="15"/>
      <c r="E265" s="15"/>
    </row>
    <row r="266" spans="3:5" x14ac:dyDescent="0.25">
      <c r="C266" s="15"/>
      <c r="D266" s="15"/>
      <c r="E266" s="15"/>
    </row>
    <row r="267" spans="3:5" x14ac:dyDescent="0.25">
      <c r="C267" s="15"/>
      <c r="D267" s="15"/>
      <c r="E267" s="15"/>
    </row>
    <row r="268" spans="3:5" x14ac:dyDescent="0.25">
      <c r="C268" s="15"/>
      <c r="D268" s="15"/>
      <c r="E268" s="15"/>
    </row>
    <row r="269" spans="3:5" x14ac:dyDescent="0.25">
      <c r="C269" s="15"/>
      <c r="D269" s="15"/>
      <c r="E269" s="15"/>
    </row>
    <row r="270" spans="3:5" x14ac:dyDescent="0.25">
      <c r="C270" s="15"/>
      <c r="D270" s="15"/>
      <c r="E270" s="15"/>
    </row>
    <row r="271" spans="3:5" x14ac:dyDescent="0.25">
      <c r="C271" s="15"/>
      <c r="D271" s="15"/>
      <c r="E271" s="15"/>
    </row>
    <row r="272" spans="3:5" x14ac:dyDescent="0.25">
      <c r="C272" s="15"/>
      <c r="D272" s="15"/>
      <c r="E272" s="15"/>
    </row>
    <row r="273" spans="3:5" x14ac:dyDescent="0.25">
      <c r="C273" s="15"/>
      <c r="D273" s="15"/>
      <c r="E273" s="15"/>
    </row>
    <row r="274" spans="3:5" x14ac:dyDescent="0.25">
      <c r="C274" s="15"/>
      <c r="D274" s="15"/>
      <c r="E274" s="15"/>
    </row>
    <row r="275" spans="3:5" x14ac:dyDescent="0.25">
      <c r="C275" s="15"/>
      <c r="D275" s="15"/>
      <c r="E275" s="15"/>
    </row>
    <row r="276" spans="3:5" x14ac:dyDescent="0.25">
      <c r="C276" s="15"/>
      <c r="D276" s="15"/>
      <c r="E276" s="15"/>
    </row>
    <row r="277" spans="3:5" x14ac:dyDescent="0.25">
      <c r="C277" s="15"/>
      <c r="D277" s="15"/>
      <c r="E277" s="15"/>
    </row>
    <row r="278" spans="3:5" x14ac:dyDescent="0.25">
      <c r="C278" s="15"/>
      <c r="D278" s="15"/>
      <c r="E278" s="15"/>
    </row>
    <row r="279" spans="3:5" x14ac:dyDescent="0.25">
      <c r="C279" s="15"/>
      <c r="D279" s="15"/>
      <c r="E279" s="15"/>
    </row>
    <row r="280" spans="3:5" x14ac:dyDescent="0.25">
      <c r="C280" s="15"/>
      <c r="D280" s="15"/>
      <c r="E280" s="15"/>
    </row>
    <row r="281" spans="3:5" x14ac:dyDescent="0.25">
      <c r="C281" s="15"/>
      <c r="D281" s="15"/>
      <c r="E281" s="15"/>
    </row>
    <row r="282" spans="3:5" x14ac:dyDescent="0.25">
      <c r="C282" s="15"/>
      <c r="D282" s="15"/>
      <c r="E282" s="15"/>
    </row>
    <row r="283" spans="3:5" x14ac:dyDescent="0.25">
      <c r="C283" s="15"/>
      <c r="D283" s="15"/>
      <c r="E283" s="15"/>
    </row>
    <row r="284" spans="3:5" x14ac:dyDescent="0.25">
      <c r="C284" s="15"/>
      <c r="D284" s="15"/>
      <c r="E284" s="15"/>
    </row>
    <row r="285" spans="3:5" x14ac:dyDescent="0.25">
      <c r="C285" s="15"/>
      <c r="D285" s="15"/>
      <c r="E285" s="15"/>
    </row>
    <row r="286" spans="3:5" x14ac:dyDescent="0.25">
      <c r="C286" s="15"/>
      <c r="D286" s="15"/>
      <c r="E286" s="15"/>
    </row>
    <row r="287" spans="3:5" x14ac:dyDescent="0.25">
      <c r="C287" s="15"/>
      <c r="D287" s="15"/>
      <c r="E287" s="15"/>
    </row>
    <row r="288" spans="3:5" x14ac:dyDescent="0.25">
      <c r="C288" s="15"/>
      <c r="D288" s="15"/>
      <c r="E288" s="15"/>
    </row>
    <row r="289" spans="3:5" x14ac:dyDescent="0.25">
      <c r="C289" s="15"/>
      <c r="D289" s="15"/>
      <c r="E289" s="15"/>
    </row>
    <row r="290" spans="3:5" x14ac:dyDescent="0.25">
      <c r="C290" s="15"/>
      <c r="D290" s="15"/>
      <c r="E290" s="15"/>
    </row>
    <row r="291" spans="3:5" x14ac:dyDescent="0.25">
      <c r="C291" s="15"/>
      <c r="D291" s="15"/>
      <c r="E291" s="15"/>
    </row>
    <row r="292" spans="3:5" x14ac:dyDescent="0.25">
      <c r="C292" s="15"/>
      <c r="D292" s="15"/>
      <c r="E292" s="15"/>
    </row>
    <row r="293" spans="3:5" x14ac:dyDescent="0.25">
      <c r="C293" s="15"/>
      <c r="D293" s="15"/>
      <c r="E293" s="15"/>
    </row>
    <row r="294" spans="3:5" x14ac:dyDescent="0.25">
      <c r="C294" s="15"/>
      <c r="D294" s="15"/>
      <c r="E294" s="15"/>
    </row>
    <row r="295" spans="3:5" x14ac:dyDescent="0.25">
      <c r="C295" s="15"/>
      <c r="D295" s="15"/>
      <c r="E295" s="15"/>
    </row>
    <row r="296" spans="3:5" x14ac:dyDescent="0.25">
      <c r="C296" s="15"/>
      <c r="D296" s="15"/>
      <c r="E296" s="15"/>
    </row>
    <row r="297" spans="3:5" x14ac:dyDescent="0.25">
      <c r="C297" s="15"/>
      <c r="D297" s="15"/>
      <c r="E297" s="15"/>
    </row>
    <row r="298" spans="3:5" x14ac:dyDescent="0.25">
      <c r="C298" s="15"/>
      <c r="D298" s="15"/>
      <c r="E298" s="15"/>
    </row>
    <row r="299" spans="3:5" x14ac:dyDescent="0.25">
      <c r="C299" s="15"/>
      <c r="D299" s="15"/>
      <c r="E299" s="15"/>
    </row>
    <row r="300" spans="3:5" x14ac:dyDescent="0.25">
      <c r="C300" s="15"/>
      <c r="D300" s="15"/>
      <c r="E300" s="15"/>
    </row>
    <row r="301" spans="3:5" x14ac:dyDescent="0.25">
      <c r="C301" s="15"/>
      <c r="D301" s="15"/>
      <c r="E301" s="15"/>
    </row>
    <row r="302" spans="3:5" x14ac:dyDescent="0.25">
      <c r="C302" s="15"/>
      <c r="D302" s="15"/>
      <c r="E302" s="15"/>
    </row>
    <row r="303" spans="3:5" x14ac:dyDescent="0.25">
      <c r="C303" s="15"/>
      <c r="D303" s="15"/>
      <c r="E303" s="15"/>
    </row>
    <row r="304" spans="3:5" x14ac:dyDescent="0.25">
      <c r="C304" s="15"/>
      <c r="D304" s="15"/>
      <c r="E304" s="15"/>
    </row>
    <row r="305" spans="3:5" x14ac:dyDescent="0.25">
      <c r="C305" s="15"/>
      <c r="D305" s="15"/>
      <c r="E305" s="15"/>
    </row>
    <row r="306" spans="3:5" x14ac:dyDescent="0.25">
      <c r="C306" s="5"/>
      <c r="D306" s="5"/>
      <c r="E306" s="6"/>
    </row>
    <row r="307" spans="3:5" x14ac:dyDescent="0.25">
      <c r="C307" s="5"/>
      <c r="D307" s="5"/>
      <c r="E307" s="6"/>
    </row>
    <row r="308" spans="3:5" x14ac:dyDescent="0.25">
      <c r="C308" s="5"/>
      <c r="D308" s="5"/>
      <c r="E308" s="6"/>
    </row>
    <row r="309" spans="3:5" x14ac:dyDescent="0.25">
      <c r="C309" s="5"/>
      <c r="D309" s="5"/>
      <c r="E309" s="6"/>
    </row>
    <row r="310" spans="3:5" x14ac:dyDescent="0.25">
      <c r="C310" s="5"/>
      <c r="D310" s="5"/>
      <c r="E310" s="6"/>
    </row>
    <row r="311" spans="3:5" x14ac:dyDescent="0.25">
      <c r="C311" s="5"/>
      <c r="D311" s="5"/>
      <c r="E311" s="6"/>
    </row>
    <row r="312" spans="3:5" x14ac:dyDescent="0.25">
      <c r="C312" s="5"/>
      <c r="D312" s="5"/>
      <c r="E312" s="6"/>
    </row>
    <row r="313" spans="3:5" x14ac:dyDescent="0.25">
      <c r="C313" s="5"/>
      <c r="D313" s="5"/>
      <c r="E313" s="6"/>
    </row>
    <row r="314" spans="3:5" x14ac:dyDescent="0.25">
      <c r="C314" s="5"/>
      <c r="D314" s="5"/>
      <c r="E314" s="6"/>
    </row>
    <row r="315" spans="3:5" x14ac:dyDescent="0.25">
      <c r="C315" s="5"/>
      <c r="D315" s="5"/>
      <c r="E315" s="6"/>
    </row>
    <row r="316" spans="3:5" x14ac:dyDescent="0.25">
      <c r="C316" s="5"/>
      <c r="D316" s="5"/>
      <c r="E316" s="6"/>
    </row>
    <row r="317" spans="3:5" x14ac:dyDescent="0.25">
      <c r="C317" s="5"/>
      <c r="D317" s="5"/>
      <c r="E317" s="6"/>
    </row>
    <row r="318" spans="3:5" x14ac:dyDescent="0.25">
      <c r="C318" s="5"/>
      <c r="D318" s="5"/>
      <c r="E318" s="6"/>
    </row>
    <row r="319" spans="3:5" x14ac:dyDescent="0.25">
      <c r="C319" s="5"/>
      <c r="D319" s="5"/>
      <c r="E319" s="6"/>
    </row>
    <row r="320" spans="3:5" x14ac:dyDescent="0.25">
      <c r="C320" s="5"/>
      <c r="D320" s="5"/>
      <c r="E320" s="6"/>
    </row>
    <row r="321" spans="3:5" x14ac:dyDescent="0.25">
      <c r="C321" s="5"/>
      <c r="D321" s="5"/>
      <c r="E321" s="6"/>
    </row>
    <row r="322" spans="3:5" x14ac:dyDescent="0.25">
      <c r="C322" s="5"/>
      <c r="D322" s="5"/>
      <c r="E322" s="6"/>
    </row>
    <row r="323" spans="3:5" x14ac:dyDescent="0.25">
      <c r="C323" s="5"/>
      <c r="D323" s="5"/>
      <c r="E323" s="6"/>
    </row>
    <row r="324" spans="3:5" x14ac:dyDescent="0.25">
      <c r="C324" s="5"/>
      <c r="D324" s="5"/>
      <c r="E324" s="6"/>
    </row>
    <row r="325" spans="3:5" x14ac:dyDescent="0.25">
      <c r="C325" s="5"/>
      <c r="D325" s="5"/>
      <c r="E325" s="6"/>
    </row>
    <row r="326" spans="3:5" x14ac:dyDescent="0.25">
      <c r="C326" s="5"/>
      <c r="D326" s="5"/>
      <c r="E326" s="6"/>
    </row>
    <row r="327" spans="3:5" x14ac:dyDescent="0.25">
      <c r="C327" s="5"/>
      <c r="D327" s="5"/>
      <c r="E327" s="6"/>
    </row>
    <row r="328" spans="3:5" x14ac:dyDescent="0.25">
      <c r="C328" s="5"/>
      <c r="D328" s="5"/>
      <c r="E328" s="6"/>
    </row>
    <row r="329" spans="3:5" x14ac:dyDescent="0.25">
      <c r="C329" s="5"/>
      <c r="D329" s="5"/>
      <c r="E329" s="6"/>
    </row>
    <row r="330" spans="3:5" x14ac:dyDescent="0.25">
      <c r="C330" s="5"/>
      <c r="D330" s="5"/>
      <c r="E330" s="6"/>
    </row>
    <row r="331" spans="3:5" x14ac:dyDescent="0.25">
      <c r="C331" s="5"/>
      <c r="D331" s="5"/>
      <c r="E331" s="6"/>
    </row>
    <row r="332" spans="3:5" x14ac:dyDescent="0.25">
      <c r="C332" s="5"/>
      <c r="D332" s="5"/>
      <c r="E332" s="6"/>
    </row>
    <row r="333" spans="3:5" x14ac:dyDescent="0.25">
      <c r="C333" s="5"/>
      <c r="D333" s="5"/>
      <c r="E333" s="6"/>
    </row>
    <row r="334" spans="3:5" x14ac:dyDescent="0.25">
      <c r="C334" s="5"/>
      <c r="D334" s="5"/>
      <c r="E334" s="6"/>
    </row>
    <row r="335" spans="3:5" x14ac:dyDescent="0.25">
      <c r="C335" s="5"/>
      <c r="D335" s="5"/>
      <c r="E335" s="6"/>
    </row>
    <row r="336" spans="3:5" x14ac:dyDescent="0.25">
      <c r="C336" s="5"/>
      <c r="D336" s="5"/>
      <c r="E336" s="6"/>
    </row>
    <row r="337" spans="3:5" x14ac:dyDescent="0.25">
      <c r="C337" s="5"/>
      <c r="D337" s="5"/>
      <c r="E337" s="6"/>
    </row>
    <row r="338" spans="3:5" x14ac:dyDescent="0.25">
      <c r="C338" s="5"/>
      <c r="D338" s="5"/>
      <c r="E338" s="6"/>
    </row>
    <row r="339" spans="3:5" x14ac:dyDescent="0.25">
      <c r="C339" s="5"/>
      <c r="D339" s="5"/>
      <c r="E339" s="6"/>
    </row>
    <row r="340" spans="3:5" x14ac:dyDescent="0.25">
      <c r="C340" s="5"/>
      <c r="D340" s="5"/>
      <c r="E340" s="6"/>
    </row>
    <row r="341" spans="3:5" x14ac:dyDescent="0.25">
      <c r="C341" s="5"/>
      <c r="D341" s="5"/>
      <c r="E341" s="6"/>
    </row>
    <row r="342" spans="3:5" x14ac:dyDescent="0.25">
      <c r="C342" s="5"/>
      <c r="D342" s="5"/>
      <c r="E342" s="6"/>
    </row>
    <row r="343" spans="3:5" x14ac:dyDescent="0.25">
      <c r="C343" s="5"/>
      <c r="D343" s="5"/>
      <c r="E343" s="6"/>
    </row>
    <row r="344" spans="3:5" x14ac:dyDescent="0.25">
      <c r="C344" s="5"/>
      <c r="D344" s="5"/>
      <c r="E344" s="6"/>
    </row>
    <row r="345" spans="3:5" x14ac:dyDescent="0.25">
      <c r="C345" s="5"/>
      <c r="D345" s="5"/>
      <c r="E345" s="6"/>
    </row>
    <row r="346" spans="3:5" x14ac:dyDescent="0.25">
      <c r="C346" s="5"/>
      <c r="D346" s="5"/>
      <c r="E346" s="6"/>
    </row>
    <row r="347" spans="3:5" x14ac:dyDescent="0.25">
      <c r="C347" s="5"/>
      <c r="D347" s="5"/>
      <c r="E347" s="6"/>
    </row>
    <row r="348" spans="3:5" x14ac:dyDescent="0.25">
      <c r="C348" s="5"/>
      <c r="D348" s="5"/>
      <c r="E348" s="6"/>
    </row>
    <row r="349" spans="3:5" x14ac:dyDescent="0.25">
      <c r="C349" s="5"/>
      <c r="D349" s="5"/>
      <c r="E349" s="6"/>
    </row>
    <row r="350" spans="3:5" x14ac:dyDescent="0.25">
      <c r="C350" s="5"/>
      <c r="D350" s="5"/>
      <c r="E350" s="6"/>
    </row>
    <row r="351" spans="3:5" x14ac:dyDescent="0.25">
      <c r="C351" s="5"/>
      <c r="D351" s="5"/>
      <c r="E351" s="6"/>
    </row>
    <row r="352" spans="3:5" x14ac:dyDescent="0.25">
      <c r="C352" s="5"/>
      <c r="D352" s="5"/>
      <c r="E352" s="6"/>
    </row>
    <row r="353" spans="3:5" x14ac:dyDescent="0.25">
      <c r="C353" s="5"/>
      <c r="D353" s="5"/>
      <c r="E353" s="6"/>
    </row>
    <row r="354" spans="3:5" x14ac:dyDescent="0.25">
      <c r="C354" s="5"/>
      <c r="D354" s="5"/>
      <c r="E354" s="6"/>
    </row>
    <row r="355" spans="3:5" x14ac:dyDescent="0.25">
      <c r="C355" s="5"/>
      <c r="D355" s="5"/>
      <c r="E355" s="6"/>
    </row>
    <row r="356" spans="3:5" x14ac:dyDescent="0.25">
      <c r="C356" s="5"/>
      <c r="D356" s="5"/>
      <c r="E356" s="6"/>
    </row>
    <row r="357" spans="3:5" x14ac:dyDescent="0.25">
      <c r="C357" s="5"/>
      <c r="D357" s="5"/>
      <c r="E357" s="6"/>
    </row>
    <row r="358" spans="3:5" x14ac:dyDescent="0.25">
      <c r="C358" s="5"/>
      <c r="D358" s="5"/>
      <c r="E358" s="6"/>
    </row>
    <row r="359" spans="3:5" x14ac:dyDescent="0.25">
      <c r="C359" s="5"/>
      <c r="D359" s="5"/>
      <c r="E359" s="6"/>
    </row>
    <row r="360" spans="3:5" x14ac:dyDescent="0.25">
      <c r="C360" s="5"/>
      <c r="D360" s="5"/>
      <c r="E360" s="6"/>
    </row>
    <row r="361" spans="3:5" x14ac:dyDescent="0.25">
      <c r="C361" s="5"/>
      <c r="D361" s="5"/>
      <c r="E361" s="6"/>
    </row>
    <row r="362" spans="3:5" x14ac:dyDescent="0.25">
      <c r="C362" s="5"/>
      <c r="D362" s="5"/>
      <c r="E362" s="6"/>
    </row>
    <row r="363" spans="3:5" x14ac:dyDescent="0.25">
      <c r="C363" s="5"/>
      <c r="D363" s="5"/>
      <c r="E363" s="6"/>
    </row>
    <row r="364" spans="3:5" x14ac:dyDescent="0.25">
      <c r="C364" s="5"/>
      <c r="D364" s="5"/>
      <c r="E364" s="6"/>
    </row>
    <row r="365" spans="3:5" x14ac:dyDescent="0.25">
      <c r="C365" s="5"/>
      <c r="D365" s="5"/>
      <c r="E365" s="6"/>
    </row>
    <row r="366" spans="3:5" x14ac:dyDescent="0.25">
      <c r="C366" s="5"/>
      <c r="D366" s="5"/>
      <c r="E366" s="6"/>
    </row>
    <row r="367" spans="3:5" x14ac:dyDescent="0.25">
      <c r="C367" s="5"/>
      <c r="D367" s="5"/>
      <c r="E367" s="6"/>
    </row>
    <row r="368" spans="3:5" x14ac:dyDescent="0.25">
      <c r="C368" s="5"/>
      <c r="D368" s="5"/>
      <c r="E368" s="6"/>
    </row>
    <row r="369" spans="3:5" x14ac:dyDescent="0.25">
      <c r="C369" s="5"/>
      <c r="D369" s="5"/>
      <c r="E369" s="6"/>
    </row>
    <row r="370" spans="3:5" x14ac:dyDescent="0.25">
      <c r="C370" s="5"/>
      <c r="D370" s="5"/>
      <c r="E370" s="6"/>
    </row>
    <row r="371" spans="3:5" x14ac:dyDescent="0.25">
      <c r="C371" s="5"/>
      <c r="D371" s="5"/>
      <c r="E371" s="6"/>
    </row>
    <row r="372" spans="3:5" x14ac:dyDescent="0.25">
      <c r="C372" s="5"/>
      <c r="D372" s="5"/>
      <c r="E372" s="6"/>
    </row>
    <row r="373" spans="3:5" x14ac:dyDescent="0.25">
      <c r="C373" s="5"/>
      <c r="D373" s="5"/>
      <c r="E373" s="6"/>
    </row>
    <row r="374" spans="3:5" x14ac:dyDescent="0.25">
      <c r="C374" s="5"/>
      <c r="D374" s="5"/>
      <c r="E374" s="6"/>
    </row>
    <row r="375" spans="3:5" x14ac:dyDescent="0.25">
      <c r="C375" s="5"/>
      <c r="D375" s="5"/>
      <c r="E375" s="6"/>
    </row>
    <row r="376" spans="3:5" x14ac:dyDescent="0.25">
      <c r="C376" s="5"/>
      <c r="D376" s="5"/>
      <c r="E376" s="6"/>
    </row>
    <row r="377" spans="3:5" x14ac:dyDescent="0.25">
      <c r="C377" s="5"/>
      <c r="D377" s="5"/>
      <c r="E377" s="6"/>
    </row>
    <row r="378" spans="3:5" x14ac:dyDescent="0.25">
      <c r="C378" s="5"/>
      <c r="D378" s="5"/>
      <c r="E378" s="6"/>
    </row>
    <row r="379" spans="3:5" x14ac:dyDescent="0.25">
      <c r="C379" s="5"/>
      <c r="D379" s="5"/>
      <c r="E379" s="6"/>
    </row>
    <row r="380" spans="3:5" x14ac:dyDescent="0.25">
      <c r="C380" s="5"/>
      <c r="D380" s="5"/>
      <c r="E380" s="6"/>
    </row>
    <row r="381" spans="3:5" x14ac:dyDescent="0.25">
      <c r="C381" s="5"/>
      <c r="D381" s="5"/>
      <c r="E381" s="6"/>
    </row>
    <row r="382" spans="3:5" x14ac:dyDescent="0.25">
      <c r="C382" s="5"/>
      <c r="D382" s="5"/>
      <c r="E382" s="6"/>
    </row>
    <row r="383" spans="3:5" x14ac:dyDescent="0.25">
      <c r="C383" s="5"/>
      <c r="D383" s="5"/>
      <c r="E383" s="6"/>
    </row>
    <row r="384" spans="3:5" x14ac:dyDescent="0.25">
      <c r="C384" s="5"/>
      <c r="D384" s="5"/>
      <c r="E384" s="6"/>
    </row>
    <row r="385" spans="3:5" x14ac:dyDescent="0.25">
      <c r="C385" s="5"/>
      <c r="D385" s="5"/>
      <c r="E385" s="6"/>
    </row>
    <row r="386" spans="3:5" x14ac:dyDescent="0.25">
      <c r="C386" s="5"/>
      <c r="D386" s="5"/>
      <c r="E386" s="6"/>
    </row>
    <row r="387" spans="3:5" x14ac:dyDescent="0.25">
      <c r="C387" s="5"/>
      <c r="D387" s="5"/>
      <c r="E387" s="6"/>
    </row>
    <row r="388" spans="3:5" x14ac:dyDescent="0.25">
      <c r="C388" s="5"/>
      <c r="D388" s="5"/>
      <c r="E388" s="6"/>
    </row>
    <row r="389" spans="3:5" x14ac:dyDescent="0.25">
      <c r="C389" s="5"/>
      <c r="D389" s="5"/>
      <c r="E389" s="6"/>
    </row>
    <row r="390" spans="3:5" x14ac:dyDescent="0.25">
      <c r="C390" s="5"/>
      <c r="D390" s="5"/>
      <c r="E390" s="6"/>
    </row>
    <row r="391" spans="3:5" x14ac:dyDescent="0.25">
      <c r="C391" s="5"/>
      <c r="D391" s="5"/>
      <c r="E391" s="6"/>
    </row>
    <row r="392" spans="3:5" x14ac:dyDescent="0.25">
      <c r="C392" s="5"/>
      <c r="D392" s="5"/>
      <c r="E392" s="6"/>
    </row>
    <row r="393" spans="3:5" x14ac:dyDescent="0.25">
      <c r="C393" s="5"/>
      <c r="D393" s="5"/>
      <c r="E393" s="6"/>
    </row>
    <row r="394" spans="3:5" x14ac:dyDescent="0.25">
      <c r="C394" s="5"/>
      <c r="D394" s="5"/>
      <c r="E394" s="6"/>
    </row>
    <row r="395" spans="3:5" x14ac:dyDescent="0.25">
      <c r="C395" s="5"/>
      <c r="D395" s="5"/>
      <c r="E395" s="6"/>
    </row>
    <row r="396" spans="3:5" x14ac:dyDescent="0.25">
      <c r="C396" s="5"/>
      <c r="D396" s="5"/>
      <c r="E396" s="6"/>
    </row>
    <row r="397" spans="3:5" x14ac:dyDescent="0.25">
      <c r="C397" s="5"/>
      <c r="D397" s="5"/>
      <c r="E397" s="6"/>
    </row>
    <row r="398" spans="3:5" x14ac:dyDescent="0.25">
      <c r="C398" s="5"/>
      <c r="D398" s="5"/>
      <c r="E398" s="6"/>
    </row>
    <row r="399" spans="3:5" x14ac:dyDescent="0.25">
      <c r="C399" s="5"/>
      <c r="D399" s="5"/>
      <c r="E399" s="6"/>
    </row>
    <row r="400" spans="3:5" x14ac:dyDescent="0.25">
      <c r="C400" s="5"/>
      <c r="D400" s="5"/>
      <c r="E400" s="6"/>
    </row>
    <row r="401" spans="3:5" x14ac:dyDescent="0.25">
      <c r="C401" s="5"/>
      <c r="D401" s="5"/>
      <c r="E401" s="6"/>
    </row>
    <row r="402" spans="3:5" x14ac:dyDescent="0.25">
      <c r="C402" s="5"/>
      <c r="D402" s="5"/>
      <c r="E402" s="6"/>
    </row>
    <row r="403" spans="3:5" x14ac:dyDescent="0.25">
      <c r="C403" s="5"/>
      <c r="D403" s="5"/>
      <c r="E403" s="6"/>
    </row>
    <row r="404" spans="3:5" x14ac:dyDescent="0.25">
      <c r="C404" s="5"/>
      <c r="D404" s="5"/>
      <c r="E404" s="6"/>
    </row>
    <row r="405" spans="3:5" x14ac:dyDescent="0.25">
      <c r="C405" s="5"/>
      <c r="D405" s="5"/>
      <c r="E405" s="6"/>
    </row>
    <row r="406" spans="3:5" x14ac:dyDescent="0.25">
      <c r="C406" s="5"/>
      <c r="D406" s="5"/>
      <c r="E406" s="6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F50B-06C0-4614-BAD2-AFB901AC4475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40" t="s">
        <v>428</v>
      </c>
      <c r="B1" s="40" t="s">
        <v>429</v>
      </c>
      <c r="C1" s="40" t="s">
        <v>430</v>
      </c>
      <c r="D1" s="40" t="s">
        <v>431</v>
      </c>
      <c r="E1" s="40" t="s">
        <v>432</v>
      </c>
    </row>
    <row r="2" spans="1:5" x14ac:dyDescent="0.25">
      <c r="A2" s="5" t="s">
        <v>4</v>
      </c>
      <c r="B2" s="5" t="s">
        <v>5</v>
      </c>
      <c r="C2" s="6" t="s">
        <v>6</v>
      </c>
      <c r="D2" s="49"/>
      <c r="E2" s="12" t="s">
        <v>447</v>
      </c>
    </row>
    <row r="3" spans="1:5" x14ac:dyDescent="0.25">
      <c r="A3" s="7" t="s">
        <v>7</v>
      </c>
      <c r="B3" s="7" t="s">
        <v>8</v>
      </c>
      <c r="C3" s="8" t="s">
        <v>9</v>
      </c>
      <c r="D3" s="55" t="s">
        <v>448</v>
      </c>
      <c r="E3" s="12" t="s">
        <v>449</v>
      </c>
    </row>
    <row r="4" spans="1:5" x14ac:dyDescent="0.25">
      <c r="A4" s="5" t="s">
        <v>10</v>
      </c>
      <c r="B4" s="5" t="s">
        <v>11</v>
      </c>
      <c r="C4" s="6" t="s">
        <v>12</v>
      </c>
      <c r="D4" s="49"/>
      <c r="E4" s="5" t="s">
        <v>450</v>
      </c>
    </row>
    <row r="5" spans="1:5" x14ac:dyDescent="0.25">
      <c r="A5" s="7" t="s">
        <v>13</v>
      </c>
      <c r="B5" s="7" t="s">
        <v>14</v>
      </c>
      <c r="C5" s="8" t="s">
        <v>15</v>
      </c>
      <c r="D5" s="60"/>
      <c r="E5" s="61"/>
    </row>
    <row r="6" spans="1:5" x14ac:dyDescent="0.25">
      <c r="A6" s="5" t="s">
        <v>16</v>
      </c>
      <c r="B6" s="5" t="s">
        <v>17</v>
      </c>
      <c r="C6" s="6" t="s">
        <v>18</v>
      </c>
      <c r="D6" s="49">
        <v>9098875893</v>
      </c>
      <c r="E6" s="63" t="s">
        <v>451</v>
      </c>
    </row>
    <row r="7" spans="1:5" x14ac:dyDescent="0.25">
      <c r="A7" s="5" t="s">
        <v>19</v>
      </c>
      <c r="B7" s="5" t="s">
        <v>20</v>
      </c>
      <c r="C7" s="6" t="s">
        <v>21</v>
      </c>
      <c r="D7" s="49"/>
      <c r="E7" s="12" t="s">
        <v>452</v>
      </c>
    </row>
    <row r="8" spans="1:5" x14ac:dyDescent="0.25">
      <c r="A8" s="7" t="s">
        <v>22</v>
      </c>
      <c r="B8" s="7" t="s">
        <v>20</v>
      </c>
      <c r="C8" s="8" t="s">
        <v>23</v>
      </c>
      <c r="D8" s="64">
        <v>9168138609</v>
      </c>
      <c r="E8" s="12" t="s">
        <v>453</v>
      </c>
    </row>
    <row r="9" spans="1:5" x14ac:dyDescent="0.25">
      <c r="A9" s="5" t="s">
        <v>24</v>
      </c>
      <c r="B9" s="5" t="s">
        <v>25</v>
      </c>
      <c r="C9" s="6" t="s">
        <v>26</v>
      </c>
      <c r="D9" s="49">
        <v>5302775321</v>
      </c>
      <c r="E9" s="63" t="s">
        <v>454</v>
      </c>
    </row>
    <row r="10" spans="1:5" x14ac:dyDescent="0.25">
      <c r="A10" s="5" t="s">
        <v>27</v>
      </c>
      <c r="B10" s="5" t="s">
        <v>28</v>
      </c>
      <c r="C10" s="6" t="s">
        <v>29</v>
      </c>
      <c r="D10" s="65"/>
      <c r="E10" s="12" t="s">
        <v>455</v>
      </c>
    </row>
    <row r="11" spans="1:5" x14ac:dyDescent="0.25">
      <c r="A11" s="5" t="s">
        <v>30</v>
      </c>
      <c r="B11" s="5" t="s">
        <v>20</v>
      </c>
      <c r="C11" s="6" t="s">
        <v>31</v>
      </c>
      <c r="D11" s="65">
        <v>9162036636</v>
      </c>
      <c r="E11" s="12" t="s">
        <v>456</v>
      </c>
    </row>
    <row r="12" spans="1:5" x14ac:dyDescent="0.25">
      <c r="A12" s="7" t="s">
        <v>32</v>
      </c>
      <c r="B12" s="7" t="s">
        <v>33</v>
      </c>
      <c r="C12" s="8" t="s">
        <v>34</v>
      </c>
      <c r="D12" s="66">
        <v>7078430109</v>
      </c>
      <c r="E12" s="63" t="s">
        <v>457</v>
      </c>
    </row>
    <row r="13" spans="1:5" x14ac:dyDescent="0.25">
      <c r="A13" s="5" t="s">
        <v>35</v>
      </c>
      <c r="B13" s="5" t="s">
        <v>36</v>
      </c>
      <c r="C13" s="6" t="s">
        <v>37</v>
      </c>
      <c r="D13" s="65">
        <v>8054892161</v>
      </c>
      <c r="E13" s="15" t="s">
        <v>458</v>
      </c>
    </row>
    <row r="14" spans="1:5" x14ac:dyDescent="0.25">
      <c r="A14" s="5" t="s">
        <v>38</v>
      </c>
      <c r="B14" s="5" t="s">
        <v>39</v>
      </c>
      <c r="C14" s="6" t="s">
        <v>40</v>
      </c>
      <c r="D14" s="65">
        <v>9167055602</v>
      </c>
      <c r="E14" s="12" t="s">
        <v>459</v>
      </c>
    </row>
    <row r="15" spans="1:5" x14ac:dyDescent="0.25">
      <c r="A15" s="5" t="s">
        <v>41</v>
      </c>
      <c r="B15" s="5" t="s">
        <v>42</v>
      </c>
      <c r="C15" s="6" t="s">
        <v>43</v>
      </c>
      <c r="D15" s="55" t="s">
        <v>460</v>
      </c>
      <c r="E15" s="15" t="s">
        <v>461</v>
      </c>
    </row>
    <row r="16" spans="1:5" x14ac:dyDescent="0.25">
      <c r="A16" s="7" t="s">
        <v>44</v>
      </c>
      <c r="B16" s="7" t="s">
        <v>45</v>
      </c>
      <c r="C16" s="8" t="s">
        <v>46</v>
      </c>
      <c r="D16" s="66" t="s">
        <v>462</v>
      </c>
      <c r="E16" s="12" t="s">
        <v>463</v>
      </c>
    </row>
    <row r="17" spans="1:5" x14ac:dyDescent="0.25">
      <c r="A17" s="7" t="s">
        <v>47</v>
      </c>
      <c r="B17" s="7" t="s">
        <v>45</v>
      </c>
      <c r="C17" s="8" t="s">
        <v>48</v>
      </c>
      <c r="D17" s="66" t="s">
        <v>462</v>
      </c>
      <c r="E17" s="12" t="s">
        <v>463</v>
      </c>
    </row>
    <row r="18" spans="1:5" x14ac:dyDescent="0.25">
      <c r="A18" s="5" t="s">
        <v>49</v>
      </c>
      <c r="B18" s="5" t="s">
        <v>50</v>
      </c>
      <c r="C18" s="6" t="s">
        <v>51</v>
      </c>
      <c r="D18" s="65"/>
      <c r="E18" s="12" t="s">
        <v>464</v>
      </c>
    </row>
    <row r="19" spans="1:5" x14ac:dyDescent="0.25">
      <c r="A19" s="5" t="s">
        <v>52</v>
      </c>
      <c r="B19" s="7" t="s">
        <v>45</v>
      </c>
      <c r="C19" s="6" t="s">
        <v>53</v>
      </c>
      <c r="D19" s="65" t="s">
        <v>465</v>
      </c>
      <c r="E19" s="12" t="s">
        <v>466</v>
      </c>
    </row>
    <row r="20" spans="1:5" x14ac:dyDescent="0.25">
      <c r="A20" s="5" t="s">
        <v>54</v>
      </c>
      <c r="B20" s="5" t="s">
        <v>55</v>
      </c>
      <c r="C20" s="6" t="s">
        <v>56</v>
      </c>
      <c r="D20" s="65"/>
      <c r="E20" s="12" t="s">
        <v>467</v>
      </c>
    </row>
    <row r="21" spans="1:5" x14ac:dyDescent="0.25">
      <c r="A21" s="5" t="s">
        <v>57</v>
      </c>
      <c r="B21" s="5" t="s">
        <v>58</v>
      </c>
      <c r="C21" s="6" t="s">
        <v>59</v>
      </c>
      <c r="D21" s="65"/>
      <c r="E21" s="12" t="s">
        <v>468</v>
      </c>
    </row>
    <row r="22" spans="1:5" x14ac:dyDescent="0.25">
      <c r="A22" s="7" t="s">
        <v>60</v>
      </c>
      <c r="B22" s="7" t="s">
        <v>61</v>
      </c>
      <c r="C22" s="8" t="s">
        <v>62</v>
      </c>
      <c r="D22" s="66">
        <v>9253213485</v>
      </c>
      <c r="E22" s="12" t="s">
        <v>469</v>
      </c>
    </row>
    <row r="23" spans="1:5" x14ac:dyDescent="0.25">
      <c r="A23" s="5" t="s">
        <v>63</v>
      </c>
      <c r="B23" s="5" t="s">
        <v>64</v>
      </c>
      <c r="C23" s="6" t="s">
        <v>65</v>
      </c>
      <c r="D23" s="65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9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9"/>
      <c r="E25" s="63" t="s">
        <v>470</v>
      </c>
    </row>
    <row r="26" spans="1:5" x14ac:dyDescent="0.25">
      <c r="A26" s="7" t="s">
        <v>71</v>
      </c>
      <c r="B26" s="7" t="s">
        <v>72</v>
      </c>
      <c r="C26" s="8" t="s">
        <v>73</v>
      </c>
      <c r="D26" s="60">
        <v>9705539123</v>
      </c>
      <c r="E26" s="12" t="s">
        <v>471</v>
      </c>
    </row>
    <row r="27" spans="1:5" x14ac:dyDescent="0.25">
      <c r="A27" s="7" t="s">
        <v>74</v>
      </c>
      <c r="B27" s="7" t="s">
        <v>75</v>
      </c>
      <c r="C27" s="8" t="s">
        <v>76</v>
      </c>
      <c r="D27" s="60"/>
      <c r="E27" s="12" t="s">
        <v>472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473</v>
      </c>
      <c r="E28" s="15" t="s">
        <v>474</v>
      </c>
    </row>
    <row r="29" spans="1:5" x14ac:dyDescent="0.25">
      <c r="A29" s="5" t="s">
        <v>80</v>
      </c>
      <c r="B29" s="5" t="s">
        <v>81</v>
      </c>
      <c r="C29" s="6" t="s">
        <v>82</v>
      </c>
      <c r="D29" s="49"/>
      <c r="E29" s="12" t="s">
        <v>475</v>
      </c>
    </row>
    <row r="30" spans="1:5" x14ac:dyDescent="0.25">
      <c r="A30" s="7" t="s">
        <v>83</v>
      </c>
      <c r="B30" s="7" t="s">
        <v>84</v>
      </c>
      <c r="C30" s="8" t="s">
        <v>85</v>
      </c>
      <c r="D30" s="60"/>
      <c r="E30" s="12" t="s">
        <v>476</v>
      </c>
    </row>
    <row r="31" spans="1:5" x14ac:dyDescent="0.25">
      <c r="A31" s="7" t="s">
        <v>86</v>
      </c>
      <c r="B31" s="7" t="s">
        <v>64</v>
      </c>
      <c r="C31" s="8" t="s">
        <v>87</v>
      </c>
      <c r="D31" s="60">
        <v>7073175740</v>
      </c>
      <c r="E31" s="63" t="s">
        <v>477</v>
      </c>
    </row>
    <row r="32" spans="1:5" x14ac:dyDescent="0.25">
      <c r="A32" s="5" t="s">
        <v>88</v>
      </c>
      <c r="B32" s="5" t="s">
        <v>84</v>
      </c>
      <c r="C32" s="6" t="s">
        <v>89</v>
      </c>
      <c r="D32" s="49"/>
      <c r="E32" s="12" t="s">
        <v>478</v>
      </c>
    </row>
    <row r="33" spans="1:5" x14ac:dyDescent="0.25">
      <c r="A33" s="7" t="s">
        <v>90</v>
      </c>
      <c r="B33" s="7" t="s">
        <v>91</v>
      </c>
      <c r="C33" s="8" t="s">
        <v>92</v>
      </c>
      <c r="D33" s="60" t="s">
        <v>479</v>
      </c>
      <c r="E33" s="12" t="s">
        <v>480</v>
      </c>
    </row>
    <row r="34" spans="1:5" x14ac:dyDescent="0.25">
      <c r="A34" s="7" t="s">
        <v>93</v>
      </c>
      <c r="B34" s="7" t="s">
        <v>94</v>
      </c>
      <c r="C34" s="8" t="s">
        <v>95</v>
      </c>
      <c r="D34" s="60"/>
      <c r="E34" s="12" t="s">
        <v>481</v>
      </c>
    </row>
    <row r="35" spans="1:5" x14ac:dyDescent="0.25">
      <c r="A35" s="5" t="s">
        <v>96</v>
      </c>
      <c r="B35" s="5" t="s">
        <v>97</v>
      </c>
      <c r="C35" s="6" t="s">
        <v>98</v>
      </c>
      <c r="D35" s="49"/>
      <c r="E35" s="12" t="s">
        <v>482</v>
      </c>
    </row>
    <row r="36" spans="1:5" x14ac:dyDescent="0.25">
      <c r="A36" s="7" t="s">
        <v>99</v>
      </c>
      <c r="B36" s="7" t="s">
        <v>100</v>
      </c>
      <c r="C36" s="8" t="s">
        <v>101</v>
      </c>
      <c r="D36" s="60"/>
      <c r="E36" s="12" t="s">
        <v>483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9">
        <v>9165213208</v>
      </c>
      <c r="E37" s="12" t="s">
        <v>484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9"/>
      <c r="E38" s="12" t="s">
        <v>485</v>
      </c>
    </row>
    <row r="39" spans="1:5" x14ac:dyDescent="0.25">
      <c r="A39" s="7" t="s">
        <v>108</v>
      </c>
      <c r="B39" s="7" t="s">
        <v>72</v>
      </c>
      <c r="C39" s="8" t="s">
        <v>109</v>
      </c>
      <c r="D39" s="55" t="s">
        <v>486</v>
      </c>
      <c r="E39" s="12" t="s">
        <v>487</v>
      </c>
    </row>
    <row r="40" spans="1:5" x14ac:dyDescent="0.25">
      <c r="A40" s="7" t="s">
        <v>110</v>
      </c>
      <c r="B40" s="7" t="s">
        <v>20</v>
      </c>
      <c r="C40" s="8" t="s">
        <v>111</v>
      </c>
      <c r="D40" s="55" t="s">
        <v>488</v>
      </c>
      <c r="E40" s="12" t="s">
        <v>489</v>
      </c>
    </row>
    <row r="41" spans="1:5" x14ac:dyDescent="0.25">
      <c r="A41" s="5" t="s">
        <v>112</v>
      </c>
      <c r="B41" s="5" t="s">
        <v>55</v>
      </c>
      <c r="C41" s="6" t="s">
        <v>113</v>
      </c>
      <c r="D41" s="49"/>
      <c r="E41" s="12" t="s">
        <v>490</v>
      </c>
    </row>
    <row r="42" spans="1:5" x14ac:dyDescent="0.25">
      <c r="A42" s="7" t="s">
        <v>114</v>
      </c>
      <c r="B42" s="7" t="s">
        <v>72</v>
      </c>
      <c r="C42" s="8" t="s">
        <v>115</v>
      </c>
      <c r="D42" s="60" t="s">
        <v>491</v>
      </c>
      <c r="E42" s="12" t="s">
        <v>471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9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9">
        <v>7078499317</v>
      </c>
      <c r="E44" s="12" t="s">
        <v>492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9"/>
      <c r="E45" s="12" t="s">
        <v>493</v>
      </c>
    </row>
    <row r="46" spans="1:5" x14ac:dyDescent="0.25">
      <c r="A46" s="5" t="s">
        <v>124</v>
      </c>
      <c r="B46" s="5" t="s">
        <v>72</v>
      </c>
      <c r="C46" s="6" t="s">
        <v>125</v>
      </c>
      <c r="D46" s="49">
        <v>7073225806</v>
      </c>
      <c r="E46" s="63" t="s">
        <v>494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5" t="s">
        <v>495</v>
      </c>
      <c r="E47" s="12" t="s">
        <v>496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9"/>
      <c r="E48" s="12" t="s">
        <v>497</v>
      </c>
    </row>
    <row r="49" spans="1:5" x14ac:dyDescent="0.25">
      <c r="A49" s="5" t="s">
        <v>132</v>
      </c>
      <c r="B49" s="5" t="s">
        <v>84</v>
      </c>
      <c r="C49" s="6" t="s">
        <v>133</v>
      </c>
      <c r="D49" s="49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9">
        <v>4152058885</v>
      </c>
      <c r="E50" s="63" t="s">
        <v>498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9">
        <v>4152052574</v>
      </c>
      <c r="E51" s="63" t="s">
        <v>499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9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9" t="s">
        <v>500</v>
      </c>
      <c r="E53" s="12" t="s">
        <v>501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9"/>
      <c r="E54" s="12" t="s">
        <v>502</v>
      </c>
    </row>
    <row r="55" spans="1:5" x14ac:dyDescent="0.25">
      <c r="A55" s="7" t="s">
        <v>147</v>
      </c>
      <c r="B55" s="7" t="s">
        <v>148</v>
      </c>
      <c r="C55" s="8" t="s">
        <v>149</v>
      </c>
      <c r="D55" s="60">
        <v>9166997163</v>
      </c>
      <c r="E55" s="63" t="s">
        <v>503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60">
        <v>5104613953</v>
      </c>
      <c r="E56" s="63" t="s">
        <v>504</v>
      </c>
    </row>
    <row r="57" spans="1:5" x14ac:dyDescent="0.25">
      <c r="A57" s="7" t="s">
        <v>153</v>
      </c>
      <c r="B57" s="7" t="s">
        <v>72</v>
      </c>
      <c r="C57" s="8" t="s">
        <v>154</v>
      </c>
      <c r="D57" s="60">
        <v>7074848898</v>
      </c>
      <c r="E57" s="12" t="s">
        <v>505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9"/>
      <c r="E58" s="12" t="s">
        <v>506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507</v>
      </c>
      <c r="E59" s="12" t="s">
        <v>471</v>
      </c>
    </row>
    <row r="60" spans="1:5" x14ac:dyDescent="0.25">
      <c r="A60" s="5" t="s">
        <v>161</v>
      </c>
      <c r="B60" s="5" t="s">
        <v>91</v>
      </c>
      <c r="C60" s="6" t="s">
        <v>162</v>
      </c>
      <c r="D60" s="49"/>
      <c r="E60" s="12" t="s">
        <v>508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9"/>
      <c r="E61" s="12" t="s">
        <v>509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9">
        <v>9253604907</v>
      </c>
      <c r="E62" s="12" t="s">
        <v>510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9"/>
      <c r="E63" s="12" t="s">
        <v>511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9">
        <v>5305180274</v>
      </c>
      <c r="E64" s="12" t="s">
        <v>512</v>
      </c>
    </row>
    <row r="65" spans="1:5" x14ac:dyDescent="0.25">
      <c r="A65" s="5" t="s">
        <v>175</v>
      </c>
      <c r="B65" s="5" t="s">
        <v>72</v>
      </c>
      <c r="C65" s="6" t="s">
        <v>176</v>
      </c>
      <c r="D65" s="49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9"/>
      <c r="E66" s="12" t="s">
        <v>513</v>
      </c>
    </row>
    <row r="67" spans="1:5" x14ac:dyDescent="0.25">
      <c r="A67" s="7" t="s">
        <v>179</v>
      </c>
      <c r="B67" s="7" t="s">
        <v>180</v>
      </c>
      <c r="C67" s="8" t="s">
        <v>181</v>
      </c>
      <c r="D67" s="60"/>
      <c r="E67" s="12" t="s">
        <v>514</v>
      </c>
    </row>
    <row r="68" spans="1:5" x14ac:dyDescent="0.25">
      <c r="A68" s="5" t="s">
        <v>182</v>
      </c>
      <c r="B68" s="5" t="s">
        <v>20</v>
      </c>
      <c r="C68" s="6" t="s">
        <v>183</v>
      </c>
      <c r="D68" s="49"/>
      <c r="E68" s="12" t="s">
        <v>515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516</v>
      </c>
      <c r="E69" s="12" t="s">
        <v>471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9"/>
      <c r="E70" s="12" t="s">
        <v>517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9"/>
      <c r="E71" s="12" t="s">
        <v>518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519</v>
      </c>
      <c r="E72" s="63" t="s">
        <v>520</v>
      </c>
    </row>
    <row r="73" spans="1:5" x14ac:dyDescent="0.25">
      <c r="A73" s="7" t="s">
        <v>196</v>
      </c>
      <c r="B73" s="7" t="s">
        <v>64</v>
      </c>
      <c r="C73" s="8" t="s">
        <v>197</v>
      </c>
      <c r="D73" s="60">
        <v>4084722020</v>
      </c>
      <c r="E73" s="63" t="s">
        <v>521</v>
      </c>
    </row>
    <row r="74" spans="1:5" x14ac:dyDescent="0.25">
      <c r="A74" s="7" t="s">
        <v>198</v>
      </c>
      <c r="B74" s="7" t="s">
        <v>199</v>
      </c>
      <c r="C74" s="8" t="s">
        <v>200</v>
      </c>
      <c r="D74" s="70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9"/>
      <c r="E75" s="12" t="s">
        <v>522</v>
      </c>
    </row>
    <row r="76" spans="1:5" x14ac:dyDescent="0.25">
      <c r="A76" s="7" t="s">
        <v>204</v>
      </c>
      <c r="B76" s="7" t="s">
        <v>205</v>
      </c>
      <c r="C76" s="8" t="s">
        <v>206</v>
      </c>
      <c r="D76" s="60"/>
      <c r="E76" s="12" t="s">
        <v>523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9">
        <v>9254579513</v>
      </c>
      <c r="E77" s="63" t="s">
        <v>524</v>
      </c>
    </row>
    <row r="78" spans="1:5" x14ac:dyDescent="0.25">
      <c r="A78" s="7" t="s">
        <v>210</v>
      </c>
      <c r="B78" s="7" t="s">
        <v>211</v>
      </c>
      <c r="C78" s="8" t="s">
        <v>212</v>
      </c>
      <c r="D78" s="60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9"/>
      <c r="E79" s="12" t="s">
        <v>525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9"/>
      <c r="E80" s="12" t="s">
        <v>526</v>
      </c>
    </row>
    <row r="81" spans="1:5" x14ac:dyDescent="0.25">
      <c r="A81" s="7" t="s">
        <v>219</v>
      </c>
      <c r="B81" s="7" t="s">
        <v>220</v>
      </c>
      <c r="C81" s="8" t="s">
        <v>221</v>
      </c>
      <c r="D81" s="60"/>
      <c r="E81" s="12" t="s">
        <v>527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9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9">
        <v>5106819675</v>
      </c>
      <c r="E83" s="63" t="s">
        <v>528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9"/>
      <c r="E84" s="12" t="s">
        <v>529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9"/>
      <c r="E85" s="12" t="s">
        <v>530</v>
      </c>
    </row>
    <row r="86" spans="1:5" x14ac:dyDescent="0.25">
      <c r="A86" s="7" t="s">
        <v>234</v>
      </c>
      <c r="B86" s="7" t="s">
        <v>235</v>
      </c>
      <c r="C86" s="8" t="s">
        <v>236</v>
      </c>
      <c r="D86" s="60"/>
      <c r="E86" s="12" t="s">
        <v>531</v>
      </c>
    </row>
    <row r="87" spans="1:5" x14ac:dyDescent="0.25">
      <c r="A87" s="7" t="s">
        <v>237</v>
      </c>
      <c r="B87" s="7" t="s">
        <v>194</v>
      </c>
      <c r="C87" s="8" t="s">
        <v>238</v>
      </c>
      <c r="D87" s="60"/>
      <c r="E87" s="12" t="s">
        <v>532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9"/>
      <c r="E88" s="12" t="s">
        <v>533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9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9"/>
      <c r="E90" s="12" t="s">
        <v>534</v>
      </c>
    </row>
    <row r="91" spans="1:5" x14ac:dyDescent="0.25">
      <c r="A91" s="7" t="s">
        <v>247</v>
      </c>
      <c r="B91" s="7" t="s">
        <v>185</v>
      </c>
      <c r="C91" s="8" t="s">
        <v>248</v>
      </c>
      <c r="D91" s="60"/>
      <c r="E91" s="12" t="s">
        <v>535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9"/>
      <c r="E92" s="12" t="s">
        <v>536</v>
      </c>
    </row>
    <row r="93" spans="1:5" x14ac:dyDescent="0.25">
      <c r="A93" s="5" t="s">
        <v>252</v>
      </c>
      <c r="B93" s="5" t="s">
        <v>42</v>
      </c>
      <c r="C93" s="6" t="s">
        <v>253</v>
      </c>
      <c r="D93" s="49"/>
      <c r="E93" s="12" t="s">
        <v>537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538</v>
      </c>
      <c r="E94" s="63" t="s">
        <v>539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538</v>
      </c>
      <c r="E95" s="63" t="s">
        <v>540</v>
      </c>
    </row>
    <row r="96" spans="1:5" x14ac:dyDescent="0.25">
      <c r="A96" s="5" t="s">
        <v>259</v>
      </c>
      <c r="B96" s="5" t="s">
        <v>75</v>
      </c>
      <c r="C96" s="6" t="s">
        <v>260</v>
      </c>
      <c r="D96" s="49"/>
      <c r="E96" s="12" t="s">
        <v>541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5" t="s">
        <v>542</v>
      </c>
      <c r="E97" s="15" t="s">
        <v>543</v>
      </c>
    </row>
    <row r="98" spans="1:5" x14ac:dyDescent="0.25">
      <c r="A98" s="5" t="s">
        <v>264</v>
      </c>
      <c r="B98" s="5" t="s">
        <v>45</v>
      </c>
      <c r="C98" s="6" t="s">
        <v>265</v>
      </c>
      <c r="D98" s="65" t="s">
        <v>544</v>
      </c>
      <c r="E98" s="15" t="s">
        <v>545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4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9"/>
      <c r="E100" s="12" t="s">
        <v>546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60">
        <v>7072242345</v>
      </c>
      <c r="E101" s="12" t="s">
        <v>547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9"/>
      <c r="E102" s="12" t="s">
        <v>548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60"/>
      <c r="E103" s="12" t="s">
        <v>549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9"/>
      <c r="E104" s="12" t="s">
        <v>550</v>
      </c>
    </row>
    <row r="105" spans="1:5" x14ac:dyDescent="0.25">
      <c r="A105" s="5" t="s">
        <v>281</v>
      </c>
      <c r="B105" s="5" t="s">
        <v>282</v>
      </c>
      <c r="C105" s="6"/>
      <c r="D105" s="49"/>
      <c r="E105" s="12" t="s">
        <v>551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60"/>
      <c r="E106" s="12" t="s">
        <v>552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9"/>
      <c r="E107" s="12" t="s">
        <v>553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9"/>
      <c r="E108" s="12" t="s">
        <v>554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5" t="s">
        <v>555</v>
      </c>
      <c r="E109" s="12" t="s">
        <v>556</v>
      </c>
    </row>
    <row r="110" spans="1:5" x14ac:dyDescent="0.25">
      <c r="A110" s="5" t="s">
        <v>291</v>
      </c>
      <c r="B110" s="13" t="s">
        <v>255</v>
      </c>
      <c r="C110" s="6"/>
      <c r="D110" s="49"/>
      <c r="E110" s="12" t="s">
        <v>557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60"/>
      <c r="E111" s="12" t="s">
        <v>558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9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60"/>
      <c r="E113" s="12" t="s">
        <v>559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9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60"/>
      <c r="E115" s="12" t="s">
        <v>560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9"/>
      <c r="E116" s="12" t="s">
        <v>561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9"/>
      <c r="E117" s="12" t="s">
        <v>562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9"/>
      <c r="E118" s="12" t="s">
        <v>563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9"/>
      <c r="E119" s="12" t="s">
        <v>564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9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60">
        <v>5105046905</v>
      </c>
      <c r="E121" s="63" t="s">
        <v>565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5" t="s">
        <v>566</v>
      </c>
      <c r="E122" s="12" t="s">
        <v>567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60">
        <v>9167697400</v>
      </c>
      <c r="E123" s="12" t="s">
        <v>568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4"/>
      <c r="E124" s="12" t="s">
        <v>569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60"/>
      <c r="E125" s="12" t="s">
        <v>570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9">
        <v>5302194729</v>
      </c>
      <c r="E126" s="63" t="s">
        <v>571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9"/>
      <c r="E127" s="12" t="s">
        <v>572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9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9">
        <v>7075991826</v>
      </c>
      <c r="E129" s="12" t="s">
        <v>573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60">
        <v>7075994605</v>
      </c>
      <c r="E130" s="15" t="s">
        <v>574</v>
      </c>
    </row>
    <row r="131" spans="1:5" ht="15.75" x14ac:dyDescent="0.25">
      <c r="A131" s="14" t="s">
        <v>340</v>
      </c>
      <c r="B131" s="14" t="s">
        <v>255</v>
      </c>
      <c r="C131" s="6"/>
      <c r="D131" s="49"/>
      <c r="E131" s="12" t="s">
        <v>575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9">
        <v>7073490481</v>
      </c>
      <c r="E132" s="63" t="s">
        <v>576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9"/>
      <c r="E133" s="12" t="s">
        <v>577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9">
        <v>2093653232</v>
      </c>
      <c r="E134" s="63" t="s">
        <v>578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9">
        <v>7076641532</v>
      </c>
      <c r="E135" s="63" t="s">
        <v>579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5" t="s">
        <v>580</v>
      </c>
      <c r="E136" s="12" t="s">
        <v>581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60"/>
      <c r="E137" s="12" t="s">
        <v>582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9"/>
      <c r="E138" s="12" t="s">
        <v>583</v>
      </c>
    </row>
    <row r="139" spans="1:5" x14ac:dyDescent="0.25">
      <c r="A139" s="5" t="s">
        <v>360</v>
      </c>
      <c r="B139" s="5" t="s">
        <v>255</v>
      </c>
      <c r="C139" s="6"/>
      <c r="D139" s="49"/>
      <c r="E139" s="12" t="s">
        <v>584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9">
        <v>5303666465</v>
      </c>
      <c r="E140" s="63" t="s">
        <v>585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9"/>
      <c r="E141" s="12" t="s">
        <v>586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4"/>
      <c r="E142" s="12" t="s">
        <v>587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60">
        <v>7072524331</v>
      </c>
      <c r="E143" s="12" t="s">
        <v>588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60" t="s">
        <v>589</v>
      </c>
      <c r="E144" s="12" t="s">
        <v>590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60"/>
      <c r="E145" s="12" t="s">
        <v>591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9"/>
      <c r="E146" s="12" t="s">
        <v>592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9"/>
      <c r="E147" s="12" t="s">
        <v>593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9"/>
      <c r="E148" s="12" t="s">
        <v>594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9"/>
      <c r="E149" s="12" t="s">
        <v>595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596</v>
      </c>
      <c r="E150" s="15" t="s">
        <v>597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9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9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9"/>
      <c r="E153" s="12" t="s">
        <v>598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9">
        <v>7075087889</v>
      </c>
      <c r="E154" s="12" t="s">
        <v>471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9"/>
      <c r="E155" s="12" t="s">
        <v>599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9">
        <v>7075290228</v>
      </c>
      <c r="E156" s="63" t="s">
        <v>600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4"/>
      <c r="E157" s="12" t="s">
        <v>535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9"/>
      <c r="E158" s="12" t="s">
        <v>601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9"/>
      <c r="E159" s="12" t="s">
        <v>602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9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9">
        <v>7078150886</v>
      </c>
      <c r="E161" s="63" t="s">
        <v>603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9">
        <v>5106764872</v>
      </c>
      <c r="E162" s="63" t="s">
        <v>604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9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605</v>
      </c>
      <c r="E164" s="12" t="s">
        <v>606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B4ABCA41-AA93-4875-906E-1D87E6709123}"/>
    <hyperlink ref="E135" r:id="rId2" xr:uid="{25B918B6-F510-450F-BC8E-83ABAB31ADE6}"/>
    <hyperlink ref="E6" r:id="rId3" xr:uid="{3052812E-46F9-4B67-BC14-3119224FB0E6}"/>
    <hyperlink ref="E9" r:id="rId4" xr:uid="{6CFE8BC5-7C3F-425F-B8A3-F029743D7430}"/>
    <hyperlink ref="E12" r:id="rId5" xr:uid="{F5641C52-8400-422F-B7E8-BA925A94C64E}"/>
    <hyperlink ref="E31" r:id="rId6" xr:uid="{12F23A71-67DE-4F8C-8030-85AB35D17701}"/>
    <hyperlink ref="E46" r:id="rId7" xr:uid="{7A8B7CB5-D34F-414F-A6FD-1B14AD1A506B}"/>
    <hyperlink ref="E51" r:id="rId8" xr:uid="{A69E6CEF-7C40-423F-9F68-3FFA0025CA1E}"/>
    <hyperlink ref="E55" r:id="rId9" xr:uid="{EFBC1878-AEDB-4A65-8FD7-4DA2C4114557}"/>
    <hyperlink ref="E56" r:id="rId10" xr:uid="{82E99AAA-142A-4970-AB6F-E9F5A50C36FF}"/>
    <hyperlink ref="E72" r:id="rId11" xr:uid="{086EA784-71BA-4672-942D-57EE5E1C2EC8}"/>
    <hyperlink ref="E73" r:id="rId12" xr:uid="{260B7D7A-43EA-4C64-B859-7D884C05D44B}"/>
    <hyperlink ref="E77" r:id="rId13" xr:uid="{F9BE1DC4-E765-425B-8FD1-3BA3A7D0B0D4}"/>
    <hyperlink ref="E83" r:id="rId14" xr:uid="{7FB3D3F8-F2E5-4831-B30F-89C408153B80}"/>
    <hyperlink ref="E121" r:id="rId15" xr:uid="{5E640E91-DFE2-49DA-A995-47DA4DC2EC36}"/>
    <hyperlink ref="E126" r:id="rId16" xr:uid="{89BA668F-8E4B-40F8-B5E9-89C01F05A080}"/>
    <hyperlink ref="E132" r:id="rId17" xr:uid="{C4629F2C-31FF-4953-81C0-E0A110C8F395}"/>
    <hyperlink ref="E134" r:id="rId18" xr:uid="{FF908DCC-1F77-4547-B6CB-CC2BBD463B9F}"/>
    <hyperlink ref="E140" r:id="rId19" xr:uid="{973243A3-B198-487B-B643-A4EF2830CB81}"/>
    <hyperlink ref="E156" r:id="rId20" xr:uid="{9C84611C-0316-4E19-A6D9-F27F88AA214D}"/>
    <hyperlink ref="E161" r:id="rId21" xr:uid="{8F91C27A-8113-4A99-A405-1E1AE1BB5FF4}"/>
    <hyperlink ref="E162" r:id="rId22" xr:uid="{32A6B996-8871-4F03-9632-9099E38880EE}"/>
    <hyperlink ref="E94" r:id="rId23" xr:uid="{FB2CD2D0-3FF0-4CEF-9C42-4CCEDAD457F9}"/>
    <hyperlink ref="E95" r:id="rId24" xr:uid="{F3043289-082B-4C6F-807F-BA0CF99039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156</vt:i4>
      </vt:variant>
    </vt:vector>
  </HeadingPairs>
  <TitlesOfParts>
    <vt:vector size="164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FRegEntriesAccNoHdr</vt:lpstr>
      <vt:lpstr>FRegEntriesAllEntered</vt:lpstr>
      <vt:lpstr>FRegEntriesAllInput</vt:lpstr>
      <vt:lpstr>FRegEntriesAnchorHdr</vt:lpstr>
      <vt:lpstr>FRegEntriesAnchorsCount</vt:lpstr>
      <vt:lpstr>FRegEntriesCash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FRegEntriesNameHdr</vt:lpstr>
      <vt:lpstr>FRegEntriesNotPaidCount</vt:lpstr>
      <vt:lpstr>FRegentriesPool1Count</vt:lpstr>
      <vt:lpstr>FRegEntriesPool1Header</vt:lpstr>
      <vt:lpstr>FRegEntriesPool2Count</vt:lpstr>
      <vt:lpstr>FRegEntriesPool2Header</vt:lpstr>
      <vt:lpstr>FRegEntriesPool3Count</vt:lpstr>
      <vt:lpstr>FRegEntriesPool3Header</vt:lpstr>
      <vt:lpstr>FRegEntriesPool4Count</vt:lpstr>
      <vt:lpstr>FRegEntriesPool4Header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FTourneyDri1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2024-04-14T22:39:24Z</dcterms:modified>
</cp:coreProperties>
</file>