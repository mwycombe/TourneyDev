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Desktop\"/>
    </mc:Choice>
  </mc:AlternateContent>
  <xr:revisionPtr revIDLastSave="0" documentId="13_ncr:1_{B13A288F-587A-4A89-9268-524AA74133CD}" xr6:coauthVersionLast="47" xr6:coauthVersionMax="47" xr10:uidLastSave="{00000000-0000-0000-0000-000000000000}"/>
  <bookViews>
    <workbookView minimized="1" xWindow="855" yWindow="360" windowWidth="27090" windowHeight="14535" xr2:uid="{00000000-000D-0000-FFFF-FFFF00000000}"/>
  </bookViews>
  <sheets>
    <sheet name="1in6Chart" sheetId="1" r:id="rId1"/>
    <sheet name="$10" sheetId="2" r:id="rId2"/>
    <sheet name="$20" sheetId="3" r:id="rId3"/>
    <sheet name="$50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Y53" i="1" l="1"/>
  <c r="AX53" i="1"/>
  <c r="AW53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P53" i="1"/>
  <c r="O53" i="1"/>
  <c r="N53" i="1"/>
  <c r="M53" i="1"/>
  <c r="L53" i="1"/>
  <c r="K53" i="1"/>
  <c r="J53" i="1"/>
  <c r="I53" i="1"/>
  <c r="H53" i="1"/>
  <c r="G53" i="1"/>
  <c r="F53" i="1"/>
  <c r="E53" i="1"/>
  <c r="AZ53" i="1"/>
  <c r="S93" i="4"/>
  <c r="T93" i="4" s="1"/>
  <c r="S92" i="4"/>
  <c r="T92" i="4" s="1"/>
  <c r="S91" i="4"/>
  <c r="T91" i="4" s="1"/>
  <c r="S90" i="4"/>
  <c r="T90" i="4" s="1"/>
  <c r="S89" i="4"/>
  <c r="T89" i="4" s="1"/>
  <c r="S88" i="4"/>
  <c r="T88" i="4" s="1"/>
  <c r="S87" i="4"/>
  <c r="T87" i="4" s="1"/>
  <c r="S86" i="4"/>
  <c r="T86" i="4" s="1"/>
  <c r="S85" i="4"/>
  <c r="T85" i="4" s="1"/>
  <c r="S84" i="4"/>
  <c r="T84" i="4" s="1"/>
  <c r="S83" i="4"/>
  <c r="T83" i="4" s="1"/>
  <c r="S82" i="4"/>
  <c r="T82" i="4" s="1"/>
  <c r="S81" i="4"/>
  <c r="T81" i="4" s="1"/>
  <c r="S80" i="4"/>
  <c r="T80" i="4" s="1"/>
  <c r="S79" i="4"/>
  <c r="T79" i="4" s="1"/>
  <c r="S78" i="4"/>
  <c r="T78" i="4" s="1"/>
  <c r="S77" i="4"/>
  <c r="T77" i="4" s="1"/>
  <c r="S76" i="4"/>
  <c r="T76" i="4" s="1"/>
  <c r="S75" i="4"/>
  <c r="T75" i="4" s="1"/>
  <c r="S74" i="4"/>
  <c r="T74" i="4" s="1"/>
  <c r="S73" i="4"/>
  <c r="T73" i="4" s="1"/>
  <c r="S72" i="4"/>
  <c r="T72" i="4" s="1"/>
  <c r="S71" i="4"/>
  <c r="T71" i="4" s="1"/>
  <c r="S70" i="4"/>
  <c r="T70" i="4" s="1"/>
  <c r="S69" i="4"/>
  <c r="T69" i="4" s="1"/>
  <c r="S68" i="4"/>
  <c r="T68" i="4" s="1"/>
  <c r="S67" i="4"/>
  <c r="T67" i="4" s="1"/>
  <c r="S66" i="4"/>
  <c r="T66" i="4" s="1"/>
  <c r="S65" i="4"/>
  <c r="T65" i="4" s="1"/>
  <c r="S64" i="4"/>
  <c r="T64" i="4" s="1"/>
  <c r="S63" i="4"/>
  <c r="T63" i="4" s="1"/>
  <c r="S62" i="4"/>
  <c r="T62" i="4" s="1"/>
  <c r="S61" i="4"/>
  <c r="T61" i="4" s="1"/>
  <c r="S60" i="4"/>
  <c r="T60" i="4" s="1"/>
  <c r="S59" i="4"/>
  <c r="T59" i="4" s="1"/>
  <c r="S58" i="4"/>
  <c r="T58" i="4" s="1"/>
  <c r="S57" i="4"/>
  <c r="T57" i="4" s="1"/>
  <c r="S56" i="4"/>
  <c r="T56" i="4" s="1"/>
  <c r="S55" i="4"/>
  <c r="T55" i="4" s="1"/>
  <c r="S54" i="4"/>
  <c r="T54" i="4" s="1"/>
  <c r="S53" i="4"/>
  <c r="T53" i="4" s="1"/>
  <c r="S52" i="4"/>
  <c r="T52" i="4" s="1"/>
  <c r="S51" i="4"/>
  <c r="T51" i="4" s="1"/>
  <c r="S50" i="4"/>
  <c r="T50" i="4" s="1"/>
  <c r="S49" i="4"/>
  <c r="T49" i="4" s="1"/>
  <c r="S48" i="4"/>
  <c r="T48" i="4" s="1"/>
  <c r="S47" i="4"/>
  <c r="T47" i="4" s="1"/>
  <c r="S46" i="4"/>
  <c r="T46" i="4" s="1"/>
  <c r="S45" i="4"/>
  <c r="T45" i="4" s="1"/>
  <c r="S44" i="4"/>
  <c r="T44" i="4" s="1"/>
  <c r="S43" i="4"/>
  <c r="T43" i="4" s="1"/>
  <c r="S42" i="4"/>
  <c r="T42" i="4" s="1"/>
  <c r="S41" i="4"/>
  <c r="T41" i="4" s="1"/>
  <c r="S40" i="4"/>
  <c r="T40" i="4" s="1"/>
  <c r="S39" i="4"/>
  <c r="T39" i="4" s="1"/>
  <c r="S38" i="4"/>
  <c r="T38" i="4" s="1"/>
  <c r="S37" i="4"/>
  <c r="T37" i="4" s="1"/>
  <c r="S36" i="4"/>
  <c r="T36" i="4" s="1"/>
  <c r="S35" i="4"/>
  <c r="T35" i="4" s="1"/>
  <c r="S34" i="4"/>
  <c r="T34" i="4" s="1"/>
  <c r="S33" i="4"/>
  <c r="T33" i="4" s="1"/>
  <c r="S32" i="4"/>
  <c r="T32" i="4" s="1"/>
  <c r="S31" i="4"/>
  <c r="T31" i="4" s="1"/>
  <c r="S30" i="4"/>
  <c r="T30" i="4" s="1"/>
  <c r="S29" i="4"/>
  <c r="T29" i="4" s="1"/>
  <c r="S28" i="4"/>
  <c r="T28" i="4" s="1"/>
  <c r="S27" i="4"/>
  <c r="T27" i="4" s="1"/>
  <c r="S26" i="4"/>
  <c r="T26" i="4" s="1"/>
  <c r="S25" i="4"/>
  <c r="T25" i="4" s="1"/>
  <c r="S24" i="4"/>
  <c r="T24" i="4" s="1"/>
  <c r="S23" i="4"/>
  <c r="T23" i="4" s="1"/>
  <c r="S22" i="4"/>
  <c r="T22" i="4" s="1"/>
  <c r="S21" i="4"/>
  <c r="T21" i="4" s="1"/>
  <c r="S20" i="4"/>
  <c r="T20" i="4" s="1"/>
  <c r="S19" i="4"/>
  <c r="T19" i="4" s="1"/>
  <c r="S18" i="4"/>
  <c r="T18" i="4" s="1"/>
  <c r="S17" i="4"/>
  <c r="T17" i="4" s="1"/>
  <c r="S16" i="4"/>
  <c r="T16" i="4" s="1"/>
  <c r="S15" i="4"/>
  <c r="T15" i="4" s="1"/>
  <c r="S14" i="4"/>
  <c r="T14" i="4" s="1"/>
  <c r="S13" i="4"/>
  <c r="T13" i="4" s="1"/>
  <c r="S12" i="4"/>
  <c r="T12" i="4" s="1"/>
  <c r="S11" i="4"/>
  <c r="T11" i="4" s="1"/>
  <c r="S10" i="4"/>
  <c r="T10" i="4" s="1"/>
  <c r="S9" i="4"/>
  <c r="T9" i="4" s="1"/>
  <c r="S8" i="4"/>
  <c r="T8" i="4" s="1"/>
  <c r="S7" i="4"/>
  <c r="T7" i="4" s="1"/>
  <c r="S6" i="4"/>
  <c r="T6" i="4" s="1"/>
  <c r="S5" i="4"/>
  <c r="T5" i="4" s="1"/>
  <c r="S4" i="4"/>
  <c r="T4" i="4" s="1"/>
  <c r="S93" i="3"/>
  <c r="T93" i="3" s="1"/>
  <c r="S92" i="3"/>
  <c r="T92" i="3" s="1"/>
  <c r="S91" i="3"/>
  <c r="T91" i="3" s="1"/>
  <c r="S90" i="3"/>
  <c r="T90" i="3" s="1"/>
  <c r="S89" i="3"/>
  <c r="T89" i="3" s="1"/>
  <c r="S88" i="3"/>
  <c r="T88" i="3" s="1"/>
  <c r="S87" i="3"/>
  <c r="T87" i="3" s="1"/>
  <c r="S86" i="3"/>
  <c r="T86" i="3" s="1"/>
  <c r="S85" i="3"/>
  <c r="T85" i="3" s="1"/>
  <c r="S84" i="3"/>
  <c r="T84" i="3" s="1"/>
  <c r="S83" i="3"/>
  <c r="T83" i="3" s="1"/>
  <c r="S82" i="3"/>
  <c r="T82" i="3" s="1"/>
  <c r="S81" i="3"/>
  <c r="T81" i="3" s="1"/>
  <c r="S80" i="3"/>
  <c r="T80" i="3" s="1"/>
  <c r="S79" i="3"/>
  <c r="T79" i="3" s="1"/>
  <c r="S78" i="3"/>
  <c r="T78" i="3" s="1"/>
  <c r="S77" i="3"/>
  <c r="T77" i="3" s="1"/>
  <c r="S76" i="3"/>
  <c r="T76" i="3" s="1"/>
  <c r="S75" i="3"/>
  <c r="T75" i="3" s="1"/>
  <c r="S74" i="3"/>
  <c r="T74" i="3" s="1"/>
  <c r="S73" i="3"/>
  <c r="T73" i="3" s="1"/>
  <c r="S72" i="3"/>
  <c r="T72" i="3" s="1"/>
  <c r="S71" i="3"/>
  <c r="T71" i="3" s="1"/>
  <c r="S70" i="3"/>
  <c r="T70" i="3" s="1"/>
  <c r="S69" i="3"/>
  <c r="T69" i="3" s="1"/>
  <c r="S68" i="3"/>
  <c r="T68" i="3" s="1"/>
  <c r="S67" i="3"/>
  <c r="T67" i="3" s="1"/>
  <c r="S66" i="3"/>
  <c r="T66" i="3" s="1"/>
  <c r="S65" i="3"/>
  <c r="T65" i="3" s="1"/>
  <c r="S64" i="3"/>
  <c r="T64" i="3" s="1"/>
  <c r="S63" i="3"/>
  <c r="T63" i="3" s="1"/>
  <c r="S62" i="3"/>
  <c r="T62" i="3" s="1"/>
  <c r="S61" i="3"/>
  <c r="T61" i="3" s="1"/>
  <c r="S60" i="3"/>
  <c r="T60" i="3" s="1"/>
  <c r="S59" i="3"/>
  <c r="T59" i="3" s="1"/>
  <c r="S58" i="3"/>
  <c r="T58" i="3" s="1"/>
  <c r="S57" i="3"/>
  <c r="T57" i="3" s="1"/>
  <c r="S56" i="3"/>
  <c r="T56" i="3" s="1"/>
  <c r="S55" i="3"/>
  <c r="T55" i="3" s="1"/>
  <c r="S54" i="3"/>
  <c r="T54" i="3" s="1"/>
  <c r="S53" i="3"/>
  <c r="T53" i="3" s="1"/>
  <c r="S52" i="3"/>
  <c r="T52" i="3" s="1"/>
  <c r="S51" i="3"/>
  <c r="T51" i="3" s="1"/>
  <c r="S50" i="3"/>
  <c r="T50" i="3" s="1"/>
  <c r="S49" i="3"/>
  <c r="T49" i="3" s="1"/>
  <c r="S48" i="3"/>
  <c r="T48" i="3" s="1"/>
  <c r="S47" i="3"/>
  <c r="T47" i="3" s="1"/>
  <c r="S46" i="3"/>
  <c r="T46" i="3" s="1"/>
  <c r="S45" i="3"/>
  <c r="T45" i="3" s="1"/>
  <c r="S44" i="3"/>
  <c r="T44" i="3" s="1"/>
  <c r="S43" i="3"/>
  <c r="T43" i="3" s="1"/>
  <c r="S42" i="3"/>
  <c r="T42" i="3" s="1"/>
  <c r="S41" i="3"/>
  <c r="T41" i="3" s="1"/>
  <c r="S40" i="3"/>
  <c r="T40" i="3" s="1"/>
  <c r="S39" i="3"/>
  <c r="T39" i="3" s="1"/>
  <c r="S38" i="3"/>
  <c r="T38" i="3" s="1"/>
  <c r="S37" i="3"/>
  <c r="T37" i="3" s="1"/>
  <c r="S36" i="3"/>
  <c r="T36" i="3" s="1"/>
  <c r="S35" i="3"/>
  <c r="T35" i="3" s="1"/>
  <c r="S34" i="3"/>
  <c r="T34" i="3" s="1"/>
  <c r="S33" i="3"/>
  <c r="T33" i="3" s="1"/>
  <c r="S32" i="3"/>
  <c r="T32" i="3" s="1"/>
  <c r="S31" i="3"/>
  <c r="T31" i="3" s="1"/>
  <c r="S30" i="3"/>
  <c r="T30" i="3" s="1"/>
  <c r="S29" i="3"/>
  <c r="T29" i="3" s="1"/>
  <c r="S28" i="3"/>
  <c r="T28" i="3" s="1"/>
  <c r="S27" i="3"/>
  <c r="T27" i="3" s="1"/>
  <c r="S26" i="3"/>
  <c r="T26" i="3" s="1"/>
  <c r="S25" i="3"/>
  <c r="T25" i="3" s="1"/>
  <c r="S24" i="3"/>
  <c r="T24" i="3" s="1"/>
  <c r="S23" i="3"/>
  <c r="T23" i="3" s="1"/>
  <c r="S22" i="3"/>
  <c r="T22" i="3" s="1"/>
  <c r="S21" i="3"/>
  <c r="T21" i="3" s="1"/>
  <c r="S20" i="3"/>
  <c r="T20" i="3" s="1"/>
  <c r="S19" i="3"/>
  <c r="T19" i="3" s="1"/>
  <c r="S18" i="3"/>
  <c r="T18" i="3" s="1"/>
  <c r="S17" i="3"/>
  <c r="T17" i="3" s="1"/>
  <c r="S16" i="3"/>
  <c r="T16" i="3" s="1"/>
  <c r="S15" i="3"/>
  <c r="T15" i="3" s="1"/>
  <c r="S14" i="3"/>
  <c r="T14" i="3" s="1"/>
  <c r="S13" i="3"/>
  <c r="T13" i="3" s="1"/>
  <c r="S12" i="3"/>
  <c r="T12" i="3" s="1"/>
  <c r="S11" i="3"/>
  <c r="T11" i="3" s="1"/>
  <c r="S10" i="3"/>
  <c r="T10" i="3" s="1"/>
  <c r="S9" i="3"/>
  <c r="T9" i="3" s="1"/>
  <c r="S8" i="3"/>
  <c r="T8" i="3" s="1"/>
  <c r="S7" i="3"/>
  <c r="T7" i="3" s="1"/>
  <c r="S6" i="3"/>
  <c r="T6" i="3" s="1"/>
  <c r="S5" i="3"/>
  <c r="T5" i="3" s="1"/>
  <c r="S4" i="3"/>
  <c r="T4" i="3" s="1"/>
  <c r="S93" i="2"/>
  <c r="T93" i="2" s="1"/>
  <c r="S92" i="2"/>
  <c r="T92" i="2" s="1"/>
  <c r="S91" i="2"/>
  <c r="T91" i="2" s="1"/>
  <c r="S90" i="2"/>
  <c r="T90" i="2" s="1"/>
  <c r="S89" i="2"/>
  <c r="T89" i="2" s="1"/>
  <c r="S88" i="2"/>
  <c r="T88" i="2" s="1"/>
  <c r="S87" i="2"/>
  <c r="T87" i="2" s="1"/>
  <c r="S86" i="2"/>
  <c r="T86" i="2" s="1"/>
  <c r="S85" i="2"/>
  <c r="T85" i="2" s="1"/>
  <c r="S84" i="2"/>
  <c r="T84" i="2" s="1"/>
  <c r="S83" i="2"/>
  <c r="T83" i="2" s="1"/>
  <c r="S82" i="2"/>
  <c r="T82" i="2" s="1"/>
  <c r="S81" i="2"/>
  <c r="T81" i="2" s="1"/>
  <c r="S80" i="2"/>
  <c r="T80" i="2" s="1"/>
  <c r="S79" i="2"/>
  <c r="T79" i="2" s="1"/>
  <c r="S78" i="2"/>
  <c r="T78" i="2" s="1"/>
  <c r="S77" i="2"/>
  <c r="T77" i="2" s="1"/>
  <c r="S76" i="2"/>
  <c r="T76" i="2" s="1"/>
  <c r="S75" i="2"/>
  <c r="T75" i="2" s="1"/>
  <c r="S74" i="2"/>
  <c r="T74" i="2" s="1"/>
  <c r="S73" i="2"/>
  <c r="T73" i="2" s="1"/>
  <c r="S72" i="2"/>
  <c r="T72" i="2" s="1"/>
  <c r="S71" i="2"/>
  <c r="T71" i="2" s="1"/>
  <c r="S70" i="2"/>
  <c r="T70" i="2" s="1"/>
  <c r="S69" i="2"/>
  <c r="T69" i="2" s="1"/>
  <c r="S68" i="2"/>
  <c r="T68" i="2" s="1"/>
  <c r="S67" i="2"/>
  <c r="T67" i="2" s="1"/>
  <c r="S66" i="2"/>
  <c r="T66" i="2" s="1"/>
  <c r="S65" i="2"/>
  <c r="T65" i="2" s="1"/>
  <c r="S64" i="2"/>
  <c r="T64" i="2" s="1"/>
  <c r="S63" i="2"/>
  <c r="T63" i="2" s="1"/>
  <c r="S62" i="2"/>
  <c r="T62" i="2" s="1"/>
  <c r="S61" i="2"/>
  <c r="T61" i="2" s="1"/>
  <c r="S60" i="2"/>
  <c r="T60" i="2" s="1"/>
  <c r="S59" i="2"/>
  <c r="T59" i="2" s="1"/>
  <c r="S58" i="2"/>
  <c r="T58" i="2" s="1"/>
  <c r="S57" i="2"/>
  <c r="T57" i="2" s="1"/>
  <c r="S56" i="2"/>
  <c r="T56" i="2" s="1"/>
  <c r="S55" i="2"/>
  <c r="T55" i="2" s="1"/>
  <c r="S54" i="2"/>
  <c r="T54" i="2" s="1"/>
  <c r="S53" i="2"/>
  <c r="T53" i="2" s="1"/>
  <c r="S52" i="2"/>
  <c r="T52" i="2" s="1"/>
  <c r="S51" i="2"/>
  <c r="T51" i="2" s="1"/>
  <c r="S50" i="2"/>
  <c r="T50" i="2" s="1"/>
  <c r="S49" i="2"/>
  <c r="T49" i="2" s="1"/>
  <c r="S48" i="2"/>
  <c r="T48" i="2" s="1"/>
  <c r="S47" i="2"/>
  <c r="T47" i="2" s="1"/>
  <c r="S46" i="2"/>
  <c r="T46" i="2" s="1"/>
  <c r="S45" i="2"/>
  <c r="T45" i="2" s="1"/>
  <c r="S44" i="2"/>
  <c r="T44" i="2" s="1"/>
  <c r="S43" i="2"/>
  <c r="T43" i="2" s="1"/>
  <c r="S42" i="2"/>
  <c r="T42" i="2" s="1"/>
  <c r="S41" i="2"/>
  <c r="T41" i="2" s="1"/>
  <c r="S40" i="2"/>
  <c r="T40" i="2" s="1"/>
  <c r="S39" i="2"/>
  <c r="T39" i="2" s="1"/>
  <c r="S38" i="2"/>
  <c r="T38" i="2" s="1"/>
  <c r="S37" i="2"/>
  <c r="T37" i="2" s="1"/>
  <c r="S36" i="2"/>
  <c r="T36" i="2" s="1"/>
  <c r="S35" i="2"/>
  <c r="T35" i="2" s="1"/>
  <c r="S34" i="2"/>
  <c r="T34" i="2" s="1"/>
  <c r="S33" i="2"/>
  <c r="T33" i="2" s="1"/>
  <c r="S32" i="2"/>
  <c r="T32" i="2" s="1"/>
  <c r="S31" i="2"/>
  <c r="T31" i="2" s="1"/>
  <c r="S30" i="2"/>
  <c r="T30" i="2" s="1"/>
  <c r="S29" i="2"/>
  <c r="T29" i="2" s="1"/>
  <c r="S28" i="2"/>
  <c r="T28" i="2" s="1"/>
  <c r="S27" i="2"/>
  <c r="T27" i="2" s="1"/>
  <c r="S26" i="2"/>
  <c r="T26" i="2" s="1"/>
  <c r="S25" i="2"/>
  <c r="T25" i="2" s="1"/>
  <c r="S24" i="2"/>
  <c r="T24" i="2" s="1"/>
  <c r="S23" i="2"/>
  <c r="T23" i="2" s="1"/>
  <c r="S22" i="2"/>
  <c r="T22" i="2" s="1"/>
  <c r="S21" i="2"/>
  <c r="T21" i="2" s="1"/>
  <c r="S20" i="2"/>
  <c r="T20" i="2" s="1"/>
  <c r="S19" i="2"/>
  <c r="T19" i="2" s="1"/>
  <c r="S18" i="2"/>
  <c r="T18" i="2" s="1"/>
  <c r="S17" i="2"/>
  <c r="T17" i="2" s="1"/>
  <c r="S16" i="2"/>
  <c r="T16" i="2" s="1"/>
  <c r="S15" i="2"/>
  <c r="T15" i="2" s="1"/>
  <c r="S14" i="2"/>
  <c r="T14" i="2" s="1"/>
  <c r="S13" i="2"/>
  <c r="T13" i="2" s="1"/>
  <c r="S12" i="2"/>
  <c r="T12" i="2" s="1"/>
  <c r="S11" i="2"/>
  <c r="T11" i="2" s="1"/>
  <c r="S10" i="2"/>
  <c r="T10" i="2" s="1"/>
  <c r="S9" i="2"/>
  <c r="T9" i="2" s="1"/>
  <c r="S8" i="2"/>
  <c r="T8" i="2" s="1"/>
  <c r="S7" i="2"/>
  <c r="T7" i="2" s="1"/>
  <c r="S6" i="2"/>
  <c r="T6" i="2" s="1"/>
  <c r="S5" i="2"/>
  <c r="T5" i="2" s="1"/>
  <c r="S4" i="2"/>
  <c r="T4" i="2" s="1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M32" i="1"/>
  <c r="M36" i="1" s="1"/>
  <c r="T94" i="4" l="1"/>
  <c r="T94" i="3"/>
  <c r="T94" i="2"/>
</calcChain>
</file>

<file path=xl/sharedStrings.xml><?xml version="1.0" encoding="utf-8"?>
<sst xmlns="http://schemas.openxmlformats.org/spreadsheetml/2006/main" count="136" uniqueCount="91">
  <si>
    <t>players:</t>
  </si>
  <si>
    <t>1-6</t>
  </si>
  <si>
    <t>7-12</t>
  </si>
  <si>
    <t>13-18</t>
  </si>
  <si>
    <t>19-24</t>
  </si>
  <si>
    <t>25-30</t>
  </si>
  <si>
    <t>31-36</t>
  </si>
  <si>
    <t>37-42</t>
  </si>
  <si>
    <t>43-48</t>
  </si>
  <si>
    <t>49-54</t>
  </si>
  <si>
    <t>55-60</t>
  </si>
  <si>
    <t>61-66</t>
  </si>
  <si>
    <t>67-72</t>
  </si>
  <si>
    <t>73-78</t>
  </si>
  <si>
    <t>79-84</t>
  </si>
  <si>
    <t>85-90</t>
  </si>
  <si>
    <t>91-96</t>
  </si>
  <si>
    <t>97-102</t>
  </si>
  <si>
    <t>103-108</t>
  </si>
  <si>
    <t>109-114</t>
  </si>
  <si>
    <t>115-120</t>
  </si>
  <si>
    <t>121-126</t>
  </si>
  <si>
    <t>127-132</t>
  </si>
  <si>
    <t>133-138</t>
  </si>
  <si>
    <t>139-144</t>
  </si>
  <si>
    <t>145-150</t>
  </si>
  <si>
    <t>151-156</t>
  </si>
  <si>
    <t>157-162</t>
  </si>
  <si>
    <t>163-168</t>
  </si>
  <si>
    <t>169-174</t>
  </si>
  <si>
    <t>175-180</t>
  </si>
  <si>
    <t>181-186</t>
  </si>
  <si>
    <t>187-192</t>
  </si>
  <si>
    <t>193-198</t>
  </si>
  <si>
    <t>199-204</t>
  </si>
  <si>
    <t>205-210</t>
  </si>
  <si>
    <t>211-216</t>
  </si>
  <si>
    <t>217-222</t>
  </si>
  <si>
    <t>223-228</t>
  </si>
  <si>
    <t>229-234</t>
  </si>
  <si>
    <t>235-240</t>
  </si>
  <si>
    <t>241-246</t>
  </si>
  <si>
    <t>247-252</t>
  </si>
  <si>
    <t>253-258</t>
  </si>
  <si>
    <t>259-264</t>
  </si>
  <si>
    <t>265-270</t>
  </si>
  <si>
    <t>271-276</t>
  </si>
  <si>
    <t>277-282</t>
  </si>
  <si>
    <t>283-288</t>
  </si>
  <si>
    <t>289-294</t>
  </si>
  <si>
    <t>295-300</t>
  </si>
  <si>
    <t>pays:</t>
  </si>
  <si>
    <t xml:space="preserve">Source: Brion Neeley </t>
  </si>
  <si>
    <t>SIDE POOL PAYOUTS</t>
  </si>
  <si>
    <t>GRAND NATIONAL 33</t>
  </si>
  <si>
    <t>PAYS 1:6</t>
  </si>
  <si>
    <t>ENTER SIDE POOL AMOUNT ($10, $20, or $50):</t>
  </si>
  <si>
    <t>ENTER NUMBER OF PLAYERS IN POOL:</t>
  </si>
  <si>
    <t>x</t>
  </si>
  <si>
    <t>TOTAL IN PRIZE POOL (DOUBLE CHECK)</t>
  </si>
  <si>
    <t>=</t>
  </si>
  <si>
    <t>CONSULT TABLE ABOVE FOR PAYOUTS</t>
  </si>
  <si>
    <t>MULTIPLY THE PRIZE POOL BY THE % SHOWN</t>
  </si>
  <si>
    <t>ROUND UP OR DOWN TO NEAREST $5, ADD OR SUBTRACT REMAINDER WHERE MAKES SENSE</t>
  </si>
  <si>
    <t>SEE EXAMPLE PAGE</t>
  </si>
  <si>
    <t>Michael Rogers:</t>
  </si>
  <si>
    <t>$10 GRADUATED SIDE POOL 1 IN 6</t>
  </si>
  <si>
    <t>Entrants</t>
  </si>
  <si>
    <t>Total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</si>
  <si>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</si>
  <si>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</si>
  <si>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</si>
  <si>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</si>
  <si>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</si>
  <si>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</si>
  <si>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</si>
  <si>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</si>
  <si>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</si>
  <si>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</si>
  <si>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</si>
  <si>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</si>
  <si>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13th</t>
  </si>
  <si>
    <t>14th</t>
  </si>
  <si>
    <t>15th</t>
  </si>
  <si>
    <t>16th</t>
  </si>
  <si>
    <t>Entry Fee</t>
  </si>
  <si>
    <t>$20 GRADUATED SIDE POOL 1 IN 6</t>
  </si>
  <si>
    <t>$50 GRADUATED SIDE POOL 1 IN 6</t>
  </si>
  <si>
    <t>Diff</t>
  </si>
  <si>
    <t>Total of percentages</t>
  </si>
  <si>
    <t xml:space="preserve">Calculated and rounded to nearest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</si>
</sst>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164" formatCode="0.0%"/>
    <numFmt numFmtId="165" formatCode="0_);[Red]\(0\)"/>
    <numFmt numFmtId="166" formatCode="&quot;$&quot;#,#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1" fontId="1" fillId="0" borderId="0" xfId="0" applyNumberFormat="1" applyFont="1" applyAlignment="1">
      <alignment horizontal="center"/>
    </xf>
    <xf numFmtId="1" fontId="1" fillId="0" borderId="0" xfId="0" quotePrefix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/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/>
    <xf numFmtId="164" fontId="0" fillId="0" borderId="2" xfId="0" applyNumberFormat="1" applyBorder="1" applyAlignment="1">
      <alignment horizontal="center"/>
    </xf>
    <xf numFmtId="10" fontId="0" fillId="0" borderId="0" xfId="0" applyNumberFormat="1"/>
    <xf numFmtId="164" fontId="0" fillId="0" borderId="0" xfId="0" applyNumberFormat="1"/>
    <xf numFmtId="10" fontId="0" fillId="0" borderId="0" xfId="0" applyNumberFormat="1" applyAlignment="1">
      <alignment horizontal="center"/>
    </xf>
    <xf numFmtId="10" fontId="0" fillId="0" borderId="3" xfId="0" applyNumberFormat="1" applyBorder="1"/>
    <xf numFmtId="10" fontId="0" fillId="0" borderId="4" xfId="0" applyNumberFormat="1" applyBorder="1"/>
    <xf numFmtId="10" fontId="0" fillId="0" borderId="2" xfId="0" applyNumberFormat="1" applyBorder="1"/>
    <xf numFmtId="6" fontId="0" fillId="0" borderId="0" xfId="0" applyNumberFormat="1"/>
    <xf numFmtId="10" fontId="0" fillId="0" borderId="5" xfId="0" applyNumberFormat="1" applyBorder="1"/>
    <xf numFmtId="6" fontId="0" fillId="0" borderId="0" xfId="0" applyNumberFormat="1" applyAlignment="1">
      <alignment horizontal="center"/>
    </xf>
    <xf numFmtId="10" fontId="0" fillId="0" borderId="6" xfId="0" applyNumberFormat="1" applyBorder="1"/>
    <xf numFmtId="10" fontId="0" fillId="0" borderId="7" xfId="0" applyNumberFormat="1" applyBorder="1"/>
    <xf numFmtId="10" fontId="0" fillId="0" borderId="8" xfId="0" applyNumberFormat="1" applyBorder="1" applyAlignment="1">
      <alignment horizontal="center"/>
    </xf>
    <xf numFmtId="10" fontId="0" fillId="0" borderId="9" xfId="0" applyNumberFormat="1" applyBorder="1"/>
    <xf numFmtId="38" fontId="0" fillId="0" borderId="0" xfId="0" applyNumberFormat="1"/>
    <xf numFmtId="164" fontId="0" fillId="0" borderId="0" xfId="0" quotePrefix="1" applyNumberFormat="1"/>
    <xf numFmtId="10" fontId="0" fillId="0" borderId="4" xfId="0" applyNumberFormat="1" applyBorder="1" applyAlignment="1">
      <alignment horizontal="center"/>
    </xf>
    <xf numFmtId="164" fontId="0" fillId="0" borderId="0" xfId="0" quotePrefix="1" applyNumberFormat="1" applyAlignment="1">
      <alignment horizontal="center"/>
    </xf>
    <xf numFmtId="3" fontId="0" fillId="0" borderId="0" xfId="0" applyNumberFormat="1" applyAlignment="1">
      <alignment horizontal="center"/>
    </xf>
    <xf numFmtId="10" fontId="0" fillId="0" borderId="8" xfId="0" applyNumberFormat="1" applyBorder="1"/>
    <xf numFmtId="0" fontId="0" fillId="0" borderId="0" xfId="0" applyAlignment="1">
      <alignment horizontal="center"/>
    </xf>
    <xf numFmtId="17" fontId="0" fillId="0" borderId="0" xfId="0" applyNumberFormat="1" applyAlignment="1">
      <alignment horizontal="center"/>
    </xf>
    <xf numFmtId="0" fontId="2" fillId="0" borderId="0" xfId="0" applyFont="1"/>
    <xf numFmtId="165" fontId="2" fillId="0" borderId="0" xfId="0" applyNumberFormat="1" applyFont="1"/>
    <xf numFmtId="166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Z53"/>
  <sheetViews>
    <sheetView tabSelected="1" workbookViewId="0">
      <selection activeCell="D53" sqref="D53"/>
    </sheetView>
  </sheetViews>
  <sheetFormatPr defaultRowHeight="15" x14ac:dyDescent="0.25"/>
  <cols>
    <col min="1" max="1" width="4.28515625" style="28" bestFit="1" customWidth="1"/>
    <col min="2" max="3" width="10.140625" customWidth="1"/>
    <col min="4" max="4" width="13.85546875" customWidth="1"/>
    <col min="5" max="52" width="10.140625" customWidth="1"/>
  </cols>
  <sheetData>
    <row r="1" spans="1:52" s="1" customFormat="1" x14ac:dyDescent="0.25"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2" t="s">
        <v>39</v>
      </c>
      <c r="AP1" s="2" t="s">
        <v>40</v>
      </c>
      <c r="AQ1" s="2" t="s">
        <v>41</v>
      </c>
      <c r="AR1" s="2" t="s">
        <v>42</v>
      </c>
      <c r="AS1" s="2" t="s">
        <v>43</v>
      </c>
      <c r="AT1" s="2" t="s">
        <v>44</v>
      </c>
      <c r="AU1" s="2" t="s">
        <v>45</v>
      </c>
      <c r="AV1" s="2" t="s">
        <v>46</v>
      </c>
      <c r="AW1" s="2" t="s">
        <v>47</v>
      </c>
      <c r="AX1" s="2" t="s">
        <v>48</v>
      </c>
      <c r="AY1" s="2" t="s">
        <v>49</v>
      </c>
      <c r="AZ1" s="2" t="s">
        <v>50</v>
      </c>
    </row>
    <row r="2" spans="1:52" s="1" customFormat="1" x14ac:dyDescent="0.25">
      <c r="B2" s="1" t="s">
        <v>51</v>
      </c>
      <c r="C2" s="1"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">
        <v>10</v>
      </c>
      <c r="M2" s="1">
        <v>11</v>
      </c>
      <c r="N2" s="1">
        <v>12</v>
      </c>
      <c r="O2" s="1">
        <v>13</v>
      </c>
      <c r="P2" s="1">
        <v>14</v>
      </c>
      <c r="Q2" s="1">
        <v>15</v>
      </c>
      <c r="R2" s="1">
        <v>16</v>
      </c>
      <c r="S2" s="1">
        <v>17</v>
      </c>
      <c r="T2" s="1">
        <v>18</v>
      </c>
      <c r="U2" s="1">
        <v>19</v>
      </c>
      <c r="V2" s="1">
        <v>20</v>
      </c>
      <c r="W2" s="1">
        <v>21</v>
      </c>
      <c r="X2" s="1">
        <v>22</v>
      </c>
      <c r="Y2" s="1">
        <v>23</v>
      </c>
      <c r="Z2" s="1">
        <v>24</v>
      </c>
      <c r="AA2" s="1">
        <v>25</v>
      </c>
      <c r="AB2" s="1">
        <v>26</v>
      </c>
      <c r="AC2" s="1">
        <v>27</v>
      </c>
      <c r="AD2" s="1">
        <v>28</v>
      </c>
      <c r="AE2" s="1">
        <v>29</v>
      </c>
      <c r="AF2" s="1">
        <v>30</v>
      </c>
      <c r="AG2" s="1">
        <v>31</v>
      </c>
      <c r="AH2" s="1">
        <v>32</v>
      </c>
      <c r="AI2" s="1">
        <v>33</v>
      </c>
      <c r="AJ2" s="1">
        <v>34</v>
      </c>
      <c r="AK2" s="1">
        <v>35</v>
      </c>
      <c r="AL2" s="1">
        <v>36</v>
      </c>
      <c r="AM2" s="1">
        <v>37</v>
      </c>
      <c r="AN2" s="1">
        <v>38</v>
      </c>
      <c r="AO2" s="1">
        <v>39</v>
      </c>
      <c r="AP2" s="1">
        <v>40</v>
      </c>
      <c r="AQ2" s="1">
        <v>41</v>
      </c>
      <c r="AR2" s="1">
        <v>42</v>
      </c>
      <c r="AS2" s="1">
        <v>43</v>
      </c>
      <c r="AT2" s="1">
        <v>44</v>
      </c>
      <c r="AU2" s="1">
        <v>45</v>
      </c>
      <c r="AV2" s="1">
        <v>46</v>
      </c>
      <c r="AW2" s="1">
        <v>47</v>
      </c>
      <c r="AX2" s="1">
        <v>48</v>
      </c>
      <c r="AY2" s="1">
        <v>49</v>
      </c>
      <c r="AZ2" s="1">
        <v>50</v>
      </c>
    </row>
    <row r="3" spans="1:52" ht="20.25" customHeight="1" x14ac:dyDescent="0.25">
      <c r="A3" s="3">
        <v>1</v>
      </c>
      <c r="B3" s="4"/>
      <c r="C3" s="5">
        <v>1</v>
      </c>
      <c r="D3" s="5">
        <v>0.58299999999999996</v>
      </c>
      <c r="E3" s="5">
        <v>0.41699999999999998</v>
      </c>
      <c r="F3" s="5">
        <v>0.33300000000000002</v>
      </c>
      <c r="G3" s="5">
        <v>0.28299999999999997</v>
      </c>
      <c r="H3" s="5">
        <v>0.23599999999999999</v>
      </c>
      <c r="I3" s="5">
        <v>0.214</v>
      </c>
      <c r="J3" s="5">
        <v>0.19800000000000001</v>
      </c>
      <c r="K3" s="5">
        <v>0.185</v>
      </c>
      <c r="L3" s="5">
        <v>0.17499999999999999</v>
      </c>
      <c r="M3" s="5">
        <v>0.17399999999999999</v>
      </c>
      <c r="N3" s="5">
        <v>0.17399999999999999</v>
      </c>
      <c r="O3" s="5">
        <v>0.17299999999999999</v>
      </c>
      <c r="P3" s="5">
        <v>0.17299999999999999</v>
      </c>
      <c r="Q3" s="5">
        <v>0.17799999999999999</v>
      </c>
      <c r="R3" s="5">
        <v>0.17699999999999999</v>
      </c>
      <c r="S3" s="5">
        <v>0.17599999999999999</v>
      </c>
      <c r="T3" s="5">
        <v>0.17599999999999999</v>
      </c>
      <c r="U3" s="5">
        <v>0.17599999999999999</v>
      </c>
      <c r="V3" s="5">
        <v>0.17499999999999999</v>
      </c>
      <c r="W3" s="5">
        <v>0.17499999999999999</v>
      </c>
      <c r="X3" s="5">
        <v>0.17399999999999999</v>
      </c>
      <c r="Y3" s="5">
        <v>0.17399999999999999</v>
      </c>
      <c r="Z3" s="5">
        <v>0.17399999999999999</v>
      </c>
      <c r="AA3" s="5">
        <v>0.17499999999999999</v>
      </c>
      <c r="AB3" s="5">
        <v>0.17599999999999999</v>
      </c>
      <c r="AC3" s="5">
        <v>0.17599999999999999</v>
      </c>
      <c r="AD3" s="5">
        <v>0.17599999999999999</v>
      </c>
      <c r="AE3" s="5">
        <v>0.17599999999999999</v>
      </c>
      <c r="AF3" s="5">
        <v>0.17499999999999999</v>
      </c>
      <c r="AG3" s="5">
        <v>0.17499999999999999</v>
      </c>
      <c r="AH3" s="5">
        <v>0.17499999999999999</v>
      </c>
      <c r="AI3" s="5">
        <v>0.17499999999999999</v>
      </c>
      <c r="AJ3" s="5">
        <v>0.17599999999999999</v>
      </c>
      <c r="AK3" s="5">
        <v>0.17599999999999999</v>
      </c>
      <c r="AL3" s="5">
        <v>0.17599999999999999</v>
      </c>
      <c r="AM3" s="5">
        <v>0.17599999999999999</v>
      </c>
      <c r="AN3" s="5">
        <v>0.17499999999999999</v>
      </c>
      <c r="AO3" s="5">
        <v>0.17499999999999999</v>
      </c>
      <c r="AP3" s="5">
        <v>0.17599999999999999</v>
      </c>
      <c r="AQ3" s="5">
        <v>0.17499999999999999</v>
      </c>
      <c r="AR3" s="5">
        <v>0.17499999999999999</v>
      </c>
      <c r="AS3" s="5">
        <v>0.17399999999999999</v>
      </c>
      <c r="AT3" s="5">
        <v>0.17399999999999999</v>
      </c>
      <c r="AU3" s="5">
        <v>0.17499999999999999</v>
      </c>
      <c r="AV3" s="5">
        <v>0.17699999999999999</v>
      </c>
      <c r="AW3" s="5">
        <v>0.17599999999999999</v>
      </c>
      <c r="AX3" s="5">
        <v>0.17499999999999999</v>
      </c>
      <c r="AY3" s="5">
        <v>0.17499999999999999</v>
      </c>
      <c r="AZ3" s="5">
        <v>0.17499999999999999</v>
      </c>
    </row>
    <row r="4" spans="1:52" ht="20.25" customHeight="1" x14ac:dyDescent="0.25">
      <c r="A4" s="3">
        <v>2</v>
      </c>
      <c r="C4" s="6"/>
      <c r="D4" s="5">
        <v>0.41699999999999998</v>
      </c>
      <c r="E4" s="5">
        <v>0.33300000000000002</v>
      </c>
      <c r="F4" s="5">
        <v>0.25</v>
      </c>
      <c r="G4" s="5">
        <v>0.217</v>
      </c>
      <c r="H4" s="5">
        <v>0.18</v>
      </c>
      <c r="I4" s="5">
        <v>0.16700000000000001</v>
      </c>
      <c r="J4" s="5">
        <v>0.156</v>
      </c>
      <c r="K4" s="5">
        <v>0.13900000000000001</v>
      </c>
      <c r="L4" s="5">
        <v>0.13300000000000001</v>
      </c>
      <c r="M4" s="5">
        <v>0.129</v>
      </c>
      <c r="N4" s="5">
        <v>0.125</v>
      </c>
      <c r="O4" s="5">
        <v>0.122</v>
      </c>
      <c r="P4" s="5">
        <v>0.125</v>
      </c>
      <c r="Q4" s="5">
        <v>0.128</v>
      </c>
      <c r="R4" s="5">
        <v>0.125</v>
      </c>
      <c r="S4" s="5">
        <v>0.127</v>
      </c>
      <c r="T4" s="5">
        <v>0.125</v>
      </c>
      <c r="U4" s="5">
        <v>0.127</v>
      </c>
      <c r="V4" s="5">
        <v>0.125</v>
      </c>
      <c r="W4" s="5">
        <v>0.127</v>
      </c>
      <c r="X4" s="5">
        <v>0.125</v>
      </c>
      <c r="Y4" s="5">
        <v>0.127</v>
      </c>
      <c r="Z4" s="5">
        <v>0.125</v>
      </c>
      <c r="AA4" s="5">
        <v>0.127</v>
      </c>
      <c r="AB4" s="5">
        <v>0.125</v>
      </c>
      <c r="AC4" s="5">
        <v>0.127</v>
      </c>
      <c r="AD4" s="5">
        <v>0.125</v>
      </c>
      <c r="AE4" s="5">
        <v>0.126</v>
      </c>
      <c r="AF4" s="5">
        <v>0.126</v>
      </c>
      <c r="AG4" s="5">
        <v>0.126</v>
      </c>
      <c r="AH4" s="5">
        <v>0.125</v>
      </c>
      <c r="AI4" s="5">
        <v>0.126</v>
      </c>
      <c r="AJ4" s="5">
        <v>0.126</v>
      </c>
      <c r="AK4" s="5">
        <v>0.126</v>
      </c>
      <c r="AL4" s="5">
        <v>0.125</v>
      </c>
      <c r="AM4" s="5">
        <v>0.126</v>
      </c>
      <c r="AN4" s="5">
        <v>0.125</v>
      </c>
      <c r="AO4" s="5">
        <v>0.126</v>
      </c>
      <c r="AP4" s="5">
        <v>0.126</v>
      </c>
      <c r="AQ4" s="5">
        <v>0.126</v>
      </c>
      <c r="AR4" s="5">
        <v>0.126</v>
      </c>
      <c r="AS4" s="5">
        <v>0.125</v>
      </c>
      <c r="AT4" s="5">
        <v>0.125</v>
      </c>
      <c r="AU4" s="5">
        <v>0.125</v>
      </c>
      <c r="AV4" s="5">
        <v>0.126</v>
      </c>
      <c r="AW4" s="5">
        <v>0.126</v>
      </c>
      <c r="AX4" s="5">
        <v>0.125</v>
      </c>
      <c r="AY4" s="5">
        <v>0.126</v>
      </c>
      <c r="AZ4" s="5">
        <v>0.125</v>
      </c>
    </row>
    <row r="5" spans="1:52" ht="20.25" customHeight="1" x14ac:dyDescent="0.25">
      <c r="A5" s="3">
        <v>3</v>
      </c>
      <c r="C5" s="6"/>
      <c r="D5" s="6"/>
      <c r="E5" s="5">
        <v>0.25</v>
      </c>
      <c r="F5" s="5">
        <v>0.22900000000000001</v>
      </c>
      <c r="G5" s="5">
        <v>0.183</v>
      </c>
      <c r="H5" s="5">
        <v>0.16700000000000001</v>
      </c>
      <c r="I5" s="5">
        <v>0.155</v>
      </c>
      <c r="J5" s="5">
        <v>0.13500000000000001</v>
      </c>
      <c r="K5" s="5">
        <v>0.13</v>
      </c>
      <c r="L5" s="5">
        <v>0.11700000000000001</v>
      </c>
      <c r="M5" s="5">
        <v>0.114</v>
      </c>
      <c r="N5" s="5">
        <v>0.111</v>
      </c>
      <c r="O5" s="5">
        <v>0.109</v>
      </c>
      <c r="P5" s="5">
        <v>0.107</v>
      </c>
      <c r="Q5" s="5">
        <v>0.106</v>
      </c>
      <c r="R5" s="5">
        <v>0.104</v>
      </c>
      <c r="S5" s="5">
        <v>0.10299999999999999</v>
      </c>
      <c r="T5" s="5">
        <v>0.10199999999999999</v>
      </c>
      <c r="U5" s="5">
        <v>0.10100000000000001</v>
      </c>
      <c r="V5" s="5">
        <v>0.1</v>
      </c>
      <c r="W5" s="5">
        <v>9.9000000000000005E-2</v>
      </c>
      <c r="X5" s="5">
        <v>9.8000000000000004E-2</v>
      </c>
      <c r="Y5" s="5">
        <v>9.8000000000000004E-2</v>
      </c>
      <c r="Z5" s="5">
        <v>9.7000000000000003E-2</v>
      </c>
      <c r="AA5" s="5">
        <v>9.8000000000000004E-2</v>
      </c>
      <c r="AB5" s="5">
        <v>9.9000000000000005E-2</v>
      </c>
      <c r="AC5" s="5">
        <v>0.10199999999999999</v>
      </c>
      <c r="AD5" s="5">
        <v>0.10100000000000001</v>
      </c>
      <c r="AE5" s="5">
        <v>0.10100000000000001</v>
      </c>
      <c r="AF5" s="5">
        <v>0.1</v>
      </c>
      <c r="AG5" s="5">
        <v>9.9000000000000005E-2</v>
      </c>
      <c r="AH5" s="5">
        <v>9.9000000000000005E-2</v>
      </c>
      <c r="AI5" s="5">
        <v>9.8000000000000004E-2</v>
      </c>
      <c r="AJ5" s="5">
        <v>9.8000000000000004E-2</v>
      </c>
      <c r="AK5" s="5">
        <v>9.8000000000000004E-2</v>
      </c>
      <c r="AL5" s="5">
        <v>9.7000000000000003E-2</v>
      </c>
      <c r="AM5" s="5">
        <v>9.9000000000000005E-2</v>
      </c>
      <c r="AN5" s="5">
        <v>9.9000000000000005E-2</v>
      </c>
      <c r="AO5" s="5">
        <v>9.9000000000000005E-2</v>
      </c>
      <c r="AP5" s="5">
        <v>9.9000000000000005E-2</v>
      </c>
      <c r="AQ5" s="5">
        <v>9.8000000000000004E-2</v>
      </c>
      <c r="AR5" s="5">
        <v>9.7000000000000003E-2</v>
      </c>
      <c r="AS5" s="5">
        <v>9.7000000000000003E-2</v>
      </c>
      <c r="AT5" s="5">
        <v>9.7000000000000003E-2</v>
      </c>
      <c r="AU5" s="5">
        <v>9.6000000000000002E-2</v>
      </c>
      <c r="AV5" s="5">
        <v>9.8000000000000004E-2</v>
      </c>
      <c r="AW5" s="5">
        <v>9.8000000000000004E-2</v>
      </c>
      <c r="AX5" s="5">
        <v>9.7000000000000003E-2</v>
      </c>
      <c r="AY5" s="5">
        <v>9.7000000000000003E-2</v>
      </c>
      <c r="AZ5" s="5">
        <v>9.7000000000000003E-2</v>
      </c>
    </row>
    <row r="6" spans="1:52" ht="20.25" customHeight="1" x14ac:dyDescent="0.25">
      <c r="A6" s="3">
        <v>4</v>
      </c>
      <c r="C6" s="6"/>
      <c r="D6" s="6"/>
      <c r="E6" s="6"/>
      <c r="F6" s="5">
        <v>0.188</v>
      </c>
      <c r="G6" s="5">
        <v>0.16700000000000001</v>
      </c>
      <c r="H6" s="5">
        <v>0.153</v>
      </c>
      <c r="I6" s="5">
        <v>0.14299999999999999</v>
      </c>
      <c r="J6" s="5">
        <v>0.125</v>
      </c>
      <c r="K6" s="5">
        <v>0.12</v>
      </c>
      <c r="L6" s="5">
        <v>0.108</v>
      </c>
      <c r="M6" s="5">
        <v>0.106</v>
      </c>
      <c r="N6" s="5">
        <v>0.104</v>
      </c>
      <c r="O6" s="5">
        <v>0.10299999999999999</v>
      </c>
      <c r="P6" s="5">
        <v>9.5000000000000001E-2</v>
      </c>
      <c r="Q6" s="5">
        <v>9.4E-2</v>
      </c>
      <c r="R6" s="5">
        <v>9.4E-2</v>
      </c>
      <c r="S6" s="5">
        <v>9.2999999999999999E-2</v>
      </c>
      <c r="T6" s="5">
        <v>9.0999999999999998E-2</v>
      </c>
      <c r="U6" s="5">
        <v>8.8999999999999996E-2</v>
      </c>
      <c r="V6" s="5">
        <v>8.7999999999999995E-2</v>
      </c>
      <c r="W6" s="5">
        <v>8.3000000000000004E-2</v>
      </c>
      <c r="X6" s="5">
        <v>8.3000000000000004E-2</v>
      </c>
      <c r="Y6" s="5">
        <v>0.08</v>
      </c>
      <c r="Z6" s="5">
        <v>0.08</v>
      </c>
      <c r="AA6" s="5">
        <v>7.8E-2</v>
      </c>
      <c r="AB6" s="5">
        <v>7.6999999999999999E-2</v>
      </c>
      <c r="AC6" s="5">
        <v>7.3999999999999996E-2</v>
      </c>
      <c r="AD6" s="5">
        <v>7.3999999999999996E-2</v>
      </c>
      <c r="AE6" s="5">
        <v>7.3999999999999996E-2</v>
      </c>
      <c r="AF6" s="5">
        <v>7.1999999999999995E-2</v>
      </c>
      <c r="AG6" s="5">
        <v>7.2999999999999995E-2</v>
      </c>
      <c r="AH6" s="5">
        <v>7.2999999999999995E-2</v>
      </c>
      <c r="AI6" s="5">
        <v>7.2999999999999995E-2</v>
      </c>
      <c r="AJ6" s="5">
        <v>7.3999999999999996E-2</v>
      </c>
      <c r="AK6" s="5">
        <v>7.3999999999999996E-2</v>
      </c>
      <c r="AL6" s="5">
        <v>7.3999999999999996E-2</v>
      </c>
      <c r="AM6" s="5">
        <v>7.1999999999999995E-2</v>
      </c>
      <c r="AN6" s="5">
        <v>7.1999999999999995E-2</v>
      </c>
      <c r="AO6" s="5">
        <v>7.2999999999999995E-2</v>
      </c>
      <c r="AP6" s="5">
        <v>7.2999999999999995E-2</v>
      </c>
      <c r="AQ6" s="5">
        <v>7.1999999999999995E-2</v>
      </c>
      <c r="AR6" s="5">
        <v>7.0999999999999994E-2</v>
      </c>
      <c r="AS6" s="5">
        <v>7.0999999999999994E-2</v>
      </c>
      <c r="AT6" s="5">
        <v>7.1999999999999995E-2</v>
      </c>
      <c r="AU6" s="5">
        <v>7.0999999999999994E-2</v>
      </c>
      <c r="AV6" s="5">
        <v>7.0999999999999994E-2</v>
      </c>
      <c r="AW6" s="5">
        <v>7.0000000000000007E-2</v>
      </c>
      <c r="AX6" s="5">
        <v>6.9000000000000006E-2</v>
      </c>
      <c r="AY6" s="5">
        <v>7.0000000000000007E-2</v>
      </c>
      <c r="AZ6" s="5">
        <v>7.0000000000000007E-2</v>
      </c>
    </row>
    <row r="7" spans="1:52" ht="20.25" customHeight="1" x14ac:dyDescent="0.25">
      <c r="A7" s="3">
        <v>5</v>
      </c>
      <c r="B7" s="7" t="s">
        <v>52</v>
      </c>
      <c r="C7" s="6"/>
      <c r="D7" s="6"/>
      <c r="E7" s="6"/>
      <c r="F7" s="6"/>
      <c r="G7" s="5">
        <v>0.15</v>
      </c>
      <c r="H7" s="5">
        <v>0.13900000000000001</v>
      </c>
      <c r="I7" s="5">
        <v>0.13100000000000001</v>
      </c>
      <c r="J7" s="5">
        <v>0.115</v>
      </c>
      <c r="K7" s="5">
        <v>0.111</v>
      </c>
      <c r="L7" s="5">
        <v>0.1</v>
      </c>
      <c r="M7" s="5">
        <v>9.8000000000000004E-2</v>
      </c>
      <c r="N7" s="5">
        <v>9.7000000000000003E-2</v>
      </c>
      <c r="O7" s="5">
        <v>9.6000000000000002E-2</v>
      </c>
      <c r="P7" s="5">
        <v>8.8999999999999996E-2</v>
      </c>
      <c r="Q7" s="5">
        <v>8.3000000000000004E-2</v>
      </c>
      <c r="R7" s="5">
        <v>7.8E-2</v>
      </c>
      <c r="S7" s="5">
        <v>7.3999999999999996E-2</v>
      </c>
      <c r="T7" s="5">
        <v>7.3999999999999996E-2</v>
      </c>
      <c r="U7" s="5">
        <v>7.0000000000000007E-2</v>
      </c>
      <c r="V7" s="5">
        <v>7.0000000000000007E-2</v>
      </c>
      <c r="W7" s="5">
        <v>6.7000000000000004E-2</v>
      </c>
      <c r="X7" s="5">
        <v>6.4000000000000001E-2</v>
      </c>
      <c r="Y7" s="5">
        <v>6.2E-2</v>
      </c>
      <c r="Z7" s="5">
        <v>6.2E-2</v>
      </c>
      <c r="AA7" s="5">
        <v>0.06</v>
      </c>
      <c r="AB7" s="5">
        <v>6.0999999999999999E-2</v>
      </c>
      <c r="AC7" s="5">
        <v>5.8999999999999997E-2</v>
      </c>
      <c r="AD7" s="5">
        <v>5.7000000000000002E-2</v>
      </c>
      <c r="AE7" s="5">
        <v>5.5E-2</v>
      </c>
      <c r="AF7" s="5">
        <v>5.5E-2</v>
      </c>
      <c r="AG7" s="5">
        <v>5.3999999999999999E-2</v>
      </c>
      <c r="AH7" s="5">
        <v>5.1999999999999998E-2</v>
      </c>
      <c r="AI7" s="5">
        <v>5.1999999999999998E-2</v>
      </c>
      <c r="AJ7" s="5">
        <v>5.0999999999999997E-2</v>
      </c>
      <c r="AK7" s="5">
        <v>5.1999999999999998E-2</v>
      </c>
      <c r="AL7" s="5">
        <v>5.2999999999999999E-2</v>
      </c>
      <c r="AM7" s="5">
        <v>5.3999999999999999E-2</v>
      </c>
      <c r="AN7" s="5">
        <v>5.5E-2</v>
      </c>
      <c r="AO7" s="5">
        <v>5.6000000000000001E-2</v>
      </c>
      <c r="AP7" s="5">
        <v>5.7000000000000002E-2</v>
      </c>
      <c r="AQ7" s="5">
        <v>5.7000000000000002E-2</v>
      </c>
      <c r="AR7" s="5">
        <v>5.6000000000000001E-2</v>
      </c>
      <c r="AS7" s="5">
        <v>5.6000000000000001E-2</v>
      </c>
      <c r="AT7" s="5">
        <v>5.7000000000000002E-2</v>
      </c>
      <c r="AU7" s="5">
        <v>5.6000000000000001E-2</v>
      </c>
      <c r="AV7" s="5">
        <v>5.7000000000000002E-2</v>
      </c>
      <c r="AW7" s="5">
        <v>5.7000000000000002E-2</v>
      </c>
      <c r="AX7" s="5">
        <v>5.6000000000000001E-2</v>
      </c>
      <c r="AY7" s="5">
        <v>5.3999999999999999E-2</v>
      </c>
      <c r="AZ7" s="5">
        <v>5.2999999999999999E-2</v>
      </c>
    </row>
    <row r="8" spans="1:52" ht="20.25" customHeight="1" x14ac:dyDescent="0.25">
      <c r="A8" s="3">
        <v>6</v>
      </c>
      <c r="C8" s="6"/>
      <c r="D8" s="6"/>
      <c r="E8" s="6"/>
      <c r="F8" s="6"/>
      <c r="G8" s="6"/>
      <c r="H8" s="5">
        <v>0.125</v>
      </c>
      <c r="I8" s="5">
        <v>0.107</v>
      </c>
      <c r="J8" s="5">
        <v>0.104</v>
      </c>
      <c r="K8" s="5">
        <v>9.2999999999999999E-2</v>
      </c>
      <c r="L8" s="5">
        <v>9.1999999999999998E-2</v>
      </c>
      <c r="M8" s="5">
        <v>9.0999999999999998E-2</v>
      </c>
      <c r="N8" s="5">
        <v>0.09</v>
      </c>
      <c r="O8" s="5">
        <v>8.3000000000000004E-2</v>
      </c>
      <c r="P8" s="5">
        <v>7.6999999999999999E-2</v>
      </c>
      <c r="Q8" s="5">
        <v>7.1999999999999995E-2</v>
      </c>
      <c r="R8" s="5">
        <v>6.8000000000000005E-2</v>
      </c>
      <c r="S8" s="5">
        <v>6.4000000000000001E-2</v>
      </c>
      <c r="T8" s="5">
        <v>0.06</v>
      </c>
      <c r="U8" s="5">
        <v>5.7000000000000002E-2</v>
      </c>
      <c r="V8" s="5">
        <v>5.8000000000000003E-2</v>
      </c>
      <c r="W8" s="5">
        <v>0.06</v>
      </c>
      <c r="X8" s="5">
        <v>5.7000000000000002E-2</v>
      </c>
      <c r="Y8" s="5">
        <v>5.3999999999999999E-2</v>
      </c>
      <c r="Z8" s="5">
        <v>5.6000000000000001E-2</v>
      </c>
      <c r="AA8" s="5">
        <v>5.2999999999999999E-2</v>
      </c>
      <c r="AB8" s="5">
        <v>5.3999999999999999E-2</v>
      </c>
      <c r="AC8" s="5">
        <v>5.1999999999999998E-2</v>
      </c>
      <c r="AD8" s="5">
        <v>5.0999999999999997E-2</v>
      </c>
      <c r="AE8" s="5">
        <v>4.9000000000000002E-2</v>
      </c>
      <c r="AF8" s="5">
        <v>4.7E-2</v>
      </c>
      <c r="AG8" s="5">
        <v>4.8000000000000001E-2</v>
      </c>
      <c r="AH8" s="5">
        <v>4.7E-2</v>
      </c>
      <c r="AI8" s="5">
        <v>4.4999999999999998E-2</v>
      </c>
      <c r="AJ8" s="5">
        <v>4.3999999999999997E-2</v>
      </c>
      <c r="AK8" s="5">
        <v>4.2000000000000003E-2</v>
      </c>
      <c r="AL8" s="5">
        <v>4.2000000000000003E-2</v>
      </c>
      <c r="AM8" s="5">
        <v>4.1000000000000002E-2</v>
      </c>
      <c r="AN8" s="5">
        <v>4.2000000000000003E-2</v>
      </c>
      <c r="AO8" s="5">
        <v>4.3999999999999997E-2</v>
      </c>
      <c r="AP8" s="5">
        <v>4.3999999999999997E-2</v>
      </c>
      <c r="AQ8" s="5">
        <v>4.2999999999999997E-2</v>
      </c>
      <c r="AR8" s="5">
        <v>4.3999999999999997E-2</v>
      </c>
      <c r="AS8" s="5">
        <v>4.2000000000000003E-2</v>
      </c>
      <c r="AT8" s="5">
        <v>4.2000000000000003E-2</v>
      </c>
      <c r="AU8" s="5">
        <v>4.1000000000000002E-2</v>
      </c>
      <c r="AV8" s="5">
        <v>4.2000000000000003E-2</v>
      </c>
      <c r="AW8" s="5">
        <v>4.1000000000000002E-2</v>
      </c>
      <c r="AX8" s="5">
        <v>4.2000000000000003E-2</v>
      </c>
      <c r="AY8" s="5">
        <v>4.2999999999999997E-2</v>
      </c>
      <c r="AZ8" s="5">
        <v>4.2999999999999997E-2</v>
      </c>
    </row>
    <row r="9" spans="1:52" ht="20.25" customHeight="1" x14ac:dyDescent="0.25">
      <c r="A9" s="3">
        <v>7</v>
      </c>
      <c r="B9" t="s">
        <v>65</v>
      </c>
      <c r="C9" s="6"/>
      <c r="D9" s="29">
        <v>45047</v>
      </c>
      <c r="E9" s="6"/>
      <c r="F9" s="6"/>
      <c r="G9" s="6"/>
      <c r="H9" s="6"/>
      <c r="I9" s="5">
        <v>8.3000000000000004E-2</v>
      </c>
      <c r="J9" s="5">
        <v>9.4E-2</v>
      </c>
      <c r="K9" s="5">
        <v>8.3000000000000004E-2</v>
      </c>
      <c r="L9" s="5">
        <v>8.3000000000000004E-2</v>
      </c>
      <c r="M9" s="5">
        <v>8.3000000000000004E-2</v>
      </c>
      <c r="N9" s="5">
        <v>7.5999999999999998E-2</v>
      </c>
      <c r="O9" s="5">
        <v>7.0999999999999994E-2</v>
      </c>
      <c r="P9" s="5">
        <v>6.5000000000000002E-2</v>
      </c>
      <c r="Q9" s="5">
        <v>6.0999999999999999E-2</v>
      </c>
      <c r="R9" s="5">
        <v>5.7000000000000002E-2</v>
      </c>
      <c r="S9" s="5">
        <v>5.3999999999999999E-2</v>
      </c>
      <c r="T9" s="5">
        <v>5.6000000000000001E-2</v>
      </c>
      <c r="U9" s="5">
        <v>5.2999999999999999E-2</v>
      </c>
      <c r="V9" s="5">
        <v>5.3999999999999999E-2</v>
      </c>
      <c r="W9" s="5">
        <v>5.1999999999999998E-2</v>
      </c>
      <c r="X9" s="5">
        <v>4.9000000000000002E-2</v>
      </c>
      <c r="Y9" s="5">
        <v>4.7E-2</v>
      </c>
      <c r="Z9" s="5">
        <v>4.4999999999999998E-2</v>
      </c>
      <c r="AA9" s="5">
        <v>4.2999999999999997E-2</v>
      </c>
      <c r="AB9" s="5">
        <v>4.2000000000000003E-2</v>
      </c>
      <c r="AC9" s="5">
        <v>4.2999999999999997E-2</v>
      </c>
      <c r="AD9" s="5">
        <v>4.4999999999999998E-2</v>
      </c>
      <c r="AE9" s="5">
        <v>4.2999999999999997E-2</v>
      </c>
      <c r="AF9" s="5">
        <v>4.3999999999999997E-2</v>
      </c>
      <c r="AG9" s="5">
        <v>4.2999999999999997E-2</v>
      </c>
      <c r="AH9" s="5">
        <v>4.2000000000000003E-2</v>
      </c>
      <c r="AI9" s="5">
        <v>0.04</v>
      </c>
      <c r="AJ9" s="5">
        <v>3.9E-2</v>
      </c>
      <c r="AK9" s="5">
        <v>3.6999999999999998E-2</v>
      </c>
      <c r="AL9" s="5">
        <v>3.6999999999999998E-2</v>
      </c>
      <c r="AM9" s="5">
        <v>3.5999999999999997E-2</v>
      </c>
      <c r="AN9" s="5">
        <v>3.4000000000000002E-2</v>
      </c>
      <c r="AO9" s="5">
        <v>3.4000000000000002E-2</v>
      </c>
      <c r="AP9" s="5">
        <v>3.4000000000000002E-2</v>
      </c>
      <c r="AQ9" s="5">
        <v>3.3000000000000002E-2</v>
      </c>
      <c r="AR9" s="5">
        <v>3.4000000000000002E-2</v>
      </c>
      <c r="AS9" s="5">
        <v>3.4000000000000002E-2</v>
      </c>
      <c r="AT9" s="5">
        <v>3.4000000000000002E-2</v>
      </c>
      <c r="AU9" s="5">
        <v>3.3000000000000002E-2</v>
      </c>
      <c r="AV9" s="5">
        <v>3.3000000000000002E-2</v>
      </c>
      <c r="AW9" s="5">
        <v>3.1E-2</v>
      </c>
      <c r="AX9" s="5">
        <v>3.1E-2</v>
      </c>
      <c r="AY9" s="5">
        <v>3.1E-2</v>
      </c>
      <c r="AZ9" s="5">
        <v>0.03</v>
      </c>
    </row>
    <row r="10" spans="1:52" ht="20.25" customHeight="1" x14ac:dyDescent="0.25">
      <c r="A10" s="3">
        <v>8</v>
      </c>
      <c r="C10" s="6"/>
      <c r="D10" s="6"/>
      <c r="E10" s="6"/>
      <c r="F10" s="6"/>
      <c r="G10" s="6"/>
      <c r="H10" s="6"/>
      <c r="I10" s="6"/>
      <c r="J10" s="5">
        <v>7.2999999999999995E-2</v>
      </c>
      <c r="K10" s="5">
        <v>7.3999999999999996E-2</v>
      </c>
      <c r="L10" s="5">
        <v>7.4999999999999997E-2</v>
      </c>
      <c r="M10" s="5">
        <v>6.8000000000000005E-2</v>
      </c>
      <c r="N10" s="5">
        <v>6.3E-2</v>
      </c>
      <c r="O10" s="5">
        <v>5.8000000000000003E-2</v>
      </c>
      <c r="P10" s="5">
        <v>5.2999999999999999E-2</v>
      </c>
      <c r="Q10" s="5">
        <v>0.05</v>
      </c>
      <c r="R10" s="5">
        <v>5.1999999999999998E-2</v>
      </c>
      <c r="S10" s="5">
        <v>4.9000000000000002E-2</v>
      </c>
      <c r="T10" s="5">
        <v>5.0999999999999997E-2</v>
      </c>
      <c r="U10" s="5">
        <v>4.8000000000000001E-2</v>
      </c>
      <c r="V10" s="5">
        <v>4.5999999999999999E-2</v>
      </c>
      <c r="W10" s="5">
        <v>4.3999999999999997E-2</v>
      </c>
      <c r="X10" s="5">
        <v>4.2000000000000003E-2</v>
      </c>
      <c r="Y10" s="5">
        <v>0.04</v>
      </c>
      <c r="Z10" s="5">
        <v>3.7999999999999999E-2</v>
      </c>
      <c r="AA10" s="5">
        <v>3.6999999999999998E-2</v>
      </c>
      <c r="AB10" s="5">
        <v>3.5000000000000003E-2</v>
      </c>
      <c r="AC10" s="5">
        <v>3.4000000000000002E-2</v>
      </c>
      <c r="AD10" s="5">
        <v>3.2000000000000001E-2</v>
      </c>
      <c r="AE10" s="5">
        <v>3.3000000000000002E-2</v>
      </c>
      <c r="AF10" s="5">
        <v>3.3000000000000002E-2</v>
      </c>
      <c r="AG10" s="5">
        <v>3.2000000000000001E-2</v>
      </c>
      <c r="AH10" s="5">
        <v>3.2000000000000001E-2</v>
      </c>
      <c r="AI10" s="5">
        <v>0.03</v>
      </c>
      <c r="AJ10" s="5">
        <v>2.9000000000000001E-2</v>
      </c>
      <c r="AK10" s="5">
        <v>2.8000000000000001E-2</v>
      </c>
      <c r="AL10" s="5">
        <v>2.8000000000000001E-2</v>
      </c>
      <c r="AM10" s="5">
        <v>2.7E-2</v>
      </c>
      <c r="AN10" s="5">
        <v>2.5999999999999999E-2</v>
      </c>
      <c r="AO10" s="5">
        <v>2.5999999999999999E-2</v>
      </c>
      <c r="AP10" s="5">
        <v>2.5999999999999999E-2</v>
      </c>
      <c r="AQ10" s="5">
        <v>2.5000000000000001E-2</v>
      </c>
      <c r="AR10" s="5">
        <v>2.5999999999999999E-2</v>
      </c>
      <c r="AS10" s="5">
        <v>2.5999999999999999E-2</v>
      </c>
      <c r="AT10" s="5">
        <v>2.7E-2</v>
      </c>
      <c r="AU10" s="5">
        <v>2.5999999999999999E-2</v>
      </c>
      <c r="AV10" s="5">
        <v>2.7E-2</v>
      </c>
      <c r="AW10" s="5">
        <v>2.7E-2</v>
      </c>
      <c r="AX10" s="5">
        <v>2.7E-2</v>
      </c>
      <c r="AY10" s="5">
        <v>2.7E-2</v>
      </c>
      <c r="AZ10" s="5">
        <v>2.7E-2</v>
      </c>
    </row>
    <row r="11" spans="1:52" ht="20.25" customHeight="1" x14ac:dyDescent="0.25">
      <c r="A11" s="3">
        <v>9</v>
      </c>
      <c r="C11" s="6"/>
      <c r="D11" s="6"/>
      <c r="E11" s="6"/>
      <c r="F11" s="6"/>
      <c r="G11" s="6"/>
      <c r="H11" s="6"/>
      <c r="I11" s="6"/>
      <c r="J11" s="6"/>
      <c r="K11" s="5">
        <v>6.5000000000000002E-2</v>
      </c>
      <c r="L11" s="5">
        <v>6.7000000000000004E-2</v>
      </c>
      <c r="M11" s="5">
        <v>5.2999999999999999E-2</v>
      </c>
      <c r="N11" s="5">
        <v>4.8000000000000001E-2</v>
      </c>
      <c r="O11" s="5">
        <v>4.4999999999999998E-2</v>
      </c>
      <c r="P11" s="5">
        <v>4.2000000000000003E-2</v>
      </c>
      <c r="Q11" s="5">
        <v>3.9E-2</v>
      </c>
      <c r="R11" s="5">
        <v>4.2000000000000003E-2</v>
      </c>
      <c r="S11" s="5">
        <v>4.3999999999999997E-2</v>
      </c>
      <c r="T11" s="5">
        <v>4.2000000000000003E-2</v>
      </c>
      <c r="U11" s="5">
        <v>3.9E-2</v>
      </c>
      <c r="V11" s="5">
        <v>3.6999999999999998E-2</v>
      </c>
      <c r="W11" s="5">
        <v>3.5999999999999997E-2</v>
      </c>
      <c r="X11" s="5">
        <v>3.7999999999999999E-2</v>
      </c>
      <c r="Y11" s="5">
        <v>3.5999999999999997E-2</v>
      </c>
      <c r="Z11" s="5">
        <v>3.5000000000000003E-2</v>
      </c>
      <c r="AA11" s="5">
        <v>3.3000000000000002E-2</v>
      </c>
      <c r="AB11" s="5">
        <v>3.2000000000000001E-2</v>
      </c>
      <c r="AC11" s="5">
        <v>3.1E-2</v>
      </c>
      <c r="AD11" s="5">
        <v>0.03</v>
      </c>
      <c r="AE11" s="5">
        <v>2.9000000000000001E-2</v>
      </c>
      <c r="AF11" s="5">
        <v>2.8000000000000001E-2</v>
      </c>
      <c r="AG11" s="5">
        <v>2.7E-2</v>
      </c>
      <c r="AH11" s="5">
        <v>2.5999999999999999E-2</v>
      </c>
      <c r="AI11" s="5">
        <v>2.5000000000000001E-2</v>
      </c>
      <c r="AJ11" s="5">
        <v>2.5999999999999999E-2</v>
      </c>
      <c r="AK11" s="5">
        <v>2.5999999999999999E-2</v>
      </c>
      <c r="AL11" s="5">
        <v>2.8000000000000001E-2</v>
      </c>
      <c r="AM11" s="5">
        <v>2.7E-2</v>
      </c>
      <c r="AN11" s="5">
        <v>2.5999999999999999E-2</v>
      </c>
      <c r="AO11" s="5">
        <v>2.5999999999999999E-2</v>
      </c>
      <c r="AP11" s="5">
        <v>2.5999999999999999E-2</v>
      </c>
      <c r="AQ11" s="5">
        <v>2.4E-2</v>
      </c>
      <c r="AR11" s="5">
        <v>2.3E-2</v>
      </c>
      <c r="AS11" s="5">
        <v>2.3E-2</v>
      </c>
      <c r="AT11" s="5">
        <v>2.3E-2</v>
      </c>
      <c r="AU11" s="5">
        <v>2.1999999999999999E-2</v>
      </c>
      <c r="AV11" s="5">
        <v>2.1999999999999999E-2</v>
      </c>
      <c r="AW11" s="5">
        <v>2.1000000000000001E-2</v>
      </c>
      <c r="AX11" s="5">
        <v>0.02</v>
      </c>
      <c r="AY11" s="5">
        <v>0.02</v>
      </c>
      <c r="AZ11" s="5">
        <v>2.1000000000000001E-2</v>
      </c>
    </row>
    <row r="12" spans="1:52" ht="20.25" customHeight="1" x14ac:dyDescent="0.25">
      <c r="A12" s="3">
        <v>10</v>
      </c>
      <c r="C12" s="6"/>
      <c r="D12" s="6"/>
      <c r="E12" s="6"/>
      <c r="F12" s="6"/>
      <c r="G12" s="6"/>
      <c r="H12" s="6"/>
      <c r="I12" s="6"/>
      <c r="J12" s="6"/>
      <c r="K12" s="6"/>
      <c r="L12" s="5">
        <v>0.05</v>
      </c>
      <c r="M12" s="5">
        <v>4.4999999999999998E-2</v>
      </c>
      <c r="N12" s="5">
        <v>4.2000000000000003E-2</v>
      </c>
      <c r="O12" s="5">
        <v>3.7999999999999999E-2</v>
      </c>
      <c r="P12" s="5">
        <v>4.2000000000000003E-2</v>
      </c>
      <c r="Q12" s="5">
        <v>3.9E-2</v>
      </c>
      <c r="R12" s="5">
        <v>3.6999999999999998E-2</v>
      </c>
      <c r="S12" s="5">
        <v>3.4000000000000002E-2</v>
      </c>
      <c r="T12" s="5">
        <v>3.2000000000000001E-2</v>
      </c>
      <c r="U12" s="5">
        <v>3.1E-2</v>
      </c>
      <c r="V12" s="5">
        <v>3.2000000000000001E-2</v>
      </c>
      <c r="W12" s="5">
        <v>3.2000000000000001E-2</v>
      </c>
      <c r="X12" s="5">
        <v>3.4000000000000002E-2</v>
      </c>
      <c r="Y12" s="5">
        <v>3.3000000000000002E-2</v>
      </c>
      <c r="Z12" s="5">
        <v>0.03</v>
      </c>
      <c r="AA12" s="5">
        <v>0.03</v>
      </c>
      <c r="AB12" s="5">
        <v>2.9000000000000001E-2</v>
      </c>
      <c r="AC12" s="5">
        <v>2.8000000000000001E-2</v>
      </c>
      <c r="AD12" s="5">
        <v>2.9000000000000001E-2</v>
      </c>
      <c r="AE12" s="5">
        <v>2.9000000000000001E-2</v>
      </c>
      <c r="AF12" s="5">
        <v>2.8000000000000001E-2</v>
      </c>
      <c r="AG12" s="5">
        <v>2.7E-2</v>
      </c>
      <c r="AH12" s="5">
        <v>2.5999999999999999E-2</v>
      </c>
      <c r="AI12" s="5">
        <v>2.5000000000000001E-2</v>
      </c>
      <c r="AJ12" s="5">
        <v>2.5000000000000001E-2</v>
      </c>
      <c r="AK12" s="5">
        <v>2.3E-2</v>
      </c>
      <c r="AL12" s="5">
        <v>2.3E-2</v>
      </c>
      <c r="AM12" s="5">
        <v>2.3E-2</v>
      </c>
      <c r="AN12" s="5">
        <v>2.1999999999999999E-2</v>
      </c>
      <c r="AO12" s="5">
        <v>2.1000000000000001E-2</v>
      </c>
      <c r="AP12" s="5">
        <v>2.3E-2</v>
      </c>
      <c r="AQ12" s="5">
        <v>2.3E-2</v>
      </c>
      <c r="AR12" s="5">
        <v>2.1000000000000001E-2</v>
      </c>
      <c r="AS12" s="5">
        <v>0.02</v>
      </c>
      <c r="AT12" s="5">
        <v>0.02</v>
      </c>
      <c r="AU12" s="5">
        <v>0.02</v>
      </c>
      <c r="AV12" s="5">
        <v>0.02</v>
      </c>
      <c r="AW12" s="5">
        <v>0.02</v>
      </c>
      <c r="AX12" s="5">
        <v>0.02</v>
      </c>
      <c r="AY12" s="5">
        <v>0.02</v>
      </c>
      <c r="AZ12" s="5">
        <v>0.02</v>
      </c>
    </row>
    <row r="13" spans="1:52" ht="20.25" customHeight="1" x14ac:dyDescent="0.25">
      <c r="A13" s="3">
        <v>11</v>
      </c>
      <c r="C13" s="6"/>
      <c r="D13" s="6"/>
      <c r="E13" s="6"/>
      <c r="F13" s="6"/>
      <c r="G13" s="6"/>
      <c r="H13" s="6"/>
      <c r="J13" s="6"/>
      <c r="K13" s="6"/>
      <c r="L13" s="8"/>
      <c r="M13" s="5">
        <v>3.9E-2</v>
      </c>
      <c r="N13" s="5">
        <v>3.5000000000000003E-2</v>
      </c>
      <c r="O13" s="5">
        <v>3.7999999999999999E-2</v>
      </c>
      <c r="P13" s="5">
        <v>3.5999999999999997E-2</v>
      </c>
      <c r="Q13" s="5">
        <v>3.3000000000000002E-2</v>
      </c>
      <c r="R13" s="5">
        <v>3.1E-2</v>
      </c>
      <c r="S13" s="5">
        <v>2.9000000000000001E-2</v>
      </c>
      <c r="T13" s="5">
        <v>2.8000000000000001E-2</v>
      </c>
      <c r="U13" s="5">
        <v>2.7E-2</v>
      </c>
      <c r="V13" s="5">
        <v>2.5999999999999999E-2</v>
      </c>
      <c r="W13" s="5">
        <v>2.8000000000000001E-2</v>
      </c>
      <c r="X13" s="5">
        <v>0.03</v>
      </c>
      <c r="Y13" s="5">
        <v>2.9000000000000001E-2</v>
      </c>
      <c r="Z13" s="5">
        <v>2.8000000000000001E-2</v>
      </c>
      <c r="AA13" s="5">
        <v>2.7E-2</v>
      </c>
      <c r="AB13" s="5">
        <v>2.5999999999999999E-2</v>
      </c>
      <c r="AC13" s="5">
        <v>2.5000000000000001E-2</v>
      </c>
      <c r="AD13" s="5">
        <v>2.4E-2</v>
      </c>
      <c r="AE13" s="5">
        <v>2.3E-2</v>
      </c>
      <c r="AF13" s="5">
        <v>2.1999999999999999E-2</v>
      </c>
      <c r="AG13" s="5">
        <v>2.1999999999999999E-2</v>
      </c>
      <c r="AH13" s="5">
        <v>2.5999999999999999E-2</v>
      </c>
      <c r="AI13" s="5">
        <v>2.5000000000000001E-2</v>
      </c>
      <c r="AJ13" s="5">
        <v>2.5000000000000001E-2</v>
      </c>
      <c r="AK13" s="5">
        <v>2.3E-2</v>
      </c>
      <c r="AL13" s="5">
        <v>2.3E-2</v>
      </c>
      <c r="AM13" s="5">
        <v>2.3E-2</v>
      </c>
      <c r="AN13" s="5">
        <v>2.1999999999999999E-2</v>
      </c>
      <c r="AO13" s="5">
        <v>2.1000000000000001E-2</v>
      </c>
      <c r="AP13" s="5">
        <v>2.1000000000000001E-2</v>
      </c>
      <c r="AQ13" s="5">
        <v>0.02</v>
      </c>
      <c r="AR13" s="5">
        <v>1.9E-2</v>
      </c>
      <c r="AS13" s="5">
        <v>1.9E-2</v>
      </c>
      <c r="AT13" s="5">
        <v>1.9E-2</v>
      </c>
      <c r="AU13" s="5">
        <v>1.7999999999999999E-2</v>
      </c>
      <c r="AV13" s="5">
        <v>1.7999999999999999E-2</v>
      </c>
      <c r="AW13" s="5">
        <v>1.7999999999999999E-2</v>
      </c>
      <c r="AX13" s="5">
        <v>1.7000000000000001E-2</v>
      </c>
      <c r="AY13" s="5">
        <v>1.7000000000000001E-2</v>
      </c>
      <c r="AZ13" s="5">
        <v>1.7000000000000001E-2</v>
      </c>
    </row>
    <row r="14" spans="1:52" ht="20.25" customHeight="1" x14ac:dyDescent="0.25">
      <c r="A14" s="3">
        <v>12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5">
        <v>3.5000000000000003E-2</v>
      </c>
      <c r="O14" s="5">
        <v>3.2000000000000001E-2</v>
      </c>
      <c r="P14" s="5">
        <v>3.5999999999999997E-2</v>
      </c>
      <c r="Q14" s="5">
        <v>3.3000000000000002E-2</v>
      </c>
      <c r="R14" s="5">
        <v>3.1E-2</v>
      </c>
      <c r="S14" s="5">
        <v>2.9000000000000001E-2</v>
      </c>
      <c r="T14" s="5">
        <v>2.8000000000000001E-2</v>
      </c>
      <c r="U14" s="5">
        <v>2.5999999999999999E-2</v>
      </c>
      <c r="V14" s="5">
        <v>2.5000000000000001E-2</v>
      </c>
      <c r="W14" s="5">
        <v>2.4E-2</v>
      </c>
      <c r="X14" s="5">
        <v>2.3E-2</v>
      </c>
      <c r="Y14" s="5">
        <v>2.5999999999999999E-2</v>
      </c>
      <c r="Z14" s="5">
        <v>2.8000000000000001E-2</v>
      </c>
      <c r="AA14" s="5">
        <v>2.7E-2</v>
      </c>
      <c r="AB14" s="5">
        <v>2.5999999999999999E-2</v>
      </c>
      <c r="AC14" s="5">
        <v>2.5000000000000001E-2</v>
      </c>
      <c r="AD14" s="5">
        <v>2.4E-2</v>
      </c>
      <c r="AE14" s="5">
        <v>2.3E-2</v>
      </c>
      <c r="AF14" s="5">
        <v>2.1999999999999999E-2</v>
      </c>
      <c r="AG14" s="5">
        <v>2.1999999999999999E-2</v>
      </c>
      <c r="AH14" s="5">
        <v>2.1000000000000001E-2</v>
      </c>
      <c r="AI14" s="5">
        <v>0.02</v>
      </c>
      <c r="AJ14" s="5">
        <v>2.1000000000000001E-2</v>
      </c>
      <c r="AK14" s="5">
        <v>2.1000000000000001E-2</v>
      </c>
      <c r="AL14" s="5">
        <v>2.3E-2</v>
      </c>
      <c r="AM14" s="5">
        <v>2.3E-2</v>
      </c>
      <c r="AN14" s="5">
        <v>2.1999999999999999E-2</v>
      </c>
      <c r="AO14" s="5">
        <v>2.1000000000000001E-2</v>
      </c>
      <c r="AP14" s="5">
        <v>2.1000000000000001E-2</v>
      </c>
      <c r="AQ14" s="5">
        <v>0.02</v>
      </c>
      <c r="AR14" s="5">
        <v>1.9E-2</v>
      </c>
      <c r="AS14" s="5">
        <v>1.9E-2</v>
      </c>
      <c r="AT14" s="5">
        <v>1.9E-2</v>
      </c>
      <c r="AU14" s="5">
        <v>1.7999999999999999E-2</v>
      </c>
      <c r="AV14" s="5">
        <v>1.7999999999999999E-2</v>
      </c>
      <c r="AW14" s="5">
        <v>1.7999999999999999E-2</v>
      </c>
      <c r="AX14" s="5">
        <v>1.7000000000000001E-2</v>
      </c>
      <c r="AY14" s="5">
        <v>1.7000000000000001E-2</v>
      </c>
      <c r="AZ14" s="5">
        <v>1.7000000000000001E-2</v>
      </c>
    </row>
    <row r="15" spans="1:52" ht="20.25" customHeight="1" x14ac:dyDescent="0.25">
      <c r="A15" s="3">
        <v>13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5">
        <v>3.2000000000000001E-2</v>
      </c>
      <c r="P15" s="5">
        <v>0.03</v>
      </c>
      <c r="Q15" s="5">
        <v>2.8000000000000001E-2</v>
      </c>
      <c r="R15" s="5">
        <v>2.5999999999999999E-2</v>
      </c>
      <c r="S15" s="5">
        <v>2.9000000000000001E-2</v>
      </c>
      <c r="T15" s="5">
        <v>2.8000000000000001E-2</v>
      </c>
      <c r="U15" s="5">
        <v>2.5999999999999999E-2</v>
      </c>
      <c r="V15" s="5">
        <v>2.5000000000000001E-2</v>
      </c>
      <c r="W15" s="5">
        <v>2.4E-2</v>
      </c>
      <c r="X15" s="5">
        <v>2.3E-2</v>
      </c>
      <c r="Y15" s="5">
        <v>2.1999999999999999E-2</v>
      </c>
      <c r="Z15" s="5">
        <v>2.1999999999999999E-2</v>
      </c>
      <c r="AA15" s="5">
        <v>2.1999999999999999E-2</v>
      </c>
      <c r="AB15" s="5">
        <v>2.1999999999999999E-2</v>
      </c>
      <c r="AC15" s="5">
        <v>2.1999999999999999E-2</v>
      </c>
      <c r="AD15" s="5">
        <v>0.02</v>
      </c>
      <c r="AE15" s="5">
        <v>2.1000000000000001E-2</v>
      </c>
      <c r="AF15" s="5">
        <v>2.1999999999999999E-2</v>
      </c>
      <c r="AG15" s="5">
        <v>2.1999999999999999E-2</v>
      </c>
      <c r="AH15" s="5">
        <v>2.1000000000000001E-2</v>
      </c>
      <c r="AI15" s="5">
        <v>0.02</v>
      </c>
      <c r="AJ15" s="5">
        <v>0.02</v>
      </c>
      <c r="AK15" s="5">
        <v>1.9E-2</v>
      </c>
      <c r="AL15" s="5">
        <v>1.7999999999999999E-2</v>
      </c>
      <c r="AM15" s="5">
        <v>1.7999999999999999E-2</v>
      </c>
      <c r="AN15" s="5">
        <v>1.7000000000000001E-2</v>
      </c>
      <c r="AO15" s="5">
        <v>1.7000000000000001E-2</v>
      </c>
      <c r="AP15" s="5">
        <v>1.7000000000000001E-2</v>
      </c>
      <c r="AQ15" s="5">
        <v>1.7000000000000001E-2</v>
      </c>
      <c r="AR15" s="5">
        <v>1.7000000000000001E-2</v>
      </c>
      <c r="AS15" s="5">
        <v>1.7000000000000001E-2</v>
      </c>
      <c r="AT15" s="5">
        <v>1.7000000000000001E-2</v>
      </c>
      <c r="AU15" s="5">
        <v>1.6E-2</v>
      </c>
      <c r="AV15" s="5">
        <v>1.6E-2</v>
      </c>
      <c r="AW15" s="5">
        <v>1.6E-2</v>
      </c>
      <c r="AX15" s="5">
        <v>1.4999999999999999E-2</v>
      </c>
      <c r="AY15" s="5">
        <v>1.4999999999999999E-2</v>
      </c>
      <c r="AZ15" s="5">
        <v>1.4999999999999999E-2</v>
      </c>
    </row>
    <row r="16" spans="1:52" ht="20.25" customHeight="1" x14ac:dyDescent="0.25">
      <c r="A16" s="3">
        <v>14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5">
        <v>0.03</v>
      </c>
      <c r="Q16" s="5">
        <v>2.8000000000000001E-2</v>
      </c>
      <c r="R16" s="5">
        <v>2.5999999999999999E-2</v>
      </c>
      <c r="S16" s="5">
        <v>2.5000000000000001E-2</v>
      </c>
      <c r="T16" s="5">
        <v>2.3E-2</v>
      </c>
      <c r="U16" s="5">
        <v>2.5999999999999999E-2</v>
      </c>
      <c r="V16" s="5">
        <v>2.5000000000000001E-2</v>
      </c>
      <c r="W16" s="5">
        <v>2.4E-2</v>
      </c>
      <c r="X16" s="5">
        <v>2.3E-2</v>
      </c>
      <c r="Y16" s="5">
        <v>2.1999999999999999E-2</v>
      </c>
      <c r="Z16" s="5">
        <v>2.1000000000000001E-2</v>
      </c>
      <c r="AA16" s="5">
        <v>0.02</v>
      </c>
      <c r="AB16" s="5">
        <v>1.9E-2</v>
      </c>
      <c r="AC16" s="5">
        <v>0.02</v>
      </c>
      <c r="AD16" s="5">
        <v>0.02</v>
      </c>
      <c r="AE16" s="5">
        <v>2.1000000000000001E-2</v>
      </c>
      <c r="AF16" s="5">
        <v>0.02</v>
      </c>
      <c r="AG16" s="5">
        <v>1.9E-2</v>
      </c>
      <c r="AH16" s="5">
        <v>0.02</v>
      </c>
      <c r="AI16" s="5">
        <v>0.02</v>
      </c>
      <c r="AJ16" s="5">
        <v>0.02</v>
      </c>
      <c r="AK16" s="5">
        <v>1.9E-2</v>
      </c>
      <c r="AL16" s="5">
        <v>1.7999999999999999E-2</v>
      </c>
      <c r="AM16" s="5">
        <v>1.7999999999999999E-2</v>
      </c>
      <c r="AN16" s="5">
        <v>1.7000000000000001E-2</v>
      </c>
      <c r="AO16" s="5">
        <v>1.7000000000000001E-2</v>
      </c>
      <c r="AP16" s="5">
        <v>1.7000000000000001E-2</v>
      </c>
      <c r="AQ16" s="5">
        <v>1.7000000000000001E-2</v>
      </c>
      <c r="AR16" s="5">
        <v>1.6E-2</v>
      </c>
      <c r="AS16" s="5">
        <v>1.4999999999999999E-2</v>
      </c>
      <c r="AT16" s="5">
        <v>1.4999999999999999E-2</v>
      </c>
      <c r="AU16" s="5">
        <v>1.4E-2</v>
      </c>
      <c r="AV16" s="5">
        <v>1.4E-2</v>
      </c>
      <c r="AW16" s="5">
        <v>1.4E-2</v>
      </c>
      <c r="AX16" s="5">
        <v>1.4E-2</v>
      </c>
      <c r="AY16" s="5">
        <v>1.4E-2</v>
      </c>
      <c r="AZ16" s="5">
        <v>1.2999999999999999E-2</v>
      </c>
    </row>
    <row r="17" spans="1:52" ht="20.25" customHeight="1" x14ac:dyDescent="0.25">
      <c r="A17" s="3">
        <v>15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5">
        <v>2.8000000000000001E-2</v>
      </c>
      <c r="R17" s="5">
        <v>2.5999999999999999E-2</v>
      </c>
      <c r="S17" s="5">
        <v>2.5000000000000001E-2</v>
      </c>
      <c r="T17" s="5">
        <v>2.3E-2</v>
      </c>
      <c r="U17" s="5">
        <v>2.1999999999999999E-2</v>
      </c>
      <c r="V17" s="5">
        <v>2.1000000000000001E-2</v>
      </c>
      <c r="W17" s="5">
        <v>0.02</v>
      </c>
      <c r="X17" s="5">
        <v>0.02</v>
      </c>
      <c r="Y17" s="5">
        <v>2.1999999999999999E-2</v>
      </c>
      <c r="Z17" s="5">
        <v>2.1000000000000001E-2</v>
      </c>
      <c r="AA17" s="5">
        <v>0.02</v>
      </c>
      <c r="AB17" s="5">
        <v>1.9E-2</v>
      </c>
      <c r="AC17" s="5">
        <v>0.02</v>
      </c>
      <c r="AD17" s="5">
        <v>1.7999999999999999E-2</v>
      </c>
      <c r="AE17" s="5">
        <v>1.7999999999999999E-2</v>
      </c>
      <c r="AF17" s="5">
        <v>1.7000000000000001E-2</v>
      </c>
      <c r="AG17" s="5">
        <v>1.6E-2</v>
      </c>
      <c r="AH17" s="5">
        <v>1.7000000000000001E-2</v>
      </c>
      <c r="AI17" s="5">
        <v>1.6E-2</v>
      </c>
      <c r="AJ17" s="5">
        <v>1.4999999999999999E-2</v>
      </c>
      <c r="AK17" s="5">
        <v>1.4E-2</v>
      </c>
      <c r="AL17" s="5">
        <v>1.4E-2</v>
      </c>
      <c r="AM17" s="5">
        <v>1.4E-2</v>
      </c>
      <c r="AN17" s="5">
        <v>1.2999999999999999E-2</v>
      </c>
      <c r="AO17" s="5">
        <v>1.2999999999999999E-2</v>
      </c>
      <c r="AP17" s="5">
        <v>1.2999999999999999E-2</v>
      </c>
      <c r="AQ17" s="5">
        <v>1.2999999999999999E-2</v>
      </c>
      <c r="AR17" s="5">
        <v>1.2E-2</v>
      </c>
      <c r="AS17" s="5">
        <v>1.0999999999999999E-2</v>
      </c>
      <c r="AT17" s="5">
        <v>1.0999999999999999E-2</v>
      </c>
      <c r="AU17" s="5">
        <v>1.0999999999999999E-2</v>
      </c>
      <c r="AV17" s="5">
        <v>1.0999999999999999E-2</v>
      </c>
      <c r="AW17" s="5">
        <v>0.01</v>
      </c>
      <c r="AX17" s="5">
        <v>0.01</v>
      </c>
      <c r="AY17" s="5">
        <v>0.01</v>
      </c>
      <c r="AZ17" s="5">
        <v>1.0999999999999999E-2</v>
      </c>
    </row>
    <row r="18" spans="1:52" ht="20.25" customHeight="1" x14ac:dyDescent="0.25">
      <c r="A18" s="3">
        <v>16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5">
        <v>2.5999999999999999E-2</v>
      </c>
      <c r="S18" s="5">
        <v>2.5000000000000001E-2</v>
      </c>
      <c r="T18" s="5">
        <v>2.3E-2</v>
      </c>
      <c r="U18" s="5">
        <v>2.1999999999999999E-2</v>
      </c>
      <c r="V18" s="5">
        <v>2.1000000000000001E-2</v>
      </c>
      <c r="W18" s="5">
        <v>0.02</v>
      </c>
      <c r="X18" s="5">
        <v>1.9E-2</v>
      </c>
      <c r="Y18" s="5">
        <v>1.7999999999999999E-2</v>
      </c>
      <c r="Z18" s="5">
        <v>1.7000000000000001E-2</v>
      </c>
      <c r="AA18" s="5">
        <v>1.7000000000000001E-2</v>
      </c>
      <c r="AB18" s="5">
        <v>1.6E-2</v>
      </c>
      <c r="AC18" s="5">
        <v>1.4999999999999999E-2</v>
      </c>
      <c r="AD18" s="5">
        <v>1.4999999999999999E-2</v>
      </c>
      <c r="AE18" s="5">
        <v>1.7999999999999999E-2</v>
      </c>
      <c r="AF18" s="5">
        <v>1.7000000000000001E-2</v>
      </c>
      <c r="AG18" s="5">
        <v>1.6E-2</v>
      </c>
      <c r="AH18" s="5">
        <v>1.7000000000000001E-2</v>
      </c>
      <c r="AI18" s="5">
        <v>1.6E-2</v>
      </c>
      <c r="AJ18" s="5">
        <v>1.4999999999999999E-2</v>
      </c>
      <c r="AK18" s="5">
        <v>1.4E-2</v>
      </c>
      <c r="AL18" s="5">
        <v>1.4E-2</v>
      </c>
      <c r="AM18" s="5">
        <v>1.4E-2</v>
      </c>
      <c r="AN18" s="5">
        <v>1.2999999999999999E-2</v>
      </c>
      <c r="AO18" s="5">
        <v>1.2999999999999999E-2</v>
      </c>
      <c r="AP18" s="5">
        <v>1.2999999999999999E-2</v>
      </c>
      <c r="AQ18" s="5">
        <v>1.2999999999999999E-2</v>
      </c>
      <c r="AR18" s="5">
        <v>1.2E-2</v>
      </c>
      <c r="AS18" s="5">
        <v>1.0999999999999999E-2</v>
      </c>
      <c r="AT18" s="5">
        <v>1.0999999999999999E-2</v>
      </c>
      <c r="AU18" s="5">
        <v>1.0999999999999999E-2</v>
      </c>
      <c r="AV18" s="5">
        <v>0.01</v>
      </c>
      <c r="AW18" s="5">
        <v>0.01</v>
      </c>
      <c r="AX18" s="5">
        <v>0.01</v>
      </c>
      <c r="AY18" s="5">
        <v>0.01</v>
      </c>
      <c r="AZ18" s="5">
        <v>0.01</v>
      </c>
    </row>
    <row r="19" spans="1:52" ht="20.25" customHeight="1" x14ac:dyDescent="0.25">
      <c r="A19" s="3">
        <v>17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5">
        <v>0.02</v>
      </c>
      <c r="T19" s="5">
        <v>1.9E-2</v>
      </c>
      <c r="U19" s="5">
        <v>2.1999999999999999E-2</v>
      </c>
      <c r="V19" s="5">
        <v>2.1000000000000001E-2</v>
      </c>
      <c r="W19" s="5">
        <v>0.02</v>
      </c>
      <c r="X19" s="5">
        <v>1.9E-2</v>
      </c>
      <c r="Y19" s="5">
        <v>1.7999999999999999E-2</v>
      </c>
      <c r="Z19" s="5">
        <v>1.7000000000000001E-2</v>
      </c>
      <c r="AA19" s="5">
        <v>1.7000000000000001E-2</v>
      </c>
      <c r="AB19" s="5">
        <v>1.6E-2</v>
      </c>
      <c r="AC19" s="5">
        <v>1.4999999999999999E-2</v>
      </c>
      <c r="AD19" s="5">
        <v>1.4999999999999999E-2</v>
      </c>
      <c r="AE19" s="5">
        <v>1.4E-2</v>
      </c>
      <c r="AF19" s="5">
        <v>1.4E-2</v>
      </c>
      <c r="AG19" s="5">
        <v>1.2999999999999999E-2</v>
      </c>
      <c r="AH19" s="5">
        <v>1.2999999999999999E-2</v>
      </c>
      <c r="AI19" s="5">
        <v>1.2999999999999999E-2</v>
      </c>
      <c r="AJ19" s="5">
        <v>1.2E-2</v>
      </c>
      <c r="AK19" s="5">
        <v>1.2E-2</v>
      </c>
      <c r="AL19" s="5">
        <v>1.2E-2</v>
      </c>
      <c r="AM19" s="5">
        <v>1.0999999999999999E-2</v>
      </c>
      <c r="AN19" s="5">
        <v>1.2999999999999999E-2</v>
      </c>
      <c r="AO19" s="5">
        <v>0.01</v>
      </c>
      <c r="AP19" s="5">
        <v>0.01</v>
      </c>
      <c r="AQ19" s="5">
        <v>0.01</v>
      </c>
      <c r="AR19" s="5">
        <v>0.01</v>
      </c>
      <c r="AS19" s="5">
        <v>0.01</v>
      </c>
      <c r="AT19" s="5">
        <v>8.9999999999999993E-3</v>
      </c>
      <c r="AU19" s="5">
        <v>8.9999999999999993E-3</v>
      </c>
      <c r="AV19" s="5">
        <v>8.9999999999999993E-3</v>
      </c>
      <c r="AW19" s="5">
        <v>8.9999999999999993E-3</v>
      </c>
      <c r="AX19" s="5">
        <v>0.01</v>
      </c>
      <c r="AY19" s="5">
        <v>0.01</v>
      </c>
      <c r="AZ19" s="5">
        <v>0.01</v>
      </c>
    </row>
    <row r="20" spans="1:52" ht="20.25" customHeight="1" x14ac:dyDescent="0.25">
      <c r="A20" s="3">
        <v>18</v>
      </c>
      <c r="C20" s="6"/>
      <c r="D20" s="6"/>
      <c r="E20" s="6"/>
      <c r="F20" s="6"/>
      <c r="G20" s="6"/>
      <c r="H20" s="6"/>
      <c r="I20" s="6"/>
      <c r="J20" s="6"/>
      <c r="L20" s="6"/>
      <c r="M20" s="6"/>
      <c r="N20" s="6"/>
      <c r="O20" s="6"/>
      <c r="P20" s="6"/>
      <c r="Q20" s="6"/>
      <c r="R20" s="6"/>
      <c r="S20" s="6"/>
      <c r="T20" s="5">
        <v>1.9E-2</v>
      </c>
      <c r="U20" s="5">
        <v>1.9E-2</v>
      </c>
      <c r="V20" s="5">
        <v>1.7000000000000001E-2</v>
      </c>
      <c r="W20" s="5">
        <v>0.02</v>
      </c>
      <c r="X20" s="5">
        <v>1.9E-2</v>
      </c>
      <c r="Y20" s="5">
        <v>1.7999999999999999E-2</v>
      </c>
      <c r="Z20" s="5">
        <v>1.7000000000000001E-2</v>
      </c>
      <c r="AA20" s="5">
        <v>1.7000000000000001E-2</v>
      </c>
      <c r="AB20" s="5">
        <v>1.6E-2</v>
      </c>
      <c r="AC20" s="5">
        <v>1.4999999999999999E-2</v>
      </c>
      <c r="AD20" s="5">
        <v>1.4999999999999999E-2</v>
      </c>
      <c r="AE20" s="5">
        <v>1.4E-2</v>
      </c>
      <c r="AF20" s="5">
        <v>1.4E-2</v>
      </c>
      <c r="AG20" s="5">
        <v>1.2999999999999999E-2</v>
      </c>
      <c r="AH20" s="5">
        <v>1.2999999999999999E-2</v>
      </c>
      <c r="AI20" s="5">
        <v>1.2999999999999999E-2</v>
      </c>
      <c r="AJ20" s="5">
        <v>1.2E-2</v>
      </c>
      <c r="AK20" s="5">
        <v>1.2E-2</v>
      </c>
      <c r="AL20" s="5">
        <v>1.2E-2</v>
      </c>
      <c r="AM20" s="5">
        <v>1.0999999999999999E-2</v>
      </c>
      <c r="AN20" s="5">
        <v>1.0999999999999999E-2</v>
      </c>
      <c r="AO20" s="5">
        <v>0.01</v>
      </c>
      <c r="AP20" s="5">
        <v>0.01</v>
      </c>
      <c r="AQ20" s="5">
        <v>0.01</v>
      </c>
      <c r="AR20" s="5">
        <v>0.01</v>
      </c>
      <c r="AS20" s="5">
        <v>0.01</v>
      </c>
      <c r="AT20" s="5">
        <v>8.9999999999999993E-3</v>
      </c>
      <c r="AU20" s="5">
        <v>8.9999999999999993E-3</v>
      </c>
      <c r="AV20" s="5">
        <v>8.9999999999999993E-3</v>
      </c>
      <c r="AW20" s="5">
        <v>8.9999999999999993E-3</v>
      </c>
      <c r="AX20" s="5">
        <v>8.9999999999999993E-3</v>
      </c>
      <c r="AY20" s="5">
        <v>8.9999999999999993E-3</v>
      </c>
      <c r="AZ20" s="5">
        <v>8.0000000000000002E-3</v>
      </c>
    </row>
    <row r="21" spans="1:52" ht="20.25" customHeight="1" x14ac:dyDescent="0.25">
      <c r="A21" s="3">
        <v>19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5">
        <v>1.9E-2</v>
      </c>
      <c r="V21" s="5">
        <v>1.7000000000000001E-2</v>
      </c>
      <c r="W21" s="5">
        <v>1.4999999999999999E-2</v>
      </c>
      <c r="X21" s="5">
        <v>1.4999999999999999E-2</v>
      </c>
      <c r="Y21" s="5">
        <v>1.7999999999999999E-2</v>
      </c>
      <c r="Z21" s="5">
        <v>1.7000000000000001E-2</v>
      </c>
      <c r="AA21" s="5">
        <v>1.7000000000000001E-2</v>
      </c>
      <c r="AB21" s="5">
        <v>1.6E-2</v>
      </c>
      <c r="AC21" s="5">
        <v>1.4999999999999999E-2</v>
      </c>
      <c r="AD21" s="5">
        <v>1.4999999999999999E-2</v>
      </c>
      <c r="AE21" s="5">
        <v>1.4E-2</v>
      </c>
      <c r="AF21" s="5">
        <v>1.4E-2</v>
      </c>
      <c r="AG21" s="5">
        <v>1.2999999999999999E-2</v>
      </c>
      <c r="AH21" s="5">
        <v>1.2999999999999999E-2</v>
      </c>
      <c r="AI21" s="5">
        <v>1.2999999999999999E-2</v>
      </c>
      <c r="AJ21" s="5">
        <v>1.2E-2</v>
      </c>
      <c r="AK21" s="5">
        <v>1.2E-2</v>
      </c>
      <c r="AL21" s="5">
        <v>1.2E-2</v>
      </c>
      <c r="AM21" s="5">
        <v>1.0999999999999999E-2</v>
      </c>
      <c r="AN21" s="5">
        <v>1.0999999999999999E-2</v>
      </c>
      <c r="AO21" s="5">
        <v>0.01</v>
      </c>
      <c r="AP21" s="5">
        <v>0.01</v>
      </c>
      <c r="AQ21" s="5">
        <v>0.01</v>
      </c>
      <c r="AR21" s="5">
        <v>0.01</v>
      </c>
      <c r="AS21" s="5">
        <v>0.01</v>
      </c>
      <c r="AT21" s="5">
        <v>8.9999999999999993E-3</v>
      </c>
      <c r="AU21" s="5">
        <v>8.9999999999999993E-3</v>
      </c>
      <c r="AV21" s="5">
        <v>8.9999999999999993E-3</v>
      </c>
      <c r="AW21" s="5">
        <v>8.9999999999999993E-3</v>
      </c>
      <c r="AX21" s="5">
        <v>8.9999999999999993E-3</v>
      </c>
      <c r="AY21" s="5">
        <v>8.9999999999999993E-3</v>
      </c>
      <c r="AZ21" s="5">
        <v>8.0000000000000002E-3</v>
      </c>
    </row>
    <row r="22" spans="1:52" ht="20.25" customHeight="1" x14ac:dyDescent="0.25">
      <c r="A22" s="3">
        <v>20</v>
      </c>
      <c r="C22" s="9"/>
      <c r="D22" s="10" t="s">
        <v>53</v>
      </c>
      <c r="E22" s="10"/>
      <c r="F22" s="10"/>
      <c r="G22" s="10"/>
      <c r="H22" s="10"/>
      <c r="I22" s="10"/>
      <c r="J22" s="10"/>
      <c r="K22" s="10"/>
      <c r="L22" s="9"/>
      <c r="M22" s="9"/>
      <c r="N22" s="11"/>
      <c r="O22" s="11"/>
      <c r="P22" s="11"/>
      <c r="Q22" s="6"/>
      <c r="R22" s="6"/>
      <c r="S22" s="6"/>
      <c r="T22" s="6"/>
      <c r="U22" s="6"/>
      <c r="V22" s="5">
        <v>1.7000000000000001E-2</v>
      </c>
      <c r="W22" s="5">
        <v>1.4999999999999999E-2</v>
      </c>
      <c r="X22" s="5">
        <v>1.4999999999999999E-2</v>
      </c>
      <c r="Y22" s="5">
        <v>1.4E-2</v>
      </c>
      <c r="Z22" s="5">
        <v>1.4E-2</v>
      </c>
      <c r="AA22" s="5">
        <v>1.7000000000000001E-2</v>
      </c>
      <c r="AB22" s="5">
        <v>1.6E-2</v>
      </c>
      <c r="AC22" s="5">
        <v>1.4999999999999999E-2</v>
      </c>
      <c r="AD22" s="5">
        <v>1.4999999999999999E-2</v>
      </c>
      <c r="AE22" s="5">
        <v>1.4E-2</v>
      </c>
      <c r="AF22" s="5">
        <v>1.4E-2</v>
      </c>
      <c r="AG22" s="5">
        <v>1.2999999999999999E-2</v>
      </c>
      <c r="AH22" s="5">
        <v>1.2999999999999999E-2</v>
      </c>
      <c r="AI22" s="5">
        <v>1.2999999999999999E-2</v>
      </c>
      <c r="AJ22" s="5">
        <v>1.2E-2</v>
      </c>
      <c r="AK22" s="5">
        <v>1.2E-2</v>
      </c>
      <c r="AL22" s="5">
        <v>1.2E-2</v>
      </c>
      <c r="AM22" s="5">
        <v>1.0999999999999999E-2</v>
      </c>
      <c r="AN22" s="5">
        <v>1.0999999999999999E-2</v>
      </c>
      <c r="AO22" s="5">
        <v>0.01</v>
      </c>
      <c r="AP22" s="5">
        <v>0.01</v>
      </c>
      <c r="AQ22" s="5">
        <v>0.01</v>
      </c>
      <c r="AR22" s="5">
        <v>0.01</v>
      </c>
      <c r="AS22" s="5">
        <v>0.01</v>
      </c>
      <c r="AT22" s="5">
        <v>8.9999999999999993E-3</v>
      </c>
      <c r="AU22" s="5">
        <v>8.9999999999999993E-3</v>
      </c>
      <c r="AV22" s="5">
        <v>8.9999999999999993E-3</v>
      </c>
      <c r="AW22" s="5">
        <v>8.9999999999999993E-3</v>
      </c>
      <c r="AX22" s="5">
        <v>8.9999999999999993E-3</v>
      </c>
      <c r="AY22" s="5">
        <v>8.9999999999999993E-3</v>
      </c>
      <c r="AZ22" s="5">
        <v>8.0000000000000002E-3</v>
      </c>
    </row>
    <row r="23" spans="1:52" ht="20.25" customHeight="1" x14ac:dyDescent="0.25">
      <c r="A23" s="3">
        <v>21</v>
      </c>
      <c r="C23" s="9"/>
      <c r="D23" s="10"/>
      <c r="E23" s="10"/>
      <c r="F23" s="10"/>
      <c r="G23" s="10"/>
      <c r="H23" s="10"/>
      <c r="I23" s="10"/>
      <c r="J23" s="10"/>
      <c r="K23" s="10"/>
      <c r="L23" s="9"/>
      <c r="M23" s="9"/>
      <c r="N23" s="11"/>
      <c r="O23" s="11"/>
      <c r="P23" s="11"/>
      <c r="Q23" s="6"/>
      <c r="R23" s="6"/>
      <c r="S23" s="6"/>
      <c r="T23" s="6"/>
      <c r="U23" s="6"/>
      <c r="V23" s="6"/>
      <c r="W23" s="5">
        <v>1.4999999999999999E-2</v>
      </c>
      <c r="X23" s="5">
        <v>1.4999999999999999E-2</v>
      </c>
      <c r="Y23" s="5">
        <v>1.4E-2</v>
      </c>
      <c r="Z23" s="5">
        <v>1.4E-2</v>
      </c>
      <c r="AA23" s="5">
        <v>1.2999999999999999E-2</v>
      </c>
      <c r="AB23" s="5">
        <v>1.2999999999999999E-2</v>
      </c>
      <c r="AC23" s="5">
        <v>1.4999999999999999E-2</v>
      </c>
      <c r="AD23" s="5">
        <v>1.4999999999999999E-2</v>
      </c>
      <c r="AE23" s="5">
        <v>1.4E-2</v>
      </c>
      <c r="AF23" s="5">
        <v>1.4E-2</v>
      </c>
      <c r="AG23" s="5">
        <v>1.2999999999999999E-2</v>
      </c>
      <c r="AH23" s="5">
        <v>1.2999999999999999E-2</v>
      </c>
      <c r="AI23" s="5">
        <v>1.2999999999999999E-2</v>
      </c>
      <c r="AJ23" s="5">
        <v>1.2E-2</v>
      </c>
      <c r="AK23" s="5">
        <v>1.2E-2</v>
      </c>
      <c r="AL23" s="5">
        <v>1.2E-2</v>
      </c>
      <c r="AM23" s="5">
        <v>1.0999999999999999E-2</v>
      </c>
      <c r="AN23" s="5">
        <v>1.0999999999999999E-2</v>
      </c>
      <c r="AO23" s="5">
        <v>0.01</v>
      </c>
      <c r="AP23" s="5">
        <v>0.01</v>
      </c>
      <c r="AQ23" s="5">
        <v>0.01</v>
      </c>
      <c r="AR23" s="5">
        <v>0.01</v>
      </c>
      <c r="AS23" s="5">
        <v>0.01</v>
      </c>
      <c r="AT23" s="5">
        <v>8.9999999999999993E-3</v>
      </c>
      <c r="AU23" s="5">
        <v>8.9999999999999993E-3</v>
      </c>
      <c r="AV23" s="5">
        <v>8.9999999999999993E-3</v>
      </c>
      <c r="AW23" s="5">
        <v>8.9999999999999993E-3</v>
      </c>
      <c r="AX23" s="5">
        <v>8.9999999999999993E-3</v>
      </c>
      <c r="AY23" s="5">
        <v>8.9999999999999993E-3</v>
      </c>
      <c r="AZ23" s="5">
        <v>8.0000000000000002E-3</v>
      </c>
    </row>
    <row r="24" spans="1:52" ht="20.25" customHeight="1" x14ac:dyDescent="0.25">
      <c r="A24" s="3">
        <v>22</v>
      </c>
      <c r="C24" s="9"/>
      <c r="D24" s="10" t="s">
        <v>54</v>
      </c>
      <c r="E24" s="10"/>
      <c r="F24" s="10"/>
      <c r="G24" s="10"/>
      <c r="H24" s="10"/>
      <c r="I24" s="10"/>
      <c r="J24" s="10"/>
      <c r="K24" s="10"/>
      <c r="L24" s="9"/>
      <c r="M24" s="9"/>
      <c r="N24" s="11"/>
      <c r="O24" s="11"/>
      <c r="P24" s="11"/>
      <c r="Q24" s="6"/>
      <c r="R24" s="6"/>
      <c r="S24" s="6"/>
      <c r="T24" s="6"/>
      <c r="U24" s="6"/>
      <c r="V24" s="6"/>
      <c r="W24" s="6"/>
      <c r="X24" s="5">
        <v>1.4999999999999999E-2</v>
      </c>
      <c r="Y24" s="5">
        <v>1.4E-2</v>
      </c>
      <c r="Z24" s="5">
        <v>1.4E-2</v>
      </c>
      <c r="AA24" s="5">
        <v>1.2999999999999999E-2</v>
      </c>
      <c r="AB24" s="5">
        <v>1.2999999999999999E-2</v>
      </c>
      <c r="AC24" s="5">
        <v>1.2E-2</v>
      </c>
      <c r="AD24" s="5">
        <v>1.2E-2</v>
      </c>
      <c r="AE24" s="5">
        <v>1.4E-2</v>
      </c>
      <c r="AF24" s="5">
        <v>1.4E-2</v>
      </c>
      <c r="AG24" s="5">
        <v>1.2999999999999999E-2</v>
      </c>
      <c r="AH24" s="5">
        <v>1.2999999999999999E-2</v>
      </c>
      <c r="AI24" s="5">
        <v>1.2999999999999999E-2</v>
      </c>
      <c r="AJ24" s="5">
        <v>1.2E-2</v>
      </c>
      <c r="AK24" s="5">
        <v>1.2E-2</v>
      </c>
      <c r="AL24" s="5">
        <v>1.2E-2</v>
      </c>
      <c r="AM24" s="5">
        <v>1.0999999999999999E-2</v>
      </c>
      <c r="AN24" s="5">
        <v>1.0999999999999999E-2</v>
      </c>
      <c r="AO24" s="5">
        <v>0.01</v>
      </c>
      <c r="AP24" s="5">
        <v>0.01</v>
      </c>
      <c r="AQ24" s="5">
        <v>0.01</v>
      </c>
      <c r="AR24" s="5">
        <v>0.01</v>
      </c>
      <c r="AS24" s="5">
        <v>0.01</v>
      </c>
      <c r="AT24" s="5">
        <v>8.9999999999999993E-3</v>
      </c>
      <c r="AU24" s="5">
        <v>8.9999999999999993E-3</v>
      </c>
      <c r="AV24" s="5">
        <v>8.9999999999999993E-3</v>
      </c>
      <c r="AW24" s="5">
        <v>8.9999999999999993E-3</v>
      </c>
      <c r="AX24" s="5">
        <v>8.9999999999999993E-3</v>
      </c>
      <c r="AY24" s="5">
        <v>8.9999999999999993E-3</v>
      </c>
      <c r="AZ24" s="5">
        <v>8.0000000000000002E-3</v>
      </c>
    </row>
    <row r="25" spans="1:52" ht="20.25" customHeight="1" x14ac:dyDescent="0.25">
      <c r="A25" s="3">
        <v>23</v>
      </c>
      <c r="C25" s="9"/>
      <c r="D25" s="10"/>
      <c r="E25" s="10"/>
      <c r="F25" s="10"/>
      <c r="G25" s="10"/>
      <c r="H25" s="10"/>
      <c r="I25" s="10"/>
      <c r="J25" s="10"/>
      <c r="K25" s="10"/>
      <c r="L25" s="9"/>
      <c r="M25" s="9"/>
      <c r="N25" s="11"/>
      <c r="O25" s="11"/>
      <c r="P25" s="11"/>
      <c r="Q25" s="6"/>
      <c r="R25" s="6"/>
      <c r="S25" s="6"/>
      <c r="T25" s="6"/>
      <c r="U25" s="6"/>
      <c r="V25" s="6"/>
      <c r="W25" s="6"/>
      <c r="X25" s="6"/>
      <c r="Y25" s="5">
        <v>1.4E-2</v>
      </c>
      <c r="Z25" s="5">
        <v>1.4E-2</v>
      </c>
      <c r="AA25" s="5">
        <v>1.2999999999999999E-2</v>
      </c>
      <c r="AB25" s="5">
        <v>1.2999999999999999E-2</v>
      </c>
      <c r="AC25" s="5">
        <v>1.2E-2</v>
      </c>
      <c r="AD25" s="5">
        <v>1.2E-2</v>
      </c>
      <c r="AE25" s="5">
        <v>1.0999999999999999E-2</v>
      </c>
      <c r="AF25" s="5">
        <v>1.0999999999999999E-2</v>
      </c>
      <c r="AG25" s="5">
        <v>1.2999999999999999E-2</v>
      </c>
      <c r="AH25" s="5">
        <v>1.2999999999999999E-2</v>
      </c>
      <c r="AI25" s="5">
        <v>1.2999999999999999E-2</v>
      </c>
      <c r="AJ25" s="5">
        <v>1.2E-2</v>
      </c>
      <c r="AK25" s="5">
        <v>1.2E-2</v>
      </c>
      <c r="AL25" s="5">
        <v>1.2E-2</v>
      </c>
      <c r="AM25" s="5">
        <v>1.0999999999999999E-2</v>
      </c>
      <c r="AN25" s="5">
        <v>1.0999999999999999E-2</v>
      </c>
      <c r="AO25" s="5">
        <v>0.01</v>
      </c>
      <c r="AP25" s="5">
        <v>0.01</v>
      </c>
      <c r="AQ25" s="5">
        <v>0.01</v>
      </c>
      <c r="AR25" s="5">
        <v>0.01</v>
      </c>
      <c r="AS25" s="5">
        <v>0.01</v>
      </c>
      <c r="AT25" s="5">
        <v>8.9999999999999993E-3</v>
      </c>
      <c r="AU25" s="5">
        <v>8.9999999999999993E-3</v>
      </c>
      <c r="AV25" s="5">
        <v>8.9999999999999993E-3</v>
      </c>
      <c r="AW25" s="5">
        <v>8.9999999999999993E-3</v>
      </c>
      <c r="AX25" s="5">
        <v>8.9999999999999993E-3</v>
      </c>
      <c r="AY25" s="5">
        <v>8.0000000000000002E-3</v>
      </c>
      <c r="AZ25" s="5">
        <v>8.0000000000000002E-3</v>
      </c>
    </row>
    <row r="26" spans="1:52" ht="20.25" customHeight="1" x14ac:dyDescent="0.25">
      <c r="A26" s="3">
        <v>24</v>
      </c>
      <c r="C26" s="9"/>
      <c r="D26" s="10" t="s">
        <v>55</v>
      </c>
      <c r="E26" s="10"/>
      <c r="F26" s="10"/>
      <c r="G26" s="10"/>
      <c r="H26" s="10"/>
      <c r="I26" s="10"/>
      <c r="J26" s="10"/>
      <c r="K26" s="10"/>
      <c r="L26" s="9"/>
      <c r="M26" s="9"/>
      <c r="N26" s="9"/>
      <c r="O26" s="9"/>
      <c r="P26" s="9"/>
      <c r="Q26" s="10"/>
      <c r="R26" s="10"/>
      <c r="S26" s="10"/>
      <c r="T26" s="10"/>
      <c r="U26" s="10"/>
      <c r="V26" s="6"/>
      <c r="W26" s="6"/>
      <c r="X26" s="6"/>
      <c r="Y26" s="6"/>
      <c r="Z26" s="5">
        <v>1.4E-2</v>
      </c>
      <c r="AA26" s="5">
        <v>1.2999999999999999E-2</v>
      </c>
      <c r="AB26" s="5">
        <v>1.2999999999999999E-2</v>
      </c>
      <c r="AC26" s="5">
        <v>1.2E-2</v>
      </c>
      <c r="AD26" s="5">
        <v>1.2E-2</v>
      </c>
      <c r="AE26" s="5">
        <v>1.0999999999999999E-2</v>
      </c>
      <c r="AF26" s="5">
        <v>1.0999999999999999E-2</v>
      </c>
      <c r="AG26" s="5">
        <v>1.0999999999999999E-2</v>
      </c>
      <c r="AH26" s="5">
        <v>0.01</v>
      </c>
      <c r="AI26" s="5">
        <v>1.2999999999999999E-2</v>
      </c>
      <c r="AJ26" s="5">
        <v>1.2E-2</v>
      </c>
      <c r="AK26" s="5">
        <v>1.2E-2</v>
      </c>
      <c r="AL26" s="5">
        <v>1.2E-2</v>
      </c>
      <c r="AM26" s="5">
        <v>1.0999999999999999E-2</v>
      </c>
      <c r="AN26" s="5">
        <v>1.0999999999999999E-2</v>
      </c>
      <c r="AO26" s="5">
        <v>0.01</v>
      </c>
      <c r="AP26" s="5">
        <v>0.01</v>
      </c>
      <c r="AQ26" s="5">
        <v>0.01</v>
      </c>
      <c r="AR26" s="5">
        <v>0.01</v>
      </c>
      <c r="AS26" s="5">
        <v>0.01</v>
      </c>
      <c r="AT26" s="5">
        <v>8.9999999999999993E-3</v>
      </c>
      <c r="AU26" s="5">
        <v>8.9999999999999993E-3</v>
      </c>
      <c r="AV26" s="5">
        <v>8.9999999999999993E-3</v>
      </c>
      <c r="AW26" s="5">
        <v>8.9999999999999993E-3</v>
      </c>
      <c r="AX26" s="5">
        <v>8.9999999999999993E-3</v>
      </c>
      <c r="AY26" s="5">
        <v>8.0000000000000002E-3</v>
      </c>
      <c r="AZ26" s="5">
        <v>8.0000000000000002E-3</v>
      </c>
    </row>
    <row r="27" spans="1:52" ht="20.25" customHeight="1" x14ac:dyDescent="0.25">
      <c r="A27" s="3">
        <v>25</v>
      </c>
      <c r="C27" s="9"/>
      <c r="D27" s="10"/>
      <c r="E27" s="10"/>
      <c r="F27" s="10"/>
      <c r="G27" s="10"/>
      <c r="H27" s="10"/>
      <c r="I27" s="10"/>
      <c r="J27" s="10"/>
      <c r="K27" s="10"/>
      <c r="L27" s="12"/>
      <c r="M27" s="13"/>
      <c r="N27" s="14"/>
      <c r="O27" s="9"/>
      <c r="P27" s="9"/>
      <c r="Q27" s="10"/>
      <c r="R27" s="10"/>
      <c r="S27" s="10"/>
      <c r="T27" s="10"/>
      <c r="U27" s="10"/>
      <c r="V27" s="6"/>
      <c r="W27" s="6"/>
      <c r="X27" s="6"/>
      <c r="Y27" s="6"/>
      <c r="Z27" s="6"/>
      <c r="AA27" s="5">
        <v>1.2999999999999999E-2</v>
      </c>
      <c r="AB27" s="5">
        <v>1.2999999999999999E-2</v>
      </c>
      <c r="AC27" s="5">
        <v>1.2E-2</v>
      </c>
      <c r="AD27" s="5">
        <v>1.2E-2</v>
      </c>
      <c r="AE27" s="5">
        <v>1.0999999999999999E-2</v>
      </c>
      <c r="AF27" s="5">
        <v>1.0999999999999999E-2</v>
      </c>
      <c r="AG27" s="5">
        <v>1.0999999999999999E-2</v>
      </c>
      <c r="AH27" s="5">
        <v>0.01</v>
      </c>
      <c r="AI27" s="5">
        <v>0.01</v>
      </c>
      <c r="AJ27" s="5">
        <v>0.01</v>
      </c>
      <c r="AK27" s="5">
        <v>1.2E-2</v>
      </c>
      <c r="AL27" s="5">
        <v>1.2E-2</v>
      </c>
      <c r="AM27" s="5">
        <v>1.0999999999999999E-2</v>
      </c>
      <c r="AN27" s="5">
        <v>1.0999999999999999E-2</v>
      </c>
      <c r="AO27" s="5">
        <v>0.01</v>
      </c>
      <c r="AP27" s="5">
        <v>0.01</v>
      </c>
      <c r="AQ27" s="5">
        <v>0.01</v>
      </c>
      <c r="AR27" s="5">
        <v>0.01</v>
      </c>
      <c r="AS27" s="5">
        <v>0.01</v>
      </c>
      <c r="AT27" s="5">
        <v>8.9999999999999993E-3</v>
      </c>
      <c r="AU27" s="5">
        <v>8.9999999999999993E-3</v>
      </c>
      <c r="AV27" s="5">
        <v>8.9999999999999993E-3</v>
      </c>
      <c r="AW27" s="5">
        <v>8.9999999999999993E-3</v>
      </c>
      <c r="AX27" s="5">
        <v>8.9999999999999993E-3</v>
      </c>
      <c r="AY27" s="5">
        <v>8.0000000000000002E-3</v>
      </c>
      <c r="AZ27" s="5">
        <v>8.0000000000000002E-3</v>
      </c>
    </row>
    <row r="28" spans="1:52" ht="20.25" customHeight="1" x14ac:dyDescent="0.25">
      <c r="A28" s="3">
        <v>26</v>
      </c>
      <c r="C28" s="9"/>
      <c r="D28" s="10" t="s">
        <v>56</v>
      </c>
      <c r="E28" s="10"/>
      <c r="F28" s="10"/>
      <c r="G28" s="10"/>
      <c r="H28" s="10"/>
      <c r="I28" s="10"/>
      <c r="J28" s="10"/>
      <c r="K28" s="15"/>
      <c r="L28" s="16"/>
      <c r="M28" s="17">
        <v>20</v>
      </c>
      <c r="N28" s="18"/>
      <c r="O28" s="9"/>
      <c r="P28" s="9"/>
      <c r="Q28" s="10"/>
      <c r="R28" s="10"/>
      <c r="S28" s="10"/>
      <c r="T28" s="10"/>
      <c r="U28" s="10"/>
      <c r="V28" s="6"/>
      <c r="W28" s="6"/>
      <c r="X28" s="6"/>
      <c r="Y28" s="6"/>
      <c r="Z28" s="6"/>
      <c r="AA28" s="6"/>
      <c r="AB28" s="5">
        <v>1.2999999999999999E-2</v>
      </c>
      <c r="AC28" s="5">
        <v>1.2E-2</v>
      </c>
      <c r="AD28" s="5">
        <v>1.2E-2</v>
      </c>
      <c r="AE28" s="5">
        <v>1.0999999999999999E-2</v>
      </c>
      <c r="AF28" s="5">
        <v>1.0999999999999999E-2</v>
      </c>
      <c r="AG28" s="5">
        <v>1.0999999999999999E-2</v>
      </c>
      <c r="AH28" s="5">
        <v>0.01</v>
      </c>
      <c r="AI28" s="5">
        <v>0.01</v>
      </c>
      <c r="AJ28" s="5">
        <v>0.01</v>
      </c>
      <c r="AK28" s="5">
        <v>0.01</v>
      </c>
      <c r="AL28" s="5">
        <v>8.9999999999999993E-3</v>
      </c>
      <c r="AM28" s="5">
        <v>1.0999999999999999E-2</v>
      </c>
      <c r="AN28" s="5">
        <v>1.0999999999999999E-2</v>
      </c>
      <c r="AO28" s="5">
        <v>0.01</v>
      </c>
      <c r="AP28" s="5">
        <v>0.01</v>
      </c>
      <c r="AQ28" s="5">
        <v>0.01</v>
      </c>
      <c r="AR28" s="5">
        <v>0.01</v>
      </c>
      <c r="AS28" s="5">
        <v>0.01</v>
      </c>
      <c r="AT28" s="5">
        <v>8.9999999999999993E-3</v>
      </c>
      <c r="AU28" s="5">
        <v>8.9999999999999993E-3</v>
      </c>
      <c r="AV28" s="5">
        <v>8.9999999999999993E-3</v>
      </c>
      <c r="AW28" s="5">
        <v>8.9999999999999993E-3</v>
      </c>
      <c r="AX28" s="5">
        <v>8.9999999999999993E-3</v>
      </c>
      <c r="AY28" s="5">
        <v>8.0000000000000002E-3</v>
      </c>
      <c r="AZ28" s="5">
        <v>8.0000000000000002E-3</v>
      </c>
    </row>
    <row r="29" spans="1:52" ht="20.25" customHeight="1" x14ac:dyDescent="0.25">
      <c r="A29" s="3">
        <v>27</v>
      </c>
      <c r="C29" s="9"/>
      <c r="D29" s="10"/>
      <c r="E29" s="10"/>
      <c r="F29" s="10"/>
      <c r="G29" s="10"/>
      <c r="H29" s="10"/>
      <c r="I29" s="10"/>
      <c r="J29" s="10"/>
      <c r="K29" s="10"/>
      <c r="L29" s="19"/>
      <c r="M29" s="20"/>
      <c r="N29" s="21"/>
      <c r="O29" s="9"/>
      <c r="P29" s="9"/>
      <c r="Q29" s="10"/>
      <c r="R29" s="10"/>
      <c r="S29" s="10"/>
      <c r="T29" s="10"/>
      <c r="U29" s="10"/>
      <c r="V29" s="6"/>
      <c r="W29" s="6"/>
      <c r="X29" s="6"/>
      <c r="Y29" s="6"/>
      <c r="Z29" s="6"/>
      <c r="AA29" s="6"/>
      <c r="AB29" s="6"/>
      <c r="AC29" s="5">
        <v>1.2E-2</v>
      </c>
      <c r="AD29" s="5">
        <v>1.2E-2</v>
      </c>
      <c r="AE29" s="5">
        <v>1.0999999999999999E-2</v>
      </c>
      <c r="AF29" s="5">
        <v>1.0999999999999999E-2</v>
      </c>
      <c r="AG29" s="5">
        <v>1.0999999999999999E-2</v>
      </c>
      <c r="AH29" s="5">
        <v>0.01</v>
      </c>
      <c r="AI29" s="5">
        <v>0.01</v>
      </c>
      <c r="AJ29" s="5">
        <v>0.01</v>
      </c>
      <c r="AK29" s="5">
        <v>0.01</v>
      </c>
      <c r="AL29" s="5">
        <v>8.9999999999999993E-3</v>
      </c>
      <c r="AM29" s="5">
        <v>8.9999999999999993E-3</v>
      </c>
      <c r="AN29" s="5">
        <v>8.9999999999999993E-3</v>
      </c>
      <c r="AO29" s="5">
        <v>0.01</v>
      </c>
      <c r="AP29" s="5">
        <v>0.01</v>
      </c>
      <c r="AQ29" s="5">
        <v>0.01</v>
      </c>
      <c r="AR29" s="5">
        <v>0.01</v>
      </c>
      <c r="AS29" s="5">
        <v>0.01</v>
      </c>
      <c r="AT29" s="5">
        <v>8.9999999999999993E-3</v>
      </c>
      <c r="AU29" s="5">
        <v>8.9999999999999993E-3</v>
      </c>
      <c r="AV29" s="5">
        <v>8.9999999999999993E-3</v>
      </c>
      <c r="AW29" s="5">
        <v>8.9999999999999993E-3</v>
      </c>
      <c r="AX29" s="5">
        <v>8.9999999999999993E-3</v>
      </c>
      <c r="AY29" s="5">
        <v>8.0000000000000002E-3</v>
      </c>
      <c r="AZ29" s="5">
        <v>8.0000000000000002E-3</v>
      </c>
    </row>
    <row r="30" spans="1:52" ht="20.25" customHeight="1" x14ac:dyDescent="0.25">
      <c r="A30" s="3">
        <v>28</v>
      </c>
      <c r="C30" s="9"/>
      <c r="D30" s="10"/>
      <c r="E30" s="10"/>
      <c r="F30" s="10"/>
      <c r="G30" s="10"/>
      <c r="H30" s="10"/>
      <c r="I30" s="10"/>
      <c r="J30" s="6"/>
      <c r="K30" s="22"/>
      <c r="L30" s="9"/>
      <c r="M30" s="11"/>
      <c r="N30" s="9"/>
      <c r="O30" s="9"/>
      <c r="P30" s="9"/>
      <c r="Q30" s="10"/>
      <c r="R30" s="10"/>
      <c r="S30" s="10"/>
      <c r="T30" s="10"/>
      <c r="U30" s="10"/>
      <c r="V30" s="6"/>
      <c r="W30" s="6"/>
      <c r="X30" s="6"/>
      <c r="Y30" s="6"/>
      <c r="Z30" s="6"/>
      <c r="AA30" s="6"/>
      <c r="AB30" s="6"/>
      <c r="AC30" s="6"/>
      <c r="AD30" s="5">
        <v>1.2E-2</v>
      </c>
      <c r="AE30" s="5">
        <v>1.0999999999999999E-2</v>
      </c>
      <c r="AF30" s="5">
        <v>1.0999999999999999E-2</v>
      </c>
      <c r="AG30" s="5">
        <v>1.0999999999999999E-2</v>
      </c>
      <c r="AH30" s="5">
        <v>0.01</v>
      </c>
      <c r="AI30" s="5">
        <v>0.01</v>
      </c>
      <c r="AJ30" s="5">
        <v>0.01</v>
      </c>
      <c r="AK30" s="5">
        <v>0.01</v>
      </c>
      <c r="AL30" s="5">
        <v>8.9999999999999993E-3</v>
      </c>
      <c r="AM30" s="5">
        <v>8.9999999999999993E-3</v>
      </c>
      <c r="AN30" s="5">
        <v>8.9999999999999993E-3</v>
      </c>
      <c r="AO30" s="5">
        <v>8.9999999999999993E-3</v>
      </c>
      <c r="AP30" s="5">
        <v>8.0000000000000002E-3</v>
      </c>
      <c r="AQ30" s="5">
        <v>0.01</v>
      </c>
      <c r="AR30" s="5">
        <v>0.01</v>
      </c>
      <c r="AS30" s="5">
        <v>0.01</v>
      </c>
      <c r="AT30" s="5">
        <v>8.9999999999999993E-3</v>
      </c>
      <c r="AU30" s="5">
        <v>8.9999999999999993E-3</v>
      </c>
      <c r="AV30" s="5">
        <v>8.9999999999999993E-3</v>
      </c>
      <c r="AW30" s="5">
        <v>8.9999999999999993E-3</v>
      </c>
      <c r="AX30" s="5">
        <v>8.9999999999999993E-3</v>
      </c>
      <c r="AY30" s="5">
        <v>8.0000000000000002E-3</v>
      </c>
      <c r="AZ30" s="5">
        <v>8.0000000000000002E-3</v>
      </c>
    </row>
    <row r="31" spans="1:52" ht="20.25" customHeight="1" x14ac:dyDescent="0.25">
      <c r="A31" s="3">
        <v>29</v>
      </c>
      <c r="C31" s="9"/>
      <c r="D31" s="10"/>
      <c r="E31" s="10"/>
      <c r="F31" s="10"/>
      <c r="G31" s="10"/>
      <c r="H31" s="10"/>
      <c r="I31" s="10"/>
      <c r="J31" s="23"/>
      <c r="K31" s="10"/>
      <c r="L31" s="12"/>
      <c r="M31" s="24"/>
      <c r="N31" s="14"/>
      <c r="O31" s="9"/>
      <c r="P31" s="9"/>
      <c r="Q31" s="10"/>
      <c r="R31" s="10"/>
      <c r="S31" s="10"/>
      <c r="T31" s="10"/>
      <c r="U31" s="10"/>
      <c r="V31" s="6"/>
      <c r="W31" s="6"/>
      <c r="X31" s="6"/>
      <c r="Y31" s="6"/>
      <c r="Z31" s="6"/>
      <c r="AA31" s="6"/>
      <c r="AB31" s="6"/>
      <c r="AC31" s="6"/>
      <c r="AD31" s="6"/>
      <c r="AE31" s="5">
        <v>1.0999999999999999E-2</v>
      </c>
      <c r="AF31" s="5">
        <v>1.0999999999999999E-2</v>
      </c>
      <c r="AG31" s="5">
        <v>1.0999999999999999E-2</v>
      </c>
      <c r="AH31" s="5">
        <v>0.01</v>
      </c>
      <c r="AI31" s="5">
        <v>0.01</v>
      </c>
      <c r="AJ31" s="5">
        <v>0.01</v>
      </c>
      <c r="AK31" s="5">
        <v>0.01</v>
      </c>
      <c r="AL31" s="5">
        <v>8.9999999999999993E-3</v>
      </c>
      <c r="AM31" s="5">
        <v>8.9999999999999993E-3</v>
      </c>
      <c r="AN31" s="5">
        <v>8.9999999999999993E-3</v>
      </c>
      <c r="AO31" s="5">
        <v>8.9999999999999993E-3</v>
      </c>
      <c r="AP31" s="5">
        <v>8.0000000000000002E-3</v>
      </c>
      <c r="AQ31" s="5">
        <v>8.0000000000000002E-3</v>
      </c>
      <c r="AR31" s="5">
        <v>8.0000000000000002E-3</v>
      </c>
      <c r="AS31" s="5">
        <v>8.0000000000000002E-3</v>
      </c>
      <c r="AT31" s="5">
        <v>8.9999999999999993E-3</v>
      </c>
      <c r="AU31" s="5">
        <v>8.9999999999999993E-3</v>
      </c>
      <c r="AV31" s="5">
        <v>8.9999999999999993E-3</v>
      </c>
      <c r="AW31" s="5">
        <v>8.9999999999999993E-3</v>
      </c>
      <c r="AX31" s="5">
        <v>8.9999999999999993E-3</v>
      </c>
      <c r="AY31" s="5">
        <v>8.0000000000000002E-3</v>
      </c>
      <c r="AZ31" s="5">
        <v>8.0000000000000002E-3</v>
      </c>
    </row>
    <row r="32" spans="1:52" ht="20.25" customHeight="1" x14ac:dyDescent="0.25">
      <c r="A32" s="3">
        <v>30</v>
      </c>
      <c r="C32" s="9"/>
      <c r="D32" s="10" t="s">
        <v>57</v>
      </c>
      <c r="E32" s="10"/>
      <c r="F32" s="10"/>
      <c r="G32" s="10"/>
      <c r="H32" s="10"/>
      <c r="I32" s="10"/>
      <c r="J32" s="6" t="s">
        <v>58</v>
      </c>
      <c r="K32" s="15"/>
      <c r="L32" s="16"/>
      <c r="M32" s="3">
        <f>59</f>
        <v>59</v>
      </c>
      <c r="N32" s="18"/>
      <c r="O32" s="9"/>
      <c r="P32" s="9"/>
      <c r="Q32" s="10"/>
      <c r="R32" s="10"/>
      <c r="S32" s="10"/>
      <c r="T32" s="10"/>
      <c r="U32" s="10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5">
        <v>1.0999999999999999E-2</v>
      </c>
      <c r="AG32" s="5">
        <v>1.0999999999999999E-2</v>
      </c>
      <c r="AH32" s="5">
        <v>0.01</v>
      </c>
      <c r="AI32" s="5">
        <v>0.01</v>
      </c>
      <c r="AJ32" s="5">
        <v>0.01</v>
      </c>
      <c r="AK32" s="5">
        <v>0.01</v>
      </c>
      <c r="AL32" s="5">
        <v>8.9999999999999993E-3</v>
      </c>
      <c r="AM32" s="5">
        <v>8.9999999999999993E-3</v>
      </c>
      <c r="AN32" s="5">
        <v>8.9999999999999993E-3</v>
      </c>
      <c r="AO32" s="5">
        <v>8.9999999999999993E-3</v>
      </c>
      <c r="AP32" s="5">
        <v>8.0000000000000002E-3</v>
      </c>
      <c r="AQ32" s="5">
        <v>8.0000000000000002E-3</v>
      </c>
      <c r="AR32" s="5">
        <v>8.0000000000000002E-3</v>
      </c>
      <c r="AS32" s="5">
        <v>8.0000000000000002E-3</v>
      </c>
      <c r="AT32" s="5">
        <v>8.0000000000000002E-3</v>
      </c>
      <c r="AU32" s="5">
        <v>8.9999999999999993E-3</v>
      </c>
      <c r="AV32" s="5">
        <v>8.9999999999999993E-3</v>
      </c>
      <c r="AW32" s="5">
        <v>8.9999999999999993E-3</v>
      </c>
      <c r="AX32" s="5">
        <v>8.9999999999999993E-3</v>
      </c>
      <c r="AY32" s="5">
        <v>8.0000000000000002E-3</v>
      </c>
      <c r="AZ32" s="5">
        <v>8.0000000000000002E-3</v>
      </c>
    </row>
    <row r="33" spans="1:52" ht="20.25" customHeight="1" x14ac:dyDescent="0.25">
      <c r="A33" s="3">
        <v>31</v>
      </c>
      <c r="C33" s="9"/>
      <c r="D33" s="10"/>
      <c r="E33" s="10"/>
      <c r="F33" s="10"/>
      <c r="G33" s="10"/>
      <c r="H33" s="10"/>
      <c r="I33" s="10"/>
      <c r="J33" s="10"/>
      <c r="K33" s="10"/>
      <c r="L33" s="19"/>
      <c r="M33" s="20"/>
      <c r="N33" s="21"/>
      <c r="O33" s="9"/>
      <c r="P33" s="9"/>
      <c r="Q33" s="10"/>
      <c r="R33" s="10"/>
      <c r="S33" s="10"/>
      <c r="T33" s="10"/>
      <c r="U33" s="10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5">
        <v>1.0999999999999999E-2</v>
      </c>
      <c r="AH33" s="5">
        <v>0.01</v>
      </c>
      <c r="AI33" s="5">
        <v>0.01</v>
      </c>
      <c r="AJ33" s="5">
        <v>0.01</v>
      </c>
      <c r="AK33" s="5">
        <v>0.01</v>
      </c>
      <c r="AL33" s="5">
        <v>8.9999999999999993E-3</v>
      </c>
      <c r="AM33" s="5">
        <v>8.9999999999999993E-3</v>
      </c>
      <c r="AN33" s="5">
        <v>8.9999999999999993E-3</v>
      </c>
      <c r="AO33" s="5">
        <v>8.9999999999999993E-3</v>
      </c>
      <c r="AP33" s="5">
        <v>8.0000000000000002E-3</v>
      </c>
      <c r="AQ33" s="5">
        <v>8.0000000000000002E-3</v>
      </c>
      <c r="AR33" s="5">
        <v>8.0000000000000002E-3</v>
      </c>
      <c r="AS33" s="5">
        <v>8.0000000000000002E-3</v>
      </c>
      <c r="AT33" s="5">
        <v>8.0000000000000002E-3</v>
      </c>
      <c r="AU33" s="5">
        <v>8.9999999999999993E-3</v>
      </c>
      <c r="AV33" s="5">
        <v>8.9999999999999993E-3</v>
      </c>
      <c r="AW33" s="5">
        <v>8.9999999999999993E-3</v>
      </c>
      <c r="AX33" s="5">
        <v>8.9999999999999993E-3</v>
      </c>
      <c r="AY33" s="5">
        <v>8.0000000000000002E-3</v>
      </c>
      <c r="AZ33" s="5">
        <v>8.0000000000000002E-3</v>
      </c>
    </row>
    <row r="34" spans="1:52" ht="20.25" customHeight="1" x14ac:dyDescent="0.25">
      <c r="A34" s="3">
        <v>32</v>
      </c>
      <c r="C34" s="9"/>
      <c r="D34" s="10"/>
      <c r="E34" s="10"/>
      <c r="F34" s="10"/>
      <c r="G34" s="10"/>
      <c r="H34" s="10"/>
      <c r="I34" s="10"/>
      <c r="J34" s="10"/>
      <c r="K34" s="10"/>
      <c r="L34" s="9"/>
      <c r="M34" s="11"/>
      <c r="N34" s="9"/>
      <c r="O34" s="9"/>
      <c r="P34" s="9"/>
      <c r="Q34" s="10"/>
      <c r="R34" s="10"/>
      <c r="S34" s="10"/>
      <c r="T34" s="10"/>
      <c r="U34" s="10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5">
        <v>0.01</v>
      </c>
      <c r="AI34" s="5">
        <v>0.01</v>
      </c>
      <c r="AJ34" s="5">
        <v>0.01</v>
      </c>
      <c r="AK34" s="5">
        <v>0.01</v>
      </c>
      <c r="AL34" s="5">
        <v>8.9999999999999993E-3</v>
      </c>
      <c r="AM34" s="5">
        <v>8.9999999999999993E-3</v>
      </c>
      <c r="AN34" s="5">
        <v>8.9999999999999993E-3</v>
      </c>
      <c r="AO34" s="5">
        <v>8.9999999999999993E-3</v>
      </c>
      <c r="AP34" s="5">
        <v>8.0000000000000002E-3</v>
      </c>
      <c r="AQ34" s="5">
        <v>8.0000000000000002E-3</v>
      </c>
      <c r="AR34" s="5">
        <v>8.0000000000000002E-3</v>
      </c>
      <c r="AS34" s="5">
        <v>8.0000000000000002E-3</v>
      </c>
      <c r="AT34" s="5">
        <v>8.0000000000000002E-3</v>
      </c>
      <c r="AU34" s="5">
        <v>8.0000000000000002E-3</v>
      </c>
      <c r="AV34" s="5">
        <v>7.0000000000000001E-3</v>
      </c>
      <c r="AW34" s="5">
        <v>7.0000000000000001E-3</v>
      </c>
      <c r="AX34" s="5">
        <v>7.0000000000000001E-3</v>
      </c>
      <c r="AY34" s="5">
        <v>8.0000000000000002E-3</v>
      </c>
      <c r="AZ34" s="5">
        <v>8.0000000000000002E-3</v>
      </c>
    </row>
    <row r="35" spans="1:52" ht="20.25" customHeight="1" x14ac:dyDescent="0.25">
      <c r="A35" s="3">
        <v>33</v>
      </c>
      <c r="C35" s="9"/>
      <c r="D35" s="10"/>
      <c r="E35" s="10"/>
      <c r="F35" s="10"/>
      <c r="G35" s="10"/>
      <c r="H35" s="10"/>
      <c r="I35" s="10"/>
      <c r="J35" s="6"/>
      <c r="K35" s="22"/>
      <c r="L35" s="12"/>
      <c r="M35" s="24"/>
      <c r="N35" s="14"/>
      <c r="O35" s="9"/>
      <c r="P35" s="9"/>
      <c r="Q35" s="10"/>
      <c r="R35" s="10"/>
      <c r="S35" s="10"/>
      <c r="T35" s="10"/>
      <c r="U35" s="10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5">
        <v>0.01</v>
      </c>
      <c r="AJ35" s="5">
        <v>0.01</v>
      </c>
      <c r="AK35" s="5">
        <v>0.01</v>
      </c>
      <c r="AL35" s="5">
        <v>8.9999999999999993E-3</v>
      </c>
      <c r="AM35" s="5">
        <v>8.9999999999999993E-3</v>
      </c>
      <c r="AN35" s="5">
        <v>8.9999999999999993E-3</v>
      </c>
      <c r="AO35" s="5">
        <v>8.9999999999999993E-3</v>
      </c>
      <c r="AP35" s="5">
        <v>8.0000000000000002E-3</v>
      </c>
      <c r="AQ35" s="5">
        <v>8.0000000000000002E-3</v>
      </c>
      <c r="AR35" s="5">
        <v>8.0000000000000002E-3</v>
      </c>
      <c r="AS35" s="5">
        <v>8.0000000000000002E-3</v>
      </c>
      <c r="AT35" s="5">
        <v>8.0000000000000002E-3</v>
      </c>
      <c r="AU35" s="5">
        <v>8.0000000000000002E-3</v>
      </c>
      <c r="AV35" s="5">
        <v>7.0000000000000001E-3</v>
      </c>
      <c r="AW35" s="5">
        <v>7.0000000000000001E-3</v>
      </c>
      <c r="AX35" s="5">
        <v>7.0000000000000001E-3</v>
      </c>
      <c r="AY35" s="5">
        <v>7.0000000000000001E-3</v>
      </c>
      <c r="AZ35" s="5">
        <v>7.0000000000000001E-3</v>
      </c>
    </row>
    <row r="36" spans="1:52" ht="20.25" customHeight="1" x14ac:dyDescent="0.25">
      <c r="A36" s="3">
        <v>34</v>
      </c>
      <c r="C36" s="9"/>
      <c r="D36" s="10" t="s">
        <v>59</v>
      </c>
      <c r="E36" s="9"/>
      <c r="F36" s="9"/>
      <c r="G36" s="9"/>
      <c r="H36" s="9"/>
      <c r="I36" s="9"/>
      <c r="J36" s="25" t="s">
        <v>60</v>
      </c>
      <c r="K36" s="15"/>
      <c r="L36" s="16"/>
      <c r="M36" s="26">
        <f>+M28*M32</f>
        <v>1180</v>
      </c>
      <c r="N36" s="18"/>
      <c r="O36" s="9"/>
      <c r="P36" s="9"/>
      <c r="Q36" s="10"/>
      <c r="R36" s="10"/>
      <c r="S36" s="10"/>
      <c r="T36" s="10"/>
      <c r="U36" s="10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5">
        <v>0.01</v>
      </c>
      <c r="AK36" s="5">
        <v>0.01</v>
      </c>
      <c r="AL36" s="5">
        <v>8.9999999999999993E-3</v>
      </c>
      <c r="AM36" s="5">
        <v>8.9999999999999993E-3</v>
      </c>
      <c r="AN36" s="5">
        <v>8.9999999999999993E-3</v>
      </c>
      <c r="AO36" s="5">
        <v>8.9999999999999993E-3</v>
      </c>
      <c r="AP36" s="5">
        <v>8.0000000000000002E-3</v>
      </c>
      <c r="AQ36" s="5">
        <v>8.0000000000000002E-3</v>
      </c>
      <c r="AR36" s="5">
        <v>8.0000000000000002E-3</v>
      </c>
      <c r="AS36" s="5">
        <v>8.0000000000000002E-3</v>
      </c>
      <c r="AT36" s="5">
        <v>8.0000000000000002E-3</v>
      </c>
      <c r="AU36" s="5">
        <v>8.0000000000000002E-3</v>
      </c>
      <c r="AV36" s="5">
        <v>7.0000000000000001E-3</v>
      </c>
      <c r="AW36" s="5">
        <v>7.0000000000000001E-3</v>
      </c>
      <c r="AX36" s="5">
        <v>7.0000000000000001E-3</v>
      </c>
      <c r="AY36" s="5">
        <v>7.0000000000000001E-3</v>
      </c>
      <c r="AZ36" s="5">
        <v>7.0000000000000001E-3</v>
      </c>
    </row>
    <row r="37" spans="1:52" ht="20.25" customHeight="1" x14ac:dyDescent="0.25">
      <c r="A37" s="3">
        <v>35</v>
      </c>
      <c r="C37" s="9"/>
      <c r="D37" s="9"/>
      <c r="E37" s="9"/>
      <c r="F37" s="9"/>
      <c r="G37" s="9"/>
      <c r="H37" s="9"/>
      <c r="I37" s="9"/>
      <c r="J37" s="9"/>
      <c r="K37" s="9"/>
      <c r="L37" s="19"/>
      <c r="M37" s="27"/>
      <c r="N37" s="21"/>
      <c r="O37" s="9"/>
      <c r="P37" s="9"/>
      <c r="Q37" s="10"/>
      <c r="R37" s="10"/>
      <c r="S37" s="10"/>
      <c r="T37" s="10"/>
      <c r="U37" s="10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5">
        <v>0.01</v>
      </c>
      <c r="AL37" s="5">
        <v>8.9999999999999993E-3</v>
      </c>
      <c r="AM37" s="5">
        <v>8.9999999999999993E-3</v>
      </c>
      <c r="AN37" s="5">
        <v>8.9999999999999993E-3</v>
      </c>
      <c r="AO37" s="5">
        <v>8.9999999999999993E-3</v>
      </c>
      <c r="AP37" s="5">
        <v>8.0000000000000002E-3</v>
      </c>
      <c r="AQ37" s="5">
        <v>8.0000000000000002E-3</v>
      </c>
      <c r="AR37" s="5">
        <v>8.0000000000000002E-3</v>
      </c>
      <c r="AS37" s="5">
        <v>8.0000000000000002E-3</v>
      </c>
      <c r="AT37" s="5">
        <v>8.0000000000000002E-3</v>
      </c>
      <c r="AU37" s="5">
        <v>8.0000000000000002E-3</v>
      </c>
      <c r="AV37" s="5">
        <v>7.0000000000000001E-3</v>
      </c>
      <c r="AW37" s="5">
        <v>7.0000000000000001E-3</v>
      </c>
      <c r="AX37" s="5">
        <v>7.0000000000000001E-3</v>
      </c>
      <c r="AY37" s="5">
        <v>7.0000000000000001E-3</v>
      </c>
      <c r="AZ37" s="5">
        <v>7.0000000000000001E-3</v>
      </c>
    </row>
    <row r="38" spans="1:52" ht="20.25" customHeight="1" x14ac:dyDescent="0.25">
      <c r="A38" s="3">
        <v>36</v>
      </c>
      <c r="C38" s="9"/>
      <c r="D38" s="10"/>
      <c r="E38" s="9"/>
      <c r="F38" s="9"/>
      <c r="G38" s="9"/>
      <c r="H38" s="9"/>
      <c r="I38" s="9"/>
      <c r="J38" s="25"/>
      <c r="K38" s="15"/>
      <c r="L38" s="9"/>
      <c r="M38" s="9"/>
      <c r="N38" s="9"/>
      <c r="O38" s="9"/>
      <c r="P38" s="9"/>
      <c r="Q38" s="10"/>
      <c r="R38" s="10"/>
      <c r="S38" s="10"/>
      <c r="T38" s="10"/>
      <c r="U38" s="10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5">
        <v>8.9999999999999993E-3</v>
      </c>
      <c r="AM38" s="5">
        <v>8.9999999999999993E-3</v>
      </c>
      <c r="AN38" s="5">
        <v>8.9999999999999993E-3</v>
      </c>
      <c r="AO38" s="5">
        <v>8.9999999999999993E-3</v>
      </c>
      <c r="AP38" s="5">
        <v>8.0000000000000002E-3</v>
      </c>
      <c r="AQ38" s="5">
        <v>8.0000000000000002E-3</v>
      </c>
      <c r="AR38" s="5">
        <v>8.0000000000000002E-3</v>
      </c>
      <c r="AS38" s="5">
        <v>8.0000000000000002E-3</v>
      </c>
      <c r="AT38" s="5">
        <v>8.0000000000000002E-3</v>
      </c>
      <c r="AU38" s="5">
        <v>8.0000000000000002E-3</v>
      </c>
      <c r="AV38" s="5">
        <v>7.0000000000000001E-3</v>
      </c>
      <c r="AW38" s="5">
        <v>7.0000000000000001E-3</v>
      </c>
      <c r="AX38" s="5">
        <v>7.0000000000000001E-3</v>
      </c>
      <c r="AY38" s="5">
        <v>7.0000000000000001E-3</v>
      </c>
      <c r="AZ38" s="5">
        <v>7.0000000000000001E-3</v>
      </c>
    </row>
    <row r="39" spans="1:52" ht="20.25" customHeight="1" x14ac:dyDescent="0.25">
      <c r="A39" s="3">
        <v>37</v>
      </c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10"/>
      <c r="R39" s="10"/>
      <c r="S39" s="10"/>
      <c r="T39" s="10"/>
      <c r="U39" s="10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5">
        <v>8.9999999999999993E-3</v>
      </c>
      <c r="AN39" s="5">
        <v>8.9999999999999993E-3</v>
      </c>
      <c r="AO39" s="5">
        <v>8.9999999999999993E-3</v>
      </c>
      <c r="AP39" s="5">
        <v>8.0000000000000002E-3</v>
      </c>
      <c r="AQ39" s="5">
        <v>8.0000000000000002E-3</v>
      </c>
      <c r="AR39" s="5">
        <v>8.0000000000000002E-3</v>
      </c>
      <c r="AS39" s="5">
        <v>8.0000000000000002E-3</v>
      </c>
      <c r="AT39" s="5">
        <v>8.0000000000000002E-3</v>
      </c>
      <c r="AU39" s="5">
        <v>8.0000000000000002E-3</v>
      </c>
      <c r="AV39" s="5">
        <v>7.0000000000000001E-3</v>
      </c>
      <c r="AW39" s="5">
        <v>7.0000000000000001E-3</v>
      </c>
      <c r="AX39" s="5">
        <v>7.0000000000000001E-3</v>
      </c>
      <c r="AY39" s="5">
        <v>7.0000000000000001E-3</v>
      </c>
      <c r="AZ39" s="5">
        <v>7.0000000000000001E-3</v>
      </c>
    </row>
    <row r="40" spans="1:52" ht="20.25" customHeight="1" x14ac:dyDescent="0.25">
      <c r="A40" s="3">
        <v>38</v>
      </c>
      <c r="C40" s="9"/>
      <c r="D40" s="10" t="s">
        <v>61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10"/>
      <c r="R40" s="10"/>
      <c r="S40" s="10"/>
      <c r="T40" s="10"/>
      <c r="U40" s="10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5">
        <v>8.9999999999999993E-3</v>
      </c>
      <c r="AO40" s="5">
        <v>8.9999999999999993E-3</v>
      </c>
      <c r="AP40" s="5">
        <v>8.0000000000000002E-3</v>
      </c>
      <c r="AQ40" s="5">
        <v>8.0000000000000002E-3</v>
      </c>
      <c r="AR40" s="5">
        <v>8.0000000000000002E-3</v>
      </c>
      <c r="AS40" s="5">
        <v>8.0000000000000002E-3</v>
      </c>
      <c r="AT40" s="5">
        <v>8.0000000000000002E-3</v>
      </c>
      <c r="AU40" s="5">
        <v>8.0000000000000002E-3</v>
      </c>
      <c r="AV40" s="5">
        <v>7.0000000000000001E-3</v>
      </c>
      <c r="AW40" s="5">
        <v>7.0000000000000001E-3</v>
      </c>
      <c r="AX40" s="5">
        <v>7.0000000000000001E-3</v>
      </c>
      <c r="AY40" s="5">
        <v>7.0000000000000001E-3</v>
      </c>
      <c r="AZ40" s="5">
        <v>7.0000000000000001E-3</v>
      </c>
    </row>
    <row r="41" spans="1:52" ht="20.25" customHeight="1" x14ac:dyDescent="0.25">
      <c r="A41" s="3">
        <v>39</v>
      </c>
      <c r="C41" s="9"/>
      <c r="D41" s="10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10"/>
      <c r="R41" s="10"/>
      <c r="S41" s="10"/>
      <c r="T41" s="10"/>
      <c r="U41" s="10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5">
        <v>8.9999999999999993E-3</v>
      </c>
      <c r="AP41" s="5">
        <v>8.0000000000000002E-3</v>
      </c>
      <c r="AQ41" s="5">
        <v>8.0000000000000002E-3</v>
      </c>
      <c r="AR41" s="5">
        <v>8.0000000000000002E-3</v>
      </c>
      <c r="AS41" s="5">
        <v>8.0000000000000002E-3</v>
      </c>
      <c r="AT41" s="5">
        <v>8.0000000000000002E-3</v>
      </c>
      <c r="AU41" s="5">
        <v>8.0000000000000002E-3</v>
      </c>
      <c r="AV41" s="5">
        <v>7.0000000000000001E-3</v>
      </c>
      <c r="AW41" s="5">
        <v>7.0000000000000001E-3</v>
      </c>
      <c r="AX41" s="5">
        <v>7.0000000000000001E-3</v>
      </c>
      <c r="AY41" s="5">
        <v>7.0000000000000001E-3</v>
      </c>
      <c r="AZ41" s="5">
        <v>7.0000000000000001E-3</v>
      </c>
    </row>
    <row r="42" spans="1:52" ht="20.25" customHeight="1" x14ac:dyDescent="0.25">
      <c r="A42" s="3">
        <v>40</v>
      </c>
      <c r="C42" s="9"/>
      <c r="D42" s="10" t="s">
        <v>62</v>
      </c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10"/>
      <c r="R42" s="10"/>
      <c r="S42" s="10"/>
      <c r="T42" s="10"/>
      <c r="U42" s="10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5">
        <v>8.0000000000000002E-3</v>
      </c>
      <c r="AQ42" s="5">
        <v>8.0000000000000002E-3</v>
      </c>
      <c r="AR42" s="5">
        <v>8.0000000000000002E-3</v>
      </c>
      <c r="AS42" s="5">
        <v>8.0000000000000002E-3</v>
      </c>
      <c r="AT42" s="5">
        <v>8.0000000000000002E-3</v>
      </c>
      <c r="AU42" s="5">
        <v>8.0000000000000002E-3</v>
      </c>
      <c r="AV42" s="5">
        <v>7.0000000000000001E-3</v>
      </c>
      <c r="AW42" s="5">
        <v>7.0000000000000001E-3</v>
      </c>
      <c r="AX42" s="5">
        <v>7.0000000000000001E-3</v>
      </c>
      <c r="AY42" s="5">
        <v>7.0000000000000001E-3</v>
      </c>
      <c r="AZ42" s="5">
        <v>7.0000000000000001E-3</v>
      </c>
    </row>
    <row r="43" spans="1:52" ht="20.25" customHeight="1" x14ac:dyDescent="0.25">
      <c r="A43" s="3">
        <v>41</v>
      </c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10"/>
      <c r="R43" s="10"/>
      <c r="S43" s="10"/>
      <c r="T43" s="10"/>
      <c r="U43" s="10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5">
        <v>8.0000000000000002E-3</v>
      </c>
      <c r="AR43" s="5">
        <v>8.0000000000000002E-3</v>
      </c>
      <c r="AS43" s="5">
        <v>8.0000000000000002E-3</v>
      </c>
      <c r="AT43" s="5">
        <v>8.0000000000000002E-3</v>
      </c>
      <c r="AU43" s="5">
        <v>8.0000000000000002E-3</v>
      </c>
      <c r="AV43" s="5">
        <v>7.0000000000000001E-3</v>
      </c>
      <c r="AW43" s="5">
        <v>7.0000000000000001E-3</v>
      </c>
      <c r="AX43" s="5">
        <v>7.0000000000000001E-3</v>
      </c>
      <c r="AY43" s="5">
        <v>7.0000000000000001E-3</v>
      </c>
      <c r="AZ43" s="5">
        <v>7.0000000000000001E-3</v>
      </c>
    </row>
    <row r="44" spans="1:52" ht="20.25" customHeight="1" x14ac:dyDescent="0.25">
      <c r="A44" s="3">
        <v>42</v>
      </c>
      <c r="C44" s="9"/>
      <c r="D44" s="10" t="s">
        <v>63</v>
      </c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10"/>
      <c r="R44" s="10"/>
      <c r="S44" s="10"/>
      <c r="T44" s="10"/>
      <c r="U44" s="10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5">
        <v>8.0000000000000002E-3</v>
      </c>
      <c r="AS44" s="5">
        <v>8.0000000000000002E-3</v>
      </c>
      <c r="AT44" s="5">
        <v>8.0000000000000002E-3</v>
      </c>
      <c r="AU44" s="5">
        <v>8.0000000000000002E-3</v>
      </c>
      <c r="AV44" s="5">
        <v>7.0000000000000001E-3</v>
      </c>
      <c r="AW44" s="5">
        <v>7.0000000000000001E-3</v>
      </c>
      <c r="AX44" s="5">
        <v>7.0000000000000001E-3</v>
      </c>
      <c r="AY44" s="5">
        <v>7.0000000000000001E-3</v>
      </c>
      <c r="AZ44" s="5">
        <v>7.0000000000000001E-3</v>
      </c>
    </row>
    <row r="45" spans="1:52" ht="20.25" customHeight="1" x14ac:dyDescent="0.25">
      <c r="A45" s="3">
        <v>43</v>
      </c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10"/>
      <c r="R45" s="10"/>
      <c r="S45" s="10"/>
      <c r="T45" s="10"/>
      <c r="U45" s="10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5">
        <v>8.0000000000000002E-3</v>
      </c>
      <c r="AT45" s="5">
        <v>8.0000000000000002E-3</v>
      </c>
      <c r="AU45" s="5">
        <v>8.0000000000000002E-3</v>
      </c>
      <c r="AV45" s="5">
        <v>7.0000000000000001E-3</v>
      </c>
      <c r="AW45" s="5">
        <v>7.0000000000000001E-3</v>
      </c>
      <c r="AX45" s="5">
        <v>7.0000000000000001E-3</v>
      </c>
      <c r="AY45" s="5">
        <v>7.0000000000000001E-3</v>
      </c>
      <c r="AZ45" s="5">
        <v>7.0000000000000001E-3</v>
      </c>
    </row>
    <row r="46" spans="1:52" ht="20.25" customHeight="1" x14ac:dyDescent="0.25">
      <c r="A46" s="3">
        <v>44</v>
      </c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10"/>
      <c r="R46" s="10"/>
      <c r="S46" s="10"/>
      <c r="T46" s="10"/>
      <c r="U46" s="10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5">
        <v>8.0000000000000002E-3</v>
      </c>
      <c r="AU46" s="5">
        <v>8.0000000000000002E-3</v>
      </c>
      <c r="AV46" s="5">
        <v>7.0000000000000001E-3</v>
      </c>
      <c r="AW46" s="5">
        <v>7.0000000000000001E-3</v>
      </c>
      <c r="AX46" s="5">
        <v>7.0000000000000001E-3</v>
      </c>
      <c r="AY46" s="5">
        <v>7.0000000000000001E-3</v>
      </c>
      <c r="AZ46" s="5">
        <v>7.0000000000000001E-3</v>
      </c>
    </row>
    <row r="47" spans="1:52" ht="20.25" customHeight="1" x14ac:dyDescent="0.25">
      <c r="A47" s="3">
        <v>45</v>
      </c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10"/>
      <c r="R47" s="10"/>
      <c r="S47" s="10"/>
      <c r="T47" s="10"/>
      <c r="U47" s="10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5">
        <v>8.0000000000000002E-3</v>
      </c>
      <c r="AV47" s="5">
        <v>7.0000000000000001E-3</v>
      </c>
      <c r="AW47" s="5">
        <v>7.0000000000000001E-3</v>
      </c>
      <c r="AX47" s="5">
        <v>7.0000000000000001E-3</v>
      </c>
      <c r="AY47" s="5">
        <v>7.0000000000000001E-3</v>
      </c>
      <c r="AZ47" s="5">
        <v>7.0000000000000001E-3</v>
      </c>
    </row>
    <row r="48" spans="1:52" ht="20.25" customHeight="1" x14ac:dyDescent="0.25">
      <c r="A48" s="3">
        <v>46</v>
      </c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10"/>
      <c r="R48" s="10"/>
      <c r="S48" s="10"/>
      <c r="T48" s="10"/>
      <c r="U48" s="10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5">
        <v>7.0000000000000001E-3</v>
      </c>
      <c r="AW48" s="5">
        <v>7.0000000000000001E-3</v>
      </c>
      <c r="AX48" s="5">
        <v>7.0000000000000001E-3</v>
      </c>
      <c r="AY48" s="5">
        <v>7.0000000000000001E-3</v>
      </c>
      <c r="AZ48" s="5">
        <v>7.0000000000000001E-3</v>
      </c>
    </row>
    <row r="49" spans="1:52" ht="20.25" customHeight="1" x14ac:dyDescent="0.25">
      <c r="A49" s="3">
        <v>47</v>
      </c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10"/>
      <c r="R49" s="10"/>
      <c r="S49" s="10"/>
      <c r="T49" s="10"/>
      <c r="U49" s="10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5">
        <v>7.0000000000000001E-3</v>
      </c>
      <c r="AX49" s="5">
        <v>7.0000000000000001E-3</v>
      </c>
      <c r="AY49" s="5">
        <v>7.0000000000000001E-3</v>
      </c>
      <c r="AZ49" s="5">
        <v>7.0000000000000001E-3</v>
      </c>
    </row>
    <row r="50" spans="1:52" ht="20.25" customHeight="1" x14ac:dyDescent="0.25">
      <c r="A50" s="3">
        <v>48</v>
      </c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10"/>
      <c r="R50" s="10"/>
      <c r="S50" s="10"/>
      <c r="T50" s="10"/>
      <c r="U50" s="10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5">
        <v>7.0000000000000001E-3</v>
      </c>
      <c r="AY50" s="5">
        <v>7.0000000000000001E-3</v>
      </c>
      <c r="AZ50" s="5">
        <v>7.0000000000000001E-3</v>
      </c>
    </row>
    <row r="51" spans="1:52" ht="20.25" customHeight="1" x14ac:dyDescent="0.25">
      <c r="A51" s="3">
        <v>49</v>
      </c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10"/>
      <c r="R51" s="10"/>
      <c r="S51" s="10"/>
      <c r="T51" s="10"/>
      <c r="U51" s="10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5">
        <v>7.0000000000000001E-3</v>
      </c>
      <c r="AZ51" s="5">
        <v>7.0000000000000001E-3</v>
      </c>
    </row>
    <row r="52" spans="1:52" ht="20.25" customHeight="1" x14ac:dyDescent="0.25">
      <c r="A52" s="3">
        <v>50</v>
      </c>
      <c r="C52" s="9"/>
      <c r="D52" s="10" t="s">
        <v>64</v>
      </c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10"/>
      <c r="R52" s="10"/>
      <c r="S52" s="10"/>
      <c r="T52" s="10"/>
      <c r="U52" s="10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5">
        <v>7.0000000000000001E-3</v>
      </c>
    </row>
    <row r="53" spans="1:52" x14ac:dyDescent="0.25">
      <c r="B53" t="s">
        <v>89</v>
      </c>
      <c r="D53" s="10"/>
      <c r="E53" s="10">
        <f t="shared" ref="D53:AY53" si="0">SUM(E3:E52)</f>
        <v>1</v>
      </c>
      <c r="F53" s="10">
        <f t="shared" si="0"/>
        <v>1</v>
      </c>
      <c r="G53" s="10">
        <f t="shared" si="0"/>
        <v>1</v>
      </c>
      <c r="H53" s="10">
        <f t="shared" si="0"/>
        <v>1</v>
      </c>
      <c r="I53" s="10">
        <f t="shared" si="0"/>
        <v>1</v>
      </c>
      <c r="J53" s="10">
        <f t="shared" si="0"/>
        <v>0.99999999999999989</v>
      </c>
      <c r="K53" s="10">
        <f t="shared" si="0"/>
        <v>1</v>
      </c>
      <c r="L53" s="10">
        <f t="shared" si="0"/>
        <v>1</v>
      </c>
      <c r="M53" s="10">
        <f t="shared" si="0"/>
        <v>1260</v>
      </c>
      <c r="N53" s="10">
        <f t="shared" si="0"/>
        <v>1</v>
      </c>
      <c r="O53" s="10">
        <f t="shared" si="0"/>
        <v>1</v>
      </c>
      <c r="P53" s="10">
        <f t="shared" si="0"/>
        <v>1</v>
      </c>
      <c r="Q53" s="10">
        <f t="shared" si="0"/>
        <v>1.0000000000000002</v>
      </c>
      <c r="R53" s="10">
        <f t="shared" si="0"/>
        <v>1.0000000000000002</v>
      </c>
      <c r="S53" s="10">
        <f t="shared" si="0"/>
        <v>1.0000000000000002</v>
      </c>
      <c r="T53" s="10">
        <f t="shared" si="0"/>
        <v>1.0000000000000002</v>
      </c>
      <c r="U53" s="10">
        <f t="shared" si="0"/>
        <v>1.0000000000000002</v>
      </c>
      <c r="V53" s="10">
        <f t="shared" si="0"/>
        <v>1.0000000000000004</v>
      </c>
      <c r="W53" s="10">
        <f t="shared" si="0"/>
        <v>1.0000000000000002</v>
      </c>
      <c r="X53" s="10">
        <f t="shared" si="0"/>
        <v>1.0000000000000004</v>
      </c>
      <c r="Y53" s="10">
        <f t="shared" si="0"/>
        <v>1.0000000000000004</v>
      </c>
      <c r="Z53" s="10">
        <f t="shared" si="0"/>
        <v>1.0000000000000004</v>
      </c>
      <c r="AA53" s="10">
        <f t="shared" si="0"/>
        <v>1.0000000000000004</v>
      </c>
      <c r="AB53" s="10">
        <f t="shared" si="0"/>
        <v>1.0000000000000004</v>
      </c>
      <c r="AC53" s="10">
        <f t="shared" si="0"/>
        <v>1.0000000000000004</v>
      </c>
      <c r="AD53" s="10">
        <f t="shared" si="0"/>
        <v>1.0000000000000004</v>
      </c>
      <c r="AE53" s="10">
        <f t="shared" si="0"/>
        <v>1.0000000000000004</v>
      </c>
      <c r="AF53" s="10">
        <f t="shared" si="0"/>
        <v>1.0000000000000004</v>
      </c>
      <c r="AG53" s="10">
        <f t="shared" si="0"/>
        <v>1.0000000000000004</v>
      </c>
      <c r="AH53" s="10">
        <f t="shared" si="0"/>
        <v>1.0000000000000004</v>
      </c>
      <c r="AI53" s="10">
        <f t="shared" si="0"/>
        <v>1.0000000000000004</v>
      </c>
      <c r="AJ53" s="10">
        <f t="shared" si="0"/>
        <v>1.0000000000000004</v>
      </c>
      <c r="AK53" s="10">
        <f t="shared" si="0"/>
        <v>1.0000000000000004</v>
      </c>
      <c r="AL53" s="10">
        <f t="shared" si="0"/>
        <v>1.0000000000000004</v>
      </c>
      <c r="AM53" s="10">
        <f t="shared" si="0"/>
        <v>1.0000000000000004</v>
      </c>
      <c r="AN53" s="10">
        <f t="shared" si="0"/>
        <v>1.0000000000000004</v>
      </c>
      <c r="AO53" s="10">
        <f t="shared" si="0"/>
        <v>1.0000000000000004</v>
      </c>
      <c r="AP53" s="10">
        <f t="shared" si="0"/>
        <v>1.0000000000000004</v>
      </c>
      <c r="AQ53" s="10">
        <f t="shared" si="0"/>
        <v>1.0000000000000004</v>
      </c>
      <c r="AR53" s="10">
        <f t="shared" si="0"/>
        <v>1.0000000000000004</v>
      </c>
      <c r="AS53" s="10">
        <f t="shared" si="0"/>
        <v>1.0000000000000004</v>
      </c>
      <c r="AT53" s="10">
        <f t="shared" si="0"/>
        <v>1.0000000000000004</v>
      </c>
      <c r="AU53" s="10">
        <f t="shared" si="0"/>
        <v>1.0000000000000004</v>
      </c>
      <c r="AV53" s="10">
        <f t="shared" si="0"/>
        <v>1.0000000000000004</v>
      </c>
      <c r="AW53" s="10">
        <f t="shared" si="0"/>
        <v>1.0000000000000004</v>
      </c>
      <c r="AX53" s="10">
        <f t="shared" si="0"/>
        <v>1.0000000000000004</v>
      </c>
      <c r="AY53" s="10">
        <f t="shared" si="0"/>
        <v>1.0000000000000004</v>
      </c>
      <c r="AZ53" s="10">
        <f>SUM(AZ3:AZ52)</f>
        <v>1.0000000000000004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94"/>
  <sheetViews>
    <sheetView workbookViewId="0">
      <selection activeCell="I2" sqref="I2"/>
    </sheetView>
  </sheetViews>
  <sheetFormatPr defaultRowHeight="21" x14ac:dyDescent="0.35"/>
  <cols>
    <col min="1" max="1" width="13" style="30" customWidth="1"/>
    <col min="2" max="2" width="9.140625" style="30"/>
    <col min="3" max="18" width="9.28515625" style="30" customWidth="1"/>
    <col min="19" max="19" width="9.140625" style="30"/>
    <col min="20" max="20" width="9.140625" style="31"/>
    <col min="21" max="16384" width="9.140625" style="30"/>
  </cols>
  <sheetData>
    <row r="1" spans="1:20" x14ac:dyDescent="0.35">
      <c r="A1" s="30" t="s">
        <v>66</v>
      </c>
    </row>
    <row r="2" spans="1:20" x14ac:dyDescent="0.35">
      <c r="A2" s="30" t="s">
        <v>85</v>
      </c>
      <c r="B2" s="30">
        <v>10</v>
      </c>
      <c r="D2" s="30" t="s">
        <v>90</v>
      </c>
      <c r="I2" s="32">
        <v>1</v>
      </c>
    </row>
    <row r="3" spans="1:20" x14ac:dyDescent="0.35">
      <c r="A3" s="30" t="s">
        <v>67</v>
      </c>
      <c r="B3" s="30" t="s">
        <v>68</v>
      </c>
      <c r="C3" s="30" t="s">
        <v>69</v>
      </c>
      <c r="D3" s="30" t="s">
        <v>70</v>
      </c>
      <c r="E3" s="30" t="s">
        <v>71</v>
      </c>
      <c r="F3" s="30" t="s">
        <v>72</v>
      </c>
      <c r="G3" s="30" t="s">
        <v>73</v>
      </c>
      <c r="H3" s="30" t="s">
        <v>74</v>
      </c>
      <c r="I3" s="30" t="s">
        <v>75</v>
      </c>
      <c r="J3" s="30" t="s">
        <v>76</v>
      </c>
      <c r="K3" s="30" t="s">
        <v>77</v>
      </c>
      <c r="L3" s="30" t="s">
        <v>78</v>
      </c>
      <c r="M3" s="30" t="s">
        <v>79</v>
      </c>
      <c r="N3" s="30" t="s">
        <v>80</v>
      </c>
      <c r="O3" s="30" t="s">
        <v>81</v>
      </c>
      <c r="P3" s="30" t="s">
        <v>82</v>
      </c>
      <c r="Q3" s="30" t="s">
        <v>83</v>
      </c>
      <c r="R3" s="30" t="s">
        <v>84</v>
      </c>
      <c r="S3" s="30" t="s">
        <v>68</v>
      </c>
      <c r="T3" s="31" t="s">
        <v>88</v>
      </c>
    </row>
    <row r="4" spans="1:20" x14ac:dyDescent="0.35">
      <c r="A4" s="30">
        <v>7</v>
      </c>
      <c r="B4" s="30">
        <f>A4*$B$2</f>
        <v>70</v>
      </c>
      <c r="C4" s="30">
        <v>40</v>
      </c>
      <c r="D4" s="30">
        <v>30</v>
      </c>
      <c r="S4" s="30">
        <f>SUM(C4:R4)</f>
        <v>70</v>
      </c>
      <c r="T4" s="31">
        <f>B4-S4</f>
        <v>0</v>
      </c>
    </row>
    <row r="5" spans="1:20" x14ac:dyDescent="0.35">
      <c r="A5" s="30">
        <v>8</v>
      </c>
      <c r="B5" s="30">
        <f t="shared" ref="B5:B68" si="0">A5*$B$2</f>
        <v>80</v>
      </c>
      <c r="C5" s="30">
        <v>46</v>
      </c>
      <c r="D5" s="30">
        <v>34</v>
      </c>
      <c r="S5" s="30">
        <f t="shared" ref="S5:S68" si="1">SUM(C5:R5)</f>
        <v>80</v>
      </c>
      <c r="T5" s="31">
        <f t="shared" ref="T5:T68" si="2">B5-S5</f>
        <v>0</v>
      </c>
    </row>
    <row r="6" spans="1:20" x14ac:dyDescent="0.35">
      <c r="A6" s="30">
        <v>9</v>
      </c>
      <c r="B6" s="30">
        <f t="shared" si="0"/>
        <v>90</v>
      </c>
      <c r="C6" s="30">
        <v>52</v>
      </c>
      <c r="D6" s="30">
        <v>38</v>
      </c>
      <c r="S6" s="30">
        <f t="shared" si="1"/>
        <v>90</v>
      </c>
      <c r="T6" s="31">
        <f t="shared" si="2"/>
        <v>0</v>
      </c>
    </row>
    <row r="7" spans="1:20" x14ac:dyDescent="0.35">
      <c r="A7" s="30">
        <v>10</v>
      </c>
      <c r="B7" s="30">
        <f t="shared" si="0"/>
        <v>100</v>
      </c>
      <c r="C7" s="30">
        <v>58</v>
      </c>
      <c r="D7" s="30">
        <v>42</v>
      </c>
      <c r="S7" s="30">
        <f t="shared" si="1"/>
        <v>100</v>
      </c>
      <c r="T7" s="31">
        <f t="shared" si="2"/>
        <v>0</v>
      </c>
    </row>
    <row r="8" spans="1:20" x14ac:dyDescent="0.35">
      <c r="A8" s="30">
        <v>11</v>
      </c>
      <c r="B8" s="30">
        <f t="shared" si="0"/>
        <v>110</v>
      </c>
      <c r="C8" s="30">
        <v>64</v>
      </c>
      <c r="D8" s="30">
        <v>46</v>
      </c>
      <c r="S8" s="30">
        <f t="shared" si="1"/>
        <v>110</v>
      </c>
      <c r="T8" s="31">
        <f t="shared" si="2"/>
        <v>0</v>
      </c>
    </row>
    <row r="9" spans="1:20" x14ac:dyDescent="0.35">
      <c r="A9" s="30">
        <v>12</v>
      </c>
      <c r="B9" s="30">
        <f t="shared" si="0"/>
        <v>120</v>
      </c>
      <c r="C9" s="30">
        <v>70</v>
      </c>
      <c r="D9" s="30">
        <v>50</v>
      </c>
      <c r="S9" s="30">
        <f t="shared" si="1"/>
        <v>120</v>
      </c>
      <c r="T9" s="31">
        <f t="shared" si="2"/>
        <v>0</v>
      </c>
    </row>
    <row r="10" spans="1:20" x14ac:dyDescent="0.35">
      <c r="A10" s="30">
        <v>13</v>
      </c>
      <c r="B10" s="30">
        <f t="shared" si="0"/>
        <v>130</v>
      </c>
      <c r="C10" s="30">
        <v>54</v>
      </c>
      <c r="D10" s="30">
        <v>44</v>
      </c>
      <c r="E10" s="30">
        <v>32</v>
      </c>
      <c r="S10" s="30">
        <f t="shared" si="1"/>
        <v>130</v>
      </c>
      <c r="T10" s="31">
        <f t="shared" si="2"/>
        <v>0</v>
      </c>
    </row>
    <row r="11" spans="1:20" x14ac:dyDescent="0.35">
      <c r="A11" s="30">
        <v>14</v>
      </c>
      <c r="B11" s="30">
        <f t="shared" si="0"/>
        <v>140</v>
      </c>
      <c r="C11" s="30">
        <v>58</v>
      </c>
      <c r="D11" s="30">
        <v>46</v>
      </c>
      <c r="E11" s="30">
        <v>36</v>
      </c>
      <c r="S11" s="30">
        <f t="shared" si="1"/>
        <v>140</v>
      </c>
      <c r="T11" s="31">
        <f t="shared" si="2"/>
        <v>0</v>
      </c>
    </row>
    <row r="12" spans="1:20" x14ac:dyDescent="0.35">
      <c r="A12" s="30">
        <v>15</v>
      </c>
      <c r="B12" s="30">
        <f t="shared" si="0"/>
        <v>150</v>
      </c>
      <c r="C12" s="30">
        <v>62</v>
      </c>
      <c r="D12" s="30">
        <v>50</v>
      </c>
      <c r="E12" s="30">
        <v>38</v>
      </c>
      <c r="S12" s="30">
        <f t="shared" si="1"/>
        <v>150</v>
      </c>
      <c r="T12" s="31">
        <f t="shared" si="2"/>
        <v>0</v>
      </c>
    </row>
    <row r="13" spans="1:20" x14ac:dyDescent="0.35">
      <c r="A13" s="30">
        <v>16</v>
      </c>
      <c r="B13" s="30">
        <f t="shared" si="0"/>
        <v>160</v>
      </c>
      <c r="C13" s="30">
        <v>66</v>
      </c>
      <c r="D13" s="30">
        <v>54</v>
      </c>
      <c r="E13" s="30">
        <v>40</v>
      </c>
      <c r="S13" s="30">
        <f t="shared" si="1"/>
        <v>160</v>
      </c>
      <c r="T13" s="31">
        <f t="shared" si="2"/>
        <v>0</v>
      </c>
    </row>
    <row r="14" spans="1:20" x14ac:dyDescent="0.35">
      <c r="A14" s="30">
        <v>17</v>
      </c>
      <c r="B14" s="30">
        <f t="shared" si="0"/>
        <v>170</v>
      </c>
      <c r="C14" s="30">
        <v>70</v>
      </c>
      <c r="D14" s="30">
        <v>56</v>
      </c>
      <c r="E14" s="30">
        <v>42</v>
      </c>
      <c r="S14" s="30">
        <f t="shared" si="1"/>
        <v>168</v>
      </c>
      <c r="T14" s="31">
        <f t="shared" si="2"/>
        <v>2</v>
      </c>
    </row>
    <row r="15" spans="1:20" x14ac:dyDescent="0.35">
      <c r="A15" s="30">
        <v>18</v>
      </c>
      <c r="B15" s="30">
        <f t="shared" si="0"/>
        <v>180</v>
      </c>
      <c r="C15" s="30">
        <v>76</v>
      </c>
      <c r="D15" s="30">
        <v>60</v>
      </c>
      <c r="E15" s="30">
        <v>46</v>
      </c>
      <c r="S15" s="30">
        <f t="shared" si="1"/>
        <v>182</v>
      </c>
      <c r="T15" s="31">
        <f t="shared" si="2"/>
        <v>-2</v>
      </c>
    </row>
    <row r="16" spans="1:20" x14ac:dyDescent="0.35">
      <c r="A16" s="30">
        <v>19</v>
      </c>
      <c r="B16" s="30">
        <f t="shared" si="0"/>
        <v>190</v>
      </c>
      <c r="C16" s="30">
        <v>64</v>
      </c>
      <c r="D16" s="30">
        <v>48</v>
      </c>
      <c r="E16" s="30">
        <v>44</v>
      </c>
      <c r="F16" s="30">
        <v>36</v>
      </c>
      <c r="S16" s="30">
        <f t="shared" si="1"/>
        <v>192</v>
      </c>
      <c r="T16" s="31">
        <f t="shared" si="2"/>
        <v>-2</v>
      </c>
    </row>
    <row r="17" spans="1:20" x14ac:dyDescent="0.35">
      <c r="A17" s="30">
        <v>20</v>
      </c>
      <c r="B17" s="30">
        <f t="shared" si="0"/>
        <v>200</v>
      </c>
      <c r="C17" s="30">
        <v>66</v>
      </c>
      <c r="D17" s="30">
        <v>50</v>
      </c>
      <c r="E17" s="30">
        <v>46</v>
      </c>
      <c r="F17" s="30">
        <v>38</v>
      </c>
      <c r="S17" s="30">
        <f t="shared" si="1"/>
        <v>200</v>
      </c>
      <c r="T17" s="31">
        <f t="shared" si="2"/>
        <v>0</v>
      </c>
    </row>
    <row r="18" spans="1:20" x14ac:dyDescent="0.35">
      <c r="A18" s="30">
        <v>21</v>
      </c>
      <c r="B18" s="30">
        <f t="shared" si="0"/>
        <v>210</v>
      </c>
      <c r="C18" s="30">
        <v>70</v>
      </c>
      <c r="D18" s="30">
        <v>52</v>
      </c>
      <c r="E18" s="30">
        <v>48</v>
      </c>
      <c r="F18" s="30">
        <v>40</v>
      </c>
      <c r="S18" s="30">
        <f t="shared" si="1"/>
        <v>210</v>
      </c>
      <c r="T18" s="31">
        <f t="shared" si="2"/>
        <v>0</v>
      </c>
    </row>
    <row r="19" spans="1:20" x14ac:dyDescent="0.35">
      <c r="A19" s="30">
        <v>22</v>
      </c>
      <c r="B19" s="30">
        <f t="shared" si="0"/>
        <v>220</v>
      </c>
      <c r="C19" s="30">
        <v>74</v>
      </c>
      <c r="D19" s="30">
        <v>56</v>
      </c>
      <c r="E19" s="30">
        <v>50</v>
      </c>
      <c r="F19" s="30">
        <v>42</v>
      </c>
      <c r="S19" s="30">
        <f t="shared" si="1"/>
        <v>222</v>
      </c>
      <c r="T19" s="31">
        <f t="shared" si="2"/>
        <v>-2</v>
      </c>
    </row>
    <row r="20" spans="1:20" x14ac:dyDescent="0.35">
      <c r="A20" s="30">
        <v>23</v>
      </c>
      <c r="B20" s="30">
        <f t="shared" si="0"/>
        <v>230</v>
      </c>
      <c r="C20" s="30">
        <v>76</v>
      </c>
      <c r="D20" s="30">
        <v>58</v>
      </c>
      <c r="E20" s="30">
        <v>52</v>
      </c>
      <c r="F20" s="30">
        <v>44</v>
      </c>
      <c r="S20" s="30">
        <f t="shared" si="1"/>
        <v>230</v>
      </c>
      <c r="T20" s="31">
        <f t="shared" si="2"/>
        <v>0</v>
      </c>
    </row>
    <row r="21" spans="1:20" x14ac:dyDescent="0.35">
      <c r="A21" s="30">
        <v>24</v>
      </c>
      <c r="B21" s="30">
        <f t="shared" si="0"/>
        <v>240</v>
      </c>
      <c r="C21" s="30">
        <v>80</v>
      </c>
      <c r="D21" s="30">
        <v>60</v>
      </c>
      <c r="E21" s="30">
        <v>54</v>
      </c>
      <c r="F21" s="30">
        <v>46</v>
      </c>
      <c r="S21" s="30">
        <f t="shared" si="1"/>
        <v>240</v>
      </c>
      <c r="T21" s="31">
        <f t="shared" si="2"/>
        <v>0</v>
      </c>
    </row>
    <row r="22" spans="1:20" x14ac:dyDescent="0.35">
      <c r="A22" s="30">
        <v>25</v>
      </c>
      <c r="B22" s="30">
        <f t="shared" si="0"/>
        <v>250</v>
      </c>
      <c r="C22" s="30">
        <v>70</v>
      </c>
      <c r="D22" s="30">
        <v>54</v>
      </c>
      <c r="E22" s="30">
        <v>46</v>
      </c>
      <c r="F22" s="30">
        <v>42</v>
      </c>
      <c r="G22" s="30">
        <v>38</v>
      </c>
      <c r="S22" s="30">
        <f t="shared" si="1"/>
        <v>250</v>
      </c>
      <c r="T22" s="31">
        <f t="shared" si="2"/>
        <v>0</v>
      </c>
    </row>
    <row r="23" spans="1:20" x14ac:dyDescent="0.35">
      <c r="A23" s="30">
        <v>26</v>
      </c>
      <c r="B23" s="30">
        <f t="shared" si="0"/>
        <v>260</v>
      </c>
      <c r="C23" s="30">
        <v>74</v>
      </c>
      <c r="D23" s="30">
        <v>56</v>
      </c>
      <c r="E23" s="30">
        <v>48</v>
      </c>
      <c r="F23" s="30">
        <v>44</v>
      </c>
      <c r="G23" s="30">
        <v>40</v>
      </c>
      <c r="S23" s="30">
        <f t="shared" si="1"/>
        <v>262</v>
      </c>
      <c r="T23" s="31">
        <f t="shared" si="2"/>
        <v>-2</v>
      </c>
    </row>
    <row r="24" spans="1:20" x14ac:dyDescent="0.35">
      <c r="A24" s="30">
        <v>27</v>
      </c>
      <c r="B24" s="30">
        <f t="shared" si="0"/>
        <v>270</v>
      </c>
      <c r="C24" s="30">
        <v>76</v>
      </c>
      <c r="D24" s="30">
        <v>58</v>
      </c>
      <c r="E24" s="30">
        <v>50</v>
      </c>
      <c r="F24" s="30">
        <v>46</v>
      </c>
      <c r="G24" s="30">
        <v>40</v>
      </c>
      <c r="S24" s="30">
        <f t="shared" si="1"/>
        <v>270</v>
      </c>
      <c r="T24" s="31">
        <f t="shared" si="2"/>
        <v>0</v>
      </c>
    </row>
    <row r="25" spans="1:20" x14ac:dyDescent="0.35">
      <c r="A25" s="30">
        <v>28</v>
      </c>
      <c r="B25" s="30">
        <f t="shared" si="0"/>
        <v>280</v>
      </c>
      <c r="C25" s="30">
        <v>80</v>
      </c>
      <c r="D25" s="30">
        <v>60</v>
      </c>
      <c r="E25" s="30">
        <v>52</v>
      </c>
      <c r="F25" s="30">
        <v>46</v>
      </c>
      <c r="G25" s="30">
        <v>42</v>
      </c>
      <c r="S25" s="30">
        <f t="shared" si="1"/>
        <v>280</v>
      </c>
      <c r="T25" s="31">
        <f t="shared" si="2"/>
        <v>0</v>
      </c>
    </row>
    <row r="26" spans="1:20" x14ac:dyDescent="0.35">
      <c r="A26" s="30">
        <v>29</v>
      </c>
      <c r="B26" s="30">
        <f t="shared" si="0"/>
        <v>290</v>
      </c>
      <c r="C26" s="30">
        <v>82</v>
      </c>
      <c r="D26" s="30">
        <v>62</v>
      </c>
      <c r="E26" s="30">
        <v>54</v>
      </c>
      <c r="F26" s="30">
        <v>48</v>
      </c>
      <c r="G26" s="30">
        <v>44</v>
      </c>
      <c r="S26" s="30">
        <f t="shared" si="1"/>
        <v>290</v>
      </c>
      <c r="T26" s="31">
        <f t="shared" si="2"/>
        <v>0</v>
      </c>
    </row>
    <row r="27" spans="1:20" x14ac:dyDescent="0.35">
      <c r="A27" s="30">
        <v>30</v>
      </c>
      <c r="B27" s="30">
        <f t="shared" si="0"/>
        <v>300</v>
      </c>
      <c r="C27" s="30">
        <v>84</v>
      </c>
      <c r="D27" s="30">
        <v>66</v>
      </c>
      <c r="E27" s="30">
        <v>54</v>
      </c>
      <c r="F27" s="30">
        <v>50</v>
      </c>
      <c r="G27" s="30">
        <v>46</v>
      </c>
      <c r="S27" s="30">
        <f t="shared" si="1"/>
        <v>300</v>
      </c>
      <c r="T27" s="31">
        <f t="shared" si="2"/>
        <v>0</v>
      </c>
    </row>
    <row r="28" spans="1:20" x14ac:dyDescent="0.35">
      <c r="A28" s="30">
        <v>31</v>
      </c>
      <c r="B28" s="30">
        <f t="shared" si="0"/>
        <v>310</v>
      </c>
      <c r="C28" s="30">
        <v>74</v>
      </c>
      <c r="D28" s="30">
        <v>56</v>
      </c>
      <c r="E28" s="30">
        <v>52</v>
      </c>
      <c r="F28" s="30">
        <v>48</v>
      </c>
      <c r="G28" s="30">
        <v>44</v>
      </c>
      <c r="H28" s="30">
        <v>38</v>
      </c>
      <c r="S28" s="30">
        <f t="shared" si="1"/>
        <v>312</v>
      </c>
      <c r="T28" s="31">
        <f t="shared" si="2"/>
        <v>-2</v>
      </c>
    </row>
    <row r="29" spans="1:20" x14ac:dyDescent="0.35">
      <c r="A29" s="30">
        <v>32</v>
      </c>
      <c r="B29" s="30">
        <f t="shared" si="0"/>
        <v>320</v>
      </c>
      <c r="C29" s="30">
        <v>76</v>
      </c>
      <c r="D29" s="30">
        <v>58</v>
      </c>
      <c r="E29" s="30">
        <v>54</v>
      </c>
      <c r="F29" s="30">
        <v>48</v>
      </c>
      <c r="G29" s="30">
        <v>44</v>
      </c>
      <c r="H29" s="30">
        <v>40</v>
      </c>
      <c r="S29" s="30">
        <f t="shared" si="1"/>
        <v>320</v>
      </c>
      <c r="T29" s="31">
        <f t="shared" si="2"/>
        <v>0</v>
      </c>
    </row>
    <row r="30" spans="1:20" x14ac:dyDescent="0.35">
      <c r="A30" s="30">
        <v>33</v>
      </c>
      <c r="B30" s="30">
        <f t="shared" si="0"/>
        <v>330</v>
      </c>
      <c r="C30" s="30">
        <v>78</v>
      </c>
      <c r="D30" s="30">
        <v>60</v>
      </c>
      <c r="E30" s="30">
        <v>56</v>
      </c>
      <c r="F30" s="30">
        <v>50</v>
      </c>
      <c r="G30" s="30">
        <v>46</v>
      </c>
      <c r="H30" s="30">
        <v>42</v>
      </c>
      <c r="S30" s="30">
        <f t="shared" si="1"/>
        <v>332</v>
      </c>
      <c r="T30" s="31">
        <f t="shared" si="2"/>
        <v>-2</v>
      </c>
    </row>
    <row r="31" spans="1:20" x14ac:dyDescent="0.35">
      <c r="A31" s="30">
        <v>34</v>
      </c>
      <c r="B31" s="30">
        <f t="shared" si="0"/>
        <v>340</v>
      </c>
      <c r="C31" s="30">
        <v>80</v>
      </c>
      <c r="D31" s="30">
        <v>62</v>
      </c>
      <c r="E31" s="30">
        <v>56</v>
      </c>
      <c r="F31" s="30">
        <v>52</v>
      </c>
      <c r="G31" s="30">
        <v>48</v>
      </c>
      <c r="H31" s="30">
        <v>42</v>
      </c>
      <c r="S31" s="30">
        <f t="shared" si="1"/>
        <v>340</v>
      </c>
      <c r="T31" s="31">
        <f t="shared" si="2"/>
        <v>0</v>
      </c>
    </row>
    <row r="32" spans="1:20" x14ac:dyDescent="0.35">
      <c r="A32" s="30">
        <v>35</v>
      </c>
      <c r="B32" s="30">
        <f t="shared" si="0"/>
        <v>350</v>
      </c>
      <c r="C32" s="30">
        <v>82</v>
      </c>
      <c r="D32" s="30">
        <v>64</v>
      </c>
      <c r="E32" s="30">
        <v>58</v>
      </c>
      <c r="F32" s="30">
        <v>54</v>
      </c>
      <c r="G32" s="30">
        <v>48</v>
      </c>
      <c r="H32" s="30">
        <v>44</v>
      </c>
      <c r="S32" s="30">
        <f t="shared" si="1"/>
        <v>350</v>
      </c>
      <c r="T32" s="31">
        <f t="shared" si="2"/>
        <v>0</v>
      </c>
    </row>
    <row r="33" spans="1:20" x14ac:dyDescent="0.35">
      <c r="A33" s="30">
        <v>36</v>
      </c>
      <c r="B33" s="30">
        <f t="shared" si="0"/>
        <v>360</v>
      </c>
      <c r="C33" s="30">
        <v>84</v>
      </c>
      <c r="D33" s="30">
        <v>64</v>
      </c>
      <c r="E33" s="30">
        <v>60</v>
      </c>
      <c r="F33" s="30">
        <v>56</v>
      </c>
      <c r="G33" s="30">
        <v>50</v>
      </c>
      <c r="H33" s="30">
        <v>46</v>
      </c>
      <c r="S33" s="30">
        <f t="shared" si="1"/>
        <v>360</v>
      </c>
      <c r="T33" s="31">
        <f t="shared" si="2"/>
        <v>0</v>
      </c>
    </row>
    <row r="34" spans="1:20" x14ac:dyDescent="0.35">
      <c r="A34" s="30">
        <v>37</v>
      </c>
      <c r="B34" s="30">
        <f t="shared" si="0"/>
        <v>370</v>
      </c>
      <c r="C34" s="30">
        <v>80</v>
      </c>
      <c r="D34" s="30">
        <v>62</v>
      </c>
      <c r="E34" s="30">
        <v>58</v>
      </c>
      <c r="F34" s="30">
        <v>52</v>
      </c>
      <c r="G34" s="30">
        <v>48</v>
      </c>
      <c r="H34" s="30">
        <v>40</v>
      </c>
      <c r="I34" s="30">
        <v>30</v>
      </c>
      <c r="S34" s="30">
        <f t="shared" si="1"/>
        <v>370</v>
      </c>
      <c r="T34" s="31">
        <f t="shared" si="2"/>
        <v>0</v>
      </c>
    </row>
    <row r="35" spans="1:20" x14ac:dyDescent="0.35">
      <c r="A35" s="30">
        <v>38</v>
      </c>
      <c r="B35" s="30">
        <f t="shared" si="0"/>
        <v>380</v>
      </c>
      <c r="C35" s="30">
        <v>82</v>
      </c>
      <c r="D35" s="30">
        <v>64</v>
      </c>
      <c r="E35" s="30">
        <v>58</v>
      </c>
      <c r="F35" s="30">
        <v>54</v>
      </c>
      <c r="G35" s="30">
        <v>50</v>
      </c>
      <c r="H35" s="30">
        <v>40</v>
      </c>
      <c r="I35" s="30">
        <v>32</v>
      </c>
      <c r="S35" s="30">
        <f t="shared" si="1"/>
        <v>380</v>
      </c>
      <c r="T35" s="31">
        <f t="shared" si="2"/>
        <v>0</v>
      </c>
    </row>
    <row r="36" spans="1:20" x14ac:dyDescent="0.35">
      <c r="A36" s="30">
        <v>39</v>
      </c>
      <c r="B36" s="30">
        <f t="shared" si="0"/>
        <v>390</v>
      </c>
      <c r="C36" s="30">
        <v>84</v>
      </c>
      <c r="D36" s="30">
        <v>66</v>
      </c>
      <c r="E36" s="30">
        <v>60</v>
      </c>
      <c r="F36" s="30">
        <v>56</v>
      </c>
      <c r="G36" s="30">
        <v>52</v>
      </c>
      <c r="H36" s="30">
        <v>42</v>
      </c>
      <c r="I36" s="30">
        <v>32</v>
      </c>
      <c r="S36" s="30">
        <f t="shared" si="1"/>
        <v>392</v>
      </c>
      <c r="T36" s="31">
        <f t="shared" si="2"/>
        <v>-2</v>
      </c>
    </row>
    <row r="37" spans="1:20" x14ac:dyDescent="0.35">
      <c r="A37" s="30">
        <v>40</v>
      </c>
      <c r="B37" s="30">
        <f t="shared" si="0"/>
        <v>400</v>
      </c>
      <c r="C37" s="30">
        <v>86</v>
      </c>
      <c r="D37" s="30">
        <v>66</v>
      </c>
      <c r="E37" s="30">
        <v>62</v>
      </c>
      <c r="F37" s="30">
        <v>58</v>
      </c>
      <c r="G37" s="30">
        <v>52</v>
      </c>
      <c r="H37" s="30">
        <v>42</v>
      </c>
      <c r="I37" s="30">
        <v>34</v>
      </c>
      <c r="S37" s="30">
        <f t="shared" si="1"/>
        <v>400</v>
      </c>
      <c r="T37" s="31">
        <f t="shared" si="2"/>
        <v>0</v>
      </c>
    </row>
    <row r="38" spans="1:20" x14ac:dyDescent="0.35">
      <c r="A38" s="30">
        <v>41</v>
      </c>
      <c r="B38" s="30">
        <f t="shared" si="0"/>
        <v>410</v>
      </c>
      <c r="C38" s="30">
        <v>88</v>
      </c>
      <c r="D38" s="30">
        <v>68</v>
      </c>
      <c r="E38" s="30">
        <v>64</v>
      </c>
      <c r="F38" s="30">
        <v>58</v>
      </c>
      <c r="G38" s="30">
        <v>54</v>
      </c>
      <c r="H38" s="30">
        <v>44</v>
      </c>
      <c r="I38" s="30">
        <v>34</v>
      </c>
      <c r="S38" s="30">
        <f t="shared" si="1"/>
        <v>410</v>
      </c>
      <c r="T38" s="31">
        <f t="shared" si="2"/>
        <v>0</v>
      </c>
    </row>
    <row r="39" spans="1:20" x14ac:dyDescent="0.35">
      <c r="A39" s="30">
        <v>42</v>
      </c>
      <c r="B39" s="30">
        <f t="shared" si="0"/>
        <v>420</v>
      </c>
      <c r="C39" s="30">
        <v>90</v>
      </c>
      <c r="D39" s="30">
        <v>70</v>
      </c>
      <c r="E39" s="30">
        <v>66</v>
      </c>
      <c r="F39" s="30">
        <v>60</v>
      </c>
      <c r="G39" s="30">
        <v>56</v>
      </c>
      <c r="H39" s="30">
        <v>44</v>
      </c>
      <c r="I39" s="30">
        <v>34</v>
      </c>
      <c r="S39" s="30">
        <f t="shared" si="1"/>
        <v>420</v>
      </c>
      <c r="T39" s="31">
        <f t="shared" si="2"/>
        <v>0</v>
      </c>
    </row>
    <row r="40" spans="1:20" x14ac:dyDescent="0.35">
      <c r="A40" s="30">
        <v>43</v>
      </c>
      <c r="B40" s="30">
        <f t="shared" si="0"/>
        <v>430</v>
      </c>
      <c r="C40" s="30">
        <v>86</v>
      </c>
      <c r="D40" s="30">
        <v>68</v>
      </c>
      <c r="E40" s="30">
        <v>58</v>
      </c>
      <c r="F40" s="30">
        <v>54</v>
      </c>
      <c r="G40" s="30">
        <v>50</v>
      </c>
      <c r="H40" s="30">
        <v>44</v>
      </c>
      <c r="I40" s="30">
        <v>40</v>
      </c>
      <c r="J40" s="30">
        <v>32</v>
      </c>
      <c r="S40" s="30">
        <f t="shared" si="1"/>
        <v>432</v>
      </c>
      <c r="T40" s="31">
        <f t="shared" si="2"/>
        <v>-2</v>
      </c>
    </row>
    <row r="41" spans="1:20" x14ac:dyDescent="0.35">
      <c r="A41" s="30">
        <v>44</v>
      </c>
      <c r="B41" s="30">
        <f t="shared" si="0"/>
        <v>440</v>
      </c>
      <c r="C41" s="30">
        <v>88</v>
      </c>
      <c r="D41" s="30">
        <v>68</v>
      </c>
      <c r="E41" s="30">
        <v>60</v>
      </c>
      <c r="F41" s="30">
        <v>56</v>
      </c>
      <c r="G41" s="30">
        <v>50</v>
      </c>
      <c r="H41" s="30">
        <v>46</v>
      </c>
      <c r="I41" s="30">
        <v>42</v>
      </c>
      <c r="J41" s="30">
        <v>32</v>
      </c>
      <c r="S41" s="30">
        <f t="shared" si="1"/>
        <v>442</v>
      </c>
      <c r="T41" s="31">
        <f t="shared" si="2"/>
        <v>-2</v>
      </c>
    </row>
    <row r="42" spans="1:20" x14ac:dyDescent="0.35">
      <c r="A42" s="30">
        <v>45</v>
      </c>
      <c r="B42" s="30">
        <f t="shared" si="0"/>
        <v>450</v>
      </c>
      <c r="C42" s="30">
        <v>90</v>
      </c>
      <c r="D42" s="30">
        <v>70</v>
      </c>
      <c r="E42" s="30">
        <v>60</v>
      </c>
      <c r="F42" s="30">
        <v>56</v>
      </c>
      <c r="G42" s="30">
        <v>52</v>
      </c>
      <c r="H42" s="30">
        <v>46</v>
      </c>
      <c r="I42" s="30">
        <v>42</v>
      </c>
      <c r="J42" s="30">
        <v>32</v>
      </c>
      <c r="S42" s="30">
        <f t="shared" si="1"/>
        <v>448</v>
      </c>
      <c r="T42" s="31">
        <f t="shared" si="2"/>
        <v>2</v>
      </c>
    </row>
    <row r="43" spans="1:20" x14ac:dyDescent="0.35">
      <c r="A43" s="30">
        <v>46</v>
      </c>
      <c r="B43" s="30">
        <f t="shared" si="0"/>
        <v>460</v>
      </c>
      <c r="C43" s="30">
        <v>92</v>
      </c>
      <c r="D43" s="30">
        <v>72</v>
      </c>
      <c r="E43" s="30">
        <v>62</v>
      </c>
      <c r="F43" s="30">
        <v>58</v>
      </c>
      <c r="G43" s="30">
        <v>52</v>
      </c>
      <c r="H43" s="30">
        <v>48</v>
      </c>
      <c r="I43" s="30">
        <v>44</v>
      </c>
      <c r="J43" s="30">
        <v>34</v>
      </c>
      <c r="S43" s="30">
        <f t="shared" si="1"/>
        <v>462</v>
      </c>
      <c r="T43" s="31">
        <f t="shared" si="2"/>
        <v>-2</v>
      </c>
    </row>
    <row r="44" spans="1:20" x14ac:dyDescent="0.35">
      <c r="A44" s="30">
        <v>47</v>
      </c>
      <c r="B44" s="30">
        <f t="shared" si="0"/>
        <v>470</v>
      </c>
      <c r="C44" s="30">
        <v>94</v>
      </c>
      <c r="D44" s="30">
        <v>74</v>
      </c>
      <c r="E44" s="30">
        <v>64</v>
      </c>
      <c r="F44" s="30">
        <v>58</v>
      </c>
      <c r="G44" s="30">
        <v>54</v>
      </c>
      <c r="H44" s="30">
        <v>48</v>
      </c>
      <c r="I44" s="30">
        <v>44</v>
      </c>
      <c r="J44" s="30">
        <v>34</v>
      </c>
      <c r="S44" s="30">
        <f t="shared" si="1"/>
        <v>470</v>
      </c>
      <c r="T44" s="31">
        <f t="shared" si="2"/>
        <v>0</v>
      </c>
    </row>
    <row r="45" spans="1:20" x14ac:dyDescent="0.35">
      <c r="A45" s="30">
        <v>48</v>
      </c>
      <c r="B45" s="30">
        <f t="shared" si="0"/>
        <v>480</v>
      </c>
      <c r="C45" s="30">
        <v>96</v>
      </c>
      <c r="D45" s="30">
        <v>74</v>
      </c>
      <c r="E45" s="30">
        <v>64</v>
      </c>
      <c r="F45" s="30">
        <v>60</v>
      </c>
      <c r="G45" s="30">
        <v>56</v>
      </c>
      <c r="H45" s="30">
        <v>50</v>
      </c>
      <c r="I45" s="30">
        <v>46</v>
      </c>
      <c r="J45" s="30">
        <v>36</v>
      </c>
      <c r="S45" s="30">
        <f t="shared" si="1"/>
        <v>482</v>
      </c>
      <c r="T45" s="31">
        <f t="shared" si="2"/>
        <v>-2</v>
      </c>
    </row>
    <row r="46" spans="1:20" x14ac:dyDescent="0.35">
      <c r="A46" s="30">
        <v>49</v>
      </c>
      <c r="B46" s="30">
        <f t="shared" si="0"/>
        <v>490</v>
      </c>
      <c r="C46" s="30">
        <v>90</v>
      </c>
      <c r="D46" s="30">
        <v>68</v>
      </c>
      <c r="E46" s="30">
        <v>64</v>
      </c>
      <c r="F46" s="30">
        <v>58</v>
      </c>
      <c r="G46" s="30">
        <v>54</v>
      </c>
      <c r="H46" s="30">
        <v>46</v>
      </c>
      <c r="I46" s="30">
        <v>40</v>
      </c>
      <c r="J46" s="30">
        <v>36</v>
      </c>
      <c r="K46" s="30">
        <v>32</v>
      </c>
      <c r="S46" s="30">
        <f t="shared" si="1"/>
        <v>488</v>
      </c>
      <c r="T46" s="31">
        <f t="shared" si="2"/>
        <v>2</v>
      </c>
    </row>
    <row r="47" spans="1:20" x14ac:dyDescent="0.35">
      <c r="A47" s="30">
        <v>50</v>
      </c>
      <c r="B47" s="30">
        <f t="shared" si="0"/>
        <v>500</v>
      </c>
      <c r="C47" s="30">
        <v>92</v>
      </c>
      <c r="D47" s="30">
        <v>70</v>
      </c>
      <c r="E47" s="30">
        <v>66</v>
      </c>
      <c r="F47" s="30">
        <v>60</v>
      </c>
      <c r="G47" s="30">
        <v>56</v>
      </c>
      <c r="H47" s="30">
        <v>46</v>
      </c>
      <c r="I47" s="30">
        <v>42</v>
      </c>
      <c r="J47" s="30">
        <v>38</v>
      </c>
      <c r="K47" s="30">
        <v>32</v>
      </c>
      <c r="S47" s="30">
        <f t="shared" si="1"/>
        <v>502</v>
      </c>
      <c r="T47" s="31">
        <f t="shared" si="2"/>
        <v>-2</v>
      </c>
    </row>
    <row r="48" spans="1:20" x14ac:dyDescent="0.35">
      <c r="A48" s="30">
        <v>51</v>
      </c>
      <c r="B48" s="30">
        <f t="shared" si="0"/>
        <v>510</v>
      </c>
      <c r="C48" s="30">
        <v>94</v>
      </c>
      <c r="D48" s="30">
        <v>70</v>
      </c>
      <c r="E48" s="30">
        <v>66</v>
      </c>
      <c r="F48" s="30">
        <v>62</v>
      </c>
      <c r="G48" s="30">
        <v>56</v>
      </c>
      <c r="H48" s="30">
        <v>48</v>
      </c>
      <c r="I48" s="30">
        <v>42</v>
      </c>
      <c r="J48" s="30">
        <v>38</v>
      </c>
      <c r="K48" s="30">
        <v>34</v>
      </c>
      <c r="S48" s="30">
        <f t="shared" si="1"/>
        <v>510</v>
      </c>
      <c r="T48" s="31">
        <f t="shared" si="2"/>
        <v>0</v>
      </c>
    </row>
    <row r="49" spans="1:20" x14ac:dyDescent="0.35">
      <c r="A49" s="30">
        <v>52</v>
      </c>
      <c r="B49" s="30">
        <f t="shared" si="0"/>
        <v>520</v>
      </c>
      <c r="C49" s="30">
        <v>96</v>
      </c>
      <c r="D49" s="30">
        <v>72</v>
      </c>
      <c r="E49" s="30">
        <v>68</v>
      </c>
      <c r="F49" s="30">
        <v>62</v>
      </c>
      <c r="G49" s="30">
        <v>58</v>
      </c>
      <c r="H49" s="30">
        <v>48</v>
      </c>
      <c r="I49" s="30">
        <v>44</v>
      </c>
      <c r="J49" s="30">
        <v>38</v>
      </c>
      <c r="K49" s="30">
        <v>34</v>
      </c>
      <c r="S49" s="30">
        <f t="shared" si="1"/>
        <v>520</v>
      </c>
      <c r="T49" s="31">
        <f t="shared" si="2"/>
        <v>0</v>
      </c>
    </row>
    <row r="50" spans="1:20" x14ac:dyDescent="0.35">
      <c r="A50" s="30">
        <v>53</v>
      </c>
      <c r="B50" s="30">
        <f t="shared" si="0"/>
        <v>530</v>
      </c>
      <c r="C50" s="30">
        <v>98</v>
      </c>
      <c r="D50" s="30">
        <v>74</v>
      </c>
      <c r="E50" s="30">
        <v>68</v>
      </c>
      <c r="F50" s="30">
        <v>64</v>
      </c>
      <c r="G50" s="30">
        <v>58</v>
      </c>
      <c r="H50" s="30">
        <v>50</v>
      </c>
      <c r="I50" s="30">
        <v>44</v>
      </c>
      <c r="J50" s="30">
        <v>40</v>
      </c>
      <c r="K50" s="30">
        <v>34</v>
      </c>
      <c r="S50" s="30">
        <f t="shared" si="1"/>
        <v>530</v>
      </c>
      <c r="T50" s="31">
        <f t="shared" si="2"/>
        <v>0</v>
      </c>
    </row>
    <row r="51" spans="1:20" x14ac:dyDescent="0.35">
      <c r="A51" s="30">
        <v>54</v>
      </c>
      <c r="B51" s="30">
        <f t="shared" si="0"/>
        <v>540</v>
      </c>
      <c r="C51" s="30">
        <v>100</v>
      </c>
      <c r="D51" s="30">
        <v>76</v>
      </c>
      <c r="E51" s="30">
        <v>70</v>
      </c>
      <c r="F51" s="30">
        <v>64</v>
      </c>
      <c r="G51" s="30">
        <v>60</v>
      </c>
      <c r="H51" s="30">
        <v>50</v>
      </c>
      <c r="I51" s="30">
        <v>44</v>
      </c>
      <c r="J51" s="30">
        <v>40</v>
      </c>
      <c r="K51" s="30">
        <v>36</v>
      </c>
      <c r="S51" s="30">
        <f t="shared" si="1"/>
        <v>540</v>
      </c>
      <c r="T51" s="31">
        <f t="shared" si="2"/>
        <v>0</v>
      </c>
    </row>
    <row r="52" spans="1:20" x14ac:dyDescent="0.35">
      <c r="A52" s="30">
        <v>55</v>
      </c>
      <c r="B52" s="30">
        <f t="shared" si="0"/>
        <v>550</v>
      </c>
      <c r="C52" s="30">
        <v>96</v>
      </c>
      <c r="D52" s="30">
        <v>74</v>
      </c>
      <c r="E52" s="30">
        <v>64</v>
      </c>
      <c r="F52" s="30">
        <v>60</v>
      </c>
      <c r="G52" s="30">
        <v>56</v>
      </c>
      <c r="H52" s="30">
        <v>50</v>
      </c>
      <c r="I52" s="30">
        <v>46</v>
      </c>
      <c r="J52" s="30">
        <v>42</v>
      </c>
      <c r="K52" s="30">
        <v>36</v>
      </c>
      <c r="L52" s="30">
        <v>28</v>
      </c>
      <c r="S52" s="30">
        <f t="shared" si="1"/>
        <v>552</v>
      </c>
      <c r="T52" s="31">
        <f t="shared" si="2"/>
        <v>-2</v>
      </c>
    </row>
    <row r="53" spans="1:20" x14ac:dyDescent="0.35">
      <c r="A53" s="30">
        <v>56</v>
      </c>
      <c r="B53" s="30">
        <f t="shared" si="0"/>
        <v>560</v>
      </c>
      <c r="C53" s="30">
        <v>98</v>
      </c>
      <c r="D53" s="30">
        <v>74</v>
      </c>
      <c r="E53" s="30">
        <v>66</v>
      </c>
      <c r="F53" s="30">
        <v>60</v>
      </c>
      <c r="G53" s="30">
        <v>56</v>
      </c>
      <c r="H53" s="30">
        <v>52</v>
      </c>
      <c r="I53" s="30">
        <v>46</v>
      </c>
      <c r="J53" s="30">
        <v>42</v>
      </c>
      <c r="K53" s="30">
        <v>38</v>
      </c>
      <c r="L53" s="30">
        <v>28</v>
      </c>
      <c r="S53" s="30">
        <f t="shared" si="1"/>
        <v>560</v>
      </c>
      <c r="T53" s="31">
        <f t="shared" si="2"/>
        <v>0</v>
      </c>
    </row>
    <row r="54" spans="1:20" x14ac:dyDescent="0.35">
      <c r="A54" s="30">
        <v>57</v>
      </c>
      <c r="B54" s="30">
        <f t="shared" si="0"/>
        <v>570</v>
      </c>
      <c r="C54" s="30">
        <v>100</v>
      </c>
      <c r="D54" s="30">
        <v>76</v>
      </c>
      <c r="E54" s="30">
        <v>66</v>
      </c>
      <c r="F54" s="30">
        <v>62</v>
      </c>
      <c r="G54" s="30">
        <v>58</v>
      </c>
      <c r="H54" s="30">
        <v>52</v>
      </c>
      <c r="I54" s="30">
        <v>48</v>
      </c>
      <c r="J54" s="30">
        <v>42</v>
      </c>
      <c r="K54" s="30">
        <v>38</v>
      </c>
      <c r="L54" s="30">
        <v>28</v>
      </c>
      <c r="S54" s="30">
        <f t="shared" si="1"/>
        <v>570</v>
      </c>
      <c r="T54" s="31">
        <f t="shared" si="2"/>
        <v>0</v>
      </c>
    </row>
    <row r="55" spans="1:20" x14ac:dyDescent="0.35">
      <c r="A55" s="30">
        <v>58</v>
      </c>
      <c r="B55" s="30">
        <f t="shared" si="0"/>
        <v>580</v>
      </c>
      <c r="C55" s="30">
        <v>102</v>
      </c>
      <c r="D55" s="30">
        <v>78</v>
      </c>
      <c r="E55" s="30">
        <v>68</v>
      </c>
      <c r="F55" s="30">
        <v>62</v>
      </c>
      <c r="G55" s="30">
        <v>58</v>
      </c>
      <c r="H55" s="30">
        <v>54</v>
      </c>
      <c r="I55" s="30">
        <v>48</v>
      </c>
      <c r="J55" s="30">
        <v>44</v>
      </c>
      <c r="K55" s="30">
        <v>38</v>
      </c>
      <c r="L55" s="30">
        <v>30</v>
      </c>
      <c r="S55" s="30">
        <f t="shared" si="1"/>
        <v>582</v>
      </c>
      <c r="T55" s="31">
        <f t="shared" si="2"/>
        <v>-2</v>
      </c>
    </row>
    <row r="56" spans="1:20" x14ac:dyDescent="0.35">
      <c r="A56" s="30">
        <v>59</v>
      </c>
      <c r="B56" s="30">
        <f t="shared" si="0"/>
        <v>590</v>
      </c>
      <c r="C56" s="30">
        <v>104</v>
      </c>
      <c r="D56" s="30">
        <v>78</v>
      </c>
      <c r="E56" s="30">
        <v>70</v>
      </c>
      <c r="F56" s="30">
        <v>64</v>
      </c>
      <c r="G56" s="30">
        <v>60</v>
      </c>
      <c r="H56" s="30">
        <v>54</v>
      </c>
      <c r="I56" s="30">
        <v>48</v>
      </c>
      <c r="J56" s="30">
        <v>44</v>
      </c>
      <c r="K56" s="30">
        <v>40</v>
      </c>
      <c r="L56" s="30">
        <v>30</v>
      </c>
      <c r="S56" s="30">
        <f t="shared" si="1"/>
        <v>592</v>
      </c>
      <c r="T56" s="31">
        <f t="shared" si="2"/>
        <v>-2</v>
      </c>
    </row>
    <row r="57" spans="1:20" x14ac:dyDescent="0.35">
      <c r="A57" s="30">
        <v>60</v>
      </c>
      <c r="B57" s="30">
        <f t="shared" si="0"/>
        <v>600</v>
      </c>
      <c r="C57" s="30">
        <v>106</v>
      </c>
      <c r="D57" s="30">
        <v>80</v>
      </c>
      <c r="E57" s="30">
        <v>70</v>
      </c>
      <c r="F57" s="30">
        <v>64</v>
      </c>
      <c r="G57" s="30">
        <v>60</v>
      </c>
      <c r="H57" s="30">
        <v>56</v>
      </c>
      <c r="I57" s="30">
        <v>50</v>
      </c>
      <c r="J57" s="30">
        <v>46</v>
      </c>
      <c r="K57" s="30">
        <v>40</v>
      </c>
      <c r="L57" s="30">
        <v>30</v>
      </c>
      <c r="S57" s="30">
        <f t="shared" si="1"/>
        <v>602</v>
      </c>
      <c r="T57" s="31">
        <f t="shared" si="2"/>
        <v>-2</v>
      </c>
    </row>
    <row r="58" spans="1:20" x14ac:dyDescent="0.35">
      <c r="A58" s="30">
        <v>61</v>
      </c>
      <c r="B58" s="30">
        <f t="shared" si="0"/>
        <v>610</v>
      </c>
      <c r="C58" s="30">
        <v>106</v>
      </c>
      <c r="D58" s="30">
        <v>78</v>
      </c>
      <c r="E58" s="30">
        <v>70</v>
      </c>
      <c r="F58" s="30">
        <v>64</v>
      </c>
      <c r="G58" s="30">
        <v>60</v>
      </c>
      <c r="H58" s="30">
        <v>56</v>
      </c>
      <c r="I58" s="30">
        <v>50</v>
      </c>
      <c r="J58" s="30">
        <v>42</v>
      </c>
      <c r="K58" s="30">
        <v>32</v>
      </c>
      <c r="L58" s="30">
        <v>28</v>
      </c>
      <c r="M58" s="30">
        <v>24</v>
      </c>
      <c r="S58" s="30">
        <f t="shared" si="1"/>
        <v>610</v>
      </c>
      <c r="T58" s="31">
        <f t="shared" si="2"/>
        <v>0</v>
      </c>
    </row>
    <row r="59" spans="1:20" x14ac:dyDescent="0.35">
      <c r="A59" s="30">
        <v>62</v>
      </c>
      <c r="B59" s="30">
        <f t="shared" si="0"/>
        <v>620</v>
      </c>
      <c r="C59" s="30">
        <v>108</v>
      </c>
      <c r="D59" s="30">
        <v>80</v>
      </c>
      <c r="E59" s="30">
        <v>70</v>
      </c>
      <c r="F59" s="30">
        <v>66</v>
      </c>
      <c r="G59" s="30">
        <v>60</v>
      </c>
      <c r="H59" s="30">
        <v>56</v>
      </c>
      <c r="I59" s="30">
        <v>52</v>
      </c>
      <c r="J59" s="30">
        <v>42</v>
      </c>
      <c r="K59" s="30">
        <v>32</v>
      </c>
      <c r="L59" s="30">
        <v>28</v>
      </c>
      <c r="M59" s="30">
        <v>24</v>
      </c>
      <c r="S59" s="30">
        <f t="shared" si="1"/>
        <v>618</v>
      </c>
      <c r="T59" s="31">
        <f t="shared" si="2"/>
        <v>2</v>
      </c>
    </row>
    <row r="60" spans="1:20" x14ac:dyDescent="0.35">
      <c r="A60" s="30">
        <v>63</v>
      </c>
      <c r="B60" s="30">
        <f t="shared" si="0"/>
        <v>630</v>
      </c>
      <c r="C60" s="30">
        <v>110</v>
      </c>
      <c r="D60" s="30">
        <v>82</v>
      </c>
      <c r="E60" s="30">
        <v>72</v>
      </c>
      <c r="F60" s="30">
        <v>66</v>
      </c>
      <c r="G60" s="30">
        <v>62</v>
      </c>
      <c r="H60" s="30">
        <v>58</v>
      </c>
      <c r="I60" s="30">
        <v>52</v>
      </c>
      <c r="J60" s="30">
        <v>42</v>
      </c>
      <c r="K60" s="30">
        <v>34</v>
      </c>
      <c r="L60" s="30">
        <v>28</v>
      </c>
      <c r="M60" s="30">
        <v>24</v>
      </c>
      <c r="S60" s="30">
        <f t="shared" si="1"/>
        <v>630</v>
      </c>
      <c r="T60" s="31">
        <f t="shared" si="2"/>
        <v>0</v>
      </c>
    </row>
    <row r="61" spans="1:20" x14ac:dyDescent="0.35">
      <c r="A61" s="30">
        <v>64</v>
      </c>
      <c r="B61" s="30">
        <f t="shared" si="0"/>
        <v>640</v>
      </c>
      <c r="C61" s="30">
        <v>112</v>
      </c>
      <c r="D61" s="30">
        <v>82</v>
      </c>
      <c r="E61" s="30">
        <v>72</v>
      </c>
      <c r="F61" s="30">
        <v>68</v>
      </c>
      <c r="G61" s="30">
        <v>62</v>
      </c>
      <c r="H61" s="30">
        <v>58</v>
      </c>
      <c r="I61" s="30">
        <v>54</v>
      </c>
      <c r="J61" s="30">
        <v>44</v>
      </c>
      <c r="K61" s="30">
        <v>34</v>
      </c>
      <c r="L61" s="30">
        <v>28</v>
      </c>
      <c r="M61" s="30">
        <v>24</v>
      </c>
      <c r="S61" s="30">
        <f t="shared" si="1"/>
        <v>638</v>
      </c>
      <c r="T61" s="31">
        <f t="shared" si="2"/>
        <v>2</v>
      </c>
    </row>
    <row r="62" spans="1:20" x14ac:dyDescent="0.35">
      <c r="A62" s="30">
        <v>65</v>
      </c>
      <c r="B62" s="30">
        <f t="shared" si="0"/>
        <v>650</v>
      </c>
      <c r="C62" s="30">
        <v>114</v>
      </c>
      <c r="D62" s="30">
        <v>84</v>
      </c>
      <c r="E62" s="30">
        <v>74</v>
      </c>
      <c r="F62" s="30">
        <v>68</v>
      </c>
      <c r="G62" s="30">
        <v>64</v>
      </c>
      <c r="H62" s="30">
        <v>60</v>
      </c>
      <c r="I62" s="30">
        <v>54</v>
      </c>
      <c r="J62" s="30">
        <v>44</v>
      </c>
      <c r="K62" s="30">
        <v>34</v>
      </c>
      <c r="L62" s="30">
        <v>30</v>
      </c>
      <c r="M62" s="30">
        <v>26</v>
      </c>
      <c r="S62" s="30">
        <f t="shared" si="1"/>
        <v>652</v>
      </c>
      <c r="T62" s="31">
        <f t="shared" si="2"/>
        <v>-2</v>
      </c>
    </row>
    <row r="63" spans="1:20" x14ac:dyDescent="0.35">
      <c r="A63" s="30">
        <v>66</v>
      </c>
      <c r="B63" s="30">
        <f t="shared" si="0"/>
        <v>660</v>
      </c>
      <c r="C63" s="30">
        <v>114</v>
      </c>
      <c r="D63" s="30">
        <v>86</v>
      </c>
      <c r="E63" s="30">
        <v>76</v>
      </c>
      <c r="F63" s="30">
        <v>70</v>
      </c>
      <c r="G63" s="30">
        <v>64</v>
      </c>
      <c r="H63" s="30">
        <v>60</v>
      </c>
      <c r="I63" s="30">
        <v>54</v>
      </c>
      <c r="J63" s="30">
        <v>44</v>
      </c>
      <c r="K63" s="30">
        <v>34</v>
      </c>
      <c r="L63" s="30">
        <v>30</v>
      </c>
      <c r="M63" s="30">
        <v>26</v>
      </c>
      <c r="S63" s="30">
        <f t="shared" si="1"/>
        <v>658</v>
      </c>
      <c r="T63" s="31">
        <f t="shared" si="2"/>
        <v>2</v>
      </c>
    </row>
    <row r="64" spans="1:20" x14ac:dyDescent="0.35">
      <c r="A64" s="30">
        <v>67</v>
      </c>
      <c r="B64" s="30">
        <f t="shared" si="0"/>
        <v>670</v>
      </c>
      <c r="C64" s="30">
        <v>116</v>
      </c>
      <c r="D64" s="30">
        <v>84</v>
      </c>
      <c r="E64" s="30">
        <v>74</v>
      </c>
      <c r="F64" s="30">
        <v>70</v>
      </c>
      <c r="G64" s="30">
        <v>64</v>
      </c>
      <c r="H64" s="30">
        <v>60</v>
      </c>
      <c r="I64" s="30">
        <v>50</v>
      </c>
      <c r="J64" s="30">
        <v>42</v>
      </c>
      <c r="K64" s="30">
        <v>32</v>
      </c>
      <c r="L64" s="30">
        <v>28</v>
      </c>
      <c r="M64" s="30">
        <v>24</v>
      </c>
      <c r="N64" s="30">
        <v>24</v>
      </c>
      <c r="S64" s="30">
        <f t="shared" si="1"/>
        <v>668</v>
      </c>
      <c r="T64" s="31">
        <f t="shared" si="2"/>
        <v>2</v>
      </c>
    </row>
    <row r="65" spans="1:20" x14ac:dyDescent="0.35">
      <c r="A65" s="30">
        <v>68</v>
      </c>
      <c r="B65" s="30">
        <f t="shared" si="0"/>
        <v>680</v>
      </c>
      <c r="C65" s="30">
        <v>118</v>
      </c>
      <c r="D65" s="30">
        <v>86</v>
      </c>
      <c r="E65" s="30">
        <v>76</v>
      </c>
      <c r="F65" s="30">
        <v>70</v>
      </c>
      <c r="G65" s="30">
        <v>66</v>
      </c>
      <c r="H65" s="30">
        <v>62</v>
      </c>
      <c r="I65" s="30">
        <v>52</v>
      </c>
      <c r="J65" s="30">
        <v>42</v>
      </c>
      <c r="K65" s="30">
        <v>32</v>
      </c>
      <c r="L65" s="30">
        <v>28</v>
      </c>
      <c r="M65" s="30">
        <v>24</v>
      </c>
      <c r="N65" s="30">
        <v>24</v>
      </c>
      <c r="S65" s="30">
        <f t="shared" si="1"/>
        <v>680</v>
      </c>
      <c r="T65" s="31">
        <f t="shared" si="2"/>
        <v>0</v>
      </c>
    </row>
    <row r="66" spans="1:20" x14ac:dyDescent="0.35">
      <c r="A66" s="30">
        <v>69</v>
      </c>
      <c r="B66" s="30">
        <f t="shared" si="0"/>
        <v>690</v>
      </c>
      <c r="C66" s="30">
        <v>120</v>
      </c>
      <c r="D66" s="30">
        <v>86</v>
      </c>
      <c r="E66" s="30">
        <v>76</v>
      </c>
      <c r="F66" s="30">
        <v>72</v>
      </c>
      <c r="G66" s="30">
        <v>66</v>
      </c>
      <c r="H66" s="30">
        <v>62</v>
      </c>
      <c r="I66" s="30">
        <v>52</v>
      </c>
      <c r="J66" s="30">
        <v>44</v>
      </c>
      <c r="K66" s="30">
        <v>34</v>
      </c>
      <c r="L66" s="30">
        <v>28</v>
      </c>
      <c r="M66" s="30">
        <v>24</v>
      </c>
      <c r="N66" s="30">
        <v>24</v>
      </c>
      <c r="S66" s="30">
        <f t="shared" si="1"/>
        <v>688</v>
      </c>
      <c r="T66" s="31">
        <f t="shared" si="2"/>
        <v>2</v>
      </c>
    </row>
    <row r="67" spans="1:20" x14ac:dyDescent="0.35">
      <c r="A67" s="30">
        <v>70</v>
      </c>
      <c r="B67" s="30">
        <f t="shared" si="0"/>
        <v>700</v>
      </c>
      <c r="C67" s="30">
        <v>122</v>
      </c>
      <c r="D67" s="30">
        <v>88</v>
      </c>
      <c r="E67" s="30">
        <v>78</v>
      </c>
      <c r="F67" s="30">
        <v>72</v>
      </c>
      <c r="G67" s="30">
        <v>68</v>
      </c>
      <c r="H67" s="30">
        <v>64</v>
      </c>
      <c r="I67" s="30">
        <v>54</v>
      </c>
      <c r="J67" s="30">
        <v>44</v>
      </c>
      <c r="K67" s="30">
        <v>34</v>
      </c>
      <c r="L67" s="30">
        <v>30</v>
      </c>
      <c r="M67" s="30">
        <v>24</v>
      </c>
      <c r="N67" s="30">
        <v>24</v>
      </c>
      <c r="S67" s="30">
        <f t="shared" si="1"/>
        <v>702</v>
      </c>
      <c r="T67" s="31">
        <f t="shared" si="2"/>
        <v>-2</v>
      </c>
    </row>
    <row r="68" spans="1:20" x14ac:dyDescent="0.35">
      <c r="A68" s="30">
        <v>71</v>
      </c>
      <c r="B68" s="30">
        <f t="shared" si="0"/>
        <v>710</v>
      </c>
      <c r="C68" s="30">
        <v>124</v>
      </c>
      <c r="D68" s="30">
        <v>88</v>
      </c>
      <c r="E68" s="30">
        <v>78</v>
      </c>
      <c r="F68" s="30">
        <v>74</v>
      </c>
      <c r="G68" s="30">
        <v>68</v>
      </c>
      <c r="H68" s="30">
        <v>64</v>
      </c>
      <c r="I68" s="30">
        <v>54</v>
      </c>
      <c r="J68" s="30">
        <v>44</v>
      </c>
      <c r="K68" s="30">
        <v>34</v>
      </c>
      <c r="L68" s="30">
        <v>30</v>
      </c>
      <c r="M68" s="30">
        <v>24</v>
      </c>
      <c r="N68" s="30">
        <v>24</v>
      </c>
      <c r="S68" s="30">
        <f t="shared" si="1"/>
        <v>706</v>
      </c>
      <c r="T68" s="31">
        <f t="shared" si="2"/>
        <v>4</v>
      </c>
    </row>
    <row r="69" spans="1:20" x14ac:dyDescent="0.35">
      <c r="A69" s="30">
        <v>72</v>
      </c>
      <c r="B69" s="30">
        <f t="shared" ref="B69:B93" si="3">A69*$B$2</f>
        <v>720</v>
      </c>
      <c r="C69" s="30">
        <v>126</v>
      </c>
      <c r="D69" s="30">
        <v>90</v>
      </c>
      <c r="E69" s="30">
        <v>80</v>
      </c>
      <c r="F69" s="30">
        <v>74</v>
      </c>
      <c r="G69" s="30">
        <v>70</v>
      </c>
      <c r="H69" s="30">
        <v>64</v>
      </c>
      <c r="I69" s="30">
        <v>54</v>
      </c>
      <c r="J69" s="30">
        <v>46</v>
      </c>
      <c r="K69" s="30">
        <v>34</v>
      </c>
      <c r="L69" s="30">
        <v>30</v>
      </c>
      <c r="M69" s="30">
        <v>26</v>
      </c>
      <c r="N69" s="30">
        <v>26</v>
      </c>
      <c r="S69" s="30">
        <f t="shared" ref="S69:S93" si="4">SUM(C69:R69)</f>
        <v>720</v>
      </c>
      <c r="T69" s="31">
        <f t="shared" ref="T69:T93" si="5">B69-S69</f>
        <v>0</v>
      </c>
    </row>
    <row r="70" spans="1:20" x14ac:dyDescent="0.35">
      <c r="A70" s="30">
        <v>73</v>
      </c>
      <c r="B70" s="30">
        <f t="shared" si="3"/>
        <v>730</v>
      </c>
      <c r="C70" s="30">
        <v>126</v>
      </c>
      <c r="D70" s="30">
        <v>90</v>
      </c>
      <c r="E70" s="30">
        <v>80</v>
      </c>
      <c r="F70" s="30">
        <v>76</v>
      </c>
      <c r="G70" s="30">
        <v>70</v>
      </c>
      <c r="H70" s="30">
        <v>60</v>
      </c>
      <c r="I70" s="30">
        <v>52</v>
      </c>
      <c r="J70" s="30">
        <v>42</v>
      </c>
      <c r="K70" s="30">
        <v>32</v>
      </c>
      <c r="L70" s="30">
        <v>28</v>
      </c>
      <c r="M70" s="30">
        <v>28</v>
      </c>
      <c r="N70" s="30">
        <v>24</v>
      </c>
      <c r="O70" s="30">
        <v>24</v>
      </c>
      <c r="S70" s="30">
        <f t="shared" si="4"/>
        <v>732</v>
      </c>
      <c r="T70" s="31">
        <f t="shared" si="5"/>
        <v>-2</v>
      </c>
    </row>
    <row r="71" spans="1:20" x14ac:dyDescent="0.35">
      <c r="A71" s="30">
        <v>74</v>
      </c>
      <c r="B71" s="30">
        <f t="shared" si="3"/>
        <v>740</v>
      </c>
      <c r="C71" s="30">
        <v>128</v>
      </c>
      <c r="D71" s="30">
        <v>90</v>
      </c>
      <c r="E71" s="30">
        <v>80</v>
      </c>
      <c r="F71" s="30">
        <v>76</v>
      </c>
      <c r="G71" s="30">
        <v>72</v>
      </c>
      <c r="H71" s="30">
        <v>62</v>
      </c>
      <c r="I71" s="30">
        <v>52</v>
      </c>
      <c r="J71" s="30">
        <v>42</v>
      </c>
      <c r="K71" s="30">
        <v>34</v>
      </c>
      <c r="L71" s="30">
        <v>28</v>
      </c>
      <c r="M71" s="30">
        <v>28</v>
      </c>
      <c r="N71" s="30">
        <v>24</v>
      </c>
      <c r="O71" s="30">
        <v>24</v>
      </c>
      <c r="S71" s="30">
        <f t="shared" si="4"/>
        <v>740</v>
      </c>
      <c r="T71" s="31">
        <f t="shared" si="5"/>
        <v>0</v>
      </c>
    </row>
    <row r="72" spans="1:20" x14ac:dyDescent="0.35">
      <c r="A72" s="30">
        <v>75</v>
      </c>
      <c r="B72" s="30">
        <f t="shared" si="3"/>
        <v>750</v>
      </c>
      <c r="C72" s="30">
        <v>130</v>
      </c>
      <c r="D72" s="30">
        <v>92</v>
      </c>
      <c r="E72" s="30">
        <v>82</v>
      </c>
      <c r="F72" s="30">
        <v>78</v>
      </c>
      <c r="G72" s="30">
        <v>72</v>
      </c>
      <c r="H72" s="30">
        <v>62</v>
      </c>
      <c r="I72" s="30">
        <v>54</v>
      </c>
      <c r="J72" s="30">
        <v>44</v>
      </c>
      <c r="K72" s="30">
        <v>34</v>
      </c>
      <c r="L72" s="30">
        <v>28</v>
      </c>
      <c r="M72" s="30">
        <v>28</v>
      </c>
      <c r="N72" s="30">
        <v>24</v>
      </c>
      <c r="O72" s="30">
        <v>24</v>
      </c>
      <c r="S72" s="30">
        <f t="shared" si="4"/>
        <v>752</v>
      </c>
      <c r="T72" s="31">
        <f t="shared" si="5"/>
        <v>-2</v>
      </c>
    </row>
    <row r="73" spans="1:20" x14ac:dyDescent="0.35">
      <c r="A73" s="30">
        <v>76</v>
      </c>
      <c r="B73" s="30">
        <f t="shared" si="3"/>
        <v>760</v>
      </c>
      <c r="C73" s="30">
        <v>132</v>
      </c>
      <c r="D73" s="30">
        <v>92</v>
      </c>
      <c r="E73" s="30">
        <v>82</v>
      </c>
      <c r="F73" s="30">
        <v>78</v>
      </c>
      <c r="G73" s="30">
        <v>72</v>
      </c>
      <c r="H73" s="30">
        <v>64</v>
      </c>
      <c r="I73" s="30">
        <v>54</v>
      </c>
      <c r="J73" s="30">
        <v>44</v>
      </c>
      <c r="K73" s="30">
        <v>34</v>
      </c>
      <c r="L73" s="30">
        <v>28</v>
      </c>
      <c r="M73" s="30">
        <v>28</v>
      </c>
      <c r="N73" s="30">
        <v>24</v>
      </c>
      <c r="O73" s="30">
        <v>24</v>
      </c>
      <c r="S73" s="30">
        <f t="shared" si="4"/>
        <v>756</v>
      </c>
      <c r="T73" s="31">
        <f t="shared" si="5"/>
        <v>4</v>
      </c>
    </row>
    <row r="74" spans="1:20" x14ac:dyDescent="0.35">
      <c r="A74" s="30">
        <v>77</v>
      </c>
      <c r="B74" s="30">
        <f t="shared" si="3"/>
        <v>770</v>
      </c>
      <c r="C74" s="30">
        <v>134</v>
      </c>
      <c r="D74" s="30">
        <v>94</v>
      </c>
      <c r="E74" s="30">
        <v>84</v>
      </c>
      <c r="F74" s="30">
        <v>80</v>
      </c>
      <c r="G74" s="30">
        <v>74</v>
      </c>
      <c r="H74" s="30">
        <v>64</v>
      </c>
      <c r="I74" s="30">
        <v>54</v>
      </c>
      <c r="J74" s="30">
        <v>44</v>
      </c>
      <c r="K74" s="30">
        <v>34</v>
      </c>
      <c r="L74" s="30">
        <v>30</v>
      </c>
      <c r="M74" s="30">
        <v>30</v>
      </c>
      <c r="N74" s="30">
        <v>24</v>
      </c>
      <c r="O74" s="30">
        <v>24</v>
      </c>
      <c r="S74" s="30">
        <f t="shared" si="4"/>
        <v>770</v>
      </c>
      <c r="T74" s="31">
        <f t="shared" si="5"/>
        <v>0</v>
      </c>
    </row>
    <row r="75" spans="1:20" x14ac:dyDescent="0.35">
      <c r="A75" s="30">
        <v>78</v>
      </c>
      <c r="B75" s="30">
        <f t="shared" si="3"/>
        <v>780</v>
      </c>
      <c r="C75" s="30">
        <v>134</v>
      </c>
      <c r="D75" s="30">
        <v>96</v>
      </c>
      <c r="E75" s="30">
        <v>86</v>
      </c>
      <c r="F75" s="30">
        <v>80</v>
      </c>
      <c r="G75" s="30">
        <v>74</v>
      </c>
      <c r="H75" s="30">
        <v>64</v>
      </c>
      <c r="I75" s="30">
        <v>56</v>
      </c>
      <c r="J75" s="30">
        <v>46</v>
      </c>
      <c r="K75" s="30">
        <v>36</v>
      </c>
      <c r="L75" s="30">
        <v>30</v>
      </c>
      <c r="M75" s="30">
        <v>30</v>
      </c>
      <c r="N75" s="30">
        <v>24</v>
      </c>
      <c r="O75" s="30">
        <v>24</v>
      </c>
      <c r="S75" s="30">
        <f t="shared" si="4"/>
        <v>780</v>
      </c>
      <c r="T75" s="31">
        <f t="shared" si="5"/>
        <v>0</v>
      </c>
    </row>
    <row r="76" spans="1:20" x14ac:dyDescent="0.35">
      <c r="A76" s="30">
        <v>79</v>
      </c>
      <c r="B76" s="30">
        <f t="shared" si="3"/>
        <v>790</v>
      </c>
      <c r="C76" s="30">
        <v>136</v>
      </c>
      <c r="D76" s="30">
        <v>98</v>
      </c>
      <c r="E76" s="30">
        <v>84</v>
      </c>
      <c r="F76" s="30">
        <v>76</v>
      </c>
      <c r="G76" s="30">
        <v>70</v>
      </c>
      <c r="H76" s="30">
        <v>60</v>
      </c>
      <c r="I76" s="30">
        <v>52</v>
      </c>
      <c r="J76" s="30">
        <v>42</v>
      </c>
      <c r="K76" s="30">
        <v>34</v>
      </c>
      <c r="L76" s="30">
        <v>34</v>
      </c>
      <c r="M76" s="30">
        <v>28</v>
      </c>
      <c r="N76" s="30">
        <v>28</v>
      </c>
      <c r="O76" s="30">
        <v>24</v>
      </c>
      <c r="P76" s="30">
        <v>24</v>
      </c>
      <c r="S76" s="30">
        <f t="shared" si="4"/>
        <v>790</v>
      </c>
      <c r="T76" s="31">
        <f t="shared" si="5"/>
        <v>0</v>
      </c>
    </row>
    <row r="77" spans="1:20" x14ac:dyDescent="0.35">
      <c r="A77" s="30">
        <v>80</v>
      </c>
      <c r="B77" s="30">
        <f t="shared" si="3"/>
        <v>800</v>
      </c>
      <c r="C77" s="30">
        <v>138</v>
      </c>
      <c r="D77" s="30">
        <v>100</v>
      </c>
      <c r="E77" s="30">
        <v>86</v>
      </c>
      <c r="F77" s="30">
        <v>76</v>
      </c>
      <c r="G77" s="30">
        <v>72</v>
      </c>
      <c r="H77" s="30">
        <v>62</v>
      </c>
      <c r="I77" s="30">
        <v>52</v>
      </c>
      <c r="J77" s="30">
        <v>42</v>
      </c>
      <c r="K77" s="30">
        <v>34</v>
      </c>
      <c r="L77" s="30">
        <v>34</v>
      </c>
      <c r="M77" s="30">
        <v>28</v>
      </c>
      <c r="N77" s="30">
        <v>28</v>
      </c>
      <c r="O77" s="30">
        <v>24</v>
      </c>
      <c r="P77" s="30">
        <v>24</v>
      </c>
      <c r="S77" s="30">
        <f t="shared" si="4"/>
        <v>800</v>
      </c>
      <c r="T77" s="31">
        <f t="shared" si="5"/>
        <v>0</v>
      </c>
    </row>
    <row r="78" spans="1:20" x14ac:dyDescent="0.35">
      <c r="A78" s="30">
        <v>81</v>
      </c>
      <c r="B78" s="30">
        <f t="shared" si="3"/>
        <v>810</v>
      </c>
      <c r="C78" s="30">
        <v>140</v>
      </c>
      <c r="D78" s="30">
        <v>102</v>
      </c>
      <c r="E78" s="30">
        <v>86</v>
      </c>
      <c r="F78" s="30">
        <v>76</v>
      </c>
      <c r="G78" s="30">
        <v>72</v>
      </c>
      <c r="H78" s="30">
        <v>62</v>
      </c>
      <c r="I78" s="30">
        <v>52</v>
      </c>
      <c r="J78" s="30">
        <v>42</v>
      </c>
      <c r="K78" s="30">
        <v>34</v>
      </c>
      <c r="L78" s="30">
        <v>34</v>
      </c>
      <c r="M78" s="30">
        <v>30</v>
      </c>
      <c r="N78" s="30">
        <v>30</v>
      </c>
      <c r="O78" s="30">
        <v>24</v>
      </c>
      <c r="P78" s="30">
        <v>24</v>
      </c>
      <c r="S78" s="30">
        <f t="shared" si="4"/>
        <v>808</v>
      </c>
      <c r="T78" s="31">
        <f t="shared" si="5"/>
        <v>2</v>
      </c>
    </row>
    <row r="79" spans="1:20" x14ac:dyDescent="0.35">
      <c r="A79" s="30">
        <v>82</v>
      </c>
      <c r="B79" s="30">
        <f t="shared" si="3"/>
        <v>820</v>
      </c>
      <c r="C79" s="30">
        <v>142</v>
      </c>
      <c r="D79" s="30">
        <v>102</v>
      </c>
      <c r="E79" s="30">
        <v>88</v>
      </c>
      <c r="F79" s="30">
        <v>78</v>
      </c>
      <c r="G79" s="30">
        <v>72</v>
      </c>
      <c r="H79" s="30">
        <v>64</v>
      </c>
      <c r="I79" s="30">
        <v>54</v>
      </c>
      <c r="J79" s="30">
        <v>44</v>
      </c>
      <c r="K79" s="30">
        <v>34</v>
      </c>
      <c r="L79" s="30">
        <v>34</v>
      </c>
      <c r="M79" s="30">
        <v>30</v>
      </c>
      <c r="N79" s="30">
        <v>30</v>
      </c>
      <c r="O79" s="30">
        <v>24</v>
      </c>
      <c r="P79" s="30">
        <v>24</v>
      </c>
      <c r="S79" s="30">
        <f t="shared" si="4"/>
        <v>820</v>
      </c>
      <c r="T79" s="31">
        <f t="shared" si="5"/>
        <v>0</v>
      </c>
    </row>
    <row r="80" spans="1:20" x14ac:dyDescent="0.35">
      <c r="A80" s="30">
        <v>83</v>
      </c>
      <c r="B80" s="30">
        <f t="shared" si="3"/>
        <v>830</v>
      </c>
      <c r="C80" s="30">
        <v>144</v>
      </c>
      <c r="D80" s="30">
        <v>104</v>
      </c>
      <c r="E80" s="30">
        <v>88</v>
      </c>
      <c r="F80" s="30">
        <v>78</v>
      </c>
      <c r="G80" s="30">
        <v>74</v>
      </c>
      <c r="H80" s="30">
        <v>64</v>
      </c>
      <c r="I80" s="30">
        <v>54</v>
      </c>
      <c r="J80" s="30">
        <v>44</v>
      </c>
      <c r="K80" s="30">
        <v>34</v>
      </c>
      <c r="L80" s="30">
        <v>34</v>
      </c>
      <c r="M80" s="30">
        <v>30</v>
      </c>
      <c r="N80" s="30">
        <v>30</v>
      </c>
      <c r="O80" s="30">
        <v>24</v>
      </c>
      <c r="P80" s="30">
        <v>24</v>
      </c>
      <c r="S80" s="30">
        <f t="shared" si="4"/>
        <v>826</v>
      </c>
      <c r="T80" s="31">
        <f t="shared" si="5"/>
        <v>4</v>
      </c>
    </row>
    <row r="81" spans="1:20" x14ac:dyDescent="0.35">
      <c r="A81" s="30">
        <v>84</v>
      </c>
      <c r="B81" s="30">
        <f t="shared" si="3"/>
        <v>840</v>
      </c>
      <c r="C81" s="30">
        <v>146</v>
      </c>
      <c r="D81" s="30">
        <v>106</v>
      </c>
      <c r="E81" s="30">
        <v>90</v>
      </c>
      <c r="F81" s="30">
        <v>80</v>
      </c>
      <c r="G81" s="30">
        <v>74</v>
      </c>
      <c r="H81" s="30">
        <v>64</v>
      </c>
      <c r="I81" s="30">
        <v>54</v>
      </c>
      <c r="J81" s="30">
        <v>44</v>
      </c>
      <c r="K81" s="30">
        <v>36</v>
      </c>
      <c r="L81" s="30">
        <v>36</v>
      </c>
      <c r="M81" s="30">
        <v>30</v>
      </c>
      <c r="N81" s="30">
        <v>30</v>
      </c>
      <c r="O81" s="30">
        <v>26</v>
      </c>
      <c r="P81" s="30">
        <v>26</v>
      </c>
      <c r="S81" s="30">
        <f t="shared" si="4"/>
        <v>842</v>
      </c>
      <c r="T81" s="31">
        <f t="shared" si="5"/>
        <v>-2</v>
      </c>
    </row>
    <row r="82" spans="1:20" x14ac:dyDescent="0.35">
      <c r="A82" s="30">
        <v>85</v>
      </c>
      <c r="B82" s="30">
        <f t="shared" si="3"/>
        <v>850</v>
      </c>
      <c r="C82" s="30">
        <v>152</v>
      </c>
      <c r="D82" s="30">
        <v>108</v>
      </c>
      <c r="E82" s="30">
        <v>90</v>
      </c>
      <c r="F82" s="30">
        <v>80</v>
      </c>
      <c r="G82" s="30">
        <v>70</v>
      </c>
      <c r="H82" s="30">
        <v>62</v>
      </c>
      <c r="I82" s="30">
        <v>52</v>
      </c>
      <c r="J82" s="30">
        <v>42</v>
      </c>
      <c r="K82" s="30">
        <v>34</v>
      </c>
      <c r="L82" s="30">
        <v>34</v>
      </c>
      <c r="M82" s="30">
        <v>28</v>
      </c>
      <c r="N82" s="30">
        <v>28</v>
      </c>
      <c r="O82" s="30">
        <v>24</v>
      </c>
      <c r="P82" s="30">
        <v>24</v>
      </c>
      <c r="Q82" s="30">
        <v>24</v>
      </c>
      <c r="S82" s="30">
        <f t="shared" si="4"/>
        <v>852</v>
      </c>
      <c r="T82" s="31">
        <f t="shared" si="5"/>
        <v>-2</v>
      </c>
    </row>
    <row r="83" spans="1:20" x14ac:dyDescent="0.35">
      <c r="A83" s="30">
        <v>86</v>
      </c>
      <c r="B83" s="30">
        <f t="shared" si="3"/>
        <v>860</v>
      </c>
      <c r="C83" s="30">
        <v>154</v>
      </c>
      <c r="D83" s="30">
        <v>110</v>
      </c>
      <c r="E83" s="30">
        <v>92</v>
      </c>
      <c r="F83" s="30">
        <v>80</v>
      </c>
      <c r="G83" s="30">
        <v>72</v>
      </c>
      <c r="H83" s="30">
        <v>62</v>
      </c>
      <c r="I83" s="30">
        <v>52</v>
      </c>
      <c r="J83" s="30">
        <v>44</v>
      </c>
      <c r="K83" s="30">
        <v>34</v>
      </c>
      <c r="L83" s="30">
        <v>34</v>
      </c>
      <c r="M83" s="30">
        <v>28</v>
      </c>
      <c r="N83" s="30">
        <v>28</v>
      </c>
      <c r="O83" s="30">
        <v>24</v>
      </c>
      <c r="P83" s="30">
        <v>24</v>
      </c>
      <c r="Q83" s="30">
        <v>24</v>
      </c>
      <c r="S83" s="30">
        <f t="shared" si="4"/>
        <v>862</v>
      </c>
      <c r="T83" s="31">
        <f t="shared" si="5"/>
        <v>-2</v>
      </c>
    </row>
    <row r="84" spans="1:20" x14ac:dyDescent="0.35">
      <c r="A84" s="30">
        <v>87</v>
      </c>
      <c r="B84" s="30">
        <f t="shared" si="3"/>
        <v>870</v>
      </c>
      <c r="C84" s="30">
        <v>154</v>
      </c>
      <c r="D84" s="30">
        <v>112</v>
      </c>
      <c r="E84" s="30">
        <v>92</v>
      </c>
      <c r="F84" s="30">
        <v>82</v>
      </c>
      <c r="G84" s="30">
        <v>72</v>
      </c>
      <c r="H84" s="30">
        <v>62</v>
      </c>
      <c r="I84" s="30">
        <v>54</v>
      </c>
      <c r="J84" s="30">
        <v>44</v>
      </c>
      <c r="K84" s="30">
        <v>34</v>
      </c>
      <c r="L84" s="30">
        <v>34</v>
      </c>
      <c r="M84" s="30">
        <v>28</v>
      </c>
      <c r="N84" s="30">
        <v>28</v>
      </c>
      <c r="O84" s="30">
        <v>24</v>
      </c>
      <c r="P84" s="30">
        <v>24</v>
      </c>
      <c r="Q84" s="30">
        <v>24</v>
      </c>
      <c r="S84" s="30">
        <f t="shared" si="4"/>
        <v>868</v>
      </c>
      <c r="T84" s="31">
        <f t="shared" si="5"/>
        <v>2</v>
      </c>
    </row>
    <row r="85" spans="1:20" x14ac:dyDescent="0.35">
      <c r="A85" s="30">
        <v>88</v>
      </c>
      <c r="B85" s="30">
        <f t="shared" si="3"/>
        <v>880</v>
      </c>
      <c r="C85" s="30">
        <v>156</v>
      </c>
      <c r="D85" s="30">
        <v>112</v>
      </c>
      <c r="E85" s="30">
        <v>94</v>
      </c>
      <c r="F85" s="30">
        <v>82</v>
      </c>
      <c r="G85" s="30">
        <v>74</v>
      </c>
      <c r="H85" s="30">
        <v>64</v>
      </c>
      <c r="I85" s="30">
        <v>54</v>
      </c>
      <c r="J85" s="30">
        <v>44</v>
      </c>
      <c r="K85" s="30">
        <v>34</v>
      </c>
      <c r="L85" s="30">
        <v>34</v>
      </c>
      <c r="M85" s="30">
        <v>30</v>
      </c>
      <c r="N85" s="30">
        <v>30</v>
      </c>
      <c r="O85" s="30">
        <v>24</v>
      </c>
      <c r="P85" s="30">
        <v>24</v>
      </c>
      <c r="Q85" s="30">
        <v>24</v>
      </c>
      <c r="S85" s="30">
        <f t="shared" si="4"/>
        <v>880</v>
      </c>
      <c r="T85" s="31">
        <f t="shared" si="5"/>
        <v>0</v>
      </c>
    </row>
    <row r="86" spans="1:20" x14ac:dyDescent="0.35">
      <c r="A86" s="30">
        <v>89</v>
      </c>
      <c r="B86" s="30">
        <f t="shared" si="3"/>
        <v>890</v>
      </c>
      <c r="C86" s="30">
        <v>158</v>
      </c>
      <c r="D86" s="30">
        <v>114</v>
      </c>
      <c r="E86" s="30">
        <v>94</v>
      </c>
      <c r="F86" s="30">
        <v>84</v>
      </c>
      <c r="G86" s="30">
        <v>74</v>
      </c>
      <c r="H86" s="30">
        <v>64</v>
      </c>
      <c r="I86" s="30">
        <v>54</v>
      </c>
      <c r="J86" s="30">
        <v>44</v>
      </c>
      <c r="K86" s="30">
        <v>34</v>
      </c>
      <c r="L86" s="30">
        <v>34</v>
      </c>
      <c r="M86" s="30">
        <v>30</v>
      </c>
      <c r="N86" s="30">
        <v>30</v>
      </c>
      <c r="O86" s="30">
        <v>24</v>
      </c>
      <c r="P86" s="30">
        <v>24</v>
      </c>
      <c r="Q86" s="30">
        <v>24</v>
      </c>
      <c r="S86" s="30">
        <f t="shared" si="4"/>
        <v>886</v>
      </c>
      <c r="T86" s="31">
        <f t="shared" si="5"/>
        <v>4</v>
      </c>
    </row>
    <row r="87" spans="1:20" x14ac:dyDescent="0.35">
      <c r="A87" s="30">
        <v>90</v>
      </c>
      <c r="B87" s="30">
        <f t="shared" si="3"/>
        <v>900</v>
      </c>
      <c r="C87" s="30">
        <v>160</v>
      </c>
      <c r="D87" s="30">
        <v>116</v>
      </c>
      <c r="E87" s="30">
        <v>96</v>
      </c>
      <c r="F87" s="30">
        <v>84</v>
      </c>
      <c r="G87" s="30">
        <v>74</v>
      </c>
      <c r="H87" s="30">
        <v>64</v>
      </c>
      <c r="I87" s="30">
        <v>54</v>
      </c>
      <c r="J87" s="30">
        <v>46</v>
      </c>
      <c r="K87" s="30">
        <v>36</v>
      </c>
      <c r="L87" s="30">
        <v>36</v>
      </c>
      <c r="M87" s="30">
        <v>30</v>
      </c>
      <c r="N87" s="30">
        <v>30</v>
      </c>
      <c r="O87" s="30">
        <v>26</v>
      </c>
      <c r="P87" s="30">
        <v>26</v>
      </c>
      <c r="Q87" s="30">
        <v>26</v>
      </c>
      <c r="S87" s="30">
        <f t="shared" si="4"/>
        <v>904</v>
      </c>
      <c r="T87" s="31">
        <f t="shared" si="5"/>
        <v>-4</v>
      </c>
    </row>
    <row r="88" spans="1:20" x14ac:dyDescent="0.35">
      <c r="A88" s="30">
        <v>91</v>
      </c>
      <c r="B88" s="30">
        <f t="shared" si="3"/>
        <v>910</v>
      </c>
      <c r="C88" s="30">
        <v>162</v>
      </c>
      <c r="D88" s="30">
        <v>114</v>
      </c>
      <c r="E88" s="30">
        <v>94</v>
      </c>
      <c r="F88" s="30">
        <v>86</v>
      </c>
      <c r="G88" s="30">
        <v>70</v>
      </c>
      <c r="H88" s="30">
        <v>62</v>
      </c>
      <c r="I88" s="30">
        <v>52</v>
      </c>
      <c r="J88" s="30">
        <v>48</v>
      </c>
      <c r="K88" s="30">
        <v>38</v>
      </c>
      <c r="L88" s="30">
        <v>34</v>
      </c>
      <c r="M88" s="30">
        <v>28</v>
      </c>
      <c r="N88" s="30">
        <v>28</v>
      </c>
      <c r="O88" s="30">
        <v>24</v>
      </c>
      <c r="P88" s="30">
        <v>24</v>
      </c>
      <c r="Q88" s="30">
        <v>24</v>
      </c>
      <c r="R88" s="30">
        <v>24</v>
      </c>
      <c r="S88" s="30">
        <f t="shared" si="4"/>
        <v>912</v>
      </c>
      <c r="T88" s="31">
        <f t="shared" si="5"/>
        <v>-2</v>
      </c>
    </row>
    <row r="89" spans="1:20" x14ac:dyDescent="0.35">
      <c r="A89" s="30">
        <v>92</v>
      </c>
      <c r="B89" s="30">
        <f t="shared" si="3"/>
        <v>920</v>
      </c>
      <c r="C89" s="30">
        <v>162</v>
      </c>
      <c r="D89" s="30">
        <v>116</v>
      </c>
      <c r="E89" s="30">
        <v>96</v>
      </c>
      <c r="F89" s="30">
        <v>86</v>
      </c>
      <c r="G89" s="30">
        <v>72</v>
      </c>
      <c r="H89" s="30">
        <v>62</v>
      </c>
      <c r="I89" s="30">
        <v>52</v>
      </c>
      <c r="J89" s="30">
        <v>48</v>
      </c>
      <c r="K89" s="30">
        <v>38</v>
      </c>
      <c r="L89" s="30">
        <v>34</v>
      </c>
      <c r="M89" s="30">
        <v>28</v>
      </c>
      <c r="N89" s="30">
        <v>28</v>
      </c>
      <c r="O89" s="30">
        <v>24</v>
      </c>
      <c r="P89" s="30">
        <v>24</v>
      </c>
      <c r="Q89" s="30">
        <v>24</v>
      </c>
      <c r="R89" s="30">
        <v>24</v>
      </c>
      <c r="S89" s="30">
        <f t="shared" si="4"/>
        <v>918</v>
      </c>
      <c r="T89" s="31">
        <f t="shared" si="5"/>
        <v>2</v>
      </c>
    </row>
    <row r="90" spans="1:20" x14ac:dyDescent="0.35">
      <c r="A90" s="30">
        <v>93</v>
      </c>
      <c r="B90" s="30">
        <f t="shared" si="3"/>
        <v>930</v>
      </c>
      <c r="C90" s="30">
        <v>164</v>
      </c>
      <c r="D90" s="30">
        <v>116</v>
      </c>
      <c r="E90" s="30">
        <v>96</v>
      </c>
      <c r="F90" s="30">
        <v>88</v>
      </c>
      <c r="G90" s="30">
        <v>72</v>
      </c>
      <c r="H90" s="30">
        <v>64</v>
      </c>
      <c r="I90" s="30">
        <v>54</v>
      </c>
      <c r="J90" s="30">
        <v>48</v>
      </c>
      <c r="K90" s="30">
        <v>40</v>
      </c>
      <c r="L90" s="30">
        <v>34</v>
      </c>
      <c r="M90" s="30">
        <v>28</v>
      </c>
      <c r="N90" s="30">
        <v>28</v>
      </c>
      <c r="O90" s="30">
        <v>24</v>
      </c>
      <c r="P90" s="30">
        <v>24</v>
      </c>
      <c r="Q90" s="30">
        <v>24</v>
      </c>
      <c r="R90" s="30">
        <v>24</v>
      </c>
      <c r="S90" s="30">
        <f t="shared" si="4"/>
        <v>928</v>
      </c>
      <c r="T90" s="31">
        <f t="shared" si="5"/>
        <v>2</v>
      </c>
    </row>
    <row r="91" spans="1:20" x14ac:dyDescent="0.35">
      <c r="A91" s="30">
        <v>94</v>
      </c>
      <c r="B91" s="30">
        <f t="shared" si="3"/>
        <v>940</v>
      </c>
      <c r="C91" s="30">
        <v>166</v>
      </c>
      <c r="D91" s="30">
        <v>118</v>
      </c>
      <c r="E91" s="30">
        <v>98</v>
      </c>
      <c r="F91" s="30">
        <v>88</v>
      </c>
      <c r="G91" s="30">
        <v>74</v>
      </c>
      <c r="H91" s="30">
        <v>64</v>
      </c>
      <c r="I91" s="30">
        <v>54</v>
      </c>
      <c r="J91" s="30">
        <v>48</v>
      </c>
      <c r="K91" s="30">
        <v>40</v>
      </c>
      <c r="L91" s="30">
        <v>34</v>
      </c>
      <c r="M91" s="30">
        <v>30</v>
      </c>
      <c r="N91" s="30">
        <v>30</v>
      </c>
      <c r="O91" s="30">
        <v>24</v>
      </c>
      <c r="P91" s="30">
        <v>24</v>
      </c>
      <c r="Q91" s="30">
        <v>24</v>
      </c>
      <c r="R91" s="30">
        <v>24</v>
      </c>
      <c r="S91" s="30">
        <f t="shared" si="4"/>
        <v>940</v>
      </c>
      <c r="T91" s="31">
        <f t="shared" si="5"/>
        <v>0</v>
      </c>
    </row>
    <row r="92" spans="1:20" x14ac:dyDescent="0.35">
      <c r="A92" s="30">
        <v>95</v>
      </c>
      <c r="B92" s="30">
        <f t="shared" si="3"/>
        <v>950</v>
      </c>
      <c r="C92" s="30">
        <v>168</v>
      </c>
      <c r="D92" s="30">
        <v>118</v>
      </c>
      <c r="E92" s="30">
        <v>98</v>
      </c>
      <c r="F92" s="30">
        <v>90</v>
      </c>
      <c r="G92" s="30">
        <v>74</v>
      </c>
      <c r="H92" s="30">
        <v>64</v>
      </c>
      <c r="I92" s="30">
        <v>54</v>
      </c>
      <c r="J92" s="30">
        <v>50</v>
      </c>
      <c r="K92" s="30">
        <v>40</v>
      </c>
      <c r="L92" s="30">
        <v>36</v>
      </c>
      <c r="M92" s="30">
        <v>30</v>
      </c>
      <c r="N92" s="30">
        <v>30</v>
      </c>
      <c r="O92" s="30">
        <v>24</v>
      </c>
      <c r="P92" s="30">
        <v>24</v>
      </c>
      <c r="Q92" s="30">
        <v>24</v>
      </c>
      <c r="R92" s="30">
        <v>24</v>
      </c>
      <c r="S92" s="30">
        <f t="shared" si="4"/>
        <v>948</v>
      </c>
      <c r="T92" s="31">
        <f t="shared" si="5"/>
        <v>2</v>
      </c>
    </row>
    <row r="93" spans="1:20" x14ac:dyDescent="0.35">
      <c r="A93" s="30">
        <v>96</v>
      </c>
      <c r="B93" s="30">
        <f t="shared" si="3"/>
        <v>960</v>
      </c>
      <c r="C93" s="30">
        <v>170</v>
      </c>
      <c r="D93" s="30">
        <v>120</v>
      </c>
      <c r="E93" s="30">
        <v>100</v>
      </c>
      <c r="F93" s="30">
        <v>90</v>
      </c>
      <c r="G93" s="30">
        <v>74</v>
      </c>
      <c r="H93" s="30">
        <v>66</v>
      </c>
      <c r="I93" s="30">
        <v>54</v>
      </c>
      <c r="J93" s="30">
        <v>50</v>
      </c>
      <c r="K93" s="30">
        <v>40</v>
      </c>
      <c r="L93" s="30">
        <v>36</v>
      </c>
      <c r="M93" s="30">
        <v>30</v>
      </c>
      <c r="N93" s="30">
        <v>30</v>
      </c>
      <c r="O93" s="30">
        <v>24</v>
      </c>
      <c r="P93" s="30">
        <v>24</v>
      </c>
      <c r="Q93" s="30">
        <v>24</v>
      </c>
      <c r="R93" s="30">
        <v>24</v>
      </c>
      <c r="S93" s="30">
        <f t="shared" si="4"/>
        <v>956</v>
      </c>
      <c r="T93" s="31">
        <f t="shared" si="5"/>
        <v>4</v>
      </c>
    </row>
    <row r="94" spans="1:20" x14ac:dyDescent="0.35">
      <c r="T94" s="31">
        <f>SUM(T4:T93)</f>
        <v>-6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09FDF-2A2D-475A-9356-3D2718EBCD1A}">
  <sheetPr codeName="Sheet3"/>
  <dimension ref="A1:T94"/>
  <sheetViews>
    <sheetView workbookViewId="0">
      <selection activeCell="I3" sqref="I3"/>
    </sheetView>
  </sheetViews>
  <sheetFormatPr defaultRowHeight="21" x14ac:dyDescent="0.35"/>
  <cols>
    <col min="1" max="1" width="13" style="30" customWidth="1"/>
    <col min="2" max="2" width="9.140625" style="30"/>
    <col min="3" max="18" width="9.28515625" style="30" customWidth="1"/>
    <col min="19" max="16384" width="9.140625" style="30"/>
  </cols>
  <sheetData>
    <row r="1" spans="1:20" x14ac:dyDescent="0.35">
      <c r="A1" s="30" t="s">
        <v>86</v>
      </c>
    </row>
    <row r="2" spans="1:20" x14ac:dyDescent="0.35">
      <c r="A2" s="30" t="s">
        <v>85</v>
      </c>
      <c r="B2" s="30">
        <v>20</v>
      </c>
      <c r="D2" s="30" t="s">
        <v>90</v>
      </c>
      <c r="I2" s="32">
        <v>1</v>
      </c>
    </row>
    <row r="3" spans="1:20" x14ac:dyDescent="0.35">
      <c r="A3" s="30" t="s">
        <v>67</v>
      </c>
      <c r="B3" s="30" t="s">
        <v>68</v>
      </c>
      <c r="C3" s="30" t="s">
        <v>69</v>
      </c>
      <c r="D3" s="30" t="s">
        <v>70</v>
      </c>
      <c r="E3" s="30" t="s">
        <v>71</v>
      </c>
      <c r="F3" s="30" t="s">
        <v>72</v>
      </c>
      <c r="G3" s="30" t="s">
        <v>73</v>
      </c>
      <c r="H3" s="30" t="s">
        <v>74</v>
      </c>
      <c r="I3" s="30" t="s">
        <v>75</v>
      </c>
      <c r="J3" s="30" t="s">
        <v>76</v>
      </c>
      <c r="K3" s="30" t="s">
        <v>77</v>
      </c>
      <c r="L3" s="30" t="s">
        <v>78</v>
      </c>
      <c r="M3" s="30" t="s">
        <v>79</v>
      </c>
      <c r="N3" s="30" t="s">
        <v>80</v>
      </c>
      <c r="O3" s="30" t="s">
        <v>81</v>
      </c>
      <c r="P3" s="30" t="s">
        <v>82</v>
      </c>
      <c r="Q3" s="30" t="s">
        <v>83</v>
      </c>
      <c r="R3" s="30" t="s">
        <v>84</v>
      </c>
      <c r="S3" s="30" t="s">
        <v>68</v>
      </c>
      <c r="T3" s="30" t="s">
        <v>88</v>
      </c>
    </row>
    <row r="4" spans="1:20" x14ac:dyDescent="0.35">
      <c r="A4" s="30">
        <v>7</v>
      </c>
      <c r="B4" s="30">
        <f>A4*$B$2</f>
        <v>140</v>
      </c>
      <c r="C4" s="30">
        <v>82</v>
      </c>
      <c r="D4" s="30">
        <v>58</v>
      </c>
      <c r="S4" s="30">
        <f t="shared" ref="S4:S35" si="0">SUM(C4:R4)</f>
        <v>140</v>
      </c>
      <c r="T4" s="31">
        <f>B4-S4</f>
        <v>0</v>
      </c>
    </row>
    <row r="5" spans="1:20" x14ac:dyDescent="0.35">
      <c r="A5" s="30">
        <v>8</v>
      </c>
      <c r="B5" s="30">
        <f t="shared" ref="B5:B68" si="1">A5*$B$2</f>
        <v>160</v>
      </c>
      <c r="C5" s="30">
        <v>94</v>
      </c>
      <c r="D5" s="30">
        <v>66</v>
      </c>
      <c r="S5" s="30">
        <f t="shared" si="0"/>
        <v>160</v>
      </c>
      <c r="T5" s="31">
        <f t="shared" ref="T5:T68" si="2">B5-S5</f>
        <v>0</v>
      </c>
    </row>
    <row r="6" spans="1:20" x14ac:dyDescent="0.35">
      <c r="A6" s="30">
        <v>9</v>
      </c>
      <c r="B6" s="30">
        <f t="shared" si="1"/>
        <v>180</v>
      </c>
      <c r="C6" s="30">
        <v>104</v>
      </c>
      <c r="D6" s="30">
        <v>76</v>
      </c>
      <c r="S6" s="30">
        <f t="shared" si="0"/>
        <v>180</v>
      </c>
      <c r="T6" s="31">
        <f t="shared" si="2"/>
        <v>0</v>
      </c>
    </row>
    <row r="7" spans="1:20" x14ac:dyDescent="0.35">
      <c r="A7" s="30">
        <v>10</v>
      </c>
      <c r="B7" s="30">
        <f t="shared" si="1"/>
        <v>200</v>
      </c>
      <c r="C7" s="30">
        <v>116</v>
      </c>
      <c r="D7" s="30">
        <v>84</v>
      </c>
      <c r="S7" s="30">
        <f t="shared" si="0"/>
        <v>200</v>
      </c>
      <c r="T7" s="31">
        <f t="shared" si="2"/>
        <v>0</v>
      </c>
    </row>
    <row r="8" spans="1:20" x14ac:dyDescent="0.35">
      <c r="A8" s="30">
        <v>11</v>
      </c>
      <c r="B8" s="30">
        <f t="shared" si="1"/>
        <v>220</v>
      </c>
      <c r="C8" s="30">
        <v>128</v>
      </c>
      <c r="D8" s="30">
        <v>92</v>
      </c>
      <c r="S8" s="30">
        <f t="shared" si="0"/>
        <v>220</v>
      </c>
      <c r="T8" s="31">
        <f t="shared" si="2"/>
        <v>0</v>
      </c>
    </row>
    <row r="9" spans="1:20" x14ac:dyDescent="0.35">
      <c r="A9" s="30">
        <v>12</v>
      </c>
      <c r="B9" s="30">
        <f t="shared" si="1"/>
        <v>240</v>
      </c>
      <c r="C9" s="30">
        <v>140</v>
      </c>
      <c r="D9" s="30">
        <v>100</v>
      </c>
      <c r="S9" s="30">
        <f t="shared" si="0"/>
        <v>240</v>
      </c>
      <c r="T9" s="31">
        <f t="shared" si="2"/>
        <v>0</v>
      </c>
    </row>
    <row r="10" spans="1:20" x14ac:dyDescent="0.35">
      <c r="A10" s="30">
        <v>13</v>
      </c>
      <c r="B10" s="30">
        <f t="shared" si="1"/>
        <v>260</v>
      </c>
      <c r="C10" s="30">
        <v>108</v>
      </c>
      <c r="D10" s="30">
        <v>86</v>
      </c>
      <c r="E10" s="30">
        <v>66</v>
      </c>
      <c r="S10" s="30">
        <f t="shared" si="0"/>
        <v>260</v>
      </c>
      <c r="T10" s="31">
        <f t="shared" si="2"/>
        <v>0</v>
      </c>
    </row>
    <row r="11" spans="1:20" x14ac:dyDescent="0.35">
      <c r="A11" s="30">
        <v>14</v>
      </c>
      <c r="B11" s="30">
        <f t="shared" si="1"/>
        <v>280</v>
      </c>
      <c r="C11" s="30">
        <v>116</v>
      </c>
      <c r="D11" s="30">
        <v>94</v>
      </c>
      <c r="E11" s="30">
        <v>70</v>
      </c>
      <c r="S11" s="30">
        <f t="shared" si="0"/>
        <v>280</v>
      </c>
      <c r="T11" s="31">
        <f t="shared" si="2"/>
        <v>0</v>
      </c>
    </row>
    <row r="12" spans="1:20" x14ac:dyDescent="0.35">
      <c r="A12" s="30">
        <v>15</v>
      </c>
      <c r="B12" s="30">
        <f t="shared" si="1"/>
        <v>300</v>
      </c>
      <c r="C12" s="30">
        <v>126</v>
      </c>
      <c r="D12" s="30">
        <v>100</v>
      </c>
      <c r="E12" s="30">
        <v>76</v>
      </c>
      <c r="S12" s="30">
        <f t="shared" si="0"/>
        <v>302</v>
      </c>
      <c r="T12" s="31">
        <f t="shared" si="2"/>
        <v>-2</v>
      </c>
    </row>
    <row r="13" spans="1:20" x14ac:dyDescent="0.35">
      <c r="A13" s="30">
        <v>16</v>
      </c>
      <c r="B13" s="30">
        <f t="shared" si="1"/>
        <v>320</v>
      </c>
      <c r="C13" s="30">
        <v>134</v>
      </c>
      <c r="D13" s="30">
        <v>106</v>
      </c>
      <c r="E13" s="30">
        <v>80</v>
      </c>
      <c r="S13" s="30">
        <f t="shared" si="0"/>
        <v>320</v>
      </c>
      <c r="T13" s="31">
        <f t="shared" si="2"/>
        <v>0</v>
      </c>
    </row>
    <row r="14" spans="1:20" x14ac:dyDescent="0.35">
      <c r="A14" s="30">
        <v>17</v>
      </c>
      <c r="B14" s="30">
        <f t="shared" si="1"/>
        <v>340</v>
      </c>
      <c r="C14" s="30">
        <v>142</v>
      </c>
      <c r="D14" s="30">
        <v>114</v>
      </c>
      <c r="E14" s="30">
        <v>86</v>
      </c>
      <c r="S14" s="30">
        <f t="shared" si="0"/>
        <v>342</v>
      </c>
      <c r="T14" s="31">
        <f t="shared" si="2"/>
        <v>-2</v>
      </c>
    </row>
    <row r="15" spans="1:20" x14ac:dyDescent="0.35">
      <c r="A15" s="30">
        <v>18</v>
      </c>
      <c r="B15" s="30">
        <f t="shared" si="1"/>
        <v>360</v>
      </c>
      <c r="C15" s="30">
        <v>150</v>
      </c>
      <c r="D15" s="30">
        <v>120</v>
      </c>
      <c r="E15" s="30">
        <v>90</v>
      </c>
      <c r="S15" s="30">
        <f t="shared" si="0"/>
        <v>360</v>
      </c>
      <c r="T15" s="31">
        <f t="shared" si="2"/>
        <v>0</v>
      </c>
    </row>
    <row r="16" spans="1:20" x14ac:dyDescent="0.35">
      <c r="A16" s="30">
        <v>19</v>
      </c>
      <c r="B16" s="30">
        <f t="shared" si="1"/>
        <v>380</v>
      </c>
      <c r="C16" s="30">
        <v>126</v>
      </c>
      <c r="D16" s="30">
        <v>96</v>
      </c>
      <c r="E16" s="30">
        <v>88</v>
      </c>
      <c r="F16" s="30">
        <v>72</v>
      </c>
      <c r="S16" s="30">
        <f t="shared" si="0"/>
        <v>382</v>
      </c>
      <c r="T16" s="31">
        <f t="shared" si="2"/>
        <v>-2</v>
      </c>
    </row>
    <row r="17" spans="1:20" x14ac:dyDescent="0.35">
      <c r="A17" s="30">
        <v>20</v>
      </c>
      <c r="B17" s="30">
        <f t="shared" si="1"/>
        <v>400</v>
      </c>
      <c r="C17" s="30">
        <v>134</v>
      </c>
      <c r="D17" s="30">
        <v>100</v>
      </c>
      <c r="E17" s="30">
        <v>92</v>
      </c>
      <c r="F17" s="30">
        <v>76</v>
      </c>
      <c r="S17" s="30">
        <f t="shared" si="0"/>
        <v>402</v>
      </c>
      <c r="T17" s="31">
        <f t="shared" si="2"/>
        <v>-2</v>
      </c>
    </row>
    <row r="18" spans="1:20" x14ac:dyDescent="0.35">
      <c r="A18" s="30">
        <v>21</v>
      </c>
      <c r="B18" s="30">
        <f t="shared" si="1"/>
        <v>420</v>
      </c>
      <c r="C18" s="30">
        <v>140</v>
      </c>
      <c r="D18" s="30">
        <v>106</v>
      </c>
      <c r="E18" s="30">
        <v>96</v>
      </c>
      <c r="F18" s="30">
        <v>78</v>
      </c>
      <c r="S18" s="30">
        <f t="shared" si="0"/>
        <v>420</v>
      </c>
      <c r="T18" s="31">
        <f t="shared" si="2"/>
        <v>0</v>
      </c>
    </row>
    <row r="19" spans="1:20" x14ac:dyDescent="0.35">
      <c r="A19" s="30">
        <v>22</v>
      </c>
      <c r="B19" s="30">
        <f t="shared" si="1"/>
        <v>440</v>
      </c>
      <c r="C19" s="30">
        <v>146</v>
      </c>
      <c r="D19" s="30">
        <v>110</v>
      </c>
      <c r="E19" s="30">
        <v>100</v>
      </c>
      <c r="F19" s="30">
        <v>82</v>
      </c>
      <c r="S19" s="30">
        <f t="shared" si="0"/>
        <v>438</v>
      </c>
      <c r="T19" s="31">
        <f t="shared" si="2"/>
        <v>2</v>
      </c>
    </row>
    <row r="20" spans="1:20" x14ac:dyDescent="0.35">
      <c r="A20" s="30">
        <v>23</v>
      </c>
      <c r="B20" s="30">
        <f t="shared" si="1"/>
        <v>460</v>
      </c>
      <c r="C20" s="30">
        <v>154</v>
      </c>
      <c r="D20" s="30">
        <v>116</v>
      </c>
      <c r="E20" s="30">
        <v>106</v>
      </c>
      <c r="F20" s="30">
        <v>86</v>
      </c>
      <c r="S20" s="30">
        <f t="shared" si="0"/>
        <v>462</v>
      </c>
      <c r="T20" s="31">
        <f t="shared" si="2"/>
        <v>-2</v>
      </c>
    </row>
    <row r="21" spans="1:20" x14ac:dyDescent="0.35">
      <c r="A21" s="30">
        <v>24</v>
      </c>
      <c r="B21" s="30">
        <f t="shared" si="1"/>
        <v>480</v>
      </c>
      <c r="C21" s="30">
        <v>160</v>
      </c>
      <c r="D21" s="30">
        <v>120</v>
      </c>
      <c r="E21" s="30">
        <v>110</v>
      </c>
      <c r="F21" s="30">
        <v>90</v>
      </c>
      <c r="S21" s="30">
        <f t="shared" si="0"/>
        <v>480</v>
      </c>
      <c r="T21" s="31">
        <f t="shared" si="2"/>
        <v>0</v>
      </c>
    </row>
    <row r="22" spans="1:20" x14ac:dyDescent="0.35">
      <c r="A22" s="30">
        <v>25</v>
      </c>
      <c r="B22" s="30">
        <f t="shared" si="1"/>
        <v>500</v>
      </c>
      <c r="C22" s="30">
        <v>142</v>
      </c>
      <c r="D22" s="30">
        <v>108</v>
      </c>
      <c r="E22" s="30">
        <v>92</v>
      </c>
      <c r="F22" s="30">
        <v>84</v>
      </c>
      <c r="G22" s="30">
        <v>76</v>
      </c>
      <c r="S22" s="30">
        <f t="shared" si="0"/>
        <v>502</v>
      </c>
      <c r="T22" s="31">
        <f t="shared" si="2"/>
        <v>-2</v>
      </c>
    </row>
    <row r="23" spans="1:20" x14ac:dyDescent="0.35">
      <c r="A23" s="30">
        <v>26</v>
      </c>
      <c r="B23" s="30">
        <f t="shared" si="1"/>
        <v>520</v>
      </c>
      <c r="C23" s="30">
        <v>148</v>
      </c>
      <c r="D23" s="30">
        <v>112</v>
      </c>
      <c r="E23" s="30">
        <v>96</v>
      </c>
      <c r="F23" s="30">
        <v>86</v>
      </c>
      <c r="G23" s="30">
        <v>78</v>
      </c>
      <c r="S23" s="30">
        <f t="shared" si="0"/>
        <v>520</v>
      </c>
      <c r="T23" s="31">
        <f t="shared" si="2"/>
        <v>0</v>
      </c>
    </row>
    <row r="24" spans="1:20" x14ac:dyDescent="0.35">
      <c r="A24" s="30">
        <v>27</v>
      </c>
      <c r="B24" s="30">
        <f t="shared" si="1"/>
        <v>540</v>
      </c>
      <c r="C24" s="30">
        <v>152</v>
      </c>
      <c r="D24" s="30">
        <v>118</v>
      </c>
      <c r="E24" s="30">
        <v>98</v>
      </c>
      <c r="F24" s="30">
        <v>90</v>
      </c>
      <c r="G24" s="30">
        <v>82</v>
      </c>
      <c r="S24" s="30">
        <f t="shared" si="0"/>
        <v>540</v>
      </c>
      <c r="T24" s="31">
        <f t="shared" si="2"/>
        <v>0</v>
      </c>
    </row>
    <row r="25" spans="1:20" x14ac:dyDescent="0.35">
      <c r="A25" s="30">
        <v>28</v>
      </c>
      <c r="B25" s="30">
        <f t="shared" si="1"/>
        <v>560</v>
      </c>
      <c r="C25" s="30">
        <v>158</v>
      </c>
      <c r="D25" s="30">
        <v>122</v>
      </c>
      <c r="E25" s="30">
        <v>102</v>
      </c>
      <c r="F25" s="30">
        <v>94</v>
      </c>
      <c r="G25" s="30">
        <v>84</v>
      </c>
      <c r="S25" s="30">
        <f t="shared" si="0"/>
        <v>560</v>
      </c>
      <c r="T25" s="31">
        <f t="shared" si="2"/>
        <v>0</v>
      </c>
    </row>
    <row r="26" spans="1:20" x14ac:dyDescent="0.35">
      <c r="A26" s="30">
        <v>29</v>
      </c>
      <c r="B26" s="30">
        <f t="shared" si="1"/>
        <v>580</v>
      </c>
      <c r="C26" s="30">
        <v>164</v>
      </c>
      <c r="D26" s="30">
        <v>126</v>
      </c>
      <c r="E26" s="30">
        <v>106</v>
      </c>
      <c r="F26" s="30">
        <v>96</v>
      </c>
      <c r="G26" s="30">
        <v>88</v>
      </c>
      <c r="S26" s="30">
        <f t="shared" si="0"/>
        <v>580</v>
      </c>
      <c r="T26" s="31">
        <f t="shared" si="2"/>
        <v>0</v>
      </c>
    </row>
    <row r="27" spans="1:20" x14ac:dyDescent="0.35">
      <c r="A27" s="30">
        <v>30</v>
      </c>
      <c r="B27" s="30">
        <f t="shared" si="1"/>
        <v>600</v>
      </c>
      <c r="C27" s="30">
        <v>170</v>
      </c>
      <c r="D27" s="30">
        <v>130</v>
      </c>
      <c r="E27" s="30">
        <v>110</v>
      </c>
      <c r="F27" s="30">
        <v>100</v>
      </c>
      <c r="G27" s="30">
        <v>90</v>
      </c>
      <c r="S27" s="30">
        <f t="shared" si="0"/>
        <v>600</v>
      </c>
      <c r="T27" s="31">
        <f t="shared" si="2"/>
        <v>0</v>
      </c>
    </row>
    <row r="28" spans="1:20" x14ac:dyDescent="0.35">
      <c r="A28" s="30">
        <v>31</v>
      </c>
      <c r="B28" s="30">
        <f t="shared" si="1"/>
        <v>620</v>
      </c>
      <c r="C28" s="30">
        <v>146</v>
      </c>
      <c r="D28" s="30">
        <v>112</v>
      </c>
      <c r="E28" s="30">
        <v>104</v>
      </c>
      <c r="F28" s="30">
        <v>94</v>
      </c>
      <c r="G28" s="30">
        <v>86</v>
      </c>
      <c r="H28" s="30">
        <v>78</v>
      </c>
      <c r="S28" s="30">
        <f t="shared" si="0"/>
        <v>620</v>
      </c>
      <c r="T28" s="31">
        <f t="shared" si="2"/>
        <v>0</v>
      </c>
    </row>
    <row r="29" spans="1:20" x14ac:dyDescent="0.35">
      <c r="A29" s="30">
        <v>32</v>
      </c>
      <c r="B29" s="30">
        <f t="shared" si="1"/>
        <v>640</v>
      </c>
      <c r="C29" s="30">
        <v>152</v>
      </c>
      <c r="D29" s="30">
        <v>116</v>
      </c>
      <c r="E29" s="30">
        <v>106</v>
      </c>
      <c r="F29" s="30">
        <v>98</v>
      </c>
      <c r="G29" s="30">
        <v>88</v>
      </c>
      <c r="H29" s="30">
        <v>80</v>
      </c>
      <c r="S29" s="30">
        <f t="shared" si="0"/>
        <v>640</v>
      </c>
      <c r="T29" s="31">
        <f t="shared" si="2"/>
        <v>0</v>
      </c>
    </row>
    <row r="30" spans="1:20" x14ac:dyDescent="0.35">
      <c r="A30" s="30">
        <v>33</v>
      </c>
      <c r="B30" s="30">
        <f t="shared" si="1"/>
        <v>660</v>
      </c>
      <c r="C30" s="30">
        <v>156</v>
      </c>
      <c r="D30" s="30">
        <v>118</v>
      </c>
      <c r="E30" s="30">
        <v>110</v>
      </c>
      <c r="F30" s="30">
        <v>100</v>
      </c>
      <c r="G30" s="30">
        <v>92</v>
      </c>
      <c r="H30" s="30">
        <v>82</v>
      </c>
      <c r="S30" s="30">
        <f t="shared" si="0"/>
        <v>658</v>
      </c>
      <c r="T30" s="31">
        <f t="shared" si="2"/>
        <v>2</v>
      </c>
    </row>
    <row r="31" spans="1:20" x14ac:dyDescent="0.35">
      <c r="A31" s="30">
        <v>34</v>
      </c>
      <c r="B31" s="30">
        <f t="shared" si="1"/>
        <v>680</v>
      </c>
      <c r="C31" s="30">
        <v>160</v>
      </c>
      <c r="D31" s="30">
        <v>122</v>
      </c>
      <c r="E31" s="30">
        <v>114</v>
      </c>
      <c r="F31" s="30">
        <v>104</v>
      </c>
      <c r="G31" s="30">
        <v>94</v>
      </c>
      <c r="H31" s="30">
        <v>86</v>
      </c>
      <c r="S31" s="30">
        <f t="shared" si="0"/>
        <v>680</v>
      </c>
      <c r="T31" s="31">
        <f t="shared" si="2"/>
        <v>0</v>
      </c>
    </row>
    <row r="32" spans="1:20" x14ac:dyDescent="0.35">
      <c r="A32" s="30">
        <v>35</v>
      </c>
      <c r="B32" s="30">
        <f t="shared" si="1"/>
        <v>700</v>
      </c>
      <c r="C32" s="30">
        <v>166</v>
      </c>
      <c r="D32" s="30">
        <v>126</v>
      </c>
      <c r="E32" s="30">
        <v>116</v>
      </c>
      <c r="F32" s="30">
        <v>108</v>
      </c>
      <c r="G32" s="30">
        <v>98</v>
      </c>
      <c r="H32" s="30">
        <v>88</v>
      </c>
      <c r="S32" s="30">
        <f t="shared" si="0"/>
        <v>702</v>
      </c>
      <c r="T32" s="31">
        <f t="shared" si="2"/>
        <v>-2</v>
      </c>
    </row>
    <row r="33" spans="1:20" x14ac:dyDescent="0.35">
      <c r="A33" s="30">
        <v>36</v>
      </c>
      <c r="B33" s="30">
        <f t="shared" si="1"/>
        <v>720</v>
      </c>
      <c r="C33" s="30">
        <v>170</v>
      </c>
      <c r="D33" s="30">
        <v>130</v>
      </c>
      <c r="E33" s="30">
        <v>120</v>
      </c>
      <c r="F33" s="30">
        <v>110</v>
      </c>
      <c r="G33" s="30">
        <v>100</v>
      </c>
      <c r="H33" s="30">
        <v>90</v>
      </c>
      <c r="S33" s="30">
        <f t="shared" si="0"/>
        <v>720</v>
      </c>
      <c r="T33" s="31">
        <f t="shared" si="2"/>
        <v>0</v>
      </c>
    </row>
    <row r="34" spans="1:20" x14ac:dyDescent="0.35">
      <c r="A34" s="30">
        <v>37</v>
      </c>
      <c r="B34" s="30">
        <f t="shared" si="1"/>
        <v>740</v>
      </c>
      <c r="C34" s="30">
        <v>158</v>
      </c>
      <c r="D34" s="30">
        <v>124</v>
      </c>
      <c r="E34" s="30">
        <v>114</v>
      </c>
      <c r="F34" s="30">
        <v>106</v>
      </c>
      <c r="G34" s="30">
        <v>96</v>
      </c>
      <c r="H34" s="30">
        <v>80</v>
      </c>
      <c r="I34" s="30">
        <v>62</v>
      </c>
      <c r="S34" s="30">
        <f t="shared" si="0"/>
        <v>740</v>
      </c>
      <c r="T34" s="31">
        <f t="shared" si="2"/>
        <v>0</v>
      </c>
    </row>
    <row r="35" spans="1:20" x14ac:dyDescent="0.35">
      <c r="A35" s="30">
        <v>38</v>
      </c>
      <c r="B35" s="30">
        <f t="shared" si="1"/>
        <v>760</v>
      </c>
      <c r="C35" s="30">
        <v>162</v>
      </c>
      <c r="D35" s="30">
        <v>126</v>
      </c>
      <c r="E35" s="30">
        <v>118</v>
      </c>
      <c r="F35" s="30">
        <v>108</v>
      </c>
      <c r="G35" s="30">
        <v>100</v>
      </c>
      <c r="H35" s="30">
        <v>82</v>
      </c>
      <c r="I35" s="30">
        <v>64</v>
      </c>
      <c r="S35" s="30">
        <f t="shared" si="0"/>
        <v>760</v>
      </c>
      <c r="T35" s="31">
        <f t="shared" si="2"/>
        <v>0</v>
      </c>
    </row>
    <row r="36" spans="1:20" x14ac:dyDescent="0.35">
      <c r="A36" s="30">
        <v>39</v>
      </c>
      <c r="B36" s="30">
        <f t="shared" si="1"/>
        <v>780</v>
      </c>
      <c r="C36" s="30">
        <v>166</v>
      </c>
      <c r="D36" s="30">
        <v>130</v>
      </c>
      <c r="E36" s="30">
        <v>120</v>
      </c>
      <c r="F36" s="30">
        <v>112</v>
      </c>
      <c r="G36" s="30">
        <v>102</v>
      </c>
      <c r="H36" s="30">
        <v>84</v>
      </c>
      <c r="I36" s="30">
        <v>64</v>
      </c>
      <c r="S36" s="30">
        <f t="shared" ref="S36:S67" si="3">SUM(C36:R36)</f>
        <v>778</v>
      </c>
      <c r="T36" s="31">
        <f t="shared" si="2"/>
        <v>2</v>
      </c>
    </row>
    <row r="37" spans="1:20" x14ac:dyDescent="0.35">
      <c r="A37" s="30">
        <v>40</v>
      </c>
      <c r="B37" s="30">
        <f t="shared" si="1"/>
        <v>800</v>
      </c>
      <c r="C37" s="30">
        <v>172</v>
      </c>
      <c r="D37" s="30">
        <v>134</v>
      </c>
      <c r="E37" s="30">
        <v>124</v>
      </c>
      <c r="F37" s="30">
        <v>114</v>
      </c>
      <c r="G37" s="30">
        <v>104</v>
      </c>
      <c r="H37" s="30">
        <v>86</v>
      </c>
      <c r="I37" s="30">
        <v>66</v>
      </c>
      <c r="S37" s="30">
        <f t="shared" si="3"/>
        <v>800</v>
      </c>
      <c r="T37" s="31">
        <f t="shared" si="2"/>
        <v>0</v>
      </c>
    </row>
    <row r="38" spans="1:20" x14ac:dyDescent="0.35">
      <c r="A38" s="30">
        <v>41</v>
      </c>
      <c r="B38" s="30">
        <f t="shared" si="1"/>
        <v>820</v>
      </c>
      <c r="C38" s="30">
        <v>176</v>
      </c>
      <c r="D38" s="30">
        <v>136</v>
      </c>
      <c r="E38" s="30">
        <v>128</v>
      </c>
      <c r="F38" s="30">
        <v>118</v>
      </c>
      <c r="G38" s="30">
        <v>108</v>
      </c>
      <c r="H38" s="30">
        <v>88</v>
      </c>
      <c r="I38" s="30">
        <v>68</v>
      </c>
      <c r="S38" s="30">
        <f t="shared" si="3"/>
        <v>822</v>
      </c>
      <c r="T38" s="31">
        <f t="shared" si="2"/>
        <v>-2</v>
      </c>
    </row>
    <row r="39" spans="1:20" x14ac:dyDescent="0.35">
      <c r="A39" s="30">
        <v>42</v>
      </c>
      <c r="B39" s="30">
        <f t="shared" si="1"/>
        <v>840</v>
      </c>
      <c r="C39" s="30">
        <v>180</v>
      </c>
      <c r="D39" s="30">
        <v>140</v>
      </c>
      <c r="E39" s="30">
        <v>130</v>
      </c>
      <c r="F39" s="30">
        <v>120</v>
      </c>
      <c r="G39" s="30">
        <v>110</v>
      </c>
      <c r="H39" s="30">
        <v>90</v>
      </c>
      <c r="I39" s="30">
        <v>70</v>
      </c>
      <c r="S39" s="30">
        <f t="shared" si="3"/>
        <v>840</v>
      </c>
      <c r="T39" s="31">
        <f t="shared" si="2"/>
        <v>0</v>
      </c>
    </row>
    <row r="40" spans="1:20" x14ac:dyDescent="0.35">
      <c r="A40" s="30">
        <v>43</v>
      </c>
      <c r="B40" s="30">
        <f t="shared" si="1"/>
        <v>860</v>
      </c>
      <c r="C40" s="30">
        <v>170</v>
      </c>
      <c r="D40" s="30">
        <v>134</v>
      </c>
      <c r="E40" s="30">
        <v>116</v>
      </c>
      <c r="F40" s="30">
        <v>108</v>
      </c>
      <c r="G40" s="30">
        <v>98</v>
      </c>
      <c r="H40" s="30">
        <v>90</v>
      </c>
      <c r="I40" s="30">
        <v>80</v>
      </c>
      <c r="J40" s="30">
        <v>62</v>
      </c>
      <c r="S40" s="30">
        <f t="shared" si="3"/>
        <v>858</v>
      </c>
      <c r="T40" s="31">
        <f t="shared" si="2"/>
        <v>2</v>
      </c>
    </row>
    <row r="41" spans="1:20" x14ac:dyDescent="0.35">
      <c r="A41" s="30">
        <v>44</v>
      </c>
      <c r="B41" s="30">
        <f t="shared" si="1"/>
        <v>880</v>
      </c>
      <c r="C41" s="30">
        <v>174</v>
      </c>
      <c r="D41" s="30">
        <v>138</v>
      </c>
      <c r="E41" s="30">
        <v>118</v>
      </c>
      <c r="F41" s="30">
        <v>110</v>
      </c>
      <c r="G41" s="30">
        <v>102</v>
      </c>
      <c r="H41" s="30">
        <v>92</v>
      </c>
      <c r="I41" s="30">
        <v>82</v>
      </c>
      <c r="J41" s="30">
        <v>64</v>
      </c>
      <c r="S41" s="30">
        <f t="shared" si="3"/>
        <v>880</v>
      </c>
      <c r="T41" s="31">
        <f t="shared" si="2"/>
        <v>0</v>
      </c>
    </row>
    <row r="42" spans="1:20" x14ac:dyDescent="0.35">
      <c r="A42" s="30">
        <v>45</v>
      </c>
      <c r="B42" s="30">
        <f t="shared" si="1"/>
        <v>900</v>
      </c>
      <c r="C42" s="30">
        <v>178</v>
      </c>
      <c r="D42" s="30">
        <v>140</v>
      </c>
      <c r="E42" s="30">
        <v>122</v>
      </c>
      <c r="F42" s="30">
        <v>112</v>
      </c>
      <c r="G42" s="30">
        <v>104</v>
      </c>
      <c r="H42" s="30">
        <v>94</v>
      </c>
      <c r="I42" s="30">
        <v>84</v>
      </c>
      <c r="J42" s="30">
        <v>66</v>
      </c>
      <c r="S42" s="30">
        <f t="shared" si="3"/>
        <v>900</v>
      </c>
      <c r="T42" s="31">
        <f t="shared" si="2"/>
        <v>0</v>
      </c>
    </row>
    <row r="43" spans="1:20" x14ac:dyDescent="0.35">
      <c r="A43" s="30">
        <v>46</v>
      </c>
      <c r="B43" s="30">
        <f t="shared" si="1"/>
        <v>920</v>
      </c>
      <c r="C43" s="30">
        <v>182</v>
      </c>
      <c r="D43" s="30">
        <v>144</v>
      </c>
      <c r="E43" s="30">
        <v>124</v>
      </c>
      <c r="F43" s="30">
        <v>116</v>
      </c>
      <c r="G43" s="30">
        <v>106</v>
      </c>
      <c r="H43" s="30">
        <v>96</v>
      </c>
      <c r="I43" s="30">
        <v>86</v>
      </c>
      <c r="J43" s="30">
        <v>68</v>
      </c>
      <c r="S43" s="30">
        <f t="shared" si="3"/>
        <v>922</v>
      </c>
      <c r="T43" s="31">
        <f t="shared" si="2"/>
        <v>-2</v>
      </c>
    </row>
    <row r="44" spans="1:20" x14ac:dyDescent="0.35">
      <c r="A44" s="30">
        <v>47</v>
      </c>
      <c r="B44" s="30">
        <f t="shared" si="1"/>
        <v>940</v>
      </c>
      <c r="C44" s="30">
        <v>186</v>
      </c>
      <c r="D44" s="30">
        <v>146</v>
      </c>
      <c r="E44" s="30">
        <v>126</v>
      </c>
      <c r="F44" s="30">
        <v>118</v>
      </c>
      <c r="G44" s="30">
        <v>108</v>
      </c>
      <c r="H44" s="30">
        <v>98</v>
      </c>
      <c r="I44" s="30">
        <v>88</v>
      </c>
      <c r="J44" s="30">
        <v>68</v>
      </c>
      <c r="S44" s="30">
        <f t="shared" si="3"/>
        <v>938</v>
      </c>
      <c r="T44" s="31">
        <f t="shared" si="2"/>
        <v>2</v>
      </c>
    </row>
    <row r="45" spans="1:20" x14ac:dyDescent="0.35">
      <c r="A45" s="30">
        <v>48</v>
      </c>
      <c r="B45" s="30">
        <f t="shared" si="1"/>
        <v>960</v>
      </c>
      <c r="C45" s="30">
        <v>190</v>
      </c>
      <c r="D45" s="30">
        <v>150</v>
      </c>
      <c r="E45" s="30">
        <v>130</v>
      </c>
      <c r="F45" s="30">
        <v>120</v>
      </c>
      <c r="G45" s="30">
        <v>110</v>
      </c>
      <c r="H45" s="30">
        <v>100</v>
      </c>
      <c r="I45" s="30">
        <v>90</v>
      </c>
      <c r="J45" s="30">
        <v>70</v>
      </c>
      <c r="S45" s="30">
        <f t="shared" si="3"/>
        <v>960</v>
      </c>
      <c r="T45" s="31">
        <f t="shared" si="2"/>
        <v>0</v>
      </c>
    </row>
    <row r="46" spans="1:20" x14ac:dyDescent="0.35">
      <c r="A46" s="30">
        <v>49</v>
      </c>
      <c r="B46" s="30">
        <f t="shared" si="1"/>
        <v>980</v>
      </c>
      <c r="C46" s="30">
        <v>182</v>
      </c>
      <c r="D46" s="30">
        <v>136</v>
      </c>
      <c r="E46" s="30">
        <v>128</v>
      </c>
      <c r="F46" s="30">
        <v>118</v>
      </c>
      <c r="G46" s="30">
        <v>108</v>
      </c>
      <c r="H46" s="30">
        <v>92</v>
      </c>
      <c r="I46" s="30">
        <v>82</v>
      </c>
      <c r="J46" s="30">
        <v>72</v>
      </c>
      <c r="K46" s="30">
        <v>64</v>
      </c>
      <c r="S46" s="30">
        <f t="shared" si="3"/>
        <v>982</v>
      </c>
      <c r="T46" s="31">
        <f t="shared" si="2"/>
        <v>-2</v>
      </c>
    </row>
    <row r="47" spans="1:20" x14ac:dyDescent="0.35">
      <c r="A47" s="30">
        <v>50</v>
      </c>
      <c r="B47" s="30">
        <f t="shared" si="1"/>
        <v>1000</v>
      </c>
      <c r="C47" s="30">
        <v>186</v>
      </c>
      <c r="D47" s="30">
        <v>140</v>
      </c>
      <c r="E47" s="30">
        <v>130</v>
      </c>
      <c r="F47" s="30">
        <v>120</v>
      </c>
      <c r="G47" s="30">
        <v>112</v>
      </c>
      <c r="H47" s="30">
        <v>94</v>
      </c>
      <c r="I47" s="30">
        <v>84</v>
      </c>
      <c r="J47" s="30">
        <v>74</v>
      </c>
      <c r="K47" s="30">
        <v>66</v>
      </c>
      <c r="S47" s="30">
        <f t="shared" si="3"/>
        <v>1006</v>
      </c>
      <c r="T47" s="31">
        <f t="shared" si="2"/>
        <v>-6</v>
      </c>
    </row>
    <row r="48" spans="1:20" x14ac:dyDescent="0.35">
      <c r="A48" s="30">
        <v>51</v>
      </c>
      <c r="B48" s="30">
        <f t="shared" si="1"/>
        <v>1020</v>
      </c>
      <c r="C48" s="30">
        <v>188</v>
      </c>
      <c r="D48" s="30">
        <v>142</v>
      </c>
      <c r="E48" s="30">
        <v>132</v>
      </c>
      <c r="F48" s="30">
        <v>122</v>
      </c>
      <c r="G48" s="30">
        <v>114</v>
      </c>
      <c r="H48" s="30">
        <v>94</v>
      </c>
      <c r="I48" s="30">
        <v>84</v>
      </c>
      <c r="J48" s="30">
        <v>76</v>
      </c>
      <c r="K48" s="30">
        <v>66</v>
      </c>
      <c r="S48" s="30">
        <f t="shared" si="3"/>
        <v>1018</v>
      </c>
      <c r="T48" s="31">
        <f t="shared" si="2"/>
        <v>2</v>
      </c>
    </row>
    <row r="49" spans="1:20" x14ac:dyDescent="0.35">
      <c r="A49" s="30">
        <v>52</v>
      </c>
      <c r="B49" s="30">
        <f t="shared" si="1"/>
        <v>1040</v>
      </c>
      <c r="C49" s="30">
        <v>192</v>
      </c>
      <c r="D49" s="30">
        <v>144</v>
      </c>
      <c r="E49" s="30">
        <v>136</v>
      </c>
      <c r="F49" s="30">
        <v>124</v>
      </c>
      <c r="G49" s="30">
        <v>116</v>
      </c>
      <c r="H49" s="30">
        <v>96</v>
      </c>
      <c r="I49" s="30">
        <v>86</v>
      </c>
      <c r="J49" s="30">
        <v>76</v>
      </c>
      <c r="K49" s="30">
        <v>68</v>
      </c>
      <c r="S49" s="30">
        <f t="shared" si="3"/>
        <v>1038</v>
      </c>
      <c r="T49" s="31">
        <f t="shared" si="2"/>
        <v>2</v>
      </c>
    </row>
    <row r="50" spans="1:20" x14ac:dyDescent="0.35">
      <c r="A50" s="30">
        <v>53</v>
      </c>
      <c r="B50" s="30">
        <f t="shared" si="1"/>
        <v>1060</v>
      </c>
      <c r="C50" s="30">
        <v>196</v>
      </c>
      <c r="D50" s="30">
        <v>148</v>
      </c>
      <c r="E50" s="30">
        <v>138</v>
      </c>
      <c r="F50" s="30">
        <v>128</v>
      </c>
      <c r="G50" s="30">
        <v>118</v>
      </c>
      <c r="H50" s="30">
        <v>98</v>
      </c>
      <c r="I50" s="30">
        <v>88</v>
      </c>
      <c r="J50" s="30">
        <v>78</v>
      </c>
      <c r="K50" s="30">
        <v>68</v>
      </c>
      <c r="S50" s="30">
        <f t="shared" si="3"/>
        <v>1060</v>
      </c>
      <c r="T50" s="31">
        <f t="shared" si="2"/>
        <v>0</v>
      </c>
    </row>
    <row r="51" spans="1:20" x14ac:dyDescent="0.35">
      <c r="A51" s="30">
        <v>54</v>
      </c>
      <c r="B51" s="30">
        <f t="shared" si="1"/>
        <v>1080</v>
      </c>
      <c r="C51" s="30">
        <v>200</v>
      </c>
      <c r="D51" s="30">
        <v>150</v>
      </c>
      <c r="E51" s="30">
        <v>140</v>
      </c>
      <c r="F51" s="30">
        <v>130</v>
      </c>
      <c r="G51" s="30">
        <v>120</v>
      </c>
      <c r="H51" s="30">
        <v>100</v>
      </c>
      <c r="I51" s="30">
        <v>90</v>
      </c>
      <c r="J51" s="30">
        <v>80</v>
      </c>
      <c r="K51" s="30">
        <v>70</v>
      </c>
      <c r="S51" s="30">
        <f t="shared" si="3"/>
        <v>1080</v>
      </c>
      <c r="T51" s="31">
        <f t="shared" si="2"/>
        <v>0</v>
      </c>
    </row>
    <row r="52" spans="1:20" x14ac:dyDescent="0.35">
      <c r="A52" s="30">
        <v>55</v>
      </c>
      <c r="B52" s="30">
        <f t="shared" si="1"/>
        <v>1100</v>
      </c>
      <c r="C52" s="30">
        <v>192</v>
      </c>
      <c r="D52" s="30">
        <v>146</v>
      </c>
      <c r="E52" s="30">
        <v>128</v>
      </c>
      <c r="F52" s="30">
        <v>118</v>
      </c>
      <c r="G52" s="30">
        <v>110</v>
      </c>
      <c r="H52" s="30">
        <v>102</v>
      </c>
      <c r="I52" s="30">
        <v>92</v>
      </c>
      <c r="J52" s="30">
        <v>82</v>
      </c>
      <c r="K52" s="30">
        <v>74</v>
      </c>
      <c r="L52" s="30">
        <v>56</v>
      </c>
      <c r="S52" s="30">
        <f t="shared" si="3"/>
        <v>1100</v>
      </c>
      <c r="T52" s="31">
        <f t="shared" si="2"/>
        <v>0</v>
      </c>
    </row>
    <row r="53" spans="1:20" x14ac:dyDescent="0.35">
      <c r="A53" s="30">
        <v>56</v>
      </c>
      <c r="B53" s="30">
        <f t="shared" si="1"/>
        <v>1120</v>
      </c>
      <c r="C53" s="30">
        <v>196</v>
      </c>
      <c r="D53" s="30">
        <v>148</v>
      </c>
      <c r="E53" s="30">
        <v>132</v>
      </c>
      <c r="F53" s="30">
        <v>120</v>
      </c>
      <c r="G53" s="30">
        <v>112</v>
      </c>
      <c r="H53" s="30">
        <v>104</v>
      </c>
      <c r="I53" s="30">
        <v>92</v>
      </c>
      <c r="J53" s="30">
        <v>84</v>
      </c>
      <c r="K53" s="30">
        <v>76</v>
      </c>
      <c r="L53" s="30">
        <v>56</v>
      </c>
      <c r="S53" s="30">
        <f t="shared" si="3"/>
        <v>1120</v>
      </c>
      <c r="T53" s="31">
        <f t="shared" si="2"/>
        <v>0</v>
      </c>
    </row>
    <row r="54" spans="1:20" x14ac:dyDescent="0.35">
      <c r="A54" s="30">
        <v>57</v>
      </c>
      <c r="B54" s="30">
        <f t="shared" si="1"/>
        <v>1140</v>
      </c>
      <c r="C54" s="30">
        <v>200</v>
      </c>
      <c r="D54" s="30">
        <v>152</v>
      </c>
      <c r="E54" s="30">
        <v>134</v>
      </c>
      <c r="F54" s="30">
        <v>124</v>
      </c>
      <c r="G54" s="30">
        <v>114</v>
      </c>
      <c r="H54" s="30">
        <v>104</v>
      </c>
      <c r="I54" s="30">
        <v>94</v>
      </c>
      <c r="J54" s="30">
        <v>86</v>
      </c>
      <c r="K54" s="30">
        <v>76</v>
      </c>
      <c r="L54" s="30">
        <v>58</v>
      </c>
      <c r="S54" s="30">
        <f t="shared" si="3"/>
        <v>1142</v>
      </c>
      <c r="T54" s="31">
        <f t="shared" si="2"/>
        <v>-2</v>
      </c>
    </row>
    <row r="55" spans="1:20" x14ac:dyDescent="0.35">
      <c r="A55" s="30">
        <v>58</v>
      </c>
      <c r="B55" s="30">
        <f t="shared" si="1"/>
        <v>1160</v>
      </c>
      <c r="C55" s="30">
        <v>204</v>
      </c>
      <c r="D55" s="30">
        <v>154</v>
      </c>
      <c r="E55" s="30">
        <v>136</v>
      </c>
      <c r="F55" s="30">
        <v>126</v>
      </c>
      <c r="G55" s="30">
        <v>116</v>
      </c>
      <c r="H55" s="30">
        <v>106</v>
      </c>
      <c r="I55" s="30">
        <v>96</v>
      </c>
      <c r="J55" s="30">
        <v>88</v>
      </c>
      <c r="K55" s="30">
        <v>78</v>
      </c>
      <c r="L55" s="30">
        <v>58</v>
      </c>
      <c r="S55" s="30">
        <f t="shared" si="3"/>
        <v>1162</v>
      </c>
      <c r="T55" s="31">
        <f t="shared" si="2"/>
        <v>-2</v>
      </c>
    </row>
    <row r="56" spans="1:20" x14ac:dyDescent="0.35">
      <c r="A56" s="30">
        <v>59</v>
      </c>
      <c r="B56" s="30">
        <f t="shared" si="1"/>
        <v>1180</v>
      </c>
      <c r="C56" s="30">
        <v>206</v>
      </c>
      <c r="D56" s="30">
        <v>156</v>
      </c>
      <c r="E56" s="30">
        <v>138</v>
      </c>
      <c r="F56" s="30">
        <v>128</v>
      </c>
      <c r="G56" s="30">
        <v>118</v>
      </c>
      <c r="H56" s="30">
        <v>108</v>
      </c>
      <c r="I56" s="30">
        <v>98</v>
      </c>
      <c r="J56" s="30">
        <v>88</v>
      </c>
      <c r="K56" s="30">
        <v>80</v>
      </c>
      <c r="L56" s="30">
        <v>60</v>
      </c>
      <c r="S56" s="30">
        <f t="shared" si="3"/>
        <v>1180</v>
      </c>
      <c r="T56" s="31">
        <f t="shared" si="2"/>
        <v>0</v>
      </c>
    </row>
    <row r="57" spans="1:20" x14ac:dyDescent="0.35">
      <c r="A57" s="30">
        <v>60</v>
      </c>
      <c r="B57" s="30">
        <f t="shared" si="1"/>
        <v>1200</v>
      </c>
      <c r="C57" s="30">
        <v>210</v>
      </c>
      <c r="D57" s="30">
        <v>160</v>
      </c>
      <c r="E57" s="30">
        <v>140</v>
      </c>
      <c r="F57" s="30">
        <v>130</v>
      </c>
      <c r="G57" s="30">
        <v>120</v>
      </c>
      <c r="H57" s="30">
        <v>110</v>
      </c>
      <c r="I57" s="30">
        <v>100</v>
      </c>
      <c r="J57" s="30">
        <v>90</v>
      </c>
      <c r="K57" s="30">
        <v>80</v>
      </c>
      <c r="L57" s="30">
        <v>60</v>
      </c>
      <c r="S57" s="30">
        <f t="shared" si="3"/>
        <v>1200</v>
      </c>
      <c r="T57" s="31">
        <f t="shared" si="2"/>
        <v>0</v>
      </c>
    </row>
    <row r="58" spans="1:20" x14ac:dyDescent="0.35">
      <c r="A58" s="30">
        <v>61</v>
      </c>
      <c r="B58" s="30">
        <f t="shared" si="1"/>
        <v>1220</v>
      </c>
      <c r="C58" s="30">
        <v>212</v>
      </c>
      <c r="D58" s="30">
        <v>158</v>
      </c>
      <c r="E58" s="30">
        <v>140</v>
      </c>
      <c r="F58" s="30">
        <v>130</v>
      </c>
      <c r="G58" s="30">
        <v>120</v>
      </c>
      <c r="H58" s="30">
        <v>112</v>
      </c>
      <c r="I58" s="30">
        <v>102</v>
      </c>
      <c r="J58" s="30">
        <v>82</v>
      </c>
      <c r="K58" s="30">
        <v>64</v>
      </c>
      <c r="L58" s="30">
        <v>54</v>
      </c>
      <c r="M58" s="30">
        <v>48</v>
      </c>
      <c r="S58" s="30">
        <f t="shared" si="3"/>
        <v>1222</v>
      </c>
      <c r="T58" s="31">
        <f t="shared" si="2"/>
        <v>-2</v>
      </c>
    </row>
    <row r="59" spans="1:20" x14ac:dyDescent="0.35">
      <c r="A59" s="30">
        <v>62</v>
      </c>
      <c r="B59" s="30">
        <f t="shared" si="1"/>
        <v>1240</v>
      </c>
      <c r="C59" s="30">
        <v>216</v>
      </c>
      <c r="D59" s="30">
        <v>160</v>
      </c>
      <c r="E59" s="30">
        <v>142</v>
      </c>
      <c r="F59" s="30">
        <v>132</v>
      </c>
      <c r="G59" s="30">
        <v>122</v>
      </c>
      <c r="H59" s="30">
        <v>112</v>
      </c>
      <c r="I59" s="30">
        <v>102</v>
      </c>
      <c r="J59" s="30">
        <v>84</v>
      </c>
      <c r="K59" s="30">
        <v>66</v>
      </c>
      <c r="L59" s="30">
        <v>56</v>
      </c>
      <c r="M59" s="30">
        <v>48</v>
      </c>
      <c r="S59" s="30">
        <f t="shared" si="3"/>
        <v>1240</v>
      </c>
      <c r="T59" s="31">
        <f t="shared" si="2"/>
        <v>0</v>
      </c>
    </row>
    <row r="60" spans="1:20" x14ac:dyDescent="0.35">
      <c r="A60" s="30">
        <v>63</v>
      </c>
      <c r="B60" s="30">
        <f t="shared" si="1"/>
        <v>1260</v>
      </c>
      <c r="C60" s="30">
        <v>220</v>
      </c>
      <c r="D60" s="30">
        <v>162</v>
      </c>
      <c r="E60" s="30">
        <v>144</v>
      </c>
      <c r="F60" s="30">
        <v>134</v>
      </c>
      <c r="G60" s="30">
        <v>124</v>
      </c>
      <c r="H60" s="30">
        <v>114</v>
      </c>
      <c r="I60" s="30">
        <v>104</v>
      </c>
      <c r="J60" s="30">
        <v>86</v>
      </c>
      <c r="K60" s="30">
        <v>66</v>
      </c>
      <c r="L60" s="30">
        <v>56</v>
      </c>
      <c r="M60" s="30">
        <v>50</v>
      </c>
      <c r="S60" s="30">
        <f t="shared" si="3"/>
        <v>1260</v>
      </c>
      <c r="T60" s="31">
        <f t="shared" si="2"/>
        <v>0</v>
      </c>
    </row>
    <row r="61" spans="1:20" x14ac:dyDescent="0.35">
      <c r="A61" s="30">
        <v>64</v>
      </c>
      <c r="B61" s="30">
        <f t="shared" si="1"/>
        <v>1280</v>
      </c>
      <c r="C61" s="30">
        <v>222</v>
      </c>
      <c r="D61" s="30">
        <v>166</v>
      </c>
      <c r="E61" s="30">
        <v>146</v>
      </c>
      <c r="F61" s="30">
        <v>136</v>
      </c>
      <c r="G61" s="30">
        <v>126</v>
      </c>
      <c r="H61" s="30">
        <v>116</v>
      </c>
      <c r="I61" s="30">
        <v>106</v>
      </c>
      <c r="J61" s="30">
        <v>88</v>
      </c>
      <c r="K61" s="30">
        <v>68</v>
      </c>
      <c r="L61" s="30">
        <v>58</v>
      </c>
      <c r="M61" s="30">
        <v>50</v>
      </c>
      <c r="S61" s="30">
        <f t="shared" si="3"/>
        <v>1282</v>
      </c>
      <c r="T61" s="31">
        <f t="shared" si="2"/>
        <v>-2</v>
      </c>
    </row>
    <row r="62" spans="1:20" x14ac:dyDescent="0.35">
      <c r="A62" s="30">
        <v>65</v>
      </c>
      <c r="B62" s="30">
        <f t="shared" si="1"/>
        <v>1300</v>
      </c>
      <c r="C62" s="30">
        <v>226</v>
      </c>
      <c r="D62" s="30">
        <v>168</v>
      </c>
      <c r="E62" s="30">
        <v>148</v>
      </c>
      <c r="F62" s="30">
        <v>138</v>
      </c>
      <c r="G62" s="30">
        <v>128</v>
      </c>
      <c r="H62" s="30">
        <v>118</v>
      </c>
      <c r="I62" s="30">
        <v>108</v>
      </c>
      <c r="J62" s="30">
        <v>88</v>
      </c>
      <c r="K62" s="30">
        <v>68</v>
      </c>
      <c r="L62" s="30">
        <v>58</v>
      </c>
      <c r="M62" s="30">
        <v>50</v>
      </c>
      <c r="S62" s="30">
        <f t="shared" si="3"/>
        <v>1298</v>
      </c>
      <c r="T62" s="31">
        <f t="shared" si="2"/>
        <v>2</v>
      </c>
    </row>
    <row r="63" spans="1:20" x14ac:dyDescent="0.35">
      <c r="A63" s="30">
        <v>66</v>
      </c>
      <c r="B63" s="30">
        <f t="shared" si="1"/>
        <v>1320</v>
      </c>
      <c r="C63" s="30">
        <v>230</v>
      </c>
      <c r="D63" s="30">
        <v>170</v>
      </c>
      <c r="E63" s="30">
        <v>150</v>
      </c>
      <c r="F63" s="30">
        <v>140</v>
      </c>
      <c r="G63" s="30">
        <v>130</v>
      </c>
      <c r="H63" s="30">
        <v>120</v>
      </c>
      <c r="I63" s="30">
        <v>110</v>
      </c>
      <c r="J63" s="30">
        <v>90</v>
      </c>
      <c r="K63" s="30">
        <v>70</v>
      </c>
      <c r="L63" s="30">
        <v>60</v>
      </c>
      <c r="M63" s="30">
        <v>52</v>
      </c>
      <c r="S63" s="30">
        <f t="shared" si="3"/>
        <v>1322</v>
      </c>
      <c r="T63" s="31">
        <f t="shared" si="2"/>
        <v>-2</v>
      </c>
    </row>
    <row r="64" spans="1:20" x14ac:dyDescent="0.35">
      <c r="A64" s="30">
        <v>67</v>
      </c>
      <c r="B64" s="30">
        <f t="shared" si="1"/>
        <v>1340</v>
      </c>
      <c r="C64" s="30">
        <v>234</v>
      </c>
      <c r="D64" s="30">
        <v>168</v>
      </c>
      <c r="E64" s="30">
        <v>148</v>
      </c>
      <c r="F64" s="30">
        <v>140</v>
      </c>
      <c r="G64" s="30">
        <v>130</v>
      </c>
      <c r="H64" s="30">
        <v>120</v>
      </c>
      <c r="I64" s="30">
        <v>102</v>
      </c>
      <c r="J64" s="30">
        <v>84</v>
      </c>
      <c r="K64" s="30">
        <v>64</v>
      </c>
      <c r="L64" s="30">
        <v>56</v>
      </c>
      <c r="M64" s="30">
        <v>46</v>
      </c>
      <c r="N64" s="30">
        <v>46</v>
      </c>
      <c r="S64" s="30">
        <f t="shared" si="3"/>
        <v>1338</v>
      </c>
      <c r="T64" s="31">
        <f t="shared" si="2"/>
        <v>2</v>
      </c>
    </row>
    <row r="65" spans="1:20" x14ac:dyDescent="0.35">
      <c r="A65" s="30">
        <v>68</v>
      </c>
      <c r="B65" s="30">
        <f t="shared" si="1"/>
        <v>1360</v>
      </c>
      <c r="C65" s="30">
        <v>236</v>
      </c>
      <c r="D65" s="30">
        <v>170</v>
      </c>
      <c r="E65" s="30">
        <v>150</v>
      </c>
      <c r="F65" s="30">
        <v>142</v>
      </c>
      <c r="G65" s="30">
        <v>132</v>
      </c>
      <c r="H65" s="30">
        <v>122</v>
      </c>
      <c r="I65" s="30">
        <v>104</v>
      </c>
      <c r="J65" s="30">
        <v>86</v>
      </c>
      <c r="K65" s="30">
        <v>66</v>
      </c>
      <c r="L65" s="30">
        <v>58</v>
      </c>
      <c r="M65" s="30">
        <v>48</v>
      </c>
      <c r="N65" s="30">
        <v>48</v>
      </c>
      <c r="S65" s="30">
        <f t="shared" si="3"/>
        <v>1362</v>
      </c>
      <c r="T65" s="31">
        <f t="shared" si="2"/>
        <v>-2</v>
      </c>
    </row>
    <row r="66" spans="1:20" x14ac:dyDescent="0.35">
      <c r="A66" s="30">
        <v>69</v>
      </c>
      <c r="B66" s="30">
        <f t="shared" si="1"/>
        <v>1380</v>
      </c>
      <c r="C66" s="30">
        <v>240</v>
      </c>
      <c r="D66" s="30">
        <v>172</v>
      </c>
      <c r="E66" s="30">
        <v>154</v>
      </c>
      <c r="F66" s="30">
        <v>144</v>
      </c>
      <c r="G66" s="30">
        <v>134</v>
      </c>
      <c r="H66" s="30">
        <v>124</v>
      </c>
      <c r="I66" s="30">
        <v>104</v>
      </c>
      <c r="J66" s="30">
        <v>86</v>
      </c>
      <c r="K66" s="30">
        <v>66</v>
      </c>
      <c r="L66" s="30">
        <v>58</v>
      </c>
      <c r="M66" s="30">
        <v>48</v>
      </c>
      <c r="N66" s="30">
        <v>48</v>
      </c>
      <c r="S66" s="30">
        <f t="shared" si="3"/>
        <v>1378</v>
      </c>
      <c r="T66" s="31">
        <f t="shared" si="2"/>
        <v>2</v>
      </c>
    </row>
    <row r="67" spans="1:20" x14ac:dyDescent="0.35">
      <c r="A67" s="30">
        <v>70</v>
      </c>
      <c r="B67" s="30">
        <f t="shared" si="1"/>
        <v>1400</v>
      </c>
      <c r="C67" s="30">
        <v>244</v>
      </c>
      <c r="D67" s="30">
        <v>176</v>
      </c>
      <c r="E67" s="30">
        <v>156</v>
      </c>
      <c r="F67" s="30">
        <v>146</v>
      </c>
      <c r="G67" s="30">
        <v>136</v>
      </c>
      <c r="H67" s="30">
        <v>126</v>
      </c>
      <c r="I67" s="30">
        <v>106</v>
      </c>
      <c r="J67" s="30">
        <v>88</v>
      </c>
      <c r="K67" s="30">
        <v>68</v>
      </c>
      <c r="L67" s="30">
        <v>58</v>
      </c>
      <c r="M67" s="30">
        <v>50</v>
      </c>
      <c r="N67" s="30">
        <v>50</v>
      </c>
      <c r="S67" s="30">
        <f t="shared" si="3"/>
        <v>1404</v>
      </c>
      <c r="T67" s="31">
        <f t="shared" si="2"/>
        <v>-4</v>
      </c>
    </row>
    <row r="68" spans="1:20" x14ac:dyDescent="0.35">
      <c r="A68" s="30">
        <v>71</v>
      </c>
      <c r="B68" s="30">
        <f t="shared" si="1"/>
        <v>1420</v>
      </c>
      <c r="C68" s="30">
        <v>248</v>
      </c>
      <c r="D68" s="30">
        <v>178</v>
      </c>
      <c r="E68" s="30">
        <v>158</v>
      </c>
      <c r="F68" s="30">
        <v>148</v>
      </c>
      <c r="G68" s="30">
        <v>138</v>
      </c>
      <c r="H68" s="30">
        <v>128</v>
      </c>
      <c r="I68" s="30">
        <v>108</v>
      </c>
      <c r="J68" s="30">
        <v>90</v>
      </c>
      <c r="K68" s="30">
        <v>68</v>
      </c>
      <c r="L68" s="30">
        <v>60</v>
      </c>
      <c r="M68" s="30">
        <v>50</v>
      </c>
      <c r="N68" s="30">
        <v>50</v>
      </c>
      <c r="S68" s="30">
        <f t="shared" ref="S68:S93" si="4">SUM(C68:R68)</f>
        <v>1424</v>
      </c>
      <c r="T68" s="31">
        <f t="shared" si="2"/>
        <v>-4</v>
      </c>
    </row>
    <row r="69" spans="1:20" x14ac:dyDescent="0.35">
      <c r="A69" s="30">
        <v>72</v>
      </c>
      <c r="B69" s="30">
        <f t="shared" ref="B69:B93" si="5">A69*$B$2</f>
        <v>1440</v>
      </c>
      <c r="C69" s="30">
        <v>250</v>
      </c>
      <c r="D69" s="30">
        <v>180</v>
      </c>
      <c r="E69" s="30">
        <v>160</v>
      </c>
      <c r="F69" s="30">
        <v>150</v>
      </c>
      <c r="G69" s="30">
        <v>140</v>
      </c>
      <c r="H69" s="30">
        <v>130</v>
      </c>
      <c r="I69" s="30">
        <v>110</v>
      </c>
      <c r="J69" s="30">
        <v>90</v>
      </c>
      <c r="K69" s="30">
        <v>70</v>
      </c>
      <c r="L69" s="30">
        <v>60</v>
      </c>
      <c r="M69" s="30">
        <v>50</v>
      </c>
      <c r="N69" s="30">
        <v>50</v>
      </c>
      <c r="S69" s="30">
        <f t="shared" si="4"/>
        <v>1440</v>
      </c>
      <c r="T69" s="31">
        <f t="shared" ref="T69:T93" si="6">B69-S69</f>
        <v>0</v>
      </c>
    </row>
    <row r="70" spans="1:20" x14ac:dyDescent="0.35">
      <c r="A70" s="30">
        <v>73</v>
      </c>
      <c r="B70" s="30">
        <f t="shared" si="5"/>
        <v>1460</v>
      </c>
      <c r="C70" s="30">
        <v>252</v>
      </c>
      <c r="D70" s="30">
        <v>178</v>
      </c>
      <c r="E70" s="30">
        <v>160</v>
      </c>
      <c r="F70" s="30">
        <v>150</v>
      </c>
      <c r="G70" s="30">
        <v>140</v>
      </c>
      <c r="H70" s="30">
        <v>122</v>
      </c>
      <c r="I70" s="30">
        <v>104</v>
      </c>
      <c r="J70" s="30">
        <v>84</v>
      </c>
      <c r="K70" s="30">
        <v>66</v>
      </c>
      <c r="L70" s="30">
        <v>56</v>
      </c>
      <c r="M70" s="30">
        <v>56</v>
      </c>
      <c r="N70" s="30">
        <v>46</v>
      </c>
      <c r="O70" s="30">
        <v>46</v>
      </c>
      <c r="S70" s="30">
        <f t="shared" si="4"/>
        <v>1460</v>
      </c>
      <c r="T70" s="31">
        <f t="shared" si="6"/>
        <v>0</v>
      </c>
    </row>
    <row r="71" spans="1:20" x14ac:dyDescent="0.35">
      <c r="A71" s="30">
        <v>74</v>
      </c>
      <c r="B71" s="30">
        <f t="shared" si="5"/>
        <v>1480</v>
      </c>
      <c r="C71" s="30">
        <v>256</v>
      </c>
      <c r="D71" s="30">
        <v>180</v>
      </c>
      <c r="E71" s="30">
        <v>162</v>
      </c>
      <c r="F71" s="30">
        <v>152</v>
      </c>
      <c r="G71" s="30">
        <v>142</v>
      </c>
      <c r="H71" s="30">
        <v>122</v>
      </c>
      <c r="I71" s="30">
        <v>106</v>
      </c>
      <c r="J71" s="30">
        <v>86</v>
      </c>
      <c r="K71" s="30">
        <v>66</v>
      </c>
      <c r="L71" s="30">
        <v>56</v>
      </c>
      <c r="M71" s="30">
        <v>56</v>
      </c>
      <c r="N71" s="30">
        <v>48</v>
      </c>
      <c r="O71" s="30">
        <v>48</v>
      </c>
      <c r="S71" s="30">
        <f t="shared" si="4"/>
        <v>1480</v>
      </c>
      <c r="T71" s="31">
        <f t="shared" si="6"/>
        <v>0</v>
      </c>
    </row>
    <row r="72" spans="1:20" x14ac:dyDescent="0.35">
      <c r="A72" s="30">
        <v>75</v>
      </c>
      <c r="B72" s="30">
        <f t="shared" si="5"/>
        <v>1500</v>
      </c>
      <c r="C72" s="30">
        <v>260</v>
      </c>
      <c r="D72" s="30">
        <v>184</v>
      </c>
      <c r="E72" s="30">
        <v>164</v>
      </c>
      <c r="F72" s="30">
        <v>154</v>
      </c>
      <c r="G72" s="30">
        <v>144</v>
      </c>
      <c r="H72" s="30">
        <v>124</v>
      </c>
      <c r="I72" s="30">
        <v>106</v>
      </c>
      <c r="J72" s="30">
        <v>88</v>
      </c>
      <c r="K72" s="30">
        <v>68</v>
      </c>
      <c r="L72" s="30">
        <v>58</v>
      </c>
      <c r="M72" s="30">
        <v>58</v>
      </c>
      <c r="N72" s="30">
        <v>48</v>
      </c>
      <c r="O72" s="30">
        <v>48</v>
      </c>
      <c r="S72" s="30">
        <f t="shared" si="4"/>
        <v>1504</v>
      </c>
      <c r="T72" s="31">
        <f t="shared" si="6"/>
        <v>-4</v>
      </c>
    </row>
    <row r="73" spans="1:20" x14ac:dyDescent="0.35">
      <c r="A73" s="30">
        <v>76</v>
      </c>
      <c r="B73" s="30">
        <f t="shared" si="5"/>
        <v>1520</v>
      </c>
      <c r="C73" s="30">
        <v>262</v>
      </c>
      <c r="D73" s="30">
        <v>186</v>
      </c>
      <c r="E73" s="30">
        <v>166</v>
      </c>
      <c r="F73" s="30">
        <v>156</v>
      </c>
      <c r="G73" s="30">
        <v>146</v>
      </c>
      <c r="H73" s="30">
        <v>126</v>
      </c>
      <c r="I73" s="30">
        <v>108</v>
      </c>
      <c r="J73" s="30">
        <v>88</v>
      </c>
      <c r="K73" s="30">
        <v>68</v>
      </c>
      <c r="L73" s="30">
        <v>58</v>
      </c>
      <c r="M73" s="30">
        <v>58</v>
      </c>
      <c r="N73" s="30">
        <v>48</v>
      </c>
      <c r="O73" s="30">
        <v>48</v>
      </c>
      <c r="S73" s="30">
        <f t="shared" si="4"/>
        <v>1518</v>
      </c>
      <c r="T73" s="31">
        <f t="shared" si="6"/>
        <v>2</v>
      </c>
    </row>
    <row r="74" spans="1:20" x14ac:dyDescent="0.35">
      <c r="A74" s="30">
        <v>77</v>
      </c>
      <c r="B74" s="30">
        <f t="shared" si="5"/>
        <v>1540</v>
      </c>
      <c r="C74" s="30">
        <v>266</v>
      </c>
      <c r="D74" s="30">
        <v>188</v>
      </c>
      <c r="E74" s="30">
        <v>168</v>
      </c>
      <c r="F74" s="30">
        <v>158</v>
      </c>
      <c r="G74" s="30">
        <v>148</v>
      </c>
      <c r="H74" s="30">
        <v>128</v>
      </c>
      <c r="I74" s="30">
        <v>110</v>
      </c>
      <c r="J74" s="30">
        <v>90</v>
      </c>
      <c r="K74" s="30">
        <v>70</v>
      </c>
      <c r="L74" s="30">
        <v>58</v>
      </c>
      <c r="M74" s="30">
        <v>58</v>
      </c>
      <c r="N74" s="30">
        <v>50</v>
      </c>
      <c r="O74" s="30">
        <v>50</v>
      </c>
      <c r="S74" s="30">
        <f t="shared" si="4"/>
        <v>1542</v>
      </c>
      <c r="T74" s="31">
        <f t="shared" si="6"/>
        <v>-2</v>
      </c>
    </row>
    <row r="75" spans="1:20" x14ac:dyDescent="0.35">
      <c r="A75" s="30">
        <v>78</v>
      </c>
      <c r="B75" s="30">
        <f t="shared" si="5"/>
        <v>1560</v>
      </c>
      <c r="C75" s="30">
        <v>270</v>
      </c>
      <c r="D75" s="30">
        <v>190</v>
      </c>
      <c r="E75" s="30">
        <v>170</v>
      </c>
      <c r="F75" s="30">
        <v>160</v>
      </c>
      <c r="G75" s="30">
        <v>150</v>
      </c>
      <c r="H75" s="30">
        <v>130</v>
      </c>
      <c r="I75" s="30">
        <v>110</v>
      </c>
      <c r="J75" s="30">
        <v>90</v>
      </c>
      <c r="K75" s="30">
        <v>70</v>
      </c>
      <c r="L75" s="30">
        <v>60</v>
      </c>
      <c r="M75" s="30">
        <v>60</v>
      </c>
      <c r="N75" s="30">
        <v>50</v>
      </c>
      <c r="O75" s="30">
        <v>50</v>
      </c>
      <c r="S75" s="30">
        <f t="shared" si="4"/>
        <v>1560</v>
      </c>
      <c r="T75" s="31">
        <f t="shared" si="6"/>
        <v>0</v>
      </c>
    </row>
    <row r="76" spans="1:20" x14ac:dyDescent="0.35">
      <c r="A76" s="30">
        <v>79</v>
      </c>
      <c r="B76" s="30">
        <f t="shared" si="5"/>
        <v>1580</v>
      </c>
      <c r="C76" s="30">
        <v>274</v>
      </c>
      <c r="D76" s="30">
        <v>198</v>
      </c>
      <c r="E76" s="30">
        <v>170</v>
      </c>
      <c r="F76" s="30">
        <v>150</v>
      </c>
      <c r="G76" s="30">
        <v>140</v>
      </c>
      <c r="H76" s="30">
        <v>122</v>
      </c>
      <c r="I76" s="30">
        <v>102</v>
      </c>
      <c r="J76" s="30">
        <v>84</v>
      </c>
      <c r="K76" s="30">
        <v>66</v>
      </c>
      <c r="L76" s="30">
        <v>66</v>
      </c>
      <c r="M76" s="30">
        <v>56</v>
      </c>
      <c r="N76" s="30">
        <v>56</v>
      </c>
      <c r="O76" s="30">
        <v>48</v>
      </c>
      <c r="P76" s="30">
        <v>48</v>
      </c>
      <c r="S76" s="30">
        <f t="shared" si="4"/>
        <v>1580</v>
      </c>
      <c r="T76" s="31">
        <f t="shared" si="6"/>
        <v>0</v>
      </c>
    </row>
    <row r="77" spans="1:20" x14ac:dyDescent="0.35">
      <c r="A77" s="30">
        <v>80</v>
      </c>
      <c r="B77" s="30">
        <f t="shared" si="5"/>
        <v>1600</v>
      </c>
      <c r="C77" s="30">
        <v>276</v>
      </c>
      <c r="D77" s="30">
        <v>200</v>
      </c>
      <c r="E77" s="30">
        <v>172</v>
      </c>
      <c r="F77" s="30">
        <v>152</v>
      </c>
      <c r="G77" s="30">
        <v>142</v>
      </c>
      <c r="H77" s="30">
        <v>124</v>
      </c>
      <c r="I77" s="30">
        <v>104</v>
      </c>
      <c r="J77" s="30">
        <v>84</v>
      </c>
      <c r="K77" s="30">
        <v>68</v>
      </c>
      <c r="L77" s="30">
        <v>68</v>
      </c>
      <c r="M77" s="30">
        <v>58</v>
      </c>
      <c r="N77" s="30">
        <v>58</v>
      </c>
      <c r="O77" s="30">
        <v>48</v>
      </c>
      <c r="P77" s="30">
        <v>48</v>
      </c>
      <c r="S77" s="30">
        <f t="shared" si="4"/>
        <v>1602</v>
      </c>
      <c r="T77" s="31">
        <f t="shared" si="6"/>
        <v>-2</v>
      </c>
    </row>
    <row r="78" spans="1:20" x14ac:dyDescent="0.35">
      <c r="A78" s="30">
        <v>81</v>
      </c>
      <c r="B78" s="30">
        <f t="shared" si="5"/>
        <v>1620</v>
      </c>
      <c r="C78" s="30">
        <v>280</v>
      </c>
      <c r="D78" s="30">
        <v>202</v>
      </c>
      <c r="E78" s="30">
        <v>174</v>
      </c>
      <c r="F78" s="30">
        <v>154</v>
      </c>
      <c r="G78" s="30">
        <v>144</v>
      </c>
      <c r="H78" s="30">
        <v>124</v>
      </c>
      <c r="I78" s="30">
        <v>106</v>
      </c>
      <c r="J78" s="30">
        <v>86</v>
      </c>
      <c r="K78" s="30">
        <v>68</v>
      </c>
      <c r="L78" s="30">
        <v>68</v>
      </c>
      <c r="M78" s="30">
        <v>58</v>
      </c>
      <c r="N78" s="30">
        <v>58</v>
      </c>
      <c r="O78" s="30">
        <v>48</v>
      </c>
      <c r="P78" s="30">
        <v>48</v>
      </c>
      <c r="S78" s="30">
        <f t="shared" si="4"/>
        <v>1618</v>
      </c>
      <c r="T78" s="31">
        <f t="shared" si="6"/>
        <v>2</v>
      </c>
    </row>
    <row r="79" spans="1:20" x14ac:dyDescent="0.35">
      <c r="A79" s="30">
        <v>82</v>
      </c>
      <c r="B79" s="30">
        <f t="shared" si="5"/>
        <v>1640</v>
      </c>
      <c r="C79" s="30">
        <v>284</v>
      </c>
      <c r="D79" s="30">
        <v>206</v>
      </c>
      <c r="E79" s="30">
        <v>176</v>
      </c>
      <c r="F79" s="30">
        <v>156</v>
      </c>
      <c r="G79" s="30">
        <v>146</v>
      </c>
      <c r="H79" s="30">
        <v>126</v>
      </c>
      <c r="I79" s="30">
        <v>106</v>
      </c>
      <c r="J79" s="30">
        <v>86</v>
      </c>
      <c r="K79" s="30">
        <v>68</v>
      </c>
      <c r="L79" s="30">
        <v>68</v>
      </c>
      <c r="M79" s="30">
        <v>60</v>
      </c>
      <c r="N79" s="30">
        <v>60</v>
      </c>
      <c r="O79" s="30">
        <v>50</v>
      </c>
      <c r="P79" s="30">
        <v>50</v>
      </c>
      <c r="S79" s="30">
        <f t="shared" si="4"/>
        <v>1642</v>
      </c>
      <c r="T79" s="31">
        <f t="shared" si="6"/>
        <v>-2</v>
      </c>
    </row>
    <row r="80" spans="1:20" x14ac:dyDescent="0.35">
      <c r="A80" s="30">
        <v>83</v>
      </c>
      <c r="B80" s="30">
        <f t="shared" si="5"/>
        <v>1660</v>
      </c>
      <c r="C80" s="30">
        <v>288</v>
      </c>
      <c r="D80" s="30">
        <v>208</v>
      </c>
      <c r="E80" s="30">
        <v>178</v>
      </c>
      <c r="F80" s="30">
        <v>158</v>
      </c>
      <c r="G80" s="30">
        <v>148</v>
      </c>
      <c r="H80" s="30">
        <v>128</v>
      </c>
      <c r="I80" s="30">
        <v>108</v>
      </c>
      <c r="J80" s="30">
        <v>88</v>
      </c>
      <c r="K80" s="30">
        <v>70</v>
      </c>
      <c r="L80" s="30">
        <v>70</v>
      </c>
      <c r="M80" s="30">
        <v>60</v>
      </c>
      <c r="N80" s="30">
        <v>60</v>
      </c>
      <c r="O80" s="30">
        <v>50</v>
      </c>
      <c r="P80" s="30">
        <v>50</v>
      </c>
      <c r="S80" s="30">
        <f t="shared" si="4"/>
        <v>1664</v>
      </c>
      <c r="T80" s="31">
        <f t="shared" si="6"/>
        <v>-4</v>
      </c>
    </row>
    <row r="81" spans="1:20" x14ac:dyDescent="0.35">
      <c r="A81" s="30">
        <v>84</v>
      </c>
      <c r="B81" s="30">
        <f t="shared" si="5"/>
        <v>1680</v>
      </c>
      <c r="C81" s="30">
        <v>290</v>
      </c>
      <c r="D81" s="30">
        <v>210</v>
      </c>
      <c r="E81" s="30">
        <v>180</v>
      </c>
      <c r="F81" s="30">
        <v>160</v>
      </c>
      <c r="G81" s="30">
        <v>150</v>
      </c>
      <c r="H81" s="30">
        <v>130</v>
      </c>
      <c r="I81" s="30">
        <v>110</v>
      </c>
      <c r="J81" s="30">
        <v>90</v>
      </c>
      <c r="K81" s="30">
        <v>70</v>
      </c>
      <c r="L81" s="30">
        <v>70</v>
      </c>
      <c r="M81" s="30">
        <v>60</v>
      </c>
      <c r="N81" s="30">
        <v>60</v>
      </c>
      <c r="O81" s="30">
        <v>50</v>
      </c>
      <c r="P81" s="30">
        <v>50</v>
      </c>
      <c r="S81" s="30">
        <f t="shared" si="4"/>
        <v>1680</v>
      </c>
      <c r="T81" s="31">
        <f t="shared" si="6"/>
        <v>0</v>
      </c>
    </row>
    <row r="82" spans="1:20" x14ac:dyDescent="0.35">
      <c r="A82" s="30">
        <v>85</v>
      </c>
      <c r="B82" s="30">
        <f t="shared" si="5"/>
        <v>1700</v>
      </c>
      <c r="C82" s="30">
        <v>302</v>
      </c>
      <c r="D82" s="30">
        <v>218</v>
      </c>
      <c r="E82" s="30">
        <v>180</v>
      </c>
      <c r="F82" s="30">
        <v>160</v>
      </c>
      <c r="G82" s="30">
        <v>142</v>
      </c>
      <c r="H82" s="30">
        <v>122</v>
      </c>
      <c r="I82" s="30">
        <v>104</v>
      </c>
      <c r="J82" s="30">
        <v>86</v>
      </c>
      <c r="K82" s="30">
        <v>66</v>
      </c>
      <c r="L82" s="30">
        <v>66</v>
      </c>
      <c r="M82" s="30">
        <v>56</v>
      </c>
      <c r="N82" s="30">
        <v>56</v>
      </c>
      <c r="O82" s="30">
        <v>48</v>
      </c>
      <c r="P82" s="30">
        <v>48</v>
      </c>
      <c r="Q82" s="30">
        <v>48</v>
      </c>
      <c r="S82" s="30">
        <f t="shared" si="4"/>
        <v>1702</v>
      </c>
      <c r="T82" s="31">
        <f t="shared" si="6"/>
        <v>-2</v>
      </c>
    </row>
    <row r="83" spans="1:20" x14ac:dyDescent="0.35">
      <c r="A83" s="30">
        <v>86</v>
      </c>
      <c r="B83" s="30">
        <f t="shared" si="5"/>
        <v>1720</v>
      </c>
      <c r="C83" s="30">
        <v>306</v>
      </c>
      <c r="D83" s="30">
        <v>220</v>
      </c>
      <c r="E83" s="30">
        <v>182</v>
      </c>
      <c r="F83" s="30">
        <v>162</v>
      </c>
      <c r="G83" s="30">
        <v>142</v>
      </c>
      <c r="H83" s="30">
        <v>124</v>
      </c>
      <c r="I83" s="30">
        <v>104</v>
      </c>
      <c r="J83" s="30">
        <v>86</v>
      </c>
      <c r="K83" s="30">
        <v>68</v>
      </c>
      <c r="L83" s="30">
        <v>68</v>
      </c>
      <c r="M83" s="30">
        <v>56</v>
      </c>
      <c r="N83" s="30">
        <v>56</v>
      </c>
      <c r="O83" s="30">
        <v>48</v>
      </c>
      <c r="P83" s="30">
        <v>48</v>
      </c>
      <c r="Q83" s="30">
        <v>48</v>
      </c>
      <c r="S83" s="30">
        <f t="shared" si="4"/>
        <v>1718</v>
      </c>
      <c r="T83" s="31">
        <f t="shared" si="6"/>
        <v>2</v>
      </c>
    </row>
    <row r="84" spans="1:20" x14ac:dyDescent="0.35">
      <c r="A84" s="30">
        <v>87</v>
      </c>
      <c r="B84" s="30">
        <f t="shared" si="5"/>
        <v>1740</v>
      </c>
      <c r="C84" s="30">
        <v>310</v>
      </c>
      <c r="D84" s="30">
        <v>222</v>
      </c>
      <c r="E84" s="30">
        <v>184</v>
      </c>
      <c r="F84" s="30">
        <v>164</v>
      </c>
      <c r="G84" s="30">
        <v>144</v>
      </c>
      <c r="H84" s="30">
        <v>126</v>
      </c>
      <c r="I84" s="30">
        <v>106</v>
      </c>
      <c r="J84" s="30">
        <v>88</v>
      </c>
      <c r="K84" s="30">
        <v>68</v>
      </c>
      <c r="L84" s="30">
        <v>68</v>
      </c>
      <c r="M84" s="30">
        <v>58</v>
      </c>
      <c r="N84" s="30">
        <v>58</v>
      </c>
      <c r="O84" s="30">
        <v>48</v>
      </c>
      <c r="P84" s="30">
        <v>48</v>
      </c>
      <c r="Q84" s="30">
        <v>48</v>
      </c>
      <c r="S84" s="30">
        <f t="shared" si="4"/>
        <v>1740</v>
      </c>
      <c r="T84" s="31">
        <f t="shared" si="6"/>
        <v>0</v>
      </c>
    </row>
    <row r="85" spans="1:20" x14ac:dyDescent="0.35">
      <c r="A85" s="30">
        <v>88</v>
      </c>
      <c r="B85" s="30">
        <f t="shared" si="5"/>
        <v>1760</v>
      </c>
      <c r="C85" s="30">
        <v>314</v>
      </c>
      <c r="D85" s="30">
        <v>226</v>
      </c>
      <c r="E85" s="30">
        <v>186</v>
      </c>
      <c r="F85" s="30">
        <v>166</v>
      </c>
      <c r="G85" s="30">
        <v>146</v>
      </c>
      <c r="H85" s="30">
        <v>126</v>
      </c>
      <c r="I85" s="30">
        <v>108</v>
      </c>
      <c r="J85" s="30">
        <v>88</v>
      </c>
      <c r="K85" s="30">
        <v>68</v>
      </c>
      <c r="L85" s="30">
        <v>68</v>
      </c>
      <c r="M85" s="30">
        <v>58</v>
      </c>
      <c r="N85" s="30">
        <v>58</v>
      </c>
      <c r="O85" s="30">
        <v>50</v>
      </c>
      <c r="P85" s="30">
        <v>50</v>
      </c>
      <c r="Q85" s="30">
        <v>50</v>
      </c>
      <c r="S85" s="30">
        <f t="shared" si="4"/>
        <v>1762</v>
      </c>
      <c r="T85" s="31">
        <f t="shared" si="6"/>
        <v>-2</v>
      </c>
    </row>
    <row r="86" spans="1:20" x14ac:dyDescent="0.35">
      <c r="A86" s="30">
        <v>89</v>
      </c>
      <c r="B86" s="30">
        <f t="shared" si="5"/>
        <v>1780</v>
      </c>
      <c r="C86" s="30">
        <v>316</v>
      </c>
      <c r="D86" s="30">
        <v>228</v>
      </c>
      <c r="E86" s="30">
        <v>188</v>
      </c>
      <c r="F86" s="30">
        <v>168</v>
      </c>
      <c r="G86" s="30">
        <v>148</v>
      </c>
      <c r="H86" s="30">
        <v>128</v>
      </c>
      <c r="I86" s="30">
        <v>108</v>
      </c>
      <c r="J86" s="30">
        <v>90</v>
      </c>
      <c r="K86" s="30">
        <v>70</v>
      </c>
      <c r="L86" s="30">
        <v>70</v>
      </c>
      <c r="M86" s="30">
        <v>58</v>
      </c>
      <c r="N86" s="30">
        <v>58</v>
      </c>
      <c r="O86" s="30">
        <v>50</v>
      </c>
      <c r="P86" s="30">
        <v>50</v>
      </c>
      <c r="Q86" s="30">
        <v>50</v>
      </c>
      <c r="S86" s="30">
        <f t="shared" si="4"/>
        <v>1780</v>
      </c>
      <c r="T86" s="31">
        <f t="shared" si="6"/>
        <v>0</v>
      </c>
    </row>
    <row r="87" spans="1:20" x14ac:dyDescent="0.35">
      <c r="A87" s="30">
        <v>90</v>
      </c>
      <c r="B87" s="30">
        <f t="shared" si="5"/>
        <v>1800</v>
      </c>
      <c r="C87" s="30">
        <v>320</v>
      </c>
      <c r="D87" s="30">
        <v>230</v>
      </c>
      <c r="E87" s="30">
        <v>190</v>
      </c>
      <c r="F87" s="30">
        <v>170</v>
      </c>
      <c r="G87" s="30">
        <v>150</v>
      </c>
      <c r="H87" s="30">
        <v>130</v>
      </c>
      <c r="I87" s="30">
        <v>110</v>
      </c>
      <c r="J87" s="30">
        <v>90</v>
      </c>
      <c r="K87" s="30">
        <v>70</v>
      </c>
      <c r="L87" s="30">
        <v>70</v>
      </c>
      <c r="M87" s="30">
        <v>60</v>
      </c>
      <c r="N87" s="30">
        <v>60</v>
      </c>
      <c r="O87" s="30">
        <v>50</v>
      </c>
      <c r="P87" s="30">
        <v>50</v>
      </c>
      <c r="Q87" s="30">
        <v>50</v>
      </c>
      <c r="S87" s="30">
        <f t="shared" si="4"/>
        <v>1800</v>
      </c>
      <c r="T87" s="31">
        <f t="shared" si="6"/>
        <v>0</v>
      </c>
    </row>
    <row r="88" spans="1:20" x14ac:dyDescent="0.35">
      <c r="A88" s="30">
        <v>91</v>
      </c>
      <c r="B88" s="30">
        <f t="shared" si="5"/>
        <v>1820</v>
      </c>
      <c r="C88" s="30">
        <v>322</v>
      </c>
      <c r="D88" s="30">
        <v>228</v>
      </c>
      <c r="E88" s="30">
        <v>190</v>
      </c>
      <c r="F88" s="30">
        <v>172</v>
      </c>
      <c r="G88" s="30">
        <v>142</v>
      </c>
      <c r="H88" s="30">
        <v>124</v>
      </c>
      <c r="I88" s="30">
        <v>104</v>
      </c>
      <c r="J88" s="30">
        <v>94</v>
      </c>
      <c r="K88" s="30">
        <v>76</v>
      </c>
      <c r="L88" s="30">
        <v>68</v>
      </c>
      <c r="M88" s="30">
        <v>56</v>
      </c>
      <c r="N88" s="30">
        <v>56</v>
      </c>
      <c r="O88" s="30">
        <v>48</v>
      </c>
      <c r="P88" s="30">
        <v>48</v>
      </c>
      <c r="Q88" s="30">
        <v>48</v>
      </c>
      <c r="R88" s="30">
        <v>48</v>
      </c>
      <c r="S88" s="30">
        <f t="shared" si="4"/>
        <v>1824</v>
      </c>
      <c r="T88" s="31">
        <f t="shared" si="6"/>
        <v>-4</v>
      </c>
    </row>
    <row r="89" spans="1:20" x14ac:dyDescent="0.35">
      <c r="A89" s="30">
        <v>92</v>
      </c>
      <c r="B89" s="30">
        <f t="shared" si="5"/>
        <v>1840</v>
      </c>
      <c r="C89" s="30">
        <v>326</v>
      </c>
      <c r="D89" s="30">
        <v>230</v>
      </c>
      <c r="E89" s="30">
        <v>192</v>
      </c>
      <c r="F89" s="30">
        <v>172</v>
      </c>
      <c r="G89" s="30">
        <v>144</v>
      </c>
      <c r="H89" s="30">
        <v>126</v>
      </c>
      <c r="I89" s="30">
        <v>104</v>
      </c>
      <c r="J89" s="30">
        <v>96</v>
      </c>
      <c r="K89" s="30">
        <v>78</v>
      </c>
      <c r="L89" s="30">
        <v>68</v>
      </c>
      <c r="M89" s="30">
        <v>58</v>
      </c>
      <c r="N89" s="30">
        <v>58</v>
      </c>
      <c r="O89" s="30">
        <v>48</v>
      </c>
      <c r="P89" s="30">
        <v>48</v>
      </c>
      <c r="Q89" s="30">
        <v>48</v>
      </c>
      <c r="R89" s="30">
        <v>48</v>
      </c>
      <c r="S89" s="30">
        <f t="shared" si="4"/>
        <v>1844</v>
      </c>
      <c r="T89" s="31">
        <f t="shared" si="6"/>
        <v>-4</v>
      </c>
    </row>
    <row r="90" spans="1:20" x14ac:dyDescent="0.35">
      <c r="A90" s="30">
        <v>93</v>
      </c>
      <c r="B90" s="30">
        <f t="shared" si="5"/>
        <v>1860</v>
      </c>
      <c r="C90" s="30">
        <v>330</v>
      </c>
      <c r="D90" s="30">
        <v>232</v>
      </c>
      <c r="E90" s="30">
        <v>194</v>
      </c>
      <c r="F90" s="30">
        <v>174</v>
      </c>
      <c r="G90" s="30">
        <v>146</v>
      </c>
      <c r="H90" s="30">
        <v>126</v>
      </c>
      <c r="I90" s="30">
        <v>106</v>
      </c>
      <c r="J90" s="30">
        <v>96</v>
      </c>
      <c r="K90" s="30">
        <v>78</v>
      </c>
      <c r="L90" s="30">
        <v>68</v>
      </c>
      <c r="M90" s="30">
        <v>58</v>
      </c>
      <c r="N90" s="30">
        <v>58</v>
      </c>
      <c r="O90" s="30">
        <v>48</v>
      </c>
      <c r="P90" s="30">
        <v>48</v>
      </c>
      <c r="Q90" s="30">
        <v>48</v>
      </c>
      <c r="R90" s="30">
        <v>48</v>
      </c>
      <c r="S90" s="30">
        <f t="shared" si="4"/>
        <v>1858</v>
      </c>
      <c r="T90" s="31">
        <f t="shared" si="6"/>
        <v>2</v>
      </c>
    </row>
    <row r="91" spans="1:20" x14ac:dyDescent="0.35">
      <c r="A91" s="30">
        <v>94</v>
      </c>
      <c r="B91" s="30">
        <f t="shared" si="5"/>
        <v>1880</v>
      </c>
      <c r="C91" s="30">
        <v>332</v>
      </c>
      <c r="D91" s="30">
        <v>236</v>
      </c>
      <c r="E91" s="30">
        <v>196</v>
      </c>
      <c r="F91" s="30">
        <v>176</v>
      </c>
      <c r="G91" s="30">
        <v>146</v>
      </c>
      <c r="H91" s="30">
        <v>128</v>
      </c>
      <c r="I91" s="30">
        <v>108</v>
      </c>
      <c r="J91" s="30">
        <v>98</v>
      </c>
      <c r="K91" s="30">
        <v>78</v>
      </c>
      <c r="L91" s="30">
        <v>70</v>
      </c>
      <c r="M91" s="30">
        <v>58</v>
      </c>
      <c r="N91" s="30">
        <v>58</v>
      </c>
      <c r="O91" s="30">
        <v>48</v>
      </c>
      <c r="P91" s="30">
        <v>48</v>
      </c>
      <c r="Q91" s="30">
        <v>48</v>
      </c>
      <c r="R91" s="30">
        <v>48</v>
      </c>
      <c r="S91" s="30">
        <f t="shared" si="4"/>
        <v>1876</v>
      </c>
      <c r="T91" s="31">
        <f t="shared" si="6"/>
        <v>4</v>
      </c>
    </row>
    <row r="92" spans="1:20" x14ac:dyDescent="0.35">
      <c r="A92" s="30">
        <v>95</v>
      </c>
      <c r="B92" s="30">
        <f t="shared" si="5"/>
        <v>1900</v>
      </c>
      <c r="C92" s="30">
        <v>336</v>
      </c>
      <c r="D92" s="30">
        <v>238</v>
      </c>
      <c r="E92" s="30">
        <v>198</v>
      </c>
      <c r="F92" s="30">
        <v>178</v>
      </c>
      <c r="G92" s="30">
        <v>148</v>
      </c>
      <c r="H92" s="30">
        <v>130</v>
      </c>
      <c r="I92" s="30">
        <v>108</v>
      </c>
      <c r="J92" s="30">
        <v>98</v>
      </c>
      <c r="K92" s="30">
        <v>80</v>
      </c>
      <c r="L92" s="30">
        <v>70</v>
      </c>
      <c r="M92" s="30">
        <v>58</v>
      </c>
      <c r="N92" s="30">
        <v>58</v>
      </c>
      <c r="O92" s="30">
        <v>50</v>
      </c>
      <c r="P92" s="30">
        <v>50</v>
      </c>
      <c r="Q92" s="30">
        <v>50</v>
      </c>
      <c r="R92" s="30">
        <v>50</v>
      </c>
      <c r="S92" s="30">
        <f t="shared" si="4"/>
        <v>1900</v>
      </c>
      <c r="T92" s="31">
        <f t="shared" si="6"/>
        <v>0</v>
      </c>
    </row>
    <row r="93" spans="1:20" x14ac:dyDescent="0.35">
      <c r="A93" s="30">
        <v>96</v>
      </c>
      <c r="B93" s="30">
        <f t="shared" si="5"/>
        <v>1920</v>
      </c>
      <c r="C93" s="30">
        <v>340</v>
      </c>
      <c r="D93" s="30">
        <v>240</v>
      </c>
      <c r="E93" s="30">
        <v>200</v>
      </c>
      <c r="F93" s="30">
        <v>180</v>
      </c>
      <c r="G93" s="30">
        <v>150</v>
      </c>
      <c r="H93" s="30">
        <v>130</v>
      </c>
      <c r="I93" s="30">
        <v>110</v>
      </c>
      <c r="J93" s="30">
        <v>100</v>
      </c>
      <c r="K93" s="30">
        <v>80</v>
      </c>
      <c r="L93" s="30">
        <v>72</v>
      </c>
      <c r="M93" s="30">
        <v>60</v>
      </c>
      <c r="N93" s="30">
        <v>60</v>
      </c>
      <c r="O93" s="30">
        <v>50</v>
      </c>
      <c r="P93" s="30">
        <v>50</v>
      </c>
      <c r="Q93" s="30">
        <v>50</v>
      </c>
      <c r="R93" s="30">
        <v>50</v>
      </c>
      <c r="S93" s="30">
        <f t="shared" si="4"/>
        <v>1922</v>
      </c>
      <c r="T93" s="31">
        <f t="shared" si="6"/>
        <v>-2</v>
      </c>
    </row>
    <row r="94" spans="1:20" x14ac:dyDescent="0.35">
      <c r="T94" s="31">
        <f>SUM(T4:T93)</f>
        <v>-42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FB3A3-C448-4A56-A142-DD46B0CA7C4C}">
  <sheetPr codeName="Sheet4"/>
  <dimension ref="A1:T94"/>
  <sheetViews>
    <sheetView topLeftCell="A55" workbookViewId="0">
      <selection activeCell="I3" sqref="I3"/>
    </sheetView>
  </sheetViews>
  <sheetFormatPr defaultRowHeight="21" x14ac:dyDescent="0.35"/>
  <cols>
    <col min="1" max="1" width="13" style="30" customWidth="1"/>
    <col min="2" max="2" width="9.140625" style="30"/>
    <col min="3" max="18" width="9.28515625" style="30" customWidth="1"/>
    <col min="19" max="16384" width="9.140625" style="30"/>
  </cols>
  <sheetData>
    <row r="1" spans="1:20" x14ac:dyDescent="0.35">
      <c r="A1" s="30" t="s">
        <v>87</v>
      </c>
    </row>
    <row r="2" spans="1:20" x14ac:dyDescent="0.35">
      <c r="A2" s="30" t="s">
        <v>85</v>
      </c>
      <c r="B2" s="30">
        <v>50</v>
      </c>
      <c r="D2" s="30" t="s">
        <v>90</v>
      </c>
      <c r="I2" s="32">
        <v>1</v>
      </c>
    </row>
    <row r="3" spans="1:20" x14ac:dyDescent="0.35">
      <c r="A3" s="30" t="s">
        <v>67</v>
      </c>
      <c r="B3" s="30" t="s">
        <v>68</v>
      </c>
      <c r="C3" s="30" t="s">
        <v>69</v>
      </c>
      <c r="D3" s="30" t="s">
        <v>70</v>
      </c>
      <c r="E3" s="30" t="s">
        <v>71</v>
      </c>
      <c r="F3" s="30" t="s">
        <v>72</v>
      </c>
      <c r="G3" s="30" t="s">
        <v>73</v>
      </c>
      <c r="H3" s="30" t="s">
        <v>74</v>
      </c>
      <c r="I3" s="30" t="s">
        <v>75</v>
      </c>
      <c r="J3" s="30" t="s">
        <v>76</v>
      </c>
      <c r="K3" s="30" t="s">
        <v>77</v>
      </c>
      <c r="L3" s="30" t="s">
        <v>78</v>
      </c>
      <c r="M3" s="30" t="s">
        <v>79</v>
      </c>
      <c r="N3" s="30" t="s">
        <v>80</v>
      </c>
      <c r="O3" s="30" t="s">
        <v>81</v>
      </c>
      <c r="P3" s="30" t="s">
        <v>82</v>
      </c>
      <c r="Q3" s="30" t="s">
        <v>83</v>
      </c>
      <c r="R3" s="30" t="s">
        <v>84</v>
      </c>
      <c r="S3" s="30" t="s">
        <v>68</v>
      </c>
      <c r="T3" s="30" t="s">
        <v>88</v>
      </c>
    </row>
    <row r="4" spans="1:20" x14ac:dyDescent="0.35">
      <c r="A4" s="30">
        <v>7</v>
      </c>
      <c r="B4" s="30">
        <f>A4*$B$2</f>
        <v>350</v>
      </c>
      <c r="C4" s="30">
        <v>204</v>
      </c>
      <c r="D4" s="30">
        <v>146</v>
      </c>
      <c r="S4" s="30">
        <f t="shared" ref="S4:S35" si="0">SUM(C4:R4)</f>
        <v>350</v>
      </c>
      <c r="T4" s="31">
        <f>B4-S4</f>
        <v>0</v>
      </c>
    </row>
    <row r="5" spans="1:20" x14ac:dyDescent="0.35">
      <c r="A5" s="30">
        <v>8</v>
      </c>
      <c r="B5" s="30">
        <f t="shared" ref="B5:B68" si="1">A5*$B$2</f>
        <v>400</v>
      </c>
      <c r="C5" s="30">
        <v>234</v>
      </c>
      <c r="D5" s="30">
        <v>166</v>
      </c>
      <c r="S5" s="30">
        <f t="shared" si="0"/>
        <v>400</v>
      </c>
      <c r="T5" s="31">
        <f t="shared" ref="T5:T68" si="2">B5-S5</f>
        <v>0</v>
      </c>
    </row>
    <row r="6" spans="1:20" x14ac:dyDescent="0.35">
      <c r="A6" s="30">
        <v>9</v>
      </c>
      <c r="B6" s="30">
        <f t="shared" si="1"/>
        <v>450</v>
      </c>
      <c r="C6" s="30">
        <v>262</v>
      </c>
      <c r="D6" s="30">
        <v>188</v>
      </c>
      <c r="S6" s="30">
        <f t="shared" si="0"/>
        <v>450</v>
      </c>
      <c r="T6" s="31">
        <f t="shared" si="2"/>
        <v>0</v>
      </c>
    </row>
    <row r="7" spans="1:20" x14ac:dyDescent="0.35">
      <c r="A7" s="30">
        <v>10</v>
      </c>
      <c r="B7" s="30">
        <f t="shared" si="1"/>
        <v>500</v>
      </c>
      <c r="C7" s="30">
        <v>292</v>
      </c>
      <c r="D7" s="30">
        <v>208</v>
      </c>
      <c r="S7" s="30">
        <f t="shared" si="0"/>
        <v>500</v>
      </c>
      <c r="T7" s="31">
        <f t="shared" si="2"/>
        <v>0</v>
      </c>
    </row>
    <row r="8" spans="1:20" x14ac:dyDescent="0.35">
      <c r="A8" s="30">
        <v>11</v>
      </c>
      <c r="B8" s="30">
        <f t="shared" si="1"/>
        <v>550</v>
      </c>
      <c r="C8" s="30">
        <v>320</v>
      </c>
      <c r="D8" s="30">
        <v>230</v>
      </c>
      <c r="S8" s="30">
        <f t="shared" si="0"/>
        <v>550</v>
      </c>
      <c r="T8" s="31">
        <f t="shared" si="2"/>
        <v>0</v>
      </c>
    </row>
    <row r="9" spans="1:20" x14ac:dyDescent="0.35">
      <c r="A9" s="30">
        <v>12</v>
      </c>
      <c r="B9" s="30">
        <f t="shared" si="1"/>
        <v>600</v>
      </c>
      <c r="C9" s="30">
        <v>350</v>
      </c>
      <c r="D9" s="30">
        <v>250</v>
      </c>
      <c r="S9" s="30">
        <f t="shared" si="0"/>
        <v>600</v>
      </c>
      <c r="T9" s="31">
        <f t="shared" si="2"/>
        <v>0</v>
      </c>
    </row>
    <row r="10" spans="1:20" x14ac:dyDescent="0.35">
      <c r="A10" s="30">
        <v>13</v>
      </c>
      <c r="B10" s="30">
        <f t="shared" si="1"/>
        <v>650</v>
      </c>
      <c r="C10" s="30">
        <v>272</v>
      </c>
      <c r="D10" s="30">
        <v>216</v>
      </c>
      <c r="E10" s="30">
        <v>162</v>
      </c>
      <c r="S10" s="30">
        <f t="shared" si="0"/>
        <v>650</v>
      </c>
      <c r="T10" s="31">
        <f t="shared" si="2"/>
        <v>0</v>
      </c>
    </row>
    <row r="11" spans="1:20" x14ac:dyDescent="0.35">
      <c r="A11" s="30">
        <v>14</v>
      </c>
      <c r="B11" s="30">
        <f t="shared" si="1"/>
        <v>700</v>
      </c>
      <c r="C11" s="30">
        <v>292</v>
      </c>
      <c r="D11" s="30">
        <v>234</v>
      </c>
      <c r="E11" s="30">
        <v>176</v>
      </c>
      <c r="S11" s="30">
        <f t="shared" si="0"/>
        <v>702</v>
      </c>
      <c r="T11" s="31">
        <f t="shared" si="2"/>
        <v>-2</v>
      </c>
    </row>
    <row r="12" spans="1:20" x14ac:dyDescent="0.35">
      <c r="A12" s="30">
        <v>15</v>
      </c>
      <c r="B12" s="30">
        <f t="shared" si="1"/>
        <v>750</v>
      </c>
      <c r="C12" s="30">
        <v>312</v>
      </c>
      <c r="D12" s="30">
        <v>250</v>
      </c>
      <c r="E12" s="30">
        <v>188</v>
      </c>
      <c r="S12" s="30">
        <f t="shared" si="0"/>
        <v>750</v>
      </c>
      <c r="T12" s="31">
        <f t="shared" si="2"/>
        <v>0</v>
      </c>
    </row>
    <row r="13" spans="1:20" x14ac:dyDescent="0.35">
      <c r="A13" s="30">
        <v>16</v>
      </c>
      <c r="B13" s="30">
        <f t="shared" si="1"/>
        <v>800</v>
      </c>
      <c r="C13" s="30">
        <v>334</v>
      </c>
      <c r="D13" s="30">
        <v>266</v>
      </c>
      <c r="E13" s="30">
        <v>200</v>
      </c>
      <c r="S13" s="30">
        <f t="shared" si="0"/>
        <v>800</v>
      </c>
      <c r="T13" s="31">
        <f t="shared" si="2"/>
        <v>0</v>
      </c>
    </row>
    <row r="14" spans="1:20" x14ac:dyDescent="0.35">
      <c r="A14" s="30">
        <v>17</v>
      </c>
      <c r="B14" s="30">
        <f t="shared" si="1"/>
        <v>850</v>
      </c>
      <c r="C14" s="30">
        <v>354</v>
      </c>
      <c r="D14" s="30">
        <v>284</v>
      </c>
      <c r="E14" s="30">
        <v>212</v>
      </c>
      <c r="S14" s="30">
        <f t="shared" si="0"/>
        <v>850</v>
      </c>
      <c r="T14" s="31">
        <f t="shared" si="2"/>
        <v>0</v>
      </c>
    </row>
    <row r="15" spans="1:20" x14ac:dyDescent="0.35">
      <c r="A15" s="30">
        <v>18</v>
      </c>
      <c r="B15" s="30">
        <f t="shared" si="1"/>
        <v>900</v>
      </c>
      <c r="C15" s="30">
        <v>376</v>
      </c>
      <c r="D15" s="30">
        <v>300</v>
      </c>
      <c r="E15" s="30">
        <v>226</v>
      </c>
      <c r="S15" s="30">
        <f t="shared" si="0"/>
        <v>902</v>
      </c>
      <c r="T15" s="31">
        <f t="shared" si="2"/>
        <v>-2</v>
      </c>
    </row>
    <row r="16" spans="1:20" x14ac:dyDescent="0.35">
      <c r="A16" s="30">
        <v>19</v>
      </c>
      <c r="B16" s="30">
        <f t="shared" si="1"/>
        <v>950</v>
      </c>
      <c r="C16" s="30">
        <v>316</v>
      </c>
      <c r="D16" s="30">
        <v>238</v>
      </c>
      <c r="E16" s="30">
        <v>218</v>
      </c>
      <c r="F16" s="30">
        <v>178</v>
      </c>
      <c r="S16" s="30">
        <f t="shared" si="0"/>
        <v>950</v>
      </c>
      <c r="T16" s="31">
        <f t="shared" si="2"/>
        <v>0</v>
      </c>
    </row>
    <row r="17" spans="1:20" x14ac:dyDescent="0.35">
      <c r="A17" s="30">
        <v>20</v>
      </c>
      <c r="B17" s="30">
        <f t="shared" si="1"/>
        <v>1000</v>
      </c>
      <c r="C17" s="30">
        <v>334</v>
      </c>
      <c r="D17" s="30">
        <v>250</v>
      </c>
      <c r="E17" s="30">
        <v>230</v>
      </c>
      <c r="F17" s="30">
        <v>188</v>
      </c>
      <c r="S17" s="30">
        <f t="shared" si="0"/>
        <v>1002</v>
      </c>
      <c r="T17" s="31">
        <f t="shared" si="2"/>
        <v>-2</v>
      </c>
    </row>
    <row r="18" spans="1:20" x14ac:dyDescent="0.35">
      <c r="A18" s="30">
        <v>21</v>
      </c>
      <c r="B18" s="30">
        <f t="shared" si="1"/>
        <v>1050</v>
      </c>
      <c r="C18" s="30">
        <v>350</v>
      </c>
      <c r="D18" s="30">
        <v>262</v>
      </c>
      <c r="E18" s="30">
        <v>240</v>
      </c>
      <c r="F18" s="30">
        <v>198</v>
      </c>
      <c r="S18" s="30">
        <f t="shared" si="0"/>
        <v>1050</v>
      </c>
      <c r="T18" s="31">
        <f t="shared" si="2"/>
        <v>0</v>
      </c>
    </row>
    <row r="19" spans="1:20" x14ac:dyDescent="0.35">
      <c r="A19" s="30">
        <v>22</v>
      </c>
      <c r="B19" s="30">
        <f t="shared" si="1"/>
        <v>1100</v>
      </c>
      <c r="C19" s="30">
        <v>366</v>
      </c>
      <c r="D19" s="30">
        <v>276</v>
      </c>
      <c r="E19" s="30">
        <v>252</v>
      </c>
      <c r="F19" s="30">
        <v>206</v>
      </c>
      <c r="S19" s="30">
        <f t="shared" si="0"/>
        <v>1100</v>
      </c>
      <c r="T19" s="31">
        <f t="shared" si="2"/>
        <v>0</v>
      </c>
    </row>
    <row r="20" spans="1:20" x14ac:dyDescent="0.35">
      <c r="A20" s="30">
        <v>23</v>
      </c>
      <c r="B20" s="30">
        <f t="shared" si="1"/>
        <v>1150</v>
      </c>
      <c r="C20" s="30">
        <v>382</v>
      </c>
      <c r="D20" s="30">
        <v>288</v>
      </c>
      <c r="E20" s="30">
        <v>264</v>
      </c>
      <c r="F20" s="30">
        <v>216</v>
      </c>
      <c r="S20" s="30">
        <f t="shared" si="0"/>
        <v>1150</v>
      </c>
      <c r="T20" s="31">
        <f t="shared" si="2"/>
        <v>0</v>
      </c>
    </row>
    <row r="21" spans="1:20" x14ac:dyDescent="0.35">
      <c r="A21" s="30">
        <v>24</v>
      </c>
      <c r="B21" s="30">
        <f t="shared" si="1"/>
        <v>1200</v>
      </c>
      <c r="C21" s="30">
        <v>400</v>
      </c>
      <c r="D21" s="30">
        <v>300</v>
      </c>
      <c r="E21" s="30">
        <v>274</v>
      </c>
      <c r="F21" s="30">
        <v>226</v>
      </c>
      <c r="S21" s="30">
        <f t="shared" si="0"/>
        <v>1200</v>
      </c>
      <c r="T21" s="31">
        <f t="shared" si="2"/>
        <v>0</v>
      </c>
    </row>
    <row r="22" spans="1:20" x14ac:dyDescent="0.35">
      <c r="A22" s="30">
        <v>25</v>
      </c>
      <c r="B22" s="30">
        <f t="shared" si="1"/>
        <v>1250</v>
      </c>
      <c r="C22" s="30">
        <v>354</v>
      </c>
      <c r="D22" s="30">
        <v>272</v>
      </c>
      <c r="E22" s="30">
        <v>228</v>
      </c>
      <c r="F22" s="30">
        <v>208</v>
      </c>
      <c r="G22" s="30">
        <v>188</v>
      </c>
      <c r="S22" s="30">
        <f t="shared" si="0"/>
        <v>1250</v>
      </c>
      <c r="T22" s="31">
        <f t="shared" si="2"/>
        <v>0</v>
      </c>
    </row>
    <row r="23" spans="1:20" x14ac:dyDescent="0.35">
      <c r="A23" s="30">
        <v>26</v>
      </c>
      <c r="B23" s="30">
        <f t="shared" si="1"/>
        <v>1300</v>
      </c>
      <c r="C23" s="30">
        <v>368</v>
      </c>
      <c r="D23" s="30">
        <v>282</v>
      </c>
      <c r="E23" s="30">
        <v>238</v>
      </c>
      <c r="F23" s="30">
        <v>218</v>
      </c>
      <c r="G23" s="30">
        <v>196</v>
      </c>
      <c r="S23" s="30">
        <f t="shared" si="0"/>
        <v>1302</v>
      </c>
      <c r="T23" s="31">
        <f t="shared" si="2"/>
        <v>-2</v>
      </c>
    </row>
    <row r="24" spans="1:20" x14ac:dyDescent="0.35">
      <c r="A24" s="30">
        <v>27</v>
      </c>
      <c r="B24" s="30">
        <f t="shared" si="1"/>
        <v>1350</v>
      </c>
      <c r="C24" s="30">
        <v>382</v>
      </c>
      <c r="D24" s="30">
        <v>292</v>
      </c>
      <c r="E24" s="30">
        <v>248</v>
      </c>
      <c r="F24" s="30">
        <v>226</v>
      </c>
      <c r="G24" s="30">
        <v>202</v>
      </c>
      <c r="S24" s="30">
        <f t="shared" si="0"/>
        <v>1350</v>
      </c>
      <c r="T24" s="31">
        <f t="shared" si="2"/>
        <v>0</v>
      </c>
    </row>
    <row r="25" spans="1:20" x14ac:dyDescent="0.35">
      <c r="A25" s="30">
        <v>28</v>
      </c>
      <c r="B25" s="30">
        <f t="shared" si="1"/>
        <v>1400</v>
      </c>
      <c r="C25" s="30">
        <v>396</v>
      </c>
      <c r="D25" s="30">
        <v>304</v>
      </c>
      <c r="E25" s="30">
        <v>256</v>
      </c>
      <c r="F25" s="30">
        <v>234</v>
      </c>
      <c r="G25" s="30">
        <v>210</v>
      </c>
      <c r="S25" s="30">
        <f t="shared" si="0"/>
        <v>1400</v>
      </c>
      <c r="T25" s="31">
        <f t="shared" si="2"/>
        <v>0</v>
      </c>
    </row>
    <row r="26" spans="1:20" x14ac:dyDescent="0.35">
      <c r="A26" s="30">
        <v>29</v>
      </c>
      <c r="B26" s="30">
        <f t="shared" si="1"/>
        <v>1450</v>
      </c>
      <c r="C26" s="30">
        <v>410</v>
      </c>
      <c r="D26" s="30">
        <v>314</v>
      </c>
      <c r="E26" s="30">
        <v>266</v>
      </c>
      <c r="F26" s="30">
        <v>242</v>
      </c>
      <c r="G26" s="30">
        <v>218</v>
      </c>
      <c r="S26" s="30">
        <f t="shared" si="0"/>
        <v>1450</v>
      </c>
      <c r="T26" s="31">
        <f t="shared" si="2"/>
        <v>0</v>
      </c>
    </row>
    <row r="27" spans="1:20" x14ac:dyDescent="0.35">
      <c r="A27" s="30">
        <v>30</v>
      </c>
      <c r="B27" s="30">
        <f t="shared" si="1"/>
        <v>1500</v>
      </c>
      <c r="C27" s="30">
        <v>424</v>
      </c>
      <c r="D27" s="30">
        <v>326</v>
      </c>
      <c r="E27" s="30">
        <v>274</v>
      </c>
      <c r="F27" s="30">
        <v>250</v>
      </c>
      <c r="G27" s="30">
        <v>226</v>
      </c>
      <c r="S27" s="30">
        <f t="shared" si="0"/>
        <v>1500</v>
      </c>
      <c r="T27" s="31">
        <f t="shared" si="2"/>
        <v>0</v>
      </c>
    </row>
    <row r="28" spans="1:20" x14ac:dyDescent="0.35">
      <c r="A28" s="30">
        <v>31</v>
      </c>
      <c r="B28" s="30">
        <f t="shared" si="1"/>
        <v>1550</v>
      </c>
      <c r="C28" s="30">
        <v>366</v>
      </c>
      <c r="D28" s="30">
        <v>280</v>
      </c>
      <c r="E28" s="30">
        <v>258</v>
      </c>
      <c r="F28" s="30">
        <v>238</v>
      </c>
      <c r="G28" s="30">
        <v>216</v>
      </c>
      <c r="H28" s="30">
        <v>194</v>
      </c>
      <c r="S28" s="30">
        <f t="shared" si="0"/>
        <v>1552</v>
      </c>
      <c r="T28" s="31">
        <f t="shared" si="2"/>
        <v>-2</v>
      </c>
    </row>
    <row r="29" spans="1:20" x14ac:dyDescent="0.35">
      <c r="A29" s="30">
        <v>32</v>
      </c>
      <c r="B29" s="30">
        <f t="shared" si="1"/>
        <v>1600</v>
      </c>
      <c r="C29" s="30">
        <v>378</v>
      </c>
      <c r="D29" s="30">
        <v>288</v>
      </c>
      <c r="E29" s="30">
        <v>268</v>
      </c>
      <c r="F29" s="30">
        <v>244</v>
      </c>
      <c r="G29" s="30">
        <v>222</v>
      </c>
      <c r="H29" s="30">
        <v>200</v>
      </c>
      <c r="S29" s="30">
        <f t="shared" si="0"/>
        <v>1600</v>
      </c>
      <c r="T29" s="31">
        <f t="shared" si="2"/>
        <v>0</v>
      </c>
    </row>
    <row r="30" spans="1:20" x14ac:dyDescent="0.35">
      <c r="A30" s="30">
        <v>33</v>
      </c>
      <c r="B30" s="30">
        <f t="shared" si="1"/>
        <v>1650</v>
      </c>
      <c r="C30" s="30">
        <v>390</v>
      </c>
      <c r="D30" s="30">
        <v>298</v>
      </c>
      <c r="E30" s="30">
        <v>276</v>
      </c>
      <c r="F30" s="30">
        <v>252</v>
      </c>
      <c r="G30" s="30">
        <v>230</v>
      </c>
      <c r="H30" s="30">
        <v>206</v>
      </c>
      <c r="S30" s="30">
        <f t="shared" si="0"/>
        <v>1652</v>
      </c>
      <c r="T30" s="31">
        <f t="shared" si="2"/>
        <v>-2</v>
      </c>
    </row>
    <row r="31" spans="1:20" x14ac:dyDescent="0.35">
      <c r="A31" s="30">
        <v>34</v>
      </c>
      <c r="B31" s="30">
        <f t="shared" si="1"/>
        <v>1700</v>
      </c>
      <c r="C31" s="30">
        <v>402</v>
      </c>
      <c r="D31" s="30">
        <v>306</v>
      </c>
      <c r="E31" s="30">
        <v>284</v>
      </c>
      <c r="F31" s="30">
        <v>260</v>
      </c>
      <c r="G31" s="30">
        <v>236</v>
      </c>
      <c r="H31" s="30">
        <v>212</v>
      </c>
      <c r="S31" s="30">
        <f t="shared" si="0"/>
        <v>1700</v>
      </c>
      <c r="T31" s="31">
        <f t="shared" si="2"/>
        <v>0</v>
      </c>
    </row>
    <row r="32" spans="1:20" x14ac:dyDescent="0.35">
      <c r="A32" s="30">
        <v>35</v>
      </c>
      <c r="B32" s="30">
        <f t="shared" si="1"/>
        <v>1750</v>
      </c>
      <c r="C32" s="30">
        <v>414</v>
      </c>
      <c r="D32" s="30">
        <v>316</v>
      </c>
      <c r="E32" s="30">
        <v>292</v>
      </c>
      <c r="F32" s="30">
        <v>268</v>
      </c>
      <c r="G32" s="30">
        <v>244</v>
      </c>
      <c r="H32" s="30">
        <v>218</v>
      </c>
      <c r="S32" s="30">
        <f t="shared" si="0"/>
        <v>1752</v>
      </c>
      <c r="T32" s="31">
        <f t="shared" si="2"/>
        <v>-2</v>
      </c>
    </row>
    <row r="33" spans="1:20" x14ac:dyDescent="0.35">
      <c r="A33" s="30">
        <v>36</v>
      </c>
      <c r="B33" s="30">
        <f t="shared" si="1"/>
        <v>1800</v>
      </c>
      <c r="C33" s="30">
        <v>424</v>
      </c>
      <c r="D33" s="30">
        <v>324</v>
      </c>
      <c r="E33" s="30">
        <v>300</v>
      </c>
      <c r="F33" s="30">
        <v>276</v>
      </c>
      <c r="G33" s="30">
        <v>250</v>
      </c>
      <c r="H33" s="30">
        <v>226</v>
      </c>
      <c r="S33" s="30">
        <f t="shared" si="0"/>
        <v>1800</v>
      </c>
      <c r="T33" s="31">
        <f t="shared" si="2"/>
        <v>0</v>
      </c>
    </row>
    <row r="34" spans="1:20" x14ac:dyDescent="0.35">
      <c r="A34" s="30">
        <v>37</v>
      </c>
      <c r="B34" s="30">
        <f t="shared" si="1"/>
        <v>1850</v>
      </c>
      <c r="C34" s="30">
        <v>396</v>
      </c>
      <c r="D34" s="30">
        <v>308</v>
      </c>
      <c r="E34" s="30">
        <v>286</v>
      </c>
      <c r="F34" s="30">
        <v>264</v>
      </c>
      <c r="G34" s="30">
        <v>242</v>
      </c>
      <c r="H34" s="30">
        <v>198</v>
      </c>
      <c r="I34" s="30">
        <v>154</v>
      </c>
      <c r="S34" s="30">
        <f t="shared" si="0"/>
        <v>1848</v>
      </c>
      <c r="T34" s="31">
        <f t="shared" si="2"/>
        <v>2</v>
      </c>
    </row>
    <row r="35" spans="1:20" x14ac:dyDescent="0.35">
      <c r="A35" s="30">
        <v>38</v>
      </c>
      <c r="B35" s="30">
        <f t="shared" si="1"/>
        <v>1900</v>
      </c>
      <c r="C35" s="30">
        <v>406</v>
      </c>
      <c r="D35" s="30">
        <v>318</v>
      </c>
      <c r="E35" s="30">
        <v>294</v>
      </c>
      <c r="F35" s="30">
        <v>272</v>
      </c>
      <c r="G35" s="30">
        <v>248</v>
      </c>
      <c r="H35" s="30">
        <v>204</v>
      </c>
      <c r="I35" s="30">
        <v>158</v>
      </c>
      <c r="S35" s="30">
        <f t="shared" si="0"/>
        <v>1900</v>
      </c>
      <c r="T35" s="31">
        <f t="shared" si="2"/>
        <v>0</v>
      </c>
    </row>
    <row r="36" spans="1:20" x14ac:dyDescent="0.35">
      <c r="A36" s="30">
        <v>39</v>
      </c>
      <c r="B36" s="30">
        <f t="shared" si="1"/>
        <v>1950</v>
      </c>
      <c r="C36" s="30">
        <v>418</v>
      </c>
      <c r="D36" s="30">
        <v>326</v>
      </c>
      <c r="E36" s="30">
        <v>302</v>
      </c>
      <c r="F36" s="30">
        <v>278</v>
      </c>
      <c r="G36" s="30">
        <v>256</v>
      </c>
      <c r="H36" s="30">
        <v>208</v>
      </c>
      <c r="I36" s="30">
        <v>162</v>
      </c>
      <c r="S36" s="30">
        <f t="shared" ref="S36:S67" si="3">SUM(C36:R36)</f>
        <v>1950</v>
      </c>
      <c r="T36" s="31">
        <f t="shared" si="2"/>
        <v>0</v>
      </c>
    </row>
    <row r="37" spans="1:20" x14ac:dyDescent="0.35">
      <c r="A37" s="30">
        <v>40</v>
      </c>
      <c r="B37" s="30">
        <f t="shared" si="1"/>
        <v>2000</v>
      </c>
      <c r="C37" s="30">
        <v>428</v>
      </c>
      <c r="D37" s="30">
        <v>334</v>
      </c>
      <c r="E37" s="30">
        <v>310</v>
      </c>
      <c r="F37" s="30">
        <v>286</v>
      </c>
      <c r="G37" s="30">
        <v>262</v>
      </c>
      <c r="H37" s="30">
        <v>214</v>
      </c>
      <c r="I37" s="30">
        <v>166</v>
      </c>
      <c r="S37" s="30">
        <f t="shared" si="3"/>
        <v>2000</v>
      </c>
      <c r="T37" s="31">
        <f t="shared" si="2"/>
        <v>0</v>
      </c>
    </row>
    <row r="38" spans="1:20" x14ac:dyDescent="0.35">
      <c r="A38" s="30">
        <v>41</v>
      </c>
      <c r="B38" s="30">
        <f t="shared" si="1"/>
        <v>2050</v>
      </c>
      <c r="C38" s="30">
        <v>438</v>
      </c>
      <c r="D38" s="30">
        <v>342</v>
      </c>
      <c r="E38" s="30">
        <v>318</v>
      </c>
      <c r="F38" s="30">
        <v>294</v>
      </c>
      <c r="G38" s="30">
        <v>268</v>
      </c>
      <c r="H38" s="30">
        <v>220</v>
      </c>
      <c r="I38" s="30">
        <v>170</v>
      </c>
      <c r="S38" s="30">
        <f t="shared" si="3"/>
        <v>2050</v>
      </c>
      <c r="T38" s="31">
        <f t="shared" si="2"/>
        <v>0</v>
      </c>
    </row>
    <row r="39" spans="1:20" x14ac:dyDescent="0.35">
      <c r="A39" s="30">
        <v>42</v>
      </c>
      <c r="B39" s="30">
        <f t="shared" si="1"/>
        <v>2100</v>
      </c>
      <c r="C39" s="30">
        <v>450</v>
      </c>
      <c r="D39" s="30">
        <v>350</v>
      </c>
      <c r="E39" s="30">
        <v>326</v>
      </c>
      <c r="F39" s="30">
        <v>300</v>
      </c>
      <c r="G39" s="30">
        <v>276</v>
      </c>
      <c r="H39" s="30">
        <v>224</v>
      </c>
      <c r="I39" s="30">
        <v>174</v>
      </c>
      <c r="S39" s="30">
        <f t="shared" si="3"/>
        <v>2100</v>
      </c>
      <c r="T39" s="31">
        <f t="shared" si="2"/>
        <v>0</v>
      </c>
    </row>
    <row r="40" spans="1:20" x14ac:dyDescent="0.35">
      <c r="A40" s="30">
        <v>43</v>
      </c>
      <c r="B40" s="30">
        <f t="shared" si="1"/>
        <v>2150</v>
      </c>
      <c r="C40" s="30">
        <v>426</v>
      </c>
      <c r="D40" s="30">
        <v>336</v>
      </c>
      <c r="E40" s="30">
        <v>290</v>
      </c>
      <c r="F40" s="30">
        <v>268</v>
      </c>
      <c r="G40" s="30">
        <v>248</v>
      </c>
      <c r="H40" s="30">
        <v>224</v>
      </c>
      <c r="I40" s="30">
        <v>202</v>
      </c>
      <c r="J40" s="30">
        <v>156</v>
      </c>
      <c r="S40" s="30">
        <f t="shared" si="3"/>
        <v>2150</v>
      </c>
      <c r="T40" s="31">
        <f t="shared" si="2"/>
        <v>0</v>
      </c>
    </row>
    <row r="41" spans="1:20" x14ac:dyDescent="0.35">
      <c r="A41" s="30">
        <v>44</v>
      </c>
      <c r="B41" s="30">
        <f t="shared" si="1"/>
        <v>2200</v>
      </c>
      <c r="C41" s="30">
        <v>436</v>
      </c>
      <c r="D41" s="30">
        <v>344</v>
      </c>
      <c r="E41" s="30">
        <v>298</v>
      </c>
      <c r="F41" s="30">
        <v>276</v>
      </c>
      <c r="G41" s="30">
        <v>254</v>
      </c>
      <c r="H41" s="30">
        <v>228</v>
      </c>
      <c r="I41" s="30">
        <v>206</v>
      </c>
      <c r="J41" s="30">
        <v>160</v>
      </c>
      <c r="S41" s="30">
        <f t="shared" si="3"/>
        <v>2202</v>
      </c>
      <c r="T41" s="31">
        <f t="shared" si="2"/>
        <v>-2</v>
      </c>
    </row>
    <row r="42" spans="1:20" x14ac:dyDescent="0.35">
      <c r="A42" s="30">
        <v>45</v>
      </c>
      <c r="B42" s="30">
        <f t="shared" si="1"/>
        <v>2250</v>
      </c>
      <c r="C42" s="30">
        <v>446</v>
      </c>
      <c r="D42" s="30">
        <v>352</v>
      </c>
      <c r="E42" s="30">
        <v>304</v>
      </c>
      <c r="F42" s="30">
        <v>282</v>
      </c>
      <c r="G42" s="30">
        <v>258</v>
      </c>
      <c r="H42" s="30">
        <v>234</v>
      </c>
      <c r="I42" s="30">
        <v>212</v>
      </c>
      <c r="J42" s="30">
        <v>164</v>
      </c>
      <c r="S42" s="30">
        <f t="shared" si="3"/>
        <v>2252</v>
      </c>
      <c r="T42" s="31">
        <f t="shared" si="2"/>
        <v>-2</v>
      </c>
    </row>
    <row r="43" spans="1:20" x14ac:dyDescent="0.35">
      <c r="A43" s="30">
        <v>46</v>
      </c>
      <c r="B43" s="30">
        <f t="shared" si="1"/>
        <v>2300</v>
      </c>
      <c r="C43" s="30">
        <v>456</v>
      </c>
      <c r="D43" s="30">
        <v>358</v>
      </c>
      <c r="E43" s="30">
        <v>310</v>
      </c>
      <c r="F43" s="30">
        <v>288</v>
      </c>
      <c r="G43" s="30">
        <v>264</v>
      </c>
      <c r="H43" s="30">
        <v>240</v>
      </c>
      <c r="I43" s="30">
        <v>216</v>
      </c>
      <c r="J43" s="30">
        <v>168</v>
      </c>
      <c r="S43" s="30">
        <f t="shared" si="3"/>
        <v>2300</v>
      </c>
      <c r="T43" s="31">
        <f t="shared" si="2"/>
        <v>0</v>
      </c>
    </row>
    <row r="44" spans="1:20" x14ac:dyDescent="0.35">
      <c r="A44" s="30">
        <v>47</v>
      </c>
      <c r="B44" s="30">
        <f t="shared" si="1"/>
        <v>2350</v>
      </c>
      <c r="C44" s="30">
        <v>466</v>
      </c>
      <c r="D44" s="30">
        <v>366</v>
      </c>
      <c r="E44" s="30">
        <v>318</v>
      </c>
      <c r="F44" s="30">
        <v>294</v>
      </c>
      <c r="G44" s="30">
        <v>270</v>
      </c>
      <c r="H44" s="30">
        <v>244</v>
      </c>
      <c r="I44" s="30">
        <v>220</v>
      </c>
      <c r="J44" s="30">
        <v>172</v>
      </c>
      <c r="S44" s="30">
        <f t="shared" si="3"/>
        <v>2350</v>
      </c>
      <c r="T44" s="31">
        <f t="shared" si="2"/>
        <v>0</v>
      </c>
    </row>
    <row r="45" spans="1:20" x14ac:dyDescent="0.35">
      <c r="A45" s="30">
        <v>48</v>
      </c>
      <c r="B45" s="30">
        <f t="shared" si="1"/>
        <v>2400</v>
      </c>
      <c r="C45" s="30">
        <v>476</v>
      </c>
      <c r="D45" s="30">
        <v>374</v>
      </c>
      <c r="E45" s="30">
        <v>324</v>
      </c>
      <c r="F45" s="30">
        <v>300</v>
      </c>
      <c r="G45" s="30">
        <v>276</v>
      </c>
      <c r="H45" s="30">
        <v>250</v>
      </c>
      <c r="I45" s="30">
        <v>226</v>
      </c>
      <c r="J45" s="30">
        <v>176</v>
      </c>
      <c r="S45" s="30">
        <f t="shared" si="3"/>
        <v>2402</v>
      </c>
      <c r="T45" s="31">
        <f t="shared" si="2"/>
        <v>-2</v>
      </c>
    </row>
    <row r="46" spans="1:20" x14ac:dyDescent="0.35">
      <c r="A46" s="30">
        <v>49</v>
      </c>
      <c r="B46" s="30">
        <f t="shared" si="1"/>
        <v>2450</v>
      </c>
      <c r="C46" s="30">
        <v>454</v>
      </c>
      <c r="D46" s="30">
        <v>340</v>
      </c>
      <c r="E46" s="30">
        <v>318</v>
      </c>
      <c r="F46" s="30">
        <v>294</v>
      </c>
      <c r="G46" s="30">
        <v>272</v>
      </c>
      <c r="H46" s="30">
        <v>228</v>
      </c>
      <c r="I46" s="30">
        <v>204</v>
      </c>
      <c r="J46" s="30">
        <v>182</v>
      </c>
      <c r="K46" s="30">
        <v>160</v>
      </c>
      <c r="S46" s="30">
        <f t="shared" si="3"/>
        <v>2452</v>
      </c>
      <c r="T46" s="31">
        <f t="shared" si="2"/>
        <v>-2</v>
      </c>
    </row>
    <row r="47" spans="1:20" x14ac:dyDescent="0.35">
      <c r="A47" s="30">
        <v>50</v>
      </c>
      <c r="B47" s="30">
        <f t="shared" si="1"/>
        <v>2500</v>
      </c>
      <c r="C47" s="30">
        <v>462</v>
      </c>
      <c r="D47" s="30">
        <v>348</v>
      </c>
      <c r="E47" s="30">
        <v>326</v>
      </c>
      <c r="F47" s="30">
        <v>300</v>
      </c>
      <c r="G47" s="30">
        <v>278</v>
      </c>
      <c r="H47" s="30">
        <v>232</v>
      </c>
      <c r="I47" s="30">
        <v>208</v>
      </c>
      <c r="J47" s="30">
        <v>186</v>
      </c>
      <c r="K47" s="30">
        <v>162</v>
      </c>
      <c r="S47" s="30">
        <f t="shared" si="3"/>
        <v>2502</v>
      </c>
      <c r="T47" s="31">
        <f t="shared" si="2"/>
        <v>-2</v>
      </c>
    </row>
    <row r="48" spans="1:20" x14ac:dyDescent="0.35">
      <c r="A48" s="30">
        <v>51</v>
      </c>
      <c r="B48" s="30">
        <f t="shared" si="1"/>
        <v>2550</v>
      </c>
      <c r="C48" s="30">
        <v>472</v>
      </c>
      <c r="D48" s="30">
        <v>354</v>
      </c>
      <c r="E48" s="30">
        <v>332</v>
      </c>
      <c r="F48" s="30">
        <v>306</v>
      </c>
      <c r="G48" s="30">
        <v>284</v>
      </c>
      <c r="H48" s="30">
        <v>238</v>
      </c>
      <c r="I48" s="30">
        <v>212</v>
      </c>
      <c r="J48" s="30">
        <v>188</v>
      </c>
      <c r="K48" s="30">
        <v>166</v>
      </c>
      <c r="S48" s="30">
        <f t="shared" si="3"/>
        <v>2552</v>
      </c>
      <c r="T48" s="31">
        <f t="shared" si="2"/>
        <v>-2</v>
      </c>
    </row>
    <row r="49" spans="1:20" x14ac:dyDescent="0.35">
      <c r="A49" s="30">
        <v>52</v>
      </c>
      <c r="B49" s="30">
        <f t="shared" si="1"/>
        <v>2600</v>
      </c>
      <c r="C49" s="30">
        <v>482</v>
      </c>
      <c r="D49" s="30">
        <v>362</v>
      </c>
      <c r="E49" s="30">
        <v>338</v>
      </c>
      <c r="F49" s="30">
        <v>312</v>
      </c>
      <c r="G49" s="30">
        <v>288</v>
      </c>
      <c r="H49" s="30">
        <v>242</v>
      </c>
      <c r="I49" s="30">
        <v>216</v>
      </c>
      <c r="J49" s="30">
        <v>192</v>
      </c>
      <c r="K49" s="30">
        <v>170</v>
      </c>
      <c r="S49" s="30">
        <f t="shared" si="3"/>
        <v>2602</v>
      </c>
      <c r="T49" s="31">
        <f t="shared" si="2"/>
        <v>-2</v>
      </c>
    </row>
    <row r="50" spans="1:20" x14ac:dyDescent="0.35">
      <c r="A50" s="30">
        <v>53</v>
      </c>
      <c r="B50" s="30">
        <f t="shared" si="1"/>
        <v>2650</v>
      </c>
      <c r="C50" s="30">
        <v>490</v>
      </c>
      <c r="D50" s="30">
        <v>368</v>
      </c>
      <c r="E50" s="30">
        <v>344</v>
      </c>
      <c r="F50" s="30">
        <v>318</v>
      </c>
      <c r="G50" s="30">
        <v>294</v>
      </c>
      <c r="H50" s="30">
        <v>246</v>
      </c>
      <c r="I50" s="30">
        <v>220</v>
      </c>
      <c r="J50" s="30">
        <v>196</v>
      </c>
      <c r="K50" s="30">
        <v>172</v>
      </c>
      <c r="S50" s="30">
        <f t="shared" si="3"/>
        <v>2648</v>
      </c>
      <c r="T50" s="31">
        <f t="shared" si="2"/>
        <v>2</v>
      </c>
    </row>
    <row r="51" spans="1:20" x14ac:dyDescent="0.35">
      <c r="A51" s="30">
        <v>54</v>
      </c>
      <c r="B51" s="30">
        <f t="shared" si="1"/>
        <v>2700</v>
      </c>
      <c r="C51" s="30">
        <v>500</v>
      </c>
      <c r="D51" s="30">
        <v>376</v>
      </c>
      <c r="E51" s="30">
        <v>352</v>
      </c>
      <c r="F51" s="30">
        <v>324</v>
      </c>
      <c r="G51" s="30">
        <v>300</v>
      </c>
      <c r="H51" s="30">
        <v>252</v>
      </c>
      <c r="I51" s="30">
        <v>224</v>
      </c>
      <c r="J51" s="30">
        <v>200</v>
      </c>
      <c r="K51" s="30">
        <v>176</v>
      </c>
      <c r="S51" s="30">
        <f t="shared" si="3"/>
        <v>2704</v>
      </c>
      <c r="T51" s="31">
        <f t="shared" si="2"/>
        <v>-4</v>
      </c>
    </row>
    <row r="52" spans="1:20" x14ac:dyDescent="0.35">
      <c r="A52" s="30">
        <v>55</v>
      </c>
      <c r="B52" s="30">
        <f t="shared" si="1"/>
        <v>2750</v>
      </c>
      <c r="C52" s="30">
        <v>482</v>
      </c>
      <c r="D52" s="30">
        <v>366</v>
      </c>
      <c r="E52" s="30">
        <v>322</v>
      </c>
      <c r="F52" s="30">
        <v>298</v>
      </c>
      <c r="G52" s="30">
        <v>276</v>
      </c>
      <c r="H52" s="30">
        <v>254</v>
      </c>
      <c r="I52" s="30">
        <v>228</v>
      </c>
      <c r="J52" s="30">
        <v>206</v>
      </c>
      <c r="K52" s="30">
        <v>184</v>
      </c>
      <c r="L52" s="30">
        <v>138</v>
      </c>
      <c r="S52" s="30">
        <f t="shared" si="3"/>
        <v>2754</v>
      </c>
      <c r="T52" s="31">
        <f t="shared" si="2"/>
        <v>-4</v>
      </c>
    </row>
    <row r="53" spans="1:20" x14ac:dyDescent="0.35">
      <c r="A53" s="30">
        <v>56</v>
      </c>
      <c r="B53" s="30">
        <f t="shared" si="1"/>
        <v>2800</v>
      </c>
      <c r="C53" s="30">
        <v>490</v>
      </c>
      <c r="D53" s="30">
        <v>372</v>
      </c>
      <c r="E53" s="30">
        <v>328</v>
      </c>
      <c r="F53" s="30">
        <v>302</v>
      </c>
      <c r="G53" s="30">
        <v>280</v>
      </c>
      <c r="H53" s="30">
        <v>258</v>
      </c>
      <c r="I53" s="30">
        <v>232</v>
      </c>
      <c r="J53" s="30">
        <v>210</v>
      </c>
      <c r="K53" s="30">
        <v>188</v>
      </c>
      <c r="L53" s="30">
        <v>140</v>
      </c>
      <c r="S53" s="30">
        <f t="shared" si="3"/>
        <v>2800</v>
      </c>
      <c r="T53" s="31">
        <f t="shared" si="2"/>
        <v>0</v>
      </c>
    </row>
    <row r="54" spans="1:20" x14ac:dyDescent="0.35">
      <c r="A54" s="30">
        <v>57</v>
      </c>
      <c r="B54" s="30">
        <f t="shared" si="1"/>
        <v>2850</v>
      </c>
      <c r="C54" s="30">
        <v>498</v>
      </c>
      <c r="D54" s="30">
        <v>380</v>
      </c>
      <c r="E54" s="30">
        <v>334</v>
      </c>
      <c r="F54" s="30">
        <v>308</v>
      </c>
      <c r="G54" s="30">
        <v>286</v>
      </c>
      <c r="H54" s="30">
        <v>262</v>
      </c>
      <c r="I54" s="30">
        <v>236</v>
      </c>
      <c r="J54" s="30">
        <v>214</v>
      </c>
      <c r="K54" s="30">
        <v>190</v>
      </c>
      <c r="L54" s="30">
        <v>142</v>
      </c>
      <c r="S54" s="30">
        <f t="shared" si="3"/>
        <v>2850</v>
      </c>
      <c r="T54" s="31">
        <f t="shared" si="2"/>
        <v>0</v>
      </c>
    </row>
    <row r="55" spans="1:20" x14ac:dyDescent="0.35">
      <c r="A55" s="30">
        <v>58</v>
      </c>
      <c r="B55" s="30">
        <f t="shared" si="1"/>
        <v>2900</v>
      </c>
      <c r="C55" s="30">
        <v>508</v>
      </c>
      <c r="D55" s="30">
        <v>386</v>
      </c>
      <c r="E55" s="30">
        <v>340</v>
      </c>
      <c r="F55" s="30">
        <v>314</v>
      </c>
      <c r="G55" s="30">
        <v>290</v>
      </c>
      <c r="H55" s="30">
        <v>266</v>
      </c>
      <c r="I55" s="30">
        <v>240</v>
      </c>
      <c r="J55" s="30">
        <v>218</v>
      </c>
      <c r="K55" s="30">
        <v>194</v>
      </c>
      <c r="L55" s="30">
        <v>146</v>
      </c>
      <c r="S55" s="30">
        <f t="shared" si="3"/>
        <v>2902</v>
      </c>
      <c r="T55" s="31">
        <f t="shared" si="2"/>
        <v>-2</v>
      </c>
    </row>
    <row r="56" spans="1:20" x14ac:dyDescent="0.35">
      <c r="A56" s="30">
        <v>59</v>
      </c>
      <c r="B56" s="30">
        <f t="shared" si="1"/>
        <v>2950</v>
      </c>
      <c r="C56" s="30">
        <v>516</v>
      </c>
      <c r="D56" s="30">
        <v>392</v>
      </c>
      <c r="E56" s="30">
        <v>346</v>
      </c>
      <c r="F56" s="30">
        <v>318</v>
      </c>
      <c r="G56" s="30">
        <v>296</v>
      </c>
      <c r="H56" s="30">
        <v>272</v>
      </c>
      <c r="I56" s="30">
        <v>244</v>
      </c>
      <c r="J56" s="30">
        <v>222</v>
      </c>
      <c r="K56" s="30">
        <v>198</v>
      </c>
      <c r="L56" s="30">
        <v>148</v>
      </c>
      <c r="S56" s="30">
        <f t="shared" si="3"/>
        <v>2952</v>
      </c>
      <c r="T56" s="31">
        <f t="shared" si="2"/>
        <v>-2</v>
      </c>
    </row>
    <row r="57" spans="1:20" x14ac:dyDescent="0.35">
      <c r="A57" s="30">
        <v>60</v>
      </c>
      <c r="B57" s="30">
        <f t="shared" si="1"/>
        <v>3000</v>
      </c>
      <c r="C57" s="30">
        <v>526</v>
      </c>
      <c r="D57" s="30">
        <v>400</v>
      </c>
      <c r="E57" s="30">
        <v>352</v>
      </c>
      <c r="F57" s="30">
        <v>324</v>
      </c>
      <c r="G57" s="30">
        <v>300</v>
      </c>
      <c r="H57" s="30">
        <v>276</v>
      </c>
      <c r="I57" s="30">
        <v>250</v>
      </c>
      <c r="J57" s="30">
        <v>226</v>
      </c>
      <c r="K57" s="30">
        <v>202</v>
      </c>
      <c r="L57" s="30">
        <v>150</v>
      </c>
      <c r="S57" s="30">
        <f t="shared" si="3"/>
        <v>3006</v>
      </c>
      <c r="T57" s="31">
        <f t="shared" si="2"/>
        <v>-6</v>
      </c>
    </row>
    <row r="58" spans="1:20" x14ac:dyDescent="0.35">
      <c r="A58" s="30">
        <v>61</v>
      </c>
      <c r="B58" s="30">
        <f t="shared" si="1"/>
        <v>3050</v>
      </c>
      <c r="C58" s="30">
        <v>530</v>
      </c>
      <c r="D58" s="30">
        <v>394</v>
      </c>
      <c r="E58" s="30">
        <v>348</v>
      </c>
      <c r="F58" s="30">
        <v>324</v>
      </c>
      <c r="G58" s="30">
        <v>298</v>
      </c>
      <c r="H58" s="30">
        <v>278</v>
      </c>
      <c r="I58" s="30">
        <v>254</v>
      </c>
      <c r="J58" s="30">
        <v>208</v>
      </c>
      <c r="K58" s="30">
        <v>162</v>
      </c>
      <c r="L58" s="30">
        <v>138</v>
      </c>
      <c r="M58" s="30">
        <v>118</v>
      </c>
      <c r="S58" s="30">
        <f t="shared" si="3"/>
        <v>3052</v>
      </c>
      <c r="T58" s="31">
        <f t="shared" si="2"/>
        <v>-2</v>
      </c>
    </row>
    <row r="59" spans="1:20" x14ac:dyDescent="0.35">
      <c r="A59" s="30">
        <v>62</v>
      </c>
      <c r="B59" s="30">
        <f t="shared" si="1"/>
        <v>3100</v>
      </c>
      <c r="C59" s="30">
        <v>540</v>
      </c>
      <c r="D59" s="30">
        <v>400</v>
      </c>
      <c r="E59" s="30">
        <v>354</v>
      </c>
      <c r="F59" s="30">
        <v>328</v>
      </c>
      <c r="G59" s="30">
        <v>304</v>
      </c>
      <c r="H59" s="30">
        <v>282</v>
      </c>
      <c r="I59" s="30">
        <v>258</v>
      </c>
      <c r="J59" s="30">
        <v>210</v>
      </c>
      <c r="K59" s="30">
        <v>164</v>
      </c>
      <c r="L59" s="30">
        <v>140</v>
      </c>
      <c r="M59" s="30">
        <v>120</v>
      </c>
      <c r="S59" s="30">
        <f t="shared" si="3"/>
        <v>3100</v>
      </c>
      <c r="T59" s="31">
        <f t="shared" si="2"/>
        <v>0</v>
      </c>
    </row>
    <row r="60" spans="1:20" x14ac:dyDescent="0.35">
      <c r="A60" s="30">
        <v>63</v>
      </c>
      <c r="B60" s="30">
        <f t="shared" si="1"/>
        <v>3150</v>
      </c>
      <c r="C60" s="30">
        <v>548</v>
      </c>
      <c r="D60" s="30">
        <v>406</v>
      </c>
      <c r="E60" s="30">
        <v>360</v>
      </c>
      <c r="F60" s="30">
        <v>334</v>
      </c>
      <c r="G60" s="30">
        <v>308</v>
      </c>
      <c r="H60" s="30">
        <v>286</v>
      </c>
      <c r="I60" s="30">
        <v>262</v>
      </c>
      <c r="J60" s="30">
        <v>214</v>
      </c>
      <c r="K60" s="30">
        <v>166</v>
      </c>
      <c r="L60" s="30">
        <v>142</v>
      </c>
      <c r="M60" s="30">
        <v>122</v>
      </c>
      <c r="S60" s="30">
        <f t="shared" si="3"/>
        <v>3148</v>
      </c>
      <c r="T60" s="31">
        <f t="shared" si="2"/>
        <v>2</v>
      </c>
    </row>
    <row r="61" spans="1:20" x14ac:dyDescent="0.35">
      <c r="A61" s="30">
        <v>64</v>
      </c>
      <c r="B61" s="30">
        <f t="shared" si="1"/>
        <v>3200</v>
      </c>
      <c r="C61" s="30">
        <v>556</v>
      </c>
      <c r="D61" s="30">
        <v>412</v>
      </c>
      <c r="E61" s="30">
        <v>364</v>
      </c>
      <c r="F61" s="30">
        <v>340</v>
      </c>
      <c r="G61" s="30">
        <v>314</v>
      </c>
      <c r="H61" s="30">
        <v>292</v>
      </c>
      <c r="I61" s="30">
        <v>266</v>
      </c>
      <c r="J61" s="30">
        <v>218</v>
      </c>
      <c r="K61" s="30">
        <v>170</v>
      </c>
      <c r="L61" s="30">
        <v>144</v>
      </c>
      <c r="M61" s="30">
        <v>124</v>
      </c>
      <c r="S61" s="30">
        <f t="shared" si="3"/>
        <v>3200</v>
      </c>
      <c r="T61" s="31">
        <f t="shared" si="2"/>
        <v>0</v>
      </c>
    </row>
    <row r="62" spans="1:20" x14ac:dyDescent="0.35">
      <c r="A62" s="30">
        <v>65</v>
      </c>
      <c r="B62" s="30">
        <f t="shared" si="1"/>
        <v>3250</v>
      </c>
      <c r="C62" s="30">
        <v>566</v>
      </c>
      <c r="D62" s="30">
        <v>420</v>
      </c>
      <c r="E62" s="30">
        <v>370</v>
      </c>
      <c r="F62" s="30">
        <v>344</v>
      </c>
      <c r="G62" s="30">
        <v>318</v>
      </c>
      <c r="H62" s="30">
        <v>296</v>
      </c>
      <c r="I62" s="30">
        <v>270</v>
      </c>
      <c r="J62" s="30">
        <v>222</v>
      </c>
      <c r="K62" s="30">
        <v>172</v>
      </c>
      <c r="L62" s="30">
        <v>146</v>
      </c>
      <c r="M62" s="30">
        <v>126</v>
      </c>
      <c r="S62" s="30">
        <f t="shared" si="3"/>
        <v>3250</v>
      </c>
      <c r="T62" s="31">
        <f t="shared" si="2"/>
        <v>0</v>
      </c>
    </row>
    <row r="63" spans="1:20" x14ac:dyDescent="0.35">
      <c r="A63" s="30">
        <v>66</v>
      </c>
      <c r="B63" s="30">
        <f t="shared" si="1"/>
        <v>3300</v>
      </c>
      <c r="C63" s="30">
        <v>574</v>
      </c>
      <c r="D63" s="30">
        <v>426</v>
      </c>
      <c r="E63" s="30">
        <v>376</v>
      </c>
      <c r="F63" s="30">
        <v>350</v>
      </c>
      <c r="G63" s="30">
        <v>324</v>
      </c>
      <c r="H63" s="30">
        <v>300</v>
      </c>
      <c r="I63" s="30">
        <v>274</v>
      </c>
      <c r="J63" s="30">
        <v>224</v>
      </c>
      <c r="K63" s="30">
        <v>174</v>
      </c>
      <c r="L63" s="30">
        <v>148</v>
      </c>
      <c r="M63" s="30">
        <v>128</v>
      </c>
      <c r="S63" s="30">
        <f t="shared" si="3"/>
        <v>3298</v>
      </c>
      <c r="T63" s="31">
        <f t="shared" si="2"/>
        <v>2</v>
      </c>
    </row>
    <row r="64" spans="1:20" x14ac:dyDescent="0.35">
      <c r="A64" s="30">
        <v>67</v>
      </c>
      <c r="B64" s="30">
        <f t="shared" si="1"/>
        <v>3350</v>
      </c>
      <c r="C64" s="30">
        <v>582</v>
      </c>
      <c r="D64" s="30">
        <v>418</v>
      </c>
      <c r="E64" s="30">
        <v>372</v>
      </c>
      <c r="F64" s="30">
        <v>348</v>
      </c>
      <c r="G64" s="30">
        <v>324</v>
      </c>
      <c r="H64" s="30">
        <v>302</v>
      </c>
      <c r="I64" s="30">
        <v>254</v>
      </c>
      <c r="J64" s="30">
        <v>212</v>
      </c>
      <c r="K64" s="30">
        <v>160</v>
      </c>
      <c r="L64" s="30">
        <v>140</v>
      </c>
      <c r="M64" s="30">
        <v>118</v>
      </c>
      <c r="N64" s="30">
        <v>118</v>
      </c>
      <c r="S64" s="30">
        <f t="shared" si="3"/>
        <v>3348</v>
      </c>
      <c r="T64" s="31">
        <f t="shared" si="2"/>
        <v>2</v>
      </c>
    </row>
    <row r="65" spans="1:20" x14ac:dyDescent="0.35">
      <c r="A65" s="30">
        <v>68</v>
      </c>
      <c r="B65" s="30">
        <f t="shared" si="1"/>
        <v>3400</v>
      </c>
      <c r="C65" s="30">
        <v>592</v>
      </c>
      <c r="D65" s="30">
        <v>426</v>
      </c>
      <c r="E65" s="30">
        <v>378</v>
      </c>
      <c r="F65" s="30">
        <v>354</v>
      </c>
      <c r="G65" s="30">
        <v>330</v>
      </c>
      <c r="H65" s="30">
        <v>306</v>
      </c>
      <c r="I65" s="30">
        <v>258</v>
      </c>
      <c r="J65" s="30">
        <v>214</v>
      </c>
      <c r="K65" s="30">
        <v>164</v>
      </c>
      <c r="L65" s="30">
        <v>142</v>
      </c>
      <c r="M65" s="30">
        <v>120</v>
      </c>
      <c r="N65" s="30">
        <v>120</v>
      </c>
      <c r="S65" s="30">
        <f t="shared" si="3"/>
        <v>3404</v>
      </c>
      <c r="T65" s="31">
        <f t="shared" si="2"/>
        <v>-4</v>
      </c>
    </row>
    <row r="66" spans="1:20" x14ac:dyDescent="0.35">
      <c r="A66" s="30">
        <v>69</v>
      </c>
      <c r="B66" s="30">
        <f t="shared" si="1"/>
        <v>3450</v>
      </c>
      <c r="C66" s="30">
        <v>600</v>
      </c>
      <c r="D66" s="30">
        <v>432</v>
      </c>
      <c r="E66" s="30">
        <v>382</v>
      </c>
      <c r="F66" s="30">
        <v>358</v>
      </c>
      <c r="G66" s="30">
        <v>334</v>
      </c>
      <c r="H66" s="30">
        <v>310</v>
      </c>
      <c r="I66" s="30">
        <v>262</v>
      </c>
      <c r="J66" s="30">
        <v>218</v>
      </c>
      <c r="K66" s="30">
        <v>166</v>
      </c>
      <c r="L66" s="30">
        <v>144</v>
      </c>
      <c r="M66" s="30">
        <v>120</v>
      </c>
      <c r="N66" s="30">
        <v>120</v>
      </c>
      <c r="S66" s="30">
        <f t="shared" si="3"/>
        <v>3446</v>
      </c>
      <c r="T66" s="31">
        <f t="shared" si="2"/>
        <v>4</v>
      </c>
    </row>
    <row r="67" spans="1:20" x14ac:dyDescent="0.35">
      <c r="A67" s="30">
        <v>70</v>
      </c>
      <c r="B67" s="30">
        <f t="shared" si="1"/>
        <v>3500</v>
      </c>
      <c r="C67" s="30">
        <v>610</v>
      </c>
      <c r="D67" s="30">
        <v>438</v>
      </c>
      <c r="E67" s="30">
        <v>388</v>
      </c>
      <c r="F67" s="30">
        <v>364</v>
      </c>
      <c r="G67" s="30">
        <v>340</v>
      </c>
      <c r="H67" s="30">
        <v>316</v>
      </c>
      <c r="I67" s="30">
        <v>266</v>
      </c>
      <c r="J67" s="30">
        <v>220</v>
      </c>
      <c r="K67" s="30">
        <v>168</v>
      </c>
      <c r="L67" s="30">
        <v>148</v>
      </c>
      <c r="M67" s="30">
        <v>122</v>
      </c>
      <c r="N67" s="30">
        <v>122</v>
      </c>
      <c r="S67" s="30">
        <f t="shared" si="3"/>
        <v>3502</v>
      </c>
      <c r="T67" s="31">
        <f t="shared" si="2"/>
        <v>-2</v>
      </c>
    </row>
    <row r="68" spans="1:20" x14ac:dyDescent="0.35">
      <c r="A68" s="30">
        <v>71</v>
      </c>
      <c r="B68" s="30">
        <f t="shared" si="1"/>
        <v>3550</v>
      </c>
      <c r="C68" s="30">
        <v>618</v>
      </c>
      <c r="D68" s="30">
        <v>444</v>
      </c>
      <c r="E68" s="30">
        <v>394</v>
      </c>
      <c r="F68" s="30">
        <v>370</v>
      </c>
      <c r="G68" s="30">
        <v>344</v>
      </c>
      <c r="H68" s="30">
        <v>320</v>
      </c>
      <c r="I68" s="30">
        <v>270</v>
      </c>
      <c r="J68" s="30">
        <v>224</v>
      </c>
      <c r="K68" s="30">
        <v>170</v>
      </c>
      <c r="L68" s="30">
        <v>150</v>
      </c>
      <c r="M68" s="30">
        <v>124</v>
      </c>
      <c r="N68" s="30">
        <v>124</v>
      </c>
      <c r="S68" s="30">
        <f t="shared" ref="S68:S93" si="4">SUM(C68:R68)</f>
        <v>3552</v>
      </c>
      <c r="T68" s="31">
        <f t="shared" si="2"/>
        <v>-2</v>
      </c>
    </row>
    <row r="69" spans="1:20" x14ac:dyDescent="0.35">
      <c r="A69" s="30">
        <v>72</v>
      </c>
      <c r="B69" s="30">
        <f t="shared" ref="B69:B93" si="5">A69*$B$2</f>
        <v>3600</v>
      </c>
      <c r="C69" s="30">
        <v>626</v>
      </c>
      <c r="D69" s="30">
        <v>450</v>
      </c>
      <c r="E69" s="30">
        <v>400</v>
      </c>
      <c r="F69" s="30">
        <v>374</v>
      </c>
      <c r="G69" s="30">
        <v>350</v>
      </c>
      <c r="H69" s="30">
        <v>324</v>
      </c>
      <c r="I69" s="30">
        <v>274</v>
      </c>
      <c r="J69" s="30">
        <v>226</v>
      </c>
      <c r="K69" s="30">
        <v>172</v>
      </c>
      <c r="L69" s="30">
        <v>152</v>
      </c>
      <c r="M69" s="30">
        <v>126</v>
      </c>
      <c r="N69" s="30">
        <v>126</v>
      </c>
      <c r="S69" s="30">
        <f t="shared" si="4"/>
        <v>3600</v>
      </c>
      <c r="T69" s="31">
        <f t="shared" ref="T69:T93" si="6">B69-S69</f>
        <v>0</v>
      </c>
    </row>
    <row r="70" spans="1:20" x14ac:dyDescent="0.35">
      <c r="A70" s="30">
        <v>73</v>
      </c>
      <c r="B70" s="30">
        <f t="shared" si="5"/>
        <v>3650</v>
      </c>
      <c r="C70" s="30">
        <v>632</v>
      </c>
      <c r="D70" s="30">
        <v>446</v>
      </c>
      <c r="E70" s="30">
        <v>398</v>
      </c>
      <c r="F70" s="30">
        <v>376</v>
      </c>
      <c r="G70" s="30">
        <v>350</v>
      </c>
      <c r="H70" s="30">
        <v>302</v>
      </c>
      <c r="I70" s="30">
        <v>260</v>
      </c>
      <c r="J70" s="30">
        <v>212</v>
      </c>
      <c r="K70" s="30">
        <v>164</v>
      </c>
      <c r="L70" s="30">
        <v>138</v>
      </c>
      <c r="M70" s="30">
        <v>138</v>
      </c>
      <c r="N70" s="30">
        <v>116</v>
      </c>
      <c r="O70" s="30">
        <v>116</v>
      </c>
      <c r="S70" s="30">
        <f t="shared" si="4"/>
        <v>3648</v>
      </c>
      <c r="T70" s="31">
        <f t="shared" si="6"/>
        <v>2</v>
      </c>
    </row>
    <row r="71" spans="1:20" x14ac:dyDescent="0.35">
      <c r="A71" s="30">
        <v>74</v>
      </c>
      <c r="B71" s="30">
        <f t="shared" si="5"/>
        <v>3700</v>
      </c>
      <c r="C71" s="30">
        <v>640</v>
      </c>
      <c r="D71" s="30">
        <v>452</v>
      </c>
      <c r="E71" s="30">
        <v>404</v>
      </c>
      <c r="F71" s="30">
        <v>382</v>
      </c>
      <c r="G71" s="30">
        <v>356</v>
      </c>
      <c r="H71" s="30">
        <v>308</v>
      </c>
      <c r="I71" s="30">
        <v>262</v>
      </c>
      <c r="J71" s="30">
        <v>214</v>
      </c>
      <c r="K71" s="30">
        <v>166</v>
      </c>
      <c r="L71" s="30">
        <v>140</v>
      </c>
      <c r="M71" s="30">
        <v>140</v>
      </c>
      <c r="N71" s="30">
        <v>118</v>
      </c>
      <c r="O71" s="30">
        <v>118</v>
      </c>
      <c r="S71" s="30">
        <f t="shared" si="4"/>
        <v>3700</v>
      </c>
      <c r="T71" s="31">
        <f t="shared" si="6"/>
        <v>0</v>
      </c>
    </row>
    <row r="72" spans="1:20" x14ac:dyDescent="0.35">
      <c r="A72" s="30">
        <v>75</v>
      </c>
      <c r="B72" s="30">
        <f t="shared" si="5"/>
        <v>3750</v>
      </c>
      <c r="C72" s="30">
        <v>648</v>
      </c>
      <c r="D72" s="30">
        <v>458</v>
      </c>
      <c r="E72" s="30">
        <v>408</v>
      </c>
      <c r="F72" s="30">
        <v>386</v>
      </c>
      <c r="G72" s="30">
        <v>360</v>
      </c>
      <c r="H72" s="30">
        <v>312</v>
      </c>
      <c r="I72" s="30">
        <v>266</v>
      </c>
      <c r="J72" s="30">
        <v>218</v>
      </c>
      <c r="K72" s="30">
        <v>168</v>
      </c>
      <c r="L72" s="30">
        <v>142</v>
      </c>
      <c r="M72" s="30">
        <v>142</v>
      </c>
      <c r="N72" s="30">
        <v>120</v>
      </c>
      <c r="O72" s="30">
        <v>120</v>
      </c>
      <c r="S72" s="30">
        <f t="shared" si="4"/>
        <v>3748</v>
      </c>
      <c r="T72" s="31">
        <f t="shared" si="6"/>
        <v>2</v>
      </c>
    </row>
    <row r="73" spans="1:20" x14ac:dyDescent="0.35">
      <c r="A73" s="30">
        <v>76</v>
      </c>
      <c r="B73" s="30">
        <f t="shared" si="5"/>
        <v>3800</v>
      </c>
      <c r="C73" s="30">
        <v>658</v>
      </c>
      <c r="D73" s="30">
        <v>464</v>
      </c>
      <c r="E73" s="30">
        <v>414</v>
      </c>
      <c r="F73" s="30">
        <v>392</v>
      </c>
      <c r="G73" s="30">
        <v>364</v>
      </c>
      <c r="H73" s="30">
        <v>316</v>
      </c>
      <c r="I73" s="30">
        <v>270</v>
      </c>
      <c r="J73" s="30">
        <v>220</v>
      </c>
      <c r="K73" s="30">
        <v>172</v>
      </c>
      <c r="L73" s="30">
        <v>144</v>
      </c>
      <c r="M73" s="30">
        <v>144</v>
      </c>
      <c r="N73" s="30">
        <v>122</v>
      </c>
      <c r="O73" s="30">
        <v>122</v>
      </c>
      <c r="S73" s="30">
        <f t="shared" si="4"/>
        <v>3802</v>
      </c>
      <c r="T73" s="31">
        <f t="shared" si="6"/>
        <v>-2</v>
      </c>
    </row>
    <row r="74" spans="1:20" x14ac:dyDescent="0.35">
      <c r="A74" s="30">
        <v>77</v>
      </c>
      <c r="B74" s="30">
        <f t="shared" si="5"/>
        <v>3850</v>
      </c>
      <c r="C74" s="30">
        <v>666</v>
      </c>
      <c r="D74" s="30">
        <v>470</v>
      </c>
      <c r="E74" s="30">
        <v>420</v>
      </c>
      <c r="F74" s="30">
        <v>396</v>
      </c>
      <c r="G74" s="30">
        <v>370</v>
      </c>
      <c r="H74" s="30">
        <v>320</v>
      </c>
      <c r="I74" s="30">
        <v>274</v>
      </c>
      <c r="J74" s="30">
        <v>224</v>
      </c>
      <c r="K74" s="30">
        <v>174</v>
      </c>
      <c r="L74" s="30">
        <v>146</v>
      </c>
      <c r="M74" s="30">
        <v>146</v>
      </c>
      <c r="N74" s="30">
        <v>124</v>
      </c>
      <c r="O74" s="30">
        <v>124</v>
      </c>
      <c r="S74" s="30">
        <f t="shared" si="4"/>
        <v>3854</v>
      </c>
      <c r="T74" s="31">
        <f t="shared" si="6"/>
        <v>-4</v>
      </c>
    </row>
    <row r="75" spans="1:20" x14ac:dyDescent="0.35">
      <c r="A75" s="30">
        <v>78</v>
      </c>
      <c r="B75" s="30">
        <f t="shared" si="5"/>
        <v>3900</v>
      </c>
      <c r="C75" s="30">
        <v>674</v>
      </c>
      <c r="D75" s="30">
        <v>476</v>
      </c>
      <c r="E75" s="30">
        <v>426</v>
      </c>
      <c r="F75" s="30">
        <v>402</v>
      </c>
      <c r="G75" s="30">
        <v>374</v>
      </c>
      <c r="H75" s="30">
        <v>324</v>
      </c>
      <c r="I75" s="30">
        <v>276</v>
      </c>
      <c r="J75" s="30">
        <v>226</v>
      </c>
      <c r="K75" s="30">
        <v>176</v>
      </c>
      <c r="L75" s="30">
        <v>148</v>
      </c>
      <c r="M75" s="30">
        <v>148</v>
      </c>
      <c r="N75" s="30">
        <v>124</v>
      </c>
      <c r="O75" s="30">
        <v>124</v>
      </c>
      <c r="S75" s="30">
        <f t="shared" si="4"/>
        <v>3898</v>
      </c>
      <c r="T75" s="31">
        <f t="shared" si="6"/>
        <v>2</v>
      </c>
    </row>
    <row r="76" spans="1:20" x14ac:dyDescent="0.35">
      <c r="A76" s="30">
        <v>79</v>
      </c>
      <c r="B76" s="30">
        <f t="shared" si="5"/>
        <v>3950</v>
      </c>
      <c r="C76" s="30">
        <v>684</v>
      </c>
      <c r="D76" s="30">
        <v>494</v>
      </c>
      <c r="E76" s="30">
        <v>422</v>
      </c>
      <c r="F76" s="30">
        <v>376</v>
      </c>
      <c r="G76" s="30">
        <v>352</v>
      </c>
      <c r="H76" s="30">
        <v>304</v>
      </c>
      <c r="I76" s="30">
        <v>256</v>
      </c>
      <c r="J76" s="30">
        <v>210</v>
      </c>
      <c r="K76" s="30">
        <v>166</v>
      </c>
      <c r="L76" s="30">
        <v>166</v>
      </c>
      <c r="M76" s="30">
        <v>142</v>
      </c>
      <c r="N76" s="30">
        <v>142</v>
      </c>
      <c r="O76" s="30">
        <v>118</v>
      </c>
      <c r="P76" s="30">
        <v>118</v>
      </c>
      <c r="S76" s="30">
        <f t="shared" si="4"/>
        <v>3950</v>
      </c>
      <c r="T76" s="31">
        <f t="shared" si="6"/>
        <v>0</v>
      </c>
    </row>
    <row r="77" spans="1:20" x14ac:dyDescent="0.35">
      <c r="A77" s="30">
        <v>80</v>
      </c>
      <c r="B77" s="30">
        <f t="shared" si="5"/>
        <v>4000</v>
      </c>
      <c r="C77" s="30">
        <v>692</v>
      </c>
      <c r="D77" s="30">
        <v>500</v>
      </c>
      <c r="E77" s="30">
        <v>428</v>
      </c>
      <c r="F77" s="30">
        <v>380</v>
      </c>
      <c r="G77" s="30">
        <v>356</v>
      </c>
      <c r="H77" s="30">
        <v>308</v>
      </c>
      <c r="I77" s="30">
        <v>260</v>
      </c>
      <c r="J77" s="30">
        <v>212</v>
      </c>
      <c r="K77" s="30">
        <v>168</v>
      </c>
      <c r="L77" s="30">
        <v>168</v>
      </c>
      <c r="M77" s="30">
        <v>144</v>
      </c>
      <c r="N77" s="30">
        <v>144</v>
      </c>
      <c r="O77" s="30">
        <v>120</v>
      </c>
      <c r="P77" s="30">
        <v>120</v>
      </c>
      <c r="S77" s="30">
        <f t="shared" si="4"/>
        <v>4000</v>
      </c>
      <c r="T77" s="31">
        <f t="shared" si="6"/>
        <v>0</v>
      </c>
    </row>
    <row r="78" spans="1:20" x14ac:dyDescent="0.35">
      <c r="A78" s="30">
        <v>81</v>
      </c>
      <c r="B78" s="30">
        <f t="shared" si="5"/>
        <v>4050</v>
      </c>
      <c r="C78" s="30">
        <v>700</v>
      </c>
      <c r="D78" s="30">
        <v>506</v>
      </c>
      <c r="E78" s="30">
        <v>434</v>
      </c>
      <c r="F78" s="30">
        <v>384</v>
      </c>
      <c r="G78" s="30">
        <v>360</v>
      </c>
      <c r="H78" s="30">
        <v>312</v>
      </c>
      <c r="I78" s="30">
        <v>264</v>
      </c>
      <c r="J78" s="30">
        <v>214</v>
      </c>
      <c r="K78" s="30">
        <v>170</v>
      </c>
      <c r="L78" s="30">
        <v>170</v>
      </c>
      <c r="M78" s="30">
        <v>146</v>
      </c>
      <c r="N78" s="30">
        <v>146</v>
      </c>
      <c r="O78" s="30">
        <v>122</v>
      </c>
      <c r="P78" s="30">
        <v>122</v>
      </c>
      <c r="S78" s="30">
        <f t="shared" si="4"/>
        <v>4050</v>
      </c>
      <c r="T78" s="31">
        <f t="shared" si="6"/>
        <v>0</v>
      </c>
    </row>
    <row r="79" spans="1:20" x14ac:dyDescent="0.35">
      <c r="A79" s="30">
        <v>82</v>
      </c>
      <c r="B79" s="30">
        <f t="shared" si="5"/>
        <v>4100</v>
      </c>
      <c r="C79" s="30">
        <v>710</v>
      </c>
      <c r="D79" s="30">
        <v>512</v>
      </c>
      <c r="E79" s="30">
        <v>438</v>
      </c>
      <c r="F79" s="30">
        <v>390</v>
      </c>
      <c r="G79" s="30">
        <v>364</v>
      </c>
      <c r="H79" s="30">
        <v>316</v>
      </c>
      <c r="I79" s="30">
        <v>266</v>
      </c>
      <c r="J79" s="30">
        <v>218</v>
      </c>
      <c r="K79" s="30">
        <v>172</v>
      </c>
      <c r="L79" s="30">
        <v>172</v>
      </c>
      <c r="M79" s="30">
        <v>148</v>
      </c>
      <c r="N79" s="30">
        <v>148</v>
      </c>
      <c r="O79" s="30">
        <v>124</v>
      </c>
      <c r="P79" s="30">
        <v>124</v>
      </c>
      <c r="S79" s="30">
        <f t="shared" si="4"/>
        <v>4102</v>
      </c>
      <c r="T79" s="31">
        <f t="shared" si="6"/>
        <v>-2</v>
      </c>
    </row>
    <row r="80" spans="1:20" x14ac:dyDescent="0.35">
      <c r="A80" s="30">
        <v>83</v>
      </c>
      <c r="B80" s="30">
        <f t="shared" si="5"/>
        <v>4150</v>
      </c>
      <c r="C80" s="30">
        <v>718</v>
      </c>
      <c r="D80" s="30">
        <v>518</v>
      </c>
      <c r="E80" s="30">
        <v>444</v>
      </c>
      <c r="F80" s="30">
        <v>394</v>
      </c>
      <c r="G80" s="30">
        <v>370</v>
      </c>
      <c r="H80" s="30">
        <v>320</v>
      </c>
      <c r="I80" s="30">
        <v>270</v>
      </c>
      <c r="J80" s="30">
        <v>220</v>
      </c>
      <c r="K80" s="30">
        <v>174</v>
      </c>
      <c r="L80" s="30">
        <v>174</v>
      </c>
      <c r="M80" s="30">
        <v>150</v>
      </c>
      <c r="N80" s="30">
        <v>150</v>
      </c>
      <c r="O80" s="30">
        <v>124</v>
      </c>
      <c r="P80" s="30">
        <v>124</v>
      </c>
      <c r="S80" s="30">
        <f t="shared" si="4"/>
        <v>4150</v>
      </c>
      <c r="T80" s="31">
        <f t="shared" si="6"/>
        <v>0</v>
      </c>
    </row>
    <row r="81" spans="1:20" x14ac:dyDescent="0.35">
      <c r="A81" s="30">
        <v>84</v>
      </c>
      <c r="B81" s="30">
        <f t="shared" si="5"/>
        <v>4200</v>
      </c>
      <c r="C81" s="30">
        <v>726</v>
      </c>
      <c r="D81" s="30">
        <v>526</v>
      </c>
      <c r="E81" s="30">
        <v>450</v>
      </c>
      <c r="F81" s="30">
        <v>400</v>
      </c>
      <c r="G81" s="30">
        <v>374</v>
      </c>
      <c r="H81" s="30">
        <v>324</v>
      </c>
      <c r="I81" s="30">
        <v>274</v>
      </c>
      <c r="J81" s="30">
        <v>222</v>
      </c>
      <c r="K81" s="30">
        <v>176</v>
      </c>
      <c r="L81" s="30">
        <v>176</v>
      </c>
      <c r="M81" s="30">
        <v>152</v>
      </c>
      <c r="N81" s="30">
        <v>152</v>
      </c>
      <c r="O81" s="30">
        <v>126</v>
      </c>
      <c r="P81" s="30">
        <v>126</v>
      </c>
      <c r="S81" s="30">
        <f t="shared" si="4"/>
        <v>4204</v>
      </c>
      <c r="T81" s="31">
        <f t="shared" si="6"/>
        <v>-4</v>
      </c>
    </row>
    <row r="82" spans="1:20" x14ac:dyDescent="0.35">
      <c r="A82" s="30">
        <v>85</v>
      </c>
      <c r="B82" s="30">
        <f t="shared" si="5"/>
        <v>4250</v>
      </c>
      <c r="C82" s="30">
        <v>756</v>
      </c>
      <c r="D82" s="30">
        <v>544</v>
      </c>
      <c r="E82" s="30">
        <v>450</v>
      </c>
      <c r="F82" s="30">
        <v>400</v>
      </c>
      <c r="G82" s="30">
        <v>352</v>
      </c>
      <c r="H82" s="30">
        <v>306</v>
      </c>
      <c r="I82" s="30">
        <v>260</v>
      </c>
      <c r="J82" s="30">
        <v>212</v>
      </c>
      <c r="K82" s="30">
        <v>166</v>
      </c>
      <c r="L82" s="30">
        <v>166</v>
      </c>
      <c r="M82" s="30">
        <v>140</v>
      </c>
      <c r="N82" s="30">
        <v>140</v>
      </c>
      <c r="O82" s="30">
        <v>120</v>
      </c>
      <c r="P82" s="30">
        <v>120</v>
      </c>
      <c r="Q82" s="30">
        <v>120</v>
      </c>
      <c r="S82" s="30">
        <f t="shared" si="4"/>
        <v>4252</v>
      </c>
      <c r="T82" s="31">
        <f t="shared" si="6"/>
        <v>-2</v>
      </c>
    </row>
    <row r="83" spans="1:20" x14ac:dyDescent="0.35">
      <c r="A83" s="30">
        <v>86</v>
      </c>
      <c r="B83" s="30">
        <f t="shared" si="5"/>
        <v>4300</v>
      </c>
      <c r="C83" s="30">
        <v>766</v>
      </c>
      <c r="D83" s="30">
        <v>550</v>
      </c>
      <c r="E83" s="30">
        <v>456</v>
      </c>
      <c r="F83" s="30">
        <v>404</v>
      </c>
      <c r="G83" s="30">
        <v>356</v>
      </c>
      <c r="H83" s="30">
        <v>310</v>
      </c>
      <c r="I83" s="30">
        <v>262</v>
      </c>
      <c r="J83" s="30">
        <v>216</v>
      </c>
      <c r="K83" s="30">
        <v>168</v>
      </c>
      <c r="L83" s="30">
        <v>168</v>
      </c>
      <c r="M83" s="30">
        <v>142</v>
      </c>
      <c r="N83" s="30">
        <v>142</v>
      </c>
      <c r="O83" s="30">
        <v>120</v>
      </c>
      <c r="P83" s="30">
        <v>120</v>
      </c>
      <c r="Q83" s="30">
        <v>120</v>
      </c>
      <c r="S83" s="30">
        <f t="shared" si="4"/>
        <v>4300</v>
      </c>
      <c r="T83" s="31">
        <f t="shared" si="6"/>
        <v>0</v>
      </c>
    </row>
    <row r="84" spans="1:20" x14ac:dyDescent="0.35">
      <c r="A84" s="30">
        <v>87</v>
      </c>
      <c r="B84" s="30">
        <f t="shared" si="5"/>
        <v>4350</v>
      </c>
      <c r="C84" s="30">
        <v>774</v>
      </c>
      <c r="D84" s="30">
        <v>556</v>
      </c>
      <c r="E84" s="30">
        <v>462</v>
      </c>
      <c r="F84" s="30">
        <v>408</v>
      </c>
      <c r="G84" s="30">
        <v>362</v>
      </c>
      <c r="H84" s="30">
        <v>314</v>
      </c>
      <c r="I84" s="30">
        <v>266</v>
      </c>
      <c r="J84" s="30">
        <v>218</v>
      </c>
      <c r="K84" s="30">
        <v>170</v>
      </c>
      <c r="L84" s="30">
        <v>170</v>
      </c>
      <c r="M84" s="30">
        <v>144</v>
      </c>
      <c r="N84" s="30">
        <v>144</v>
      </c>
      <c r="O84" s="30">
        <v>122</v>
      </c>
      <c r="P84" s="30">
        <v>122</v>
      </c>
      <c r="Q84" s="30">
        <v>122</v>
      </c>
      <c r="S84" s="30">
        <f t="shared" si="4"/>
        <v>4354</v>
      </c>
      <c r="T84" s="31">
        <f t="shared" si="6"/>
        <v>-4</v>
      </c>
    </row>
    <row r="85" spans="1:20" x14ac:dyDescent="0.35">
      <c r="A85" s="30">
        <v>88</v>
      </c>
      <c r="B85" s="30">
        <f t="shared" si="5"/>
        <v>4400</v>
      </c>
      <c r="C85" s="30">
        <v>784</v>
      </c>
      <c r="D85" s="30">
        <v>564</v>
      </c>
      <c r="E85" s="30">
        <v>466</v>
      </c>
      <c r="F85" s="30">
        <v>414</v>
      </c>
      <c r="G85" s="30">
        <v>366</v>
      </c>
      <c r="H85" s="30">
        <v>316</v>
      </c>
      <c r="I85" s="30">
        <v>268</v>
      </c>
      <c r="J85" s="30">
        <v>220</v>
      </c>
      <c r="K85" s="30">
        <v>172</v>
      </c>
      <c r="L85" s="30">
        <v>172</v>
      </c>
      <c r="M85" s="30">
        <v>146</v>
      </c>
      <c r="N85" s="30">
        <v>146</v>
      </c>
      <c r="O85" s="30">
        <v>124</v>
      </c>
      <c r="P85" s="30">
        <v>124</v>
      </c>
      <c r="Q85" s="30">
        <v>124</v>
      </c>
      <c r="S85" s="30">
        <f t="shared" si="4"/>
        <v>4406</v>
      </c>
      <c r="T85" s="31">
        <f t="shared" si="6"/>
        <v>-6</v>
      </c>
    </row>
    <row r="86" spans="1:20" x14ac:dyDescent="0.35">
      <c r="A86" s="30">
        <v>89</v>
      </c>
      <c r="B86" s="30">
        <f t="shared" si="5"/>
        <v>4450</v>
      </c>
      <c r="C86" s="30">
        <v>792</v>
      </c>
      <c r="D86" s="30">
        <v>570</v>
      </c>
      <c r="E86" s="30">
        <v>472</v>
      </c>
      <c r="F86" s="30">
        <v>418</v>
      </c>
      <c r="G86" s="30">
        <v>370</v>
      </c>
      <c r="H86" s="30">
        <v>320</v>
      </c>
      <c r="I86" s="30">
        <v>272</v>
      </c>
      <c r="J86" s="30">
        <v>222</v>
      </c>
      <c r="K86" s="30">
        <v>174</v>
      </c>
      <c r="L86" s="30">
        <v>174</v>
      </c>
      <c r="M86" s="30">
        <v>146</v>
      </c>
      <c r="N86" s="30">
        <v>146</v>
      </c>
      <c r="O86" s="30">
        <v>124</v>
      </c>
      <c r="P86" s="30">
        <v>124</v>
      </c>
      <c r="Q86" s="30">
        <v>124</v>
      </c>
      <c r="S86" s="30">
        <f t="shared" si="4"/>
        <v>4448</v>
      </c>
      <c r="T86" s="31">
        <f t="shared" si="6"/>
        <v>2</v>
      </c>
    </row>
    <row r="87" spans="1:20" x14ac:dyDescent="0.35">
      <c r="A87" s="30">
        <v>90</v>
      </c>
      <c r="B87" s="30">
        <f t="shared" si="5"/>
        <v>4500</v>
      </c>
      <c r="C87" s="30">
        <v>802</v>
      </c>
      <c r="D87" s="30">
        <v>576</v>
      </c>
      <c r="E87" s="30">
        <v>478</v>
      </c>
      <c r="F87" s="30">
        <v>424</v>
      </c>
      <c r="G87" s="30">
        <v>374</v>
      </c>
      <c r="H87" s="30">
        <v>324</v>
      </c>
      <c r="I87" s="30">
        <v>274</v>
      </c>
      <c r="J87" s="30">
        <v>226</v>
      </c>
      <c r="K87" s="30">
        <v>176</v>
      </c>
      <c r="L87" s="30">
        <v>176</v>
      </c>
      <c r="M87" s="30">
        <v>148</v>
      </c>
      <c r="N87" s="30">
        <v>148</v>
      </c>
      <c r="O87" s="30">
        <v>126</v>
      </c>
      <c r="P87" s="30">
        <v>126</v>
      </c>
      <c r="Q87" s="30">
        <v>126</v>
      </c>
      <c r="S87" s="30">
        <f t="shared" si="4"/>
        <v>4504</v>
      </c>
      <c r="T87" s="31">
        <f t="shared" si="6"/>
        <v>-4</v>
      </c>
    </row>
    <row r="88" spans="1:20" x14ac:dyDescent="0.35">
      <c r="A88" s="30">
        <v>91</v>
      </c>
      <c r="B88" s="30">
        <f t="shared" si="5"/>
        <v>4550</v>
      </c>
      <c r="C88" s="30">
        <v>806</v>
      </c>
      <c r="D88" s="30">
        <v>568</v>
      </c>
      <c r="E88" s="30">
        <v>474</v>
      </c>
      <c r="F88" s="30">
        <v>428</v>
      </c>
      <c r="G88" s="30">
        <v>354</v>
      </c>
      <c r="H88" s="30">
        <v>310</v>
      </c>
      <c r="I88" s="30">
        <v>260</v>
      </c>
      <c r="J88" s="30">
        <v>236</v>
      </c>
      <c r="K88" s="30">
        <v>192</v>
      </c>
      <c r="L88" s="30">
        <v>168</v>
      </c>
      <c r="M88" s="30">
        <v>142</v>
      </c>
      <c r="N88" s="30">
        <v>142</v>
      </c>
      <c r="O88" s="30">
        <v>118</v>
      </c>
      <c r="P88" s="30">
        <v>118</v>
      </c>
      <c r="Q88" s="30">
        <v>118</v>
      </c>
      <c r="R88" s="30">
        <v>118</v>
      </c>
      <c r="S88" s="30">
        <f t="shared" si="4"/>
        <v>4552</v>
      </c>
      <c r="T88" s="31">
        <f t="shared" si="6"/>
        <v>-2</v>
      </c>
    </row>
    <row r="89" spans="1:20" x14ac:dyDescent="0.35">
      <c r="A89" s="30">
        <v>92</v>
      </c>
      <c r="B89" s="30">
        <f t="shared" si="5"/>
        <v>4600</v>
      </c>
      <c r="C89" s="30">
        <v>814</v>
      </c>
      <c r="D89" s="30">
        <v>576</v>
      </c>
      <c r="E89" s="30">
        <v>478</v>
      </c>
      <c r="F89" s="30">
        <v>432</v>
      </c>
      <c r="G89" s="30">
        <v>358</v>
      </c>
      <c r="H89" s="30">
        <v>312</v>
      </c>
      <c r="I89" s="30">
        <v>262</v>
      </c>
      <c r="J89" s="30">
        <v>240</v>
      </c>
      <c r="K89" s="30">
        <v>194</v>
      </c>
      <c r="L89" s="30">
        <v>170</v>
      </c>
      <c r="M89" s="30">
        <v>142</v>
      </c>
      <c r="N89" s="30">
        <v>142</v>
      </c>
      <c r="O89" s="30">
        <v>120</v>
      </c>
      <c r="P89" s="30">
        <v>120</v>
      </c>
      <c r="Q89" s="30">
        <v>120</v>
      </c>
      <c r="R89" s="30">
        <v>120</v>
      </c>
      <c r="S89" s="30">
        <f t="shared" si="4"/>
        <v>4600</v>
      </c>
      <c r="T89" s="31">
        <f t="shared" si="6"/>
        <v>0</v>
      </c>
    </row>
    <row r="90" spans="1:20" x14ac:dyDescent="0.35">
      <c r="A90" s="30">
        <v>93</v>
      </c>
      <c r="B90" s="30">
        <f t="shared" si="5"/>
        <v>4650</v>
      </c>
      <c r="C90" s="30">
        <v>824</v>
      </c>
      <c r="D90" s="30">
        <v>582</v>
      </c>
      <c r="E90" s="30">
        <v>484</v>
      </c>
      <c r="F90" s="30">
        <v>438</v>
      </c>
      <c r="G90" s="30">
        <v>362</v>
      </c>
      <c r="H90" s="30">
        <v>316</v>
      </c>
      <c r="I90" s="30">
        <v>266</v>
      </c>
      <c r="J90" s="30">
        <v>242</v>
      </c>
      <c r="K90" s="30">
        <v>196</v>
      </c>
      <c r="L90" s="30">
        <v>172</v>
      </c>
      <c r="M90" s="30">
        <v>144</v>
      </c>
      <c r="N90" s="30">
        <v>144</v>
      </c>
      <c r="O90" s="30">
        <v>120</v>
      </c>
      <c r="P90" s="30">
        <v>120</v>
      </c>
      <c r="Q90" s="30">
        <v>120</v>
      </c>
      <c r="R90" s="30">
        <v>120</v>
      </c>
      <c r="S90" s="30">
        <f t="shared" si="4"/>
        <v>4650</v>
      </c>
      <c r="T90" s="31">
        <f t="shared" si="6"/>
        <v>0</v>
      </c>
    </row>
    <row r="91" spans="1:20" x14ac:dyDescent="0.35">
      <c r="A91" s="30">
        <v>94</v>
      </c>
      <c r="B91" s="30">
        <f t="shared" si="5"/>
        <v>4700</v>
      </c>
      <c r="C91" s="30">
        <v>832</v>
      </c>
      <c r="D91" s="30">
        <v>588</v>
      </c>
      <c r="E91" s="30">
        <v>488</v>
      </c>
      <c r="F91" s="30">
        <v>442</v>
      </c>
      <c r="G91" s="30">
        <v>366</v>
      </c>
      <c r="H91" s="30">
        <v>320</v>
      </c>
      <c r="I91" s="30">
        <v>268</v>
      </c>
      <c r="J91" s="30">
        <v>244</v>
      </c>
      <c r="K91" s="30">
        <v>198</v>
      </c>
      <c r="L91" s="30">
        <v>174</v>
      </c>
      <c r="M91" s="30">
        <v>146</v>
      </c>
      <c r="N91" s="30">
        <v>146</v>
      </c>
      <c r="O91" s="30">
        <v>122</v>
      </c>
      <c r="P91" s="30">
        <v>122</v>
      </c>
      <c r="Q91" s="30">
        <v>122</v>
      </c>
      <c r="R91" s="30">
        <v>122</v>
      </c>
      <c r="S91" s="30">
        <f t="shared" si="4"/>
        <v>4700</v>
      </c>
      <c r="T91" s="31">
        <f t="shared" si="6"/>
        <v>0</v>
      </c>
    </row>
    <row r="92" spans="1:20" x14ac:dyDescent="0.35">
      <c r="A92" s="30">
        <v>95</v>
      </c>
      <c r="B92" s="30">
        <f t="shared" si="5"/>
        <v>4750</v>
      </c>
      <c r="C92" s="30">
        <v>840</v>
      </c>
      <c r="D92" s="30">
        <v>594</v>
      </c>
      <c r="E92" s="30">
        <v>494</v>
      </c>
      <c r="F92" s="30">
        <v>446</v>
      </c>
      <c r="G92" s="30">
        <v>370</v>
      </c>
      <c r="H92" s="30">
        <v>324</v>
      </c>
      <c r="I92" s="30">
        <v>270</v>
      </c>
      <c r="J92" s="30">
        <v>248</v>
      </c>
      <c r="K92" s="30">
        <v>200</v>
      </c>
      <c r="L92" s="30">
        <v>176</v>
      </c>
      <c r="M92" s="30">
        <v>148</v>
      </c>
      <c r="N92" s="30">
        <v>148</v>
      </c>
      <c r="O92" s="30">
        <v>124</v>
      </c>
      <c r="P92" s="30">
        <v>124</v>
      </c>
      <c r="Q92" s="30">
        <v>124</v>
      </c>
      <c r="R92" s="30">
        <v>124</v>
      </c>
      <c r="S92" s="30">
        <f t="shared" si="4"/>
        <v>4754</v>
      </c>
      <c r="T92" s="31">
        <f t="shared" si="6"/>
        <v>-4</v>
      </c>
    </row>
    <row r="93" spans="1:20" x14ac:dyDescent="0.35">
      <c r="A93" s="30">
        <v>96</v>
      </c>
      <c r="B93" s="30">
        <f t="shared" si="5"/>
        <v>4800</v>
      </c>
      <c r="C93" s="30">
        <v>850</v>
      </c>
      <c r="D93" s="30">
        <v>600</v>
      </c>
      <c r="E93" s="30">
        <v>500</v>
      </c>
      <c r="F93" s="30">
        <v>452</v>
      </c>
      <c r="G93" s="30">
        <v>374</v>
      </c>
      <c r="H93" s="30">
        <v>326</v>
      </c>
      <c r="I93" s="30">
        <v>274</v>
      </c>
      <c r="J93" s="30">
        <v>250</v>
      </c>
      <c r="K93" s="30">
        <v>202</v>
      </c>
      <c r="L93" s="30">
        <v>178</v>
      </c>
      <c r="M93" s="30">
        <v>148</v>
      </c>
      <c r="N93" s="30">
        <v>148</v>
      </c>
      <c r="O93" s="30">
        <v>124</v>
      </c>
      <c r="P93" s="30">
        <v>124</v>
      </c>
      <c r="Q93" s="30">
        <v>124</v>
      </c>
      <c r="R93" s="30">
        <v>124</v>
      </c>
      <c r="S93" s="30">
        <f t="shared" si="4"/>
        <v>4798</v>
      </c>
      <c r="T93" s="31">
        <f t="shared" si="6"/>
        <v>2</v>
      </c>
    </row>
    <row r="94" spans="1:20" x14ac:dyDescent="0.35">
      <c r="T94" s="31">
        <f>SUM(T4:T93)</f>
        <v>-66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1in6Chart</vt:lpstr>
      <vt:lpstr>$10</vt:lpstr>
      <vt:lpstr>$20</vt:lpstr>
      <vt:lpstr>$50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MWycombe</cp:lastModifiedBy>
  <dcterms:created xsi:type="dcterms:W3CDTF">2023-05-02T18:02:43Z</dcterms:created>
  <dcterms:modified xsi:type="dcterms:W3CDTF">2023-05-19T00:39:53Z</dcterms:modified>
</cp:coreProperties>
</file>