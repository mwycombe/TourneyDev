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Test4Roland\Prelim Test\"/>
    </mc:Choice>
  </mc:AlternateContent>
  <xr:revisionPtr revIDLastSave="0" documentId="13_ncr:1_{84E3326D-2BAB-4311-A382-1BF938EA8B8D}" xr6:coauthVersionLast="47" xr6:coauthVersionMax="47" xr10:uidLastSave="{00000000-0000-0000-0000-000000000000}"/>
  <bookViews>
    <workbookView minimized="1" xWindow="29130" yWindow="0" windowWidth="28185" windowHeight="15540" firstSheet="2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Entries!#REF!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Entries!#REF!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UnPaid!$A$10:$K$50</definedName>
    <definedName name="FRegAllVeggies">Veggies!$C$7:$E$13</definedName>
    <definedName name="FRegAnchors">Entries!#REF!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Entries!#REF!</definedName>
    <definedName name="FRegChecks">Entries!#REF!</definedName>
    <definedName name="FRegDueAtDoor">Entries!#REF!</definedName>
    <definedName name="FRegentiresEneteredHdr">Entries!$B$2</definedName>
    <definedName name="FRegEntriesAccNoHdr">Entries!$E$2</definedName>
    <definedName name="FRegEntriesAllEntered">Entries!$B$3:$B$62</definedName>
    <definedName name="FRegEntriesAllInput">Entries!$H$3:$K$62</definedName>
    <definedName name="FRegEntriesAllVeggies">Entries!#REF!</definedName>
    <definedName name="FRegEntriesAnchorHdr">Entries!#REF!</definedName>
    <definedName name="FRegEntriesDueAtDoorHdr">Entries!#REF!</definedName>
    <definedName name="FRegEntriesJudgeHdr">Entries!#REF!</definedName>
    <definedName name="FRegEntriesMainPool1Hdr">Entries!$H$2</definedName>
    <definedName name="FRegEntriesMainPool2Hdr">Entries!$I$2</definedName>
    <definedName name="FRegEntriesMainPool3Hdr">Entries!$J$2</definedName>
    <definedName name="FRegEntriesMainPool4Hdr">Entries!$K$2</definedName>
    <definedName name="FRegEntriesNameHdr">Entries!$C$2</definedName>
    <definedName name="FRegEntriesTourneyCity">Entries!#REF!</definedName>
    <definedName name="FRegEntriesTourneyDate">Entries!#REF!</definedName>
    <definedName name="FRegEntriesTourneyInfo">Entries!#REF!,Entries!#REF!,Entries!#REF!,Entries!#REF!</definedName>
    <definedName name="FRegEntriesTourneyLocation">Entries!#REF!</definedName>
    <definedName name="FRegEntriesTourneyName">Entries!#REF!</definedName>
    <definedName name="FRegEntriesUnPaidHdr">Entries!#REF!</definedName>
    <definedName name="FRegEntriesVeggiesHdr">Entries!#REF!</definedName>
    <definedName name="FRegEntryCount">Entries!$B$1</definedName>
    <definedName name="FRegFirstAnchorName">Anchors!$C$7</definedName>
    <definedName name="FRegFirstPlayer">Entries!$B$3</definedName>
    <definedName name="FRegFirstUnpaidName">UnPaid!$A$10</definedName>
    <definedName name="FRegFirstVeggieName">Veggies!$C$7</definedName>
    <definedName name="FRegJudges">Entries!#REF!</definedName>
    <definedName name="FRegNotPaidCount">Entries!#REF!</definedName>
    <definedName name="FRegPool1Count">Entries!$H$1</definedName>
    <definedName name="FRegPool2Count">Entries!$I$1</definedName>
    <definedName name="FRegPool3Count">Entries!$J$1</definedName>
    <definedName name="FRegPool4Count">Entries!$K$1</definedName>
    <definedName name="FRegQualiferCount">Entries!$B$1</definedName>
    <definedName name="FRegTotalRevenue">Entries!#REF!</definedName>
    <definedName name="FRegTourneyCity">Tourney!$C$7</definedName>
    <definedName name="FRegTourneyDate">Tourney!$C$9</definedName>
    <definedName name="FRegTourneyInfo">Entries!#REF!,Entries!#REF!,Entries!#REF!,Entries!#REF!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UnPaid!$A$10:$K$100</definedName>
    <definedName name="FRegVeggiesAccNoHdr">Veggies!$E$6</definedName>
    <definedName name="FRegVeggiesCityHdr">Veggies!$D$6</definedName>
    <definedName name="FRegVeggiesCount">Entries!#REF!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Entries!#REF!</definedName>
    <definedName name="MainNotPaid">Entries!#REF!</definedName>
    <definedName name="MainPool1Count">Entries!$H$1</definedName>
    <definedName name="MainPool1Header">Entries!$H$2</definedName>
    <definedName name="MainPool2Count">Entries!$I$1</definedName>
    <definedName name="MainPool2Header">Entries!$I$2</definedName>
    <definedName name="MainPool3Count">Entries!$J$1</definedName>
    <definedName name="MainPool3Header">Entries!$J$2</definedName>
    <definedName name="MainPool4Count">Entries!$K$1</definedName>
    <definedName name="MainPool4Header">Entries!$K$2</definedName>
    <definedName name="NextOperation">"NexOperation"</definedName>
    <definedName name="_xlnm.Print_Area" localSheetId="4">Anchors!$C$5:$F$13</definedName>
    <definedName name="_xlnm.Print_Area" localSheetId="2">Entries!$A$1:$K$61</definedName>
    <definedName name="_xlnm.Print_Area" localSheetId="3">UnPaid!$A$7:$L$30</definedName>
    <definedName name="RegistrationEnteredCount">Entries!$B$2</definedName>
    <definedName name="SortSpec">Entries!#REF!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4" l="1"/>
  <c r="B6" i="14"/>
  <c r="B5" i="14"/>
  <c r="B4" i="14"/>
  <c r="K1" i="1" l="1"/>
  <c r="J1" i="1"/>
  <c r="I1" i="1"/>
  <c r="H1" i="1"/>
  <c r="K2" i="1"/>
  <c r="J2" i="1"/>
  <c r="I2" i="1"/>
  <c r="H2" i="1"/>
  <c r="A62" i="1" l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1" i="1" l="1"/>
</calcChain>
</file>

<file path=xl/sharedStrings.xml><?xml version="1.0" encoding="utf-8"?>
<sst xmlns="http://schemas.openxmlformats.org/spreadsheetml/2006/main" count="389" uniqueCount="267">
  <si>
    <t>Name (Last, First)</t>
  </si>
  <si>
    <t>City/St</t>
  </si>
  <si>
    <t>ACC No.</t>
  </si>
  <si>
    <t>Judge</t>
  </si>
  <si>
    <t>Not Paid</t>
  </si>
  <si>
    <t>Napa, CA</t>
  </si>
  <si>
    <t>Sonoma, CA</t>
  </si>
  <si>
    <t>Doppelt, Jackie</t>
  </si>
  <si>
    <t>Vacaville, CA</t>
  </si>
  <si>
    <t>Petaluma, CA</t>
  </si>
  <si>
    <t>Clark, Jim</t>
  </si>
  <si>
    <t>Livermore, CA</t>
  </si>
  <si>
    <t>Sacramento, CA</t>
  </si>
  <si>
    <t>Santa Rosa, CA</t>
  </si>
  <si>
    <t>Concord, CA</t>
  </si>
  <si>
    <t>Rogers, Michael</t>
  </si>
  <si>
    <t>Katzman, Stan</t>
  </si>
  <si>
    <t>Rio Vista, CA</t>
  </si>
  <si>
    <t>Van Scyoc, Cheryl</t>
  </si>
  <si>
    <t>Fairfield, CA</t>
  </si>
  <si>
    <t>Shea, Rick</t>
  </si>
  <si>
    <t>Eureka, CA</t>
  </si>
  <si>
    <t>Holder, Ben</t>
  </si>
  <si>
    <t>Fremont, CA</t>
  </si>
  <si>
    <t>Antioch, CA</t>
  </si>
  <si>
    <t>Cox, Robert</t>
  </si>
  <si>
    <t>Fanucchi, Margaret</t>
  </si>
  <si>
    <t>Emerson, Mike</t>
  </si>
  <si>
    <t>Van Scyoc, Garrett</t>
  </si>
  <si>
    <t>Moore, Denny</t>
  </si>
  <si>
    <t>Washington, Carolyn</t>
  </si>
  <si>
    <t>Fair Oaks, CA</t>
  </si>
  <si>
    <t>Salinas, CA</t>
  </si>
  <si>
    <t>Wakeman, Bill</t>
  </si>
  <si>
    <t>San Lorenzo, CA</t>
  </si>
  <si>
    <t>An-chor</t>
  </si>
  <si>
    <t>Pool 1</t>
  </si>
  <si>
    <t>Pool 2</t>
  </si>
  <si>
    <t>Pool 3</t>
  </si>
  <si>
    <t>Pool 4</t>
  </si>
  <si>
    <t>Amt Pd/Due</t>
  </si>
  <si>
    <t>Check Off</t>
  </si>
  <si>
    <t>San Francisco, CA</t>
  </si>
  <si>
    <t>jimclark7774@msn.com</t>
  </si>
  <si>
    <t>Jackson, Peter A.</t>
  </si>
  <si>
    <t>Chico, CA</t>
  </si>
  <si>
    <t>Hall, Roland</t>
  </si>
  <si>
    <t>Hom, Jones</t>
  </si>
  <si>
    <t>Madrone, Cy</t>
  </si>
  <si>
    <t>Santa Barbara</t>
  </si>
  <si>
    <t>Anchors</t>
  </si>
  <si>
    <t>Lens, Christy</t>
  </si>
  <si>
    <t>Carmel, CA</t>
  </si>
  <si>
    <t>MyMobileMe7@me.com</t>
  </si>
  <si>
    <t>pjackson@csuchico.edu</t>
  </si>
  <si>
    <t>kalebsantiques@aol.com</t>
  </si>
  <si>
    <t>Flatto, Richard</t>
  </si>
  <si>
    <t>joneshom@att.net</t>
  </si>
  <si>
    <t>richard.flatto@gmail.com</t>
  </si>
  <si>
    <t>cymadrone@icloud.com</t>
  </si>
  <si>
    <t>CA-87</t>
  </si>
  <si>
    <t>CA-735</t>
  </si>
  <si>
    <t>CA-875</t>
  </si>
  <si>
    <t>CA-4206</t>
  </si>
  <si>
    <t>CA-6646</t>
  </si>
  <si>
    <t>CA-5195</t>
  </si>
  <si>
    <t>CA-1582</t>
  </si>
  <si>
    <t>CA-4499</t>
  </si>
  <si>
    <t>CA-4090L</t>
  </si>
  <si>
    <t>CA-2690</t>
  </si>
  <si>
    <t>CA-4103</t>
  </si>
  <si>
    <t>CA-1638</t>
  </si>
  <si>
    <t>CA-5859</t>
  </si>
  <si>
    <t>CA-6616</t>
  </si>
  <si>
    <t>CA-2183</t>
  </si>
  <si>
    <t>CA-1222L</t>
  </si>
  <si>
    <t>CA-1737</t>
  </si>
  <si>
    <t>CA-6999</t>
  </si>
  <si>
    <t>CA-6863</t>
  </si>
  <si>
    <t>Schlabes, Bill</t>
  </si>
  <si>
    <t>W. Sacramento, CA</t>
  </si>
  <si>
    <t>CA-5515</t>
  </si>
  <si>
    <t>Johnston, Dennis</t>
  </si>
  <si>
    <t>CA-4788</t>
  </si>
  <si>
    <t>Levy, Adrian</t>
  </si>
  <si>
    <t>CA-2258</t>
  </si>
  <si>
    <t>Lafayette, CA</t>
  </si>
  <si>
    <t>Roseville, CA</t>
  </si>
  <si>
    <t>Rancho Cordova, CA</t>
  </si>
  <si>
    <t>Humiston, Lisa</t>
  </si>
  <si>
    <t>Susuin City, CA</t>
  </si>
  <si>
    <t>CA-7257</t>
  </si>
  <si>
    <t>mee1946@att.net</t>
  </si>
  <si>
    <t>email2adrian@yahoo.com</t>
  </si>
  <si>
    <t>Laurence, Andrew</t>
  </si>
  <si>
    <t>Alameda, CA</t>
  </si>
  <si>
    <t>CA-2929</t>
  </si>
  <si>
    <t>Veggies</t>
  </si>
  <si>
    <t>carolyn.washington24@yahoo.com</t>
  </si>
  <si>
    <t>Shea, Peggy</t>
  </si>
  <si>
    <t>CA-3048</t>
  </si>
  <si>
    <t>roland29h@yahoo.com</t>
  </si>
  <si>
    <t>frosti1963@att.net</t>
  </si>
  <si>
    <t>christycharlieann@comcast.net</t>
  </si>
  <si>
    <t>dennym29@gmail.com</t>
  </si>
  <si>
    <t>grasshopper60@aol.com</t>
  </si>
  <si>
    <t>pugarbs@att.net</t>
  </si>
  <si>
    <t>wcbandit02@aol.com</t>
  </si>
  <si>
    <t>crib875@msn.com</t>
  </si>
  <si>
    <t>Phillips, Jeff</t>
  </si>
  <si>
    <t>jeffrey.k.phillips@gmail.com</t>
  </si>
  <si>
    <t>Overstreet, Gary</t>
  </si>
  <si>
    <t>CA-5601</t>
  </si>
  <si>
    <t>goverstreet@hotmail.com</t>
  </si>
  <si>
    <t>CA-6318</t>
  </si>
  <si>
    <t>Jarzombek, Chris</t>
  </si>
  <si>
    <t>Azelton, Randy</t>
  </si>
  <si>
    <t>Boyd, Lloyd</t>
  </si>
  <si>
    <t>Fritschen, John</t>
  </si>
  <si>
    <t>Plake, Sandra</t>
  </si>
  <si>
    <t>CA-3823</t>
  </si>
  <si>
    <t>Souza, Alice</t>
  </si>
  <si>
    <t>Spurgeon, Donald</t>
  </si>
  <si>
    <t>CA-7974</t>
  </si>
  <si>
    <t>Tellez, Barbara</t>
  </si>
  <si>
    <t>CA-5378</t>
  </si>
  <si>
    <t>Wilder, Jim</t>
  </si>
  <si>
    <t>Yepson, Bud</t>
  </si>
  <si>
    <t>CA-5454</t>
  </si>
  <si>
    <t>CA-7571</t>
  </si>
  <si>
    <t>CA-6785</t>
  </si>
  <si>
    <t>CA-6363</t>
  </si>
  <si>
    <t>Ione, CA</t>
  </si>
  <si>
    <t>CA-7932</t>
  </si>
  <si>
    <t>Newark, CA</t>
  </si>
  <si>
    <t>Phone</t>
  </si>
  <si>
    <t>Email Address</t>
  </si>
  <si>
    <t>Atascadero</t>
  </si>
  <si>
    <t>Arroyo Grande, CA</t>
  </si>
  <si>
    <t>Fernandez, Cres</t>
  </si>
  <si>
    <t>CA-925L</t>
  </si>
  <si>
    <t>CA-793</t>
  </si>
  <si>
    <t>AK-449</t>
  </si>
  <si>
    <t>Rohnert  Park, CA</t>
  </si>
  <si>
    <t>(707) 470-6329</t>
  </si>
  <si>
    <t>No Email</t>
  </si>
  <si>
    <t>fritschen57@gmail.com</t>
  </si>
  <si>
    <t>(707) 738-0799‬</t>
  </si>
  <si>
    <t>(510) 796-7894</t>
  </si>
  <si>
    <t>(925) 682-1758</t>
  </si>
  <si>
    <t>stankatzman917@gmail.com</t>
  </si>
  <si>
    <t>andrew@kramerthecat.com</t>
  </si>
  <si>
    <t>mlr94549@yahoo.com</t>
  </si>
  <si>
    <t>bschlabes@gmail.com</t>
  </si>
  <si>
    <t>31for14@gmail.com</t>
  </si>
  <si>
    <t>maggy416@yahoo.com</t>
  </si>
  <si>
    <t>(707) 628-3523</t>
  </si>
  <si>
    <t>bowlerdon299@gmail.com</t>
  </si>
  <si>
    <t>barcyt@hotmail.com</t>
  </si>
  <si>
    <t>‭(707) 815-5018‬</t>
  </si>
  <si>
    <t>jim@pfpros.com</t>
  </si>
  <si>
    <t>bigcalfan4@hotmail.com</t>
  </si>
  <si>
    <t>azelton@outlook.com</t>
  </si>
  <si>
    <t>LWBoyd62@hotmail.com</t>
  </si>
  <si>
    <t>jeanetteD761@gmail.com</t>
  </si>
  <si>
    <t>(707) 230-3840</t>
  </si>
  <si>
    <t>(707) 480-6523 </t>
  </si>
  <si>
    <t>Entered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</si>
  <si>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</si>
  <si>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</si>
  <si>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</si>
  <si>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</si>
  <si>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</si>
  <si>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</si>
  <si>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</si>
  <si>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</si>
  <si>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</si>
  <si>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</si>
  <si>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</si>
  <si>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</si>
  <si>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</si>
  <si>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</si>
  <si>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</si>
  <si>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</si>
  <si>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</si>
  <si>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</si>
  <si>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</si>
  <si>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</si>
  <si>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</si>
  <si>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</si>
  <si>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</si>
  <si>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</si>
  <si>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</si>
  <si>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</si>
  <si>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</si>
  <si>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</si>
  <si>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UnPaid Entries</t>
  </si>
  <si>
    <t>CA-8008</t>
  </si>
  <si>
    <t>Blair, Randal</t>
  </si>
  <si>
    <t>Oakland, CA</t>
  </si>
  <si>
    <t>NM-0032</t>
  </si>
  <si>
    <t>Boyer, Lori</t>
  </si>
  <si>
    <t>Oroville, CA</t>
  </si>
  <si>
    <t>CA-7198</t>
  </si>
  <si>
    <t>Dalton, Sue</t>
  </si>
  <si>
    <t>CA-8075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</si>
  <si>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</si>
  <si>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</si>
  <si>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</si>
  <si>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</si>
  <si>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</si>
  <si>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</si>
  <si>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</si>
  <si>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</si>
  <si>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</si>
  <si>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</si>
  <si>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</si>
  <si>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</si>
  <si>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</si>
  <si>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</si>
  <si>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</si>
  <si>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bobbytlewise@gmail.com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</si>
  <si>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</si>
  <si>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</si>
  <si>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</si>
  <si>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</si>
  <si>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</si>
  <si>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</si>
  <si>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</si>
  <si>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</si>
  <si>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</si>
  <si>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</si>
  <si>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</si>
  <si>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</si>
  <si>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</si>
  <si>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</si>
  <si>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</si>
  <si>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</si>
  <si>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</si>
  <si>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</si>
  <si>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</si>
  <si>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</si>
  <si>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</si>
  <si>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</si>
  <si>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</si>
  <si>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</si>
  <si>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</si>
  <si>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</si>
  <si>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</si>
  <si>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</si>
  <si>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</si>
  <si>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</si>
  <si>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</si>
  <si>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</si>
  <si>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</si>
  <si>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</si>
  <si>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</si>
  <si>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</si>
  <si>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</si>
  <si>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</si>
  <si>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</si>
  <si>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</si>
  <si>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</si>
  <si>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</si>
  <si>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</si>
  <si>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</si>
  <si>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 xml:space="preserve">Napa, Ca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</si>
</sst>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44" fontId="9" fillId="0" borderId="0" applyFont="0" applyFill="0" applyBorder="0" applyAlignment="0" applyProtection="0"/>
  </cellStyleXfs>
  <cellXfs count="92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/>
    </xf>
    <xf numFmtId="0" fontId="0" fillId="0" borderId="1" xfId="0" applyBorder="1"/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1" fillId="0" borderId="0" xfId="0" applyFont="1"/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0" fontId="5" fillId="0" borderId="1" xfId="0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7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64" fontId="4" fillId="0" borderId="3" xfId="0" applyNumberFormat="1" applyFont="1" applyBorder="1" applyAlignment="1">
      <alignment horizontal="center" wrapText="1"/>
    </xf>
    <xf numFmtId="0" fontId="8" fillId="0" borderId="1" xfId="1" applyBorder="1" applyAlignment="1" applyProtection="1">
      <protection locked="0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0" fontId="0" fillId="0" borderId="1" xfId="0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0" fillId="0" borderId="3" xfId="0" applyNumberFormat="1" applyBorder="1" applyAlignment="1" applyProtection="1">
      <alignment horizontal="center"/>
      <protection locked="0"/>
    </xf>
    <xf numFmtId="0" fontId="0" fillId="0" borderId="3" xfId="0" applyBorder="1"/>
    <xf numFmtId="1" fontId="4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0" fillId="0" borderId="0" xfId="0" applyFont="1"/>
    <xf numFmtId="0" fontId="0" fillId="0" borderId="7" xfId="0" applyBorder="1"/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1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14" fontId="0" fillId="0" borderId="0" xfId="0" applyNumberFormat="1"/>
    <xf numFmtId="0" fontId="14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5" fillId="0" borderId="0" xfId="0" applyFont="1"/>
    <xf numFmtId="0" fontId="16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10" fillId="0" borderId="0" xfId="0" applyFont="1" applyAlignment="1">
      <alignment horizontal="center"/>
    </xf>
    <xf numFmtId="0" fontId="8" fillId="0" borderId="1" xfId="1" applyBorder="1" applyAlignment="1" applyProtection="1"/>
    <xf numFmtId="0" fontId="0" fillId="0" borderId="3" xfId="0" applyBorder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6" fontId="5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1" fillId="0" borderId="0" xfId="0" applyNumberFormat="1" applyFont="1" applyAlignment="1">
      <alignment horizontal="center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0" fontId="1" fillId="0" borderId="1" xfId="0" applyFont="1" applyBorder="1"/>
    <xf numFmtId="166" fontId="0" fillId="0" borderId="0" xfId="0" applyNumberFormat="1" applyAlignment="1" applyProtection="1">
      <alignment horizontal="center"/>
      <protection locked="0"/>
    </xf>
    <xf numFmtId="166" fontId="5" fillId="0" borderId="0" xfId="0" applyNumberFormat="1" applyFont="1" applyAlignment="1" applyProtection="1">
      <alignment horizontal="center"/>
      <protection locked="0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2" fillId="0" borderId="9" xfId="0" applyFont="1" applyBorder="1" applyAlignment="1">
      <alignment horizontal="left"/>
    </xf>
    <xf numFmtId="0" fontId="12" fillId="0" borderId="10" xfId="0" applyFont="1" applyBorder="1" applyAlignment="1">
      <alignment horizontal="left"/>
    </xf>
    <xf numFmtId="0" fontId="12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12</xdr:col>
          <xdr:colOff>0</xdr:colOff>
          <xdr:row>1</xdr:row>
          <xdr:rowOff>238125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maggy416@yahoo.com" TargetMode="External"/><Relationship Id="rId13" Type="http://schemas.openxmlformats.org/officeDocument/2006/relationships/hyperlink" Target="mailto:jimhef@comcast.net" TargetMode="External"/><Relationship Id="rId18" Type="http://schemas.openxmlformats.org/officeDocument/2006/relationships/hyperlink" Target="mailto:sefmick1466@gmail.com" TargetMode="External"/><Relationship Id="rId3" Type="http://schemas.openxmlformats.org/officeDocument/2006/relationships/hyperlink" Target="mailto:fritschen57@gmail.com" TargetMode="External"/><Relationship Id="rId21" Type="http://schemas.openxmlformats.org/officeDocument/2006/relationships/printerSettings" Target="../printerSettings/printerSettings3.bin"/><Relationship Id="rId7" Type="http://schemas.openxmlformats.org/officeDocument/2006/relationships/hyperlink" Target="mailto:bschlabes@gmail.com" TargetMode="External"/><Relationship Id="rId12" Type="http://schemas.openxmlformats.org/officeDocument/2006/relationships/hyperlink" Target="mailto:bobbytlewise@gmail.com" TargetMode="External"/><Relationship Id="rId17" Type="http://schemas.openxmlformats.org/officeDocument/2006/relationships/hyperlink" Target="mailto:tomfherman@gmail.com" TargetMode="External"/><Relationship Id="rId2" Type="http://schemas.openxmlformats.org/officeDocument/2006/relationships/hyperlink" Target="mailto:jeanetteD761@gmail.com" TargetMode="External"/><Relationship Id="rId16" Type="http://schemas.openxmlformats.org/officeDocument/2006/relationships/hyperlink" Target="mailto:sylvurhfox@comcast.net" TargetMode="External"/><Relationship Id="rId20" Type="http://schemas.openxmlformats.org/officeDocument/2006/relationships/hyperlink" Target="mailto:fziari@yahoo.com" TargetMode="External"/><Relationship Id="rId1" Type="http://schemas.openxmlformats.org/officeDocument/2006/relationships/hyperlink" Target="mailto:azelton@outlook.com" TargetMode="External"/><Relationship Id="rId6" Type="http://schemas.openxmlformats.org/officeDocument/2006/relationships/hyperlink" Target="mailto:mlr94549@yahoo.com" TargetMode="External"/><Relationship Id="rId11" Type="http://schemas.openxmlformats.org/officeDocument/2006/relationships/hyperlink" Target="mailto:bigcalfan4@hotmail.com" TargetMode="External"/><Relationship Id="rId24" Type="http://schemas.openxmlformats.org/officeDocument/2006/relationships/ctrlProp" Target="../ctrlProps/ctrlProp9.xml"/><Relationship Id="rId5" Type="http://schemas.openxmlformats.org/officeDocument/2006/relationships/hyperlink" Target="mailto:andrew@kramerthecat.com" TargetMode="External"/><Relationship Id="rId15" Type="http://schemas.openxmlformats.org/officeDocument/2006/relationships/hyperlink" Target="mailto:terisaur@sbcglobal.net" TargetMode="External"/><Relationship Id="rId23" Type="http://schemas.openxmlformats.org/officeDocument/2006/relationships/vmlDrawing" Target="../drawings/vmlDrawing3.vml"/><Relationship Id="rId10" Type="http://schemas.openxmlformats.org/officeDocument/2006/relationships/hyperlink" Target="mailto:jim@pfpros.com" TargetMode="External"/><Relationship Id="rId19" Type="http://schemas.openxmlformats.org/officeDocument/2006/relationships/hyperlink" Target="mailto:steve.tuscher@gmail.com" TargetMode="External"/><Relationship Id="rId4" Type="http://schemas.openxmlformats.org/officeDocument/2006/relationships/hyperlink" Target="mailto:stankatzman917@gmail.com" TargetMode="External"/><Relationship Id="rId9" Type="http://schemas.openxmlformats.org/officeDocument/2006/relationships/hyperlink" Target="mailto:barcyt@hotmail.com" TargetMode="External"/><Relationship Id="rId14" Type="http://schemas.openxmlformats.org/officeDocument/2006/relationships/hyperlink" Target="mailto:joseph.pelland@gmail.com" TargetMode="External"/><Relationship Id="rId22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C15" sqref="C15:H15"/>
    </sheetView>
  </sheetViews>
  <sheetFormatPr defaultColWidth="8.85546875"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20.100000000000001" thickBot="1" x14ac:dyDescent="0.3">
      <c r="A1" s="42" t="s">
        <v>168</v>
      </c>
      <c r="C1" s="78" t="s">
        <v>185</v>
      </c>
      <c r="D1" s="79"/>
      <c r="E1" s="80"/>
      <c r="F1" s="47"/>
      <c r="G1" s="47"/>
      <c r="H1" s="47"/>
    </row>
    <row r="2" spans="1:8" ht="15.95" thickBot="1" x14ac:dyDescent="0.25"/>
    <row r="3" spans="1:8" ht="17.100000000000001" thickBot="1" x14ac:dyDescent="0.25">
      <c r="A3" s="41" t="s">
        <v>169</v>
      </c>
      <c r="C3" s="83" t="s">
        <v>256</v>
      </c>
      <c r="D3" s="84"/>
      <c r="E3" s="84"/>
      <c r="F3" s="84"/>
      <c r="G3" s="85"/>
    </row>
    <row r="4" spans="1:8" ht="15.95" thickBot="1" x14ac:dyDescent="0.25"/>
    <row r="5" spans="1:8" ht="17.100000000000001" thickBot="1" x14ac:dyDescent="0.25">
      <c r="A5" s="41" t="s">
        <v>170</v>
      </c>
      <c r="C5" s="83" t="s">
        <v>257</v>
      </c>
      <c r="D5" s="84"/>
      <c r="E5" s="84"/>
      <c r="F5" s="84"/>
      <c r="G5" s="85"/>
    </row>
    <row r="6" spans="1:8" ht="15.95" thickBot="1" x14ac:dyDescent="0.25"/>
    <row r="7" spans="1:8" ht="17.100000000000001" thickBot="1" x14ac:dyDescent="0.25">
      <c r="A7" s="41" t="s">
        <v>171</v>
      </c>
      <c r="C7" s="83" t="s">
        <v>258</v>
      </c>
      <c r="D7" s="84"/>
      <c r="E7" s="84"/>
      <c r="F7" s="84"/>
      <c r="G7" s="85"/>
    </row>
    <row r="8" spans="1:8" ht="15.95" thickBot="1" x14ac:dyDescent="0.25"/>
    <row r="9" spans="1:8" ht="17.100000000000001" thickBot="1" x14ac:dyDescent="0.25">
      <c r="A9" s="41" t="s">
        <v>172</v>
      </c>
      <c r="C9" s="71">
        <v>45039</v>
      </c>
    </row>
    <row r="10" spans="1:8" ht="15.95" thickBot="1" x14ac:dyDescent="0.25"/>
    <row r="11" spans="1:8" ht="17.100000000000001" thickBot="1" x14ac:dyDescent="0.25">
      <c r="A11" s="41" t="s">
        <v>173</v>
      </c>
      <c r="C11" s="81" t="s">
        <v>259</v>
      </c>
      <c r="D11" s="82"/>
      <c r="E11" s="81" t="s">
        <v>260</v>
      </c>
      <c r="F11" s="82"/>
      <c r="G11" s="81" t="s">
        <v>261</v>
      </c>
      <c r="H11" s="82"/>
    </row>
    <row r="12" spans="1:8" ht="17.100000000000001" thickBot="1" x14ac:dyDescent="0.25">
      <c r="A12" s="41"/>
      <c r="C12" s="6"/>
      <c r="D12" s="6"/>
      <c r="E12" s="6"/>
      <c r="F12" s="6"/>
      <c r="G12" s="6"/>
      <c r="H12" s="6"/>
    </row>
    <row r="13" spans="1:8" ht="17.100000000000001" thickBot="1" x14ac:dyDescent="0.25">
      <c r="A13" s="41" t="s">
        <v>135</v>
      </c>
      <c r="C13" s="81" t="s">
        <v>262</v>
      </c>
      <c r="D13" s="82"/>
      <c r="E13" s="81" t="s">
        <v>263</v>
      </c>
      <c r="F13" s="82"/>
      <c r="G13" s="81" t="s">
        <v>264</v>
      </c>
      <c r="H13" s="82"/>
    </row>
    <row r="14" spans="1:8" ht="17.100000000000001" thickBot="1" x14ac:dyDescent="0.25">
      <c r="A14" s="41"/>
      <c r="C14" s="6"/>
      <c r="D14" s="6"/>
      <c r="E14" s="6"/>
      <c r="F14" s="6"/>
      <c r="G14" s="6"/>
      <c r="H14" s="6"/>
    </row>
    <row r="15" spans="1:8" ht="16.5" customHeight="1" thickBot="1" x14ac:dyDescent="0.25">
      <c r="A15" s="41" t="s">
        <v>174</v>
      </c>
      <c r="C15" s="81" t="s">
        <v>101</v>
      </c>
      <c r="D15" s="82"/>
      <c r="E15" s="81" t="s">
        <v>265</v>
      </c>
      <c r="F15" s="82"/>
      <c r="G15" s="81" t="s">
        <v>152</v>
      </c>
      <c r="H15" s="82"/>
    </row>
    <row r="20" spans="11:11" x14ac:dyDescent="0.2">
      <c r="K20" s="43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C18" sqref="C18"/>
    </sheetView>
  </sheetViews>
  <sheetFormatPr defaultColWidth="8.85546875"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20.100000000000001" thickBot="1" x14ac:dyDescent="0.3">
      <c r="A1" s="42" t="s">
        <v>175</v>
      </c>
    </row>
    <row r="2" spans="1:7" ht="20.100000000000001" thickBot="1" x14ac:dyDescent="0.3">
      <c r="C2" s="87" t="s">
        <v>185</v>
      </c>
      <c r="D2" s="88"/>
      <c r="E2" s="88"/>
      <c r="F2" s="88"/>
      <c r="G2" s="89"/>
    </row>
    <row r="3" spans="1:7" ht="18.95" x14ac:dyDescent="0.25">
      <c r="C3" s="46"/>
      <c r="D3" s="46"/>
      <c r="E3" s="46"/>
      <c r="F3" s="46"/>
      <c r="G3" s="46"/>
    </row>
    <row r="4" spans="1:7" x14ac:dyDescent="0.2">
      <c r="A4" s="21" t="s">
        <v>177</v>
      </c>
      <c r="B4" s="86" t="str">
        <f>Tourney!$C$3</f>
        <v>Napa Wine Country Open</v>
      </c>
      <c r="C4" s="86"/>
      <c r="D4" s="86"/>
      <c r="E4" s="86"/>
      <c r="F4" s="86"/>
    </row>
    <row r="5" spans="1:7" x14ac:dyDescent="0.2">
      <c r="A5" s="21" t="s">
        <v>187</v>
      </c>
      <c r="B5" s="91" t="str">
        <f>Tourney!$C$5</f>
        <v>The Moose Lodge</v>
      </c>
      <c r="C5" s="91"/>
      <c r="D5" s="91"/>
      <c r="E5" s="91"/>
      <c r="F5" s="91"/>
    </row>
    <row r="6" spans="1:7" x14ac:dyDescent="0.2">
      <c r="A6" s="21" t="s">
        <v>189</v>
      </c>
      <c r="B6" s="91" t="str">
        <f>Tourney!$C$7</f>
        <v>Napa, Ca, 94558</v>
      </c>
      <c r="C6" s="91"/>
      <c r="D6" s="91"/>
      <c r="E6" s="91"/>
      <c r="F6" s="91"/>
    </row>
    <row r="7" spans="1:7" x14ac:dyDescent="0.2">
      <c r="A7" s="21" t="s">
        <v>176</v>
      </c>
      <c r="B7" s="58">
        <f>Tourney!$C$9</f>
        <v>45039</v>
      </c>
      <c r="C7" s="6"/>
      <c r="D7" s="6"/>
      <c r="E7" s="6"/>
      <c r="F7" s="6"/>
    </row>
    <row r="9" spans="1:7" ht="15.95" thickBot="1" x14ac:dyDescent="0.25">
      <c r="A9" s="21"/>
      <c r="B9" s="48"/>
    </row>
    <row r="10" spans="1:7" ht="15.95" thickBot="1" x14ac:dyDescent="0.25">
      <c r="A10" s="21" t="s">
        <v>188</v>
      </c>
      <c r="B10" s="73">
        <v>3</v>
      </c>
      <c r="C10" s="21" t="s">
        <v>182</v>
      </c>
      <c r="D10" s="73">
        <v>70</v>
      </c>
    </row>
    <row r="11" spans="1:7" ht="15.95" thickBot="1" x14ac:dyDescent="0.25"/>
    <row r="12" spans="1:7" ht="15.95" thickBot="1" x14ac:dyDescent="0.25">
      <c r="A12" s="21" t="s">
        <v>180</v>
      </c>
      <c r="B12" s="50">
        <v>14</v>
      </c>
    </row>
    <row r="13" spans="1:7" ht="15.95" thickBot="1" x14ac:dyDescent="0.25"/>
    <row r="14" spans="1:7" ht="15.95" thickBot="1" x14ac:dyDescent="0.25">
      <c r="A14" s="21" t="s">
        <v>178</v>
      </c>
      <c r="B14" s="50">
        <v>1</v>
      </c>
    </row>
    <row r="15" spans="1:7" x14ac:dyDescent="0.2">
      <c r="C15" s="90" t="s">
        <v>186</v>
      </c>
      <c r="D15" s="90"/>
      <c r="E15" s="90"/>
      <c r="F15" s="90"/>
    </row>
    <row r="16" spans="1:7" ht="20.100000000000001" thickBot="1" x14ac:dyDescent="0.3">
      <c r="A16" s="21" t="s">
        <v>179</v>
      </c>
      <c r="B16" s="21"/>
      <c r="C16" s="59">
        <v>1</v>
      </c>
      <c r="D16" s="59">
        <v>2</v>
      </c>
      <c r="E16" s="59">
        <v>3</v>
      </c>
      <c r="F16" s="59">
        <v>4</v>
      </c>
    </row>
    <row r="17" spans="1:8" ht="15.95" thickBot="1" x14ac:dyDescent="0.25">
      <c r="B17" s="44" t="s">
        <v>181</v>
      </c>
      <c r="C17" s="51">
        <v>1</v>
      </c>
      <c r="D17" s="51">
        <v>2</v>
      </c>
      <c r="E17" s="51">
        <v>2</v>
      </c>
      <c r="F17" s="51">
        <v>2</v>
      </c>
      <c r="H17" s="45" t="s">
        <v>183</v>
      </c>
    </row>
    <row r="18" spans="1:8" ht="15.95" thickBot="1" x14ac:dyDescent="0.25">
      <c r="B18" s="44" t="s">
        <v>182</v>
      </c>
      <c r="C18" s="72">
        <v>10</v>
      </c>
      <c r="D18" s="72">
        <v>10</v>
      </c>
      <c r="E18" s="72">
        <v>20</v>
      </c>
      <c r="F18" s="72">
        <v>50</v>
      </c>
      <c r="H18" s="45" t="s">
        <v>184</v>
      </c>
    </row>
    <row r="21" spans="1:8" x14ac:dyDescent="0.2">
      <c r="A21" s="49" t="s">
        <v>192</v>
      </c>
    </row>
    <row r="22" spans="1:8" ht="15.95" thickBot="1" x14ac:dyDescent="0.25"/>
    <row r="23" spans="1:8" ht="15.95" thickBot="1" x14ac:dyDescent="0.25">
      <c r="A23" s="21" t="s">
        <v>190</v>
      </c>
      <c r="B23" s="74"/>
      <c r="D23" t="s">
        <v>195</v>
      </c>
    </row>
    <row r="24" spans="1:8" ht="15.95" thickBot="1" x14ac:dyDescent="0.25">
      <c r="D24" t="s">
        <v>193</v>
      </c>
    </row>
    <row r="25" spans="1:8" ht="15.95" thickBot="1" x14ac:dyDescent="0.25">
      <c r="A25" s="21" t="s">
        <v>191</v>
      </c>
      <c r="B25" s="50"/>
      <c r="D25" t="s">
        <v>194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TourneySetUp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MainTourneySetUp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L66"/>
  <sheetViews>
    <sheetView tabSelected="1" zoomScaleNormal="100" workbookViewId="0">
      <pane xSplit="1" ySplit="2" topLeftCell="B52" activePane="bottomRight" state="frozen"/>
      <selection pane="topRight" activeCell="B1" sqref="B1"/>
      <selection pane="bottomLeft" activeCell="A2" sqref="A2"/>
      <selection pane="bottomRight" activeCell="B3" sqref="B3:K62"/>
    </sheetView>
  </sheetViews>
  <sheetFormatPr defaultColWidth="9.140625" defaultRowHeight="15" x14ac:dyDescent="0.25"/>
  <cols>
    <col min="1" max="1" width="5.28515625" style="12" customWidth="1"/>
    <col min="2" max="2" width="13.7109375" style="12" customWidth="1"/>
    <col min="3" max="3" width="24.28515625" style="12" customWidth="1"/>
    <col min="4" max="4" width="22.140625" style="12" customWidth="1"/>
    <col min="5" max="5" width="9.85546875" style="24" customWidth="1"/>
    <col min="6" max="6" width="15.42578125" style="24" customWidth="1"/>
    <col min="7" max="7" width="33.140625" style="24" customWidth="1"/>
    <col min="8" max="8" width="6.42578125" style="12" customWidth="1"/>
    <col min="9" max="9" width="7.7109375" style="12" customWidth="1"/>
    <col min="10" max="10" width="6.42578125" style="12" customWidth="1"/>
    <col min="11" max="11" width="7.140625" style="12" customWidth="1"/>
    <col min="12" max="12" width="17.42578125" style="19" customWidth="1"/>
    <col min="13" max="16384" width="9.140625" style="12"/>
  </cols>
  <sheetData>
    <row r="1" spans="1:12" ht="15.75" customHeight="1" x14ac:dyDescent="0.2">
      <c r="A1" s="52"/>
      <c r="B1" s="53">
        <f>COUNTIF(B3:B62,"&lt;&gt;" &amp; "")</f>
        <v>60</v>
      </c>
      <c r="C1" s="40"/>
      <c r="D1" s="40"/>
      <c r="H1" s="53">
        <f>COUNTIF(H3:H62,"&lt;&gt;" &amp; "")</f>
        <v>45</v>
      </c>
      <c r="I1" s="53">
        <f>COUNTIF(I3:I62,"&lt;&gt;" &amp; "")</f>
        <v>31</v>
      </c>
      <c r="J1" s="53">
        <f>COUNTIF(J3:J62,"&lt;&gt;" &amp; "")</f>
        <v>31</v>
      </c>
      <c r="K1" s="53">
        <f>COUNTIF(K3:K62,"&lt;&gt;" &amp; "")</f>
        <v>17</v>
      </c>
      <c r="L1" s="23"/>
    </row>
    <row r="2" spans="1:12" ht="32.1" x14ac:dyDescent="0.2">
      <c r="A2" s="38"/>
      <c r="B2" s="13" t="s">
        <v>167</v>
      </c>
      <c r="C2" s="15" t="s">
        <v>0</v>
      </c>
      <c r="D2" s="16" t="s">
        <v>1</v>
      </c>
      <c r="E2" s="17" t="s">
        <v>2</v>
      </c>
      <c r="F2" s="30" t="s">
        <v>135</v>
      </c>
      <c r="G2" s="30" t="s">
        <v>136</v>
      </c>
      <c r="H2" s="14" t="str">
        <f>IF([0]!FMainPool1Type=1,"Equal Pool",IF([0]!FMainPool1Type=2,"!:6 Grad",""))</f>
        <v>Equal Pool</v>
      </c>
      <c r="I2" s="14" t="str">
        <f>IF([0]!FMainPool2type=1,"Equal Pool", IF([0]!FMainPool2type=2,"1:6 Grad",""))</f>
        <v>1:6 Grad</v>
      </c>
      <c r="J2" s="14" t="str">
        <f>IF([0]!FMainPool3Type=1,"Equal Pool",IF([0]!FMainPool3Type=2,"!:6 Grad",""))</f>
        <v>!:6 Grad</v>
      </c>
      <c r="K2" s="14" t="str">
        <f>IF([0]!FMainPool4Type=1,"Equal Pool",IF([0]!FMainPool4Type=2,"!:6 Grad",""))</f>
        <v>!:6 Grad</v>
      </c>
      <c r="L2" s="21"/>
    </row>
    <row r="3" spans="1:12" ht="15" customHeight="1" x14ac:dyDescent="0.2">
      <c r="A3" s="18">
        <f t="shared" ref="A3:A34" si="0">ROW() - ROW(FRegentiresEneteredHdr)</f>
        <v>1</v>
      </c>
      <c r="B3" s="11">
        <v>1</v>
      </c>
      <c r="C3" s="8" t="s">
        <v>116</v>
      </c>
      <c r="D3" s="8" t="s">
        <v>137</v>
      </c>
      <c r="E3" s="9" t="s">
        <v>129</v>
      </c>
      <c r="F3" s="32">
        <v>9098875893</v>
      </c>
      <c r="G3" s="26" t="s">
        <v>162</v>
      </c>
      <c r="H3" s="10">
        <v>1</v>
      </c>
      <c r="I3" s="11">
        <v>1</v>
      </c>
      <c r="J3" s="11">
        <v>1</v>
      </c>
      <c r="K3" s="11"/>
      <c r="L3" s="68"/>
    </row>
    <row r="4" spans="1:12" ht="15" customHeight="1" x14ac:dyDescent="0.2">
      <c r="A4" s="18">
        <f t="shared" si="0"/>
        <v>2</v>
      </c>
      <c r="B4" s="11">
        <v>1</v>
      </c>
      <c r="C4" s="7" t="s">
        <v>255</v>
      </c>
      <c r="D4" s="75"/>
      <c r="E4" s="53" t="s">
        <v>197</v>
      </c>
      <c r="F4" s="12"/>
      <c r="G4" s="75"/>
      <c r="H4" s="10">
        <v>1</v>
      </c>
      <c r="I4" s="11">
        <v>1</v>
      </c>
      <c r="J4" s="11">
        <v>1</v>
      </c>
      <c r="K4" s="11">
        <v>1</v>
      </c>
      <c r="L4" s="68"/>
    </row>
    <row r="5" spans="1:12" ht="15" customHeight="1" x14ac:dyDescent="0.2">
      <c r="A5" s="18">
        <f t="shared" si="0"/>
        <v>3</v>
      </c>
      <c r="B5" s="11">
        <v>1</v>
      </c>
      <c r="C5" s="7" t="s">
        <v>198</v>
      </c>
      <c r="D5" s="7" t="s">
        <v>199</v>
      </c>
      <c r="E5" s="31" t="s">
        <v>200</v>
      </c>
      <c r="F5" s="7"/>
      <c r="G5" s="7"/>
      <c r="H5" s="10">
        <v>1</v>
      </c>
      <c r="I5" s="10">
        <v>1</v>
      </c>
      <c r="J5" s="10">
        <v>1</v>
      </c>
      <c r="K5" s="10"/>
      <c r="L5" s="68"/>
    </row>
    <row r="6" spans="1:12" ht="15" customHeight="1" x14ac:dyDescent="0.2">
      <c r="A6" s="18">
        <f t="shared" si="0"/>
        <v>4</v>
      </c>
      <c r="B6" s="11">
        <v>1</v>
      </c>
      <c r="C6" s="8" t="s">
        <v>117</v>
      </c>
      <c r="D6" s="8" t="s">
        <v>138</v>
      </c>
      <c r="E6" s="9" t="s">
        <v>130</v>
      </c>
      <c r="F6" s="32">
        <v>8054892161</v>
      </c>
      <c r="G6" s="7" t="s">
        <v>163</v>
      </c>
      <c r="H6" s="10">
        <v>1</v>
      </c>
      <c r="I6" s="11">
        <v>1</v>
      </c>
      <c r="J6" s="11">
        <v>1</v>
      </c>
      <c r="K6" s="11">
        <v>1</v>
      </c>
      <c r="L6" s="6"/>
    </row>
    <row r="7" spans="1:12" ht="15" customHeight="1" x14ac:dyDescent="0.2">
      <c r="A7" s="18">
        <f t="shared" si="0"/>
        <v>5</v>
      </c>
      <c r="B7" s="11">
        <v>1</v>
      </c>
      <c r="C7" s="54" t="s">
        <v>201</v>
      </c>
      <c r="D7" s="54" t="s">
        <v>202</v>
      </c>
      <c r="E7" s="67" t="s">
        <v>203</v>
      </c>
      <c r="F7" s="7"/>
      <c r="G7" s="7"/>
      <c r="H7" s="10">
        <v>1</v>
      </c>
      <c r="I7" s="11">
        <v>1</v>
      </c>
      <c r="J7" s="11">
        <v>1</v>
      </c>
      <c r="K7" s="11">
        <v>1</v>
      </c>
      <c r="L7" s="69"/>
    </row>
    <row r="8" spans="1:12" ht="15" customHeight="1" x14ac:dyDescent="0.2">
      <c r="A8" s="18">
        <f t="shared" si="0"/>
        <v>6</v>
      </c>
      <c r="B8" s="11">
        <v>1</v>
      </c>
      <c r="C8" s="1" t="s">
        <v>10</v>
      </c>
      <c r="D8" s="1" t="s">
        <v>11</v>
      </c>
      <c r="E8" s="2" t="s">
        <v>65</v>
      </c>
      <c r="F8" s="33">
        <v>9253213485</v>
      </c>
      <c r="G8" s="5" t="s">
        <v>43</v>
      </c>
      <c r="H8" s="10">
        <v>1</v>
      </c>
      <c r="I8" s="11">
        <v>1</v>
      </c>
      <c r="J8" s="11">
        <v>1</v>
      </c>
      <c r="K8" s="11">
        <v>1</v>
      </c>
      <c r="L8" s="69"/>
    </row>
    <row r="9" spans="1:12" ht="15" customHeight="1" x14ac:dyDescent="0.2">
      <c r="A9" s="18">
        <f t="shared" si="0"/>
        <v>7</v>
      </c>
      <c r="B9" s="3">
        <v>1</v>
      </c>
      <c r="C9" s="1" t="s">
        <v>25</v>
      </c>
      <c r="D9" s="1" t="s">
        <v>13</v>
      </c>
      <c r="E9" s="2" t="s">
        <v>73</v>
      </c>
      <c r="F9" s="33">
        <v>9705539123</v>
      </c>
      <c r="G9" s="5" t="s">
        <v>145</v>
      </c>
      <c r="H9" s="3">
        <v>1</v>
      </c>
      <c r="I9" s="3"/>
      <c r="J9" s="3"/>
      <c r="K9" s="4"/>
      <c r="L9" s="69"/>
    </row>
    <row r="10" spans="1:12" ht="15" customHeight="1" x14ac:dyDescent="0.2">
      <c r="A10" s="18">
        <f t="shared" si="0"/>
        <v>8</v>
      </c>
      <c r="B10" s="11">
        <v>1</v>
      </c>
      <c r="C10" s="7" t="s">
        <v>204</v>
      </c>
      <c r="D10" s="7" t="s">
        <v>266</v>
      </c>
      <c r="E10" s="31" t="s">
        <v>205</v>
      </c>
      <c r="F10" s="36"/>
      <c r="G10" s="7"/>
      <c r="H10" s="10"/>
      <c r="I10" s="11"/>
      <c r="J10" s="11"/>
      <c r="K10" s="11"/>
      <c r="L10" s="69"/>
    </row>
    <row r="11" spans="1:12" ht="15" customHeight="1" x14ac:dyDescent="0.2">
      <c r="A11" s="18">
        <f t="shared" si="0"/>
        <v>9</v>
      </c>
      <c r="B11" s="11">
        <v>1</v>
      </c>
      <c r="C11" s="1" t="s">
        <v>7</v>
      </c>
      <c r="D11" s="1" t="s">
        <v>17</v>
      </c>
      <c r="E11" s="2" t="s">
        <v>66</v>
      </c>
      <c r="F11" s="35">
        <v>7073175740</v>
      </c>
      <c r="G11" s="26" t="s">
        <v>164</v>
      </c>
      <c r="H11" s="10">
        <v>1</v>
      </c>
      <c r="I11" s="11"/>
      <c r="J11" s="11"/>
      <c r="K11" s="11"/>
      <c r="L11" s="68"/>
    </row>
    <row r="12" spans="1:12" ht="15" customHeight="1" x14ac:dyDescent="0.2">
      <c r="A12" s="18">
        <f t="shared" si="0"/>
        <v>10</v>
      </c>
      <c r="B12" s="11">
        <v>1</v>
      </c>
      <c r="C12" s="7" t="s">
        <v>206</v>
      </c>
      <c r="D12" s="7" t="s">
        <v>88</v>
      </c>
      <c r="E12" s="31" t="s">
        <v>207</v>
      </c>
      <c r="F12" s="36"/>
      <c r="G12" s="7"/>
      <c r="H12" s="10">
        <v>1</v>
      </c>
      <c r="I12" s="11">
        <v>1</v>
      </c>
      <c r="J12" s="11">
        <v>1</v>
      </c>
      <c r="K12" s="11"/>
      <c r="L12" s="6"/>
    </row>
    <row r="13" spans="1:12" ht="15" customHeight="1" x14ac:dyDescent="0.2">
      <c r="A13" s="18">
        <f t="shared" si="0"/>
        <v>11</v>
      </c>
      <c r="B13" s="3">
        <v>1</v>
      </c>
      <c r="C13" s="1" t="s">
        <v>27</v>
      </c>
      <c r="D13" s="1" t="s">
        <v>13</v>
      </c>
      <c r="E13" s="2" t="s">
        <v>74</v>
      </c>
      <c r="F13" s="61" t="s">
        <v>165</v>
      </c>
      <c r="G13" s="5" t="s">
        <v>92</v>
      </c>
      <c r="H13" s="3">
        <v>1</v>
      </c>
      <c r="I13" s="3">
        <v>1</v>
      </c>
      <c r="J13" s="3">
        <v>1</v>
      </c>
      <c r="K13" s="4"/>
      <c r="L13" s="68"/>
    </row>
    <row r="14" spans="1:12" ht="15" customHeight="1" x14ac:dyDescent="0.25">
      <c r="A14" s="18">
        <f t="shared" si="0"/>
        <v>12</v>
      </c>
      <c r="B14" s="3">
        <v>1</v>
      </c>
      <c r="C14" s="1" t="s">
        <v>26</v>
      </c>
      <c r="D14" s="1" t="s">
        <v>12</v>
      </c>
      <c r="E14" s="2" t="s">
        <v>64</v>
      </c>
      <c r="F14" s="61" t="s">
        <v>166</v>
      </c>
      <c r="G14" s="5" t="s">
        <v>53</v>
      </c>
      <c r="H14" s="3">
        <v>1</v>
      </c>
      <c r="I14" s="3"/>
      <c r="J14" s="3">
        <v>1</v>
      </c>
      <c r="K14" s="4"/>
      <c r="L14" s="6"/>
    </row>
    <row r="15" spans="1:12" ht="15" customHeight="1" x14ac:dyDescent="0.2">
      <c r="A15" s="18">
        <f t="shared" si="0"/>
        <v>13</v>
      </c>
      <c r="B15" s="11">
        <v>1</v>
      </c>
      <c r="C15" s="1" t="s">
        <v>139</v>
      </c>
      <c r="D15" s="1" t="s">
        <v>13</v>
      </c>
      <c r="E15" s="2" t="s">
        <v>69</v>
      </c>
      <c r="F15" s="76" t="s">
        <v>144</v>
      </c>
      <c r="G15" s="5" t="s">
        <v>145</v>
      </c>
      <c r="H15" s="10">
        <v>1</v>
      </c>
      <c r="I15" s="11">
        <v>1</v>
      </c>
      <c r="J15" s="11">
        <v>1</v>
      </c>
      <c r="K15" s="11">
        <v>1</v>
      </c>
      <c r="L15" s="68"/>
    </row>
    <row r="16" spans="1:12" ht="15" customHeight="1" x14ac:dyDescent="0.2">
      <c r="A16" s="18">
        <f t="shared" si="0"/>
        <v>14</v>
      </c>
      <c r="B16" s="11">
        <v>1</v>
      </c>
      <c r="C16" s="8" t="s">
        <v>56</v>
      </c>
      <c r="D16" s="8" t="s">
        <v>13</v>
      </c>
      <c r="E16" s="9" t="s">
        <v>61</v>
      </c>
      <c r="F16" s="34">
        <v>7078499317</v>
      </c>
      <c r="G16" s="5" t="s">
        <v>58</v>
      </c>
      <c r="H16" s="10">
        <v>1</v>
      </c>
      <c r="I16" s="11">
        <v>1</v>
      </c>
      <c r="J16" s="11">
        <v>1</v>
      </c>
      <c r="K16" s="11">
        <v>1</v>
      </c>
      <c r="L16" s="68"/>
    </row>
    <row r="17" spans="1:12" ht="15" customHeight="1" x14ac:dyDescent="0.2">
      <c r="A17" s="18">
        <f t="shared" si="0"/>
        <v>15</v>
      </c>
      <c r="B17" s="11">
        <v>1</v>
      </c>
      <c r="C17" s="8" t="s">
        <v>118</v>
      </c>
      <c r="D17" s="8" t="s">
        <v>13</v>
      </c>
      <c r="E17" s="9" t="s">
        <v>131</v>
      </c>
      <c r="F17" s="34">
        <v>7073225806</v>
      </c>
      <c r="G17" s="26" t="s">
        <v>146</v>
      </c>
      <c r="H17" s="10"/>
      <c r="I17" s="11"/>
      <c r="J17" s="11"/>
      <c r="K17" s="11"/>
      <c r="L17" s="68"/>
    </row>
    <row r="18" spans="1:12" x14ac:dyDescent="0.2">
      <c r="A18" s="18">
        <f t="shared" si="0"/>
        <v>16</v>
      </c>
      <c r="B18" s="11">
        <v>1</v>
      </c>
      <c r="C18" s="7" t="s">
        <v>208</v>
      </c>
      <c r="D18" s="7" t="s">
        <v>5</v>
      </c>
      <c r="E18" s="31" t="s">
        <v>209</v>
      </c>
      <c r="F18" s="36"/>
      <c r="G18" s="7"/>
      <c r="H18" s="10"/>
      <c r="I18" s="11"/>
      <c r="J18" s="11"/>
      <c r="K18" s="11"/>
      <c r="L18" s="68"/>
    </row>
    <row r="19" spans="1:12" x14ac:dyDescent="0.25">
      <c r="A19" s="18">
        <f t="shared" si="0"/>
        <v>17</v>
      </c>
      <c r="B19" s="11">
        <v>1</v>
      </c>
      <c r="C19" s="8" t="s">
        <v>46</v>
      </c>
      <c r="D19" s="1" t="s">
        <v>5</v>
      </c>
      <c r="E19" s="9" t="s">
        <v>75</v>
      </c>
      <c r="F19" s="34" t="s">
        <v>147</v>
      </c>
      <c r="G19" s="5" t="s">
        <v>101</v>
      </c>
      <c r="H19" s="10">
        <v>1</v>
      </c>
      <c r="I19" s="11">
        <v>1</v>
      </c>
      <c r="J19" s="11">
        <v>1</v>
      </c>
      <c r="K19" s="11">
        <v>1</v>
      </c>
      <c r="L19" s="68"/>
    </row>
    <row r="20" spans="1:12" x14ac:dyDescent="0.2">
      <c r="A20" s="18">
        <f t="shared" si="0"/>
        <v>18</v>
      </c>
      <c r="B20" s="11">
        <v>1</v>
      </c>
      <c r="C20" s="7" t="s">
        <v>210</v>
      </c>
      <c r="D20" s="7" t="s">
        <v>134</v>
      </c>
      <c r="E20" s="31" t="s">
        <v>211</v>
      </c>
      <c r="F20" s="36"/>
      <c r="G20" s="7"/>
      <c r="H20" s="10">
        <v>1</v>
      </c>
      <c r="I20" s="11"/>
      <c r="J20" s="11"/>
      <c r="K20" s="11"/>
      <c r="L20" s="68"/>
    </row>
    <row r="21" spans="1:12" x14ac:dyDescent="0.2">
      <c r="A21" s="18">
        <f t="shared" si="0"/>
        <v>19</v>
      </c>
      <c r="B21" s="11">
        <v>1</v>
      </c>
      <c r="C21" s="7" t="s">
        <v>212</v>
      </c>
      <c r="D21" s="7" t="s">
        <v>8</v>
      </c>
      <c r="E21" s="31" t="s">
        <v>213</v>
      </c>
      <c r="F21" s="36"/>
      <c r="G21" s="26" t="s">
        <v>222</v>
      </c>
      <c r="H21" s="10">
        <v>1</v>
      </c>
      <c r="I21" s="11"/>
      <c r="J21" s="11">
        <v>1</v>
      </c>
      <c r="K21" s="11"/>
      <c r="L21" s="68"/>
    </row>
    <row r="22" spans="1:12" x14ac:dyDescent="0.2">
      <c r="A22" s="18">
        <f t="shared" si="0"/>
        <v>20</v>
      </c>
      <c r="B22" s="11">
        <v>1</v>
      </c>
      <c r="C22" s="7" t="s">
        <v>214</v>
      </c>
      <c r="D22" s="7" t="s">
        <v>6</v>
      </c>
      <c r="E22" s="31" t="s">
        <v>215</v>
      </c>
      <c r="F22" s="36"/>
      <c r="G22" s="26" t="s">
        <v>234</v>
      </c>
      <c r="H22" s="10"/>
      <c r="I22" s="11"/>
      <c r="J22" s="11"/>
      <c r="K22" s="11"/>
      <c r="L22" s="69"/>
    </row>
    <row r="23" spans="1:12" x14ac:dyDescent="0.2">
      <c r="A23" s="18">
        <f t="shared" si="0"/>
        <v>21</v>
      </c>
      <c r="B23" s="11">
        <v>1</v>
      </c>
      <c r="C23" s="1" t="s">
        <v>22</v>
      </c>
      <c r="D23" s="1" t="s">
        <v>23</v>
      </c>
      <c r="E23" s="2" t="s">
        <v>68</v>
      </c>
      <c r="F23" s="61" t="s">
        <v>148</v>
      </c>
      <c r="G23" s="5" t="s">
        <v>145</v>
      </c>
      <c r="H23" s="10">
        <v>1</v>
      </c>
      <c r="I23" s="11">
        <v>1</v>
      </c>
      <c r="J23" s="11">
        <v>1</v>
      </c>
      <c r="K23" s="11">
        <v>1</v>
      </c>
      <c r="L23" s="68"/>
    </row>
    <row r="24" spans="1:12" x14ac:dyDescent="0.2">
      <c r="A24" s="18">
        <f t="shared" si="0"/>
        <v>22</v>
      </c>
      <c r="B24" s="11">
        <v>1</v>
      </c>
      <c r="C24" s="8" t="s">
        <v>47</v>
      </c>
      <c r="D24" s="8" t="s">
        <v>19</v>
      </c>
      <c r="E24" s="9" t="s">
        <v>140</v>
      </c>
      <c r="F24" s="32"/>
      <c r="G24" s="5" t="s">
        <v>57</v>
      </c>
      <c r="H24" s="10">
        <v>1</v>
      </c>
      <c r="I24" s="11"/>
      <c r="J24" s="11"/>
      <c r="K24" s="11"/>
      <c r="L24" s="6"/>
    </row>
    <row r="25" spans="1:12" x14ac:dyDescent="0.2">
      <c r="A25" s="18">
        <f t="shared" si="0"/>
        <v>23</v>
      </c>
      <c r="B25" s="3">
        <v>1</v>
      </c>
      <c r="C25" s="8" t="s">
        <v>89</v>
      </c>
      <c r="D25" s="8" t="s">
        <v>90</v>
      </c>
      <c r="E25" s="9" t="s">
        <v>91</v>
      </c>
      <c r="F25" s="32">
        <v>9253604907</v>
      </c>
      <c r="G25" s="5" t="s">
        <v>102</v>
      </c>
      <c r="H25" s="10">
        <v>1</v>
      </c>
      <c r="I25" s="11">
        <v>1</v>
      </c>
      <c r="J25" s="11"/>
      <c r="K25" s="11"/>
      <c r="L25" s="69"/>
    </row>
    <row r="26" spans="1:12" x14ac:dyDescent="0.2">
      <c r="A26" s="18">
        <f t="shared" si="0"/>
        <v>24</v>
      </c>
      <c r="B26" s="11">
        <v>1</v>
      </c>
      <c r="C26" s="8" t="s">
        <v>44</v>
      </c>
      <c r="D26" s="8" t="s">
        <v>45</v>
      </c>
      <c r="E26" s="9" t="s">
        <v>63</v>
      </c>
      <c r="F26" s="32">
        <v>5305180274</v>
      </c>
      <c r="G26" s="5" t="s">
        <v>54</v>
      </c>
      <c r="H26" s="10">
        <v>1</v>
      </c>
      <c r="I26" s="11">
        <v>1</v>
      </c>
      <c r="J26" s="11">
        <v>1</v>
      </c>
      <c r="K26" s="11"/>
      <c r="L26" s="69"/>
    </row>
    <row r="27" spans="1:12" x14ac:dyDescent="0.2">
      <c r="A27" s="18">
        <f t="shared" si="0"/>
        <v>25</v>
      </c>
      <c r="B27" s="11">
        <v>1</v>
      </c>
      <c r="C27" s="8" t="s">
        <v>115</v>
      </c>
      <c r="D27" s="8" t="s">
        <v>13</v>
      </c>
      <c r="E27" s="9" t="s">
        <v>114</v>
      </c>
      <c r="F27" s="32"/>
      <c r="G27" s="5"/>
      <c r="H27" s="10">
        <v>1</v>
      </c>
      <c r="I27" s="11"/>
      <c r="J27" s="11"/>
      <c r="K27" s="11"/>
      <c r="L27" s="68"/>
    </row>
    <row r="28" spans="1:12" x14ac:dyDescent="0.2">
      <c r="A28" s="18">
        <f t="shared" si="0"/>
        <v>26</v>
      </c>
      <c r="B28" s="3">
        <v>1</v>
      </c>
      <c r="C28" s="8" t="s">
        <v>82</v>
      </c>
      <c r="D28" s="8" t="s">
        <v>14</v>
      </c>
      <c r="E28" s="9" t="s">
        <v>83</v>
      </c>
      <c r="F28" s="7" t="s">
        <v>149</v>
      </c>
      <c r="G28" s="5" t="s">
        <v>145</v>
      </c>
      <c r="H28" s="3">
        <v>1</v>
      </c>
      <c r="I28" s="3"/>
      <c r="J28" s="3">
        <v>1</v>
      </c>
      <c r="K28" s="4"/>
      <c r="L28" s="69"/>
    </row>
    <row r="29" spans="1:12" x14ac:dyDescent="0.2">
      <c r="A29" s="18">
        <f t="shared" si="0"/>
        <v>27</v>
      </c>
      <c r="B29" s="11">
        <v>1</v>
      </c>
      <c r="C29" s="1" t="s">
        <v>16</v>
      </c>
      <c r="D29" s="1" t="s">
        <v>17</v>
      </c>
      <c r="E29" s="2" t="s">
        <v>67</v>
      </c>
      <c r="F29" s="33">
        <v>4084722020</v>
      </c>
      <c r="G29" s="26" t="s">
        <v>150</v>
      </c>
      <c r="H29" s="10">
        <v>1</v>
      </c>
      <c r="I29" s="11">
        <v>1</v>
      </c>
      <c r="J29" s="11">
        <v>1</v>
      </c>
      <c r="K29" s="11">
        <v>1</v>
      </c>
      <c r="L29" s="68"/>
    </row>
    <row r="30" spans="1:12" x14ac:dyDescent="0.2">
      <c r="A30" s="18">
        <f t="shared" si="0"/>
        <v>28</v>
      </c>
      <c r="B30" s="3">
        <v>1</v>
      </c>
      <c r="C30" s="7" t="s">
        <v>216</v>
      </c>
      <c r="D30" s="7" t="s">
        <v>87</v>
      </c>
      <c r="E30" s="31" t="s">
        <v>217</v>
      </c>
      <c r="F30" s="7"/>
      <c r="G30" s="5" t="s">
        <v>55</v>
      </c>
      <c r="H30" s="3"/>
      <c r="I30" s="3">
        <v>1</v>
      </c>
      <c r="J30" s="3"/>
      <c r="K30" s="4"/>
      <c r="L30" s="68"/>
    </row>
    <row r="31" spans="1:12" x14ac:dyDescent="0.2">
      <c r="A31" s="18">
        <f t="shared" si="0"/>
        <v>29</v>
      </c>
      <c r="B31" s="11">
        <v>1</v>
      </c>
      <c r="C31" s="8" t="s">
        <v>94</v>
      </c>
      <c r="D31" s="8" t="s">
        <v>95</v>
      </c>
      <c r="E31" s="9" t="s">
        <v>96</v>
      </c>
      <c r="F31" s="32">
        <v>5106819675</v>
      </c>
      <c r="G31" s="26" t="s">
        <v>151</v>
      </c>
      <c r="H31" s="10"/>
      <c r="I31" s="11"/>
      <c r="J31" s="11"/>
      <c r="K31" s="11"/>
      <c r="L31" s="68"/>
    </row>
    <row r="32" spans="1:12" x14ac:dyDescent="0.2">
      <c r="A32" s="18">
        <f t="shared" si="0"/>
        <v>30</v>
      </c>
      <c r="B32" s="3">
        <v>1</v>
      </c>
      <c r="C32" s="8" t="s">
        <v>51</v>
      </c>
      <c r="D32" s="8" t="s">
        <v>52</v>
      </c>
      <c r="E32" s="9" t="s">
        <v>76</v>
      </c>
      <c r="F32" s="32"/>
      <c r="G32" s="5" t="s">
        <v>103</v>
      </c>
      <c r="H32" s="3">
        <v>1</v>
      </c>
      <c r="I32" s="3"/>
      <c r="J32" s="3"/>
      <c r="K32" s="4"/>
      <c r="L32" s="6"/>
    </row>
    <row r="33" spans="1:12" x14ac:dyDescent="0.2">
      <c r="A33" s="18">
        <f t="shared" si="0"/>
        <v>31</v>
      </c>
      <c r="B33" s="11">
        <v>1</v>
      </c>
      <c r="C33" s="1" t="s">
        <v>84</v>
      </c>
      <c r="D33" s="5" t="s">
        <v>86</v>
      </c>
      <c r="E33" s="2" t="s">
        <v>85</v>
      </c>
      <c r="F33" s="32"/>
      <c r="G33" s="5" t="s">
        <v>93</v>
      </c>
      <c r="H33" s="10">
        <v>1</v>
      </c>
      <c r="I33" s="11"/>
      <c r="J33" s="11"/>
      <c r="K33" s="11"/>
      <c r="L33" s="68"/>
    </row>
    <row r="34" spans="1:12" x14ac:dyDescent="0.2">
      <c r="A34" s="18">
        <f t="shared" si="0"/>
        <v>32</v>
      </c>
      <c r="B34" s="3">
        <v>1</v>
      </c>
      <c r="C34" s="7" t="s">
        <v>218</v>
      </c>
      <c r="D34" s="7" t="s">
        <v>219</v>
      </c>
      <c r="E34" s="31" t="s">
        <v>220</v>
      </c>
      <c r="F34" s="7"/>
      <c r="G34" s="60" t="s">
        <v>221</v>
      </c>
      <c r="H34" s="10">
        <v>1</v>
      </c>
      <c r="I34" s="11"/>
      <c r="J34" s="11"/>
      <c r="K34" s="11"/>
      <c r="L34" s="68"/>
    </row>
    <row r="35" spans="1:12" x14ac:dyDescent="0.2">
      <c r="A35" s="18">
        <f t="shared" ref="A35:A62" si="1">ROW() - ROW(FRegentiresEneteredHdr)</f>
        <v>33</v>
      </c>
      <c r="B35" s="11">
        <v>1</v>
      </c>
      <c r="C35" s="7" t="s">
        <v>223</v>
      </c>
      <c r="D35" s="7" t="s">
        <v>23</v>
      </c>
      <c r="E35" s="31" t="s">
        <v>224</v>
      </c>
      <c r="F35" s="7"/>
      <c r="G35" s="60" t="s">
        <v>233</v>
      </c>
      <c r="H35" s="10">
        <v>1</v>
      </c>
      <c r="I35" s="11">
        <v>1</v>
      </c>
      <c r="J35" s="11">
        <v>1</v>
      </c>
      <c r="K35" s="11">
        <v>1</v>
      </c>
      <c r="L35" s="68"/>
    </row>
    <row r="36" spans="1:12" x14ac:dyDescent="0.2">
      <c r="A36" s="18">
        <f t="shared" si="1"/>
        <v>34</v>
      </c>
      <c r="B36" s="3">
        <v>1</v>
      </c>
      <c r="C36" s="1" t="s">
        <v>48</v>
      </c>
      <c r="D36" s="1" t="s">
        <v>49</v>
      </c>
      <c r="E36" s="2" t="s">
        <v>60</v>
      </c>
      <c r="F36" s="32"/>
      <c r="G36" s="5" t="s">
        <v>59</v>
      </c>
      <c r="H36" s="3">
        <v>1</v>
      </c>
      <c r="I36" s="3">
        <v>1</v>
      </c>
      <c r="J36" s="3">
        <v>1</v>
      </c>
      <c r="K36" s="4"/>
      <c r="L36" s="68"/>
    </row>
    <row r="37" spans="1:12" x14ac:dyDescent="0.2">
      <c r="A37" s="18">
        <f t="shared" si="1"/>
        <v>35</v>
      </c>
      <c r="B37" s="3">
        <v>1</v>
      </c>
      <c r="C37" s="7" t="s">
        <v>225</v>
      </c>
      <c r="D37" s="7" t="s">
        <v>143</v>
      </c>
      <c r="E37" s="31" t="s">
        <v>228</v>
      </c>
      <c r="F37" s="7"/>
      <c r="G37" s="7"/>
      <c r="H37" s="10">
        <v>1</v>
      </c>
      <c r="I37" s="11"/>
      <c r="J37" s="11"/>
      <c r="K37" s="11"/>
      <c r="L37" s="68"/>
    </row>
    <row r="38" spans="1:12" x14ac:dyDescent="0.2">
      <c r="A38" s="18">
        <f t="shared" si="1"/>
        <v>36</v>
      </c>
      <c r="B38" s="11">
        <v>1</v>
      </c>
      <c r="C38" s="1" t="s">
        <v>29</v>
      </c>
      <c r="D38" s="1" t="s">
        <v>5</v>
      </c>
      <c r="E38" s="2" t="s">
        <v>141</v>
      </c>
      <c r="F38" s="33">
        <v>7072242345</v>
      </c>
      <c r="G38" s="5" t="s">
        <v>104</v>
      </c>
      <c r="H38" s="10">
        <v>1</v>
      </c>
      <c r="I38" s="11">
        <v>1</v>
      </c>
      <c r="J38" s="11">
        <v>1</v>
      </c>
      <c r="K38" s="11">
        <v>1</v>
      </c>
      <c r="L38" s="68"/>
    </row>
    <row r="39" spans="1:12" x14ac:dyDescent="0.2">
      <c r="A39" s="18">
        <f t="shared" si="1"/>
        <v>37</v>
      </c>
      <c r="B39" s="3">
        <v>1</v>
      </c>
      <c r="C39" s="7" t="s">
        <v>226</v>
      </c>
      <c r="D39" s="7" t="s">
        <v>23</v>
      </c>
      <c r="E39" s="31" t="s">
        <v>227</v>
      </c>
      <c r="F39"/>
      <c r="G39" s="60" t="s">
        <v>232</v>
      </c>
      <c r="H39" s="3">
        <v>1</v>
      </c>
      <c r="I39" s="3"/>
      <c r="J39" s="3">
        <v>1</v>
      </c>
      <c r="K39" s="4"/>
      <c r="L39" s="68"/>
    </row>
    <row r="40" spans="1:12" x14ac:dyDescent="0.2">
      <c r="A40" s="18">
        <f t="shared" si="1"/>
        <v>38</v>
      </c>
      <c r="B40" s="11">
        <v>1</v>
      </c>
      <c r="C40" s="8" t="s">
        <v>111</v>
      </c>
      <c r="D40" s="8" t="s">
        <v>8</v>
      </c>
      <c r="E40" s="9" t="s">
        <v>112</v>
      </c>
      <c r="F40" s="32"/>
      <c r="G40" s="5" t="s">
        <v>113</v>
      </c>
      <c r="H40" s="10">
        <v>1</v>
      </c>
      <c r="I40" s="11"/>
      <c r="J40" s="11"/>
      <c r="K40" s="11"/>
      <c r="L40" s="70"/>
    </row>
    <row r="41" spans="1:12" x14ac:dyDescent="0.2">
      <c r="A41" s="18">
        <f t="shared" si="1"/>
        <v>39</v>
      </c>
      <c r="B41" s="3">
        <v>1</v>
      </c>
      <c r="C41" s="7" t="s">
        <v>229</v>
      </c>
      <c r="D41" s="7" t="s">
        <v>230</v>
      </c>
      <c r="E41" s="31" t="s">
        <v>215</v>
      </c>
      <c r="F41" s="7"/>
      <c r="G41" s="26" t="s">
        <v>231</v>
      </c>
      <c r="H41" s="3"/>
      <c r="I41" s="3"/>
      <c r="J41" s="3"/>
      <c r="K41" s="4"/>
      <c r="L41" s="68"/>
    </row>
    <row r="42" spans="1:12" x14ac:dyDescent="0.2">
      <c r="A42" s="18">
        <f t="shared" si="1"/>
        <v>40</v>
      </c>
      <c r="B42" s="3">
        <v>1</v>
      </c>
      <c r="C42" s="8" t="s">
        <v>109</v>
      </c>
      <c r="D42" s="8" t="s">
        <v>42</v>
      </c>
      <c r="E42" s="9"/>
      <c r="F42" s="32"/>
      <c r="G42" s="5" t="s">
        <v>110</v>
      </c>
      <c r="H42" s="3"/>
      <c r="I42" s="3"/>
      <c r="J42" s="3"/>
      <c r="K42" s="4"/>
      <c r="L42" s="68"/>
    </row>
    <row r="43" spans="1:12" x14ac:dyDescent="0.2">
      <c r="A43" s="18">
        <f t="shared" si="1"/>
        <v>41</v>
      </c>
      <c r="B43" s="3">
        <v>1</v>
      </c>
      <c r="C43" s="8" t="s">
        <v>119</v>
      </c>
      <c r="D43" s="8" t="s">
        <v>24</v>
      </c>
      <c r="E43" s="9" t="s">
        <v>120</v>
      </c>
      <c r="F43" s="32">
        <v>8057047967</v>
      </c>
      <c r="G43" s="5"/>
      <c r="H43" s="3"/>
      <c r="I43" s="3"/>
      <c r="J43" s="3"/>
      <c r="K43" s="4"/>
      <c r="L43" s="69"/>
    </row>
    <row r="44" spans="1:12" x14ac:dyDescent="0.2">
      <c r="A44" s="18">
        <f t="shared" si="1"/>
        <v>42</v>
      </c>
      <c r="B44" s="3">
        <v>1</v>
      </c>
      <c r="C44" s="7" t="s">
        <v>235</v>
      </c>
      <c r="D44" s="7" t="s">
        <v>19</v>
      </c>
      <c r="E44" s="31" t="s">
        <v>236</v>
      </c>
      <c r="F44" s="7"/>
      <c r="G44" s="7"/>
      <c r="H44" s="10"/>
      <c r="I44" s="11">
        <v>1</v>
      </c>
      <c r="J44" s="11"/>
      <c r="K44" s="11"/>
      <c r="L44" s="68"/>
    </row>
    <row r="45" spans="1:12" x14ac:dyDescent="0.2">
      <c r="A45" s="18">
        <f t="shared" si="1"/>
        <v>43</v>
      </c>
      <c r="B45" s="3">
        <v>1</v>
      </c>
      <c r="C45" s="1" t="s">
        <v>15</v>
      </c>
      <c r="D45" s="1" t="s">
        <v>5</v>
      </c>
      <c r="E45" s="2" t="s">
        <v>77</v>
      </c>
      <c r="F45" s="33">
        <v>5105046905</v>
      </c>
      <c r="G45" s="26" t="s">
        <v>152</v>
      </c>
      <c r="H45" s="3">
        <v>1</v>
      </c>
      <c r="I45" s="3">
        <v>1</v>
      </c>
      <c r="J45" s="3">
        <v>1</v>
      </c>
      <c r="K45" s="4">
        <v>1</v>
      </c>
      <c r="L45" s="68"/>
    </row>
    <row r="46" spans="1:12" x14ac:dyDescent="0.2">
      <c r="A46" s="18">
        <f t="shared" si="1"/>
        <v>44</v>
      </c>
      <c r="B46" s="11">
        <v>1</v>
      </c>
      <c r="C46" s="8" t="s">
        <v>79</v>
      </c>
      <c r="D46" s="8" t="s">
        <v>80</v>
      </c>
      <c r="E46" s="9" t="s">
        <v>81</v>
      </c>
      <c r="F46" s="77">
        <v>5302194729</v>
      </c>
      <c r="G46" s="26" t="s">
        <v>153</v>
      </c>
      <c r="H46" s="10">
        <v>1</v>
      </c>
      <c r="I46" s="10">
        <v>1</v>
      </c>
      <c r="J46" s="10">
        <v>1</v>
      </c>
      <c r="K46" s="10">
        <v>1</v>
      </c>
      <c r="L46" s="69"/>
    </row>
    <row r="47" spans="1:12" x14ac:dyDescent="0.2">
      <c r="A47" s="18">
        <f t="shared" si="1"/>
        <v>45</v>
      </c>
      <c r="B47" s="3">
        <v>1</v>
      </c>
      <c r="C47" s="7" t="s">
        <v>237</v>
      </c>
      <c r="D47" s="7" t="s">
        <v>32</v>
      </c>
      <c r="E47" s="31" t="s">
        <v>238</v>
      </c>
      <c r="F47" s="7"/>
      <c r="G47" s="26" t="s">
        <v>239</v>
      </c>
      <c r="H47" s="10">
        <v>1</v>
      </c>
      <c r="I47" s="11"/>
      <c r="J47" s="11"/>
      <c r="K47" s="11"/>
      <c r="L47" s="68"/>
    </row>
    <row r="48" spans="1:12" x14ac:dyDescent="0.2">
      <c r="A48" s="18">
        <f t="shared" si="1"/>
        <v>46</v>
      </c>
      <c r="B48" s="11">
        <v>1</v>
      </c>
      <c r="C48" s="8" t="s">
        <v>99</v>
      </c>
      <c r="D48" s="8" t="s">
        <v>21</v>
      </c>
      <c r="E48" s="9" t="s">
        <v>100</v>
      </c>
      <c r="F48" s="32">
        <v>7075991826</v>
      </c>
      <c r="G48" s="5" t="s">
        <v>105</v>
      </c>
      <c r="H48" s="10">
        <v>1</v>
      </c>
      <c r="I48" s="11">
        <v>1</v>
      </c>
      <c r="J48" s="11">
        <v>1</v>
      </c>
      <c r="K48" s="11">
        <v>1</v>
      </c>
      <c r="L48" s="68"/>
    </row>
    <row r="49" spans="1:12" x14ac:dyDescent="0.2">
      <c r="A49" s="18">
        <f t="shared" si="1"/>
        <v>47</v>
      </c>
      <c r="B49" s="11">
        <v>1</v>
      </c>
      <c r="C49" s="1" t="s">
        <v>20</v>
      </c>
      <c r="D49" s="1" t="s">
        <v>21</v>
      </c>
      <c r="E49" s="2" t="s">
        <v>70</v>
      </c>
      <c r="F49" s="76">
        <v>7075994605</v>
      </c>
      <c r="G49" s="7" t="s">
        <v>154</v>
      </c>
      <c r="H49" s="10">
        <v>1</v>
      </c>
      <c r="I49" s="11">
        <v>1</v>
      </c>
      <c r="J49" s="11">
        <v>1</v>
      </c>
      <c r="K49" s="11">
        <v>1</v>
      </c>
      <c r="L49" s="6"/>
    </row>
    <row r="50" spans="1:12" x14ac:dyDescent="0.2">
      <c r="A50" s="18">
        <f t="shared" si="1"/>
        <v>48</v>
      </c>
      <c r="B50" s="11">
        <v>1</v>
      </c>
      <c r="C50" s="7" t="s">
        <v>240</v>
      </c>
      <c r="D50" s="7" t="s">
        <v>5</v>
      </c>
      <c r="E50" s="7" t="s">
        <v>241</v>
      </c>
      <c r="F50"/>
      <c r="G50" s="7"/>
      <c r="H50" s="10"/>
      <c r="I50" s="11"/>
      <c r="J50" s="11"/>
      <c r="K50" s="11"/>
      <c r="L50" s="68"/>
    </row>
    <row r="51" spans="1:12" x14ac:dyDescent="0.2">
      <c r="A51" s="18">
        <f t="shared" si="1"/>
        <v>49</v>
      </c>
      <c r="B51" s="3">
        <v>1</v>
      </c>
      <c r="C51" s="8" t="s">
        <v>121</v>
      </c>
      <c r="D51" s="8" t="s">
        <v>132</v>
      </c>
      <c r="E51" s="9" t="s">
        <v>142</v>
      </c>
      <c r="F51" s="32">
        <v>2093653232</v>
      </c>
      <c r="G51" s="26" t="s">
        <v>155</v>
      </c>
      <c r="H51" s="3">
        <v>1</v>
      </c>
      <c r="I51" s="3">
        <v>1</v>
      </c>
      <c r="J51" s="3">
        <v>1</v>
      </c>
      <c r="K51" s="4">
        <v>1</v>
      </c>
      <c r="L51" s="68"/>
    </row>
    <row r="52" spans="1:12" x14ac:dyDescent="0.2">
      <c r="A52" s="18">
        <f t="shared" si="1"/>
        <v>50</v>
      </c>
      <c r="B52" s="11">
        <v>1</v>
      </c>
      <c r="C52" s="8" t="s">
        <v>122</v>
      </c>
      <c r="D52" s="8" t="s">
        <v>5</v>
      </c>
      <c r="E52" s="9" t="s">
        <v>123</v>
      </c>
      <c r="F52" s="31" t="s">
        <v>156</v>
      </c>
      <c r="G52" s="5" t="s">
        <v>157</v>
      </c>
      <c r="H52" s="10">
        <v>1</v>
      </c>
      <c r="I52" s="11">
        <v>1</v>
      </c>
      <c r="J52" s="11">
        <v>1</v>
      </c>
      <c r="K52" s="11"/>
      <c r="L52" s="70"/>
    </row>
    <row r="53" spans="1:12" x14ac:dyDescent="0.2">
      <c r="A53" s="18">
        <f t="shared" si="1"/>
        <v>51</v>
      </c>
      <c r="B53" s="11">
        <v>1</v>
      </c>
      <c r="C53" s="8" t="s">
        <v>124</v>
      </c>
      <c r="D53" s="8" t="s">
        <v>5</v>
      </c>
      <c r="E53" s="62" t="s">
        <v>125</v>
      </c>
      <c r="F53" s="32">
        <v>5303666465</v>
      </c>
      <c r="G53" s="26" t="s">
        <v>158</v>
      </c>
      <c r="H53" s="10">
        <v>1</v>
      </c>
      <c r="I53" s="11"/>
      <c r="J53" s="11">
        <v>1</v>
      </c>
      <c r="K53" s="11"/>
      <c r="L53" s="68"/>
    </row>
    <row r="54" spans="1:12" x14ac:dyDescent="0.2">
      <c r="A54" s="18">
        <f t="shared" si="1"/>
        <v>52</v>
      </c>
      <c r="B54" s="11">
        <v>1</v>
      </c>
      <c r="C54" s="7" t="s">
        <v>242</v>
      </c>
      <c r="D54" s="7" t="s">
        <v>9</v>
      </c>
      <c r="E54" s="7" t="s">
        <v>215</v>
      </c>
      <c r="F54" s="7"/>
      <c r="G54" s="26" t="s">
        <v>243</v>
      </c>
      <c r="H54" s="10"/>
      <c r="I54" s="11"/>
      <c r="J54" s="11"/>
      <c r="K54" s="11"/>
      <c r="L54" s="68"/>
    </row>
    <row r="55" spans="1:12" x14ac:dyDescent="0.25">
      <c r="A55" s="18">
        <f t="shared" si="1"/>
        <v>53</v>
      </c>
      <c r="B55" s="3">
        <v>1</v>
      </c>
      <c r="C55" s="1" t="s">
        <v>18</v>
      </c>
      <c r="D55" s="1" t="s">
        <v>5</v>
      </c>
      <c r="E55" s="2" t="s">
        <v>71</v>
      </c>
      <c r="F55" s="33">
        <v>7072524331</v>
      </c>
      <c r="G55" s="5" t="s">
        <v>106</v>
      </c>
      <c r="H55" s="3">
        <v>1</v>
      </c>
      <c r="I55" s="3">
        <v>1</v>
      </c>
      <c r="J55" s="3">
        <v>1</v>
      </c>
      <c r="K55" s="4"/>
    </row>
    <row r="56" spans="1:12" x14ac:dyDescent="0.25">
      <c r="A56" s="18">
        <f t="shared" si="1"/>
        <v>54</v>
      </c>
      <c r="B56" s="11">
        <v>1</v>
      </c>
      <c r="C56" s="1" t="s">
        <v>28</v>
      </c>
      <c r="D56" s="1" t="s">
        <v>5</v>
      </c>
      <c r="E56" s="2" t="s">
        <v>72</v>
      </c>
      <c r="F56" s="33" t="s">
        <v>159</v>
      </c>
      <c r="G56" s="5" t="s">
        <v>107</v>
      </c>
      <c r="H56" s="10">
        <v>1</v>
      </c>
      <c r="I56" s="11">
        <v>1</v>
      </c>
      <c r="J56" s="11">
        <v>1</v>
      </c>
      <c r="K56" s="11">
        <v>1</v>
      </c>
    </row>
    <row r="57" spans="1:12" x14ac:dyDescent="0.25">
      <c r="A57" s="18">
        <f t="shared" si="1"/>
        <v>55</v>
      </c>
      <c r="B57" s="3">
        <v>1</v>
      </c>
      <c r="C57" s="1" t="s">
        <v>33</v>
      </c>
      <c r="D57" s="1" t="s">
        <v>34</v>
      </c>
      <c r="E57" s="2" t="s">
        <v>62</v>
      </c>
      <c r="F57" s="33"/>
      <c r="G57" s="5" t="s">
        <v>108</v>
      </c>
      <c r="H57" s="4">
        <v>1</v>
      </c>
      <c r="I57" s="4"/>
      <c r="J57" s="4"/>
      <c r="K57" s="4"/>
    </row>
    <row r="58" spans="1:12" x14ac:dyDescent="0.25">
      <c r="A58" s="18">
        <f t="shared" si="1"/>
        <v>56</v>
      </c>
      <c r="B58" s="11">
        <v>1</v>
      </c>
      <c r="C58" s="1" t="s">
        <v>30</v>
      </c>
      <c r="D58" s="1" t="s">
        <v>31</v>
      </c>
      <c r="E58" s="2" t="s">
        <v>78</v>
      </c>
      <c r="F58" s="32"/>
      <c r="G58" s="5" t="s">
        <v>98</v>
      </c>
      <c r="H58" s="10"/>
      <c r="I58" s="11">
        <v>1</v>
      </c>
      <c r="J58" s="11">
        <v>1</v>
      </c>
      <c r="K58" s="11"/>
    </row>
    <row r="59" spans="1:12" x14ac:dyDescent="0.25">
      <c r="A59" s="18">
        <f t="shared" si="1"/>
        <v>57</v>
      </c>
      <c r="B59" s="3">
        <v>1</v>
      </c>
      <c r="C59" s="8" t="s">
        <v>126</v>
      </c>
      <c r="D59" s="8" t="s">
        <v>13</v>
      </c>
      <c r="E59" s="9" t="s">
        <v>133</v>
      </c>
      <c r="F59" s="32">
        <v>7075290228</v>
      </c>
      <c r="G59" s="26" t="s">
        <v>160</v>
      </c>
      <c r="H59" s="3"/>
      <c r="I59" s="3"/>
      <c r="J59" s="3"/>
      <c r="K59" s="4"/>
      <c r="L59" s="37"/>
    </row>
    <row r="60" spans="1:12" x14ac:dyDescent="0.25">
      <c r="A60" s="18">
        <f t="shared" si="1"/>
        <v>58</v>
      </c>
      <c r="B60" s="11">
        <v>1</v>
      </c>
      <c r="C60" s="8" t="s">
        <v>127</v>
      </c>
      <c r="D60" s="8" t="s">
        <v>5</v>
      </c>
      <c r="E60" s="9" t="s">
        <v>128</v>
      </c>
      <c r="F60" s="77">
        <v>7078150886</v>
      </c>
      <c r="G60" s="26" t="s">
        <v>161</v>
      </c>
      <c r="H60" s="10"/>
      <c r="I60" s="11">
        <v>1</v>
      </c>
      <c r="J60" s="11"/>
      <c r="K60" s="11"/>
    </row>
    <row r="61" spans="1:12" x14ac:dyDescent="0.25">
      <c r="A61" s="18">
        <f t="shared" si="1"/>
        <v>59</v>
      </c>
      <c r="B61" s="11">
        <v>1</v>
      </c>
      <c r="C61" s="7" t="s">
        <v>244</v>
      </c>
      <c r="D61" s="7" t="s">
        <v>245</v>
      </c>
      <c r="E61" s="7" t="s">
        <v>246</v>
      </c>
      <c r="F61" s="7"/>
      <c r="G61" s="7"/>
      <c r="H61" s="10">
        <v>1</v>
      </c>
      <c r="I61" s="11"/>
      <c r="J61" s="11"/>
      <c r="K61" s="11"/>
    </row>
    <row r="62" spans="1:12" x14ac:dyDescent="0.25">
      <c r="A62" s="18">
        <f t="shared" si="1"/>
        <v>60</v>
      </c>
      <c r="B62" s="11">
        <v>1</v>
      </c>
      <c r="C62" s="7" t="s">
        <v>247</v>
      </c>
      <c r="D62" s="7" t="s">
        <v>23</v>
      </c>
      <c r="E62" s="7" t="s">
        <v>248</v>
      </c>
      <c r="F62" s="7"/>
      <c r="G62" s="26" t="s">
        <v>249</v>
      </c>
      <c r="H62" s="10">
        <v>1</v>
      </c>
      <c r="I62" s="11">
        <v>1</v>
      </c>
      <c r="J62" s="11"/>
      <c r="K62" s="11"/>
    </row>
    <row r="63" spans="1:12" x14ac:dyDescent="0.25">
      <c r="A63" s="22"/>
    </row>
    <row r="64" spans="1:12" x14ac:dyDescent="0.25">
      <c r="A64" s="22"/>
    </row>
    <row r="65" spans="1:1" x14ac:dyDescent="0.25">
      <c r="A65" s="22"/>
    </row>
    <row r="66" spans="1:1" x14ac:dyDescent="0.25">
      <c r="A66" s="22"/>
    </row>
  </sheetData>
  <sheetProtection selectLockedCells="1"/>
  <sortState xmlns:xlrd2="http://schemas.microsoft.com/office/spreadsheetml/2017/richdata2" ref="A3:L62">
    <sortCondition descending="1" ref="B3:B62"/>
  </sortState>
  <dataConsolidate/>
  <hyperlinks>
    <hyperlink ref="G3" r:id="rId1" xr:uid="{00000000-0004-0000-0200-000000000000}"/>
    <hyperlink ref="G11" r:id="rId2" xr:uid="{00000000-0004-0000-0200-000001000000}"/>
    <hyperlink ref="G17" r:id="rId3" xr:uid="{00000000-0004-0000-0200-000002000000}"/>
    <hyperlink ref="G29" r:id="rId4" xr:uid="{00000000-0004-0000-0200-000003000000}"/>
    <hyperlink ref="G31" r:id="rId5" xr:uid="{00000000-0004-0000-0200-000004000000}"/>
    <hyperlink ref="G45" r:id="rId6" xr:uid="{00000000-0004-0000-0200-000005000000}"/>
    <hyperlink ref="G46" r:id="rId7" xr:uid="{00000000-0004-0000-0200-000006000000}"/>
    <hyperlink ref="G51" r:id="rId8" xr:uid="{00000000-0004-0000-0200-000007000000}"/>
    <hyperlink ref="G53" r:id="rId9" xr:uid="{00000000-0004-0000-0200-000008000000}"/>
    <hyperlink ref="G59" r:id="rId10" xr:uid="{00000000-0004-0000-0200-000009000000}"/>
    <hyperlink ref="G60" r:id="rId11" xr:uid="{00000000-0004-0000-0200-00000A000000}"/>
    <hyperlink ref="G34" r:id="rId12" xr:uid="{00000000-0004-0000-0200-00000B000000}"/>
    <hyperlink ref="G21" r:id="rId13" xr:uid="{00000000-0004-0000-0200-00000C000000}"/>
    <hyperlink ref="G41" r:id="rId14" xr:uid="{00000000-0004-0000-0200-00000D000000}"/>
    <hyperlink ref="G39" r:id="rId15" xr:uid="{00000000-0004-0000-0200-00000E000000}"/>
    <hyperlink ref="G35" r:id="rId16" xr:uid="{00000000-0004-0000-0200-00000F000000}"/>
    <hyperlink ref="G22" r:id="rId17" xr:uid="{00000000-0004-0000-0200-000010000000}"/>
    <hyperlink ref="G47" r:id="rId18" xr:uid="{00000000-0004-0000-0200-000011000000}"/>
    <hyperlink ref="G54" r:id="rId19" xr:uid="{00000000-0004-0000-0200-000012000000}"/>
    <hyperlink ref="G62" r:id="rId20" xr:uid="{00000000-0004-0000-0200-000013000000}"/>
  </hyperlinks>
  <pageMargins left="0.25" right="0.25" top="0.75" bottom="0.75" header="0.3" footer="0.3"/>
  <pageSetup orientation="landscape" r:id="rId21"/>
  <drawing r:id="rId22"/>
  <legacyDrawing r:id="rId2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24" name="WhoAmI">
              <controlPr defaultSize="0" print="0" autoFill="0" autoPict="0" macro="[0]!Sheet1.WhoAmI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100"/>
  <sheetViews>
    <sheetView workbookViewId="0">
      <selection activeCell="D10" sqref="D10:J30"/>
    </sheetView>
  </sheetViews>
  <sheetFormatPr defaultColWidth="8.85546875" defaultRowHeight="15" x14ac:dyDescent="0.25"/>
  <cols>
    <col min="1" max="1" width="24.28515625" customWidth="1"/>
    <col min="2" max="2" width="22.140625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">
      <c r="J3" s="39"/>
      <c r="K3" s="39"/>
      <c r="L3" s="62"/>
    </row>
    <row r="7" spans="1:12" ht="21" x14ac:dyDescent="0.25">
      <c r="A7" s="20" t="s">
        <v>196</v>
      </c>
    </row>
    <row r="8" spans="1:12" x14ac:dyDescent="0.2">
      <c r="K8" s="29"/>
    </row>
    <row r="9" spans="1:12" ht="32.1" x14ac:dyDescent="0.2">
      <c r="A9" s="15" t="s">
        <v>0</v>
      </c>
      <c r="B9" s="16" t="s">
        <v>1</v>
      </c>
      <c r="C9" s="17" t="s">
        <v>2</v>
      </c>
      <c r="D9" s="14" t="s">
        <v>36</v>
      </c>
      <c r="E9" s="14" t="s">
        <v>37</v>
      </c>
      <c r="F9" s="14" t="s">
        <v>38</v>
      </c>
      <c r="G9" s="14" t="s">
        <v>39</v>
      </c>
      <c r="H9" s="14" t="s">
        <v>3</v>
      </c>
      <c r="I9" s="14" t="s">
        <v>35</v>
      </c>
      <c r="J9" s="14" t="s">
        <v>4</v>
      </c>
      <c r="K9" s="25" t="s">
        <v>40</v>
      </c>
      <c r="L9" s="28" t="s">
        <v>41</v>
      </c>
    </row>
    <row r="10" spans="1:12" x14ac:dyDescent="0.2">
      <c r="A10" s="54" t="s">
        <v>255</v>
      </c>
      <c r="B10" s="5"/>
      <c r="C10" s="4" t="s">
        <v>197</v>
      </c>
      <c r="D10" s="10">
        <v>1</v>
      </c>
      <c r="E10" s="11">
        <v>1</v>
      </c>
      <c r="F10" s="11">
        <v>1</v>
      </c>
      <c r="G10" s="11">
        <v>1</v>
      </c>
      <c r="H10" s="11"/>
      <c r="I10" s="11"/>
      <c r="J10" s="11">
        <v>1</v>
      </c>
      <c r="K10" s="27"/>
      <c r="L10" s="54"/>
    </row>
    <row r="11" spans="1:12" x14ac:dyDescent="0.2">
      <c r="A11" s="54" t="s">
        <v>198</v>
      </c>
      <c r="B11" s="54" t="s">
        <v>199</v>
      </c>
      <c r="C11" s="67" t="s">
        <v>200</v>
      </c>
      <c r="D11" s="10">
        <v>1</v>
      </c>
      <c r="E11" s="10">
        <v>1</v>
      </c>
      <c r="F11" s="10">
        <v>1</v>
      </c>
      <c r="G11" s="10"/>
      <c r="H11" s="11"/>
      <c r="I11" s="11"/>
      <c r="J11" s="11">
        <v>1</v>
      </c>
      <c r="K11" s="27"/>
      <c r="L11" s="54"/>
    </row>
    <row r="12" spans="1:12" x14ac:dyDescent="0.2">
      <c r="A12" s="54" t="s">
        <v>201</v>
      </c>
      <c r="B12" s="54" t="s">
        <v>202</v>
      </c>
      <c r="C12" s="67" t="s">
        <v>203</v>
      </c>
      <c r="D12" s="10">
        <v>1</v>
      </c>
      <c r="E12" s="11">
        <v>1</v>
      </c>
      <c r="F12" s="11">
        <v>1</v>
      </c>
      <c r="G12" s="11">
        <v>1</v>
      </c>
      <c r="H12" s="11">
        <v>1</v>
      </c>
      <c r="I12" s="11"/>
      <c r="J12" s="11">
        <v>1</v>
      </c>
      <c r="K12" s="27"/>
      <c r="L12" s="54"/>
    </row>
    <row r="13" spans="1:12" x14ac:dyDescent="0.2">
      <c r="A13" s="54" t="s">
        <v>206</v>
      </c>
      <c r="B13" s="54" t="s">
        <v>88</v>
      </c>
      <c r="C13" s="67" t="s">
        <v>207</v>
      </c>
      <c r="D13" s="10">
        <v>1</v>
      </c>
      <c r="E13" s="11">
        <v>1</v>
      </c>
      <c r="F13" s="11">
        <v>1</v>
      </c>
      <c r="G13" s="11"/>
      <c r="H13" s="11">
        <v>1</v>
      </c>
      <c r="I13" s="11"/>
      <c r="J13" s="11">
        <v>1</v>
      </c>
      <c r="K13" s="27"/>
      <c r="L13" s="54"/>
    </row>
    <row r="14" spans="1:12" x14ac:dyDescent="0.2">
      <c r="A14" s="1" t="s">
        <v>26</v>
      </c>
      <c r="B14" s="1" t="s">
        <v>12</v>
      </c>
      <c r="C14" s="2" t="s">
        <v>64</v>
      </c>
      <c r="D14" s="3">
        <v>1</v>
      </c>
      <c r="E14" s="3"/>
      <c r="F14" s="3">
        <v>1</v>
      </c>
      <c r="G14" s="4"/>
      <c r="H14" s="4">
        <v>1</v>
      </c>
      <c r="I14" s="4">
        <v>1</v>
      </c>
      <c r="J14" s="4">
        <v>1</v>
      </c>
      <c r="K14" s="27"/>
      <c r="L14" s="54"/>
    </row>
    <row r="15" spans="1:12" x14ac:dyDescent="0.2">
      <c r="A15" s="54" t="s">
        <v>210</v>
      </c>
      <c r="B15" s="54" t="s">
        <v>134</v>
      </c>
      <c r="C15" s="67" t="s">
        <v>211</v>
      </c>
      <c r="D15" s="10">
        <v>1</v>
      </c>
      <c r="E15" s="11"/>
      <c r="F15" s="11"/>
      <c r="G15" s="11"/>
      <c r="H15" s="11"/>
      <c r="I15" s="11"/>
      <c r="J15" s="11">
        <v>1</v>
      </c>
      <c r="K15" s="27"/>
      <c r="L15" s="54"/>
    </row>
    <row r="16" spans="1:12" x14ac:dyDescent="0.2">
      <c r="A16" s="54" t="s">
        <v>212</v>
      </c>
      <c r="B16" s="54" t="s">
        <v>8</v>
      </c>
      <c r="C16" s="67" t="s">
        <v>213</v>
      </c>
      <c r="D16" s="10">
        <v>1</v>
      </c>
      <c r="E16" s="11"/>
      <c r="F16" s="11">
        <v>1</v>
      </c>
      <c r="G16" s="11"/>
      <c r="H16" s="11"/>
      <c r="I16" s="11"/>
      <c r="J16" s="11">
        <v>1</v>
      </c>
      <c r="K16" s="27"/>
      <c r="L16" s="54"/>
    </row>
    <row r="17" spans="1:12" x14ac:dyDescent="0.2">
      <c r="A17" s="8" t="s">
        <v>82</v>
      </c>
      <c r="B17" s="8" t="s">
        <v>14</v>
      </c>
      <c r="C17" s="9" t="s">
        <v>83</v>
      </c>
      <c r="D17" s="3">
        <v>1</v>
      </c>
      <c r="E17" s="3"/>
      <c r="F17" s="3">
        <v>1</v>
      </c>
      <c r="G17" s="4"/>
      <c r="H17" s="4"/>
      <c r="I17" s="4"/>
      <c r="J17" s="4">
        <v>1</v>
      </c>
      <c r="K17" s="27"/>
      <c r="L17" s="54"/>
    </row>
    <row r="18" spans="1:12" x14ac:dyDescent="0.2">
      <c r="A18" s="54" t="s">
        <v>216</v>
      </c>
      <c r="B18" s="54" t="s">
        <v>87</v>
      </c>
      <c r="C18" s="67" t="s">
        <v>217</v>
      </c>
      <c r="D18" s="3"/>
      <c r="E18" s="3">
        <v>1</v>
      </c>
      <c r="F18" s="3"/>
      <c r="G18" s="4"/>
      <c r="H18" s="4"/>
      <c r="I18" s="4">
        <v>1</v>
      </c>
      <c r="J18" s="4">
        <v>1</v>
      </c>
      <c r="K18" s="27"/>
      <c r="L18" s="54"/>
    </row>
    <row r="19" spans="1:12" x14ac:dyDescent="0.2">
      <c r="A19" s="8" t="s">
        <v>51</v>
      </c>
      <c r="B19" s="8" t="s">
        <v>52</v>
      </c>
      <c r="C19" s="9" t="s">
        <v>76</v>
      </c>
      <c r="D19" s="3">
        <v>1</v>
      </c>
      <c r="E19" s="3"/>
      <c r="F19" s="3"/>
      <c r="G19" s="4"/>
      <c r="H19" s="4">
        <v>1</v>
      </c>
      <c r="I19" s="4">
        <v>1</v>
      </c>
      <c r="J19" s="4">
        <v>1</v>
      </c>
      <c r="K19" s="27"/>
      <c r="L19" s="54"/>
    </row>
    <row r="20" spans="1:12" x14ac:dyDescent="0.2">
      <c r="A20" s="1" t="s">
        <v>84</v>
      </c>
      <c r="B20" s="5" t="s">
        <v>86</v>
      </c>
      <c r="C20" s="2" t="s">
        <v>85</v>
      </c>
      <c r="D20" s="10">
        <v>1</v>
      </c>
      <c r="E20" s="11"/>
      <c r="F20" s="11"/>
      <c r="G20" s="11"/>
      <c r="H20" s="11">
        <v>1</v>
      </c>
      <c r="I20" s="11"/>
      <c r="J20" s="11">
        <v>1</v>
      </c>
      <c r="K20" s="27"/>
      <c r="L20" s="54"/>
    </row>
    <row r="21" spans="1:12" x14ac:dyDescent="0.2">
      <c r="A21" s="54" t="s">
        <v>218</v>
      </c>
      <c r="B21" s="54" t="s">
        <v>219</v>
      </c>
      <c r="C21" s="67" t="s">
        <v>220</v>
      </c>
      <c r="D21" s="10">
        <v>1</v>
      </c>
      <c r="E21" s="11"/>
      <c r="F21" s="11"/>
      <c r="G21" s="11"/>
      <c r="H21" s="11"/>
      <c r="I21" s="11"/>
      <c r="J21" s="11">
        <v>1</v>
      </c>
      <c r="K21" s="27"/>
      <c r="L21" s="54"/>
    </row>
    <row r="22" spans="1:12" x14ac:dyDescent="0.2">
      <c r="A22" s="54" t="s">
        <v>223</v>
      </c>
      <c r="B22" s="54" t="s">
        <v>23</v>
      </c>
      <c r="C22" s="67" t="s">
        <v>224</v>
      </c>
      <c r="D22" s="10">
        <v>1</v>
      </c>
      <c r="E22" s="11">
        <v>1</v>
      </c>
      <c r="F22" s="11">
        <v>1</v>
      </c>
      <c r="G22" s="11">
        <v>1</v>
      </c>
      <c r="H22" s="11">
        <v>1</v>
      </c>
      <c r="I22" s="11"/>
      <c r="J22" s="11">
        <v>1</v>
      </c>
      <c r="K22" s="27"/>
      <c r="L22" s="54"/>
    </row>
    <row r="23" spans="1:12" x14ac:dyDescent="0.2">
      <c r="A23" s="54" t="s">
        <v>225</v>
      </c>
      <c r="B23" s="54" t="s">
        <v>143</v>
      </c>
      <c r="C23" s="67" t="s">
        <v>228</v>
      </c>
      <c r="D23" s="10">
        <v>1</v>
      </c>
      <c r="E23" s="11"/>
      <c r="F23" s="11"/>
      <c r="G23" s="11"/>
      <c r="H23" s="11"/>
      <c r="I23" s="11"/>
      <c r="J23" s="11">
        <v>1</v>
      </c>
      <c r="K23" s="27"/>
      <c r="L23" s="54"/>
    </row>
    <row r="24" spans="1:12" x14ac:dyDescent="0.2">
      <c r="A24" s="54" t="s">
        <v>226</v>
      </c>
      <c r="B24" s="54" t="s">
        <v>23</v>
      </c>
      <c r="C24" s="67" t="s">
        <v>227</v>
      </c>
      <c r="D24" s="3">
        <v>1</v>
      </c>
      <c r="E24" s="3"/>
      <c r="F24" s="3">
        <v>1</v>
      </c>
      <c r="G24" s="4"/>
      <c r="H24" s="4">
        <v>1</v>
      </c>
      <c r="I24" s="4"/>
      <c r="J24" s="4">
        <v>1</v>
      </c>
      <c r="K24" s="27"/>
      <c r="L24" s="54"/>
    </row>
    <row r="25" spans="1:12" x14ac:dyDescent="0.2">
      <c r="A25" s="8" t="s">
        <v>119</v>
      </c>
      <c r="B25" s="8" t="s">
        <v>24</v>
      </c>
      <c r="C25" s="9" t="s">
        <v>120</v>
      </c>
      <c r="D25" s="3"/>
      <c r="E25" s="3"/>
      <c r="F25" s="3"/>
      <c r="G25" s="4"/>
      <c r="H25" s="4"/>
      <c r="I25" s="4"/>
      <c r="J25" s="4">
        <v>1</v>
      </c>
      <c r="K25" s="27"/>
      <c r="L25" s="54"/>
    </row>
    <row r="26" spans="1:12" x14ac:dyDescent="0.2">
      <c r="A26" s="54" t="s">
        <v>237</v>
      </c>
      <c r="B26" s="54" t="s">
        <v>32</v>
      </c>
      <c r="C26" s="67" t="s">
        <v>238</v>
      </c>
      <c r="D26" s="10">
        <v>1</v>
      </c>
      <c r="E26" s="11"/>
      <c r="F26" s="11"/>
      <c r="G26" s="11"/>
      <c r="H26" s="11"/>
      <c r="I26" s="11"/>
      <c r="J26" s="11">
        <v>1</v>
      </c>
      <c r="K26" s="27"/>
      <c r="L26" s="54"/>
    </row>
    <row r="27" spans="1:12" x14ac:dyDescent="0.2">
      <c r="A27" s="54" t="s">
        <v>240</v>
      </c>
      <c r="B27" s="54" t="s">
        <v>5</v>
      </c>
      <c r="C27" s="54" t="s">
        <v>241</v>
      </c>
      <c r="D27" s="10"/>
      <c r="E27" s="11"/>
      <c r="F27" s="11"/>
      <c r="G27" s="11"/>
      <c r="H27" s="11"/>
      <c r="I27" s="11"/>
      <c r="J27" s="11">
        <v>1</v>
      </c>
      <c r="K27" s="27"/>
      <c r="L27" s="54"/>
    </row>
    <row r="28" spans="1:12" x14ac:dyDescent="0.2">
      <c r="A28" s="8" t="s">
        <v>121</v>
      </c>
      <c r="B28" s="8" t="s">
        <v>132</v>
      </c>
      <c r="C28" s="9" t="s">
        <v>142</v>
      </c>
      <c r="D28" s="3">
        <v>1</v>
      </c>
      <c r="E28" s="3">
        <v>1</v>
      </c>
      <c r="F28" s="3">
        <v>1</v>
      </c>
      <c r="G28" s="4">
        <v>1</v>
      </c>
      <c r="H28" s="4">
        <v>1</v>
      </c>
      <c r="I28" s="4"/>
      <c r="J28" s="4">
        <v>1</v>
      </c>
      <c r="K28" s="27"/>
      <c r="L28" s="54"/>
    </row>
    <row r="29" spans="1:12" x14ac:dyDescent="0.2">
      <c r="A29" s="8" t="s">
        <v>122</v>
      </c>
      <c r="B29" s="8" t="s">
        <v>5</v>
      </c>
      <c r="C29" s="9" t="s">
        <v>123</v>
      </c>
      <c r="D29" s="10">
        <v>1</v>
      </c>
      <c r="E29" s="11">
        <v>1</v>
      </c>
      <c r="F29" s="11">
        <v>1</v>
      </c>
      <c r="G29" s="11"/>
      <c r="H29" s="11"/>
      <c r="I29" s="11"/>
      <c r="J29" s="11">
        <v>1</v>
      </c>
      <c r="K29" s="27"/>
      <c r="L29" s="54"/>
    </row>
    <row r="30" spans="1:12" x14ac:dyDescent="0.2">
      <c r="A30" s="1" t="s">
        <v>33</v>
      </c>
      <c r="B30" s="1" t="s">
        <v>34</v>
      </c>
      <c r="C30" s="2" t="s">
        <v>62</v>
      </c>
      <c r="D30" s="4">
        <v>1</v>
      </c>
      <c r="E30" s="4"/>
      <c r="F30" s="4"/>
      <c r="G30" s="4"/>
      <c r="H30" s="4"/>
      <c r="I30" s="4"/>
      <c r="J30" s="4">
        <v>1</v>
      </c>
      <c r="K30" s="27"/>
      <c r="L30" s="54"/>
    </row>
    <row r="31" spans="1:12" x14ac:dyDescent="0.2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27"/>
      <c r="L31" s="54"/>
    </row>
    <row r="32" spans="1:12" x14ac:dyDescent="0.2">
      <c r="A32" s="54"/>
      <c r="B32" s="54"/>
      <c r="C32" s="54"/>
      <c r="D32" s="54"/>
      <c r="E32" s="54"/>
      <c r="F32" s="54"/>
      <c r="G32" s="54"/>
      <c r="H32" s="54"/>
      <c r="I32" s="54"/>
      <c r="J32" s="54"/>
      <c r="K32" s="27"/>
      <c r="L32" s="54"/>
    </row>
    <row r="33" spans="1:12" x14ac:dyDescent="0.2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27"/>
      <c r="L33" s="54"/>
    </row>
    <row r="34" spans="1:12" x14ac:dyDescent="0.25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27"/>
      <c r="L34" s="54"/>
    </row>
    <row r="35" spans="1:12" x14ac:dyDescent="0.25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27"/>
      <c r="L35" s="54"/>
    </row>
    <row r="36" spans="1:12" x14ac:dyDescent="0.25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27"/>
      <c r="L36" s="54"/>
    </row>
    <row r="37" spans="1:12" x14ac:dyDescent="0.25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27"/>
      <c r="L37" s="54"/>
    </row>
    <row r="38" spans="1:12" x14ac:dyDescent="0.25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27"/>
      <c r="L38" s="54"/>
    </row>
    <row r="39" spans="1:12" x14ac:dyDescent="0.25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27"/>
      <c r="L39" s="54"/>
    </row>
    <row r="40" spans="1:12" x14ac:dyDescent="0.25">
      <c r="A40" s="54"/>
      <c r="B40" s="54"/>
      <c r="C40" s="54"/>
      <c r="D40" s="54"/>
      <c r="E40" s="54"/>
      <c r="F40" s="54"/>
      <c r="G40" s="54"/>
      <c r="H40" s="54"/>
      <c r="I40" s="54"/>
      <c r="J40" s="54"/>
      <c r="K40" s="27"/>
      <c r="L40" s="54"/>
    </row>
    <row r="41" spans="1:12" x14ac:dyDescent="0.25">
      <c r="A41" s="54"/>
      <c r="B41" s="54"/>
      <c r="C41" s="54"/>
      <c r="D41" s="54"/>
      <c r="E41" s="54"/>
      <c r="F41" s="54"/>
      <c r="G41" s="54"/>
      <c r="H41" s="54"/>
      <c r="I41" s="54"/>
      <c r="J41" s="54"/>
      <c r="K41" s="27"/>
      <c r="L41" s="54"/>
    </row>
    <row r="42" spans="1:12" x14ac:dyDescent="0.25">
      <c r="A42" s="54"/>
      <c r="B42" s="54"/>
      <c r="C42" s="54"/>
      <c r="D42" s="54"/>
      <c r="E42" s="54"/>
      <c r="F42" s="54"/>
      <c r="G42" s="54"/>
      <c r="H42" s="54"/>
      <c r="I42" s="54"/>
      <c r="J42" s="54"/>
      <c r="K42" s="27"/>
      <c r="L42" s="54"/>
    </row>
    <row r="43" spans="1:12" x14ac:dyDescent="0.25">
      <c r="A43" s="54"/>
      <c r="B43" s="54"/>
      <c r="C43" s="54"/>
      <c r="D43" s="54"/>
      <c r="E43" s="54"/>
      <c r="F43" s="54"/>
      <c r="G43" s="54"/>
      <c r="H43" s="54"/>
      <c r="I43" s="54"/>
      <c r="J43" s="54"/>
      <c r="K43" s="27"/>
      <c r="L43" s="54"/>
    </row>
    <row r="44" spans="1:12" x14ac:dyDescent="0.25">
      <c r="A44" s="54"/>
      <c r="B44" s="54"/>
      <c r="C44" s="54"/>
      <c r="D44" s="54"/>
      <c r="E44" s="54"/>
      <c r="F44" s="54"/>
      <c r="G44" s="54"/>
      <c r="H44" s="54"/>
      <c r="I44" s="54"/>
      <c r="J44" s="54"/>
      <c r="K44" s="27"/>
      <c r="L44" s="54"/>
    </row>
    <row r="45" spans="1:12" x14ac:dyDescent="0.25">
      <c r="A45" s="54"/>
      <c r="B45" s="54"/>
      <c r="C45" s="54"/>
      <c r="D45" s="54"/>
      <c r="E45" s="54"/>
      <c r="F45" s="54"/>
      <c r="G45" s="54"/>
      <c r="H45" s="54"/>
      <c r="I45" s="54"/>
      <c r="J45" s="54"/>
      <c r="K45" s="27"/>
      <c r="L45" s="54"/>
    </row>
    <row r="46" spans="1:12" x14ac:dyDescent="0.25">
      <c r="A46" s="54"/>
      <c r="B46" s="54"/>
      <c r="C46" s="54"/>
      <c r="D46" s="54"/>
      <c r="E46" s="54"/>
      <c r="F46" s="54"/>
      <c r="G46" s="54"/>
      <c r="H46" s="54"/>
      <c r="I46" s="54"/>
      <c r="J46" s="54"/>
      <c r="K46" s="27"/>
      <c r="L46" s="54"/>
    </row>
    <row r="47" spans="1:12" x14ac:dyDescent="0.25">
      <c r="A47" s="54"/>
      <c r="B47" s="54"/>
      <c r="C47" s="54"/>
      <c r="D47" s="54"/>
      <c r="E47" s="54"/>
      <c r="F47" s="54"/>
      <c r="G47" s="54"/>
      <c r="H47" s="54"/>
      <c r="I47" s="54"/>
      <c r="J47" s="54"/>
      <c r="K47" s="27"/>
      <c r="L47" s="54"/>
    </row>
    <row r="48" spans="1:12" x14ac:dyDescent="0.25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27"/>
      <c r="L48" s="54"/>
    </row>
    <row r="49" spans="1:12" x14ac:dyDescent="0.25">
      <c r="A49" s="54"/>
      <c r="B49" s="54"/>
      <c r="C49" s="54"/>
      <c r="D49" s="54"/>
      <c r="E49" s="54"/>
      <c r="F49" s="54"/>
      <c r="G49" s="54"/>
      <c r="H49" s="54"/>
      <c r="I49" s="54"/>
      <c r="J49" s="54"/>
      <c r="K49" s="27"/>
      <c r="L49" s="54"/>
    </row>
    <row r="50" spans="1:12" x14ac:dyDescent="0.25">
      <c r="A50" s="54"/>
      <c r="B50" s="54"/>
      <c r="C50" s="54"/>
      <c r="D50" s="54"/>
      <c r="E50" s="54"/>
      <c r="F50" s="54"/>
      <c r="G50" s="54"/>
      <c r="H50" s="54"/>
      <c r="I50" s="54"/>
      <c r="J50" s="54"/>
      <c r="K50" s="27"/>
      <c r="L50" s="54"/>
    </row>
    <row r="51" spans="1:12" x14ac:dyDescent="0.25">
      <c r="L51" s="55"/>
    </row>
    <row r="52" spans="1:12" x14ac:dyDescent="0.25">
      <c r="L52" s="55"/>
    </row>
    <row r="53" spans="1:12" x14ac:dyDescent="0.25">
      <c r="L53" s="55"/>
    </row>
    <row r="54" spans="1:12" x14ac:dyDescent="0.25">
      <c r="L54" s="55"/>
    </row>
    <row r="55" spans="1:12" x14ac:dyDescent="0.25">
      <c r="L55" s="55"/>
    </row>
    <row r="56" spans="1:12" x14ac:dyDescent="0.25">
      <c r="L56" s="55"/>
    </row>
    <row r="57" spans="1:12" x14ac:dyDescent="0.25">
      <c r="L57" s="55"/>
    </row>
    <row r="58" spans="1:12" x14ac:dyDescent="0.25">
      <c r="L58" s="55"/>
    </row>
    <row r="59" spans="1:12" x14ac:dyDescent="0.25">
      <c r="L59" s="55"/>
    </row>
    <row r="60" spans="1:12" x14ac:dyDescent="0.25">
      <c r="L60" s="55"/>
    </row>
    <row r="61" spans="1:12" x14ac:dyDescent="0.25">
      <c r="L61" s="55"/>
    </row>
    <row r="62" spans="1:12" x14ac:dyDescent="0.25">
      <c r="L62" s="55"/>
    </row>
    <row r="63" spans="1:12" x14ac:dyDescent="0.25">
      <c r="L63" s="55"/>
    </row>
    <row r="64" spans="1:12" x14ac:dyDescent="0.25">
      <c r="L64" s="55"/>
    </row>
    <row r="65" spans="12:12" x14ac:dyDescent="0.25">
      <c r="L65" s="55"/>
    </row>
    <row r="66" spans="12:12" x14ac:dyDescent="0.25">
      <c r="L66" s="55"/>
    </row>
    <row r="67" spans="12:12" x14ac:dyDescent="0.25">
      <c r="L67" s="55"/>
    </row>
    <row r="68" spans="12:12" x14ac:dyDescent="0.25">
      <c r="L68" s="55"/>
    </row>
    <row r="69" spans="12:12" x14ac:dyDescent="0.25">
      <c r="L69" s="55"/>
    </row>
    <row r="70" spans="12:12" x14ac:dyDescent="0.25">
      <c r="L70" s="55"/>
    </row>
    <row r="71" spans="12:12" x14ac:dyDescent="0.25">
      <c r="L71" s="55"/>
    </row>
    <row r="72" spans="12:12" x14ac:dyDescent="0.25">
      <c r="L72" s="55"/>
    </row>
    <row r="73" spans="12:12" x14ac:dyDescent="0.25">
      <c r="L73" s="55"/>
    </row>
    <row r="74" spans="12:12" x14ac:dyDescent="0.25">
      <c r="L74" s="55"/>
    </row>
    <row r="75" spans="12:12" x14ac:dyDescent="0.25">
      <c r="L75" s="55"/>
    </row>
    <row r="76" spans="12:12" x14ac:dyDescent="0.25">
      <c r="L76" s="55"/>
    </row>
    <row r="77" spans="12:12" x14ac:dyDescent="0.25">
      <c r="L77" s="55"/>
    </row>
    <row r="78" spans="12:12" x14ac:dyDescent="0.25">
      <c r="L78" s="55"/>
    </row>
    <row r="79" spans="12:12" x14ac:dyDescent="0.25">
      <c r="L79" s="55"/>
    </row>
    <row r="80" spans="12:12" x14ac:dyDescent="0.25">
      <c r="L80" s="55"/>
    </row>
    <row r="81" spans="12:12" x14ac:dyDescent="0.25">
      <c r="L81" s="55"/>
    </row>
    <row r="82" spans="12:12" x14ac:dyDescent="0.25">
      <c r="L82" s="55"/>
    </row>
    <row r="83" spans="12:12" x14ac:dyDescent="0.25">
      <c r="L83" s="55"/>
    </row>
    <row r="84" spans="12:12" x14ac:dyDescent="0.25">
      <c r="L84" s="55"/>
    </row>
    <row r="85" spans="12:12" x14ac:dyDescent="0.25">
      <c r="L85" s="55"/>
    </row>
    <row r="86" spans="12:12" x14ac:dyDescent="0.25">
      <c r="L86" s="55"/>
    </row>
    <row r="87" spans="12:12" x14ac:dyDescent="0.25">
      <c r="L87" s="55"/>
    </row>
    <row r="88" spans="12:12" x14ac:dyDescent="0.25">
      <c r="L88" s="55"/>
    </row>
    <row r="89" spans="12:12" x14ac:dyDescent="0.25">
      <c r="L89" s="55"/>
    </row>
    <row r="90" spans="12:12" x14ac:dyDescent="0.25">
      <c r="L90" s="55"/>
    </row>
    <row r="91" spans="12:12" x14ac:dyDescent="0.25">
      <c r="L91" s="55"/>
    </row>
    <row r="92" spans="12:12" x14ac:dyDescent="0.25">
      <c r="L92" s="55"/>
    </row>
    <row r="93" spans="12:12" x14ac:dyDescent="0.25">
      <c r="L93" s="55"/>
    </row>
    <row r="94" spans="12:12" x14ac:dyDescent="0.25">
      <c r="L94" s="55"/>
    </row>
    <row r="95" spans="12:12" x14ac:dyDescent="0.25">
      <c r="L95" s="55"/>
    </row>
    <row r="96" spans="12:12" x14ac:dyDescent="0.25">
      <c r="L96" s="55"/>
    </row>
    <row r="97" spans="12:12" x14ac:dyDescent="0.25">
      <c r="L97" s="55"/>
    </row>
    <row r="98" spans="12:12" x14ac:dyDescent="0.25">
      <c r="L98" s="55"/>
    </row>
    <row r="99" spans="12:12" x14ac:dyDescent="0.25">
      <c r="L99" s="55"/>
    </row>
    <row r="100" spans="12:12" x14ac:dyDescent="0.25">
      <c r="L100" s="55"/>
    </row>
  </sheetData>
  <sheetProtection sheet="1" objects="1" scenarios="1"/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ColWidth="8.85546875"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95" thickBot="1" x14ac:dyDescent="0.3">
      <c r="C5" s="56" t="s">
        <v>50</v>
      </c>
    </row>
    <row r="6" spans="3:10" ht="15.95" thickBot="1" x14ac:dyDescent="0.25">
      <c r="C6" s="65" t="s">
        <v>251</v>
      </c>
      <c r="D6" s="65" t="s">
        <v>1</v>
      </c>
      <c r="E6" s="66" t="s">
        <v>252</v>
      </c>
      <c r="F6" s="39"/>
      <c r="G6" s="62"/>
      <c r="H6" s="39"/>
      <c r="I6" s="39"/>
      <c r="J6" s="62"/>
    </row>
    <row r="7" spans="3:10" x14ac:dyDescent="0.2">
      <c r="C7" s="1" t="s">
        <v>26</v>
      </c>
      <c r="D7" s="1" t="s">
        <v>12</v>
      </c>
      <c r="E7" s="2" t="s">
        <v>64</v>
      </c>
      <c r="G7" s="6"/>
      <c r="J7" s="6"/>
    </row>
    <row r="8" spans="3:10" x14ac:dyDescent="0.2">
      <c r="C8" s="54" t="s">
        <v>216</v>
      </c>
      <c r="D8" s="54" t="s">
        <v>87</v>
      </c>
      <c r="E8" s="67" t="s">
        <v>217</v>
      </c>
      <c r="F8" s="63"/>
      <c r="G8" s="64"/>
      <c r="H8" s="63"/>
      <c r="I8" s="63"/>
      <c r="J8" s="64"/>
    </row>
    <row r="9" spans="3:10" x14ac:dyDescent="0.2">
      <c r="C9" s="8" t="s">
        <v>51</v>
      </c>
      <c r="D9" s="8" t="s">
        <v>52</v>
      </c>
      <c r="E9" s="9" t="s">
        <v>76</v>
      </c>
      <c r="F9" s="63"/>
      <c r="G9" s="64"/>
      <c r="H9" s="63"/>
      <c r="I9" s="63"/>
      <c r="J9" s="64"/>
    </row>
    <row r="10" spans="3:10" x14ac:dyDescent="0.2">
      <c r="C10" s="1" t="s">
        <v>28</v>
      </c>
      <c r="D10" s="1" t="s">
        <v>5</v>
      </c>
      <c r="E10" s="2" t="s">
        <v>72</v>
      </c>
      <c r="G10" s="6"/>
      <c r="J10" s="6"/>
    </row>
    <row r="11" spans="3:10" x14ac:dyDescent="0.2">
      <c r="C11" s="54"/>
      <c r="D11" s="54"/>
      <c r="E11" s="67"/>
      <c r="F11" s="39"/>
      <c r="G11" s="62"/>
      <c r="H11" s="39"/>
      <c r="I11" s="39"/>
      <c r="J11" s="62"/>
    </row>
    <row r="12" spans="3:10" x14ac:dyDescent="0.2">
      <c r="C12" s="8"/>
      <c r="D12" s="8"/>
      <c r="E12" s="9"/>
      <c r="F12" s="63"/>
      <c r="G12" s="64"/>
      <c r="H12" s="63"/>
      <c r="I12" s="63"/>
      <c r="J12" s="64"/>
    </row>
    <row r="13" spans="3:10" x14ac:dyDescent="0.2">
      <c r="C13" s="1"/>
      <c r="D13" s="1"/>
      <c r="E13" s="2"/>
      <c r="F13" s="63"/>
      <c r="G13" s="63"/>
      <c r="H13" s="63"/>
      <c r="I13" s="63"/>
      <c r="J13" s="64"/>
    </row>
    <row r="14" spans="3:10" x14ac:dyDescent="0.2">
      <c r="C14" s="1"/>
      <c r="D14" s="1"/>
      <c r="E14" s="2"/>
      <c r="F14" s="63"/>
      <c r="G14" s="63"/>
      <c r="H14" s="63"/>
      <c r="I14" s="63"/>
      <c r="J14" s="64"/>
    </row>
    <row r="15" spans="3:10" x14ac:dyDescent="0.2">
      <c r="C15" s="8"/>
      <c r="D15" s="8"/>
      <c r="E15" s="9"/>
      <c r="F15" s="39"/>
      <c r="G15" s="39"/>
      <c r="H15" s="39"/>
      <c r="I15" s="39"/>
      <c r="J15" s="62"/>
    </row>
    <row r="16" spans="3:10" x14ac:dyDescent="0.2">
      <c r="C16" s="1"/>
      <c r="D16" s="1"/>
      <c r="E16" s="2"/>
      <c r="F16" s="63"/>
      <c r="G16" s="63"/>
      <c r="H16" s="63"/>
      <c r="I16" s="63"/>
      <c r="J16" s="64"/>
    </row>
    <row r="17" spans="3:10" x14ac:dyDescent="0.2">
      <c r="C17" s="54"/>
      <c r="D17" s="54"/>
      <c r="E17" s="54"/>
    </row>
    <row r="18" spans="3:10" x14ac:dyDescent="0.2">
      <c r="C18" s="54"/>
      <c r="D18" s="54"/>
      <c r="E18" s="54"/>
    </row>
    <row r="19" spans="3:10" x14ac:dyDescent="0.2">
      <c r="C19" s="1"/>
      <c r="D19" s="1"/>
      <c r="E19" s="2"/>
      <c r="F19" s="63"/>
      <c r="G19" s="63"/>
      <c r="H19" s="63"/>
      <c r="I19" s="63"/>
      <c r="J19" s="64"/>
    </row>
    <row r="20" spans="3:10" x14ac:dyDescent="0.2">
      <c r="C20" s="1"/>
      <c r="D20" s="1"/>
      <c r="E20" s="2"/>
      <c r="F20" s="63"/>
      <c r="G20" s="63"/>
      <c r="H20" s="63"/>
      <c r="I20" s="63"/>
      <c r="J20" s="64"/>
    </row>
    <row r="21" spans="3:10" x14ac:dyDescent="0.2">
      <c r="C21" s="8"/>
      <c r="D21" s="8"/>
      <c r="E21" s="9"/>
      <c r="F21" s="39"/>
      <c r="G21" s="39"/>
      <c r="H21" s="39"/>
      <c r="I21" s="39"/>
      <c r="J21" s="62"/>
    </row>
    <row r="22" spans="3:10" x14ac:dyDescent="0.2">
      <c r="C22" s="1"/>
      <c r="D22" s="1"/>
      <c r="E22" s="2"/>
      <c r="F22" s="63"/>
      <c r="G22" s="63"/>
      <c r="H22" s="63"/>
      <c r="I22" s="63"/>
      <c r="J22" s="64"/>
    </row>
    <row r="23" spans="3:10" x14ac:dyDescent="0.2">
      <c r="C23" s="54"/>
      <c r="D23" s="54"/>
      <c r="E23" s="54"/>
    </row>
    <row r="24" spans="3:10" x14ac:dyDescent="0.2">
      <c r="C24" s="54"/>
      <c r="D24" s="54"/>
      <c r="E24" s="54"/>
    </row>
    <row r="25" spans="3:10" x14ac:dyDescent="0.2">
      <c r="C25" s="1"/>
      <c r="D25" s="1"/>
      <c r="E25" s="2"/>
      <c r="F25" s="63"/>
      <c r="G25" s="63"/>
      <c r="H25" s="63"/>
      <c r="I25" s="63"/>
      <c r="J25" s="64"/>
    </row>
    <row r="26" spans="3:10" x14ac:dyDescent="0.2">
      <c r="C26" s="1"/>
      <c r="D26" s="1"/>
      <c r="E26" s="2"/>
      <c r="F26" s="63"/>
      <c r="G26" s="63"/>
      <c r="H26" s="63"/>
      <c r="I26" s="63"/>
      <c r="J26" s="64"/>
    </row>
    <row r="27" spans="3:10" x14ac:dyDescent="0.2">
      <c r="C27" s="8"/>
      <c r="D27" s="8"/>
      <c r="E27" s="9"/>
      <c r="F27" s="39"/>
      <c r="G27" s="39"/>
      <c r="H27" s="39"/>
      <c r="I27" s="39"/>
      <c r="J27" s="62"/>
    </row>
    <row r="28" spans="3:10" x14ac:dyDescent="0.2">
      <c r="C28" s="1"/>
      <c r="D28" s="1"/>
      <c r="E28" s="2"/>
      <c r="F28" s="63"/>
      <c r="G28" s="63"/>
      <c r="H28" s="63"/>
      <c r="I28" s="63"/>
      <c r="J28" s="64"/>
    </row>
    <row r="29" spans="3:10" x14ac:dyDescent="0.2">
      <c r="C29" s="54"/>
      <c r="D29" s="54"/>
      <c r="E29" s="54"/>
    </row>
    <row r="30" spans="3:10" x14ac:dyDescent="0.2">
      <c r="C30" s="54"/>
      <c r="D30" s="54"/>
      <c r="E30" s="54"/>
    </row>
  </sheetData>
  <sheetProtection sheet="1" objects="1" scenarios="1"/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9"/>
    </sheetView>
  </sheetViews>
  <sheetFormatPr defaultColWidth="8.85546875" defaultRowHeight="15" x14ac:dyDescent="0.25"/>
  <cols>
    <col min="3" max="3" width="16.7109375" customWidth="1"/>
    <col min="4" max="4" width="17" customWidth="1"/>
    <col min="5" max="5" width="14.28515625" customWidth="1"/>
  </cols>
  <sheetData>
    <row r="5" spans="3:5" ht="21.95" thickBot="1" x14ac:dyDescent="0.3">
      <c r="C5" s="57" t="s">
        <v>97</v>
      </c>
    </row>
    <row r="6" spans="3:5" ht="15.95" thickBot="1" x14ac:dyDescent="0.25">
      <c r="C6" s="65" t="s">
        <v>251</v>
      </c>
      <c r="D6" s="65" t="s">
        <v>1</v>
      </c>
      <c r="E6" s="66" t="s">
        <v>252</v>
      </c>
    </row>
    <row r="7" spans="3:5" x14ac:dyDescent="0.2">
      <c r="C7" s="1" t="s">
        <v>84</v>
      </c>
      <c r="D7" s="5" t="s">
        <v>86</v>
      </c>
      <c r="E7" s="2" t="s">
        <v>85</v>
      </c>
    </row>
    <row r="8" spans="3:5" x14ac:dyDescent="0.2">
      <c r="C8" s="54" t="s">
        <v>225</v>
      </c>
      <c r="D8" s="54" t="s">
        <v>143</v>
      </c>
      <c r="E8" s="67" t="s">
        <v>228</v>
      </c>
    </row>
    <row r="9" spans="3:5" x14ac:dyDescent="0.2">
      <c r="C9" s="1" t="s">
        <v>15</v>
      </c>
      <c r="D9" s="1" t="s">
        <v>5</v>
      </c>
      <c r="E9" s="2" t="s">
        <v>77</v>
      </c>
    </row>
    <row r="10" spans="3:5" x14ac:dyDescent="0.2">
      <c r="C10" s="1"/>
      <c r="D10" s="1"/>
      <c r="E10" s="2"/>
    </row>
    <row r="11" spans="3:5" x14ac:dyDescent="0.2">
      <c r="C11" s="54"/>
      <c r="D11" s="54"/>
      <c r="E11" s="67"/>
    </row>
    <row r="12" spans="3:5" x14ac:dyDescent="0.2">
      <c r="C12" s="8"/>
      <c r="D12" s="8"/>
      <c r="E12" s="9"/>
    </row>
    <row r="13" spans="3:5" x14ac:dyDescent="0.2">
      <c r="C13" s="1"/>
      <c r="D13" s="1"/>
      <c r="E13" s="2"/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 x14ac:dyDescent="0.25"/>
  <sheetData>
    <row r="2" spans="2:3" x14ac:dyDescent="0.2">
      <c r="B2">
        <v>1</v>
      </c>
      <c r="C2" t="s">
        <v>250</v>
      </c>
    </row>
    <row r="3" spans="2:3" x14ac:dyDescent="0.2">
      <c r="B3">
        <v>2</v>
      </c>
      <c r="C3" t="s">
        <v>253</v>
      </c>
    </row>
    <row r="4" spans="2:3" x14ac:dyDescent="0.2">
      <c r="B4">
        <v>3</v>
      </c>
      <c r="C4" t="s">
        <v>254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92</vt:i4>
      </vt:variant>
    </vt:vector>
  </HeadingPairs>
  <TitlesOfParts>
    <vt:vector size="99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FRegAnchorsUserInput</vt:lpstr>
      <vt:lpstr>FRegentiresEneteredHdr</vt:lpstr>
      <vt:lpstr>FRegEntriesAccNoHdr</vt:lpstr>
      <vt:lpstr>FRegEntriesAllEntered</vt:lpstr>
      <vt:lpstr>FRegEntriesAllInput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FRegEntryCount</vt:lpstr>
      <vt:lpstr>FRegFirstAnchorName</vt:lpstr>
      <vt:lpstr>FRegFirstPlayer</vt:lpstr>
      <vt:lpstr>FRegFirstUnpaidName</vt:lpstr>
      <vt:lpstr>FRegFirstVeggieName</vt:lpstr>
      <vt:lpstr>FRegPool1Count</vt:lpstr>
      <vt:lpstr>FRegPool2Count</vt:lpstr>
      <vt:lpstr>FRegPool3Count</vt:lpstr>
      <vt:lpstr>FRegPool4Count</vt:lpstr>
      <vt:lpstr>FRegQualiferCount</vt:lpstr>
      <vt:lpstr>FRegTourneyCity</vt:lpstr>
      <vt:lpstr>FRegTourneyDate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FRegVeggiesAccNoHdr</vt:lpstr>
      <vt:lpstr>FRegVeggiesCityHdr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2023-08-10T15:08:10Z</cp:lastPrinted>
  <dcterms:created xsi:type="dcterms:W3CDTF">2014-07-30T14:06:58Z</dcterms:created>
  <dcterms:modified xsi:type="dcterms:W3CDTF">2024-04-18T04:57:30Z</dcterms:modified>
</cp:coreProperties>
</file>