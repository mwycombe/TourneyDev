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F7460CAB-7237-4669-8BC2-97E99895242D}" xr6:coauthVersionLast="47" xr6:coauthVersionMax="47" xr10:uidLastSave="{00000000-0000-0000-0000-000000000000}"/>
  <bookViews>
    <workbookView xWindow="-120" yWindow="-120" windowWidth="29040" windowHeight="1584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159" i="1"/>
  <c r="R97" i="1"/>
  <c r="R46" i="1"/>
  <c r="R146" i="1"/>
  <c r="R87" i="1"/>
  <c r="R85" i="1"/>
  <c r="R43" i="1"/>
  <c r="R135" i="1"/>
  <c r="R14" i="1"/>
  <c r="L10" i="1"/>
  <c r="R21" i="1" l="1"/>
  <c r="R73" i="1"/>
  <c r="R79" i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<sst xmlns="http://schemas.openxmlformats.org/spreadsheetml/2006/main" count="1682" uniqueCount="709">
  <si>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</si>
  <si>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</si>
  <si>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</si>
  <si>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</si>
  <si>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</si>
  <si>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</si>
  <si>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</si>
  <si>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</si>
  <si>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</si>
  <si>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</si>
  <si>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</si>
  <si>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</si>
  <si>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</si>
  <si>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</si>
  <si>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</si>
  <si>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</si>
  <si>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</si>
  <si>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</si>
  <si>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</si>
  <si>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</si>
  <si>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</si>
  <si>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</si>
  <si>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</si>
  <si>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</si>
  <si>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</si>
  <si>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</si>
  <si>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</si>
  <si>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</si>
  <si>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</si>
  <si>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</si>
  <si>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</si>
  <si>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</si>
  <si>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</si>
  <si>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</si>
  <si>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</si>
  <si>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</si>
  <si>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</si>
  <si>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</si>
  <si>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</si>
  <si>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</si>
  <si>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</si>
  <si>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</si>
  <si>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</si>
  <si>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</si>
  <si>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</si>
  <si>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</si>
  <si>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</si>
  <si>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</si>
  <si>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</si>
  <si>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</si>
  <si>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</si>
  <si>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</si>
  <si>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</si>
  <si>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</si>
  <si>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</si>
  <si>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</si>
  <si>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</si>
  <si>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</si>
  <si>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</si>
  <si>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</si>
  <si>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</si>
  <si>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</si>
  <si>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</si>
  <si>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</si>
  <si>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</si>
  <si>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</si>
  <si>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</si>
  <si>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</si>
  <si>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</si>
  <si>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</si>
  <si>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</si>
  <si>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</si>
  <si>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</si>
  <si>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</si>
  <si>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</si>
  <si>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</si>
  <si>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</si>
  <si>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</si>
  <si>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</si>
  <si>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</si>
  <si>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</si>
  <si>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</si>
  <si>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</si>
  <si>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</si>
  <si>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</si>
  <si>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</si>
  <si>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</si>
  <si>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</si>
  <si>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</si>
  <si>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</si>
  <si>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</si>
  <si>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</si>
  <si>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</si>
  <si>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</si>
  <si>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</si>
  <si>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</si>
  <si>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</si>
  <si>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</si>
  <si>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</si>
  <si>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</si>
  <si>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</si>
  <si>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</si>
  <si>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</si>
  <si>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</si>
  <si>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</si>
  <si>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</si>
  <si>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</si>
  <si>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</si>
  <si>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</si>
  <si>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</si>
  <si>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</si>
  <si>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</si>
  <si>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</si>
  <si>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</si>
  <si>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</si>
  <si>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</si>
  <si>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</si>
  <si>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</si>
  <si>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</si>
  <si>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</si>
  <si>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</si>
  <si>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</si>
  <si>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</si>
  <si>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</si>
  <si>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</si>
  <si>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</si>
  <si>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</si>
  <si>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</si>
  <si>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</si>
  <si>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</si>
  <si>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</si>
  <si>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</si>
  <si>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</si>
  <si>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</si>
  <si>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</si>
  <si>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</si>
  <si>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</si>
  <si>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</si>
  <si>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</si>
  <si>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</si>
  <si>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</si>
  <si>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</si>
  <si>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</si>
  <si>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</si>
  <si>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</si>
  <si>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</si>
  <si>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</si>
  <si>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</si>
  <si>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</si>
  <si>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</si>
  <si>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</si>
  <si>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</si>
  <si>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</si>
  <si>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</si>
  <si>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</si>
  <si>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</si>
  <si>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</si>
  <si>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</si>
  <si>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</si>
  <si>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</si>
  <si>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</si>
  <si>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</si>
  <si>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</si>
  <si>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</si>
  <si>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</si>
  <si>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</si>
  <si>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</si>
  <si>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</si>
  <si>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</si>
  <si>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</si>
  <si>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</si>
  <si>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</si>
  <si>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</si>
  <si>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</si>
  <si>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</si>
  <si>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</si>
  <si>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</si>
  <si>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</si>
  <si>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</si>
  <si>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</si>
  <si>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</si>
  <si>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</si>
  <si>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</si>
  <si>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</si>
  <si>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</si>
  <si>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</si>
  <si>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</si>
  <si>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</si>
  <si>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</si>
  <si>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</si>
  <si>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</si>
  <si>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</si>
  <si>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</si>
  <si>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</si>
  <si>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</si>
  <si>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</si>
  <si>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</si>
  <si>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</si>
  <si>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</si>
  <si>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</si>
  <si>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</si>
  <si>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</si>
  <si>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</si>
  <si>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</si>
  <si>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</si>
  <si>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</si>
  <si>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</si>
  <si>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</si>
  <si>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</si>
  <si>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</si>
  <si>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</si>
  <si>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</si>
  <si>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</si>
  <si>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</si>
  <si>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</si>
  <si>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</si>
  <si>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</si>
  <si>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</si>
  <si>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</si>
  <si>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</si>
  <si>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</si>
  <si>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</si>
  <si>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</si>
  <si>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</si>
  <si>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</si>
  <si>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</si>
  <si>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</si>
  <si>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</si>
  <si>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</si>
  <si>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</si>
  <si>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</si>
  <si>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</si>
  <si>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</si>
  <si>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</si>
  <si>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</si>
  <si>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</si>
  <si>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</si>
  <si>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</si>
  <si>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</si>
  <si>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</si>
  <si>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</si>
  <si>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</si>
  <si>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</si>
  <si>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</si>
  <si>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</si>
  <si>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</si>
  <si>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</si>
  <si>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</si>
  <si>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</si>
  <si>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</si>
  <si>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</si>
  <si>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</si>
  <si>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</si>
  <si>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</si>
  <si>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</si>
  <si>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</si>
  <si>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</si>
  <si>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</si>
  <si>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</si>
  <si>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</si>
  <si>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</si>
  <si>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</si>
  <si>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</si>
  <si>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</si>
  <si>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</si>
  <si>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</si>
  <si>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</si>
  <si>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</si>
  <si>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</si>
  <si>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</si>
  <si>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</si>
  <si>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</si>
  <si>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</si>
  <si>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</si>
  <si>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</si>
  <si>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</si>
  <si>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</si>
  <si>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</si>
  <si>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</si>
  <si>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</si>
  <si>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</si>
  <si>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</si>
  <si>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</si>
  <si>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</si>
  <si>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</si>
  <si>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</si>
  <si>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</si>
  <si>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</si>
  <si>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</si>
  <si>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</si>
  <si>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</si>
  <si>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</si>
  <si>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</si>
  <si>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</si>
  <si>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</si>
  <si>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</si>
  <si>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</si>
  <si>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</si>
  <si>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</si>
  <si>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</si>
  <si>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</si>
  <si>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</si>
  <si>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</si>
  <si>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</si>
  <si>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</si>
  <si>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</si>
  <si>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</si>
  <si>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</si>
  <si>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</si>
  <si>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</si>
  <si>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</si>
  <si>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</si>
  <si>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</si>
  <si>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</si>
  <si>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</si>
  <si>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</si>
  <si>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</si>
  <si>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</si>
  <si>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</si>
  <si>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</si>
  <si>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</si>
  <si>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</si>
  <si>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</si>
  <si>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</si>
  <si>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</si>
  <si>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</si>
  <si>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</si>
  <si>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</si>
  <si>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</si>
  <si>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</si>
  <si>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</si>
  <si>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</si>
  <si>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</si>
  <si>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</si>
  <si>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</si>
  <si>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</si>
  <si>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</si>
  <si>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</si>
  <si>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</si>
  <si>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</si>
  <si>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</si>
  <si>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</si>
  <si>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</si>
  <si>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</si>
  <si>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</si>
  <si>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</si>
  <si>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</si>
  <si>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</si>
  <si>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</si>
  <si>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</si>
  <si>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</si>
  <si>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</si>
  <si>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</si>
  <si>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</si>
  <si>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</si>
  <si>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</si>
  <si>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</si>
  <si>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</si>
  <si>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</si>
  <si>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</si>
  <si>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</si>
  <si>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</si>
  <si>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</si>
  <si>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</si>
  <si>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</si>
  <si>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</si>
  <si>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</si>
  <si>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</si>
  <si>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</si>
  <si>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</si>
  <si>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</si>
  <si>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</si>
  <si>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</si>
  <si>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</si>
  <si>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</si>
  <si>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</si>
  <si>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</si>
  <si>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</si>
  <si>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</si>
  <si>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</si>
  <si>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</si>
  <si>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</si>
  <si>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</si>
  <si>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</si>
  <si>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</si>
  <si>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</si>
  <si>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</si>
  <si>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</si>
  <si>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</si>
  <si>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</si>
  <si>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</si>
  <si>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</si>
  <si>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</si>
  <si>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</si>
  <si>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</si>
  <si>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</si>
  <si>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</si>
  <si>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</si>
  <si>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</si>
  <si>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</si>
  <si>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</si>
  <si>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</si>
  <si>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</si>
  <si>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</si>
  <si>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</si>
  <si>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</si>
  <si>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</si>
  <si>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</si>
  <si>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</si>
  <si>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</si>
  <si>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</si>
  <si>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</si>
  <si>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</si>
  <si>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</si>
  <si>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</si>
  <si>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</si>
  <si>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</si>
  <si>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</si>
  <si>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</si>
  <si>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</si>
  <si>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</si>
  <si>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</si>
  <si>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</si>
  <si>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</si>
  <si>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</si>
  <si>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</si>
  <si>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</si>
  <si>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</si>
  <si>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</si>
  <si>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</si>
  <si>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</si>
  <si>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</si>
  <si>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</si>
  <si>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</si>
  <si>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</si>
  <si>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</si>
  <si>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</si>
  <si>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</si>
  <si>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</si>
  <si>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</si>
  <si>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</si>
  <si>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</si>
  <si>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</si>
  <si>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</si>
  <si>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</si>
  <si>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</si>
  <si>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</si>
  <si>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</si>
  <si>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</si>
  <si>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</si>
  <si>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</si>
  <si>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</si>
  <si>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</si>
  <si>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</si>
  <si>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</si>
  <si>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</si>
  <si>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</si>
  <si>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</si>
  <si>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</si>
  <si>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</si>
  <si>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</si>
  <si>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</si>
  <si>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</si>
  <si>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</si>
  <si>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</si>
  <si>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</si>
  <si>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</si>
  <si>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</si>
  <si>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</si>
  <si>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</si>
  <si>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</si>
  <si>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</si>
  <si>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</si>
  <si>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</si>
  <si>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</si>
  <si>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</si>
  <si>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</si>
  <si>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</si>
  <si>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</si>
  <si>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</si>
  <si>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</si>
  <si>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</si>
  <si>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</si>
  <si>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</si>
  <si>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</si>
  <si>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</si>
  <si>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</si>
  <si>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</si>
  <si>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</si>
  <si>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</si>
  <si>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</si>
  <si>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</si>
  <si>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</si>
  <si>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</si>
  <si>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</si>
  <si>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</si>
  <si>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</si>
  <si>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</si>
  <si>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</si>
  <si>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</si>
  <si>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</si>
  <si>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</si>
  <si>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</si>
  <si>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</si>
  <si>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</si>
  <si>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</si>
  <si>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</si>
  <si>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</si>
  <si>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</si>
  <si>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</si>
  <si>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</si>
  <si>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</si>
  <si>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</si>
  <si>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</si>
  <si>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</si>
  <si>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</si>
  <si>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</si>
  <si>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</si>
  <si>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</si>
  <si>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</si>
  <si>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</si>
  <si>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</si>
  <si>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</si>
  <si>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</si>
  <si>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</si>
  <si>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</si>
  <si>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</si>
  <si>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</si>
  <si>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</si>
  <si>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</si>
  <si>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</si>
  <si>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</si>
  <si>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</si>
  <si>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</si>
  <si>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</si>
  <si>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</si>
  <si>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</si>
  <si>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</si>
  <si>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</si>
  <si>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</si>
  <si>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</si>
  <si>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</si>
  <si>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</si>
  <si>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</si>
  <si>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</si>
  <si>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</si>
  <si>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</si>
  <si>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</si>
  <si>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</si>
  <si>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</si>
  <si>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</si>
  <si>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</si>
  <si>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</si>
  <si>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</si>
  <si>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</si>
  <si>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</si>
  <si>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</si>
  <si>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</si>
  <si>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</si>
  <si>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</si>
  <si>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</si>
  <si>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</si>
  <si>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</si>
  <si>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</si>
  <si>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</si>
  <si>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</si>
  <si>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</si>
  <si>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</si>
  <si>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</si>
  <si>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</si>
  <si>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</si>
  <si>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</si>
  <si>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</si>
  <si>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</si>
  <si>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</si>
  <si>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</si>
  <si>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</si>
  <si>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</si>
  <si>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</si>
  <si>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</si>
  <si>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</si>
  <si>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</si>
  <si>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</si>
  <si>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</si>
  <si>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</si>
  <si>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</si>
  <si>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</si>
  <si>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</si>
  <si>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</si>
  <si>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</si>
  <si>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</si>
  <si>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</si>
  <si>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</si>
  <si>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</si>
  <si>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</si>
  <si>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</si>
  <si>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</si>
  <si>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</si>
  <si>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</si>
  <si>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</si>
  <si>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</si>
  <si>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</si>
  <si>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</si>
  <si>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</si>
  <si>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</si>
  <si>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</si>
  <si>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</si>
  <si>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</si>
  <si>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</si>
  <si>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</si>
  <si>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</si>
  <si>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</si>
  <si>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</si>
  <si>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</si>
  <si>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</si>
  <si>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</si>
  <si>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</si>
  <si>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</si>
  <si>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</si>
  <si>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</si>
  <si>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</si>
  <si>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</si>
  <si>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</si>
  <si>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</si>
  <si>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</si>
  <si>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</si>
  <si>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</si>
  <si>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</si>
  <si>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</si>
  <si>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</si>
  <si>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</si>
  <si>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</si>
  <si>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</si>
  <si>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</si>
  <si>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</si>
  <si>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</si>
  <si>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</si>
  <si>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</si>
  <si>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</si>
  <si>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</si>
  <si>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</si>
  <si>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</si>
  <si>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</si>
  <si>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</si>
  <si>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</si>
  <si>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</si>
  <si>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</si>
  <si>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</si>
  <si>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</si>
  <si>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</si>
  <si>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</si>
  <si>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</si>
  <si>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</si>
  <si>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</si>
  <si>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</si>
  <si>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</si>
  <si>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</si>
  <si>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</si>
  <si>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</si>
  <si>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</si>
  <si>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</si>
  <si>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</si>
  <si>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</si>
  <si>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</si>
  <si>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</si>
  <si>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</si>
  <si>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</si>
  <si>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</si>
  <si>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</si>
  <si>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</si>
  <si>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</si>
  <si>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</si>
  <si>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</si>
  <si>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</si>
  <si>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</si>
  <si>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</si>
  <si>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</si>
  <si>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</si>
  <si>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</si>
  <si>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</si>
  <si>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</si>
  <si>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</si>
  <si>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</si>
  <si>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</si>
  <si>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</si>
  <si>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</si>
  <si>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</si>
  <si>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</si>
  <si>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</si>
  <si>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</si>
  <si>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</si>
  <si>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</si>
  <si>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</si>
  <si>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</si>
  <si>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</si>
  <si>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</si>
  <si>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</si>
  <si>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</si>
  <si>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</si>
  <si>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</si>
  <si>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</si>
  <si>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</si>
  <si>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Test 4 Roland</t>
  </si>
  <si>
    <t>The Moose Lodge</t>
  </si>
  <si>
    <t>Napa, Ca 94558</t>
  </si>
  <si>
    <t>Rolane</t>
  </si>
  <si>
    <t>Yvonne</t>
  </si>
  <si>
    <t>Michael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</si>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</sst>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1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ntmartel@outlook.com" TargetMode="External"/><Relationship Id="rId18" Type="http://schemas.openxmlformats.org/officeDocument/2006/relationships/hyperlink" Target="mailto:stankatzman917@gmail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schlabes@g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terryhi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jeanetteD761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tyott2000@yahoo.com" TargetMode="External"/><Relationship Id="rId24" Type="http://schemas.openxmlformats.org/officeDocument/2006/relationships/hyperlink" Target="mailto:jim@pfpros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ellie.miller.hall@gmail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andrew@kramerthecat.com" TargetMode="External"/><Relationship Id="rId14" Type="http://schemas.openxmlformats.org/officeDocument/2006/relationships/hyperlink" Target="mailto:numbercruncher@live.com" TargetMode="External"/><Relationship Id="rId22" Type="http://schemas.openxmlformats.org/officeDocument/2006/relationships/hyperlink" Target="mailto:maggy416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jakkaboli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scott@madwills.com" TargetMode="External"/><Relationship Id="rId12" Type="http://schemas.openxmlformats.org/officeDocument/2006/relationships/hyperlink" Target="mailto:dnhaley1@outlook.com" TargetMode="External"/><Relationship Id="rId17" Type="http://schemas.openxmlformats.org/officeDocument/2006/relationships/hyperlink" Target="mailto:fritschen57@gmail.com" TargetMode="External"/><Relationship Id="rId25" Type="http://schemas.openxmlformats.org/officeDocument/2006/relationships/hyperlink" Target="mailto:bigcalfan4@hotmail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mlr94549@yahoo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s.hastie95610@gmail.com" TargetMode="External"/><Relationship Id="rId15" Type="http://schemas.openxmlformats.org/officeDocument/2006/relationships/hyperlink" Target="mailto:azelton@outlook.com" TargetMode="External"/><Relationship Id="rId23" Type="http://schemas.openxmlformats.org/officeDocument/2006/relationships/hyperlink" Target="mailto:barcyt@hotmail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al.silva711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yvonne@yvonnebowers.com" TargetMode="External"/><Relationship Id="rId9" Type="http://schemas.openxmlformats.org/officeDocument/2006/relationships/hyperlink" Target="mailto:mkimsal57@yahoo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1" sqref="G11:H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22" t="s">
        <v>609</v>
      </c>
      <c r="D1" s="123"/>
      <c r="E1" s="124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5" t="s">
        <v>702</v>
      </c>
      <c r="D3" s="126"/>
      <c r="E3" s="126"/>
      <c r="F3" s="126"/>
      <c r="G3" s="127"/>
    </row>
    <row r="4" spans="1:8" ht="15.75" thickBot="1" x14ac:dyDescent="0.3"/>
    <row r="5" spans="1:8" ht="16.5" thickBot="1" x14ac:dyDescent="0.3">
      <c r="A5" s="73" t="s">
        <v>610</v>
      </c>
      <c r="C5" s="125" t="s">
        <v>703</v>
      </c>
      <c r="D5" s="126"/>
      <c r="E5" s="126"/>
      <c r="F5" s="126"/>
      <c r="G5" s="127"/>
    </row>
    <row r="6" spans="1:8" ht="15.75" thickBot="1" x14ac:dyDescent="0.3">
      <c r="H6" s="74"/>
    </row>
    <row r="7" spans="1:8" ht="16.5" thickBot="1" x14ac:dyDescent="0.3">
      <c r="A7" s="73" t="s">
        <v>611</v>
      </c>
      <c r="C7" s="125" t="s">
        <v>704</v>
      </c>
      <c r="D7" s="126"/>
      <c r="E7" s="126"/>
      <c r="F7" s="126"/>
      <c r="G7" s="127"/>
    </row>
    <row r="8" spans="1:8" ht="15.75" thickBot="1" x14ac:dyDescent="0.3"/>
    <row r="9" spans="1:8" ht="16.5" thickBot="1" x14ac:dyDescent="0.3">
      <c r="A9" s="73" t="s">
        <v>421</v>
      </c>
      <c r="C9" s="117">
        <v>118454</v>
      </c>
    </row>
    <row r="10" spans="1:8" ht="15.75" thickBot="1" x14ac:dyDescent="0.3"/>
    <row r="11" spans="1:8" ht="16.5" thickBot="1" x14ac:dyDescent="0.3">
      <c r="A11" s="73" t="s">
        <v>612</v>
      </c>
      <c r="C11" s="128" t="s">
        <v>705</v>
      </c>
      <c r="D11" s="129"/>
      <c r="E11" s="128" t="s">
        <v>706</v>
      </c>
      <c r="F11" s="129"/>
      <c r="G11" s="128" t="s">
        <v>707</v>
      </c>
      <c r="H11" s="129"/>
    </row>
    <row r="12" spans="1:8" ht="16.5" thickBot="1" x14ac:dyDescent="0.3">
      <c r="A12" s="73"/>
      <c r="C12" s="116"/>
      <c r="D12" s="116"/>
      <c r="E12" s="53"/>
      <c r="F12" s="53"/>
      <c r="G12" s="53"/>
      <c r="H12" s="53"/>
    </row>
    <row r="13" spans="1:8" ht="16.5" thickBot="1" x14ac:dyDescent="0.3">
      <c r="A13" s="73" t="s">
        <v>428</v>
      </c>
      <c r="C13" s="128"/>
      <c r="D13" s="129"/>
      <c r="E13" s="128"/>
      <c r="F13" s="129"/>
      <c r="G13" s="128"/>
      <c r="H13" s="129"/>
    </row>
    <row r="14" spans="1:8" ht="16.5" thickBot="1" x14ac:dyDescent="0.3">
      <c r="A14" s="73"/>
      <c r="C14" s="116"/>
      <c r="D14" s="116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8"/>
      <c r="D15" s="129"/>
      <c r="E15" s="128"/>
      <c r="F15" s="129"/>
      <c r="G15" s="128"/>
      <c r="H15" s="129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3" t="s">
        <v>702</v>
      </c>
      <c r="C4" s="133"/>
      <c r="D4" s="133"/>
      <c r="E4" s="133"/>
      <c r="F4" s="133"/>
    </row>
    <row r="5" spans="1:7" x14ac:dyDescent="0.25">
      <c r="A5" s="4" t="s">
        <v>616</v>
      </c>
      <c r="B5" s="134" t="s">
        <v>703</v>
      </c>
      <c r="C5" s="134"/>
      <c r="D5" s="134"/>
      <c r="E5" s="134"/>
      <c r="F5" s="134"/>
    </row>
    <row r="6" spans="1:7" x14ac:dyDescent="0.25">
      <c r="A6" s="4" t="s">
        <v>617</v>
      </c>
      <c r="B6" s="134" t="s">
        <v>704</v>
      </c>
      <c r="C6" s="134"/>
      <c r="D6" s="134"/>
      <c r="E6" s="134"/>
      <c r="F6" s="134"/>
    </row>
    <row r="7" spans="1:7" x14ac:dyDescent="0.25">
      <c r="A7" s="4" t="s">
        <v>618</v>
      </c>
      <c r="B7" s="82">
        <v>118454</v>
      </c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3</v>
      </c>
      <c r="C10" s="4" t="s">
        <v>620</v>
      </c>
      <c r="D10" s="86">
        <v>70</v>
      </c>
    </row>
    <row r="11" spans="1:7" ht="15.75" thickBot="1" x14ac:dyDescent="0.3"/>
    <row r="12" spans="1:7" ht="15.75" thickBot="1" x14ac:dyDescent="0.3">
      <c r="A12" s="4" t="s">
        <v>621</v>
      </c>
      <c r="B12" s="86">
        <v>14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5" t="s">
        <v>623</v>
      </c>
      <c r="D15" s="135"/>
      <c r="E15" s="135"/>
      <c r="F15" s="135"/>
    </row>
    <row r="16" spans="1:7" ht="16.5" thickBot="1" x14ac:dyDescent="0.3">
      <c r="A16" s="4" t="s">
        <v>624</v>
      </c>
      <c r="B16" s="4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8" t="s">
        <v>625</v>
      </c>
      <c r="C17" s="87">
        <v>1</v>
      </c>
      <c r="D17" s="87">
        <v>2</v>
      </c>
      <c r="E17" s="87">
        <v>2</v>
      </c>
      <c r="F17" s="87">
        <v>2</v>
      </c>
      <c r="H17" s="79" t="s">
        <v>626</v>
      </c>
    </row>
    <row r="18" spans="1:8" ht="15.75" thickBot="1" x14ac:dyDescent="0.3">
      <c r="B18" s="78" t="s">
        <v>620</v>
      </c>
      <c r="C18" s="114">
        <v>10</v>
      </c>
      <c r="D18" s="114">
        <v>10</v>
      </c>
      <c r="E18" s="114">
        <v>20</v>
      </c>
      <c r="F18" s="114">
        <v>50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6" sqref="B26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6" t="s">
        <v>609</v>
      </c>
      <c r="D2" s="137"/>
      <c r="E2" s="137"/>
      <c r="F2" s="137"/>
      <c r="G2" s="138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3" t="s">
        <v>702</v>
      </c>
      <c r="C4" s="133"/>
      <c r="D4" s="133"/>
      <c r="E4" s="133"/>
      <c r="F4" s="133"/>
    </row>
    <row r="5" spans="1:7" x14ac:dyDescent="0.25">
      <c r="A5" s="4" t="s">
        <v>616</v>
      </c>
      <c r="B5" s="81" t="s">
        <v>703</v>
      </c>
      <c r="C5" s="81"/>
      <c r="D5" s="81"/>
      <c r="E5" s="81"/>
      <c r="F5" s="81"/>
    </row>
    <row r="6" spans="1:7" x14ac:dyDescent="0.25">
      <c r="A6" s="4" t="s">
        <v>617</v>
      </c>
      <c r="B6" s="81" t="s">
        <v>704</v>
      </c>
    </row>
    <row r="7" spans="1:7" x14ac:dyDescent="0.25">
      <c r="A7" s="4" t="s">
        <v>618</v>
      </c>
      <c r="B7" s="82">
        <v>118454</v>
      </c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1</v>
      </c>
      <c r="C10" s="4" t="s">
        <v>620</v>
      </c>
      <c r="D10" s="86">
        <v>30</v>
      </c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>
        <v>8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5" t="s">
        <v>636</v>
      </c>
      <c r="D15" s="135"/>
      <c r="E15" s="135"/>
      <c r="F15" s="135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>
        <v>1</v>
      </c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>
        <v>10</v>
      </c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>
        <v>0</v>
      </c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1" t="s">
        <v>417</v>
      </c>
      <c r="I2" s="111"/>
      <c r="J2" s="16"/>
      <c r="K2" s="139" t="s">
        <v>702</v>
      </c>
      <c r="L2" s="139"/>
      <c r="M2" s="139"/>
      <c r="N2" s="139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1" t="s">
        <v>419</v>
      </c>
      <c r="I3" s="111"/>
      <c r="J3" s="16"/>
      <c r="K3" s="139" t="s">
        <v>703</v>
      </c>
      <c r="L3" s="139"/>
      <c r="M3" s="139"/>
      <c r="N3" s="139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1" t="s">
        <v>420</v>
      </c>
      <c r="I4" s="111"/>
      <c r="J4" s="16"/>
      <c r="K4" s="139" t="s">
        <v>704</v>
      </c>
      <c r="L4" s="139"/>
      <c r="M4" s="139"/>
      <c r="N4" s="139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1" t="s">
        <v>421</v>
      </c>
      <c r="I5" s="111"/>
      <c r="J5" s="16"/>
      <c r="K5" s="140">
        <v>118454</v>
      </c>
      <c r="L5" s="140"/>
      <c r="M5" s="112"/>
      <c r="N5" s="11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20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21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0">
        <f>COUNTIF(B12:B322,"&lt;&gt;" &amp; "")</f>
        <v>60</v>
      </c>
      <c r="C10" s="31"/>
      <c r="D10" s="31"/>
      <c r="E10" s="17"/>
      <c r="F10" s="17"/>
      <c r="G10" s="17"/>
      <c r="H10" s="110">
        <f>COUNTIF(H12:H411,"&lt;&gt;" &amp; "")</f>
        <v>45</v>
      </c>
      <c r="I10" s="110">
        <f t="shared" ref="I10:N10" si="0">COUNTIF(I12:I411,"&lt;&gt;" &amp; "")</f>
        <v>31</v>
      </c>
      <c r="J10" s="110">
        <f t="shared" si="0"/>
        <v>31</v>
      </c>
      <c r="K10" s="110">
        <f t="shared" si="0"/>
        <v>17</v>
      </c>
      <c r="L10" s="110">
        <f t="shared" si="0"/>
        <v>0</v>
      </c>
      <c r="M10" s="110">
        <f t="shared" si="0"/>
        <v>0</v>
      </c>
      <c r="N10" s="110">
        <f t="shared" si="0"/>
        <v>0</v>
      </c>
      <c r="O10" s="109">
        <f>SUM(O12:O411)</f>
        <v>0</v>
      </c>
      <c r="P10" s="32"/>
      <c r="Q10" s="25"/>
      <c r="R10" s="33">
        <f>SUM(R12:R411)</f>
        <v>6430</v>
      </c>
      <c r="S10" s="33">
        <f>SUM(S12:S411)</f>
        <v>0</v>
      </c>
      <c r="T10" s="33">
        <f>SUM(T12:T411)</f>
        <v>6430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7" t="s">
        <v>699</v>
      </c>
      <c r="J11" s="108" t="s">
        <v>699</v>
      </c>
      <c r="K11" s="108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>
        <v>1</v>
      </c>
      <c r="I12" s="47">
        <v>1</v>
      </c>
      <c r="J12" s="47">
        <v>1</v>
      </c>
      <c r="K12" s="47"/>
      <c r="L12" s="47"/>
      <c r="M12" s="47"/>
      <c r="N12" s="47"/>
      <c r="O12" s="103">
        <f t="shared" ref="O12:O43" si="2">T12*N12</f>
        <v>0</v>
      </c>
      <c r="P12" s="47" t="s">
        <v>708</v>
      </c>
      <c r="Q12" s="47"/>
      <c r="R12" s="104">
        <f t="shared" ref="R12:R43" si="3">IF(OR(P12="c",P12="C"),+T12,"")</f>
        <v>110</v>
      </c>
      <c r="S12" s="104" t="str">
        <f t="shared" ref="S12:S43" si="4">IF(OR(P12="$",N12=1),+T12,"")</f>
        <v/>
      </c>
      <c r="T12" s="105">
        <f t="shared" ref="T12:T43" si="5">B12*FRegMainSetUpEntryFee + H12*FRegMainSetUpPool1Fee + I12*FRegMainSetUpPool2Fee + J12*FRegMainSetUpPool3Fee + K12*FRegMainSetUpPool4Fee</f>
        <v>110</v>
      </c>
      <c r="U12" s="52"/>
    </row>
    <row r="13" spans="1:21" x14ac:dyDescent="0.25">
      <c r="A13" s="46">
        <f t="shared" si="1"/>
        <v>2</v>
      </c>
      <c r="B13" s="47">
        <v>1</v>
      </c>
      <c r="C13" s="15" t="s">
        <v>700</v>
      </c>
      <c r="D13" s="113"/>
      <c r="E13" s="30" t="s">
        <v>701</v>
      </c>
      <c r="F13" s="16"/>
      <c r="G13" s="113"/>
      <c r="H13" s="49">
        <v>1</v>
      </c>
      <c r="I13" s="47">
        <v>1</v>
      </c>
      <c r="J13" s="47">
        <v>1</v>
      </c>
      <c r="K13" s="47">
        <v>1</v>
      </c>
      <c r="L13" s="47"/>
      <c r="M13" s="47"/>
      <c r="N13" s="47"/>
      <c r="O13" s="103">
        <f t="shared" si="2"/>
        <v>0</v>
      </c>
      <c r="P13" s="47" t="s">
        <v>708</v>
      </c>
      <c r="Q13" s="47"/>
      <c r="R13" s="104">
        <f t="shared" si="3"/>
        <v>160</v>
      </c>
      <c r="S13" s="104" t="str">
        <f t="shared" si="4"/>
        <v/>
      </c>
      <c r="T13" s="105">
        <f t="shared" si="5"/>
        <v>160</v>
      </c>
      <c r="U13" s="52"/>
    </row>
    <row r="14" spans="1:21" x14ac:dyDescent="0.25">
      <c r="A14" s="46">
        <f t="shared" si="1"/>
        <v>3</v>
      </c>
      <c r="B14" s="47">
        <v>1</v>
      </c>
      <c r="C14" s="15" t="s">
        <v>640</v>
      </c>
      <c r="D14" s="15" t="s">
        <v>641</v>
      </c>
      <c r="E14" s="10" t="s">
        <v>642</v>
      </c>
      <c r="F14" s="15"/>
      <c r="G14" s="15"/>
      <c r="H14" s="49">
        <v>1</v>
      </c>
      <c r="I14" s="49">
        <v>1</v>
      </c>
      <c r="J14" s="49">
        <v>1</v>
      </c>
      <c r="K14" s="49"/>
      <c r="L14" s="47"/>
      <c r="M14" s="47"/>
      <c r="N14" s="47"/>
      <c r="O14" s="103">
        <f t="shared" si="2"/>
        <v>0</v>
      </c>
      <c r="P14" s="47" t="s">
        <v>708</v>
      </c>
      <c r="Q14" s="99"/>
      <c r="R14" s="104">
        <f t="shared" si="3"/>
        <v>110</v>
      </c>
      <c r="S14" s="104" t="str">
        <f t="shared" si="4"/>
        <v/>
      </c>
      <c r="T14" s="105">
        <f t="shared" si="5"/>
        <v>110</v>
      </c>
      <c r="U14" s="52"/>
    </row>
    <row r="15" spans="1:21" x14ac:dyDescent="0.25">
      <c r="A15" s="46">
        <f t="shared" si="1"/>
        <v>4</v>
      </c>
      <c r="B15" s="47">
        <v>1</v>
      </c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103">
        <f t="shared" si="2"/>
        <v>0</v>
      </c>
      <c r="P15" s="47" t="s">
        <v>708</v>
      </c>
      <c r="Q15" s="47"/>
      <c r="R15" s="104">
        <f t="shared" si="3"/>
        <v>160</v>
      </c>
      <c r="S15" s="104" t="str">
        <f t="shared" si="4"/>
        <v/>
      </c>
      <c r="T15" s="105">
        <f t="shared" si="5"/>
        <v>160</v>
      </c>
      <c r="U15" s="52"/>
    </row>
    <row r="16" spans="1:21" x14ac:dyDescent="0.25">
      <c r="A16" s="46">
        <f t="shared" si="1"/>
        <v>5</v>
      </c>
      <c r="B16" s="47">
        <v>1</v>
      </c>
      <c r="C16" s="70" t="s">
        <v>643</v>
      </c>
      <c r="D16" s="70" t="s">
        <v>644</v>
      </c>
      <c r="E16" s="99" t="s">
        <v>645</v>
      </c>
      <c r="F16" s="15"/>
      <c r="G16" s="15"/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103">
        <f t="shared" si="2"/>
        <v>0</v>
      </c>
      <c r="P16" s="47" t="s">
        <v>708</v>
      </c>
      <c r="Q16" s="47"/>
      <c r="R16" s="104">
        <f t="shared" si="3"/>
        <v>160</v>
      </c>
      <c r="S16" s="104" t="str">
        <f t="shared" si="4"/>
        <v/>
      </c>
      <c r="T16" s="105">
        <f t="shared" si="5"/>
        <v>160</v>
      </c>
      <c r="U16" s="52"/>
    </row>
    <row r="17" spans="1:21" x14ac:dyDescent="0.25">
      <c r="A17" s="46">
        <f t="shared" si="1"/>
        <v>6</v>
      </c>
      <c r="B17" s="47">
        <v>1</v>
      </c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>
        <v>1</v>
      </c>
      <c r="I17" s="47">
        <v>1</v>
      </c>
      <c r="J17" s="47">
        <v>1</v>
      </c>
      <c r="K17" s="47">
        <v>1</v>
      </c>
      <c r="L17" s="47"/>
      <c r="M17" s="47"/>
      <c r="N17" s="47"/>
      <c r="O17" s="103">
        <f t="shared" si="2"/>
        <v>0</v>
      </c>
      <c r="P17" s="47" t="s">
        <v>708</v>
      </c>
      <c r="Q17" s="47"/>
      <c r="R17" s="104">
        <f t="shared" si="3"/>
        <v>160</v>
      </c>
      <c r="S17" s="104" t="str">
        <f t="shared" si="4"/>
        <v/>
      </c>
      <c r="T17" s="105">
        <f t="shared" si="5"/>
        <v>160</v>
      </c>
      <c r="U17" s="52"/>
    </row>
    <row r="18" spans="1:21" x14ac:dyDescent="0.25">
      <c r="A18" s="46">
        <f t="shared" si="1"/>
        <v>7</v>
      </c>
      <c r="B18" s="54">
        <v>1</v>
      </c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>
        <v>1</v>
      </c>
      <c r="I18" s="54"/>
      <c r="J18" s="54"/>
      <c r="K18" s="55"/>
      <c r="L18" s="55"/>
      <c r="M18" s="55"/>
      <c r="N18" s="55"/>
      <c r="O18" s="103">
        <f t="shared" si="2"/>
        <v>0</v>
      </c>
      <c r="P18" s="99" t="s">
        <v>708</v>
      </c>
      <c r="Q18" s="99"/>
      <c r="R18" s="104">
        <f t="shared" si="3"/>
        <v>80</v>
      </c>
      <c r="S18" s="104" t="str">
        <f t="shared" si="4"/>
        <v/>
      </c>
      <c r="T18" s="105">
        <f t="shared" si="5"/>
        <v>80</v>
      </c>
      <c r="U18" s="52"/>
    </row>
    <row r="19" spans="1:21" x14ac:dyDescent="0.25">
      <c r="A19" s="46">
        <f t="shared" si="1"/>
        <v>8</v>
      </c>
      <c r="B19" s="47">
        <v>1</v>
      </c>
      <c r="C19" s="15" t="s">
        <v>648</v>
      </c>
      <c r="D19" s="15" t="s">
        <v>649</v>
      </c>
      <c r="E19" s="10" t="s">
        <v>650</v>
      </c>
      <c r="F19" s="98"/>
      <c r="G19" s="15"/>
      <c r="H19" s="49"/>
      <c r="I19" s="47"/>
      <c r="J19" s="47"/>
      <c r="K19" s="47"/>
      <c r="L19" s="47"/>
      <c r="M19" s="47"/>
      <c r="N19" s="47"/>
      <c r="O19" s="103">
        <f t="shared" si="2"/>
        <v>0</v>
      </c>
      <c r="P19" s="47" t="s">
        <v>708</v>
      </c>
      <c r="Q19" s="47"/>
      <c r="R19" s="104">
        <f t="shared" si="3"/>
        <v>70</v>
      </c>
      <c r="S19" s="104" t="str">
        <f t="shared" si="4"/>
        <v/>
      </c>
      <c r="T19" s="105">
        <f t="shared" si="5"/>
        <v>70</v>
      </c>
      <c r="U19" s="52"/>
    </row>
    <row r="20" spans="1:21" x14ac:dyDescent="0.25">
      <c r="A20" s="46">
        <f t="shared" si="1"/>
        <v>9</v>
      </c>
      <c r="B20" s="47">
        <v>1</v>
      </c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>
        <v>1</v>
      </c>
      <c r="I20" s="47"/>
      <c r="J20" s="47"/>
      <c r="K20" s="47"/>
      <c r="L20" s="47"/>
      <c r="M20" s="47"/>
      <c r="N20" s="47"/>
      <c r="O20" s="103">
        <f t="shared" si="2"/>
        <v>0</v>
      </c>
      <c r="P20" s="47" t="s">
        <v>708</v>
      </c>
      <c r="Q20" s="47"/>
      <c r="R20" s="104">
        <f t="shared" si="3"/>
        <v>80</v>
      </c>
      <c r="S20" s="104" t="str">
        <f t="shared" si="4"/>
        <v/>
      </c>
      <c r="T20" s="105">
        <f t="shared" si="5"/>
        <v>80</v>
      </c>
      <c r="U20" s="50"/>
    </row>
    <row r="21" spans="1:21" x14ac:dyDescent="0.25">
      <c r="A21" s="46">
        <f t="shared" si="1"/>
        <v>10</v>
      </c>
      <c r="B21" s="47">
        <v>1</v>
      </c>
      <c r="C21" s="15" t="s">
        <v>652</v>
      </c>
      <c r="D21" s="15" t="s">
        <v>5</v>
      </c>
      <c r="E21" s="10" t="s">
        <v>653</v>
      </c>
      <c r="F21" s="98"/>
      <c r="G21" s="15"/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103">
        <f t="shared" si="2"/>
        <v>0</v>
      </c>
      <c r="P21" s="47" t="s">
        <v>708</v>
      </c>
      <c r="Q21" s="99"/>
      <c r="R21" s="104">
        <f t="shared" si="3"/>
        <v>110</v>
      </c>
      <c r="S21" s="104" t="str">
        <f t="shared" si="4"/>
        <v/>
      </c>
      <c r="T21" s="105">
        <f t="shared" si="5"/>
        <v>110</v>
      </c>
      <c r="U21" s="50"/>
    </row>
    <row r="22" spans="1:21" x14ac:dyDescent="0.25">
      <c r="A22" s="46">
        <f t="shared" si="1"/>
        <v>11</v>
      </c>
      <c r="B22" s="54">
        <v>1</v>
      </c>
      <c r="C22" s="7" t="s">
        <v>108</v>
      </c>
      <c r="D22" s="7" t="s">
        <v>72</v>
      </c>
      <c r="E22" s="8" t="s">
        <v>109</v>
      </c>
      <c r="F22" s="100" t="s">
        <v>483</v>
      </c>
      <c r="G22" s="12" t="s">
        <v>484</v>
      </c>
      <c r="H22" s="54">
        <v>1</v>
      </c>
      <c r="I22" s="54">
        <v>1</v>
      </c>
      <c r="J22" s="54">
        <v>1</v>
      </c>
      <c r="K22" s="55"/>
      <c r="L22" s="55"/>
      <c r="M22" s="55"/>
      <c r="N22" s="55"/>
      <c r="O22" s="103">
        <f t="shared" si="2"/>
        <v>0</v>
      </c>
      <c r="P22" s="99" t="s">
        <v>708</v>
      </c>
      <c r="Q22" s="99"/>
      <c r="R22" s="104">
        <f t="shared" si="3"/>
        <v>110</v>
      </c>
      <c r="S22" s="104" t="str">
        <f t="shared" si="4"/>
        <v/>
      </c>
      <c r="T22" s="105">
        <f t="shared" si="5"/>
        <v>110</v>
      </c>
      <c r="U22" s="52"/>
    </row>
    <row r="23" spans="1:21" x14ac:dyDescent="0.25">
      <c r="A23" s="46">
        <f t="shared" si="1"/>
        <v>12</v>
      </c>
      <c r="B23" s="54">
        <v>1</v>
      </c>
      <c r="C23" s="7" t="s">
        <v>110</v>
      </c>
      <c r="D23" s="7" t="s">
        <v>20</v>
      </c>
      <c r="E23" s="8" t="s">
        <v>111</v>
      </c>
      <c r="F23" s="100" t="s">
        <v>485</v>
      </c>
      <c r="G23" s="12" t="s">
        <v>486</v>
      </c>
      <c r="H23" s="54">
        <v>1</v>
      </c>
      <c r="I23" s="54"/>
      <c r="J23" s="54">
        <v>1</v>
      </c>
      <c r="K23" s="55"/>
      <c r="L23" s="55"/>
      <c r="M23" s="55"/>
      <c r="N23" s="55"/>
      <c r="O23" s="103">
        <f t="shared" si="2"/>
        <v>0</v>
      </c>
      <c r="P23" s="99" t="s">
        <v>708</v>
      </c>
      <c r="Q23" s="106"/>
      <c r="R23" s="104">
        <f t="shared" si="3"/>
        <v>100</v>
      </c>
      <c r="S23" s="104" t="str">
        <f t="shared" si="4"/>
        <v/>
      </c>
      <c r="T23" s="105">
        <f t="shared" si="5"/>
        <v>100</v>
      </c>
      <c r="U23" s="52"/>
    </row>
    <row r="24" spans="1:21" x14ac:dyDescent="0.25">
      <c r="A24" s="46">
        <f t="shared" si="1"/>
        <v>13</v>
      </c>
      <c r="B24" s="47">
        <v>1</v>
      </c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>
        <v>1</v>
      </c>
      <c r="I24" s="47">
        <v>1</v>
      </c>
      <c r="J24" s="47">
        <v>1</v>
      </c>
      <c r="K24" s="47">
        <v>1</v>
      </c>
      <c r="L24" s="47"/>
      <c r="M24" s="47"/>
      <c r="N24" s="47"/>
      <c r="O24" s="103">
        <f t="shared" si="2"/>
        <v>0</v>
      </c>
      <c r="P24" s="47" t="s">
        <v>708</v>
      </c>
      <c r="Q24" s="47"/>
      <c r="R24" s="104">
        <f t="shared" si="3"/>
        <v>160</v>
      </c>
      <c r="S24" s="104" t="str">
        <f t="shared" si="4"/>
        <v/>
      </c>
      <c r="T24" s="105">
        <f t="shared" si="5"/>
        <v>160</v>
      </c>
      <c r="U24" s="52"/>
    </row>
    <row r="25" spans="1:21" x14ac:dyDescent="0.25">
      <c r="A25" s="46">
        <f t="shared" si="1"/>
        <v>14</v>
      </c>
      <c r="B25" s="47">
        <v>1</v>
      </c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103">
        <f t="shared" si="2"/>
        <v>0</v>
      </c>
      <c r="P25" s="47" t="s">
        <v>708</v>
      </c>
      <c r="Q25" s="47"/>
      <c r="R25" s="104">
        <f t="shared" si="3"/>
        <v>160</v>
      </c>
      <c r="S25" s="104" t="str">
        <f t="shared" si="4"/>
        <v/>
      </c>
      <c r="T25" s="105">
        <f t="shared" si="5"/>
        <v>160</v>
      </c>
      <c r="U25" s="52"/>
    </row>
    <row r="26" spans="1:21" x14ac:dyDescent="0.25">
      <c r="A26" s="46">
        <f t="shared" si="1"/>
        <v>15</v>
      </c>
      <c r="B26" s="47">
        <v>1</v>
      </c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103">
        <f t="shared" si="2"/>
        <v>0</v>
      </c>
      <c r="P26" s="47" t="s">
        <v>708</v>
      </c>
      <c r="Q26" s="47"/>
      <c r="R26" s="104">
        <f t="shared" si="3"/>
        <v>70</v>
      </c>
      <c r="S26" s="104" t="str">
        <f t="shared" si="4"/>
        <v/>
      </c>
      <c r="T26" s="105">
        <f t="shared" si="5"/>
        <v>70</v>
      </c>
      <c r="U26" s="52"/>
    </row>
    <row r="27" spans="1:21" x14ac:dyDescent="0.25">
      <c r="A27" s="46">
        <f t="shared" si="1"/>
        <v>16</v>
      </c>
      <c r="B27" s="47">
        <v>1</v>
      </c>
      <c r="C27" s="15" t="s">
        <v>656</v>
      </c>
      <c r="D27" s="15" t="s">
        <v>45</v>
      </c>
      <c r="E27" s="10" t="s">
        <v>657</v>
      </c>
      <c r="F27" s="98"/>
      <c r="G27" s="15"/>
      <c r="H27" s="49"/>
      <c r="I27" s="47"/>
      <c r="J27" s="47"/>
      <c r="K27" s="47"/>
      <c r="L27" s="47"/>
      <c r="M27" s="47"/>
      <c r="N27" s="47"/>
      <c r="O27" s="103">
        <f t="shared" si="2"/>
        <v>0</v>
      </c>
      <c r="P27" s="47" t="s">
        <v>708</v>
      </c>
      <c r="Q27" s="47"/>
      <c r="R27" s="104">
        <f t="shared" si="3"/>
        <v>70</v>
      </c>
      <c r="S27" s="104" t="str">
        <f t="shared" si="4"/>
        <v/>
      </c>
      <c r="T27" s="105">
        <f t="shared" si="5"/>
        <v>70</v>
      </c>
      <c r="U27" s="52"/>
    </row>
    <row r="28" spans="1:21" x14ac:dyDescent="0.25">
      <c r="A28" s="46">
        <f t="shared" si="1"/>
        <v>17</v>
      </c>
      <c r="B28" s="47">
        <v>1</v>
      </c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>
        <v>1</v>
      </c>
      <c r="I28" s="47">
        <v>1</v>
      </c>
      <c r="J28" s="47">
        <v>1</v>
      </c>
      <c r="K28" s="47">
        <v>1</v>
      </c>
      <c r="L28" s="47"/>
      <c r="M28" s="47"/>
      <c r="N28" s="47"/>
      <c r="O28" s="103">
        <f t="shared" si="2"/>
        <v>0</v>
      </c>
      <c r="P28" s="47" t="s">
        <v>708</v>
      </c>
      <c r="Q28" s="47"/>
      <c r="R28" s="104">
        <f t="shared" si="3"/>
        <v>160</v>
      </c>
      <c r="S28" s="104" t="str">
        <f t="shared" si="4"/>
        <v/>
      </c>
      <c r="T28" s="105">
        <f t="shared" si="5"/>
        <v>160</v>
      </c>
      <c r="U28" s="56"/>
    </row>
    <row r="29" spans="1:21" x14ac:dyDescent="0.25">
      <c r="A29" s="46">
        <f t="shared" si="1"/>
        <v>18</v>
      </c>
      <c r="B29" s="47">
        <v>1</v>
      </c>
      <c r="C29" s="15" t="s">
        <v>658</v>
      </c>
      <c r="D29" s="15" t="s">
        <v>409</v>
      </c>
      <c r="E29" s="10" t="s">
        <v>659</v>
      </c>
      <c r="F29" s="98"/>
      <c r="G29" s="15"/>
      <c r="H29" s="49">
        <v>1</v>
      </c>
      <c r="I29" s="47"/>
      <c r="J29" s="47"/>
      <c r="K29" s="47"/>
      <c r="L29" s="47"/>
      <c r="M29" s="47"/>
      <c r="N29" s="47"/>
      <c r="O29" s="103">
        <f t="shared" si="2"/>
        <v>0</v>
      </c>
      <c r="P29" s="47" t="s">
        <v>708</v>
      </c>
      <c r="Q29" s="47"/>
      <c r="R29" s="104">
        <f t="shared" si="3"/>
        <v>80</v>
      </c>
      <c r="S29" s="104" t="str">
        <f t="shared" si="4"/>
        <v/>
      </c>
      <c r="T29" s="105">
        <f t="shared" si="5"/>
        <v>80</v>
      </c>
      <c r="U29" s="52"/>
    </row>
    <row r="30" spans="1:21" x14ac:dyDescent="0.25">
      <c r="A30" s="46">
        <f t="shared" si="1"/>
        <v>19</v>
      </c>
      <c r="B30" s="47">
        <v>1</v>
      </c>
      <c r="C30" s="15" t="s">
        <v>660</v>
      </c>
      <c r="D30" s="15" t="s">
        <v>191</v>
      </c>
      <c r="E30" s="10" t="s">
        <v>661</v>
      </c>
      <c r="F30" s="98"/>
      <c r="G30" s="59" t="s">
        <v>662</v>
      </c>
      <c r="H30" s="49">
        <v>1</v>
      </c>
      <c r="I30" s="47"/>
      <c r="J30" s="47">
        <v>1</v>
      </c>
      <c r="K30" s="47"/>
      <c r="L30" s="47"/>
      <c r="M30" s="47"/>
      <c r="N30" s="47"/>
      <c r="O30" s="103">
        <f t="shared" si="2"/>
        <v>0</v>
      </c>
      <c r="P30" s="47" t="s">
        <v>708</v>
      </c>
      <c r="Q30" s="47"/>
      <c r="R30" s="104">
        <f t="shared" si="3"/>
        <v>100</v>
      </c>
      <c r="S30" s="104" t="str">
        <f t="shared" si="4"/>
        <v/>
      </c>
      <c r="T30" s="105">
        <f t="shared" si="5"/>
        <v>100</v>
      </c>
      <c r="U30" s="52"/>
    </row>
    <row r="31" spans="1:21" x14ac:dyDescent="0.25">
      <c r="A31" s="46">
        <f t="shared" si="1"/>
        <v>20</v>
      </c>
      <c r="B31" s="47">
        <v>1</v>
      </c>
      <c r="C31" s="15" t="s">
        <v>663</v>
      </c>
      <c r="D31" s="15" t="s">
        <v>33</v>
      </c>
      <c r="E31" s="10" t="s">
        <v>664</v>
      </c>
      <c r="F31" s="98"/>
      <c r="G31" s="59" t="s">
        <v>665</v>
      </c>
      <c r="H31" s="49"/>
      <c r="I31" s="47"/>
      <c r="J31" s="47"/>
      <c r="K31" s="47"/>
      <c r="L31" s="47"/>
      <c r="M31" s="47"/>
      <c r="N31" s="47"/>
      <c r="O31" s="103">
        <f t="shared" si="2"/>
        <v>0</v>
      </c>
      <c r="P31" s="47" t="s">
        <v>708</v>
      </c>
      <c r="Q31" s="47"/>
      <c r="R31" s="104">
        <f t="shared" si="3"/>
        <v>70</v>
      </c>
      <c r="S31" s="104" t="str">
        <f t="shared" si="4"/>
        <v/>
      </c>
      <c r="T31" s="105">
        <f t="shared" si="5"/>
        <v>70</v>
      </c>
      <c r="U31" s="50"/>
    </row>
    <row r="32" spans="1:21" x14ac:dyDescent="0.25">
      <c r="A32" s="46">
        <f t="shared" si="1"/>
        <v>21</v>
      </c>
      <c r="B32" s="47">
        <v>1</v>
      </c>
      <c r="C32" s="7" t="s">
        <v>158</v>
      </c>
      <c r="D32" s="7" t="s">
        <v>159</v>
      </c>
      <c r="E32" s="8" t="s">
        <v>160</v>
      </c>
      <c r="F32" s="100" t="s">
        <v>504</v>
      </c>
      <c r="G32" s="12" t="s">
        <v>468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103">
        <f t="shared" si="2"/>
        <v>0</v>
      </c>
      <c r="P32" s="47" t="s">
        <v>708</v>
      </c>
      <c r="Q32" s="47"/>
      <c r="R32" s="104">
        <f t="shared" si="3"/>
        <v>160</v>
      </c>
      <c r="S32" s="104" t="str">
        <f t="shared" si="4"/>
        <v/>
      </c>
      <c r="T32" s="105">
        <f t="shared" si="5"/>
        <v>160</v>
      </c>
      <c r="U32" s="52"/>
    </row>
    <row r="33" spans="1:21" x14ac:dyDescent="0.25">
      <c r="A33" s="46">
        <f t="shared" si="1"/>
        <v>22</v>
      </c>
      <c r="B33" s="47">
        <v>1</v>
      </c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>
        <v>1</v>
      </c>
      <c r="I33" s="47"/>
      <c r="J33" s="47"/>
      <c r="K33" s="47"/>
      <c r="L33" s="47"/>
      <c r="M33" s="47"/>
      <c r="N33" s="47"/>
      <c r="O33" s="103">
        <f t="shared" si="2"/>
        <v>0</v>
      </c>
      <c r="P33" s="47" t="s">
        <v>708</v>
      </c>
      <c r="Q33" s="47"/>
      <c r="R33" s="104">
        <f t="shared" si="3"/>
        <v>80</v>
      </c>
      <c r="S33" s="104" t="str">
        <f t="shared" si="4"/>
        <v/>
      </c>
      <c r="T33" s="105">
        <f t="shared" si="5"/>
        <v>80</v>
      </c>
      <c r="U33" s="50"/>
    </row>
    <row r="34" spans="1:21" x14ac:dyDescent="0.25">
      <c r="A34" s="46">
        <f t="shared" si="1"/>
        <v>23</v>
      </c>
      <c r="B34" s="54">
        <v>1</v>
      </c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>
        <v>1</v>
      </c>
      <c r="I34" s="47">
        <v>1</v>
      </c>
      <c r="J34" s="47"/>
      <c r="K34" s="47"/>
      <c r="L34" s="47"/>
      <c r="M34" s="47"/>
      <c r="N34" s="47"/>
      <c r="O34" s="103">
        <f t="shared" si="2"/>
        <v>0</v>
      </c>
      <c r="P34" s="99" t="s">
        <v>708</v>
      </c>
      <c r="Q34" s="99"/>
      <c r="R34" s="104">
        <f t="shared" si="3"/>
        <v>90</v>
      </c>
      <c r="S34" s="104" t="str">
        <f t="shared" si="4"/>
        <v/>
      </c>
      <c r="T34" s="105">
        <f t="shared" si="5"/>
        <v>90</v>
      </c>
      <c r="U34" s="50"/>
    </row>
    <row r="35" spans="1:21" x14ac:dyDescent="0.25">
      <c r="A35" s="46">
        <f t="shared" si="1"/>
        <v>24</v>
      </c>
      <c r="B35" s="47">
        <v>1</v>
      </c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>
        <v>1</v>
      </c>
      <c r="I35" s="47">
        <v>1</v>
      </c>
      <c r="J35" s="47">
        <v>1</v>
      </c>
      <c r="K35" s="47"/>
      <c r="L35" s="47"/>
      <c r="M35" s="47"/>
      <c r="N35" s="47"/>
      <c r="O35" s="103">
        <f t="shared" si="2"/>
        <v>0</v>
      </c>
      <c r="P35" s="47" t="s">
        <v>708</v>
      </c>
      <c r="Q35" s="47"/>
      <c r="R35" s="104">
        <f t="shared" si="3"/>
        <v>110</v>
      </c>
      <c r="S35" s="104" t="str">
        <f t="shared" si="4"/>
        <v/>
      </c>
      <c r="T35" s="105">
        <f t="shared" si="5"/>
        <v>110</v>
      </c>
      <c r="U35" s="52"/>
    </row>
    <row r="36" spans="1:21" x14ac:dyDescent="0.25">
      <c r="A36" s="46">
        <f t="shared" si="1"/>
        <v>25</v>
      </c>
      <c r="B36" s="47">
        <v>1</v>
      </c>
      <c r="C36" s="5" t="s">
        <v>175</v>
      </c>
      <c r="D36" s="5" t="s">
        <v>72</v>
      </c>
      <c r="E36" s="6" t="s">
        <v>176</v>
      </c>
      <c r="F36" s="48"/>
      <c r="G36" s="12"/>
      <c r="H36" s="49">
        <v>1</v>
      </c>
      <c r="I36" s="47"/>
      <c r="J36" s="47"/>
      <c r="K36" s="47"/>
      <c r="L36" s="47"/>
      <c r="M36" s="47"/>
      <c r="N36" s="47"/>
      <c r="O36" s="103">
        <f t="shared" si="2"/>
        <v>0</v>
      </c>
      <c r="P36" s="47" t="s">
        <v>708</v>
      </c>
      <c r="Q36" s="47"/>
      <c r="R36" s="104">
        <f t="shared" si="3"/>
        <v>80</v>
      </c>
      <c r="S36" s="104" t="str">
        <f t="shared" si="4"/>
        <v/>
      </c>
      <c r="T36" s="105">
        <f t="shared" si="5"/>
        <v>80</v>
      </c>
      <c r="U36" s="52"/>
    </row>
    <row r="37" spans="1:21" x14ac:dyDescent="0.25">
      <c r="A37" s="46">
        <f t="shared" si="1"/>
        <v>26</v>
      </c>
      <c r="B37" s="54">
        <v>1</v>
      </c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>
        <v>1</v>
      </c>
      <c r="I37" s="54"/>
      <c r="J37" s="54">
        <v>1</v>
      </c>
      <c r="K37" s="55"/>
      <c r="L37" s="55"/>
      <c r="M37" s="55"/>
      <c r="N37" s="55"/>
      <c r="O37" s="103">
        <f t="shared" si="2"/>
        <v>0</v>
      </c>
      <c r="P37" s="99" t="s">
        <v>708</v>
      </c>
      <c r="Q37" s="99"/>
      <c r="R37" s="104">
        <f t="shared" si="3"/>
        <v>100</v>
      </c>
      <c r="S37" s="104" t="str">
        <f t="shared" si="4"/>
        <v/>
      </c>
      <c r="T37" s="105">
        <f t="shared" si="5"/>
        <v>100</v>
      </c>
      <c r="U37" s="52"/>
    </row>
    <row r="38" spans="1:21" x14ac:dyDescent="0.25">
      <c r="A38" s="46">
        <f t="shared" si="1"/>
        <v>27</v>
      </c>
      <c r="B38" s="47">
        <v>1</v>
      </c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>
        <v>1</v>
      </c>
      <c r="I38" s="47">
        <v>1</v>
      </c>
      <c r="J38" s="47">
        <v>1</v>
      </c>
      <c r="K38" s="47">
        <v>1</v>
      </c>
      <c r="L38" s="47"/>
      <c r="M38" s="47"/>
      <c r="N38" s="47"/>
      <c r="O38" s="103">
        <f t="shared" si="2"/>
        <v>0</v>
      </c>
      <c r="P38" s="47" t="s">
        <v>708</v>
      </c>
      <c r="Q38" s="47"/>
      <c r="R38" s="104">
        <f t="shared" si="3"/>
        <v>160</v>
      </c>
      <c r="S38" s="104" t="str">
        <f t="shared" si="4"/>
        <v/>
      </c>
      <c r="T38" s="105">
        <f t="shared" si="5"/>
        <v>160</v>
      </c>
      <c r="U38" s="50"/>
    </row>
    <row r="39" spans="1:21" x14ac:dyDescent="0.25">
      <c r="A39" s="46">
        <f t="shared" si="1"/>
        <v>28</v>
      </c>
      <c r="B39" s="54">
        <v>1</v>
      </c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>
        <v>1</v>
      </c>
      <c r="J39" s="54"/>
      <c r="K39" s="55"/>
      <c r="L39" s="55"/>
      <c r="M39" s="55"/>
      <c r="N39" s="55"/>
      <c r="O39" s="103">
        <f t="shared" si="2"/>
        <v>0</v>
      </c>
      <c r="P39" s="99" t="s">
        <v>708</v>
      </c>
      <c r="Q39" s="99"/>
      <c r="R39" s="104">
        <f t="shared" si="3"/>
        <v>80</v>
      </c>
      <c r="S39" s="104" t="str">
        <f t="shared" si="4"/>
        <v/>
      </c>
      <c r="T39" s="105">
        <f t="shared" si="5"/>
        <v>80</v>
      </c>
      <c r="U39" s="50"/>
    </row>
    <row r="40" spans="1:21" x14ac:dyDescent="0.25">
      <c r="A40" s="46">
        <f t="shared" si="1"/>
        <v>29</v>
      </c>
      <c r="B40" s="47">
        <v>1</v>
      </c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103">
        <f t="shared" si="2"/>
        <v>0</v>
      </c>
      <c r="P40" s="47" t="s">
        <v>708</v>
      </c>
      <c r="Q40" s="47"/>
      <c r="R40" s="104">
        <f t="shared" si="3"/>
        <v>70</v>
      </c>
      <c r="S40" s="104" t="str">
        <f t="shared" si="4"/>
        <v/>
      </c>
      <c r="T40" s="105">
        <f t="shared" si="5"/>
        <v>70</v>
      </c>
      <c r="U40" s="52"/>
    </row>
    <row r="41" spans="1:21" x14ac:dyDescent="0.25">
      <c r="A41" s="46">
        <f t="shared" si="1"/>
        <v>30</v>
      </c>
      <c r="B41" s="54">
        <v>1</v>
      </c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>
        <v>1</v>
      </c>
      <c r="I41" s="54"/>
      <c r="J41" s="54"/>
      <c r="K41" s="55"/>
      <c r="L41" s="55"/>
      <c r="M41" s="55"/>
      <c r="N41" s="55"/>
      <c r="O41" s="103">
        <f t="shared" si="2"/>
        <v>0</v>
      </c>
      <c r="P41" s="99" t="s">
        <v>708</v>
      </c>
      <c r="Q41" s="99"/>
      <c r="R41" s="104">
        <f t="shared" si="3"/>
        <v>80</v>
      </c>
      <c r="S41" s="104" t="str">
        <f t="shared" si="4"/>
        <v/>
      </c>
      <c r="T41" s="105">
        <f t="shared" si="5"/>
        <v>80</v>
      </c>
      <c r="U41" s="50"/>
    </row>
    <row r="42" spans="1:21" x14ac:dyDescent="0.25">
      <c r="A42" s="46">
        <f t="shared" si="1"/>
        <v>31</v>
      </c>
      <c r="B42" s="47">
        <v>1</v>
      </c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>
        <v>1</v>
      </c>
      <c r="I42" s="47"/>
      <c r="J42" s="47"/>
      <c r="K42" s="47"/>
      <c r="L42" s="47"/>
      <c r="M42" s="47"/>
      <c r="N42" s="47"/>
      <c r="O42" s="103">
        <f t="shared" si="2"/>
        <v>0</v>
      </c>
      <c r="P42" s="47" t="s">
        <v>708</v>
      </c>
      <c r="Q42" s="47"/>
      <c r="R42" s="104">
        <f t="shared" si="3"/>
        <v>80</v>
      </c>
      <c r="S42" s="104" t="str">
        <f t="shared" si="4"/>
        <v/>
      </c>
      <c r="T42" s="105">
        <f t="shared" si="5"/>
        <v>80</v>
      </c>
      <c r="U42" s="52"/>
    </row>
    <row r="43" spans="1:21" x14ac:dyDescent="0.25">
      <c r="A43" s="46">
        <f t="shared" si="1"/>
        <v>32</v>
      </c>
      <c r="B43" s="54">
        <v>1</v>
      </c>
      <c r="C43" s="15" t="s">
        <v>668</v>
      </c>
      <c r="D43" s="15" t="s">
        <v>669</v>
      </c>
      <c r="E43" s="10" t="s">
        <v>670</v>
      </c>
      <c r="F43" s="15"/>
      <c r="G43" s="101" t="s">
        <v>671</v>
      </c>
      <c r="H43" s="49">
        <v>1</v>
      </c>
      <c r="I43" s="47"/>
      <c r="J43" s="47"/>
      <c r="K43" s="47"/>
      <c r="L43" s="47"/>
      <c r="M43" s="47"/>
      <c r="N43" s="47"/>
      <c r="O43" s="103">
        <f t="shared" si="2"/>
        <v>0</v>
      </c>
      <c r="P43" s="47" t="s">
        <v>708</v>
      </c>
      <c r="Q43" s="99"/>
      <c r="R43" s="104">
        <f t="shared" si="3"/>
        <v>80</v>
      </c>
      <c r="S43" s="104" t="str">
        <f t="shared" si="4"/>
        <v/>
      </c>
      <c r="T43" s="105">
        <f t="shared" si="5"/>
        <v>80</v>
      </c>
      <c r="U43" s="52"/>
    </row>
    <row r="44" spans="1:21" x14ac:dyDescent="0.25">
      <c r="A44" s="46">
        <f t="shared" si="1"/>
        <v>33</v>
      </c>
      <c r="B44" s="47">
        <v>1</v>
      </c>
      <c r="C44" s="15" t="s">
        <v>672</v>
      </c>
      <c r="D44" s="15" t="s">
        <v>159</v>
      </c>
      <c r="E44" s="10" t="s">
        <v>673</v>
      </c>
      <c r="F44" s="15"/>
      <c r="G44" s="101" t="s">
        <v>674</v>
      </c>
      <c r="H44" s="49">
        <v>1</v>
      </c>
      <c r="I44" s="47">
        <v>1</v>
      </c>
      <c r="J44" s="47">
        <v>1</v>
      </c>
      <c r="K44" s="47">
        <v>1</v>
      </c>
      <c r="L44" s="47"/>
      <c r="M44" s="47"/>
      <c r="N44" s="47"/>
      <c r="O44" s="103">
        <f t="shared" ref="O44:O75" si="6">T44*N44</f>
        <v>0</v>
      </c>
      <c r="P44" s="47" t="s">
        <v>708</v>
      </c>
      <c r="Q44" s="47"/>
      <c r="R44" s="104">
        <f t="shared" ref="R44:R75" si="7">IF(OR(P44="c",P44="C"),+T44,"")</f>
        <v>160</v>
      </c>
      <c r="S44" s="104" t="str">
        <f t="shared" ref="S44:S75" si="8">IF(OR(P44="$",N44=1),+T44,"")</f>
        <v/>
      </c>
      <c r="T44" s="105">
        <f t="shared" ref="T44:T75" si="9">B44*FRegMainSetUpEntryFee + H44*FRegMainSetUpPool1Fee + I44*FRegMainSetUpPool2Fee + J44*FRegMainSetUpPool3Fee + K44*FRegMainSetUpPool4Fee</f>
        <v>160</v>
      </c>
      <c r="U44" s="50"/>
    </row>
    <row r="45" spans="1:21" x14ac:dyDescent="0.25">
      <c r="A45" s="46">
        <f t="shared" si="1"/>
        <v>34</v>
      </c>
      <c r="B45" s="54">
        <v>1</v>
      </c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>
        <v>1</v>
      </c>
      <c r="I45" s="54">
        <v>1</v>
      </c>
      <c r="J45" s="54">
        <v>1</v>
      </c>
      <c r="K45" s="55"/>
      <c r="L45" s="55"/>
      <c r="M45" s="55"/>
      <c r="N45" s="55"/>
      <c r="O45" s="103">
        <f t="shared" si="6"/>
        <v>0</v>
      </c>
      <c r="P45" s="99" t="s">
        <v>708</v>
      </c>
      <c r="Q45" s="99"/>
      <c r="R45" s="104">
        <f t="shared" si="7"/>
        <v>110</v>
      </c>
      <c r="S45" s="104" t="str">
        <f t="shared" si="8"/>
        <v/>
      </c>
      <c r="T45" s="105">
        <f t="shared" si="9"/>
        <v>110</v>
      </c>
      <c r="U45" s="52"/>
    </row>
    <row r="46" spans="1:21" x14ac:dyDescent="0.25">
      <c r="A46" s="46">
        <f t="shared" si="1"/>
        <v>35</v>
      </c>
      <c r="B46" s="54">
        <v>1</v>
      </c>
      <c r="C46" s="15" t="s">
        <v>675</v>
      </c>
      <c r="D46" s="15" t="s">
        <v>350</v>
      </c>
      <c r="E46" s="10" t="s">
        <v>676</v>
      </c>
      <c r="F46" s="15"/>
      <c r="G46" s="15"/>
      <c r="H46" s="49">
        <v>1</v>
      </c>
      <c r="I46" s="47"/>
      <c r="J46" s="47"/>
      <c r="K46" s="47"/>
      <c r="L46" s="47"/>
      <c r="M46" s="47"/>
      <c r="N46" s="47"/>
      <c r="O46" s="103">
        <f t="shared" si="6"/>
        <v>0</v>
      </c>
      <c r="P46" s="47" t="s">
        <v>708</v>
      </c>
      <c r="Q46" s="47"/>
      <c r="R46" s="104">
        <f t="shared" si="7"/>
        <v>80</v>
      </c>
      <c r="S46" s="104" t="str">
        <f t="shared" si="8"/>
        <v/>
      </c>
      <c r="T46" s="105">
        <f t="shared" si="9"/>
        <v>80</v>
      </c>
      <c r="U46" s="52"/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103">
        <f t="shared" si="6"/>
        <v>0</v>
      </c>
      <c r="P47" s="47" t="s">
        <v>708</v>
      </c>
      <c r="Q47" s="47"/>
      <c r="R47" s="104">
        <f t="shared" si="7"/>
        <v>160</v>
      </c>
      <c r="S47" s="104" t="str">
        <f t="shared" si="8"/>
        <v/>
      </c>
      <c r="T47" s="105">
        <f t="shared" si="9"/>
        <v>160</v>
      </c>
      <c r="U47" s="52"/>
    </row>
    <row r="48" spans="1:21" x14ac:dyDescent="0.25">
      <c r="A48" s="46">
        <f t="shared" si="1"/>
        <v>37</v>
      </c>
      <c r="B48" s="54">
        <v>1</v>
      </c>
      <c r="C48" s="15" t="s">
        <v>677</v>
      </c>
      <c r="D48" s="15" t="s">
        <v>159</v>
      </c>
      <c r="E48" s="10" t="s">
        <v>678</v>
      </c>
      <c r="G48" s="101" t="s">
        <v>679</v>
      </c>
      <c r="H48" s="54">
        <v>1</v>
      </c>
      <c r="I48" s="54"/>
      <c r="J48" s="54">
        <v>1</v>
      </c>
      <c r="K48" s="55"/>
      <c r="L48" s="55"/>
      <c r="M48" s="55"/>
      <c r="N48" s="55"/>
      <c r="O48" s="103">
        <f t="shared" si="6"/>
        <v>0</v>
      </c>
      <c r="P48" s="99" t="s">
        <v>708</v>
      </c>
      <c r="Q48" s="99"/>
      <c r="R48" s="104">
        <f t="shared" si="7"/>
        <v>100</v>
      </c>
      <c r="S48" s="104" t="str">
        <f t="shared" si="8"/>
        <v/>
      </c>
      <c r="T48" s="105">
        <f t="shared" si="9"/>
        <v>100</v>
      </c>
      <c r="U48" s="50"/>
    </row>
    <row r="49" spans="1:21" x14ac:dyDescent="0.25">
      <c r="A49" s="46">
        <f t="shared" si="1"/>
        <v>38</v>
      </c>
      <c r="B49" s="47">
        <v>1</v>
      </c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>
        <v>1</v>
      </c>
      <c r="I49" s="47"/>
      <c r="J49" s="47"/>
      <c r="K49" s="47"/>
      <c r="L49" s="47"/>
      <c r="M49" s="47"/>
      <c r="N49" s="47"/>
      <c r="O49" s="103">
        <f t="shared" si="6"/>
        <v>0</v>
      </c>
      <c r="P49" s="47" t="s">
        <v>708</v>
      </c>
      <c r="Q49" s="47"/>
      <c r="R49" s="104">
        <f t="shared" si="7"/>
        <v>80</v>
      </c>
      <c r="S49" s="104" t="str">
        <f t="shared" si="8"/>
        <v/>
      </c>
      <c r="T49" s="105">
        <f t="shared" si="9"/>
        <v>80</v>
      </c>
      <c r="U49" s="52"/>
    </row>
    <row r="50" spans="1:21" x14ac:dyDescent="0.25">
      <c r="A50" s="46">
        <f t="shared" si="1"/>
        <v>39</v>
      </c>
      <c r="B50" s="54">
        <v>1</v>
      </c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103">
        <f t="shared" si="6"/>
        <v>0</v>
      </c>
      <c r="P50" s="99" t="s">
        <v>708</v>
      </c>
      <c r="Q50" s="99"/>
      <c r="R50" s="104">
        <f t="shared" si="7"/>
        <v>70</v>
      </c>
      <c r="S50" s="104" t="str">
        <f t="shared" si="8"/>
        <v/>
      </c>
      <c r="T50" s="105">
        <f t="shared" si="9"/>
        <v>70</v>
      </c>
      <c r="U50" s="52"/>
    </row>
    <row r="51" spans="1:21" x14ac:dyDescent="0.25">
      <c r="A51" s="46">
        <f t="shared" si="1"/>
        <v>40</v>
      </c>
      <c r="B51" s="54">
        <v>1</v>
      </c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103">
        <f t="shared" si="6"/>
        <v>0</v>
      </c>
      <c r="P51" s="99" t="s">
        <v>708</v>
      </c>
      <c r="Q51" s="99"/>
      <c r="R51" s="104">
        <f t="shared" si="7"/>
        <v>70</v>
      </c>
      <c r="S51" s="104" t="str">
        <f t="shared" si="8"/>
        <v/>
      </c>
      <c r="T51" s="105">
        <f t="shared" si="9"/>
        <v>70</v>
      </c>
      <c r="U51" s="52"/>
    </row>
    <row r="52" spans="1:21" x14ac:dyDescent="0.25">
      <c r="A52" s="46">
        <f t="shared" si="1"/>
        <v>41</v>
      </c>
      <c r="B52" s="54">
        <v>1</v>
      </c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103">
        <f t="shared" si="6"/>
        <v>0</v>
      </c>
      <c r="P52" s="99" t="s">
        <v>708</v>
      </c>
      <c r="Q52" s="99"/>
      <c r="R52" s="104">
        <f t="shared" si="7"/>
        <v>70</v>
      </c>
      <c r="S52" s="104" t="str">
        <f t="shared" si="8"/>
        <v/>
      </c>
      <c r="T52" s="105">
        <f t="shared" si="9"/>
        <v>70</v>
      </c>
      <c r="U52" s="50"/>
    </row>
    <row r="53" spans="1:21" x14ac:dyDescent="0.25">
      <c r="A53" s="46">
        <f t="shared" si="1"/>
        <v>42</v>
      </c>
      <c r="B53" s="54">
        <v>1</v>
      </c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>
        <v>1</v>
      </c>
      <c r="J53" s="47"/>
      <c r="K53" s="47"/>
      <c r="L53" s="47"/>
      <c r="M53" s="47"/>
      <c r="N53" s="47"/>
      <c r="O53" s="103">
        <f t="shared" si="6"/>
        <v>0</v>
      </c>
      <c r="P53" s="47" t="s">
        <v>708</v>
      </c>
      <c r="Q53" s="47"/>
      <c r="R53" s="104">
        <f t="shared" si="7"/>
        <v>80</v>
      </c>
      <c r="S53" s="104" t="str">
        <f t="shared" si="8"/>
        <v/>
      </c>
      <c r="T53" s="105">
        <f t="shared" si="9"/>
        <v>80</v>
      </c>
      <c r="U53" s="52"/>
    </row>
    <row r="54" spans="1:21" x14ac:dyDescent="0.25">
      <c r="A54" s="46">
        <f t="shared" si="1"/>
        <v>43</v>
      </c>
      <c r="B54" s="54">
        <v>1</v>
      </c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>
        <v>1</v>
      </c>
      <c r="I54" s="54">
        <v>1</v>
      </c>
      <c r="J54" s="54">
        <v>1</v>
      </c>
      <c r="K54" s="55">
        <v>1</v>
      </c>
      <c r="L54" s="55"/>
      <c r="M54" s="55"/>
      <c r="N54" s="55"/>
      <c r="O54" s="103">
        <f t="shared" si="6"/>
        <v>0</v>
      </c>
      <c r="P54" s="99" t="s">
        <v>708</v>
      </c>
      <c r="Q54" s="99"/>
      <c r="R54" s="104">
        <f t="shared" si="7"/>
        <v>160</v>
      </c>
      <c r="S54" s="104" t="str">
        <f t="shared" si="8"/>
        <v/>
      </c>
      <c r="T54" s="105">
        <f t="shared" si="9"/>
        <v>160</v>
      </c>
      <c r="U54" s="52"/>
    </row>
    <row r="55" spans="1:21" x14ac:dyDescent="0.25">
      <c r="A55" s="46">
        <f t="shared" si="1"/>
        <v>44</v>
      </c>
      <c r="B55" s="47">
        <v>1</v>
      </c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>
        <v>1</v>
      </c>
      <c r="I55" s="49">
        <v>1</v>
      </c>
      <c r="J55" s="49">
        <v>1</v>
      </c>
      <c r="K55" s="49">
        <v>1</v>
      </c>
      <c r="L55" s="47"/>
      <c r="M55" s="47"/>
      <c r="N55" s="47"/>
      <c r="O55" s="103">
        <f t="shared" si="6"/>
        <v>0</v>
      </c>
      <c r="P55" s="47" t="s">
        <v>708</v>
      </c>
      <c r="Q55" s="99"/>
      <c r="R55" s="104">
        <f t="shared" si="7"/>
        <v>160</v>
      </c>
      <c r="S55" s="104" t="str">
        <f t="shared" si="8"/>
        <v/>
      </c>
      <c r="T55" s="105">
        <f t="shared" si="9"/>
        <v>160</v>
      </c>
      <c r="U55" s="52"/>
    </row>
    <row r="56" spans="1:21" x14ac:dyDescent="0.25">
      <c r="A56" s="46">
        <f t="shared" si="1"/>
        <v>45</v>
      </c>
      <c r="B56" s="54">
        <v>1</v>
      </c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>
        <v>1</v>
      </c>
      <c r="I56" s="47"/>
      <c r="J56" s="47"/>
      <c r="K56" s="47"/>
      <c r="L56" s="47"/>
      <c r="M56" s="47"/>
      <c r="N56" s="47"/>
      <c r="O56" s="103">
        <f t="shared" si="6"/>
        <v>0</v>
      </c>
      <c r="P56" s="47" t="s">
        <v>708</v>
      </c>
      <c r="Q56" s="47"/>
      <c r="R56" s="104">
        <f t="shared" si="7"/>
        <v>80</v>
      </c>
      <c r="S56" s="104" t="str">
        <f t="shared" si="8"/>
        <v/>
      </c>
      <c r="T56" s="105">
        <f t="shared" si="9"/>
        <v>80</v>
      </c>
      <c r="U56" s="52"/>
    </row>
    <row r="57" spans="1:21" x14ac:dyDescent="0.25">
      <c r="A57" s="46">
        <f t="shared" si="1"/>
        <v>46</v>
      </c>
      <c r="B57" s="47">
        <v>1</v>
      </c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>
        <v>1</v>
      </c>
      <c r="I57" s="47">
        <v>1</v>
      </c>
      <c r="J57" s="47">
        <v>1</v>
      </c>
      <c r="K57" s="47">
        <v>1</v>
      </c>
      <c r="L57" s="47"/>
      <c r="M57" s="47"/>
      <c r="N57" s="47"/>
      <c r="O57" s="103">
        <f t="shared" si="6"/>
        <v>0</v>
      </c>
      <c r="P57" s="47" t="s">
        <v>708</v>
      </c>
      <c r="Q57" s="47"/>
      <c r="R57" s="104">
        <f t="shared" si="7"/>
        <v>160</v>
      </c>
      <c r="S57" s="104" t="str">
        <f t="shared" si="8"/>
        <v/>
      </c>
      <c r="T57" s="105">
        <f t="shared" si="9"/>
        <v>160</v>
      </c>
      <c r="U57" s="50"/>
    </row>
    <row r="58" spans="1:21" x14ac:dyDescent="0.25">
      <c r="A58" s="46">
        <f t="shared" si="1"/>
        <v>47</v>
      </c>
      <c r="B58" s="47">
        <v>1</v>
      </c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>
        <v>1</v>
      </c>
      <c r="I58" s="47">
        <v>1</v>
      </c>
      <c r="J58" s="47">
        <v>1</v>
      </c>
      <c r="K58" s="47">
        <v>1</v>
      </c>
      <c r="L58" s="47"/>
      <c r="M58" s="47"/>
      <c r="N58" s="47"/>
      <c r="O58" s="103">
        <f t="shared" si="6"/>
        <v>0</v>
      </c>
      <c r="P58" s="47" t="s">
        <v>708</v>
      </c>
      <c r="Q58" s="99"/>
      <c r="R58" s="104">
        <f t="shared" si="7"/>
        <v>160</v>
      </c>
      <c r="S58" s="104" t="str">
        <f t="shared" si="8"/>
        <v/>
      </c>
      <c r="T58" s="105">
        <f t="shared" si="9"/>
        <v>160</v>
      </c>
      <c r="U58" s="52"/>
    </row>
    <row r="59" spans="1:21" x14ac:dyDescent="0.25">
      <c r="A59" s="46">
        <f t="shared" si="1"/>
        <v>48</v>
      </c>
      <c r="B59" s="47">
        <v>1</v>
      </c>
      <c r="C59" s="15" t="s">
        <v>688</v>
      </c>
      <c r="D59" s="15" t="s">
        <v>45</v>
      </c>
      <c r="E59" s="15" t="s">
        <v>689</v>
      </c>
      <c r="G59" s="15"/>
      <c r="H59" s="49"/>
      <c r="I59" s="47"/>
      <c r="J59" s="47"/>
      <c r="K59" s="47"/>
      <c r="L59" s="47"/>
      <c r="M59" s="47"/>
      <c r="N59" s="47"/>
      <c r="O59" s="103">
        <f t="shared" si="6"/>
        <v>0</v>
      </c>
      <c r="P59" s="47" t="s">
        <v>708</v>
      </c>
      <c r="Q59" s="47"/>
      <c r="R59" s="104">
        <f t="shared" si="7"/>
        <v>70</v>
      </c>
      <c r="S59" s="104" t="str">
        <f t="shared" si="8"/>
        <v/>
      </c>
      <c r="T59" s="105">
        <f t="shared" si="9"/>
        <v>70</v>
      </c>
      <c r="U59" s="50"/>
    </row>
    <row r="60" spans="1:21" x14ac:dyDescent="0.25">
      <c r="A60" s="46">
        <f t="shared" si="1"/>
        <v>49</v>
      </c>
      <c r="B60" s="54">
        <v>1</v>
      </c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>
        <v>1</v>
      </c>
      <c r="I60" s="54">
        <v>1</v>
      </c>
      <c r="J60" s="54">
        <v>1</v>
      </c>
      <c r="K60" s="55">
        <v>1</v>
      </c>
      <c r="L60" s="55"/>
      <c r="M60" s="55"/>
      <c r="N60" s="55"/>
      <c r="O60" s="103">
        <f t="shared" si="6"/>
        <v>0</v>
      </c>
      <c r="P60" s="99" t="s">
        <v>708</v>
      </c>
      <c r="Q60" s="99"/>
      <c r="R60" s="104">
        <f t="shared" si="7"/>
        <v>160</v>
      </c>
      <c r="S60" s="104" t="str">
        <f t="shared" si="8"/>
        <v/>
      </c>
      <c r="T60" s="105">
        <f t="shared" si="9"/>
        <v>160</v>
      </c>
      <c r="U60" s="52"/>
    </row>
    <row r="61" spans="1:21" x14ac:dyDescent="0.25">
      <c r="A61" s="46">
        <f t="shared" si="1"/>
        <v>50</v>
      </c>
      <c r="B61" s="47">
        <v>1</v>
      </c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>
        <v>1</v>
      </c>
      <c r="I61" s="47">
        <v>1</v>
      </c>
      <c r="J61" s="47">
        <v>1</v>
      </c>
      <c r="K61" s="47"/>
      <c r="L61" s="47"/>
      <c r="M61" s="47"/>
      <c r="N61" s="47"/>
      <c r="O61" s="103">
        <f t="shared" si="6"/>
        <v>0</v>
      </c>
      <c r="P61" s="47" t="s">
        <v>708</v>
      </c>
      <c r="Q61" s="47"/>
      <c r="R61" s="104">
        <f t="shared" si="7"/>
        <v>110</v>
      </c>
      <c r="S61" s="104" t="str">
        <f t="shared" si="8"/>
        <v/>
      </c>
      <c r="T61" s="105">
        <f t="shared" si="9"/>
        <v>110</v>
      </c>
      <c r="U61" s="50"/>
    </row>
    <row r="62" spans="1:21" x14ac:dyDescent="0.25">
      <c r="A62" s="46">
        <f t="shared" si="1"/>
        <v>51</v>
      </c>
      <c r="B62" s="47">
        <v>1</v>
      </c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>
        <v>1</v>
      </c>
      <c r="I62" s="47"/>
      <c r="J62" s="47">
        <v>1</v>
      </c>
      <c r="K62" s="47"/>
      <c r="L62" s="47"/>
      <c r="M62" s="47"/>
      <c r="N62" s="47"/>
      <c r="O62" s="103">
        <f t="shared" si="6"/>
        <v>0</v>
      </c>
      <c r="P62" s="47" t="s">
        <v>708</v>
      </c>
      <c r="Q62" s="47"/>
      <c r="R62" s="104">
        <f t="shared" si="7"/>
        <v>100</v>
      </c>
      <c r="S62" s="104" t="str">
        <f t="shared" si="8"/>
        <v/>
      </c>
      <c r="T62" s="105">
        <f t="shared" si="9"/>
        <v>100</v>
      </c>
      <c r="U62" s="52"/>
    </row>
    <row r="63" spans="1:21" x14ac:dyDescent="0.25">
      <c r="A63" s="46">
        <f t="shared" si="1"/>
        <v>52</v>
      </c>
      <c r="B63" s="47">
        <v>1</v>
      </c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103">
        <f t="shared" si="6"/>
        <v>0</v>
      </c>
      <c r="P63" s="47" t="s">
        <v>708</v>
      </c>
      <c r="Q63" s="47"/>
      <c r="R63" s="104">
        <f t="shared" si="7"/>
        <v>70</v>
      </c>
      <c r="S63" s="104" t="str">
        <f t="shared" si="8"/>
        <v/>
      </c>
      <c r="T63" s="105">
        <f t="shared" si="9"/>
        <v>70</v>
      </c>
      <c r="U63" s="52"/>
    </row>
    <row r="64" spans="1:21" x14ac:dyDescent="0.25">
      <c r="A64" s="46">
        <f t="shared" si="1"/>
        <v>53</v>
      </c>
      <c r="B64" s="54">
        <v>1</v>
      </c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>
        <v>1</v>
      </c>
      <c r="I64" s="54">
        <v>1</v>
      </c>
      <c r="J64" s="54">
        <v>1</v>
      </c>
      <c r="K64" s="55"/>
      <c r="L64" s="55"/>
      <c r="M64" s="55"/>
      <c r="N64" s="55"/>
      <c r="O64" s="103">
        <f t="shared" si="6"/>
        <v>0</v>
      </c>
      <c r="P64" s="99" t="s">
        <v>708</v>
      </c>
      <c r="Q64" s="99"/>
      <c r="R64" s="104">
        <f t="shared" si="7"/>
        <v>110</v>
      </c>
      <c r="S64" s="104" t="str">
        <f t="shared" si="8"/>
        <v/>
      </c>
      <c r="T64" s="105">
        <f t="shared" si="9"/>
        <v>110</v>
      </c>
      <c r="U64" s="52"/>
    </row>
    <row r="65" spans="1:21" x14ac:dyDescent="0.25">
      <c r="A65" s="46">
        <f t="shared" si="1"/>
        <v>54</v>
      </c>
      <c r="B65" s="47">
        <v>1</v>
      </c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>
        <v>1</v>
      </c>
      <c r="I65" s="47">
        <v>1</v>
      </c>
      <c r="J65" s="47">
        <v>1</v>
      </c>
      <c r="K65" s="47">
        <v>1</v>
      </c>
      <c r="L65" s="47"/>
      <c r="M65" s="47"/>
      <c r="N65" s="47"/>
      <c r="O65" s="103">
        <f t="shared" si="6"/>
        <v>0</v>
      </c>
      <c r="P65" s="47" t="s">
        <v>708</v>
      </c>
      <c r="Q65" s="47"/>
      <c r="R65" s="104">
        <f t="shared" si="7"/>
        <v>160</v>
      </c>
      <c r="S65" s="104" t="str">
        <f t="shared" si="8"/>
        <v/>
      </c>
      <c r="T65" s="105">
        <f t="shared" si="9"/>
        <v>160</v>
      </c>
      <c r="U65" s="52"/>
    </row>
    <row r="66" spans="1:21" x14ac:dyDescent="0.25">
      <c r="A66" s="46">
        <f t="shared" si="1"/>
        <v>55</v>
      </c>
      <c r="B66" s="54">
        <v>1</v>
      </c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>
        <v>1</v>
      </c>
      <c r="I66" s="55"/>
      <c r="J66" s="55"/>
      <c r="K66" s="55"/>
      <c r="L66" s="55"/>
      <c r="M66" s="55"/>
      <c r="N66" s="55"/>
      <c r="O66" s="103">
        <f t="shared" si="6"/>
        <v>0</v>
      </c>
      <c r="P66" s="99" t="s">
        <v>708</v>
      </c>
      <c r="Q66" s="99"/>
      <c r="R66" s="104">
        <f t="shared" si="7"/>
        <v>80</v>
      </c>
      <c r="S66" s="104" t="str">
        <f t="shared" si="8"/>
        <v/>
      </c>
      <c r="T66" s="105">
        <f t="shared" si="9"/>
        <v>80</v>
      </c>
      <c r="U66" s="50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>
        <v>1</v>
      </c>
      <c r="J67" s="47">
        <v>1</v>
      </c>
      <c r="K67" s="47"/>
      <c r="L67" s="47"/>
      <c r="M67" s="47"/>
      <c r="N67" s="47"/>
      <c r="O67" s="103">
        <f t="shared" si="6"/>
        <v>0</v>
      </c>
      <c r="P67" s="47" t="s">
        <v>708</v>
      </c>
      <c r="Q67" s="47"/>
      <c r="R67" s="104">
        <f t="shared" si="7"/>
        <v>100</v>
      </c>
      <c r="S67" s="104" t="str">
        <f t="shared" si="8"/>
        <v/>
      </c>
      <c r="T67" s="105">
        <f t="shared" si="9"/>
        <v>100</v>
      </c>
      <c r="U67" s="52"/>
    </row>
    <row r="68" spans="1:21" x14ac:dyDescent="0.25">
      <c r="A68" s="46">
        <f t="shared" si="1"/>
        <v>57</v>
      </c>
      <c r="B68" s="54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103">
        <f t="shared" si="6"/>
        <v>0</v>
      </c>
      <c r="P68" s="99" t="s">
        <v>708</v>
      </c>
      <c r="Q68" s="99"/>
      <c r="R68" s="104">
        <f t="shared" si="7"/>
        <v>70</v>
      </c>
      <c r="S68" s="104" t="str">
        <f t="shared" si="8"/>
        <v/>
      </c>
      <c r="T68" s="105">
        <f t="shared" si="9"/>
        <v>70</v>
      </c>
      <c r="U68" s="50"/>
    </row>
    <row r="69" spans="1:21" x14ac:dyDescent="0.25">
      <c r="A69" s="46">
        <f t="shared" si="1"/>
        <v>58</v>
      </c>
      <c r="B69" s="47">
        <v>1</v>
      </c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>
        <v>1</v>
      </c>
      <c r="J69" s="47"/>
      <c r="K69" s="47"/>
      <c r="L69" s="47"/>
      <c r="M69" s="47"/>
      <c r="N69" s="47"/>
      <c r="O69" s="103">
        <f t="shared" si="6"/>
        <v>0</v>
      </c>
      <c r="P69" s="47" t="s">
        <v>708</v>
      </c>
      <c r="Q69" s="47"/>
      <c r="R69" s="104">
        <f t="shared" si="7"/>
        <v>80</v>
      </c>
      <c r="S69" s="104" t="str">
        <f t="shared" si="8"/>
        <v/>
      </c>
      <c r="T69" s="105">
        <f t="shared" si="9"/>
        <v>80</v>
      </c>
      <c r="U69" s="52"/>
    </row>
    <row r="70" spans="1:21" x14ac:dyDescent="0.25">
      <c r="A70" s="46">
        <f t="shared" si="1"/>
        <v>59</v>
      </c>
      <c r="B70" s="47">
        <v>1</v>
      </c>
      <c r="C70" s="15" t="s">
        <v>692</v>
      </c>
      <c r="D70" s="15" t="s">
        <v>693</v>
      </c>
      <c r="E70" s="15" t="s">
        <v>694</v>
      </c>
      <c r="F70" s="15"/>
      <c r="G70" s="15"/>
      <c r="H70" s="49">
        <v>1</v>
      </c>
      <c r="I70" s="47"/>
      <c r="J70" s="47"/>
      <c r="K70" s="47"/>
      <c r="L70" s="47"/>
      <c r="M70" s="47"/>
      <c r="N70" s="47"/>
      <c r="O70" s="103">
        <f t="shared" si="6"/>
        <v>0</v>
      </c>
      <c r="P70" s="47" t="s">
        <v>708</v>
      </c>
      <c r="Q70" s="47"/>
      <c r="R70" s="104">
        <f t="shared" si="7"/>
        <v>80</v>
      </c>
      <c r="S70" s="104" t="str">
        <f t="shared" si="8"/>
        <v/>
      </c>
      <c r="T70" s="105">
        <f t="shared" si="9"/>
        <v>80</v>
      </c>
      <c r="U70" s="52"/>
    </row>
    <row r="71" spans="1:21" x14ac:dyDescent="0.25">
      <c r="A71" s="46">
        <f t="shared" si="1"/>
        <v>60</v>
      </c>
      <c r="B71" s="47">
        <v>1</v>
      </c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>
        <v>1</v>
      </c>
      <c r="I71" s="47">
        <v>1</v>
      </c>
      <c r="J71" s="47"/>
      <c r="K71" s="47"/>
      <c r="L71" s="47"/>
      <c r="M71" s="47"/>
      <c r="N71" s="47"/>
      <c r="O71" s="103">
        <f t="shared" si="6"/>
        <v>0</v>
      </c>
      <c r="P71" s="47" t="s">
        <v>708</v>
      </c>
      <c r="Q71" s="47"/>
      <c r="R71" s="104">
        <f t="shared" si="7"/>
        <v>90</v>
      </c>
      <c r="S71" s="104" t="str">
        <f t="shared" si="8"/>
        <v/>
      </c>
      <c r="T71" s="105">
        <f t="shared" si="9"/>
        <v>90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103">
        <f t="shared" si="6"/>
        <v>0</v>
      </c>
      <c r="P72" s="47" t="s">
        <v>708</v>
      </c>
      <c r="Q72" s="47"/>
      <c r="R72" s="104">
        <f t="shared" si="7"/>
        <v>0</v>
      </c>
      <c r="S72" s="104" t="str">
        <f t="shared" si="8"/>
        <v/>
      </c>
      <c r="T72" s="105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103">
        <f t="shared" si="6"/>
        <v>0</v>
      </c>
      <c r="P73" s="47" t="s">
        <v>708</v>
      </c>
      <c r="Q73" s="47"/>
      <c r="R73" s="104">
        <f t="shared" si="7"/>
        <v>0</v>
      </c>
      <c r="S73" s="104" t="str">
        <f t="shared" si="8"/>
        <v/>
      </c>
      <c r="T73" s="105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103">
        <f t="shared" si="6"/>
        <v>0</v>
      </c>
      <c r="P74" s="99" t="s">
        <v>708</v>
      </c>
      <c r="Q74" s="99"/>
      <c r="R74" s="104">
        <f t="shared" si="7"/>
        <v>0</v>
      </c>
      <c r="S74" s="104" t="str">
        <f t="shared" si="8"/>
        <v/>
      </c>
      <c r="T74" s="105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103">
        <f t="shared" si="6"/>
        <v>0</v>
      </c>
      <c r="P75" s="47" t="s">
        <v>708</v>
      </c>
      <c r="Q75" s="47"/>
      <c r="R75" s="104">
        <f t="shared" si="7"/>
        <v>0</v>
      </c>
      <c r="S75" s="104" t="str">
        <f t="shared" si="8"/>
        <v/>
      </c>
      <c r="T75" s="105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103">
        <f t="shared" ref="O76:O107" si="11">T76*N76</f>
        <v>0</v>
      </c>
      <c r="P76" s="47" t="s">
        <v>708</v>
      </c>
      <c r="Q76" s="47"/>
      <c r="R76" s="104">
        <f t="shared" ref="R76:R107" si="12">IF(OR(P76="c",P76="C"),+T76,"")</f>
        <v>0</v>
      </c>
      <c r="S76" s="104" t="str">
        <f t="shared" ref="S76:S107" si="13">IF(OR(P76="$",N76=1),+T76,"")</f>
        <v/>
      </c>
      <c r="T76" s="105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103">
        <f t="shared" si="11"/>
        <v>0</v>
      </c>
      <c r="P77" s="47" t="s">
        <v>708</v>
      </c>
      <c r="Q77" s="47"/>
      <c r="R77" s="104">
        <f t="shared" si="12"/>
        <v>0</v>
      </c>
      <c r="S77" s="104" t="str">
        <f t="shared" si="13"/>
        <v/>
      </c>
      <c r="T77" s="105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118"/>
      <c r="G78" s="12" t="s">
        <v>452</v>
      </c>
      <c r="H78" s="49"/>
      <c r="I78" s="47"/>
      <c r="J78" s="47"/>
      <c r="K78" s="47"/>
      <c r="L78" s="47"/>
      <c r="M78" s="47"/>
      <c r="N78" s="47"/>
      <c r="O78" s="103">
        <f t="shared" si="11"/>
        <v>0</v>
      </c>
      <c r="P78" s="47" t="s">
        <v>708</v>
      </c>
      <c r="Q78" s="47"/>
      <c r="R78" s="104">
        <f t="shared" si="12"/>
        <v>0</v>
      </c>
      <c r="S78" s="104" t="str">
        <f t="shared" si="13"/>
        <v/>
      </c>
      <c r="T78" s="105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103">
        <f t="shared" si="11"/>
        <v>0</v>
      </c>
      <c r="P79" s="99" t="s">
        <v>708</v>
      </c>
      <c r="Q79" s="99"/>
      <c r="R79" s="104">
        <f t="shared" si="12"/>
        <v>0</v>
      </c>
      <c r="S79" s="104" t="str">
        <f t="shared" si="13"/>
        <v/>
      </c>
      <c r="T79" s="105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103">
        <f t="shared" si="11"/>
        <v>0</v>
      </c>
      <c r="P80" s="99" t="s">
        <v>708</v>
      </c>
      <c r="Q80" s="99"/>
      <c r="R80" s="104">
        <f t="shared" si="12"/>
        <v>0</v>
      </c>
      <c r="S80" s="104" t="str">
        <f t="shared" si="13"/>
        <v/>
      </c>
      <c r="T80" s="105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118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103">
        <f t="shared" si="11"/>
        <v>0</v>
      </c>
      <c r="P81" s="99" t="s">
        <v>708</v>
      </c>
      <c r="Q81" s="99"/>
      <c r="R81" s="104">
        <f t="shared" si="12"/>
        <v>0</v>
      </c>
      <c r="S81" s="104" t="str">
        <f t="shared" si="13"/>
        <v/>
      </c>
      <c r="T81" s="105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103">
        <f t="shared" si="11"/>
        <v>0</v>
      </c>
      <c r="P82" s="47" t="s">
        <v>708</v>
      </c>
      <c r="Q82" s="47"/>
      <c r="R82" s="104">
        <f t="shared" si="12"/>
        <v>0</v>
      </c>
      <c r="S82" s="104" t="str">
        <f t="shared" si="13"/>
        <v/>
      </c>
      <c r="T82" s="105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103">
        <f t="shared" si="11"/>
        <v>0</v>
      </c>
      <c r="P83" s="99" t="s">
        <v>708</v>
      </c>
      <c r="Q83" s="99"/>
      <c r="R83" s="104">
        <f t="shared" si="12"/>
        <v>0</v>
      </c>
      <c r="S83" s="104" t="str">
        <f t="shared" si="13"/>
        <v/>
      </c>
      <c r="T83" s="105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103">
        <f t="shared" si="11"/>
        <v>0</v>
      </c>
      <c r="P84" s="47" t="s">
        <v>708</v>
      </c>
      <c r="Q84" s="47"/>
      <c r="R84" s="104">
        <f t="shared" si="12"/>
        <v>0</v>
      </c>
      <c r="S84" s="104" t="str">
        <f t="shared" si="13"/>
        <v/>
      </c>
      <c r="T84" s="105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103">
        <f t="shared" si="11"/>
        <v>0</v>
      </c>
      <c r="P85" s="99" t="s">
        <v>708</v>
      </c>
      <c r="Q85" s="99"/>
      <c r="R85" s="104">
        <f t="shared" si="12"/>
        <v>0</v>
      </c>
      <c r="S85" s="104" t="str">
        <f t="shared" si="13"/>
        <v/>
      </c>
      <c r="T85" s="105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103">
        <f t="shared" si="11"/>
        <v>0</v>
      </c>
      <c r="P86" s="99" t="s">
        <v>708</v>
      </c>
      <c r="Q86" s="99"/>
      <c r="R86" s="104">
        <f t="shared" si="12"/>
        <v>0</v>
      </c>
      <c r="S86" s="104" t="str">
        <f t="shared" si="13"/>
        <v/>
      </c>
      <c r="T86" s="105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103">
        <f t="shared" si="11"/>
        <v>0</v>
      </c>
      <c r="P87" s="47" t="s">
        <v>708</v>
      </c>
      <c r="Q87" s="47"/>
      <c r="R87" s="104">
        <f t="shared" si="12"/>
        <v>0</v>
      </c>
      <c r="S87" s="104" t="str">
        <f t="shared" si="13"/>
        <v/>
      </c>
      <c r="T87" s="105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103">
        <f t="shared" si="11"/>
        <v>0</v>
      </c>
      <c r="P88" s="47" t="s">
        <v>708</v>
      </c>
      <c r="Q88" s="47"/>
      <c r="R88" s="104">
        <f t="shared" si="12"/>
        <v>0</v>
      </c>
      <c r="S88" s="104" t="str">
        <f t="shared" si="13"/>
        <v/>
      </c>
      <c r="T88" s="105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103">
        <f t="shared" si="11"/>
        <v>0</v>
      </c>
      <c r="P89" s="99" t="s">
        <v>708</v>
      </c>
      <c r="Q89" s="99"/>
      <c r="R89" s="104">
        <f t="shared" si="12"/>
        <v>0</v>
      </c>
      <c r="S89" s="104" t="str">
        <f t="shared" si="13"/>
        <v/>
      </c>
      <c r="T89" s="105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103">
        <f t="shared" si="11"/>
        <v>0</v>
      </c>
      <c r="P90" s="47" t="s">
        <v>708</v>
      </c>
      <c r="Q90" s="47"/>
      <c r="R90" s="104">
        <f t="shared" si="12"/>
        <v>0</v>
      </c>
      <c r="S90" s="104" t="str">
        <f t="shared" si="13"/>
        <v/>
      </c>
      <c r="T90" s="105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103">
        <f t="shared" si="11"/>
        <v>0</v>
      </c>
      <c r="P91" s="47" t="s">
        <v>708</v>
      </c>
      <c r="Q91" s="47"/>
      <c r="R91" s="104">
        <f t="shared" si="12"/>
        <v>0</v>
      </c>
      <c r="S91" s="104" t="str">
        <f t="shared" si="13"/>
        <v/>
      </c>
      <c r="T91" s="105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103">
        <f t="shared" si="11"/>
        <v>0</v>
      </c>
      <c r="P92" s="47" t="s">
        <v>708</v>
      </c>
      <c r="Q92" s="99"/>
      <c r="R92" s="104">
        <f t="shared" si="12"/>
        <v>0</v>
      </c>
      <c r="S92" s="104" t="str">
        <f t="shared" si="13"/>
        <v/>
      </c>
      <c r="T92" s="105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103">
        <f t="shared" si="11"/>
        <v>0</v>
      </c>
      <c r="P93" s="99" t="s">
        <v>708</v>
      </c>
      <c r="Q93" s="99"/>
      <c r="R93" s="104">
        <f t="shared" si="12"/>
        <v>0</v>
      </c>
      <c r="S93" s="104" t="str">
        <f t="shared" si="13"/>
        <v/>
      </c>
      <c r="T93" s="105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103">
        <f t="shared" si="11"/>
        <v>0</v>
      </c>
      <c r="P94" s="99" t="s">
        <v>708</v>
      </c>
      <c r="Q94" s="99"/>
      <c r="R94" s="104">
        <f t="shared" si="12"/>
        <v>0</v>
      </c>
      <c r="S94" s="104" t="str">
        <f t="shared" si="13"/>
        <v/>
      </c>
      <c r="T94" s="105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101" t="s">
        <v>651</v>
      </c>
      <c r="H95" s="49"/>
      <c r="I95" s="47"/>
      <c r="J95" s="47"/>
      <c r="K95" s="47"/>
      <c r="L95" s="47"/>
      <c r="M95" s="47"/>
      <c r="N95" s="47"/>
      <c r="O95" s="103">
        <f t="shared" si="11"/>
        <v>0</v>
      </c>
      <c r="P95" s="47" t="s">
        <v>708</v>
      </c>
      <c r="Q95" s="47"/>
      <c r="R95" s="104">
        <f t="shared" si="12"/>
        <v>0</v>
      </c>
      <c r="S95" s="104" t="str">
        <f t="shared" si="13"/>
        <v/>
      </c>
      <c r="T95" s="105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103">
        <f t="shared" si="11"/>
        <v>0</v>
      </c>
      <c r="P96" s="99" t="s">
        <v>708</v>
      </c>
      <c r="Q96" s="99"/>
      <c r="R96" s="104">
        <f t="shared" si="12"/>
        <v>0</v>
      </c>
      <c r="S96" s="104" t="str">
        <f t="shared" si="13"/>
        <v/>
      </c>
      <c r="T96" s="105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103">
        <f t="shared" si="11"/>
        <v>0</v>
      </c>
      <c r="P97" s="47" t="s">
        <v>708</v>
      </c>
      <c r="Q97" s="99"/>
      <c r="R97" s="104">
        <f t="shared" si="12"/>
        <v>0</v>
      </c>
      <c r="S97" s="104" t="str">
        <f t="shared" si="13"/>
        <v/>
      </c>
      <c r="T97" s="105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103">
        <f t="shared" si="11"/>
        <v>0</v>
      </c>
      <c r="P98" s="47" t="s">
        <v>708</v>
      </c>
      <c r="Q98" s="99"/>
      <c r="R98" s="104">
        <f t="shared" si="12"/>
        <v>0</v>
      </c>
      <c r="S98" s="104" t="str">
        <f t="shared" si="13"/>
        <v/>
      </c>
      <c r="T98" s="105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103">
        <f t="shared" si="11"/>
        <v>0</v>
      </c>
      <c r="P99" s="99" t="s">
        <v>708</v>
      </c>
      <c r="Q99" s="99"/>
      <c r="R99" s="104">
        <f t="shared" si="12"/>
        <v>0</v>
      </c>
      <c r="S99" s="104" t="str">
        <f t="shared" si="13"/>
        <v/>
      </c>
      <c r="T99" s="105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103">
        <f t="shared" si="11"/>
        <v>0</v>
      </c>
      <c r="P100" s="47" t="s">
        <v>708</v>
      </c>
      <c r="Q100" s="47"/>
      <c r="R100" s="104">
        <f t="shared" si="12"/>
        <v>0</v>
      </c>
      <c r="S100" s="104" t="str">
        <f t="shared" si="13"/>
        <v/>
      </c>
      <c r="T100" s="105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103">
        <f t="shared" si="11"/>
        <v>0</v>
      </c>
      <c r="P101" s="47" t="s">
        <v>708</v>
      </c>
      <c r="Q101" s="47"/>
      <c r="R101" s="104">
        <f t="shared" si="12"/>
        <v>0</v>
      </c>
      <c r="S101" s="104" t="str">
        <f t="shared" si="13"/>
        <v/>
      </c>
      <c r="T101" s="105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103">
        <f t="shared" si="11"/>
        <v>0</v>
      </c>
      <c r="P102" s="99" t="s">
        <v>708</v>
      </c>
      <c r="Q102" s="99"/>
      <c r="R102" s="104">
        <f t="shared" si="12"/>
        <v>0</v>
      </c>
      <c r="S102" s="104" t="str">
        <f t="shared" si="13"/>
        <v/>
      </c>
      <c r="T102" s="105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103">
        <f t="shared" si="11"/>
        <v>0</v>
      </c>
      <c r="P103" s="99" t="s">
        <v>708</v>
      </c>
      <c r="Q103" s="99"/>
      <c r="R103" s="104">
        <f t="shared" si="12"/>
        <v>0</v>
      </c>
      <c r="S103" s="104" t="str">
        <f t="shared" si="13"/>
        <v/>
      </c>
      <c r="T103" s="105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118"/>
      <c r="G104" s="12" t="s">
        <v>487</v>
      </c>
      <c r="H104" s="54"/>
      <c r="I104" s="54"/>
      <c r="J104" s="54"/>
      <c r="K104" s="55"/>
      <c r="L104" s="55"/>
      <c r="M104" s="55"/>
      <c r="N104" s="55"/>
      <c r="O104" s="103">
        <f t="shared" si="11"/>
        <v>0</v>
      </c>
      <c r="P104" s="99" t="s">
        <v>708</v>
      </c>
      <c r="Q104" s="99"/>
      <c r="R104" s="104">
        <f t="shared" si="12"/>
        <v>0</v>
      </c>
      <c r="S104" s="104" t="str">
        <f t="shared" si="13"/>
        <v/>
      </c>
      <c r="T104" s="105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103">
        <f t="shared" si="11"/>
        <v>0</v>
      </c>
      <c r="P105" s="99" t="s">
        <v>708</v>
      </c>
      <c r="Q105" s="99"/>
      <c r="R105" s="104">
        <f t="shared" si="12"/>
        <v>0</v>
      </c>
      <c r="S105" s="104" t="str">
        <f t="shared" si="13"/>
        <v/>
      </c>
      <c r="T105" s="105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103">
        <f t="shared" si="11"/>
        <v>0</v>
      </c>
      <c r="P106" s="99" t="s">
        <v>708</v>
      </c>
      <c r="Q106" s="99"/>
      <c r="R106" s="104">
        <f t="shared" si="12"/>
        <v>0</v>
      </c>
      <c r="S106" s="104" t="str">
        <f t="shared" si="13"/>
        <v/>
      </c>
      <c r="T106" s="105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103">
        <f t="shared" si="11"/>
        <v>0</v>
      </c>
      <c r="P107" s="99" t="s">
        <v>708</v>
      </c>
      <c r="Q107" s="47"/>
      <c r="R107" s="104">
        <f t="shared" si="12"/>
        <v>0</v>
      </c>
      <c r="S107" s="104" t="str">
        <f t="shared" si="13"/>
        <v/>
      </c>
      <c r="T107" s="105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103">
        <f t="shared" ref="O108:O139" si="15">T108*N108</f>
        <v>0</v>
      </c>
      <c r="P108" s="99" t="s">
        <v>708</v>
      </c>
      <c r="Q108" s="99"/>
      <c r="R108" s="104">
        <f t="shared" ref="R108:R139" si="16">IF(OR(P108="c",P108="C"),+T108,"")</f>
        <v>0</v>
      </c>
      <c r="S108" s="104" t="str">
        <f t="shared" ref="S108:S139" si="17">IF(OR(P108="$",N108=1),+T108,"")</f>
        <v/>
      </c>
      <c r="T108" s="105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103">
        <f t="shared" si="15"/>
        <v>0</v>
      </c>
      <c r="P109" s="47" t="s">
        <v>708</v>
      </c>
      <c r="Q109" s="47"/>
      <c r="R109" s="104">
        <f t="shared" si="16"/>
        <v>0</v>
      </c>
      <c r="S109" s="104" t="str">
        <f t="shared" si="17"/>
        <v/>
      </c>
      <c r="T109" s="105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3">
        <f t="shared" si="15"/>
        <v>0</v>
      </c>
      <c r="P110" s="47" t="s">
        <v>708</v>
      </c>
      <c r="Q110" s="47"/>
      <c r="R110" s="104">
        <f t="shared" si="16"/>
        <v>0</v>
      </c>
      <c r="S110" s="104" t="str">
        <f t="shared" si="17"/>
        <v/>
      </c>
      <c r="T110" s="105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103">
        <f t="shared" si="15"/>
        <v>0</v>
      </c>
      <c r="P111" s="47" t="s">
        <v>708</v>
      </c>
      <c r="Q111" s="47"/>
      <c r="R111" s="104">
        <f t="shared" si="16"/>
        <v>0</v>
      </c>
      <c r="S111" s="104" t="str">
        <f t="shared" si="17"/>
        <v/>
      </c>
      <c r="T111" s="105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103">
        <f t="shared" si="15"/>
        <v>0</v>
      </c>
      <c r="P112" s="47" t="s">
        <v>708</v>
      </c>
      <c r="Q112" s="47"/>
      <c r="R112" s="104">
        <f t="shared" si="16"/>
        <v>0</v>
      </c>
      <c r="S112" s="104" t="str">
        <f t="shared" si="17"/>
        <v/>
      </c>
      <c r="T112" s="105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103">
        <f t="shared" si="15"/>
        <v>0</v>
      </c>
      <c r="P113" s="47" t="s">
        <v>708</v>
      </c>
      <c r="Q113" s="47"/>
      <c r="R113" s="104">
        <f t="shared" si="16"/>
        <v>0</v>
      </c>
      <c r="S113" s="104" t="str">
        <f t="shared" si="17"/>
        <v/>
      </c>
      <c r="T113" s="105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103">
        <f t="shared" si="15"/>
        <v>0</v>
      </c>
      <c r="P114" s="99" t="s">
        <v>708</v>
      </c>
      <c r="Q114" s="99"/>
      <c r="R114" s="104">
        <f t="shared" si="16"/>
        <v>0</v>
      </c>
      <c r="S114" s="104" t="str">
        <f t="shared" si="17"/>
        <v/>
      </c>
      <c r="T114" s="105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103">
        <f t="shared" si="15"/>
        <v>0</v>
      </c>
      <c r="P115" s="99" t="s">
        <v>708</v>
      </c>
      <c r="Q115" s="99"/>
      <c r="R115" s="104">
        <f t="shared" si="16"/>
        <v>0</v>
      </c>
      <c r="S115" s="104" t="str">
        <f t="shared" si="17"/>
        <v/>
      </c>
      <c r="T115" s="105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119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103">
        <f t="shared" si="15"/>
        <v>0</v>
      </c>
      <c r="P116" s="47" t="s">
        <v>708</v>
      </c>
      <c r="Q116" s="47"/>
      <c r="R116" s="104">
        <f t="shared" si="16"/>
        <v>0</v>
      </c>
      <c r="S116" s="104" t="str">
        <f t="shared" si="17"/>
        <v/>
      </c>
      <c r="T116" s="105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92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103">
        <f t="shared" si="15"/>
        <v>0</v>
      </c>
      <c r="P117" s="47" t="s">
        <v>708</v>
      </c>
      <c r="Q117" s="47"/>
      <c r="R117" s="104">
        <f t="shared" si="16"/>
        <v>0</v>
      </c>
      <c r="S117" s="104" t="str">
        <f t="shared" si="17"/>
        <v/>
      </c>
      <c r="T117" s="105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103">
        <f t="shared" si="15"/>
        <v>0</v>
      </c>
      <c r="P118" s="47" t="s">
        <v>708</v>
      </c>
      <c r="Q118" s="47"/>
      <c r="R118" s="104">
        <f t="shared" si="16"/>
        <v>0</v>
      </c>
      <c r="S118" s="104" t="str">
        <f t="shared" si="17"/>
        <v/>
      </c>
      <c r="T118" s="105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103">
        <f t="shared" si="15"/>
        <v>0</v>
      </c>
      <c r="P119" s="47" t="s">
        <v>708</v>
      </c>
      <c r="Q119" s="47"/>
      <c r="R119" s="104">
        <f t="shared" si="16"/>
        <v>0</v>
      </c>
      <c r="S119" s="104" t="str">
        <f t="shared" si="17"/>
        <v/>
      </c>
      <c r="T119" s="105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103">
        <f t="shared" si="15"/>
        <v>0</v>
      </c>
      <c r="P120" s="47" t="s">
        <v>708</v>
      </c>
      <c r="Q120" s="47"/>
      <c r="R120" s="104">
        <f t="shared" si="16"/>
        <v>0</v>
      </c>
      <c r="S120" s="104" t="str">
        <f t="shared" si="17"/>
        <v/>
      </c>
      <c r="T120" s="105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103">
        <f t="shared" si="15"/>
        <v>0</v>
      </c>
      <c r="P121" s="47" t="s">
        <v>708</v>
      </c>
      <c r="Q121" s="47"/>
      <c r="R121" s="104">
        <f t="shared" si="16"/>
        <v>0</v>
      </c>
      <c r="S121" s="104" t="str">
        <f t="shared" si="17"/>
        <v/>
      </c>
      <c r="T121" s="105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103">
        <f t="shared" si="15"/>
        <v>0</v>
      </c>
      <c r="P122" s="99" t="s">
        <v>708</v>
      </c>
      <c r="Q122" s="99"/>
      <c r="R122" s="104">
        <f t="shared" si="16"/>
        <v>0</v>
      </c>
      <c r="S122" s="104" t="str">
        <f t="shared" si="17"/>
        <v/>
      </c>
      <c r="T122" s="105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103">
        <f t="shared" si="15"/>
        <v>0</v>
      </c>
      <c r="P123" s="99" t="s">
        <v>708</v>
      </c>
      <c r="Q123" s="99"/>
      <c r="R123" s="104">
        <f t="shared" si="16"/>
        <v>0</v>
      </c>
      <c r="S123" s="104" t="str">
        <f t="shared" si="17"/>
        <v/>
      </c>
      <c r="T123" s="105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103">
        <f t="shared" si="15"/>
        <v>0</v>
      </c>
      <c r="P124" s="47" t="s">
        <v>708</v>
      </c>
      <c r="Q124" s="47"/>
      <c r="R124" s="104">
        <f t="shared" si="16"/>
        <v>0</v>
      </c>
      <c r="S124" s="104" t="str">
        <f t="shared" si="17"/>
        <v/>
      </c>
      <c r="T124" s="105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103">
        <f t="shared" si="15"/>
        <v>0</v>
      </c>
      <c r="P125" s="47" t="s">
        <v>708</v>
      </c>
      <c r="Q125" s="47"/>
      <c r="R125" s="104">
        <f t="shared" si="16"/>
        <v>0</v>
      </c>
      <c r="S125" s="104" t="str">
        <f t="shared" si="17"/>
        <v/>
      </c>
      <c r="T125" s="105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103">
        <f t="shared" si="15"/>
        <v>0</v>
      </c>
      <c r="P126" s="47" t="s">
        <v>708</v>
      </c>
      <c r="Q126" s="47"/>
      <c r="R126" s="104">
        <f t="shared" si="16"/>
        <v>0</v>
      </c>
      <c r="S126" s="104" t="str">
        <f t="shared" si="17"/>
        <v/>
      </c>
      <c r="T126" s="105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103">
        <f t="shared" si="15"/>
        <v>0</v>
      </c>
      <c r="P127" s="47" t="s">
        <v>708</v>
      </c>
      <c r="Q127" s="47"/>
      <c r="R127" s="104">
        <f t="shared" si="16"/>
        <v>0</v>
      </c>
      <c r="S127" s="104" t="str">
        <f t="shared" si="17"/>
        <v/>
      </c>
      <c r="T127" s="105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103">
        <f t="shared" si="15"/>
        <v>0</v>
      </c>
      <c r="P128" s="47" t="s">
        <v>708</v>
      </c>
      <c r="Q128" s="47"/>
      <c r="R128" s="104">
        <f t="shared" si="16"/>
        <v>0</v>
      </c>
      <c r="S128" s="104" t="str">
        <f t="shared" si="17"/>
        <v/>
      </c>
      <c r="T128" s="105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118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103">
        <f t="shared" si="15"/>
        <v>0</v>
      </c>
      <c r="P129" s="99" t="s">
        <v>708</v>
      </c>
      <c r="Q129" s="99"/>
      <c r="R129" s="104">
        <f t="shared" si="16"/>
        <v>0</v>
      </c>
      <c r="S129" s="104" t="str">
        <f t="shared" si="17"/>
        <v/>
      </c>
      <c r="T129" s="105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103">
        <f t="shared" si="15"/>
        <v>0</v>
      </c>
      <c r="P130" s="47" t="s">
        <v>708</v>
      </c>
      <c r="Q130" s="47"/>
      <c r="R130" s="104">
        <f t="shared" si="16"/>
        <v>0</v>
      </c>
      <c r="S130" s="104" t="str">
        <f t="shared" si="17"/>
        <v/>
      </c>
      <c r="T130" s="105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103">
        <f t="shared" si="15"/>
        <v>0</v>
      </c>
      <c r="P131" s="99" t="s">
        <v>708</v>
      </c>
      <c r="Q131" s="99"/>
      <c r="R131" s="104">
        <f t="shared" si="16"/>
        <v>0</v>
      </c>
      <c r="S131" s="104" t="str">
        <f t="shared" si="17"/>
        <v/>
      </c>
      <c r="T131" s="105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103">
        <f t="shared" si="15"/>
        <v>0</v>
      </c>
      <c r="P132" s="99" t="s">
        <v>708</v>
      </c>
      <c r="Q132" s="99"/>
      <c r="R132" s="104">
        <f t="shared" si="16"/>
        <v>0</v>
      </c>
      <c r="S132" s="104" t="str">
        <f t="shared" si="17"/>
        <v/>
      </c>
      <c r="T132" s="105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103">
        <f t="shared" si="15"/>
        <v>0</v>
      </c>
      <c r="P133" s="47" t="s">
        <v>708</v>
      </c>
      <c r="Q133" s="47"/>
      <c r="R133" s="104">
        <f t="shared" si="16"/>
        <v>0</v>
      </c>
      <c r="S133" s="104" t="str">
        <f t="shared" si="17"/>
        <v/>
      </c>
      <c r="T133" s="105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103">
        <f t="shared" si="15"/>
        <v>0</v>
      </c>
      <c r="P134" s="99" t="s">
        <v>708</v>
      </c>
      <c r="Q134" s="99"/>
      <c r="R134" s="104">
        <f t="shared" si="16"/>
        <v>0</v>
      </c>
      <c r="S134" s="104" t="str">
        <f t="shared" si="17"/>
        <v/>
      </c>
      <c r="T134" s="105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103">
        <f t="shared" si="15"/>
        <v>0</v>
      </c>
      <c r="P135" s="47" t="s">
        <v>708</v>
      </c>
      <c r="Q135" s="47"/>
      <c r="R135" s="104">
        <f t="shared" si="16"/>
        <v>0</v>
      </c>
      <c r="S135" s="104" t="str">
        <f t="shared" si="17"/>
        <v/>
      </c>
      <c r="T135" s="105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103">
        <f t="shared" si="15"/>
        <v>0</v>
      </c>
      <c r="P136" s="99" t="s">
        <v>708</v>
      </c>
      <c r="Q136" s="99"/>
      <c r="R136" s="104">
        <f t="shared" si="16"/>
        <v>0</v>
      </c>
      <c r="S136" s="104" t="str">
        <f t="shared" si="17"/>
        <v/>
      </c>
      <c r="T136" s="105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103">
        <f t="shared" si="15"/>
        <v>0</v>
      </c>
      <c r="P137" s="47" t="s">
        <v>708</v>
      </c>
      <c r="Q137" s="99"/>
      <c r="R137" s="104">
        <f t="shared" si="16"/>
        <v>0</v>
      </c>
      <c r="S137" s="104" t="str">
        <f t="shared" si="17"/>
        <v/>
      </c>
      <c r="T137" s="105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103">
        <f t="shared" si="15"/>
        <v>0</v>
      </c>
      <c r="P138" s="47" t="s">
        <v>708</v>
      </c>
      <c r="Q138" s="99"/>
      <c r="R138" s="104">
        <f t="shared" si="16"/>
        <v>0</v>
      </c>
      <c r="S138" s="104" t="str">
        <f t="shared" si="17"/>
        <v/>
      </c>
      <c r="T138" s="105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103">
        <f t="shared" si="15"/>
        <v>0</v>
      </c>
      <c r="P139" s="47" t="s">
        <v>708</v>
      </c>
      <c r="Q139" s="47"/>
      <c r="R139" s="104">
        <f t="shared" si="16"/>
        <v>0</v>
      </c>
      <c r="S139" s="104" t="str">
        <f t="shared" si="17"/>
        <v/>
      </c>
      <c r="T139" s="105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103">
        <f t="shared" ref="O140:O171" si="20">T140*N140</f>
        <v>0</v>
      </c>
      <c r="P140" s="47" t="s">
        <v>708</v>
      </c>
      <c r="Q140" s="47"/>
      <c r="R140" s="104">
        <f t="shared" ref="R140:R171" si="21">IF(OR(P140="c",P140="C"),+T140,"")</f>
        <v>0</v>
      </c>
      <c r="S140" s="104" t="str">
        <f t="shared" ref="S140:S171" si="22">IF(OR(P140="$",N140=1),+T140,"")</f>
        <v/>
      </c>
      <c r="T140" s="105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103">
        <f t="shared" si="20"/>
        <v>0</v>
      </c>
      <c r="P141" s="99" t="s">
        <v>708</v>
      </c>
      <c r="Q141" s="99"/>
      <c r="R141" s="104">
        <f t="shared" si="21"/>
        <v>0</v>
      </c>
      <c r="S141" s="104" t="str">
        <f t="shared" si="22"/>
        <v/>
      </c>
      <c r="T141" s="105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103">
        <f t="shared" si="20"/>
        <v>0</v>
      </c>
      <c r="P142" s="47" t="s">
        <v>708</v>
      </c>
      <c r="Q142" s="47"/>
      <c r="R142" s="104">
        <f t="shared" si="21"/>
        <v>0</v>
      </c>
      <c r="S142" s="104" t="str">
        <f t="shared" si="22"/>
        <v/>
      </c>
      <c r="T142" s="105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94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103">
        <f t="shared" si="20"/>
        <v>0</v>
      </c>
      <c r="P143" s="99" t="s">
        <v>708</v>
      </c>
      <c r="Q143" s="99"/>
      <c r="R143" s="104">
        <f t="shared" si="21"/>
        <v>0</v>
      </c>
      <c r="S143" s="104" t="str">
        <f t="shared" si="22"/>
        <v/>
      </c>
      <c r="T143" s="105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103">
        <f t="shared" si="20"/>
        <v>0</v>
      </c>
      <c r="P144" s="47" t="s">
        <v>708</v>
      </c>
      <c r="Q144" s="47"/>
      <c r="R144" s="104">
        <f t="shared" si="21"/>
        <v>0</v>
      </c>
      <c r="S144" s="104" t="str">
        <f t="shared" si="22"/>
        <v/>
      </c>
      <c r="T144" s="105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103">
        <f t="shared" si="20"/>
        <v>0</v>
      </c>
      <c r="P145" s="47" t="s">
        <v>708</v>
      </c>
      <c r="Q145" s="47"/>
      <c r="R145" s="104">
        <f t="shared" si="21"/>
        <v>0</v>
      </c>
      <c r="S145" s="104" t="str">
        <f t="shared" si="22"/>
        <v/>
      </c>
      <c r="T145" s="105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103">
        <f t="shared" si="20"/>
        <v>0</v>
      </c>
      <c r="P146" s="47" t="s">
        <v>708</v>
      </c>
      <c r="Q146" s="47"/>
      <c r="R146" s="104">
        <f t="shared" si="21"/>
        <v>0</v>
      </c>
      <c r="S146" s="104" t="str">
        <f t="shared" si="22"/>
        <v/>
      </c>
      <c r="T146" s="105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103">
        <f t="shared" si="20"/>
        <v>0</v>
      </c>
      <c r="P147" s="47" t="s">
        <v>708</v>
      </c>
      <c r="Q147" s="47"/>
      <c r="R147" s="104">
        <f t="shared" si="21"/>
        <v>0</v>
      </c>
      <c r="S147" s="104" t="str">
        <f t="shared" si="22"/>
        <v/>
      </c>
      <c r="T147" s="105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103">
        <f t="shared" si="20"/>
        <v>0</v>
      </c>
      <c r="P148" s="47" t="s">
        <v>708</v>
      </c>
      <c r="Q148" s="47"/>
      <c r="R148" s="104">
        <f t="shared" si="21"/>
        <v>0</v>
      </c>
      <c r="S148" s="104" t="str">
        <f t="shared" si="22"/>
        <v/>
      </c>
      <c r="T148" s="105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103">
        <f t="shared" si="20"/>
        <v>0</v>
      </c>
      <c r="P149" s="47" t="s">
        <v>708</v>
      </c>
      <c r="Q149" s="47"/>
      <c r="R149" s="104">
        <f t="shared" si="21"/>
        <v>0</v>
      </c>
      <c r="S149" s="104" t="str">
        <f t="shared" si="22"/>
        <v/>
      </c>
      <c r="T149" s="105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103">
        <f t="shared" si="20"/>
        <v>0</v>
      </c>
      <c r="P150" s="47" t="s">
        <v>708</v>
      </c>
      <c r="Q150" s="47"/>
      <c r="R150" s="104">
        <f t="shared" si="21"/>
        <v>0</v>
      </c>
      <c r="S150" s="104" t="str">
        <f t="shared" si="22"/>
        <v/>
      </c>
      <c r="T150" s="105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103">
        <f t="shared" si="20"/>
        <v>0</v>
      </c>
      <c r="P151" s="47" t="s">
        <v>708</v>
      </c>
      <c r="Q151" s="99"/>
      <c r="R151" s="104">
        <f t="shared" si="21"/>
        <v>0</v>
      </c>
      <c r="S151" s="104" t="str">
        <f t="shared" si="22"/>
        <v/>
      </c>
      <c r="T151" s="105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103">
        <f t="shared" si="20"/>
        <v>0</v>
      </c>
      <c r="P152" s="99" t="s">
        <v>708</v>
      </c>
      <c r="Q152" s="99"/>
      <c r="R152" s="104">
        <f t="shared" si="21"/>
        <v>0</v>
      </c>
      <c r="S152" s="104" t="str">
        <f t="shared" si="22"/>
        <v/>
      </c>
      <c r="T152" s="105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103">
        <f t="shared" si="20"/>
        <v>0</v>
      </c>
      <c r="P153" s="47" t="s">
        <v>708</v>
      </c>
      <c r="Q153" s="99"/>
      <c r="R153" s="104">
        <f t="shared" si="21"/>
        <v>0</v>
      </c>
      <c r="S153" s="104" t="str">
        <f t="shared" si="22"/>
        <v/>
      </c>
      <c r="T153" s="105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103">
        <f t="shared" si="20"/>
        <v>0</v>
      </c>
      <c r="P154" s="47" t="s">
        <v>708</v>
      </c>
      <c r="Q154" s="47"/>
      <c r="R154" s="104">
        <f t="shared" si="21"/>
        <v>0</v>
      </c>
      <c r="S154" s="104" t="str">
        <f t="shared" si="22"/>
        <v/>
      </c>
      <c r="T154" s="105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103">
        <f t="shared" si="20"/>
        <v>0</v>
      </c>
      <c r="P155" s="47" t="s">
        <v>708</v>
      </c>
      <c r="Q155" s="47"/>
      <c r="R155" s="104">
        <f t="shared" si="21"/>
        <v>0</v>
      </c>
      <c r="S155" s="104" t="str">
        <f t="shared" si="22"/>
        <v/>
      </c>
      <c r="T155" s="105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103">
        <f t="shared" si="20"/>
        <v>0</v>
      </c>
      <c r="P156" s="47" t="s">
        <v>708</v>
      </c>
      <c r="Q156" s="47"/>
      <c r="R156" s="104">
        <f t="shared" si="21"/>
        <v>0</v>
      </c>
      <c r="S156" s="104" t="str">
        <f t="shared" si="22"/>
        <v/>
      </c>
      <c r="T156" s="105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103">
        <f t="shared" si="20"/>
        <v>0</v>
      </c>
      <c r="P157" s="99" t="s">
        <v>708</v>
      </c>
      <c r="Q157" s="99"/>
      <c r="R157" s="104">
        <f t="shared" si="21"/>
        <v>0</v>
      </c>
      <c r="S157" s="104" t="str">
        <f t="shared" si="22"/>
        <v/>
      </c>
      <c r="T157" s="105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103">
        <f t="shared" si="20"/>
        <v>0</v>
      </c>
      <c r="P158" s="47" t="s">
        <v>708</v>
      </c>
      <c r="Q158" s="47"/>
      <c r="R158" s="104">
        <f t="shared" si="21"/>
        <v>0</v>
      </c>
      <c r="S158" s="104" t="str">
        <f t="shared" si="22"/>
        <v/>
      </c>
      <c r="T158" s="105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103">
        <f t="shared" si="20"/>
        <v>0</v>
      </c>
      <c r="P159" s="47" t="s">
        <v>708</v>
      </c>
      <c r="Q159" s="47"/>
      <c r="R159" s="104">
        <f t="shared" si="21"/>
        <v>0</v>
      </c>
      <c r="S159" s="104" t="str">
        <f t="shared" si="22"/>
        <v/>
      </c>
      <c r="T159" s="105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103">
        <f t="shared" si="20"/>
        <v>0</v>
      </c>
      <c r="P160" s="99" t="s">
        <v>708</v>
      </c>
      <c r="Q160" s="99"/>
      <c r="R160" s="104">
        <f t="shared" si="21"/>
        <v>0</v>
      </c>
      <c r="S160" s="104" t="str">
        <f t="shared" si="22"/>
        <v/>
      </c>
      <c r="T160" s="105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103">
        <f t="shared" si="20"/>
        <v>0</v>
      </c>
      <c r="P161" s="47" t="s">
        <v>708</v>
      </c>
      <c r="Q161" s="99"/>
      <c r="R161" s="104">
        <f t="shared" si="21"/>
        <v>0</v>
      </c>
      <c r="S161" s="104" t="str">
        <f t="shared" si="22"/>
        <v/>
      </c>
      <c r="T161" s="105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103">
        <f t="shared" si="20"/>
        <v>0</v>
      </c>
      <c r="P162" s="47" t="s">
        <v>708</v>
      </c>
      <c r="Q162" s="47"/>
      <c r="R162" s="104">
        <f t="shared" si="21"/>
        <v>0</v>
      </c>
      <c r="S162" s="104" t="str">
        <f t="shared" si="22"/>
        <v/>
      </c>
      <c r="T162" s="105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103">
        <f t="shared" si="20"/>
        <v>0</v>
      </c>
      <c r="P163" s="47" t="s">
        <v>708</v>
      </c>
      <c r="Q163" s="47"/>
      <c r="R163" s="104">
        <f t="shared" si="21"/>
        <v>0</v>
      </c>
      <c r="S163" s="104" t="str">
        <f t="shared" si="22"/>
        <v/>
      </c>
      <c r="T163" s="105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103">
        <f t="shared" si="20"/>
        <v>0</v>
      </c>
      <c r="P164" s="99" t="s">
        <v>708</v>
      </c>
      <c r="Q164" s="99"/>
      <c r="R164" s="104">
        <f t="shared" si="21"/>
        <v>0</v>
      </c>
      <c r="S164" s="104" t="str">
        <f t="shared" si="22"/>
        <v/>
      </c>
      <c r="T164" s="105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103">
        <f t="shared" si="20"/>
        <v>0</v>
      </c>
      <c r="P165" s="47" t="s">
        <v>708</v>
      </c>
      <c r="Q165" s="99"/>
      <c r="R165" s="104">
        <f t="shared" si="21"/>
        <v>0</v>
      </c>
      <c r="S165" s="104" t="str">
        <f t="shared" si="22"/>
        <v/>
      </c>
      <c r="T165" s="105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103">
        <f t="shared" si="20"/>
        <v>0</v>
      </c>
      <c r="P166" s="47" t="s">
        <v>708</v>
      </c>
      <c r="Q166" s="47"/>
      <c r="R166" s="104">
        <f t="shared" si="21"/>
        <v>0</v>
      </c>
      <c r="S166" s="104" t="str">
        <f t="shared" si="22"/>
        <v/>
      </c>
      <c r="T166" s="105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103">
        <f t="shared" si="20"/>
        <v>0</v>
      </c>
      <c r="P167" s="47" t="s">
        <v>708</v>
      </c>
      <c r="Q167" s="47"/>
      <c r="R167" s="104">
        <f t="shared" si="21"/>
        <v>0</v>
      </c>
      <c r="S167" s="104" t="str">
        <f t="shared" si="22"/>
        <v/>
      </c>
      <c r="T167" s="105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103">
        <f t="shared" si="20"/>
        <v>0</v>
      </c>
      <c r="P168" s="99" t="s">
        <v>708</v>
      </c>
      <c r="Q168" s="99"/>
      <c r="R168" s="104">
        <f t="shared" si="21"/>
        <v>0</v>
      </c>
      <c r="S168" s="104" t="str">
        <f t="shared" si="22"/>
        <v/>
      </c>
      <c r="T168" s="105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103">
        <f t="shared" si="20"/>
        <v>0</v>
      </c>
      <c r="P169" s="47" t="s">
        <v>708</v>
      </c>
      <c r="Q169" s="47"/>
      <c r="R169" s="104">
        <f t="shared" si="21"/>
        <v>0</v>
      </c>
      <c r="S169" s="104" t="str">
        <f t="shared" si="22"/>
        <v/>
      </c>
      <c r="T169" s="105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103">
        <f t="shared" si="20"/>
        <v>0</v>
      </c>
      <c r="P170" s="47" t="s">
        <v>708</v>
      </c>
      <c r="Q170" s="47"/>
      <c r="R170" s="104">
        <f t="shared" si="21"/>
        <v>0</v>
      </c>
      <c r="S170" s="104" t="str">
        <f t="shared" si="22"/>
        <v/>
      </c>
      <c r="T170" s="105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103">
        <f t="shared" si="20"/>
        <v>0</v>
      </c>
      <c r="P171" s="99" t="s">
        <v>708</v>
      </c>
      <c r="Q171" s="99"/>
      <c r="R171" s="104">
        <f t="shared" si="21"/>
        <v>0</v>
      </c>
      <c r="S171" s="104" t="str">
        <f t="shared" si="22"/>
        <v/>
      </c>
      <c r="T171" s="105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103">
        <f t="shared" ref="O172:O203" si="24">T172*N172</f>
        <v>0</v>
      </c>
      <c r="P172" s="47" t="s">
        <v>708</v>
      </c>
      <c r="Q172" s="47"/>
      <c r="R172" s="104">
        <f t="shared" ref="R172:R195" si="25">IF(OR(P172="c",P172="C"),+T172,"")</f>
        <v>0</v>
      </c>
      <c r="S172" s="104" t="str">
        <f t="shared" ref="S172:S203" si="26">IF(OR(P172="$",N172=1),+T172,"")</f>
        <v/>
      </c>
      <c r="T172" s="105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103">
        <f t="shared" si="24"/>
        <v>0</v>
      </c>
      <c r="P173" s="47" t="s">
        <v>708</v>
      </c>
      <c r="Q173" s="47"/>
      <c r="R173" s="104">
        <f t="shared" si="25"/>
        <v>0</v>
      </c>
      <c r="S173" s="104" t="str">
        <f t="shared" si="26"/>
        <v/>
      </c>
      <c r="T173" s="105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103">
        <f t="shared" si="24"/>
        <v>0</v>
      </c>
      <c r="P174" s="47" t="s">
        <v>708</v>
      </c>
      <c r="Q174" s="47"/>
      <c r="R174" s="104">
        <f t="shared" si="25"/>
        <v>0</v>
      </c>
      <c r="S174" s="104" t="str">
        <f t="shared" si="26"/>
        <v/>
      </c>
      <c r="T174" s="105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103">
        <f t="shared" si="24"/>
        <v>0</v>
      </c>
      <c r="P175" s="99" t="s">
        <v>708</v>
      </c>
      <c r="Q175" s="99"/>
      <c r="R175" s="104">
        <f t="shared" si="25"/>
        <v>0</v>
      </c>
      <c r="S175" s="104" t="str">
        <f t="shared" si="26"/>
        <v/>
      </c>
      <c r="T175" s="105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103">
        <f t="shared" si="24"/>
        <v>0</v>
      </c>
      <c r="P176" s="47" t="s">
        <v>708</v>
      </c>
      <c r="Q176" s="47"/>
      <c r="R176" s="104">
        <f t="shared" si="25"/>
        <v>0</v>
      </c>
      <c r="S176" s="104" t="str">
        <f t="shared" si="26"/>
        <v/>
      </c>
      <c r="T176" s="105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103">
        <f t="shared" si="24"/>
        <v>0</v>
      </c>
      <c r="P177" s="47" t="s">
        <v>708</v>
      </c>
      <c r="Q177" s="47"/>
      <c r="R177" s="104">
        <f t="shared" si="25"/>
        <v>0</v>
      </c>
      <c r="S177" s="104" t="str">
        <f t="shared" si="26"/>
        <v/>
      </c>
      <c r="T177" s="105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103">
        <f t="shared" si="24"/>
        <v>0</v>
      </c>
      <c r="P178" s="99" t="s">
        <v>708</v>
      </c>
      <c r="Q178" s="99"/>
      <c r="R178" s="104">
        <f t="shared" si="25"/>
        <v>0</v>
      </c>
      <c r="S178" s="104" t="str">
        <f t="shared" si="26"/>
        <v/>
      </c>
      <c r="T178" s="105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103">
        <f t="shared" si="24"/>
        <v>0</v>
      </c>
      <c r="P179" s="99" t="s">
        <v>708</v>
      </c>
      <c r="Q179" s="99"/>
      <c r="R179" s="104">
        <f t="shared" si="25"/>
        <v>0</v>
      </c>
      <c r="S179" s="104" t="str">
        <f t="shared" si="26"/>
        <v/>
      </c>
      <c r="T179" s="105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103">
        <f t="shared" si="24"/>
        <v>0</v>
      </c>
      <c r="P180" s="47" t="s">
        <v>708</v>
      </c>
      <c r="Q180" s="47"/>
      <c r="R180" s="104">
        <f t="shared" si="25"/>
        <v>0</v>
      </c>
      <c r="S180" s="104" t="str">
        <f t="shared" si="26"/>
        <v/>
      </c>
      <c r="T180" s="105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103">
        <f t="shared" si="24"/>
        <v>0</v>
      </c>
      <c r="P181" s="47" t="s">
        <v>708</v>
      </c>
      <c r="Q181" s="47"/>
      <c r="R181" s="104">
        <f t="shared" si="25"/>
        <v>0</v>
      </c>
      <c r="S181" s="104" t="str">
        <f t="shared" si="26"/>
        <v/>
      </c>
      <c r="T181" s="105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103">
        <f t="shared" si="24"/>
        <v>0</v>
      </c>
      <c r="P182" s="47" t="s">
        <v>708</v>
      </c>
      <c r="Q182" s="47"/>
      <c r="R182" s="104">
        <f t="shared" si="25"/>
        <v>0</v>
      </c>
      <c r="S182" s="104" t="str">
        <f t="shared" si="26"/>
        <v/>
      </c>
      <c r="T182" s="105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103">
        <f t="shared" si="24"/>
        <v>0</v>
      </c>
      <c r="P183" s="47" t="s">
        <v>708</v>
      </c>
      <c r="Q183" s="47"/>
      <c r="R183" s="104">
        <f t="shared" si="25"/>
        <v>0</v>
      </c>
      <c r="S183" s="104" t="str">
        <f t="shared" si="26"/>
        <v/>
      </c>
      <c r="T183" s="105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103">
        <f t="shared" si="24"/>
        <v>0</v>
      </c>
      <c r="P184" s="47" t="s">
        <v>708</v>
      </c>
      <c r="Q184" s="47"/>
      <c r="R184" s="104">
        <f t="shared" si="25"/>
        <v>0</v>
      </c>
      <c r="S184" s="104" t="str">
        <f t="shared" si="26"/>
        <v/>
      </c>
      <c r="T184" s="105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103">
        <f t="shared" si="24"/>
        <v>0</v>
      </c>
      <c r="P185" s="99" t="s">
        <v>708</v>
      </c>
      <c r="Q185" s="99"/>
      <c r="R185" s="104">
        <f t="shared" si="25"/>
        <v>0</v>
      </c>
      <c r="S185" s="104" t="str">
        <f t="shared" si="26"/>
        <v/>
      </c>
      <c r="T185" s="105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103">
        <f t="shared" si="24"/>
        <v>0</v>
      </c>
      <c r="P186" s="99" t="s">
        <v>708</v>
      </c>
      <c r="Q186" s="99"/>
      <c r="R186" s="104">
        <f t="shared" si="25"/>
        <v>0</v>
      </c>
      <c r="S186" s="104" t="str">
        <f t="shared" si="26"/>
        <v/>
      </c>
      <c r="T186" s="105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103">
        <f t="shared" si="24"/>
        <v>0</v>
      </c>
      <c r="P187" s="47" t="s">
        <v>708</v>
      </c>
      <c r="Q187" s="47"/>
      <c r="R187" s="104">
        <f t="shared" si="25"/>
        <v>0</v>
      </c>
      <c r="S187" s="104" t="str">
        <f t="shared" si="26"/>
        <v/>
      </c>
      <c r="T187" s="105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103">
        <f t="shared" si="24"/>
        <v>0</v>
      </c>
      <c r="P188" s="47" t="s">
        <v>708</v>
      </c>
      <c r="Q188" s="47"/>
      <c r="R188" s="104">
        <f t="shared" si="25"/>
        <v>0</v>
      </c>
      <c r="S188" s="104" t="str">
        <f t="shared" si="26"/>
        <v/>
      </c>
      <c r="T188" s="105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103">
        <f t="shared" si="24"/>
        <v>0</v>
      </c>
      <c r="P189" s="47" t="s">
        <v>708</v>
      </c>
      <c r="Q189" s="47"/>
      <c r="R189" s="104">
        <f t="shared" si="25"/>
        <v>0</v>
      </c>
      <c r="S189" s="104" t="str">
        <f t="shared" si="26"/>
        <v/>
      </c>
      <c r="T189" s="105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103">
        <f t="shared" si="24"/>
        <v>0</v>
      </c>
      <c r="P190" s="47" t="s">
        <v>708</v>
      </c>
      <c r="Q190" s="47"/>
      <c r="R190" s="104">
        <f t="shared" si="25"/>
        <v>0</v>
      </c>
      <c r="S190" s="104" t="str">
        <f t="shared" si="26"/>
        <v/>
      </c>
      <c r="T190" s="105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103">
        <f t="shared" si="24"/>
        <v>0</v>
      </c>
      <c r="P191" s="99" t="s">
        <v>708</v>
      </c>
      <c r="Q191" s="99"/>
      <c r="R191" s="104">
        <f t="shared" si="25"/>
        <v>0</v>
      </c>
      <c r="S191" s="104" t="str">
        <f t="shared" si="26"/>
        <v/>
      </c>
      <c r="T191" s="105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103">
        <f t="shared" si="24"/>
        <v>0</v>
      </c>
      <c r="P192" s="47" t="s">
        <v>708</v>
      </c>
      <c r="Q192" s="47"/>
      <c r="R192" s="104">
        <f t="shared" si="25"/>
        <v>0</v>
      </c>
      <c r="S192" s="104" t="str">
        <f t="shared" si="26"/>
        <v/>
      </c>
      <c r="T192" s="105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103">
        <f t="shared" si="24"/>
        <v>0</v>
      </c>
      <c r="P193" s="47" t="s">
        <v>708</v>
      </c>
      <c r="Q193" s="47"/>
      <c r="R193" s="104">
        <f t="shared" si="25"/>
        <v>0</v>
      </c>
      <c r="S193" s="104" t="str">
        <f t="shared" si="26"/>
        <v/>
      </c>
      <c r="T193" s="105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103">
        <f t="shared" si="24"/>
        <v>0</v>
      </c>
      <c r="P194" s="99" t="s">
        <v>708</v>
      </c>
      <c r="Q194" s="99"/>
      <c r="R194" s="104">
        <f t="shared" si="25"/>
        <v>0</v>
      </c>
      <c r="S194" s="104" t="str">
        <f t="shared" si="26"/>
        <v/>
      </c>
      <c r="T194" s="105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103">
        <f t="shared" si="24"/>
        <v>0</v>
      </c>
      <c r="P195" s="99" t="s">
        <v>708</v>
      </c>
      <c r="Q195" s="99"/>
      <c r="R195" s="104">
        <f t="shared" si="25"/>
        <v>0</v>
      </c>
      <c r="S195" s="104" t="str">
        <f t="shared" si="26"/>
        <v/>
      </c>
      <c r="T195" s="105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103">
        <f t="shared" ref="O196:O203" si="28">T196*N196</f>
        <v>0</v>
      </c>
      <c r="P196" s="47"/>
      <c r="Q196" s="47"/>
      <c r="R196" s="104" t="str">
        <f t="shared" ref="R196:R203" si="29">IF(OR(P196="c",P196="C"),+T196,"")</f>
        <v/>
      </c>
      <c r="S196" s="104" t="str">
        <f t="shared" ref="S196:S203" si="30">IF(OR(P196="$",N196=1),+T196,"")</f>
        <v/>
      </c>
      <c r="T196" s="105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103">
        <f t="shared" si="28"/>
        <v>0</v>
      </c>
      <c r="P197" s="51"/>
      <c r="Q197" s="51"/>
      <c r="R197" s="104" t="str">
        <f t="shared" si="29"/>
        <v/>
      </c>
      <c r="S197" s="104" t="str">
        <f t="shared" si="30"/>
        <v/>
      </c>
      <c r="T197" s="105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103">
        <f t="shared" si="28"/>
        <v>0</v>
      </c>
      <c r="P198" s="51"/>
      <c r="Q198" s="51"/>
      <c r="R198" s="104" t="str">
        <f t="shared" si="29"/>
        <v/>
      </c>
      <c r="S198" s="104" t="str">
        <f t="shared" si="30"/>
        <v/>
      </c>
      <c r="T198" s="105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103">
        <f t="shared" si="28"/>
        <v>0</v>
      </c>
      <c r="P199" s="51"/>
      <c r="Q199" s="51"/>
      <c r="R199" s="104" t="str">
        <f t="shared" si="29"/>
        <v/>
      </c>
      <c r="S199" s="104" t="str">
        <f t="shared" si="30"/>
        <v/>
      </c>
      <c r="T199" s="105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103">
        <f t="shared" si="28"/>
        <v>0</v>
      </c>
      <c r="P200" s="51"/>
      <c r="Q200" s="51"/>
      <c r="R200" s="104" t="str">
        <f t="shared" si="29"/>
        <v/>
      </c>
      <c r="S200" s="104" t="str">
        <f t="shared" si="30"/>
        <v/>
      </c>
      <c r="T200" s="105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103">
        <f t="shared" si="28"/>
        <v>0</v>
      </c>
      <c r="P201" s="51"/>
      <c r="Q201" s="51"/>
      <c r="R201" s="104" t="str">
        <f t="shared" si="29"/>
        <v/>
      </c>
      <c r="S201" s="104" t="str">
        <f t="shared" si="30"/>
        <v/>
      </c>
      <c r="T201" s="105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103">
        <f t="shared" si="28"/>
        <v>0</v>
      </c>
      <c r="P202" s="51"/>
      <c r="Q202" s="51"/>
      <c r="R202" s="104" t="str">
        <f t="shared" si="29"/>
        <v/>
      </c>
      <c r="S202" s="104" t="str">
        <f t="shared" si="30"/>
        <v/>
      </c>
      <c r="T202" s="105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103">
        <f t="shared" si="28"/>
        <v>0</v>
      </c>
      <c r="P203" s="51"/>
      <c r="Q203" s="51"/>
      <c r="R203" s="104" t="str">
        <f t="shared" si="29"/>
        <v/>
      </c>
      <c r="S203" s="104" t="str">
        <f t="shared" si="30"/>
        <v/>
      </c>
      <c r="T203" s="105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103">
        <f t="shared" ref="O204:O267" si="33">T204*N204</f>
        <v>0</v>
      </c>
      <c r="P204" s="51"/>
      <c r="Q204" s="51"/>
      <c r="R204" s="104" t="str">
        <f t="shared" ref="R204:R267" si="34">IF(OR(P204="c",P204="C"),+T204,"")</f>
        <v/>
      </c>
      <c r="S204" s="104" t="str">
        <f t="shared" ref="S204:S267" si="35">IF(OR(P204="$",N204=1),+T204,"")</f>
        <v/>
      </c>
      <c r="T204" s="105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103">
        <f t="shared" si="33"/>
        <v>0</v>
      </c>
      <c r="P205" s="51"/>
      <c r="Q205" s="51"/>
      <c r="R205" s="104" t="str">
        <f t="shared" si="34"/>
        <v/>
      </c>
      <c r="S205" s="104" t="str">
        <f t="shared" si="35"/>
        <v/>
      </c>
      <c r="T205" s="105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103">
        <f t="shared" si="33"/>
        <v>0</v>
      </c>
      <c r="P206" s="51"/>
      <c r="Q206" s="51"/>
      <c r="R206" s="104" t="str">
        <f t="shared" si="34"/>
        <v/>
      </c>
      <c r="S206" s="104" t="str">
        <f t="shared" si="35"/>
        <v/>
      </c>
      <c r="T206" s="105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103">
        <f t="shared" si="33"/>
        <v>0</v>
      </c>
      <c r="P207" s="51"/>
      <c r="Q207" s="51"/>
      <c r="R207" s="104" t="str">
        <f t="shared" si="34"/>
        <v/>
      </c>
      <c r="S207" s="104" t="str">
        <f t="shared" si="35"/>
        <v/>
      </c>
      <c r="T207" s="105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103">
        <f t="shared" si="33"/>
        <v>0</v>
      </c>
      <c r="P208" s="51"/>
      <c r="Q208" s="51"/>
      <c r="R208" s="104" t="str">
        <f t="shared" si="34"/>
        <v/>
      </c>
      <c r="S208" s="104" t="str">
        <f t="shared" si="35"/>
        <v/>
      </c>
      <c r="T208" s="105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103">
        <f t="shared" si="33"/>
        <v>0</v>
      </c>
      <c r="P209" s="51"/>
      <c r="Q209" s="51"/>
      <c r="R209" s="104" t="str">
        <f t="shared" si="34"/>
        <v/>
      </c>
      <c r="S209" s="104" t="str">
        <f t="shared" si="35"/>
        <v/>
      </c>
      <c r="T209" s="105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103">
        <f t="shared" si="33"/>
        <v>0</v>
      </c>
      <c r="P210" s="51"/>
      <c r="Q210" s="51"/>
      <c r="R210" s="104" t="str">
        <f t="shared" si="34"/>
        <v/>
      </c>
      <c r="S210" s="104" t="str">
        <f t="shared" si="35"/>
        <v/>
      </c>
      <c r="T210" s="105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103">
        <f t="shared" si="33"/>
        <v>0</v>
      </c>
      <c r="P211" s="51"/>
      <c r="Q211" s="51"/>
      <c r="R211" s="104" t="str">
        <f t="shared" si="34"/>
        <v/>
      </c>
      <c r="S211" s="104" t="str">
        <f t="shared" si="35"/>
        <v/>
      </c>
      <c r="T211" s="105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103">
        <f t="shared" si="33"/>
        <v>0</v>
      </c>
      <c r="P212" s="51"/>
      <c r="Q212" s="51"/>
      <c r="R212" s="104" t="str">
        <f t="shared" si="34"/>
        <v/>
      </c>
      <c r="S212" s="104" t="str">
        <f t="shared" si="35"/>
        <v/>
      </c>
      <c r="T212" s="105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103">
        <f t="shared" si="33"/>
        <v>0</v>
      </c>
      <c r="P213" s="51"/>
      <c r="Q213" s="51"/>
      <c r="R213" s="104" t="str">
        <f t="shared" si="34"/>
        <v/>
      </c>
      <c r="S213" s="104" t="str">
        <f t="shared" si="35"/>
        <v/>
      </c>
      <c r="T213" s="105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103">
        <f t="shared" si="33"/>
        <v>0</v>
      </c>
      <c r="P214" s="51"/>
      <c r="Q214" s="51"/>
      <c r="R214" s="104" t="str">
        <f t="shared" si="34"/>
        <v/>
      </c>
      <c r="S214" s="104" t="str">
        <f t="shared" si="35"/>
        <v/>
      </c>
      <c r="T214" s="105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103">
        <f t="shared" si="33"/>
        <v>0</v>
      </c>
      <c r="P215" s="51"/>
      <c r="Q215" s="51"/>
      <c r="R215" s="104" t="str">
        <f t="shared" si="34"/>
        <v/>
      </c>
      <c r="S215" s="104" t="str">
        <f t="shared" si="35"/>
        <v/>
      </c>
      <c r="T215" s="105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103">
        <f t="shared" si="33"/>
        <v>0</v>
      </c>
      <c r="P216" s="51"/>
      <c r="Q216" s="51"/>
      <c r="R216" s="104" t="str">
        <f t="shared" si="34"/>
        <v/>
      </c>
      <c r="S216" s="104" t="str">
        <f t="shared" si="35"/>
        <v/>
      </c>
      <c r="T216" s="105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103">
        <f t="shared" si="33"/>
        <v>0</v>
      </c>
      <c r="P217" s="51"/>
      <c r="Q217" s="51"/>
      <c r="R217" s="104" t="str">
        <f t="shared" si="34"/>
        <v/>
      </c>
      <c r="S217" s="104" t="str">
        <f t="shared" si="35"/>
        <v/>
      </c>
      <c r="T217" s="105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103">
        <f t="shared" si="33"/>
        <v>0</v>
      </c>
      <c r="P218" s="51"/>
      <c r="Q218" s="51"/>
      <c r="R218" s="104" t="str">
        <f t="shared" si="34"/>
        <v/>
      </c>
      <c r="S218" s="104" t="str">
        <f t="shared" si="35"/>
        <v/>
      </c>
      <c r="T218" s="105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103">
        <f t="shared" si="33"/>
        <v>0</v>
      </c>
      <c r="P219" s="51"/>
      <c r="Q219" s="51"/>
      <c r="R219" s="104" t="str">
        <f t="shared" si="34"/>
        <v/>
      </c>
      <c r="S219" s="104" t="str">
        <f t="shared" si="35"/>
        <v/>
      </c>
      <c r="T219" s="105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103">
        <f t="shared" si="33"/>
        <v>0</v>
      </c>
      <c r="P220" s="51"/>
      <c r="Q220" s="51"/>
      <c r="R220" s="104" t="str">
        <f t="shared" si="34"/>
        <v/>
      </c>
      <c r="S220" s="104" t="str">
        <f t="shared" si="35"/>
        <v/>
      </c>
      <c r="T220" s="105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103">
        <f t="shared" si="33"/>
        <v>0</v>
      </c>
      <c r="P221" s="51"/>
      <c r="Q221" s="51"/>
      <c r="R221" s="104" t="str">
        <f t="shared" si="34"/>
        <v/>
      </c>
      <c r="S221" s="104" t="str">
        <f t="shared" si="35"/>
        <v/>
      </c>
      <c r="T221" s="105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103">
        <f t="shared" si="33"/>
        <v>0</v>
      </c>
      <c r="P222" s="51"/>
      <c r="Q222" s="51"/>
      <c r="R222" s="104" t="str">
        <f t="shared" si="34"/>
        <v/>
      </c>
      <c r="S222" s="104" t="str">
        <f t="shared" si="35"/>
        <v/>
      </c>
      <c r="T222" s="105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103">
        <f t="shared" si="33"/>
        <v>0</v>
      </c>
      <c r="P223" s="51"/>
      <c r="Q223" s="51"/>
      <c r="R223" s="104" t="str">
        <f t="shared" si="34"/>
        <v/>
      </c>
      <c r="S223" s="104" t="str">
        <f t="shared" si="35"/>
        <v/>
      </c>
      <c r="T223" s="105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103">
        <f t="shared" si="33"/>
        <v>0</v>
      </c>
      <c r="P224" s="51"/>
      <c r="Q224" s="51"/>
      <c r="R224" s="104" t="str">
        <f t="shared" si="34"/>
        <v/>
      </c>
      <c r="S224" s="104" t="str">
        <f t="shared" si="35"/>
        <v/>
      </c>
      <c r="T224" s="105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103">
        <f t="shared" si="33"/>
        <v>0</v>
      </c>
      <c r="P225" s="51"/>
      <c r="Q225" s="51"/>
      <c r="R225" s="104" t="str">
        <f t="shared" si="34"/>
        <v/>
      </c>
      <c r="S225" s="104" t="str">
        <f t="shared" si="35"/>
        <v/>
      </c>
      <c r="T225" s="105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103">
        <f t="shared" si="33"/>
        <v>0</v>
      </c>
      <c r="P226" s="51"/>
      <c r="Q226" s="51"/>
      <c r="R226" s="104" t="str">
        <f t="shared" si="34"/>
        <v/>
      </c>
      <c r="S226" s="104" t="str">
        <f t="shared" si="35"/>
        <v/>
      </c>
      <c r="T226" s="105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103">
        <f t="shared" si="33"/>
        <v>0</v>
      </c>
      <c r="P227" s="51"/>
      <c r="Q227" s="51"/>
      <c r="R227" s="104" t="str">
        <f t="shared" si="34"/>
        <v/>
      </c>
      <c r="S227" s="104" t="str">
        <f t="shared" si="35"/>
        <v/>
      </c>
      <c r="T227" s="105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103">
        <f t="shared" si="33"/>
        <v>0</v>
      </c>
      <c r="P228" s="51"/>
      <c r="Q228" s="51"/>
      <c r="R228" s="104" t="str">
        <f t="shared" si="34"/>
        <v/>
      </c>
      <c r="S228" s="104" t="str">
        <f t="shared" si="35"/>
        <v/>
      </c>
      <c r="T228" s="105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103">
        <f t="shared" si="33"/>
        <v>0</v>
      </c>
      <c r="P229" s="51"/>
      <c r="Q229" s="51"/>
      <c r="R229" s="104" t="str">
        <f t="shared" si="34"/>
        <v/>
      </c>
      <c r="S229" s="104" t="str">
        <f t="shared" si="35"/>
        <v/>
      </c>
      <c r="T229" s="105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103">
        <f t="shared" si="33"/>
        <v>0</v>
      </c>
      <c r="P230" s="51"/>
      <c r="Q230" s="51"/>
      <c r="R230" s="104" t="str">
        <f t="shared" si="34"/>
        <v/>
      </c>
      <c r="S230" s="104" t="str">
        <f t="shared" si="35"/>
        <v/>
      </c>
      <c r="T230" s="105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103">
        <f t="shared" si="33"/>
        <v>0</v>
      </c>
      <c r="P231" s="51"/>
      <c r="Q231" s="51"/>
      <c r="R231" s="104" t="str">
        <f t="shared" si="34"/>
        <v/>
      </c>
      <c r="S231" s="104" t="str">
        <f t="shared" si="35"/>
        <v/>
      </c>
      <c r="T231" s="105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103">
        <f t="shared" si="33"/>
        <v>0</v>
      </c>
      <c r="P232" s="51"/>
      <c r="Q232" s="51"/>
      <c r="R232" s="104" t="str">
        <f t="shared" si="34"/>
        <v/>
      </c>
      <c r="S232" s="104" t="str">
        <f t="shared" si="35"/>
        <v/>
      </c>
      <c r="T232" s="105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103">
        <f t="shared" si="33"/>
        <v>0</v>
      </c>
      <c r="P233" s="51"/>
      <c r="Q233" s="51"/>
      <c r="R233" s="104" t="str">
        <f t="shared" si="34"/>
        <v/>
      </c>
      <c r="S233" s="104" t="str">
        <f t="shared" si="35"/>
        <v/>
      </c>
      <c r="T233" s="105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103">
        <f t="shared" si="33"/>
        <v>0</v>
      </c>
      <c r="P234" s="51"/>
      <c r="Q234" s="51"/>
      <c r="R234" s="104" t="str">
        <f t="shared" si="34"/>
        <v/>
      </c>
      <c r="S234" s="104" t="str">
        <f t="shared" si="35"/>
        <v/>
      </c>
      <c r="T234" s="105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103">
        <f t="shared" si="33"/>
        <v>0</v>
      </c>
      <c r="P235" s="51"/>
      <c r="Q235" s="51"/>
      <c r="R235" s="104" t="str">
        <f t="shared" si="34"/>
        <v/>
      </c>
      <c r="S235" s="104" t="str">
        <f t="shared" si="35"/>
        <v/>
      </c>
      <c r="T235" s="105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103">
        <f t="shared" si="33"/>
        <v>0</v>
      </c>
      <c r="P236" s="51"/>
      <c r="Q236" s="51"/>
      <c r="R236" s="104" t="str">
        <f t="shared" si="34"/>
        <v/>
      </c>
      <c r="S236" s="104" t="str">
        <f t="shared" si="35"/>
        <v/>
      </c>
      <c r="T236" s="105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103">
        <f t="shared" si="33"/>
        <v>0</v>
      </c>
      <c r="P237" s="51"/>
      <c r="Q237" s="51"/>
      <c r="R237" s="104" t="str">
        <f t="shared" si="34"/>
        <v/>
      </c>
      <c r="S237" s="104" t="str">
        <f t="shared" si="35"/>
        <v/>
      </c>
      <c r="T237" s="105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103">
        <f t="shared" si="33"/>
        <v>0</v>
      </c>
      <c r="P238" s="51"/>
      <c r="Q238" s="51"/>
      <c r="R238" s="104" t="str">
        <f t="shared" si="34"/>
        <v/>
      </c>
      <c r="S238" s="104" t="str">
        <f t="shared" si="35"/>
        <v/>
      </c>
      <c r="T238" s="105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103">
        <f t="shared" si="33"/>
        <v>0</v>
      </c>
      <c r="P239" s="51"/>
      <c r="Q239" s="51"/>
      <c r="R239" s="104" t="str">
        <f t="shared" si="34"/>
        <v/>
      </c>
      <c r="S239" s="104" t="str">
        <f t="shared" si="35"/>
        <v/>
      </c>
      <c r="T239" s="105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103">
        <f t="shared" si="33"/>
        <v>0</v>
      </c>
      <c r="P240" s="51"/>
      <c r="Q240" s="51"/>
      <c r="R240" s="104" t="str">
        <f t="shared" si="34"/>
        <v/>
      </c>
      <c r="S240" s="104" t="str">
        <f t="shared" si="35"/>
        <v/>
      </c>
      <c r="T240" s="105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103">
        <f t="shared" si="33"/>
        <v>0</v>
      </c>
      <c r="P241" s="51"/>
      <c r="Q241" s="51"/>
      <c r="R241" s="104" t="str">
        <f t="shared" si="34"/>
        <v/>
      </c>
      <c r="S241" s="104" t="str">
        <f t="shared" si="35"/>
        <v/>
      </c>
      <c r="T241" s="105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103">
        <f t="shared" si="33"/>
        <v>0</v>
      </c>
      <c r="P242" s="51"/>
      <c r="Q242" s="51"/>
      <c r="R242" s="104" t="str">
        <f t="shared" si="34"/>
        <v/>
      </c>
      <c r="S242" s="104" t="str">
        <f t="shared" si="35"/>
        <v/>
      </c>
      <c r="T242" s="105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103">
        <f t="shared" si="33"/>
        <v>0</v>
      </c>
      <c r="P243" s="51"/>
      <c r="Q243" s="51"/>
      <c r="R243" s="104" t="str">
        <f t="shared" si="34"/>
        <v/>
      </c>
      <c r="S243" s="104" t="str">
        <f t="shared" si="35"/>
        <v/>
      </c>
      <c r="T243" s="105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103">
        <f t="shared" si="33"/>
        <v>0</v>
      </c>
      <c r="P244" s="51"/>
      <c r="Q244" s="51"/>
      <c r="R244" s="104" t="str">
        <f t="shared" si="34"/>
        <v/>
      </c>
      <c r="S244" s="104" t="str">
        <f t="shared" si="35"/>
        <v/>
      </c>
      <c r="T244" s="105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103">
        <f t="shared" si="33"/>
        <v>0</v>
      </c>
      <c r="P245" s="51"/>
      <c r="Q245" s="51"/>
      <c r="R245" s="104" t="str">
        <f t="shared" si="34"/>
        <v/>
      </c>
      <c r="S245" s="104" t="str">
        <f t="shared" si="35"/>
        <v/>
      </c>
      <c r="T245" s="105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103">
        <f t="shared" si="33"/>
        <v>0</v>
      </c>
      <c r="P246" s="51"/>
      <c r="Q246" s="51"/>
      <c r="R246" s="104" t="str">
        <f t="shared" si="34"/>
        <v/>
      </c>
      <c r="S246" s="104" t="str">
        <f t="shared" si="35"/>
        <v/>
      </c>
      <c r="T246" s="105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103">
        <f t="shared" si="33"/>
        <v>0</v>
      </c>
      <c r="P247" s="51"/>
      <c r="Q247" s="51"/>
      <c r="R247" s="104" t="str">
        <f t="shared" si="34"/>
        <v/>
      </c>
      <c r="S247" s="104" t="str">
        <f t="shared" si="35"/>
        <v/>
      </c>
      <c r="T247" s="105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103">
        <f t="shared" si="33"/>
        <v>0</v>
      </c>
      <c r="P248" s="51"/>
      <c r="Q248" s="51"/>
      <c r="R248" s="104" t="str">
        <f t="shared" si="34"/>
        <v/>
      </c>
      <c r="S248" s="104" t="str">
        <f t="shared" si="35"/>
        <v/>
      </c>
      <c r="T248" s="105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103">
        <f t="shared" si="33"/>
        <v>0</v>
      </c>
      <c r="P249" s="51"/>
      <c r="Q249" s="51"/>
      <c r="R249" s="104" t="str">
        <f t="shared" si="34"/>
        <v/>
      </c>
      <c r="S249" s="104" t="str">
        <f t="shared" si="35"/>
        <v/>
      </c>
      <c r="T249" s="105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103">
        <f t="shared" si="33"/>
        <v>0</v>
      </c>
      <c r="P250" s="51"/>
      <c r="Q250" s="51"/>
      <c r="R250" s="104" t="str">
        <f t="shared" si="34"/>
        <v/>
      </c>
      <c r="S250" s="104" t="str">
        <f t="shared" si="35"/>
        <v/>
      </c>
      <c r="T250" s="105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103">
        <f t="shared" si="33"/>
        <v>0</v>
      </c>
      <c r="P251" s="51"/>
      <c r="Q251" s="51"/>
      <c r="R251" s="104" t="str">
        <f t="shared" si="34"/>
        <v/>
      </c>
      <c r="S251" s="104" t="str">
        <f t="shared" si="35"/>
        <v/>
      </c>
      <c r="T251" s="105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103">
        <f t="shared" si="33"/>
        <v>0</v>
      </c>
      <c r="P252" s="51"/>
      <c r="Q252" s="51"/>
      <c r="R252" s="104" t="str">
        <f t="shared" si="34"/>
        <v/>
      </c>
      <c r="S252" s="104" t="str">
        <f t="shared" si="35"/>
        <v/>
      </c>
      <c r="T252" s="105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103">
        <f t="shared" si="33"/>
        <v>0</v>
      </c>
      <c r="P253" s="51"/>
      <c r="Q253" s="51"/>
      <c r="R253" s="104" t="str">
        <f t="shared" si="34"/>
        <v/>
      </c>
      <c r="S253" s="104" t="str">
        <f t="shared" si="35"/>
        <v/>
      </c>
      <c r="T253" s="105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103">
        <f t="shared" si="33"/>
        <v>0</v>
      </c>
      <c r="P254" s="51"/>
      <c r="Q254" s="51"/>
      <c r="R254" s="104" t="str">
        <f t="shared" si="34"/>
        <v/>
      </c>
      <c r="S254" s="104" t="str">
        <f t="shared" si="35"/>
        <v/>
      </c>
      <c r="T254" s="105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103">
        <f t="shared" si="33"/>
        <v>0</v>
      </c>
      <c r="P255" s="51"/>
      <c r="Q255" s="51"/>
      <c r="R255" s="104" t="str">
        <f t="shared" si="34"/>
        <v/>
      </c>
      <c r="S255" s="104" t="str">
        <f t="shared" si="35"/>
        <v/>
      </c>
      <c r="T255" s="105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103">
        <f t="shared" si="33"/>
        <v>0</v>
      </c>
      <c r="P256" s="51"/>
      <c r="Q256" s="51"/>
      <c r="R256" s="104" t="str">
        <f t="shared" si="34"/>
        <v/>
      </c>
      <c r="S256" s="104" t="str">
        <f t="shared" si="35"/>
        <v/>
      </c>
      <c r="T256" s="105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103">
        <f t="shared" si="33"/>
        <v>0</v>
      </c>
      <c r="P257" s="51"/>
      <c r="Q257" s="51"/>
      <c r="R257" s="104" t="str">
        <f t="shared" si="34"/>
        <v/>
      </c>
      <c r="S257" s="104" t="str">
        <f t="shared" si="35"/>
        <v/>
      </c>
      <c r="T257" s="105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103">
        <f t="shared" si="33"/>
        <v>0</v>
      </c>
      <c r="P258" s="51"/>
      <c r="Q258" s="51"/>
      <c r="R258" s="104" t="str">
        <f t="shared" si="34"/>
        <v/>
      </c>
      <c r="S258" s="104" t="str">
        <f t="shared" si="35"/>
        <v/>
      </c>
      <c r="T258" s="105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103">
        <f t="shared" si="33"/>
        <v>0</v>
      </c>
      <c r="P259" s="51"/>
      <c r="Q259" s="51"/>
      <c r="R259" s="104" t="str">
        <f t="shared" si="34"/>
        <v/>
      </c>
      <c r="S259" s="104" t="str">
        <f t="shared" si="35"/>
        <v/>
      </c>
      <c r="T259" s="105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103">
        <f t="shared" si="33"/>
        <v>0</v>
      </c>
      <c r="P260" s="51"/>
      <c r="Q260" s="51"/>
      <c r="R260" s="104" t="str">
        <f t="shared" si="34"/>
        <v/>
      </c>
      <c r="S260" s="104" t="str">
        <f t="shared" si="35"/>
        <v/>
      </c>
      <c r="T260" s="105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103">
        <f t="shared" si="33"/>
        <v>0</v>
      </c>
      <c r="P261" s="51"/>
      <c r="Q261" s="51"/>
      <c r="R261" s="104" t="str">
        <f t="shared" si="34"/>
        <v/>
      </c>
      <c r="S261" s="104" t="str">
        <f t="shared" si="35"/>
        <v/>
      </c>
      <c r="T261" s="105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103">
        <f t="shared" si="33"/>
        <v>0</v>
      </c>
      <c r="P262" s="51"/>
      <c r="Q262" s="51"/>
      <c r="R262" s="104" t="str">
        <f t="shared" si="34"/>
        <v/>
      </c>
      <c r="S262" s="104" t="str">
        <f t="shared" si="35"/>
        <v/>
      </c>
      <c r="T262" s="105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103">
        <f t="shared" si="33"/>
        <v>0</v>
      </c>
      <c r="P263" s="51"/>
      <c r="Q263" s="51"/>
      <c r="R263" s="104" t="str">
        <f t="shared" si="34"/>
        <v/>
      </c>
      <c r="S263" s="104" t="str">
        <f t="shared" si="35"/>
        <v/>
      </c>
      <c r="T263" s="105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103">
        <f t="shared" si="33"/>
        <v>0</v>
      </c>
      <c r="P264" s="51"/>
      <c r="Q264" s="51"/>
      <c r="R264" s="104" t="str">
        <f t="shared" si="34"/>
        <v/>
      </c>
      <c r="S264" s="104" t="str">
        <f t="shared" si="35"/>
        <v/>
      </c>
      <c r="T264" s="105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103">
        <f t="shared" si="33"/>
        <v>0</v>
      </c>
      <c r="P265" s="51"/>
      <c r="Q265" s="51"/>
      <c r="R265" s="104" t="str">
        <f t="shared" si="34"/>
        <v/>
      </c>
      <c r="S265" s="104" t="str">
        <f t="shared" si="35"/>
        <v/>
      </c>
      <c r="T265" s="105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103">
        <f t="shared" si="33"/>
        <v>0</v>
      </c>
      <c r="P266" s="51"/>
      <c r="Q266" s="51"/>
      <c r="R266" s="104" t="str">
        <f t="shared" si="34"/>
        <v/>
      </c>
      <c r="S266" s="104" t="str">
        <f t="shared" si="35"/>
        <v/>
      </c>
      <c r="T266" s="105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103">
        <f t="shared" si="33"/>
        <v>0</v>
      </c>
      <c r="P267" s="51"/>
      <c r="Q267" s="51"/>
      <c r="R267" s="104" t="str">
        <f t="shared" si="34"/>
        <v/>
      </c>
      <c r="S267" s="104" t="str">
        <f t="shared" si="35"/>
        <v/>
      </c>
      <c r="T267" s="105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103">
        <f t="shared" ref="O268:O331" si="38">T268*N268</f>
        <v>0</v>
      </c>
      <c r="P268" s="51"/>
      <c r="Q268" s="51"/>
      <c r="R268" s="104" t="str">
        <f t="shared" ref="R268:R331" si="39">IF(OR(P268="c",P268="C"),+T268,"")</f>
        <v/>
      </c>
      <c r="S268" s="104" t="str">
        <f t="shared" ref="S268:S331" si="40">IF(OR(P268="$",N268=1),+T268,"")</f>
        <v/>
      </c>
      <c r="T268" s="105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103">
        <f t="shared" si="38"/>
        <v>0</v>
      </c>
      <c r="P269" s="51"/>
      <c r="Q269" s="51"/>
      <c r="R269" s="104" t="str">
        <f t="shared" si="39"/>
        <v/>
      </c>
      <c r="S269" s="104" t="str">
        <f t="shared" si="40"/>
        <v/>
      </c>
      <c r="T269" s="105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103">
        <f t="shared" si="38"/>
        <v>0</v>
      </c>
      <c r="P270" s="51"/>
      <c r="Q270" s="51"/>
      <c r="R270" s="104" t="str">
        <f t="shared" si="39"/>
        <v/>
      </c>
      <c r="S270" s="104" t="str">
        <f t="shared" si="40"/>
        <v/>
      </c>
      <c r="T270" s="105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103">
        <f t="shared" si="38"/>
        <v>0</v>
      </c>
      <c r="P271" s="51"/>
      <c r="Q271" s="51"/>
      <c r="R271" s="104" t="str">
        <f t="shared" si="39"/>
        <v/>
      </c>
      <c r="S271" s="104" t="str">
        <f t="shared" si="40"/>
        <v/>
      </c>
      <c r="T271" s="105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103">
        <f t="shared" si="38"/>
        <v>0</v>
      </c>
      <c r="P272" s="51"/>
      <c r="Q272" s="51"/>
      <c r="R272" s="104" t="str">
        <f t="shared" si="39"/>
        <v/>
      </c>
      <c r="S272" s="104" t="str">
        <f t="shared" si="40"/>
        <v/>
      </c>
      <c r="T272" s="105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103">
        <f t="shared" si="38"/>
        <v>0</v>
      </c>
      <c r="P273" s="51"/>
      <c r="Q273" s="51"/>
      <c r="R273" s="104" t="str">
        <f t="shared" si="39"/>
        <v/>
      </c>
      <c r="S273" s="104" t="str">
        <f t="shared" si="40"/>
        <v/>
      </c>
      <c r="T273" s="105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103">
        <f t="shared" si="38"/>
        <v>0</v>
      </c>
      <c r="P274" s="51"/>
      <c r="Q274" s="51"/>
      <c r="R274" s="104" t="str">
        <f t="shared" si="39"/>
        <v/>
      </c>
      <c r="S274" s="104" t="str">
        <f t="shared" si="40"/>
        <v/>
      </c>
      <c r="T274" s="105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103">
        <f t="shared" si="38"/>
        <v>0</v>
      </c>
      <c r="P275" s="51"/>
      <c r="Q275" s="51"/>
      <c r="R275" s="104" t="str">
        <f t="shared" si="39"/>
        <v/>
      </c>
      <c r="S275" s="104" t="str">
        <f t="shared" si="40"/>
        <v/>
      </c>
      <c r="T275" s="105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103">
        <f t="shared" si="38"/>
        <v>0</v>
      </c>
      <c r="P276" s="51"/>
      <c r="Q276" s="51"/>
      <c r="R276" s="104" t="str">
        <f t="shared" si="39"/>
        <v/>
      </c>
      <c r="S276" s="104" t="str">
        <f t="shared" si="40"/>
        <v/>
      </c>
      <c r="T276" s="105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103">
        <f t="shared" si="38"/>
        <v>0</v>
      </c>
      <c r="P277" s="51"/>
      <c r="Q277" s="51"/>
      <c r="R277" s="104" t="str">
        <f t="shared" si="39"/>
        <v/>
      </c>
      <c r="S277" s="104" t="str">
        <f t="shared" si="40"/>
        <v/>
      </c>
      <c r="T277" s="105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103">
        <f t="shared" si="38"/>
        <v>0</v>
      </c>
      <c r="P278" s="51"/>
      <c r="Q278" s="51"/>
      <c r="R278" s="104" t="str">
        <f t="shared" si="39"/>
        <v/>
      </c>
      <c r="S278" s="104" t="str">
        <f t="shared" si="40"/>
        <v/>
      </c>
      <c r="T278" s="105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103">
        <f t="shared" si="38"/>
        <v>0</v>
      </c>
      <c r="P279" s="51"/>
      <c r="Q279" s="51"/>
      <c r="R279" s="104" t="str">
        <f t="shared" si="39"/>
        <v/>
      </c>
      <c r="S279" s="104" t="str">
        <f t="shared" si="40"/>
        <v/>
      </c>
      <c r="T279" s="105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103">
        <f t="shared" si="38"/>
        <v>0</v>
      </c>
      <c r="P280" s="51"/>
      <c r="Q280" s="51"/>
      <c r="R280" s="104" t="str">
        <f t="shared" si="39"/>
        <v/>
      </c>
      <c r="S280" s="104" t="str">
        <f t="shared" si="40"/>
        <v/>
      </c>
      <c r="T280" s="105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103">
        <f t="shared" si="38"/>
        <v>0</v>
      </c>
      <c r="P281" s="51"/>
      <c r="Q281" s="51"/>
      <c r="R281" s="104" t="str">
        <f t="shared" si="39"/>
        <v/>
      </c>
      <c r="S281" s="104" t="str">
        <f t="shared" si="40"/>
        <v/>
      </c>
      <c r="T281" s="105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103">
        <f t="shared" si="38"/>
        <v>0</v>
      </c>
      <c r="P282" s="51"/>
      <c r="Q282" s="51"/>
      <c r="R282" s="104" t="str">
        <f t="shared" si="39"/>
        <v/>
      </c>
      <c r="S282" s="104" t="str">
        <f t="shared" si="40"/>
        <v/>
      </c>
      <c r="T282" s="105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103">
        <f t="shared" si="38"/>
        <v>0</v>
      </c>
      <c r="P283" s="51"/>
      <c r="Q283" s="51"/>
      <c r="R283" s="104" t="str">
        <f t="shared" si="39"/>
        <v/>
      </c>
      <c r="S283" s="104" t="str">
        <f t="shared" si="40"/>
        <v/>
      </c>
      <c r="T283" s="105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103">
        <f t="shared" si="38"/>
        <v>0</v>
      </c>
      <c r="P284" s="51"/>
      <c r="Q284" s="51"/>
      <c r="R284" s="104" t="str">
        <f t="shared" si="39"/>
        <v/>
      </c>
      <c r="S284" s="104" t="str">
        <f t="shared" si="40"/>
        <v/>
      </c>
      <c r="T284" s="105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103">
        <f t="shared" si="38"/>
        <v>0</v>
      </c>
      <c r="P285" s="51"/>
      <c r="Q285" s="51"/>
      <c r="R285" s="104" t="str">
        <f t="shared" si="39"/>
        <v/>
      </c>
      <c r="S285" s="104" t="str">
        <f t="shared" si="40"/>
        <v/>
      </c>
      <c r="T285" s="105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103">
        <f t="shared" si="38"/>
        <v>0</v>
      </c>
      <c r="P286" s="51"/>
      <c r="Q286" s="51"/>
      <c r="R286" s="104" t="str">
        <f t="shared" si="39"/>
        <v/>
      </c>
      <c r="S286" s="104" t="str">
        <f t="shared" si="40"/>
        <v/>
      </c>
      <c r="T286" s="105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103">
        <f t="shared" si="38"/>
        <v>0</v>
      </c>
      <c r="P287" s="51"/>
      <c r="Q287" s="51"/>
      <c r="R287" s="104" t="str">
        <f t="shared" si="39"/>
        <v/>
      </c>
      <c r="S287" s="104" t="str">
        <f t="shared" si="40"/>
        <v/>
      </c>
      <c r="T287" s="105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103">
        <f t="shared" si="38"/>
        <v>0</v>
      </c>
      <c r="P288" s="51"/>
      <c r="Q288" s="51"/>
      <c r="R288" s="104" t="str">
        <f t="shared" si="39"/>
        <v/>
      </c>
      <c r="S288" s="104" t="str">
        <f t="shared" si="40"/>
        <v/>
      </c>
      <c r="T288" s="105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103">
        <f t="shared" si="38"/>
        <v>0</v>
      </c>
      <c r="P289" s="51"/>
      <c r="Q289" s="51"/>
      <c r="R289" s="104" t="str">
        <f t="shared" si="39"/>
        <v/>
      </c>
      <c r="S289" s="104" t="str">
        <f t="shared" si="40"/>
        <v/>
      </c>
      <c r="T289" s="105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103">
        <f t="shared" si="38"/>
        <v>0</v>
      </c>
      <c r="P290" s="51"/>
      <c r="Q290" s="51"/>
      <c r="R290" s="104" t="str">
        <f t="shared" si="39"/>
        <v/>
      </c>
      <c r="S290" s="104" t="str">
        <f t="shared" si="40"/>
        <v/>
      </c>
      <c r="T290" s="105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103">
        <f t="shared" si="38"/>
        <v>0</v>
      </c>
      <c r="P291" s="51"/>
      <c r="Q291" s="51"/>
      <c r="R291" s="104" t="str">
        <f t="shared" si="39"/>
        <v/>
      </c>
      <c r="S291" s="104" t="str">
        <f t="shared" si="40"/>
        <v/>
      </c>
      <c r="T291" s="105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103">
        <f t="shared" si="38"/>
        <v>0</v>
      </c>
      <c r="P292" s="51"/>
      <c r="Q292" s="51"/>
      <c r="R292" s="104" t="str">
        <f t="shared" si="39"/>
        <v/>
      </c>
      <c r="S292" s="104" t="str">
        <f t="shared" si="40"/>
        <v/>
      </c>
      <c r="T292" s="105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103">
        <f t="shared" si="38"/>
        <v>0</v>
      </c>
      <c r="P293" s="51"/>
      <c r="Q293" s="51"/>
      <c r="R293" s="104" t="str">
        <f t="shared" si="39"/>
        <v/>
      </c>
      <c r="S293" s="104" t="str">
        <f t="shared" si="40"/>
        <v/>
      </c>
      <c r="T293" s="105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103">
        <f t="shared" si="38"/>
        <v>0</v>
      </c>
      <c r="P294" s="51"/>
      <c r="Q294" s="51"/>
      <c r="R294" s="104" t="str">
        <f t="shared" si="39"/>
        <v/>
      </c>
      <c r="S294" s="104" t="str">
        <f t="shared" si="40"/>
        <v/>
      </c>
      <c r="T294" s="105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103">
        <f t="shared" si="38"/>
        <v>0</v>
      </c>
      <c r="P295" s="51"/>
      <c r="Q295" s="51"/>
      <c r="R295" s="104" t="str">
        <f t="shared" si="39"/>
        <v/>
      </c>
      <c r="S295" s="104" t="str">
        <f t="shared" si="40"/>
        <v/>
      </c>
      <c r="T295" s="105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103">
        <f t="shared" si="38"/>
        <v>0</v>
      </c>
      <c r="P296" s="51"/>
      <c r="Q296" s="51"/>
      <c r="R296" s="104" t="str">
        <f t="shared" si="39"/>
        <v/>
      </c>
      <c r="S296" s="104" t="str">
        <f t="shared" si="40"/>
        <v/>
      </c>
      <c r="T296" s="105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103">
        <f t="shared" si="38"/>
        <v>0</v>
      </c>
      <c r="P297" s="51"/>
      <c r="Q297" s="51"/>
      <c r="R297" s="104" t="str">
        <f t="shared" si="39"/>
        <v/>
      </c>
      <c r="S297" s="104" t="str">
        <f t="shared" si="40"/>
        <v/>
      </c>
      <c r="T297" s="105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103">
        <f t="shared" si="38"/>
        <v>0</v>
      </c>
      <c r="P298" s="51"/>
      <c r="Q298" s="51"/>
      <c r="R298" s="104" t="str">
        <f t="shared" si="39"/>
        <v/>
      </c>
      <c r="S298" s="104" t="str">
        <f t="shared" si="40"/>
        <v/>
      </c>
      <c r="T298" s="105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103">
        <f t="shared" si="38"/>
        <v>0</v>
      </c>
      <c r="P299" s="51"/>
      <c r="Q299" s="51"/>
      <c r="R299" s="104" t="str">
        <f t="shared" si="39"/>
        <v/>
      </c>
      <c r="S299" s="104" t="str">
        <f t="shared" si="40"/>
        <v/>
      </c>
      <c r="T299" s="105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103">
        <f t="shared" si="38"/>
        <v>0</v>
      </c>
      <c r="P300" s="51"/>
      <c r="Q300" s="51"/>
      <c r="R300" s="104" t="str">
        <f t="shared" si="39"/>
        <v/>
      </c>
      <c r="S300" s="104" t="str">
        <f t="shared" si="40"/>
        <v/>
      </c>
      <c r="T300" s="105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103">
        <f t="shared" si="38"/>
        <v>0</v>
      </c>
      <c r="P301" s="51"/>
      <c r="Q301" s="51"/>
      <c r="R301" s="104" t="str">
        <f t="shared" si="39"/>
        <v/>
      </c>
      <c r="S301" s="104" t="str">
        <f t="shared" si="40"/>
        <v/>
      </c>
      <c r="T301" s="105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103">
        <f t="shared" si="38"/>
        <v>0</v>
      </c>
      <c r="P302" s="51"/>
      <c r="Q302" s="51"/>
      <c r="R302" s="104" t="str">
        <f t="shared" si="39"/>
        <v/>
      </c>
      <c r="S302" s="104" t="str">
        <f t="shared" si="40"/>
        <v/>
      </c>
      <c r="T302" s="105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103">
        <f t="shared" si="38"/>
        <v>0</v>
      </c>
      <c r="P303" s="51"/>
      <c r="Q303" s="51"/>
      <c r="R303" s="104" t="str">
        <f t="shared" si="39"/>
        <v/>
      </c>
      <c r="S303" s="104" t="str">
        <f t="shared" si="40"/>
        <v/>
      </c>
      <c r="T303" s="105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103">
        <f t="shared" si="38"/>
        <v>0</v>
      </c>
      <c r="P304" s="51"/>
      <c r="Q304" s="51"/>
      <c r="R304" s="104" t="str">
        <f t="shared" si="39"/>
        <v/>
      </c>
      <c r="S304" s="104" t="str">
        <f t="shared" si="40"/>
        <v/>
      </c>
      <c r="T304" s="105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103">
        <f t="shared" si="38"/>
        <v>0</v>
      </c>
      <c r="P305" s="51"/>
      <c r="Q305" s="51"/>
      <c r="R305" s="104" t="str">
        <f t="shared" si="39"/>
        <v/>
      </c>
      <c r="S305" s="104" t="str">
        <f t="shared" si="40"/>
        <v/>
      </c>
      <c r="T305" s="105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103">
        <f t="shared" si="38"/>
        <v>0</v>
      </c>
      <c r="P306" s="51"/>
      <c r="Q306" s="51"/>
      <c r="R306" s="104" t="str">
        <f t="shared" si="39"/>
        <v/>
      </c>
      <c r="S306" s="104" t="str">
        <f t="shared" si="40"/>
        <v/>
      </c>
      <c r="T306" s="105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103">
        <f t="shared" si="38"/>
        <v>0</v>
      </c>
      <c r="P307" s="51"/>
      <c r="Q307" s="51"/>
      <c r="R307" s="104" t="str">
        <f t="shared" si="39"/>
        <v/>
      </c>
      <c r="S307" s="104" t="str">
        <f t="shared" si="40"/>
        <v/>
      </c>
      <c r="T307" s="105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103">
        <f t="shared" si="38"/>
        <v>0</v>
      </c>
      <c r="P308" s="51"/>
      <c r="Q308" s="51"/>
      <c r="R308" s="104" t="str">
        <f t="shared" si="39"/>
        <v/>
      </c>
      <c r="S308" s="104" t="str">
        <f t="shared" si="40"/>
        <v/>
      </c>
      <c r="T308" s="105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103">
        <f t="shared" si="38"/>
        <v>0</v>
      </c>
      <c r="P309" s="51"/>
      <c r="Q309" s="51"/>
      <c r="R309" s="104" t="str">
        <f t="shared" si="39"/>
        <v/>
      </c>
      <c r="S309" s="104" t="str">
        <f t="shared" si="40"/>
        <v/>
      </c>
      <c r="T309" s="105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103">
        <f t="shared" si="38"/>
        <v>0</v>
      </c>
      <c r="P310" s="51"/>
      <c r="Q310" s="51"/>
      <c r="R310" s="104" t="str">
        <f t="shared" si="39"/>
        <v/>
      </c>
      <c r="S310" s="104" t="str">
        <f t="shared" si="40"/>
        <v/>
      </c>
      <c r="T310" s="105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103">
        <f t="shared" si="38"/>
        <v>0</v>
      </c>
      <c r="P311" s="51"/>
      <c r="Q311" s="51"/>
      <c r="R311" s="104" t="str">
        <f t="shared" si="39"/>
        <v/>
      </c>
      <c r="S311" s="104" t="str">
        <f t="shared" si="40"/>
        <v/>
      </c>
      <c r="T311" s="105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103">
        <f t="shared" si="38"/>
        <v>0</v>
      </c>
      <c r="P312" s="51"/>
      <c r="Q312" s="51"/>
      <c r="R312" s="104" t="str">
        <f t="shared" si="39"/>
        <v/>
      </c>
      <c r="S312" s="104" t="str">
        <f t="shared" si="40"/>
        <v/>
      </c>
      <c r="T312" s="105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103">
        <f t="shared" si="38"/>
        <v>0</v>
      </c>
      <c r="P313" s="51"/>
      <c r="Q313" s="51"/>
      <c r="R313" s="104" t="str">
        <f t="shared" si="39"/>
        <v/>
      </c>
      <c r="S313" s="104" t="str">
        <f t="shared" si="40"/>
        <v/>
      </c>
      <c r="T313" s="105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103">
        <f t="shared" si="38"/>
        <v>0</v>
      </c>
      <c r="P314" s="51"/>
      <c r="Q314" s="51"/>
      <c r="R314" s="104" t="str">
        <f t="shared" si="39"/>
        <v/>
      </c>
      <c r="S314" s="104" t="str">
        <f t="shared" si="40"/>
        <v/>
      </c>
      <c r="T314" s="105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103">
        <f t="shared" si="38"/>
        <v>0</v>
      </c>
      <c r="P315" s="51"/>
      <c r="Q315" s="51"/>
      <c r="R315" s="104" t="str">
        <f t="shared" si="39"/>
        <v/>
      </c>
      <c r="S315" s="104" t="str">
        <f t="shared" si="40"/>
        <v/>
      </c>
      <c r="T315" s="105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103">
        <f t="shared" si="38"/>
        <v>0</v>
      </c>
      <c r="P316" s="51"/>
      <c r="Q316" s="51"/>
      <c r="R316" s="104" t="str">
        <f t="shared" si="39"/>
        <v/>
      </c>
      <c r="S316" s="104" t="str">
        <f t="shared" si="40"/>
        <v/>
      </c>
      <c r="T316" s="105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103">
        <f t="shared" si="38"/>
        <v>0</v>
      </c>
      <c r="P317" s="51"/>
      <c r="Q317" s="51"/>
      <c r="R317" s="104" t="str">
        <f t="shared" si="39"/>
        <v/>
      </c>
      <c r="S317" s="104" t="str">
        <f t="shared" si="40"/>
        <v/>
      </c>
      <c r="T317" s="105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103">
        <f t="shared" si="38"/>
        <v>0</v>
      </c>
      <c r="P318" s="51"/>
      <c r="Q318" s="51"/>
      <c r="R318" s="104" t="str">
        <f t="shared" si="39"/>
        <v/>
      </c>
      <c r="S318" s="104" t="str">
        <f t="shared" si="40"/>
        <v/>
      </c>
      <c r="T318" s="105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103">
        <f t="shared" si="38"/>
        <v>0</v>
      </c>
      <c r="P319" s="51"/>
      <c r="Q319" s="51"/>
      <c r="R319" s="104" t="str">
        <f t="shared" si="39"/>
        <v/>
      </c>
      <c r="S319" s="104" t="str">
        <f t="shared" si="40"/>
        <v/>
      </c>
      <c r="T319" s="105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103">
        <f t="shared" si="38"/>
        <v>0</v>
      </c>
      <c r="P320" s="51"/>
      <c r="Q320" s="51"/>
      <c r="R320" s="104" t="str">
        <f t="shared" si="39"/>
        <v/>
      </c>
      <c r="S320" s="104" t="str">
        <f t="shared" si="40"/>
        <v/>
      </c>
      <c r="T320" s="105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103">
        <f t="shared" si="38"/>
        <v>0</v>
      </c>
      <c r="P321" s="51"/>
      <c r="Q321" s="51"/>
      <c r="R321" s="104" t="str">
        <f t="shared" si="39"/>
        <v/>
      </c>
      <c r="S321" s="104" t="str">
        <f t="shared" si="40"/>
        <v/>
      </c>
      <c r="T321" s="105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103">
        <f t="shared" si="38"/>
        <v>0</v>
      </c>
      <c r="P322" s="51"/>
      <c r="Q322" s="51"/>
      <c r="R322" s="104" t="str">
        <f t="shared" si="39"/>
        <v/>
      </c>
      <c r="S322" s="104" t="str">
        <f t="shared" si="40"/>
        <v/>
      </c>
      <c r="T322" s="105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103">
        <f t="shared" si="38"/>
        <v>0</v>
      </c>
      <c r="P323" s="51"/>
      <c r="Q323" s="51"/>
      <c r="R323" s="104" t="str">
        <f t="shared" si="39"/>
        <v/>
      </c>
      <c r="S323" s="104" t="str">
        <f t="shared" si="40"/>
        <v/>
      </c>
      <c r="T323" s="105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103">
        <f t="shared" si="38"/>
        <v>0</v>
      </c>
      <c r="P324" s="51"/>
      <c r="Q324" s="51"/>
      <c r="R324" s="104" t="str">
        <f t="shared" si="39"/>
        <v/>
      </c>
      <c r="S324" s="104" t="str">
        <f t="shared" si="40"/>
        <v/>
      </c>
      <c r="T324" s="105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103">
        <f t="shared" si="38"/>
        <v>0</v>
      </c>
      <c r="P325" s="51"/>
      <c r="Q325" s="51"/>
      <c r="R325" s="104" t="str">
        <f t="shared" si="39"/>
        <v/>
      </c>
      <c r="S325" s="104" t="str">
        <f t="shared" si="40"/>
        <v/>
      </c>
      <c r="T325" s="105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103">
        <f t="shared" si="38"/>
        <v>0</v>
      </c>
      <c r="P326" s="51"/>
      <c r="Q326" s="51"/>
      <c r="R326" s="104" t="str">
        <f t="shared" si="39"/>
        <v/>
      </c>
      <c r="S326" s="104" t="str">
        <f t="shared" si="40"/>
        <v/>
      </c>
      <c r="T326" s="105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103">
        <f t="shared" si="38"/>
        <v>0</v>
      </c>
      <c r="P327" s="51"/>
      <c r="Q327" s="51"/>
      <c r="R327" s="104" t="str">
        <f t="shared" si="39"/>
        <v/>
      </c>
      <c r="S327" s="104" t="str">
        <f t="shared" si="40"/>
        <v/>
      </c>
      <c r="T327" s="105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103">
        <f t="shared" si="38"/>
        <v>0</v>
      </c>
      <c r="P328" s="51"/>
      <c r="Q328" s="51"/>
      <c r="R328" s="104" t="str">
        <f t="shared" si="39"/>
        <v/>
      </c>
      <c r="S328" s="104" t="str">
        <f t="shared" si="40"/>
        <v/>
      </c>
      <c r="T328" s="105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103">
        <f t="shared" si="38"/>
        <v>0</v>
      </c>
      <c r="P329" s="51"/>
      <c r="Q329" s="51"/>
      <c r="R329" s="104" t="str">
        <f t="shared" si="39"/>
        <v/>
      </c>
      <c r="S329" s="104" t="str">
        <f t="shared" si="40"/>
        <v/>
      </c>
      <c r="T329" s="105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103">
        <f t="shared" si="38"/>
        <v>0</v>
      </c>
      <c r="P330" s="51"/>
      <c r="Q330" s="51"/>
      <c r="R330" s="104" t="str">
        <f t="shared" si="39"/>
        <v/>
      </c>
      <c r="S330" s="104" t="str">
        <f t="shared" si="40"/>
        <v/>
      </c>
      <c r="T330" s="105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103">
        <f t="shared" si="38"/>
        <v>0</v>
      </c>
      <c r="P331" s="51"/>
      <c r="Q331" s="51"/>
      <c r="R331" s="104" t="str">
        <f t="shared" si="39"/>
        <v/>
      </c>
      <c r="S331" s="104" t="str">
        <f t="shared" si="40"/>
        <v/>
      </c>
      <c r="T331" s="105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103">
        <f t="shared" ref="O332:O395" si="43">T332*N332</f>
        <v>0</v>
      </c>
      <c r="P332" s="51"/>
      <c r="Q332" s="51"/>
      <c r="R332" s="104" t="str">
        <f t="shared" ref="R332:R395" si="44">IF(OR(P332="c",P332="C"),+T332,"")</f>
        <v/>
      </c>
      <c r="S332" s="104" t="str">
        <f t="shared" ref="S332:S395" si="45">IF(OR(P332="$",N332=1),+T332,"")</f>
        <v/>
      </c>
      <c r="T332" s="105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103">
        <f t="shared" si="43"/>
        <v>0</v>
      </c>
      <c r="P333" s="51"/>
      <c r="Q333" s="51"/>
      <c r="R333" s="104" t="str">
        <f t="shared" si="44"/>
        <v/>
      </c>
      <c r="S333" s="104" t="str">
        <f t="shared" si="45"/>
        <v/>
      </c>
      <c r="T333" s="105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103">
        <f t="shared" si="43"/>
        <v>0</v>
      </c>
      <c r="P334" s="51"/>
      <c r="Q334" s="51"/>
      <c r="R334" s="104" t="str">
        <f t="shared" si="44"/>
        <v/>
      </c>
      <c r="S334" s="104" t="str">
        <f t="shared" si="45"/>
        <v/>
      </c>
      <c r="T334" s="105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103">
        <f t="shared" si="43"/>
        <v>0</v>
      </c>
      <c r="P335" s="51"/>
      <c r="Q335" s="51"/>
      <c r="R335" s="104" t="str">
        <f t="shared" si="44"/>
        <v/>
      </c>
      <c r="S335" s="104" t="str">
        <f t="shared" si="45"/>
        <v/>
      </c>
      <c r="T335" s="105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103">
        <f t="shared" si="43"/>
        <v>0</v>
      </c>
      <c r="P336" s="51"/>
      <c r="Q336" s="51"/>
      <c r="R336" s="104" t="str">
        <f t="shared" si="44"/>
        <v/>
      </c>
      <c r="S336" s="104" t="str">
        <f t="shared" si="45"/>
        <v/>
      </c>
      <c r="T336" s="105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103">
        <f t="shared" si="43"/>
        <v>0</v>
      </c>
      <c r="P337" s="51"/>
      <c r="Q337" s="51"/>
      <c r="R337" s="104" t="str">
        <f t="shared" si="44"/>
        <v/>
      </c>
      <c r="S337" s="104" t="str">
        <f t="shared" si="45"/>
        <v/>
      </c>
      <c r="T337" s="105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103">
        <f t="shared" si="43"/>
        <v>0</v>
      </c>
      <c r="P338" s="51"/>
      <c r="Q338" s="51"/>
      <c r="R338" s="104" t="str">
        <f t="shared" si="44"/>
        <v/>
      </c>
      <c r="S338" s="104" t="str">
        <f t="shared" si="45"/>
        <v/>
      </c>
      <c r="T338" s="105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103">
        <f t="shared" si="43"/>
        <v>0</v>
      </c>
      <c r="P339" s="51"/>
      <c r="Q339" s="51"/>
      <c r="R339" s="104" t="str">
        <f t="shared" si="44"/>
        <v/>
      </c>
      <c r="S339" s="104" t="str">
        <f t="shared" si="45"/>
        <v/>
      </c>
      <c r="T339" s="105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103">
        <f t="shared" si="43"/>
        <v>0</v>
      </c>
      <c r="P340" s="51"/>
      <c r="Q340" s="51"/>
      <c r="R340" s="104" t="str">
        <f t="shared" si="44"/>
        <v/>
      </c>
      <c r="S340" s="104" t="str">
        <f t="shared" si="45"/>
        <v/>
      </c>
      <c r="T340" s="105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103">
        <f t="shared" si="43"/>
        <v>0</v>
      </c>
      <c r="P341" s="51"/>
      <c r="Q341" s="51"/>
      <c r="R341" s="104" t="str">
        <f t="shared" si="44"/>
        <v/>
      </c>
      <c r="S341" s="104" t="str">
        <f t="shared" si="45"/>
        <v/>
      </c>
      <c r="T341" s="105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103">
        <f t="shared" si="43"/>
        <v>0</v>
      </c>
      <c r="P342" s="51"/>
      <c r="Q342" s="51"/>
      <c r="R342" s="104" t="str">
        <f t="shared" si="44"/>
        <v/>
      </c>
      <c r="S342" s="104" t="str">
        <f t="shared" si="45"/>
        <v/>
      </c>
      <c r="T342" s="105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103">
        <f t="shared" si="43"/>
        <v>0</v>
      </c>
      <c r="P343" s="51"/>
      <c r="Q343" s="51"/>
      <c r="R343" s="104" t="str">
        <f t="shared" si="44"/>
        <v/>
      </c>
      <c r="S343" s="104" t="str">
        <f t="shared" si="45"/>
        <v/>
      </c>
      <c r="T343" s="105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103">
        <f t="shared" si="43"/>
        <v>0</v>
      </c>
      <c r="P344" s="51"/>
      <c r="Q344" s="51"/>
      <c r="R344" s="104" t="str">
        <f t="shared" si="44"/>
        <v/>
      </c>
      <c r="S344" s="104" t="str">
        <f t="shared" si="45"/>
        <v/>
      </c>
      <c r="T344" s="105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103">
        <f t="shared" si="43"/>
        <v>0</v>
      </c>
      <c r="P345" s="51"/>
      <c r="Q345" s="51"/>
      <c r="R345" s="104" t="str">
        <f t="shared" si="44"/>
        <v/>
      </c>
      <c r="S345" s="104" t="str">
        <f t="shared" si="45"/>
        <v/>
      </c>
      <c r="T345" s="105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103">
        <f t="shared" si="43"/>
        <v>0</v>
      </c>
      <c r="P346" s="51"/>
      <c r="Q346" s="51"/>
      <c r="R346" s="104" t="str">
        <f t="shared" si="44"/>
        <v/>
      </c>
      <c r="S346" s="104" t="str">
        <f t="shared" si="45"/>
        <v/>
      </c>
      <c r="T346" s="105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103">
        <f t="shared" si="43"/>
        <v>0</v>
      </c>
      <c r="P347" s="51"/>
      <c r="Q347" s="51"/>
      <c r="R347" s="104" t="str">
        <f t="shared" si="44"/>
        <v/>
      </c>
      <c r="S347" s="104" t="str">
        <f t="shared" si="45"/>
        <v/>
      </c>
      <c r="T347" s="105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103">
        <f t="shared" si="43"/>
        <v>0</v>
      </c>
      <c r="P348" s="51"/>
      <c r="Q348" s="51"/>
      <c r="R348" s="104" t="str">
        <f t="shared" si="44"/>
        <v/>
      </c>
      <c r="S348" s="104" t="str">
        <f t="shared" si="45"/>
        <v/>
      </c>
      <c r="T348" s="105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103">
        <f t="shared" si="43"/>
        <v>0</v>
      </c>
      <c r="P349" s="51"/>
      <c r="Q349" s="51"/>
      <c r="R349" s="104" t="str">
        <f t="shared" si="44"/>
        <v/>
      </c>
      <c r="S349" s="104" t="str">
        <f t="shared" si="45"/>
        <v/>
      </c>
      <c r="T349" s="105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103">
        <f t="shared" si="43"/>
        <v>0</v>
      </c>
      <c r="P350" s="51"/>
      <c r="Q350" s="51"/>
      <c r="R350" s="104" t="str">
        <f t="shared" si="44"/>
        <v/>
      </c>
      <c r="S350" s="104" t="str">
        <f t="shared" si="45"/>
        <v/>
      </c>
      <c r="T350" s="105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103">
        <f t="shared" si="43"/>
        <v>0</v>
      </c>
      <c r="P351" s="51"/>
      <c r="Q351" s="51"/>
      <c r="R351" s="104" t="str">
        <f t="shared" si="44"/>
        <v/>
      </c>
      <c r="S351" s="104" t="str">
        <f t="shared" si="45"/>
        <v/>
      </c>
      <c r="T351" s="105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103">
        <f t="shared" si="43"/>
        <v>0</v>
      </c>
      <c r="P352" s="51"/>
      <c r="Q352" s="51"/>
      <c r="R352" s="104" t="str">
        <f t="shared" si="44"/>
        <v/>
      </c>
      <c r="S352" s="104" t="str">
        <f t="shared" si="45"/>
        <v/>
      </c>
      <c r="T352" s="105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103">
        <f t="shared" si="43"/>
        <v>0</v>
      </c>
      <c r="P353" s="51"/>
      <c r="Q353" s="51"/>
      <c r="R353" s="104" t="str">
        <f t="shared" si="44"/>
        <v/>
      </c>
      <c r="S353" s="104" t="str">
        <f t="shared" si="45"/>
        <v/>
      </c>
      <c r="T353" s="105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103">
        <f t="shared" si="43"/>
        <v>0</v>
      </c>
      <c r="P354" s="51"/>
      <c r="Q354" s="51"/>
      <c r="R354" s="104" t="str">
        <f t="shared" si="44"/>
        <v/>
      </c>
      <c r="S354" s="104" t="str">
        <f t="shared" si="45"/>
        <v/>
      </c>
      <c r="T354" s="105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103">
        <f t="shared" si="43"/>
        <v>0</v>
      </c>
      <c r="P355" s="51"/>
      <c r="Q355" s="51"/>
      <c r="R355" s="104" t="str">
        <f t="shared" si="44"/>
        <v/>
      </c>
      <c r="S355" s="104" t="str">
        <f t="shared" si="45"/>
        <v/>
      </c>
      <c r="T355" s="105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103">
        <f t="shared" si="43"/>
        <v>0</v>
      </c>
      <c r="P356" s="51"/>
      <c r="Q356" s="51"/>
      <c r="R356" s="104" t="str">
        <f t="shared" si="44"/>
        <v/>
      </c>
      <c r="S356" s="104" t="str">
        <f t="shared" si="45"/>
        <v/>
      </c>
      <c r="T356" s="105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103">
        <f t="shared" si="43"/>
        <v>0</v>
      </c>
      <c r="P357" s="51"/>
      <c r="Q357" s="51"/>
      <c r="R357" s="104" t="str">
        <f t="shared" si="44"/>
        <v/>
      </c>
      <c r="S357" s="104" t="str">
        <f t="shared" si="45"/>
        <v/>
      </c>
      <c r="T357" s="105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103">
        <f t="shared" si="43"/>
        <v>0</v>
      </c>
      <c r="P358" s="51"/>
      <c r="Q358" s="51"/>
      <c r="R358" s="104" t="str">
        <f t="shared" si="44"/>
        <v/>
      </c>
      <c r="S358" s="104" t="str">
        <f t="shared" si="45"/>
        <v/>
      </c>
      <c r="T358" s="105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103">
        <f t="shared" si="43"/>
        <v>0</v>
      </c>
      <c r="P359" s="51"/>
      <c r="Q359" s="51"/>
      <c r="R359" s="104" t="str">
        <f t="shared" si="44"/>
        <v/>
      </c>
      <c r="S359" s="104" t="str">
        <f t="shared" si="45"/>
        <v/>
      </c>
      <c r="T359" s="105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103">
        <f t="shared" si="43"/>
        <v>0</v>
      </c>
      <c r="P360" s="51"/>
      <c r="Q360" s="51"/>
      <c r="R360" s="104" t="str">
        <f t="shared" si="44"/>
        <v/>
      </c>
      <c r="S360" s="104" t="str">
        <f t="shared" si="45"/>
        <v/>
      </c>
      <c r="T360" s="105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103">
        <f t="shared" si="43"/>
        <v>0</v>
      </c>
      <c r="P361" s="51"/>
      <c r="Q361" s="51"/>
      <c r="R361" s="104" t="str">
        <f t="shared" si="44"/>
        <v/>
      </c>
      <c r="S361" s="104" t="str">
        <f t="shared" si="45"/>
        <v/>
      </c>
      <c r="T361" s="105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103">
        <f t="shared" si="43"/>
        <v>0</v>
      </c>
      <c r="P362" s="51"/>
      <c r="Q362" s="51"/>
      <c r="R362" s="104" t="str">
        <f t="shared" si="44"/>
        <v/>
      </c>
      <c r="S362" s="104" t="str">
        <f t="shared" si="45"/>
        <v/>
      </c>
      <c r="T362" s="105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103">
        <f t="shared" si="43"/>
        <v>0</v>
      </c>
      <c r="P363" s="51"/>
      <c r="Q363" s="51"/>
      <c r="R363" s="104" t="str">
        <f t="shared" si="44"/>
        <v/>
      </c>
      <c r="S363" s="104" t="str">
        <f t="shared" si="45"/>
        <v/>
      </c>
      <c r="T363" s="105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103">
        <f t="shared" si="43"/>
        <v>0</v>
      </c>
      <c r="P364" s="51"/>
      <c r="Q364" s="51"/>
      <c r="R364" s="104" t="str">
        <f t="shared" si="44"/>
        <v/>
      </c>
      <c r="S364" s="104" t="str">
        <f t="shared" si="45"/>
        <v/>
      </c>
      <c r="T364" s="105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103">
        <f t="shared" si="43"/>
        <v>0</v>
      </c>
      <c r="P365" s="51"/>
      <c r="Q365" s="51"/>
      <c r="R365" s="104" t="str">
        <f t="shared" si="44"/>
        <v/>
      </c>
      <c r="S365" s="104" t="str">
        <f t="shared" si="45"/>
        <v/>
      </c>
      <c r="T365" s="105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103">
        <f t="shared" si="43"/>
        <v>0</v>
      </c>
      <c r="P366" s="51"/>
      <c r="Q366" s="51"/>
      <c r="R366" s="104" t="str">
        <f t="shared" si="44"/>
        <v/>
      </c>
      <c r="S366" s="104" t="str">
        <f t="shared" si="45"/>
        <v/>
      </c>
      <c r="T366" s="105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103">
        <f t="shared" si="43"/>
        <v>0</v>
      </c>
      <c r="P367" s="51"/>
      <c r="Q367" s="51"/>
      <c r="R367" s="104" t="str">
        <f t="shared" si="44"/>
        <v/>
      </c>
      <c r="S367" s="104" t="str">
        <f t="shared" si="45"/>
        <v/>
      </c>
      <c r="T367" s="105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103">
        <f t="shared" si="43"/>
        <v>0</v>
      </c>
      <c r="P368" s="51"/>
      <c r="Q368" s="51"/>
      <c r="R368" s="104" t="str">
        <f t="shared" si="44"/>
        <v/>
      </c>
      <c r="S368" s="104" t="str">
        <f t="shared" si="45"/>
        <v/>
      </c>
      <c r="T368" s="105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103">
        <f t="shared" si="43"/>
        <v>0</v>
      </c>
      <c r="P369" s="51"/>
      <c r="Q369" s="51"/>
      <c r="R369" s="104" t="str">
        <f t="shared" si="44"/>
        <v/>
      </c>
      <c r="S369" s="104" t="str">
        <f t="shared" si="45"/>
        <v/>
      </c>
      <c r="T369" s="105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103">
        <f t="shared" si="43"/>
        <v>0</v>
      </c>
      <c r="P370" s="51"/>
      <c r="Q370" s="51"/>
      <c r="R370" s="104" t="str">
        <f t="shared" si="44"/>
        <v/>
      </c>
      <c r="S370" s="104" t="str">
        <f t="shared" si="45"/>
        <v/>
      </c>
      <c r="T370" s="105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103">
        <f t="shared" si="43"/>
        <v>0</v>
      </c>
      <c r="P371" s="51"/>
      <c r="Q371" s="51"/>
      <c r="R371" s="104" t="str">
        <f t="shared" si="44"/>
        <v/>
      </c>
      <c r="S371" s="104" t="str">
        <f t="shared" si="45"/>
        <v/>
      </c>
      <c r="T371" s="105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103">
        <f t="shared" si="43"/>
        <v>0</v>
      </c>
      <c r="P372" s="51"/>
      <c r="Q372" s="51"/>
      <c r="R372" s="104" t="str">
        <f t="shared" si="44"/>
        <v/>
      </c>
      <c r="S372" s="104" t="str">
        <f t="shared" si="45"/>
        <v/>
      </c>
      <c r="T372" s="105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103">
        <f t="shared" si="43"/>
        <v>0</v>
      </c>
      <c r="P373" s="51"/>
      <c r="Q373" s="51"/>
      <c r="R373" s="104" t="str">
        <f t="shared" si="44"/>
        <v/>
      </c>
      <c r="S373" s="104" t="str">
        <f t="shared" si="45"/>
        <v/>
      </c>
      <c r="T373" s="105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103">
        <f t="shared" si="43"/>
        <v>0</v>
      </c>
      <c r="P374" s="51"/>
      <c r="Q374" s="51"/>
      <c r="R374" s="104" t="str">
        <f t="shared" si="44"/>
        <v/>
      </c>
      <c r="S374" s="104" t="str">
        <f t="shared" si="45"/>
        <v/>
      </c>
      <c r="T374" s="105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103">
        <f t="shared" si="43"/>
        <v>0</v>
      </c>
      <c r="P375" s="51"/>
      <c r="Q375" s="51"/>
      <c r="R375" s="104" t="str">
        <f t="shared" si="44"/>
        <v/>
      </c>
      <c r="S375" s="104" t="str">
        <f t="shared" si="45"/>
        <v/>
      </c>
      <c r="T375" s="105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103">
        <f t="shared" si="43"/>
        <v>0</v>
      </c>
      <c r="P376" s="51"/>
      <c r="Q376" s="51"/>
      <c r="R376" s="104" t="str">
        <f t="shared" si="44"/>
        <v/>
      </c>
      <c r="S376" s="104" t="str">
        <f t="shared" si="45"/>
        <v/>
      </c>
      <c r="T376" s="105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103">
        <f t="shared" si="43"/>
        <v>0</v>
      </c>
      <c r="P377" s="51"/>
      <c r="Q377" s="51"/>
      <c r="R377" s="104" t="str">
        <f t="shared" si="44"/>
        <v/>
      </c>
      <c r="S377" s="104" t="str">
        <f t="shared" si="45"/>
        <v/>
      </c>
      <c r="T377" s="105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103">
        <f t="shared" si="43"/>
        <v>0</v>
      </c>
      <c r="P378" s="51"/>
      <c r="Q378" s="51"/>
      <c r="R378" s="104" t="str">
        <f t="shared" si="44"/>
        <v/>
      </c>
      <c r="S378" s="104" t="str">
        <f t="shared" si="45"/>
        <v/>
      </c>
      <c r="T378" s="105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103">
        <f t="shared" si="43"/>
        <v>0</v>
      </c>
      <c r="P379" s="51"/>
      <c r="Q379" s="51"/>
      <c r="R379" s="104" t="str">
        <f t="shared" si="44"/>
        <v/>
      </c>
      <c r="S379" s="104" t="str">
        <f t="shared" si="45"/>
        <v/>
      </c>
      <c r="T379" s="105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103">
        <f t="shared" si="43"/>
        <v>0</v>
      </c>
      <c r="P380" s="51"/>
      <c r="Q380" s="51"/>
      <c r="R380" s="104" t="str">
        <f t="shared" si="44"/>
        <v/>
      </c>
      <c r="S380" s="104" t="str">
        <f t="shared" si="45"/>
        <v/>
      </c>
      <c r="T380" s="105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103">
        <f t="shared" si="43"/>
        <v>0</v>
      </c>
      <c r="P381" s="51"/>
      <c r="Q381" s="51"/>
      <c r="R381" s="104" t="str">
        <f t="shared" si="44"/>
        <v/>
      </c>
      <c r="S381" s="104" t="str">
        <f t="shared" si="45"/>
        <v/>
      </c>
      <c r="T381" s="105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103">
        <f t="shared" si="43"/>
        <v>0</v>
      </c>
      <c r="P382" s="51"/>
      <c r="Q382" s="51"/>
      <c r="R382" s="104" t="str">
        <f t="shared" si="44"/>
        <v/>
      </c>
      <c r="S382" s="104" t="str">
        <f t="shared" si="45"/>
        <v/>
      </c>
      <c r="T382" s="105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103">
        <f t="shared" si="43"/>
        <v>0</v>
      </c>
      <c r="P383" s="51"/>
      <c r="Q383" s="51"/>
      <c r="R383" s="104" t="str">
        <f t="shared" si="44"/>
        <v/>
      </c>
      <c r="S383" s="104" t="str">
        <f t="shared" si="45"/>
        <v/>
      </c>
      <c r="T383" s="105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103">
        <f t="shared" si="43"/>
        <v>0</v>
      </c>
      <c r="P384" s="51"/>
      <c r="Q384" s="51"/>
      <c r="R384" s="104" t="str">
        <f t="shared" si="44"/>
        <v/>
      </c>
      <c r="S384" s="104" t="str">
        <f t="shared" si="45"/>
        <v/>
      </c>
      <c r="T384" s="105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103">
        <f t="shared" si="43"/>
        <v>0</v>
      </c>
      <c r="P385" s="51"/>
      <c r="Q385" s="51"/>
      <c r="R385" s="104" t="str">
        <f t="shared" si="44"/>
        <v/>
      </c>
      <c r="S385" s="104" t="str">
        <f t="shared" si="45"/>
        <v/>
      </c>
      <c r="T385" s="105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103">
        <f t="shared" si="43"/>
        <v>0</v>
      </c>
      <c r="P386" s="51"/>
      <c r="Q386" s="51"/>
      <c r="R386" s="104" t="str">
        <f t="shared" si="44"/>
        <v/>
      </c>
      <c r="S386" s="104" t="str">
        <f t="shared" si="45"/>
        <v/>
      </c>
      <c r="T386" s="105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103">
        <f t="shared" si="43"/>
        <v>0</v>
      </c>
      <c r="P387" s="51"/>
      <c r="Q387" s="51"/>
      <c r="R387" s="104" t="str">
        <f t="shared" si="44"/>
        <v/>
      </c>
      <c r="S387" s="104" t="str">
        <f t="shared" si="45"/>
        <v/>
      </c>
      <c r="T387" s="105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103">
        <f t="shared" si="43"/>
        <v>0</v>
      </c>
      <c r="P388" s="51"/>
      <c r="Q388" s="51"/>
      <c r="R388" s="104" t="str">
        <f t="shared" si="44"/>
        <v/>
      </c>
      <c r="S388" s="104" t="str">
        <f t="shared" si="45"/>
        <v/>
      </c>
      <c r="T388" s="105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103">
        <f t="shared" si="43"/>
        <v>0</v>
      </c>
      <c r="P389" s="51"/>
      <c r="Q389" s="51"/>
      <c r="R389" s="104" t="str">
        <f t="shared" si="44"/>
        <v/>
      </c>
      <c r="S389" s="104" t="str">
        <f t="shared" si="45"/>
        <v/>
      </c>
      <c r="T389" s="105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103">
        <f t="shared" si="43"/>
        <v>0</v>
      </c>
      <c r="P390" s="51"/>
      <c r="Q390" s="51"/>
      <c r="R390" s="104" t="str">
        <f t="shared" si="44"/>
        <v/>
      </c>
      <c r="S390" s="104" t="str">
        <f t="shared" si="45"/>
        <v/>
      </c>
      <c r="T390" s="105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103">
        <f t="shared" si="43"/>
        <v>0</v>
      </c>
      <c r="P391" s="51"/>
      <c r="Q391" s="51"/>
      <c r="R391" s="104" t="str">
        <f t="shared" si="44"/>
        <v/>
      </c>
      <c r="S391" s="104" t="str">
        <f t="shared" si="45"/>
        <v/>
      </c>
      <c r="T391" s="105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103">
        <f t="shared" si="43"/>
        <v>0</v>
      </c>
      <c r="P392" s="51"/>
      <c r="Q392" s="51"/>
      <c r="R392" s="104" t="str">
        <f t="shared" si="44"/>
        <v/>
      </c>
      <c r="S392" s="104" t="str">
        <f t="shared" si="45"/>
        <v/>
      </c>
      <c r="T392" s="105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103">
        <f t="shared" si="43"/>
        <v>0</v>
      </c>
      <c r="P393" s="51"/>
      <c r="Q393" s="51"/>
      <c r="R393" s="104" t="str">
        <f t="shared" si="44"/>
        <v/>
      </c>
      <c r="S393" s="104" t="str">
        <f t="shared" si="45"/>
        <v/>
      </c>
      <c r="T393" s="105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103">
        <f t="shared" si="43"/>
        <v>0</v>
      </c>
      <c r="P394" s="51"/>
      <c r="Q394" s="51"/>
      <c r="R394" s="104" t="str">
        <f t="shared" si="44"/>
        <v/>
      </c>
      <c r="S394" s="104" t="str">
        <f t="shared" si="45"/>
        <v/>
      </c>
      <c r="T394" s="105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103">
        <f t="shared" si="43"/>
        <v>0</v>
      </c>
      <c r="P395" s="51"/>
      <c r="Q395" s="51"/>
      <c r="R395" s="104" t="str">
        <f t="shared" si="44"/>
        <v/>
      </c>
      <c r="S395" s="104" t="str">
        <f t="shared" si="45"/>
        <v/>
      </c>
      <c r="T395" s="105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103">
        <f t="shared" ref="O396:O411" si="48">T396*N396</f>
        <v>0</v>
      </c>
      <c r="P396" s="51"/>
      <c r="Q396" s="51"/>
      <c r="R396" s="104" t="str">
        <f t="shared" ref="R396:R411" si="49">IF(OR(P396="c",P396="C"),+T396,"")</f>
        <v/>
      </c>
      <c r="S396" s="104" t="str">
        <f t="shared" ref="S396:S411" si="50">IF(OR(P396="$",N396=1),+T396,"")</f>
        <v/>
      </c>
      <c r="T396" s="105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103">
        <f t="shared" si="48"/>
        <v>0</v>
      </c>
      <c r="P397" s="51"/>
      <c r="Q397" s="51"/>
      <c r="R397" s="104" t="str">
        <f t="shared" si="49"/>
        <v/>
      </c>
      <c r="S397" s="104" t="str">
        <f t="shared" si="50"/>
        <v/>
      </c>
      <c r="T397" s="105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103">
        <f t="shared" si="48"/>
        <v>0</v>
      </c>
      <c r="P398" s="51"/>
      <c r="Q398" s="51"/>
      <c r="R398" s="104" t="str">
        <f t="shared" si="49"/>
        <v/>
      </c>
      <c r="S398" s="104" t="str">
        <f t="shared" si="50"/>
        <v/>
      </c>
      <c r="T398" s="105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103">
        <f t="shared" si="48"/>
        <v>0</v>
      </c>
      <c r="P399" s="51"/>
      <c r="Q399" s="51"/>
      <c r="R399" s="104" t="str">
        <f t="shared" si="49"/>
        <v/>
      </c>
      <c r="S399" s="104" t="str">
        <f t="shared" si="50"/>
        <v/>
      </c>
      <c r="T399" s="105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103">
        <f t="shared" si="48"/>
        <v>0</v>
      </c>
      <c r="P400" s="51"/>
      <c r="Q400" s="51"/>
      <c r="R400" s="104" t="str">
        <f t="shared" si="49"/>
        <v/>
      </c>
      <c r="S400" s="104" t="str">
        <f t="shared" si="50"/>
        <v/>
      </c>
      <c r="T400" s="105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103">
        <f t="shared" si="48"/>
        <v>0</v>
      </c>
      <c r="P401" s="51"/>
      <c r="Q401" s="51"/>
      <c r="R401" s="104" t="str">
        <f t="shared" si="49"/>
        <v/>
      </c>
      <c r="S401" s="104" t="str">
        <f t="shared" si="50"/>
        <v/>
      </c>
      <c r="T401" s="105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103">
        <f t="shared" si="48"/>
        <v>0</v>
      </c>
      <c r="P402" s="51"/>
      <c r="Q402" s="51"/>
      <c r="R402" s="104" t="str">
        <f t="shared" si="49"/>
        <v/>
      </c>
      <c r="S402" s="104" t="str">
        <f t="shared" si="50"/>
        <v/>
      </c>
      <c r="T402" s="105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103">
        <f t="shared" si="48"/>
        <v>0</v>
      </c>
      <c r="P403" s="51"/>
      <c r="Q403" s="51"/>
      <c r="R403" s="104" t="str">
        <f t="shared" si="49"/>
        <v/>
      </c>
      <c r="S403" s="104" t="str">
        <f t="shared" si="50"/>
        <v/>
      </c>
      <c r="T403" s="105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103">
        <f t="shared" si="48"/>
        <v>0</v>
      </c>
      <c r="P404" s="51"/>
      <c r="Q404" s="51"/>
      <c r="R404" s="104" t="str">
        <f t="shared" si="49"/>
        <v/>
      </c>
      <c r="S404" s="104" t="str">
        <f t="shared" si="50"/>
        <v/>
      </c>
      <c r="T404" s="105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103">
        <f t="shared" si="48"/>
        <v>0</v>
      </c>
      <c r="P405" s="51"/>
      <c r="Q405" s="51"/>
      <c r="R405" s="104" t="str">
        <f t="shared" si="49"/>
        <v/>
      </c>
      <c r="S405" s="104" t="str">
        <f t="shared" si="50"/>
        <v/>
      </c>
      <c r="T405" s="105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103">
        <f t="shared" si="48"/>
        <v>0</v>
      </c>
      <c r="P406" s="51"/>
      <c r="Q406" s="51"/>
      <c r="R406" s="104" t="str">
        <f t="shared" si="49"/>
        <v/>
      </c>
      <c r="S406" s="104" t="str">
        <f t="shared" si="50"/>
        <v/>
      </c>
      <c r="T406" s="105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103">
        <f t="shared" si="48"/>
        <v>0</v>
      </c>
      <c r="P407" s="51"/>
      <c r="Q407" s="51"/>
      <c r="R407" s="104" t="str">
        <f t="shared" si="49"/>
        <v/>
      </c>
      <c r="S407" s="104" t="str">
        <f t="shared" si="50"/>
        <v/>
      </c>
      <c r="T407" s="105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103">
        <f t="shared" si="48"/>
        <v>0</v>
      </c>
      <c r="P408" s="51"/>
      <c r="Q408" s="51"/>
      <c r="R408" s="104" t="str">
        <f t="shared" si="49"/>
        <v/>
      </c>
      <c r="S408" s="104" t="str">
        <f t="shared" si="50"/>
        <v/>
      </c>
      <c r="T408" s="105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103">
        <f t="shared" si="48"/>
        <v>0</v>
      </c>
      <c r="P409" s="51"/>
      <c r="Q409" s="51"/>
      <c r="R409" s="104" t="str">
        <f t="shared" si="49"/>
        <v/>
      </c>
      <c r="S409" s="104" t="str">
        <f t="shared" si="50"/>
        <v/>
      </c>
      <c r="T409" s="105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103">
        <f t="shared" si="48"/>
        <v>0</v>
      </c>
      <c r="P410" s="51"/>
      <c r="Q410" s="51"/>
      <c r="R410" s="104" t="str">
        <f t="shared" si="49"/>
        <v/>
      </c>
      <c r="S410" s="104" t="str">
        <f t="shared" si="50"/>
        <v/>
      </c>
      <c r="T410" s="105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103">
        <f t="shared" si="48"/>
        <v>0</v>
      </c>
      <c r="P411" s="51"/>
      <c r="Q411" s="51"/>
      <c r="R411" s="104" t="str">
        <f t="shared" si="49"/>
        <v/>
      </c>
      <c r="S411" s="104" t="str">
        <f t="shared" si="50"/>
        <v/>
      </c>
      <c r="T411" s="105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77" r:id="rId3" xr:uid="{00000000-0004-0000-0300-000003000000}"/>
    <hyperlink ref="G80" r:id="rId4" xr:uid="{00000000-0004-0000-0300-000004000000}"/>
    <hyperlink ref="G112" r:id="rId5" xr:uid="{00000000-0004-0000-0300-000007000000}"/>
    <hyperlink ref="G115" r:id="rId6" xr:uid="{00000000-0004-0000-0300-000008000000}"/>
    <hyperlink ref="G116" r:id="rId7" xr:uid="{00000000-0004-0000-0300-000009000000}"/>
    <hyperlink ref="G125" r:id="rId8" xr:uid="{00000000-0004-0000-0300-00000A000000}"/>
    <hyperlink ref="G129" r:id="rId9" xr:uid="{00000000-0004-0000-0300-00000C000000}"/>
    <hyperlink ref="G172" r:id="rId10" xr:uid="{00000000-0004-0000-0300-000010000000}"/>
    <hyperlink ref="G193" r:id="rId11" xr:uid="{00000000-0004-0000-0300-000015000000}"/>
    <hyperlink ref="G142" r:id="rId12" xr:uid="{00000000-0004-0000-0300-000016000000}"/>
    <hyperlink ref="G143" r:id="rId13" xr:uid="{00000000-0004-0000-0300-000017000000}"/>
    <hyperlink ref="G95" r:id="rId14" xr:uid="{00000000-0004-0000-0300-000018000000}"/>
    <hyperlink ref="G12" r:id="rId15" xr:uid="{46BBBDA4-4448-4A3C-BF53-481EC42E8B28}"/>
    <hyperlink ref="G20" r:id="rId16" xr:uid="{F4B74DD4-23D5-427B-A98C-DB524B939E30}"/>
    <hyperlink ref="G26" r:id="rId17" xr:uid="{0756647E-F17A-42AD-BF2B-1E8F8C37D971}"/>
    <hyperlink ref="G38" r:id="rId18" xr:uid="{29DAD00F-F42A-4FF0-992B-7CCDC135EC32}"/>
    <hyperlink ref="G40" r:id="rId19" xr:uid="{952EA13A-9F93-4E1F-B592-E8AE7C3818A8}"/>
    <hyperlink ref="G54" r:id="rId20" xr:uid="{65004A20-ECF5-4676-8A67-3E98A22F8D28}"/>
    <hyperlink ref="G55" r:id="rId21" xr:uid="{85C0D2C8-F5D4-44E9-8A37-83C342FB8421}"/>
    <hyperlink ref="G60" r:id="rId22" xr:uid="{66736A12-76B4-47A1-BDA0-B46EE899B0AD}"/>
    <hyperlink ref="G62" r:id="rId23" xr:uid="{68DEFC46-FDF2-4BA8-97E2-6FEDD1C579C5}"/>
    <hyperlink ref="G68" r:id="rId24" xr:uid="{16370C4C-BA29-45FE-933F-A067F111994F}"/>
    <hyperlink ref="G69" r:id="rId25" xr:uid="{52F9A655-DE4F-44FD-A63C-D3D45B9D2CAE}"/>
    <hyperlink ref="G43" r:id="rId26" xr:uid="{783EC895-5B8B-4E24-984A-1AF37ECB99A7}"/>
    <hyperlink ref="G30" r:id="rId27" xr:uid="{80AB2B3A-7C89-4CAE-97E9-BB8A4B743845}"/>
    <hyperlink ref="G50" r:id="rId28" xr:uid="{874D08A7-28CF-421D-9CC8-A5685FCC619A}"/>
    <hyperlink ref="G48" r:id="rId29" xr:uid="{F874B6BF-5DAF-46CE-A833-D8607091D3F7}"/>
    <hyperlink ref="G44" r:id="rId30" xr:uid="{CB7FABC1-4E9B-4014-9E16-662E94C0D51D}"/>
    <hyperlink ref="G31" r:id="rId31" xr:uid="{B00A2FFB-BC57-464D-9B20-5704C00E06BF}"/>
    <hyperlink ref="G56" r:id="rId32" xr:uid="{5E38476E-8C21-4D01-8C38-D79054BE913C}"/>
    <hyperlink ref="G63" r:id="rId33" xr:uid="{93A2CF89-14F5-4FDA-8E4C-6CF8CBA34AFA}"/>
    <hyperlink ref="G71" r:id="rId34" xr:uid="{BB728DBE-2AED-430F-B901-7B5574D8FE63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2024-04-19T21:27:16Z</dcterms:modified>
</cp:coreProperties>
</file>