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0F2F96F9-D0DE-44C6-99F1-2F42C7DE91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FinalHdr">ConsySummary!$F$29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2" i="1"/>
  <c r="F23" i="1" s="1"/>
  <c r="E28" i="1" l="1"/>
  <c r="F25" i="1" l="1"/>
  <c r="S17" i="2" l="1"/>
  <c r="S16" i="2" l="1"/>
  <c r="S1" i="2" s="1"/>
  <c r="A1" i="3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A20" i="1" l="1"/>
  <c r="H23" i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<sst xmlns="http://schemas.openxmlformats.org/spreadsheetml/2006/main" count="245" uniqueCount="150">
  <si>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</si>
  <si>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</si>
  <si>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</si>
  <si>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</si>
  <si>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</si>
  <si>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</si>
  <si>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</si>
  <si>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</si>
  <si>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</si>
  <si>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</si>
  <si>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</si>
  <si>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</si>
  <si>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</si>
  <si>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</si>
  <si>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</si>
  <si>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</si>
  <si>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</si>
  <si>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</si>
  <si>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</si>
  <si>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</si>
  <si>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</si>
  <si>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</si>
  <si>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</si>
  <si>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</si>
  <si>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</si>
  <si>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</si>
  <si>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</si>
  <si>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</si>
  <si>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</si>
  <si>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</si>
  <si>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</si>
  <si>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</si>
  <si>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</si>
  <si>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</si>
  <si>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</si>
  <si>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</si>
  <si>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</si>
  <si>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</si>
  <si>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</si>
  <si>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</si>
  <si>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</si>
  <si>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</si>
  <si>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</si>
  <si>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</si>
  <si>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</si>
  <si>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</si>
  <si>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</si>
  <si>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</si>
  <si>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</si>
  <si>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</si>
  <si>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</si>
  <si>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</si>
  <si>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</si>
  <si>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</si>
  <si>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</si>
  <si>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</si>
  <si>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</si>
  <si>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</si>
  <si>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</si>
  <si>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</si>
  <si>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</si>
  <si>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</si>
  <si>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</si>
  <si>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</si>
  <si>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</si>
  <si>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</si>
  <si>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</si>
  <si>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</si>
  <si>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</si>
  <si>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</si>
  <si>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</si>
  <si>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</si>
  <si>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</si>
  <si>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</si>
  <si>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</si>
  <si>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</si>
  <si>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</si>
  <si>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</si>
  <si>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</si>
  <si>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</si>
  <si>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</si>
  <si>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</si>
  <si>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</si>
  <si>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</si>
  <si>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</si>
  <si>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</si>
  <si>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</si>
  <si>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</si>
  <si>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</si>
  <si>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</si>
  <si>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</si>
  <si>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</si>
  <si>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</si>
  <si>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</si>
  <si>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</si>
  <si>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</si>
  <si>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</si>
  <si>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</si>
  <si>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</si>
  <si>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</si>
  <si>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</si>
  <si>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</si>
  <si>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</si>
  <si>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</si>
  <si>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</si>
  <si>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</si>
  <si>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</si>
  <si>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</si>
  <si>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</si>
  <si>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</si>
  <si>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</si>
  <si>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</si>
  <si>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</si>
  <si>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</si>
  <si>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</si>
  <si>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</si>
  <si>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</si>
  <si>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</si>
  <si>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</si>
  <si>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</si>
  <si>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</si>
  <si>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</si>
  <si>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</si>
  <si>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</si>
  <si>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</si>
  <si>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</si>
  <si>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</si>
  <si>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</si>
  <si>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</si>
  <si>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</si>
  <si>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</si>
  <si>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</si>
  <si>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</si>
  <si>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</si>
  <si>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</si>
  <si>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</si>
  <si>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</si>
  <si>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</si>
  <si>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</si>
  <si>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</si>
  <si>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</si>
  <si>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</si>
  <si>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</si>
  <si>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</si>
  <si>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</si>
  <si>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3-4</t>
  </si>
  <si>
    <t>5-8</t>
  </si>
  <si>
    <t>Available Payout Pool</t>
  </si>
  <si>
    <t>Napa Wine Country Open</t>
  </si>
  <si>
    <t>4/242024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</si>
</sst>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164" fontId="6" fillId="0" borderId="0" xfId="0" applyNumberFormat="1" applyFont="1" applyFill="1" applyBorder="1" applyAlignment="1" applyProtection="1">
      <alignment horizontal="center"/>
      <protection locked="0"/>
    </xf>
    <xf numFmtId="164" fontId="0" fillId="0" borderId="13" xfId="0" applyNumberFormat="1" applyBorder="1" applyAlignment="1" applyProtection="1">
      <alignment horizontal="center"/>
    </xf>
    <xf numFmtId="164" fontId="6" fillId="0" borderId="13" xfId="0" applyNumberFormat="1" applyFont="1" applyFill="1" applyBorder="1" applyAlignment="1" applyProtection="1">
      <alignment horizontal="center"/>
      <protection locked="0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0" fillId="0" borderId="9" xfId="0" applyBorder="1" applyProtection="1"/>
    <xf numFmtId="0" fontId="7" fillId="0" borderId="0" xfId="0" applyFont="1" applyAlignment="1" applyProtection="1">
      <alignment horizontal="right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tabSelected="1" workbookViewId="0">
      <selection activeCell="C8" sqref="C8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6" t="s">
        <v>142</v>
      </c>
      <c r="C1" s="227"/>
      <c r="D1" s="228"/>
    </row>
    <row r="3" spans="1:15" ht="35.25" customHeight="1" x14ac:dyDescent="0.3">
      <c r="A3" s="42"/>
      <c r="B3" s="230" t="s">
        <v>131</v>
      </c>
      <c r="C3" s="230"/>
      <c r="D3" s="230"/>
      <c r="E3" s="230"/>
      <c r="F3" s="97"/>
      <c r="H3" s="43"/>
      <c r="K3" s="69">
        <v>24</v>
      </c>
      <c r="L3" s="32" t="s">
        <v>91</v>
      </c>
    </row>
    <row r="4" spans="1:15" ht="20.25" customHeight="1" x14ac:dyDescent="0.25">
      <c r="A4" s="210" t="s">
        <v>105</v>
      </c>
      <c r="B4" s="210"/>
      <c r="C4" s="231" t="s">
        <v>148</v>
      </c>
      <c r="D4" s="231"/>
      <c r="E4" s="231"/>
      <c r="F4" s="231"/>
      <c r="G4" s="231"/>
      <c r="H4" s="231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32" t="s">
        <v>114</v>
      </c>
      <c r="B5" s="232"/>
      <c r="C5" s="184" t="s">
        <v>149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19" t="s">
        <v>106</v>
      </c>
      <c r="B6" s="219"/>
      <c r="C6" s="169"/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0" t="s">
        <v>107</v>
      </c>
      <c r="B7" s="210"/>
      <c r="C7" s="170"/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34" t="s">
        <v>108</v>
      </c>
      <c r="B8" s="234"/>
      <c r="C8" s="170"/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33" t="s">
        <v>121</v>
      </c>
      <c r="B9" s="233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35" t="s">
        <v>119</v>
      </c>
      <c r="B10" s="235"/>
      <c r="C10" s="225"/>
      <c r="D10" s="170"/>
    </row>
    <row r="11" spans="1:15" ht="18.75" x14ac:dyDescent="0.3">
      <c r="A11" s="225" t="s">
        <v>120</v>
      </c>
      <c r="B11" s="225"/>
      <c r="C11" s="225"/>
      <c r="D11" s="170"/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7" t="str">
        <f>FCFSummaryTourneyName</f>
        <v>Napa Wine Country Open</v>
      </c>
      <c r="C15" s="196"/>
      <c r="D15" s="196"/>
      <c r="E15" s="196"/>
      <c r="F15" s="194" t="str">
        <f>FCFSummaryTourneyDate</f>
        <v>4/242024</v>
      </c>
      <c r="H15" s="195"/>
    </row>
    <row r="16" spans="1:15" x14ac:dyDescent="0.25">
      <c r="A16" s="137">
        <f>FCFSummaryPlayerCount</f>
        <v>0</v>
      </c>
      <c r="B16" s="223" t="s">
        <v>118</v>
      </c>
      <c r="C16" s="224"/>
      <c r="E16" s="103"/>
      <c r="F16" s="40"/>
      <c r="G16" s="74"/>
    </row>
    <row r="17" spans="1:14" x14ac:dyDescent="0.25">
      <c r="A17" s="75">
        <f>FCFSummaryPlayerCount*FCFSummaryEntryFee</f>
        <v>0</v>
      </c>
      <c r="B17" s="220" t="s">
        <v>1</v>
      </c>
      <c r="C17" s="220"/>
      <c r="E17" s="50"/>
      <c r="F17" s="104"/>
    </row>
    <row r="18" spans="1:14" x14ac:dyDescent="0.25">
      <c r="A18" s="75">
        <f>-FCFSummaryPlayerCount*FCFSummaryAccFee</f>
        <v>0</v>
      </c>
      <c r="B18" s="220" t="s">
        <v>95</v>
      </c>
      <c r="C18" s="220"/>
      <c r="E18" s="105"/>
      <c r="F18" s="135"/>
    </row>
    <row r="19" spans="1:14" x14ac:dyDescent="0.25">
      <c r="A19" s="75">
        <f>-FCFBenefitsTotal</f>
        <v>-82</v>
      </c>
      <c r="B19" s="221" t="s">
        <v>3</v>
      </c>
      <c r="C19" s="221"/>
      <c r="F19" s="32"/>
    </row>
    <row r="20" spans="1:14" ht="15" customHeight="1" x14ac:dyDescent="0.25">
      <c r="A20" s="75">
        <f>-D23</f>
        <v>0</v>
      </c>
      <c r="B20" s="222" t="s">
        <v>2</v>
      </c>
      <c r="C20" s="222"/>
      <c r="D20" s="203"/>
      <c r="E20" s="209"/>
      <c r="F20" s="209"/>
      <c r="G20" s="206"/>
      <c r="H20" s="207"/>
      <c r="J20" s="43"/>
    </row>
    <row r="21" spans="1:14" ht="15" customHeight="1" x14ac:dyDescent="0.25">
      <c r="A21" s="208">
        <f>SUM(A17:A20)</f>
        <v>-82</v>
      </c>
      <c r="B21" s="215" t="s">
        <v>147</v>
      </c>
      <c r="C21" s="215"/>
      <c r="D21" s="156"/>
      <c r="E21" s="204" t="s">
        <v>110</v>
      </c>
      <c r="F21" s="205"/>
      <c r="G21" s="211" t="s">
        <v>79</v>
      </c>
      <c r="H21" s="213" t="s">
        <v>80</v>
      </c>
      <c r="J21" s="43"/>
    </row>
    <row r="22" spans="1:14" x14ac:dyDescent="0.25">
      <c r="E22" s="136" t="s">
        <v>81</v>
      </c>
      <c r="F22" s="48">
        <f>+C7*0.15</f>
        <v>0</v>
      </c>
      <c r="G22" s="212"/>
      <c r="H22" s="214"/>
    </row>
    <row r="23" spans="1:14" x14ac:dyDescent="0.25">
      <c r="B23" s="216" t="s">
        <v>104</v>
      </c>
      <c r="C23" s="216"/>
      <c r="D23" s="75">
        <f>IF(G23&lt;=F23,ROUNDUP(G23,0),ROUNDUP(F23,0))</f>
        <v>0</v>
      </c>
      <c r="E23" s="136" t="s">
        <v>111</v>
      </c>
      <c r="F23" s="48">
        <f>+F22*C6</f>
        <v>0</v>
      </c>
      <c r="G23" s="76">
        <f>+FCFExpensesTotal</f>
        <v>0</v>
      </c>
      <c r="H23" s="48">
        <f>+F23-G23</f>
        <v>0</v>
      </c>
    </row>
    <row r="24" spans="1:14" ht="18.75" x14ac:dyDescent="0.3">
      <c r="B24" s="46"/>
      <c r="C24" s="46"/>
      <c r="D24" s="239" t="str">
        <f>IF(G23&gt;F23,"***Actual Expenses More Than Total Allowed***","")</f>
        <v/>
      </c>
      <c r="E24" s="239"/>
      <c r="F24" s="239"/>
      <c r="G24" s="239"/>
      <c r="H24" s="239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0</v>
      </c>
      <c r="B25" s="217" t="s">
        <v>82</v>
      </c>
      <c r="C25" s="218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-82</v>
      </c>
      <c r="C27" s="98" t="s">
        <v>117</v>
      </c>
      <c r="D27" s="84">
        <f>SUM(D31:D207)</f>
        <v>735</v>
      </c>
      <c r="E27" s="84">
        <f>FCFSummaryPrizePool - FCFSummaryRoundedPrizePool-FCFSummaryAdjustments</f>
        <v>-812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SUM(E31:E207)</f>
        <v>-5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36" t="s">
        <v>92</v>
      </c>
      <c r="B29" s="229" t="s">
        <v>85</v>
      </c>
      <c r="C29" s="237" t="s">
        <v>86</v>
      </c>
      <c r="D29" s="240" t="s">
        <v>87</v>
      </c>
      <c r="E29" s="238" t="s">
        <v>88</v>
      </c>
      <c r="F29" s="237" t="s">
        <v>89</v>
      </c>
      <c r="G29" s="237" t="s">
        <v>90</v>
      </c>
      <c r="J29" s="147"/>
      <c r="K29" s="40"/>
      <c r="L29" s="147"/>
      <c r="M29" s="147"/>
      <c r="N29" s="147"/>
    </row>
    <row r="30" spans="1:14" x14ac:dyDescent="0.25">
      <c r="A30" s="236"/>
      <c r="B30" s="229"/>
      <c r="C30" s="237"/>
      <c r="D30" s="240"/>
      <c r="E30" s="238"/>
      <c r="F30" s="237"/>
      <c r="G30" s="237"/>
      <c r="J30" s="147"/>
      <c r="K30" s="40"/>
      <c r="L30" s="147"/>
      <c r="M30" s="147"/>
      <c r="N30" s="147"/>
    </row>
    <row r="31" spans="1:14" x14ac:dyDescent="0.25">
      <c r="A31" s="188">
        <v>1</v>
      </c>
      <c r="B31" s="189">
        <v>0.35499999999999998</v>
      </c>
      <c r="C31" s="190">
        <v>259.14999999999998</v>
      </c>
      <c r="D31" s="199">
        <v>260</v>
      </c>
      <c r="E31" s="200">
        <v>-5</v>
      </c>
      <c r="F31" s="192">
        <v>255</v>
      </c>
      <c r="G31" s="201">
        <v>1</v>
      </c>
      <c r="H31" s="88"/>
      <c r="J31" s="68"/>
      <c r="K31" s="40"/>
      <c r="L31" s="147"/>
      <c r="M31" s="147"/>
      <c r="N31" s="149"/>
    </row>
    <row r="32" spans="1:14" x14ac:dyDescent="0.25">
      <c r="A32" s="188">
        <v>2</v>
      </c>
      <c r="B32" s="189">
        <v>0.23</v>
      </c>
      <c r="C32" s="190">
        <v>167.9</v>
      </c>
      <c r="D32" s="199">
        <v>170</v>
      </c>
      <c r="E32" s="200"/>
      <c r="F32" s="192">
        <v>170</v>
      </c>
      <c r="G32" s="201">
        <v>2</v>
      </c>
      <c r="H32" s="88"/>
      <c r="J32" s="68"/>
      <c r="K32" s="40"/>
      <c r="L32" s="147"/>
      <c r="M32" s="147"/>
      <c r="N32" s="147"/>
    </row>
    <row r="33" spans="1:14" x14ac:dyDescent="0.25">
      <c r="A33" s="188">
        <v>3</v>
      </c>
      <c r="B33" s="202">
        <v>0.11749999999999999</v>
      </c>
      <c r="C33" s="190">
        <v>85.774999999999991</v>
      </c>
      <c r="D33" s="199">
        <v>85</v>
      </c>
      <c r="E33" s="200"/>
      <c r="F33" s="192">
        <v>85</v>
      </c>
      <c r="G33" s="201" t="s">
        <v>145</v>
      </c>
      <c r="H33" s="88"/>
      <c r="J33" s="38"/>
      <c r="K33" s="40"/>
      <c r="L33" s="147"/>
      <c r="M33" s="147"/>
      <c r="N33" s="147"/>
    </row>
    <row r="34" spans="1:14" x14ac:dyDescent="0.25">
      <c r="A34" s="188">
        <v>4</v>
      </c>
      <c r="B34" s="202">
        <v>0.11749999999999999</v>
      </c>
      <c r="C34" s="190">
        <v>85.774999999999991</v>
      </c>
      <c r="D34" s="199">
        <v>85</v>
      </c>
      <c r="E34" s="200"/>
      <c r="F34" s="192">
        <v>85</v>
      </c>
      <c r="G34" s="201" t="s">
        <v>145</v>
      </c>
      <c r="H34" s="88"/>
      <c r="J34" s="38"/>
      <c r="K34" s="40"/>
      <c r="L34" s="147"/>
      <c r="M34" s="147"/>
      <c r="N34" s="147"/>
    </row>
    <row r="35" spans="1:14" x14ac:dyDescent="0.25">
      <c r="A35" s="188">
        <v>5</v>
      </c>
      <c r="B35" s="189">
        <v>0.06</v>
      </c>
      <c r="C35" s="190">
        <v>43.8</v>
      </c>
      <c r="D35" s="199">
        <v>45</v>
      </c>
      <c r="E35" s="200"/>
      <c r="F35" s="192">
        <v>45</v>
      </c>
      <c r="G35" s="201" t="s">
        <v>146</v>
      </c>
      <c r="H35" s="88"/>
      <c r="J35" s="68"/>
      <c r="K35" s="40"/>
      <c r="L35" s="147"/>
      <c r="M35" s="147"/>
      <c r="N35" s="147"/>
    </row>
    <row r="36" spans="1:14" x14ac:dyDescent="0.25">
      <c r="A36" s="188">
        <v>6</v>
      </c>
      <c r="B36" s="189">
        <v>0.06</v>
      </c>
      <c r="C36" s="190">
        <v>43.8</v>
      </c>
      <c r="D36" s="199">
        <v>45</v>
      </c>
      <c r="E36" s="200"/>
      <c r="F36" s="192">
        <v>45</v>
      </c>
      <c r="G36" s="201" t="s">
        <v>146</v>
      </c>
      <c r="H36" s="88"/>
      <c r="J36" s="68"/>
      <c r="K36" s="40"/>
      <c r="L36" s="147"/>
      <c r="M36" s="147"/>
      <c r="N36" s="147"/>
    </row>
    <row r="37" spans="1:14" x14ac:dyDescent="0.25">
      <c r="A37" s="188">
        <v>7</v>
      </c>
      <c r="B37" s="189">
        <v>0.06</v>
      </c>
      <c r="C37" s="190">
        <v>43.8</v>
      </c>
      <c r="D37" s="199">
        <v>45</v>
      </c>
      <c r="E37" s="200"/>
      <c r="F37" s="192">
        <v>45</v>
      </c>
      <c r="G37" s="201" t="s">
        <v>146</v>
      </c>
      <c r="H37" s="88"/>
      <c r="J37" s="68"/>
      <c r="K37" s="40"/>
      <c r="L37" s="147"/>
      <c r="M37" s="147"/>
      <c r="N37" s="147"/>
    </row>
    <row r="38" spans="1:14" x14ac:dyDescent="0.25">
      <c r="A38" s="37"/>
      <c r="B38" s="22"/>
      <c r="C38" s="150"/>
      <c r="D38" s="151"/>
      <c r="E38" s="198"/>
      <c r="F38" s="153"/>
      <c r="G38" s="39"/>
      <c r="H38" s="88"/>
      <c r="J38" s="68"/>
      <c r="K38" s="40"/>
      <c r="L38" s="147"/>
      <c r="M38" s="147"/>
      <c r="N38" s="147"/>
    </row>
    <row r="39" spans="1:14" x14ac:dyDescent="0.25">
      <c r="A39" s="37"/>
      <c r="B39" s="22"/>
      <c r="C39" s="150"/>
      <c r="D39" s="151"/>
      <c r="E39" s="198"/>
      <c r="F39" s="153"/>
      <c r="G39" s="39"/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93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93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93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93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93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93"/>
      <c r="F45" s="153"/>
      <c r="G45" s="39"/>
      <c r="H45" s="88"/>
    </row>
    <row r="46" spans="1:14" x14ac:dyDescent="0.25">
      <c r="A46" s="37"/>
      <c r="B46" s="68"/>
      <c r="C46" s="150"/>
      <c r="D46" s="151"/>
      <c r="E46" s="193"/>
      <c r="F46" s="153"/>
      <c r="G46" s="39"/>
      <c r="H46" s="88"/>
    </row>
    <row r="47" spans="1:14" x14ac:dyDescent="0.25">
      <c r="A47" s="37"/>
      <c r="B47" s="68"/>
      <c r="C47" s="150"/>
      <c r="D47" s="151"/>
      <c r="E47" s="193"/>
      <c r="F47" s="153"/>
      <c r="G47" s="39"/>
      <c r="H47" s="88"/>
    </row>
    <row r="48" spans="1:14" x14ac:dyDescent="0.25">
      <c r="A48" s="37"/>
      <c r="B48" s="68"/>
      <c r="C48" s="150"/>
      <c r="D48" s="151"/>
      <c r="E48" s="193"/>
      <c r="F48" s="153"/>
      <c r="G48" s="39"/>
      <c r="H48" s="88"/>
    </row>
    <row r="49" spans="1:8" x14ac:dyDescent="0.25">
      <c r="A49" s="37"/>
      <c r="B49" s="68"/>
      <c r="C49" s="150"/>
      <c r="D49" s="151"/>
      <c r="E49" s="193"/>
      <c r="F49" s="153"/>
      <c r="G49" s="39"/>
      <c r="H49" s="88"/>
    </row>
    <row r="50" spans="1:8" x14ac:dyDescent="0.25">
      <c r="A50" s="37"/>
      <c r="B50" s="68"/>
      <c r="C50" s="150"/>
      <c r="D50" s="151"/>
      <c r="E50" s="193"/>
      <c r="F50" s="153"/>
      <c r="G50" s="39"/>
      <c r="H50" s="88"/>
    </row>
    <row r="51" spans="1:8" x14ac:dyDescent="0.25">
      <c r="A51" s="37"/>
      <c r="B51" s="68"/>
      <c r="C51" s="150"/>
      <c r="D51" s="151"/>
      <c r="E51" s="193"/>
      <c r="F51" s="153"/>
      <c r="G51" s="39"/>
      <c r="H51" s="88"/>
    </row>
    <row r="52" spans="1:8" x14ac:dyDescent="0.25">
      <c r="A52" s="37"/>
      <c r="B52" s="68"/>
      <c r="C52" s="150"/>
      <c r="D52" s="151"/>
      <c r="E52" s="193"/>
      <c r="F52" s="153"/>
      <c r="G52" s="39"/>
      <c r="H52" s="88"/>
    </row>
    <row r="53" spans="1:8" x14ac:dyDescent="0.25">
      <c r="A53" s="37"/>
      <c r="B53" s="68"/>
      <c r="C53" s="150"/>
      <c r="D53" s="151"/>
      <c r="E53" s="193"/>
      <c r="F53" s="153"/>
      <c r="G53" s="39"/>
      <c r="H53" s="88"/>
    </row>
    <row r="54" spans="1:8" x14ac:dyDescent="0.25">
      <c r="A54" s="37"/>
      <c r="B54" s="68"/>
      <c r="C54" s="150"/>
      <c r="D54" s="151"/>
      <c r="E54" s="193"/>
      <c r="F54" s="153"/>
      <c r="G54" s="39"/>
      <c r="H54" s="88"/>
    </row>
    <row r="55" spans="1:8" x14ac:dyDescent="0.25">
      <c r="A55" s="37"/>
      <c r="B55" s="68"/>
      <c r="C55" s="150"/>
      <c r="D55" s="151"/>
      <c r="E55" s="193"/>
      <c r="F55" s="153"/>
      <c r="G55" s="39"/>
      <c r="H55" s="88"/>
    </row>
    <row r="56" spans="1:8" x14ac:dyDescent="0.25">
      <c r="A56" s="37"/>
      <c r="B56" s="68"/>
      <c r="C56" s="150"/>
      <c r="D56" s="151"/>
      <c r="E56" s="193"/>
      <c r="F56" s="153"/>
      <c r="G56" s="39"/>
      <c r="H56" s="88"/>
    </row>
    <row r="57" spans="1:8" x14ac:dyDescent="0.25">
      <c r="A57" s="37"/>
      <c r="B57" s="68"/>
      <c r="C57" s="150"/>
      <c r="D57" s="151"/>
      <c r="E57" s="193"/>
      <c r="F57" s="153"/>
      <c r="G57" s="39"/>
      <c r="H57" s="88"/>
    </row>
    <row r="58" spans="1:8" x14ac:dyDescent="0.25">
      <c r="A58" s="37"/>
      <c r="B58" s="68"/>
      <c r="C58" s="150"/>
      <c r="D58" s="151"/>
      <c r="E58" s="193"/>
      <c r="F58" s="153"/>
      <c r="G58" s="39"/>
      <c r="H58" s="88"/>
    </row>
    <row r="59" spans="1:8" x14ac:dyDescent="0.25">
      <c r="A59" s="37"/>
      <c r="B59" s="68"/>
      <c r="C59" s="150"/>
      <c r="D59" s="151"/>
      <c r="E59" s="193"/>
      <c r="F59" s="153"/>
      <c r="G59" s="39"/>
      <c r="H59" s="88"/>
    </row>
    <row r="60" spans="1:8" x14ac:dyDescent="0.25">
      <c r="A60" s="37"/>
      <c r="B60" s="68"/>
      <c r="C60" s="150"/>
      <c r="D60" s="151"/>
      <c r="E60" s="193"/>
      <c r="F60" s="153"/>
      <c r="G60" s="39"/>
      <c r="H60" s="88"/>
    </row>
    <row r="61" spans="1:8" x14ac:dyDescent="0.25">
      <c r="A61" s="37"/>
      <c r="B61" s="68"/>
      <c r="C61" s="150"/>
      <c r="D61" s="151"/>
      <c r="E61" s="193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topLeftCell="A15" workbookViewId="0">
      <selection activeCell="D8" sqref="D8:F8"/>
    </sheetView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9"/>
      <c r="E8" s="249"/>
      <c r="F8" s="249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48" t="s">
        <v>2</v>
      </c>
      <c r="B10" s="248"/>
      <c r="C10" s="248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50" t="s">
        <v>75</v>
      </c>
      <c r="D12" s="250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47" t="s">
        <v>78</v>
      </c>
      <c r="D14" s="247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45"/>
      <c r="D15" s="246"/>
      <c r="E15" s="123"/>
      <c r="F15" s="123"/>
      <c r="G15" s="166"/>
    </row>
    <row r="16" spans="1:7" x14ac:dyDescent="0.25">
      <c r="A16" s="125"/>
      <c r="B16" s="126"/>
      <c r="C16" s="245"/>
      <c r="D16" s="246"/>
      <c r="E16" s="131"/>
      <c r="F16" s="131"/>
      <c r="G16" s="166"/>
    </row>
    <row r="17" spans="1:7" x14ac:dyDescent="0.25">
      <c r="A17" s="121"/>
      <c r="B17" s="122"/>
      <c r="C17" s="245"/>
      <c r="D17" s="246"/>
      <c r="E17" s="123"/>
      <c r="F17" s="123"/>
      <c r="G17" s="166"/>
    </row>
    <row r="18" spans="1:7" x14ac:dyDescent="0.25">
      <c r="A18" s="121"/>
      <c r="B18" s="122"/>
      <c r="C18" s="245"/>
      <c r="D18" s="246"/>
      <c r="E18" s="123"/>
      <c r="F18" s="123"/>
      <c r="G18" s="166"/>
    </row>
    <row r="19" spans="1:7" x14ac:dyDescent="0.25">
      <c r="A19" s="121"/>
      <c r="B19" s="122"/>
      <c r="C19" s="245"/>
      <c r="D19" s="246"/>
      <c r="E19" s="123"/>
      <c r="F19" s="123"/>
      <c r="G19" s="166"/>
    </row>
    <row r="20" spans="1:7" x14ac:dyDescent="0.25">
      <c r="A20" s="121"/>
      <c r="B20" s="122"/>
      <c r="C20" s="245"/>
      <c r="D20" s="246"/>
      <c r="E20" s="123"/>
      <c r="F20" s="123"/>
      <c r="G20" s="166"/>
    </row>
    <row r="21" spans="1:7" x14ac:dyDescent="0.25">
      <c r="A21" s="121"/>
      <c r="B21" s="122"/>
      <c r="C21" s="245"/>
      <c r="D21" s="246"/>
      <c r="E21" s="123"/>
      <c r="F21" s="123"/>
      <c r="G21" s="166"/>
    </row>
    <row r="22" spans="1:7" x14ac:dyDescent="0.25">
      <c r="A22" s="121"/>
      <c r="B22" s="122"/>
      <c r="C22" s="245"/>
      <c r="D22" s="246"/>
      <c r="E22" s="123"/>
      <c r="F22" s="123"/>
      <c r="G22" s="166"/>
    </row>
    <row r="23" spans="1:7" x14ac:dyDescent="0.25">
      <c r="A23" s="121"/>
      <c r="B23" s="122"/>
      <c r="C23" s="245"/>
      <c r="D23" s="246"/>
      <c r="E23" s="124"/>
      <c r="F23" s="124"/>
      <c r="G23" s="166"/>
    </row>
    <row r="24" spans="1:7" x14ac:dyDescent="0.25">
      <c r="A24" s="121"/>
      <c r="B24" s="122"/>
      <c r="C24" s="245"/>
      <c r="D24" s="246"/>
      <c r="E24" s="124"/>
      <c r="F24" s="124"/>
      <c r="G24" s="166"/>
    </row>
    <row r="25" spans="1:7" x14ac:dyDescent="0.25">
      <c r="A25" s="121"/>
      <c r="B25" s="122"/>
      <c r="C25" s="245"/>
      <c r="D25" s="246"/>
      <c r="E25" s="124"/>
      <c r="F25" s="124"/>
      <c r="G25" s="166"/>
    </row>
    <row r="26" spans="1:7" x14ac:dyDescent="0.25">
      <c r="A26" s="121"/>
      <c r="B26" s="122"/>
      <c r="C26" s="245"/>
      <c r="D26" s="246"/>
      <c r="E26" s="124"/>
      <c r="F26" s="124"/>
      <c r="G26" s="166"/>
    </row>
    <row r="27" spans="1:7" x14ac:dyDescent="0.25">
      <c r="A27" s="121"/>
      <c r="B27" s="122"/>
      <c r="C27" s="245"/>
      <c r="D27" s="246"/>
      <c r="E27" s="124"/>
      <c r="F27" s="124"/>
      <c r="G27" s="166"/>
    </row>
    <row r="28" spans="1:7" x14ac:dyDescent="0.25">
      <c r="A28" s="121"/>
      <c r="B28" s="122"/>
      <c r="C28" s="245"/>
      <c r="D28" s="246"/>
      <c r="E28" s="124"/>
      <c r="F28" s="124"/>
      <c r="G28" s="166"/>
    </row>
    <row r="29" spans="1:7" x14ac:dyDescent="0.25">
      <c r="A29" s="121"/>
      <c r="B29" s="122"/>
      <c r="C29" s="245"/>
      <c r="D29" s="246"/>
      <c r="E29" s="124"/>
      <c r="F29" s="124"/>
      <c r="G29" s="166"/>
    </row>
    <row r="30" spans="1:7" x14ac:dyDescent="0.25">
      <c r="A30" s="125"/>
      <c r="B30" s="126"/>
      <c r="C30" s="245"/>
      <c r="D30" s="246"/>
      <c r="E30" s="127"/>
      <c r="F30" s="127"/>
      <c r="G30" s="166"/>
    </row>
    <row r="31" spans="1:7" x14ac:dyDescent="0.25">
      <c r="A31" s="121"/>
      <c r="B31" s="122"/>
      <c r="C31" s="245"/>
      <c r="D31" s="246"/>
      <c r="E31" s="124"/>
      <c r="F31" s="124"/>
      <c r="G31" s="166"/>
    </row>
    <row r="32" spans="1:7" x14ac:dyDescent="0.25">
      <c r="A32" s="121"/>
      <c r="B32" s="122"/>
      <c r="C32" s="245"/>
      <c r="D32" s="246"/>
      <c r="E32" s="124"/>
      <c r="F32" s="124"/>
      <c r="G32" s="166"/>
    </row>
    <row r="33" spans="1:7" x14ac:dyDescent="0.25">
      <c r="A33" s="121"/>
      <c r="B33" s="122"/>
      <c r="C33" s="245"/>
      <c r="D33" s="246"/>
      <c r="E33" s="124"/>
      <c r="F33" s="124"/>
      <c r="G33" s="166"/>
    </row>
    <row r="34" spans="1:7" x14ac:dyDescent="0.25">
      <c r="A34" s="121"/>
      <c r="B34" s="122"/>
      <c r="C34" s="245"/>
      <c r="D34" s="246"/>
      <c r="E34" s="124"/>
      <c r="F34" s="124"/>
      <c r="G34" s="166"/>
    </row>
    <row r="35" spans="1:7" x14ac:dyDescent="0.25">
      <c r="A35" s="121"/>
      <c r="B35" s="122"/>
      <c r="C35" s="245"/>
      <c r="D35" s="246"/>
      <c r="E35" s="124"/>
      <c r="F35" s="124"/>
      <c r="G35" s="166"/>
    </row>
    <row r="36" spans="1:7" x14ac:dyDescent="0.25">
      <c r="A36" s="121"/>
      <c r="B36" s="122"/>
      <c r="C36" s="245"/>
      <c r="D36" s="246"/>
      <c r="E36" s="124"/>
      <c r="F36" s="124"/>
      <c r="G36" s="166"/>
    </row>
    <row r="37" spans="1:7" x14ac:dyDescent="0.25">
      <c r="A37" s="121"/>
      <c r="B37" s="122"/>
      <c r="C37" s="245"/>
      <c r="D37" s="246"/>
      <c r="E37" s="124"/>
      <c r="F37" s="124"/>
      <c r="G37" s="166"/>
    </row>
    <row r="38" spans="1:7" x14ac:dyDescent="0.25">
      <c r="A38" s="121"/>
      <c r="B38" s="122"/>
      <c r="C38" s="245"/>
      <c r="D38" s="246"/>
      <c r="E38" s="124"/>
      <c r="F38" s="124"/>
      <c r="G38" s="166"/>
    </row>
    <row r="39" spans="1:7" x14ac:dyDescent="0.25">
      <c r="A39" s="121"/>
      <c r="B39" s="122"/>
      <c r="C39" s="245"/>
      <c r="D39" s="246"/>
      <c r="E39" s="124"/>
      <c r="F39" s="124"/>
      <c r="G39" s="166"/>
    </row>
    <row r="40" spans="1:7" x14ac:dyDescent="0.25">
      <c r="A40" s="121"/>
      <c r="B40" s="122"/>
      <c r="C40" s="245"/>
      <c r="D40" s="246"/>
      <c r="E40" s="124"/>
      <c r="F40" s="124"/>
      <c r="G40" s="166"/>
    </row>
    <row r="41" spans="1:7" x14ac:dyDescent="0.25">
      <c r="A41" s="121"/>
      <c r="B41" s="122"/>
      <c r="C41" s="245"/>
      <c r="D41" s="246"/>
      <c r="E41" s="124"/>
      <c r="F41" s="124"/>
      <c r="G41" s="166"/>
    </row>
    <row r="42" spans="1:7" x14ac:dyDescent="0.25">
      <c r="A42" s="121"/>
      <c r="B42" s="122"/>
      <c r="C42" s="245"/>
      <c r="D42" s="246"/>
      <c r="E42" s="124"/>
      <c r="F42" s="124"/>
      <c r="G42" s="166"/>
    </row>
    <row r="43" spans="1:7" x14ac:dyDescent="0.25">
      <c r="A43" s="121"/>
      <c r="B43" s="122"/>
      <c r="C43" s="245"/>
      <c r="D43" s="246"/>
      <c r="E43" s="124"/>
      <c r="F43" s="124"/>
      <c r="G43" s="166"/>
    </row>
    <row r="44" spans="1:7" x14ac:dyDescent="0.25">
      <c r="A44" s="121"/>
      <c r="B44" s="122"/>
      <c r="C44" s="245"/>
      <c r="D44" s="246"/>
      <c r="E44" s="124"/>
      <c r="F44" s="124"/>
      <c r="G44" s="166"/>
    </row>
    <row r="45" spans="1:7" x14ac:dyDescent="0.25">
      <c r="A45" s="121"/>
      <c r="B45" s="122"/>
      <c r="C45" s="245"/>
      <c r="D45" s="246"/>
      <c r="E45" s="124"/>
      <c r="F45" s="124"/>
      <c r="G45" s="166"/>
    </row>
    <row r="46" spans="1:7" x14ac:dyDescent="0.25">
      <c r="A46" s="121"/>
      <c r="B46" s="122"/>
      <c r="C46" s="245"/>
      <c r="D46" s="246"/>
      <c r="E46" s="124"/>
      <c r="F46" s="124"/>
      <c r="G46" s="166"/>
    </row>
    <row r="47" spans="1:7" x14ac:dyDescent="0.25">
      <c r="A47" s="121"/>
      <c r="B47" s="122"/>
      <c r="C47" s="245"/>
      <c r="D47" s="246"/>
      <c r="E47" s="124"/>
      <c r="F47" s="124"/>
      <c r="G47" s="166"/>
    </row>
    <row r="48" spans="1:7" x14ac:dyDescent="0.25">
      <c r="A48" s="121"/>
      <c r="B48" s="122"/>
      <c r="C48" s="245"/>
      <c r="D48" s="246"/>
      <c r="E48" s="124"/>
      <c r="F48" s="124"/>
      <c r="G48" s="166"/>
    </row>
    <row r="49" spans="1:7" x14ac:dyDescent="0.25">
      <c r="A49" s="121"/>
      <c r="B49" s="122"/>
      <c r="C49" s="245"/>
      <c r="D49" s="246"/>
      <c r="E49" s="124"/>
      <c r="F49" s="124"/>
      <c r="G49" s="166"/>
    </row>
    <row r="50" spans="1:7" x14ac:dyDescent="0.25">
      <c r="A50" s="121"/>
      <c r="B50" s="122"/>
      <c r="C50" s="245"/>
      <c r="D50" s="246"/>
      <c r="E50" s="124"/>
      <c r="F50" s="124"/>
      <c r="G50" s="166"/>
    </row>
    <row r="51" spans="1:7" x14ac:dyDescent="0.25">
      <c r="A51" s="121"/>
      <c r="B51" s="122"/>
      <c r="C51" s="245"/>
      <c r="D51" s="246"/>
      <c r="E51" s="124"/>
      <c r="F51" s="124"/>
      <c r="G51" s="166"/>
    </row>
    <row r="52" spans="1:7" x14ac:dyDescent="0.25">
      <c r="A52" s="121"/>
      <c r="B52" s="122"/>
      <c r="C52" s="245"/>
      <c r="D52" s="246"/>
      <c r="E52" s="124"/>
      <c r="F52" s="124"/>
      <c r="G52" s="166"/>
    </row>
    <row r="53" spans="1:7" x14ac:dyDescent="0.25">
      <c r="A53" s="121"/>
      <c r="B53" s="122"/>
      <c r="C53" s="245"/>
      <c r="D53" s="246"/>
      <c r="E53" s="124"/>
      <c r="F53" s="124"/>
      <c r="G53" s="166"/>
    </row>
    <row r="54" spans="1:7" x14ac:dyDescent="0.25">
      <c r="A54" s="121"/>
      <c r="B54" s="122"/>
      <c r="C54" s="245"/>
      <c r="D54" s="246"/>
      <c r="E54" s="124"/>
      <c r="F54" s="124"/>
      <c r="G54" s="166"/>
    </row>
    <row r="55" spans="1:7" x14ac:dyDescent="0.25">
      <c r="A55" s="121"/>
      <c r="B55" s="122"/>
      <c r="C55" s="245"/>
      <c r="D55" s="246"/>
      <c r="E55" s="124"/>
      <c r="F55" s="124"/>
      <c r="G55" s="166"/>
    </row>
    <row r="56" spans="1:7" x14ac:dyDescent="0.25">
      <c r="A56" s="121"/>
      <c r="B56" s="122"/>
      <c r="C56" s="245"/>
      <c r="D56" s="246"/>
      <c r="E56" s="124"/>
      <c r="F56" s="124"/>
      <c r="G56" s="166"/>
    </row>
    <row r="57" spans="1:7" x14ac:dyDescent="0.25">
      <c r="A57" s="121"/>
      <c r="B57" s="122"/>
      <c r="C57" s="245"/>
      <c r="D57" s="246"/>
      <c r="E57" s="124"/>
      <c r="F57" s="124"/>
      <c r="G57" s="166"/>
    </row>
    <row r="58" spans="1:7" x14ac:dyDescent="0.25">
      <c r="A58" s="121"/>
      <c r="B58" s="122"/>
      <c r="C58" s="244"/>
      <c r="D58" s="244"/>
      <c r="E58" s="124"/>
      <c r="F58" s="124"/>
      <c r="G58" s="166"/>
    </row>
    <row r="59" spans="1:7" x14ac:dyDescent="0.25">
      <c r="A59" s="121"/>
      <c r="B59" s="122"/>
      <c r="C59" s="244"/>
      <c r="D59" s="244"/>
      <c r="E59" s="124"/>
      <c r="F59" s="124"/>
      <c r="G59" s="166"/>
    </row>
    <row r="60" spans="1:7" x14ac:dyDescent="0.25">
      <c r="A60" s="161"/>
      <c r="B60" s="162"/>
      <c r="C60" s="243"/>
      <c r="D60" s="243"/>
      <c r="E60" s="163"/>
      <c r="F60" s="163"/>
      <c r="G60" s="41"/>
    </row>
    <row r="61" spans="1:7" x14ac:dyDescent="0.25">
      <c r="A61" s="161"/>
      <c r="B61" s="162"/>
      <c r="C61" s="243"/>
      <c r="D61" s="243"/>
      <c r="E61" s="163"/>
      <c r="F61" s="163"/>
      <c r="G61" s="41"/>
    </row>
    <row r="62" spans="1:7" x14ac:dyDescent="0.25">
      <c r="A62" s="161"/>
      <c r="B62" s="162"/>
      <c r="C62" s="243"/>
      <c r="D62" s="243"/>
      <c r="E62" s="163"/>
      <c r="F62" s="163"/>
      <c r="G62" s="41"/>
    </row>
    <row r="63" spans="1:7" x14ac:dyDescent="0.25">
      <c r="A63" s="161"/>
      <c r="B63" s="162"/>
      <c r="C63" s="243"/>
      <c r="D63" s="243"/>
      <c r="E63" s="163"/>
      <c r="F63" s="163"/>
      <c r="G63" s="41"/>
    </row>
    <row r="64" spans="1:7" x14ac:dyDescent="0.25">
      <c r="A64" s="161"/>
      <c r="B64" s="162"/>
      <c r="C64" s="243"/>
      <c r="D64" s="243"/>
      <c r="E64" s="163"/>
      <c r="F64" s="163"/>
      <c r="G64" s="41"/>
    </row>
    <row r="65" spans="1:7" x14ac:dyDescent="0.25">
      <c r="A65" s="161"/>
      <c r="B65" s="162"/>
      <c r="C65" s="243"/>
      <c r="D65" s="243"/>
      <c r="E65" s="163"/>
      <c r="F65" s="163"/>
      <c r="G65" s="41"/>
    </row>
    <row r="66" spans="1:7" x14ac:dyDescent="0.25">
      <c r="A66" s="161"/>
      <c r="B66" s="162"/>
      <c r="C66" s="243"/>
      <c r="D66" s="243"/>
      <c r="E66" s="163"/>
      <c r="F66" s="163"/>
      <c r="G66" s="41"/>
    </row>
    <row r="67" spans="1:7" x14ac:dyDescent="0.25">
      <c r="A67" s="161"/>
      <c r="B67" s="162"/>
      <c r="C67" s="243"/>
      <c r="D67" s="243"/>
      <c r="E67" s="163"/>
      <c r="F67" s="163"/>
      <c r="G67" s="41"/>
    </row>
    <row r="68" spans="1:7" x14ac:dyDescent="0.25">
      <c r="A68" s="161"/>
      <c r="B68" s="162"/>
      <c r="C68" s="243"/>
      <c r="D68" s="243"/>
      <c r="E68" s="163"/>
      <c r="F68" s="163"/>
      <c r="G68" s="41"/>
    </row>
    <row r="69" spans="1:7" x14ac:dyDescent="0.25">
      <c r="A69" s="161"/>
      <c r="B69" s="162"/>
      <c r="C69" s="243"/>
      <c r="D69" s="243"/>
      <c r="E69" s="163"/>
      <c r="F69" s="163"/>
      <c r="G69" s="41"/>
    </row>
    <row r="70" spans="1:7" x14ac:dyDescent="0.25">
      <c r="A70" s="161"/>
      <c r="B70" s="162"/>
      <c r="C70" s="243"/>
      <c r="D70" s="243"/>
      <c r="E70" s="163"/>
      <c r="F70" s="163"/>
      <c r="G70" s="41"/>
    </row>
    <row r="71" spans="1:7" x14ac:dyDescent="0.25">
      <c r="A71" s="161"/>
      <c r="B71" s="162"/>
      <c r="C71" s="243"/>
      <c r="D71" s="243"/>
      <c r="E71" s="163"/>
      <c r="F71" s="163"/>
      <c r="G71" s="41"/>
    </row>
    <row r="72" spans="1:7" x14ac:dyDescent="0.25">
      <c r="A72" s="161"/>
      <c r="B72" s="162"/>
      <c r="C72" s="243"/>
      <c r="D72" s="243"/>
      <c r="E72" s="163"/>
      <c r="F72" s="163"/>
      <c r="G72" s="41"/>
    </row>
    <row r="73" spans="1:7" x14ac:dyDescent="0.25">
      <c r="A73" s="161"/>
      <c r="B73" s="162"/>
      <c r="C73" s="243"/>
      <c r="D73" s="243"/>
      <c r="E73" s="163"/>
      <c r="F73" s="163"/>
      <c r="G73" s="41"/>
    </row>
    <row r="74" spans="1:7" x14ac:dyDescent="0.25">
      <c r="A74" s="161"/>
      <c r="B74" s="162"/>
      <c r="C74" s="243"/>
      <c r="D74" s="243"/>
      <c r="E74" s="163"/>
      <c r="F74" s="163"/>
      <c r="G74" s="41"/>
    </row>
    <row r="75" spans="1:7" x14ac:dyDescent="0.25">
      <c r="A75" s="161"/>
      <c r="B75" s="162"/>
      <c r="C75" s="243"/>
      <c r="D75" s="243"/>
      <c r="E75" s="163"/>
      <c r="F75" s="163"/>
      <c r="G75" s="41"/>
    </row>
    <row r="76" spans="1:7" x14ac:dyDescent="0.25">
      <c r="A76" s="161"/>
      <c r="B76" s="162"/>
      <c r="C76" s="243"/>
      <c r="D76" s="243"/>
      <c r="E76" s="163"/>
      <c r="F76" s="163"/>
      <c r="G76" s="41"/>
    </row>
    <row r="77" spans="1:7" x14ac:dyDescent="0.25">
      <c r="A77" s="161"/>
      <c r="B77" s="162"/>
      <c r="C77" s="243"/>
      <c r="D77" s="243"/>
      <c r="E77" s="163"/>
      <c r="F77" s="163"/>
      <c r="G77" s="41"/>
    </row>
    <row r="78" spans="1:7" x14ac:dyDescent="0.25">
      <c r="A78" s="161"/>
      <c r="B78" s="162"/>
      <c r="C78" s="243"/>
      <c r="D78" s="243"/>
      <c r="E78" s="163"/>
      <c r="F78" s="163"/>
      <c r="G78" s="41"/>
    </row>
    <row r="79" spans="1:7" x14ac:dyDescent="0.25">
      <c r="A79" s="161"/>
      <c r="B79" s="162"/>
      <c r="C79" s="243"/>
      <c r="D79" s="243"/>
      <c r="E79" s="163"/>
      <c r="F79" s="163"/>
      <c r="G79" s="41"/>
    </row>
    <row r="80" spans="1:7" x14ac:dyDescent="0.25">
      <c r="A80" s="161"/>
      <c r="B80" s="162"/>
      <c r="C80" s="243"/>
      <c r="D80" s="243"/>
      <c r="E80" s="163"/>
      <c r="F80" s="163"/>
      <c r="G80" s="41"/>
    </row>
    <row r="81" spans="1:7" x14ac:dyDescent="0.25">
      <c r="A81" s="161"/>
      <c r="B81" s="162"/>
      <c r="C81" s="243"/>
      <c r="D81" s="243"/>
      <c r="E81" s="163"/>
      <c r="F81" s="163"/>
      <c r="G81" s="41"/>
    </row>
    <row r="82" spans="1:7" x14ac:dyDescent="0.25">
      <c r="A82" s="161"/>
      <c r="B82" s="162"/>
      <c r="C82" s="243"/>
      <c r="D82" s="243"/>
      <c r="E82" s="163"/>
      <c r="F82" s="163"/>
      <c r="G82" s="41"/>
    </row>
    <row r="83" spans="1:7" x14ac:dyDescent="0.25">
      <c r="A83" s="161"/>
      <c r="B83" s="162"/>
      <c r="C83" s="243"/>
      <c r="D83" s="243"/>
      <c r="E83" s="163"/>
      <c r="F83" s="163"/>
      <c r="G83" s="41"/>
    </row>
    <row r="84" spans="1:7" x14ac:dyDescent="0.25">
      <c r="A84" s="161"/>
      <c r="B84" s="162"/>
      <c r="C84" s="243"/>
      <c r="D84" s="243"/>
      <c r="E84" s="163"/>
      <c r="F84" s="163"/>
      <c r="G84" s="41"/>
    </row>
    <row r="85" spans="1:7" x14ac:dyDescent="0.25">
      <c r="A85" s="161"/>
      <c r="B85" s="162"/>
      <c r="C85" s="243"/>
      <c r="D85" s="243"/>
      <c r="E85" s="163"/>
      <c r="F85" s="163"/>
      <c r="G85" s="41"/>
    </row>
    <row r="86" spans="1:7" x14ac:dyDescent="0.25">
      <c r="A86" s="161"/>
      <c r="B86" s="162"/>
      <c r="C86" s="243"/>
      <c r="D86" s="243"/>
      <c r="E86" s="163"/>
      <c r="F86" s="163"/>
      <c r="G86" s="41"/>
    </row>
    <row r="87" spans="1:7" x14ac:dyDescent="0.25">
      <c r="A87" s="161"/>
      <c r="B87" s="162"/>
      <c r="C87" s="243"/>
      <c r="D87" s="243"/>
      <c r="E87" s="163"/>
      <c r="F87" s="163"/>
      <c r="G87" s="41"/>
    </row>
    <row r="88" spans="1:7" x14ac:dyDescent="0.25">
      <c r="A88" s="161"/>
      <c r="B88" s="162"/>
      <c r="C88" s="243"/>
      <c r="D88" s="243"/>
      <c r="E88" s="163"/>
      <c r="F88" s="163"/>
      <c r="G88" s="41"/>
    </row>
    <row r="89" spans="1:7" x14ac:dyDescent="0.25">
      <c r="A89" s="161"/>
      <c r="B89" s="162"/>
      <c r="C89" s="243"/>
      <c r="D89" s="243"/>
      <c r="E89" s="163"/>
      <c r="F89" s="163"/>
      <c r="G89" s="41"/>
    </row>
    <row r="90" spans="1:7" x14ac:dyDescent="0.25">
      <c r="A90" s="161"/>
      <c r="B90" s="162"/>
      <c r="C90" s="243"/>
      <c r="D90" s="243"/>
      <c r="E90" s="163"/>
      <c r="F90" s="163"/>
      <c r="G90" s="41"/>
    </row>
    <row r="91" spans="1:7" x14ac:dyDescent="0.25">
      <c r="A91" s="161"/>
      <c r="B91" s="162"/>
      <c r="C91" s="243"/>
      <c r="D91" s="243"/>
      <c r="E91" s="163"/>
      <c r="F91" s="163"/>
      <c r="G91" s="41"/>
    </row>
    <row r="92" spans="1:7" x14ac:dyDescent="0.25">
      <c r="A92" s="161"/>
      <c r="B92" s="162"/>
      <c r="C92" s="243"/>
      <c r="D92" s="243"/>
      <c r="E92" s="163"/>
      <c r="F92" s="163"/>
      <c r="G92" s="41"/>
    </row>
    <row r="93" spans="1:7" x14ac:dyDescent="0.25">
      <c r="A93" s="161"/>
      <c r="B93" s="162"/>
      <c r="C93" s="243"/>
      <c r="D93" s="243"/>
      <c r="E93" s="163"/>
      <c r="F93" s="163"/>
      <c r="G93" s="41"/>
    </row>
    <row r="94" spans="1:7" x14ac:dyDescent="0.25">
      <c r="A94" s="161"/>
      <c r="B94" s="162"/>
      <c r="C94" s="243"/>
      <c r="D94" s="243"/>
      <c r="E94" s="163"/>
      <c r="F94" s="163"/>
      <c r="G94" s="41"/>
    </row>
    <row r="95" spans="1:7" x14ac:dyDescent="0.25">
      <c r="A95" s="161"/>
      <c r="B95" s="162"/>
      <c r="C95" s="243"/>
      <c r="D95" s="243"/>
      <c r="E95" s="163"/>
      <c r="F95" s="163"/>
      <c r="G95" s="41"/>
    </row>
    <row r="96" spans="1:7" x14ac:dyDescent="0.25">
      <c r="A96" s="161"/>
      <c r="B96" s="162"/>
      <c r="C96" s="243"/>
      <c r="D96" s="243"/>
      <c r="E96" s="163"/>
      <c r="F96" s="163"/>
      <c r="G96" s="41"/>
    </row>
    <row r="97" spans="1:7" x14ac:dyDescent="0.25">
      <c r="A97" s="161"/>
      <c r="B97" s="162"/>
      <c r="C97" s="243"/>
      <c r="D97" s="243"/>
      <c r="E97" s="163"/>
      <c r="F97" s="163"/>
      <c r="G97" s="41"/>
    </row>
    <row r="98" spans="1:7" x14ac:dyDescent="0.25">
      <c r="A98" s="161"/>
      <c r="B98" s="162"/>
      <c r="C98" s="243"/>
      <c r="D98" s="243"/>
      <c r="E98" s="163"/>
      <c r="F98" s="163"/>
      <c r="G98" s="41"/>
    </row>
    <row r="99" spans="1:7" x14ac:dyDescent="0.25">
      <c r="A99" s="161"/>
      <c r="B99" s="162"/>
      <c r="C99" s="243"/>
      <c r="D99" s="243"/>
      <c r="E99" s="163"/>
      <c r="F99" s="163"/>
      <c r="G99" s="41"/>
    </row>
    <row r="100" spans="1:7" x14ac:dyDescent="0.25">
      <c r="A100" s="161"/>
      <c r="B100" s="162"/>
      <c r="C100" s="243"/>
      <c r="D100" s="243"/>
      <c r="E100" s="163"/>
      <c r="F100" s="163"/>
      <c r="G100" s="41"/>
    </row>
    <row r="101" spans="1:7" x14ac:dyDescent="0.25">
      <c r="A101" s="161"/>
      <c r="B101" s="162"/>
      <c r="C101" s="243"/>
      <c r="D101" s="243"/>
      <c r="E101" s="163"/>
      <c r="F101" s="163"/>
      <c r="G101" s="41"/>
    </row>
    <row r="102" spans="1:7" x14ac:dyDescent="0.25">
      <c r="A102" s="161"/>
      <c r="B102" s="162"/>
      <c r="C102" s="243"/>
      <c r="D102" s="243"/>
      <c r="E102" s="163"/>
      <c r="F102" s="163"/>
      <c r="G102" s="41"/>
    </row>
    <row r="103" spans="1:7" x14ac:dyDescent="0.25">
      <c r="A103" s="161"/>
      <c r="B103" s="162"/>
      <c r="C103" s="243"/>
      <c r="D103" s="243"/>
      <c r="E103" s="163"/>
      <c r="F103" s="163"/>
      <c r="G103" s="41"/>
    </row>
    <row r="104" spans="1:7" x14ac:dyDescent="0.25">
      <c r="A104" s="161"/>
      <c r="B104" s="162"/>
      <c r="C104" s="243"/>
      <c r="D104" s="243"/>
      <c r="E104" s="163"/>
      <c r="F104" s="163"/>
      <c r="G104" s="41"/>
    </row>
    <row r="105" spans="1:7" x14ac:dyDescent="0.25">
      <c r="A105" s="161"/>
      <c r="B105" s="162"/>
      <c r="C105" s="243"/>
      <c r="D105" s="243"/>
      <c r="E105" s="163"/>
      <c r="F105" s="163"/>
      <c r="G105" s="41"/>
    </row>
    <row r="106" spans="1:7" x14ac:dyDescent="0.25">
      <c r="A106" s="161"/>
      <c r="B106" s="162"/>
      <c r="C106" s="243"/>
      <c r="D106" s="243"/>
      <c r="E106" s="163"/>
      <c r="F106" s="163"/>
      <c r="G106" s="41"/>
    </row>
    <row r="107" spans="1:7" x14ac:dyDescent="0.25">
      <c r="A107" s="161"/>
      <c r="B107" s="162"/>
      <c r="C107" s="243"/>
      <c r="D107" s="243"/>
      <c r="E107" s="163"/>
      <c r="F107" s="163"/>
      <c r="G107" s="41"/>
    </row>
    <row r="108" spans="1:7" x14ac:dyDescent="0.25">
      <c r="A108" s="161"/>
      <c r="B108" s="162"/>
      <c r="C108" s="243"/>
      <c r="D108" s="243"/>
      <c r="E108" s="163"/>
      <c r="F108" s="163"/>
      <c r="G108" s="41"/>
    </row>
    <row r="109" spans="1:7" x14ac:dyDescent="0.25">
      <c r="A109" s="161"/>
      <c r="B109" s="162"/>
      <c r="C109" s="243"/>
      <c r="D109" s="243"/>
      <c r="E109" s="163"/>
      <c r="F109" s="163"/>
      <c r="G109" s="41"/>
    </row>
    <row r="110" spans="1:7" x14ac:dyDescent="0.25">
      <c r="A110" s="161"/>
      <c r="B110" s="162"/>
      <c r="C110" s="243"/>
      <c r="D110" s="243"/>
      <c r="E110" s="163"/>
      <c r="F110" s="163"/>
      <c r="G110" s="41"/>
    </row>
    <row r="111" spans="1:7" x14ac:dyDescent="0.25">
      <c r="A111" s="161"/>
      <c r="B111" s="162"/>
      <c r="C111" s="243"/>
      <c r="D111" s="243"/>
      <c r="E111" s="163"/>
      <c r="F111" s="163"/>
      <c r="G111" s="41"/>
    </row>
    <row r="112" spans="1:7" x14ac:dyDescent="0.25">
      <c r="A112" s="161"/>
      <c r="B112" s="162"/>
      <c r="C112" s="243"/>
      <c r="D112" s="243"/>
      <c r="E112" s="163"/>
      <c r="F112" s="163"/>
      <c r="G112" s="41"/>
    </row>
    <row r="113" spans="1:7" x14ac:dyDescent="0.25">
      <c r="A113" s="161"/>
      <c r="B113" s="162"/>
      <c r="C113" s="243"/>
      <c r="D113" s="243"/>
      <c r="E113" s="163"/>
      <c r="F113" s="163"/>
      <c r="G113" s="41"/>
    </row>
    <row r="114" spans="1:7" x14ac:dyDescent="0.25">
      <c r="A114" s="161"/>
      <c r="B114" s="162"/>
      <c r="C114" s="243"/>
      <c r="D114" s="243"/>
      <c r="E114" s="163"/>
      <c r="F114" s="163"/>
      <c r="G114" s="41"/>
    </row>
    <row r="115" spans="1:7" x14ac:dyDescent="0.25">
      <c r="A115" s="161"/>
      <c r="B115" s="162"/>
      <c r="C115" s="243"/>
      <c r="D115" s="243"/>
      <c r="E115" s="163"/>
      <c r="F115" s="163"/>
      <c r="G115" s="41"/>
    </row>
    <row r="116" spans="1:7" x14ac:dyDescent="0.25">
      <c r="A116" s="161"/>
      <c r="B116" s="162"/>
      <c r="C116" s="243"/>
      <c r="D116" s="243"/>
      <c r="E116" s="163"/>
      <c r="F116" s="163"/>
      <c r="G116" s="41"/>
    </row>
    <row r="117" spans="1:7" x14ac:dyDescent="0.25">
      <c r="A117" s="161"/>
      <c r="B117" s="162"/>
      <c r="C117" s="243"/>
      <c r="D117" s="243"/>
      <c r="E117" s="163"/>
      <c r="F117" s="163"/>
      <c r="G117" s="41"/>
    </row>
    <row r="118" spans="1:7" x14ac:dyDescent="0.25">
      <c r="A118" s="161"/>
      <c r="B118" s="162"/>
      <c r="C118" s="243"/>
      <c r="D118" s="243"/>
      <c r="E118" s="163"/>
      <c r="F118" s="163"/>
      <c r="G118" s="41"/>
    </row>
    <row r="119" spans="1:7" x14ac:dyDescent="0.25">
      <c r="A119" s="161"/>
      <c r="B119" s="162"/>
      <c r="C119" s="243"/>
      <c r="D119" s="243"/>
      <c r="E119" s="163"/>
      <c r="F119" s="163"/>
      <c r="G119" s="41"/>
    </row>
    <row r="120" spans="1:7" x14ac:dyDescent="0.25">
      <c r="A120" s="161"/>
      <c r="B120" s="162"/>
      <c r="C120" s="243"/>
      <c r="D120" s="243"/>
      <c r="E120" s="163"/>
      <c r="F120" s="163"/>
      <c r="G120" s="41"/>
    </row>
    <row r="121" spans="1:7" x14ac:dyDescent="0.25">
      <c r="A121" s="161"/>
      <c r="B121" s="162"/>
      <c r="C121" s="243"/>
      <c r="D121" s="243"/>
      <c r="E121" s="163"/>
      <c r="F121" s="163"/>
      <c r="G121" s="41"/>
    </row>
    <row r="122" spans="1:7" x14ac:dyDescent="0.25">
      <c r="A122" s="161"/>
      <c r="B122" s="162"/>
      <c r="C122" s="243"/>
      <c r="D122" s="243"/>
      <c r="E122" s="163"/>
      <c r="F122" s="163"/>
      <c r="G122" s="41"/>
    </row>
    <row r="123" spans="1:7" x14ac:dyDescent="0.25">
      <c r="A123" s="161"/>
      <c r="B123" s="162"/>
      <c r="C123" s="243"/>
      <c r="D123" s="243"/>
      <c r="E123" s="163"/>
      <c r="F123" s="163"/>
      <c r="G123" s="41"/>
    </row>
    <row r="124" spans="1:7" x14ac:dyDescent="0.25">
      <c r="A124" s="161"/>
      <c r="B124" s="162"/>
      <c r="C124" s="243"/>
      <c r="D124" s="243"/>
      <c r="E124" s="163"/>
      <c r="F124" s="163"/>
      <c r="G124" s="41"/>
    </row>
    <row r="125" spans="1:7" x14ac:dyDescent="0.25">
      <c r="A125" s="161"/>
      <c r="B125" s="162"/>
      <c r="C125" s="243"/>
      <c r="D125" s="243"/>
      <c r="E125" s="163"/>
      <c r="F125" s="163"/>
      <c r="G125" s="41"/>
    </row>
    <row r="126" spans="1:7" x14ac:dyDescent="0.25">
      <c r="A126" s="161"/>
      <c r="B126" s="162"/>
      <c r="C126" s="243"/>
      <c r="D126" s="243"/>
      <c r="E126" s="163"/>
      <c r="F126" s="163"/>
      <c r="G126" s="41"/>
    </row>
    <row r="127" spans="1:7" x14ac:dyDescent="0.25">
      <c r="A127" s="161"/>
      <c r="B127" s="162"/>
      <c r="C127" s="243"/>
      <c r="D127" s="243"/>
      <c r="E127" s="163"/>
      <c r="F127" s="163"/>
      <c r="G127" s="41"/>
    </row>
    <row r="128" spans="1:7" x14ac:dyDescent="0.25">
      <c r="A128" s="161"/>
      <c r="B128" s="162"/>
      <c r="C128" s="243"/>
      <c r="D128" s="243"/>
      <c r="E128" s="163"/>
      <c r="F128" s="163"/>
      <c r="G128" s="41"/>
    </row>
    <row r="129" spans="1:7" x14ac:dyDescent="0.25">
      <c r="A129" s="161"/>
      <c r="B129" s="162"/>
      <c r="C129" s="243"/>
      <c r="D129" s="243"/>
      <c r="E129" s="163"/>
      <c r="F129" s="163"/>
      <c r="G129" s="41"/>
    </row>
    <row r="130" spans="1:7" x14ac:dyDescent="0.25">
      <c r="A130" s="161"/>
      <c r="B130" s="162"/>
      <c r="C130" s="243"/>
      <c r="D130" s="243"/>
      <c r="E130" s="163"/>
      <c r="F130" s="163"/>
      <c r="G130" s="41"/>
    </row>
    <row r="131" spans="1:7" x14ac:dyDescent="0.25">
      <c r="A131" s="161"/>
      <c r="B131" s="162"/>
      <c r="C131" s="243"/>
      <c r="D131" s="243"/>
      <c r="E131" s="163"/>
      <c r="F131" s="163"/>
      <c r="G131" s="41"/>
    </row>
    <row r="132" spans="1:7" x14ac:dyDescent="0.25">
      <c r="A132" s="161"/>
      <c r="B132" s="162"/>
      <c r="C132" s="243"/>
      <c r="D132" s="243"/>
      <c r="E132" s="163"/>
      <c r="F132" s="163"/>
      <c r="G132" s="41"/>
    </row>
    <row r="133" spans="1:7" x14ac:dyDescent="0.25">
      <c r="A133" s="161"/>
      <c r="B133" s="162"/>
      <c r="C133" s="243"/>
      <c r="D133" s="243"/>
      <c r="E133" s="163"/>
      <c r="F133" s="163"/>
      <c r="G133" s="41"/>
    </row>
    <row r="134" spans="1:7" x14ac:dyDescent="0.25">
      <c r="A134" s="161"/>
      <c r="B134" s="162"/>
      <c r="C134" s="243"/>
      <c r="D134" s="243"/>
      <c r="E134" s="163"/>
      <c r="F134" s="163"/>
      <c r="G134" s="41"/>
    </row>
    <row r="135" spans="1:7" x14ac:dyDescent="0.25">
      <c r="A135" s="161"/>
      <c r="B135" s="162"/>
      <c r="C135" s="243"/>
      <c r="D135" s="243"/>
      <c r="E135" s="163"/>
      <c r="F135" s="163"/>
      <c r="G135" s="41"/>
    </row>
    <row r="136" spans="1:7" x14ac:dyDescent="0.25">
      <c r="A136" s="161"/>
      <c r="B136" s="162"/>
      <c r="C136" s="243"/>
      <c r="D136" s="243"/>
      <c r="E136" s="163"/>
      <c r="F136" s="163"/>
      <c r="G136" s="41"/>
    </row>
    <row r="137" spans="1:7" x14ac:dyDescent="0.25">
      <c r="A137" s="161"/>
      <c r="B137" s="162"/>
      <c r="C137" s="243"/>
      <c r="D137" s="243"/>
      <c r="E137" s="163"/>
      <c r="F137" s="163"/>
      <c r="G137" s="41"/>
    </row>
    <row r="138" spans="1:7" x14ac:dyDescent="0.25">
      <c r="A138" s="161"/>
      <c r="B138" s="162"/>
      <c r="C138" s="243"/>
      <c r="D138" s="243"/>
      <c r="E138" s="163"/>
      <c r="F138" s="163"/>
      <c r="G138" s="41"/>
    </row>
    <row r="139" spans="1:7" x14ac:dyDescent="0.25">
      <c r="A139" s="161"/>
      <c r="B139" s="162"/>
      <c r="C139" s="243"/>
      <c r="D139" s="243"/>
      <c r="E139" s="163"/>
      <c r="F139" s="163"/>
      <c r="G139" s="41"/>
    </row>
    <row r="140" spans="1:7" x14ac:dyDescent="0.25">
      <c r="A140" s="161"/>
      <c r="B140" s="162"/>
      <c r="C140" s="243"/>
      <c r="D140" s="243"/>
      <c r="E140" s="163"/>
      <c r="F140" s="163"/>
      <c r="G140" s="41"/>
    </row>
    <row r="141" spans="1:7" x14ac:dyDescent="0.25">
      <c r="A141" s="161"/>
      <c r="B141" s="162"/>
      <c r="C141" s="243"/>
      <c r="D141" s="243"/>
      <c r="E141" s="163"/>
      <c r="F141" s="163"/>
      <c r="G141" s="41"/>
    </row>
    <row r="142" spans="1:7" x14ac:dyDescent="0.25">
      <c r="A142" s="161"/>
      <c r="B142" s="162"/>
      <c r="C142" s="243"/>
      <c r="D142" s="243"/>
      <c r="E142" s="163"/>
      <c r="F142" s="163"/>
      <c r="G142" s="41"/>
    </row>
    <row r="143" spans="1:7" x14ac:dyDescent="0.25">
      <c r="A143" s="161"/>
      <c r="B143" s="162"/>
      <c r="C143" s="243"/>
      <c r="D143" s="243"/>
      <c r="E143" s="163"/>
      <c r="F143" s="163"/>
      <c r="G143" s="41"/>
    </row>
    <row r="144" spans="1:7" x14ac:dyDescent="0.25">
      <c r="A144" s="161"/>
      <c r="B144" s="162"/>
      <c r="C144" s="243"/>
      <c r="D144" s="243"/>
      <c r="E144" s="163"/>
      <c r="F144" s="163"/>
      <c r="G144" s="41"/>
    </row>
    <row r="145" spans="1:7" x14ac:dyDescent="0.25">
      <c r="A145" s="161"/>
      <c r="B145" s="162"/>
      <c r="C145" s="243"/>
      <c r="D145" s="243"/>
      <c r="E145" s="163"/>
      <c r="F145" s="163"/>
      <c r="G145" s="41"/>
    </row>
    <row r="146" spans="1:7" x14ac:dyDescent="0.25">
      <c r="A146" s="161"/>
      <c r="B146" s="162"/>
      <c r="C146" s="243"/>
      <c r="D146" s="243"/>
      <c r="E146" s="163"/>
      <c r="F146" s="163"/>
      <c r="G146" s="41"/>
    </row>
    <row r="147" spans="1:7" x14ac:dyDescent="0.25">
      <c r="A147" s="161"/>
      <c r="B147" s="162"/>
      <c r="C147" s="243"/>
      <c r="D147" s="243"/>
      <c r="E147" s="163"/>
      <c r="F147" s="163"/>
      <c r="G147" s="41"/>
    </row>
    <row r="148" spans="1:7" x14ac:dyDescent="0.25">
      <c r="A148" s="161"/>
      <c r="B148" s="162"/>
      <c r="C148" s="243"/>
      <c r="D148" s="243"/>
      <c r="E148" s="163"/>
      <c r="F148" s="163"/>
      <c r="G148" s="41"/>
    </row>
    <row r="149" spans="1:7" x14ac:dyDescent="0.25">
      <c r="A149" s="161"/>
      <c r="B149" s="162"/>
      <c r="C149" s="243"/>
      <c r="D149" s="243"/>
      <c r="E149" s="163"/>
      <c r="F149" s="163"/>
      <c r="G149" s="41"/>
    </row>
    <row r="150" spans="1:7" x14ac:dyDescent="0.25">
      <c r="A150" s="161"/>
      <c r="B150" s="162"/>
      <c r="C150" s="243"/>
      <c r="D150" s="243"/>
      <c r="E150" s="163"/>
      <c r="F150" s="163"/>
      <c r="G150" s="41"/>
    </row>
    <row r="151" spans="1:7" x14ac:dyDescent="0.25">
      <c r="A151" s="161"/>
      <c r="B151" s="162"/>
      <c r="C151" s="243"/>
      <c r="D151" s="243"/>
      <c r="E151" s="163"/>
      <c r="F151" s="163"/>
      <c r="G151" s="41"/>
    </row>
    <row r="152" spans="1:7" x14ac:dyDescent="0.25">
      <c r="A152" s="161"/>
      <c r="B152" s="162"/>
      <c r="C152" s="243"/>
      <c r="D152" s="243"/>
      <c r="E152" s="163"/>
      <c r="F152" s="163"/>
      <c r="G152" s="41"/>
    </row>
    <row r="153" spans="1:7" x14ac:dyDescent="0.25">
      <c r="A153" s="161"/>
      <c r="B153" s="162"/>
      <c r="C153" s="243"/>
      <c r="D153" s="243"/>
      <c r="E153" s="163"/>
      <c r="F153" s="163"/>
      <c r="G153" s="41"/>
    </row>
    <row r="154" spans="1:7" x14ac:dyDescent="0.25">
      <c r="A154" s="161"/>
      <c r="B154" s="162"/>
      <c r="C154" s="243"/>
      <c r="D154" s="243"/>
      <c r="E154" s="163"/>
      <c r="F154" s="163"/>
      <c r="G154" s="41"/>
    </row>
    <row r="155" spans="1:7" x14ac:dyDescent="0.25">
      <c r="A155" s="161"/>
      <c r="B155" s="162"/>
      <c r="C155" s="243"/>
      <c r="D155" s="243"/>
      <c r="E155" s="163"/>
      <c r="F155" s="163"/>
      <c r="G155" s="41"/>
    </row>
    <row r="156" spans="1:7" x14ac:dyDescent="0.25">
      <c r="A156" s="161"/>
      <c r="B156" s="162"/>
      <c r="C156" s="243"/>
      <c r="D156" s="243"/>
      <c r="E156" s="163"/>
      <c r="F156" s="163"/>
      <c r="G156" s="41"/>
    </row>
    <row r="157" spans="1:7" x14ac:dyDescent="0.25">
      <c r="A157" s="161"/>
      <c r="B157" s="162"/>
      <c r="C157" s="243"/>
      <c r="D157" s="243"/>
      <c r="E157" s="163"/>
      <c r="F157" s="163"/>
      <c r="G157" s="41"/>
    </row>
    <row r="158" spans="1:7" x14ac:dyDescent="0.25">
      <c r="A158" s="161"/>
      <c r="B158" s="162"/>
      <c r="C158" s="243"/>
      <c r="D158" s="243"/>
      <c r="E158" s="163"/>
      <c r="F158" s="163"/>
      <c r="G158" s="41"/>
    </row>
    <row r="159" spans="1:7" x14ac:dyDescent="0.25">
      <c r="A159" s="161"/>
      <c r="B159" s="162"/>
      <c r="C159" s="243"/>
      <c r="D159" s="243"/>
      <c r="E159" s="163"/>
      <c r="F159" s="163"/>
      <c r="G159" s="41"/>
    </row>
    <row r="160" spans="1:7" x14ac:dyDescent="0.25">
      <c r="A160" s="161"/>
      <c r="B160" s="162"/>
      <c r="C160" s="243"/>
      <c r="D160" s="243"/>
      <c r="E160" s="163"/>
      <c r="F160" s="163"/>
      <c r="G160" s="41"/>
    </row>
    <row r="161" spans="1:7" x14ac:dyDescent="0.25">
      <c r="A161" s="161"/>
      <c r="B161" s="162"/>
      <c r="C161" s="243"/>
      <c r="D161" s="243"/>
      <c r="E161" s="163"/>
      <c r="F161" s="163"/>
      <c r="G161" s="41"/>
    </row>
    <row r="162" spans="1:7" x14ac:dyDescent="0.25">
      <c r="A162" s="161"/>
      <c r="B162" s="162"/>
      <c r="C162" s="243"/>
      <c r="D162" s="243"/>
      <c r="E162" s="163"/>
      <c r="F162" s="163"/>
      <c r="G162" s="41"/>
    </row>
    <row r="163" spans="1:7" x14ac:dyDescent="0.25">
      <c r="A163" s="161"/>
      <c r="B163" s="162"/>
      <c r="C163" s="243"/>
      <c r="D163" s="243"/>
      <c r="E163" s="163"/>
      <c r="F163" s="163"/>
      <c r="G163" s="41"/>
    </row>
    <row r="164" spans="1:7" x14ac:dyDescent="0.25">
      <c r="A164" s="161"/>
      <c r="B164" s="162"/>
      <c r="C164" s="243"/>
      <c r="D164" s="243"/>
      <c r="E164" s="163"/>
      <c r="F164" s="163"/>
      <c r="G164" s="41"/>
    </row>
    <row r="165" spans="1:7" x14ac:dyDescent="0.25">
      <c r="A165" s="161"/>
      <c r="B165" s="162"/>
      <c r="C165" s="243"/>
      <c r="D165" s="243"/>
      <c r="E165" s="163"/>
      <c r="F165" s="163"/>
      <c r="G165" s="41"/>
    </row>
    <row r="166" spans="1:7" x14ac:dyDescent="0.25">
      <c r="A166" s="161"/>
      <c r="B166" s="162"/>
      <c r="C166" s="243"/>
      <c r="D166" s="243"/>
      <c r="E166" s="163"/>
      <c r="F166" s="163"/>
      <c r="G166" s="41"/>
    </row>
    <row r="167" spans="1:7" x14ac:dyDescent="0.25">
      <c r="A167" s="161"/>
      <c r="B167" s="162"/>
      <c r="C167" s="243"/>
      <c r="D167" s="243"/>
      <c r="E167" s="163"/>
      <c r="F167" s="163"/>
      <c r="G167" s="41"/>
    </row>
    <row r="168" spans="1:7" x14ac:dyDescent="0.25">
      <c r="A168" s="161"/>
      <c r="B168" s="162"/>
      <c r="C168" s="243"/>
      <c r="D168" s="243"/>
      <c r="E168" s="163"/>
      <c r="F168" s="163"/>
      <c r="G168" s="41"/>
    </row>
    <row r="169" spans="1:7" x14ac:dyDescent="0.25">
      <c r="A169" s="161"/>
      <c r="B169" s="162"/>
      <c r="C169" s="243"/>
      <c r="D169" s="243"/>
      <c r="E169" s="163"/>
      <c r="F169" s="163"/>
      <c r="G169" s="41"/>
    </row>
    <row r="170" spans="1:7" x14ac:dyDescent="0.25">
      <c r="A170" s="161"/>
      <c r="B170" s="162"/>
      <c r="C170" s="243"/>
      <c r="D170" s="243"/>
      <c r="E170" s="163"/>
      <c r="F170" s="163"/>
      <c r="G170" s="41"/>
    </row>
    <row r="171" spans="1:7" x14ac:dyDescent="0.25">
      <c r="A171" s="161"/>
      <c r="B171" s="162"/>
      <c r="C171" s="243"/>
      <c r="D171" s="243"/>
      <c r="E171" s="163"/>
      <c r="F171" s="163"/>
      <c r="G171" s="41"/>
    </row>
    <row r="172" spans="1:7" x14ac:dyDescent="0.25">
      <c r="A172" s="161"/>
      <c r="B172" s="162"/>
      <c r="C172" s="243"/>
      <c r="D172" s="243"/>
      <c r="E172" s="163"/>
      <c r="F172" s="163"/>
      <c r="G172" s="41"/>
    </row>
    <row r="173" spans="1:7" x14ac:dyDescent="0.25">
      <c r="A173" s="161"/>
      <c r="B173" s="162"/>
      <c r="C173" s="243"/>
      <c r="D173" s="243"/>
      <c r="E173" s="163"/>
      <c r="F173" s="163"/>
      <c r="G173" s="41"/>
    </row>
    <row r="174" spans="1:7" x14ac:dyDescent="0.25">
      <c r="A174" s="161"/>
      <c r="B174" s="162"/>
      <c r="C174" s="243"/>
      <c r="D174" s="243"/>
      <c r="E174" s="163"/>
      <c r="F174" s="163"/>
      <c r="G174" s="41"/>
    </row>
    <row r="175" spans="1:7" x14ac:dyDescent="0.25">
      <c r="A175" s="161"/>
      <c r="B175" s="162"/>
      <c r="C175" s="243"/>
      <c r="D175" s="243"/>
      <c r="E175" s="163"/>
      <c r="F175" s="163"/>
      <c r="G175" s="41"/>
    </row>
    <row r="176" spans="1:7" x14ac:dyDescent="0.25">
      <c r="A176" s="161"/>
      <c r="B176" s="162"/>
      <c r="C176" s="243"/>
      <c r="D176" s="243"/>
      <c r="E176" s="163"/>
      <c r="F176" s="163"/>
      <c r="G176" s="41"/>
    </row>
    <row r="177" spans="1:7" x14ac:dyDescent="0.25">
      <c r="A177" s="161"/>
      <c r="B177" s="162"/>
      <c r="C177" s="243"/>
      <c r="D177" s="243"/>
      <c r="E177" s="163"/>
      <c r="F177" s="163"/>
      <c r="G177" s="41"/>
    </row>
    <row r="178" spans="1:7" x14ac:dyDescent="0.25">
      <c r="A178" s="161"/>
      <c r="B178" s="162"/>
      <c r="C178" s="243"/>
      <c r="D178" s="243"/>
      <c r="E178" s="163"/>
      <c r="F178" s="163"/>
      <c r="G178" s="41"/>
    </row>
    <row r="179" spans="1:7" x14ac:dyDescent="0.25">
      <c r="A179" s="161"/>
      <c r="B179" s="162"/>
      <c r="C179" s="243"/>
      <c r="D179" s="243"/>
      <c r="E179" s="163"/>
      <c r="F179" s="163"/>
      <c r="G179" s="41"/>
    </row>
    <row r="180" spans="1:7" x14ac:dyDescent="0.25">
      <c r="A180" s="161"/>
      <c r="B180" s="162"/>
      <c r="C180" s="243"/>
      <c r="D180" s="243"/>
      <c r="E180" s="163"/>
      <c r="F180" s="163"/>
      <c r="G180" s="41"/>
    </row>
    <row r="181" spans="1:7" x14ac:dyDescent="0.25">
      <c r="A181" s="161"/>
      <c r="B181" s="162"/>
      <c r="C181" s="243"/>
      <c r="D181" s="243"/>
      <c r="E181" s="163"/>
      <c r="F181" s="163"/>
      <c r="G181" s="41"/>
    </row>
    <row r="182" spans="1:7" x14ac:dyDescent="0.25">
      <c r="A182" s="161"/>
      <c r="B182" s="162"/>
      <c r="C182" s="243"/>
      <c r="D182" s="243"/>
      <c r="E182" s="163"/>
      <c r="F182" s="163"/>
      <c r="G182" s="41"/>
    </row>
    <row r="183" spans="1:7" x14ac:dyDescent="0.25">
      <c r="A183" s="161"/>
      <c r="B183" s="162"/>
      <c r="C183" s="243"/>
      <c r="D183" s="243"/>
      <c r="E183" s="163"/>
      <c r="F183" s="163"/>
      <c r="G183" s="41"/>
    </row>
    <row r="184" spans="1:7" x14ac:dyDescent="0.25">
      <c r="A184" s="161"/>
      <c r="B184" s="162"/>
      <c r="C184" s="243"/>
      <c r="D184" s="243"/>
      <c r="E184" s="163"/>
      <c r="F184" s="163"/>
      <c r="G184" s="41"/>
    </row>
    <row r="185" spans="1:7" x14ac:dyDescent="0.25">
      <c r="A185" s="161"/>
      <c r="B185" s="162"/>
      <c r="C185" s="243"/>
      <c r="D185" s="243"/>
      <c r="E185" s="163"/>
      <c r="F185" s="163"/>
      <c r="G185" s="41"/>
    </row>
    <row r="186" spans="1:7" x14ac:dyDescent="0.25">
      <c r="A186" s="161"/>
      <c r="B186" s="162"/>
      <c r="C186" s="243"/>
      <c r="D186" s="243"/>
      <c r="E186" s="163"/>
      <c r="F186" s="163"/>
      <c r="G186" s="41"/>
    </row>
    <row r="187" spans="1:7" x14ac:dyDescent="0.25">
      <c r="A187" s="161"/>
      <c r="B187" s="162"/>
      <c r="C187" s="243"/>
      <c r="D187" s="243"/>
      <c r="E187" s="163"/>
      <c r="F187" s="163"/>
      <c r="G187" s="41"/>
    </row>
    <row r="188" spans="1:7" x14ac:dyDescent="0.25">
      <c r="A188" s="161"/>
      <c r="B188" s="162"/>
      <c r="C188" s="243"/>
      <c r="D188" s="243"/>
      <c r="E188" s="163"/>
      <c r="F188" s="163"/>
      <c r="G188" s="41"/>
    </row>
    <row r="189" spans="1:7" x14ac:dyDescent="0.25">
      <c r="A189" s="161"/>
      <c r="B189" s="162"/>
      <c r="C189" s="243"/>
      <c r="D189" s="243"/>
      <c r="E189" s="163"/>
      <c r="F189" s="163"/>
      <c r="G189" s="41"/>
    </row>
    <row r="190" spans="1:7" x14ac:dyDescent="0.25">
      <c r="A190" s="161"/>
      <c r="B190" s="162"/>
      <c r="C190" s="243"/>
      <c r="D190" s="243"/>
      <c r="E190" s="163"/>
      <c r="F190" s="163"/>
      <c r="G190" s="41"/>
    </row>
    <row r="191" spans="1:7" x14ac:dyDescent="0.25">
      <c r="A191" s="161"/>
      <c r="B191" s="162"/>
      <c r="C191" s="243"/>
      <c r="D191" s="243"/>
      <c r="E191" s="163"/>
      <c r="F191" s="163"/>
      <c r="G191" s="41"/>
    </row>
    <row r="192" spans="1:7" x14ac:dyDescent="0.25">
      <c r="A192" s="161"/>
      <c r="B192" s="162"/>
      <c r="C192" s="243"/>
      <c r="D192" s="243"/>
      <c r="E192" s="163"/>
      <c r="F192" s="163"/>
      <c r="G192" s="41"/>
    </row>
    <row r="193" spans="1:7" x14ac:dyDescent="0.25">
      <c r="A193" s="161"/>
      <c r="B193" s="162"/>
      <c r="C193" s="243"/>
      <c r="D193" s="243"/>
      <c r="E193" s="163"/>
      <c r="F193" s="163"/>
      <c r="G193" s="41"/>
    </row>
    <row r="194" spans="1:7" x14ac:dyDescent="0.25">
      <c r="A194" s="161"/>
      <c r="B194" s="162"/>
      <c r="C194" s="243"/>
      <c r="D194" s="243"/>
      <c r="E194" s="163"/>
      <c r="F194" s="163"/>
      <c r="G194" s="41"/>
    </row>
    <row r="195" spans="1:7" x14ac:dyDescent="0.25">
      <c r="A195" s="161"/>
      <c r="B195" s="162"/>
      <c r="C195" s="243"/>
      <c r="D195" s="243"/>
      <c r="E195" s="163"/>
      <c r="F195" s="163"/>
      <c r="G195" s="41"/>
    </row>
    <row r="196" spans="1:7" x14ac:dyDescent="0.25">
      <c r="A196" s="161"/>
      <c r="B196" s="162"/>
      <c r="C196" s="243"/>
      <c r="D196" s="243"/>
      <c r="E196" s="163"/>
      <c r="F196" s="163"/>
      <c r="G196" s="41"/>
    </row>
    <row r="197" spans="1:7" x14ac:dyDescent="0.25">
      <c r="A197" s="161"/>
      <c r="B197" s="162"/>
      <c r="C197" s="243"/>
      <c r="D197" s="243"/>
      <c r="E197" s="163"/>
      <c r="F197" s="163"/>
      <c r="G197" s="41"/>
    </row>
    <row r="198" spans="1:7" x14ac:dyDescent="0.25">
      <c r="A198" s="161"/>
      <c r="B198" s="162"/>
      <c r="C198" s="243"/>
      <c r="D198" s="243"/>
      <c r="E198" s="163"/>
      <c r="F198" s="163"/>
      <c r="G198" s="41"/>
    </row>
    <row r="199" spans="1:7" x14ac:dyDescent="0.25">
      <c r="A199" s="161"/>
      <c r="B199" s="162"/>
      <c r="C199" s="243"/>
      <c r="D199" s="243"/>
      <c r="E199" s="163"/>
      <c r="F199" s="163"/>
      <c r="G199" s="41"/>
    </row>
    <row r="200" spans="1:7" x14ac:dyDescent="0.25">
      <c r="A200" s="161"/>
      <c r="B200" s="162"/>
      <c r="C200" s="243"/>
      <c r="D200" s="243"/>
      <c r="E200" s="163"/>
      <c r="F200" s="163"/>
      <c r="G200" s="41"/>
    </row>
    <row r="201" spans="1:7" x14ac:dyDescent="0.25">
      <c r="A201" s="164"/>
      <c r="B201" s="165"/>
      <c r="C201" s="242"/>
      <c r="D201" s="242"/>
      <c r="E201" s="163"/>
      <c r="F201" s="163"/>
    </row>
    <row r="202" spans="1:7" x14ac:dyDescent="0.25">
      <c r="A202" s="164"/>
      <c r="B202" s="165"/>
      <c r="C202" s="242"/>
      <c r="D202" s="242"/>
      <c r="E202" s="163"/>
      <c r="F202" s="163"/>
    </row>
    <row r="203" spans="1:7" x14ac:dyDescent="0.25">
      <c r="A203" s="164"/>
      <c r="B203" s="165"/>
      <c r="C203" s="242"/>
      <c r="D203" s="242"/>
      <c r="E203" s="163"/>
      <c r="F203" s="163"/>
    </row>
    <row r="204" spans="1:7" x14ac:dyDescent="0.25">
      <c r="A204" s="164"/>
      <c r="B204" s="165"/>
      <c r="C204" s="242"/>
      <c r="D204" s="242"/>
      <c r="E204" s="163"/>
      <c r="F204" s="163"/>
    </row>
    <row r="205" spans="1:7" x14ac:dyDescent="0.25">
      <c r="A205" s="164"/>
      <c r="B205" s="165"/>
      <c r="C205" s="242"/>
      <c r="D205" s="242"/>
      <c r="E205" s="163"/>
      <c r="F205" s="163"/>
    </row>
    <row r="206" spans="1:7" x14ac:dyDescent="0.25">
      <c r="B206" s="59"/>
      <c r="C206" s="241"/>
      <c r="D206" s="241"/>
      <c r="E206" s="67"/>
      <c r="F206" s="67"/>
    </row>
    <row r="207" spans="1:7" x14ac:dyDescent="0.25">
      <c r="B207" s="59"/>
      <c r="C207" s="241"/>
      <c r="D207" s="241"/>
      <c r="E207" s="67"/>
      <c r="F207" s="67"/>
    </row>
    <row r="208" spans="1:7" x14ac:dyDescent="0.25">
      <c r="B208" s="59"/>
      <c r="C208" s="241"/>
      <c r="D208" s="241"/>
      <c r="E208" s="67"/>
      <c r="F208" s="67"/>
    </row>
    <row r="209" spans="2:6" x14ac:dyDescent="0.25">
      <c r="B209" s="59"/>
      <c r="C209" s="241"/>
      <c r="D209" s="241"/>
      <c r="E209" s="67"/>
      <c r="F209" s="67"/>
    </row>
    <row r="210" spans="2:6" x14ac:dyDescent="0.25">
      <c r="B210" s="59"/>
      <c r="C210" s="241"/>
      <c r="D210" s="241"/>
      <c r="E210" s="67"/>
      <c r="F210" s="67"/>
    </row>
    <row r="211" spans="2:6" x14ac:dyDescent="0.25">
      <c r="B211" s="59"/>
      <c r="C211" s="241"/>
      <c r="D211" s="241"/>
      <c r="E211" s="67"/>
      <c r="F211" s="67"/>
    </row>
    <row r="212" spans="2:6" x14ac:dyDescent="0.25">
      <c r="B212" s="59"/>
      <c r="C212" s="241"/>
      <c r="D212" s="241"/>
      <c r="E212" s="67"/>
      <c r="F212" s="67"/>
    </row>
    <row r="213" spans="2:6" x14ac:dyDescent="0.25">
      <c r="B213" s="59"/>
      <c r="C213" s="241"/>
      <c r="D213" s="241"/>
      <c r="E213" s="67"/>
      <c r="F213" s="67"/>
    </row>
    <row r="214" spans="2:6" x14ac:dyDescent="0.25">
      <c r="B214" s="59"/>
      <c r="C214" s="241"/>
      <c r="D214" s="241"/>
      <c r="E214" s="67"/>
      <c r="F214" s="67"/>
    </row>
    <row r="215" spans="2:6" x14ac:dyDescent="0.25">
      <c r="B215" s="59"/>
      <c r="C215" s="241"/>
      <c r="D215" s="241"/>
      <c r="E215" s="67"/>
      <c r="F215" s="67"/>
    </row>
    <row r="216" spans="2:6" x14ac:dyDescent="0.25">
      <c r="B216" s="59"/>
      <c r="C216" s="241"/>
      <c r="D216" s="241"/>
      <c r="E216" s="67"/>
      <c r="F216" s="67"/>
    </row>
    <row r="217" spans="2:6" x14ac:dyDescent="0.25">
      <c r="B217" s="59"/>
      <c r="C217" s="241"/>
      <c r="D217" s="241"/>
      <c r="E217" s="67"/>
      <c r="F217" s="67"/>
    </row>
    <row r="218" spans="2:6" x14ac:dyDescent="0.25">
      <c r="B218" s="59"/>
      <c r="C218" s="241"/>
      <c r="D218" s="241"/>
      <c r="E218" s="67"/>
      <c r="F218" s="67"/>
    </row>
    <row r="219" spans="2:6" x14ac:dyDescent="0.25">
      <c r="B219" s="59"/>
      <c r="C219" s="241"/>
      <c r="D219" s="241"/>
      <c r="E219" s="67"/>
      <c r="F219" s="67"/>
    </row>
    <row r="220" spans="2:6" x14ac:dyDescent="0.25">
      <c r="B220" s="59"/>
      <c r="C220" s="241"/>
      <c r="D220" s="241"/>
      <c r="E220" s="67"/>
      <c r="F220" s="67"/>
    </row>
    <row r="221" spans="2:6" x14ac:dyDescent="0.25">
      <c r="B221" s="59"/>
      <c r="C221" s="241"/>
      <c r="D221" s="241"/>
      <c r="E221" s="67"/>
      <c r="F221" s="67"/>
    </row>
    <row r="222" spans="2:6" x14ac:dyDescent="0.25">
      <c r="B222" s="59"/>
      <c r="C222" s="241"/>
      <c r="D222" s="241"/>
      <c r="E222" s="67"/>
      <c r="F222" s="67"/>
    </row>
    <row r="223" spans="2:6" x14ac:dyDescent="0.25">
      <c r="B223" s="59"/>
      <c r="C223" s="241"/>
      <c r="D223" s="241"/>
      <c r="E223" s="67"/>
      <c r="F223" s="67"/>
    </row>
    <row r="224" spans="2:6" x14ac:dyDescent="0.25">
      <c r="B224" s="59"/>
      <c r="C224" s="241"/>
      <c r="D224" s="241"/>
      <c r="E224" s="67"/>
      <c r="F224" s="67"/>
    </row>
    <row r="225" spans="2:6" x14ac:dyDescent="0.25">
      <c r="B225" s="59"/>
      <c r="C225" s="241"/>
      <c r="D225" s="241"/>
      <c r="E225" s="67"/>
      <c r="F225" s="67"/>
    </row>
    <row r="226" spans="2:6" x14ac:dyDescent="0.25">
      <c r="B226" s="59"/>
      <c r="C226" s="241"/>
      <c r="D226" s="241"/>
      <c r="E226" s="67"/>
      <c r="F226" s="67"/>
    </row>
    <row r="227" spans="2:6" x14ac:dyDescent="0.25">
      <c r="B227" s="59"/>
      <c r="C227" s="241"/>
      <c r="D227" s="241"/>
      <c r="E227" s="67"/>
      <c r="F227" s="67"/>
    </row>
    <row r="228" spans="2:6" x14ac:dyDescent="0.25">
      <c r="B228" s="59"/>
      <c r="C228" s="241"/>
      <c r="D228" s="241"/>
      <c r="E228" s="67"/>
      <c r="F228" s="67"/>
    </row>
    <row r="229" spans="2:6" x14ac:dyDescent="0.25">
      <c r="B229" s="59"/>
      <c r="C229" s="241"/>
      <c r="D229" s="241"/>
      <c r="E229" s="67"/>
      <c r="F229" s="67"/>
    </row>
    <row r="230" spans="2:6" x14ac:dyDescent="0.25">
      <c r="B230" s="59"/>
      <c r="C230" s="241"/>
      <c r="D230" s="241"/>
      <c r="E230" s="67"/>
      <c r="F230" s="67"/>
    </row>
    <row r="231" spans="2:6" x14ac:dyDescent="0.25">
      <c r="B231" s="59"/>
      <c r="C231" s="241"/>
      <c r="D231" s="241"/>
      <c r="E231" s="67"/>
      <c r="F231" s="67"/>
    </row>
    <row r="232" spans="2:6" x14ac:dyDescent="0.25">
      <c r="B232" s="59"/>
      <c r="C232" s="241"/>
      <c r="D232" s="241"/>
      <c r="E232" s="67"/>
      <c r="F232" s="67"/>
    </row>
    <row r="233" spans="2:6" x14ac:dyDescent="0.25">
      <c r="B233" s="59"/>
      <c r="C233" s="241"/>
      <c r="D233" s="241"/>
      <c r="E233" s="67"/>
      <c r="F233" s="67"/>
    </row>
    <row r="234" spans="2:6" x14ac:dyDescent="0.25">
      <c r="B234" s="59"/>
      <c r="C234" s="241"/>
      <c r="D234" s="241"/>
      <c r="E234" s="67"/>
      <c r="F234" s="67"/>
    </row>
    <row r="235" spans="2:6" x14ac:dyDescent="0.25">
      <c r="B235" s="59"/>
      <c r="C235" s="241"/>
      <c r="D235" s="241"/>
      <c r="E235" s="67"/>
      <c r="F235" s="67"/>
    </row>
    <row r="236" spans="2:6" x14ac:dyDescent="0.25">
      <c r="B236" s="59"/>
      <c r="C236" s="241"/>
      <c r="D236" s="241"/>
      <c r="E236" s="67"/>
      <c r="F236" s="67"/>
    </row>
    <row r="237" spans="2:6" x14ac:dyDescent="0.25">
      <c r="B237" s="59"/>
      <c r="C237" s="241"/>
      <c r="D237" s="241"/>
      <c r="E237" s="67"/>
      <c r="F237" s="67"/>
    </row>
    <row r="238" spans="2:6" x14ac:dyDescent="0.25">
      <c r="B238" s="59"/>
      <c r="C238" s="241"/>
      <c r="D238" s="241"/>
      <c r="E238" s="67"/>
      <c r="F238" s="67"/>
    </row>
    <row r="239" spans="2:6" x14ac:dyDescent="0.25">
      <c r="B239" s="59"/>
      <c r="C239" s="241"/>
      <c r="D239" s="241"/>
      <c r="E239" s="67"/>
      <c r="F239" s="67"/>
    </row>
    <row r="240" spans="2:6" x14ac:dyDescent="0.25">
      <c r="B240" s="59"/>
      <c r="C240" s="241"/>
      <c r="D240" s="241"/>
      <c r="E240" s="67"/>
      <c r="F240" s="67"/>
    </row>
    <row r="241" spans="2:6" x14ac:dyDescent="0.25">
      <c r="B241" s="59"/>
      <c r="C241" s="241"/>
      <c r="D241" s="241"/>
      <c r="E241" s="67"/>
      <c r="F241" s="67"/>
    </row>
    <row r="242" spans="2:6" x14ac:dyDescent="0.25">
      <c r="B242" s="59"/>
      <c r="C242" s="241"/>
      <c r="D242" s="241"/>
      <c r="E242" s="67"/>
      <c r="F242" s="67"/>
    </row>
    <row r="243" spans="2:6" x14ac:dyDescent="0.25">
      <c r="B243" s="59"/>
      <c r="C243" s="241"/>
      <c r="D243" s="241"/>
      <c r="E243" s="67"/>
      <c r="F243" s="67"/>
    </row>
    <row r="244" spans="2:6" x14ac:dyDescent="0.25">
      <c r="B244" s="59"/>
      <c r="C244" s="241"/>
      <c r="D244" s="241"/>
      <c r="E244" s="67"/>
      <c r="F244" s="67"/>
    </row>
    <row r="245" spans="2:6" x14ac:dyDescent="0.25">
      <c r="B245" s="59"/>
      <c r="C245" s="241"/>
      <c r="D245" s="241"/>
      <c r="E245" s="67"/>
      <c r="F245" s="67"/>
    </row>
    <row r="246" spans="2:6" x14ac:dyDescent="0.25">
      <c r="B246" s="59"/>
      <c r="C246" s="241"/>
      <c r="D246" s="241"/>
      <c r="E246" s="67"/>
      <c r="F246" s="67"/>
    </row>
    <row r="247" spans="2:6" x14ac:dyDescent="0.25">
      <c r="B247" s="59"/>
      <c r="C247" s="241"/>
      <c r="D247" s="241"/>
      <c r="E247" s="67"/>
      <c r="F247" s="67"/>
    </row>
    <row r="248" spans="2:6" x14ac:dyDescent="0.25">
      <c r="B248" s="59"/>
      <c r="C248" s="241"/>
      <c r="D248" s="241"/>
      <c r="E248" s="67"/>
      <c r="F248" s="67"/>
    </row>
    <row r="249" spans="2:6" x14ac:dyDescent="0.25">
      <c r="B249" s="59"/>
      <c r="C249" s="241"/>
      <c r="D249" s="241"/>
      <c r="E249" s="67"/>
      <c r="F249" s="67"/>
    </row>
    <row r="250" spans="2:6" x14ac:dyDescent="0.25">
      <c r="B250" s="59"/>
      <c r="C250" s="241"/>
      <c r="D250" s="241"/>
      <c r="E250" s="67"/>
      <c r="F250" s="67"/>
    </row>
    <row r="251" spans="2:6" x14ac:dyDescent="0.25">
      <c r="B251" s="59"/>
      <c r="C251" s="241"/>
      <c r="D251" s="241"/>
      <c r="E251" s="67"/>
      <c r="F251" s="67"/>
    </row>
    <row r="252" spans="2:6" x14ac:dyDescent="0.25">
      <c r="B252" s="59"/>
      <c r="C252" s="241"/>
      <c r="D252" s="241"/>
      <c r="E252" s="67"/>
      <c r="F252" s="67"/>
    </row>
    <row r="253" spans="2:6" x14ac:dyDescent="0.25">
      <c r="B253" s="59"/>
      <c r="C253" s="241"/>
      <c r="D253" s="241"/>
      <c r="E253" s="67"/>
      <c r="F253" s="67"/>
    </row>
    <row r="254" spans="2:6" x14ac:dyDescent="0.25">
      <c r="B254" s="59"/>
      <c r="C254" s="241"/>
      <c r="D254" s="241"/>
      <c r="E254" s="67"/>
      <c r="F254" s="67"/>
    </row>
    <row r="255" spans="2:6" x14ac:dyDescent="0.25">
      <c r="B255" s="59"/>
      <c r="C255" s="241"/>
      <c r="D255" s="241"/>
      <c r="E255" s="67"/>
      <c r="F255" s="67"/>
    </row>
    <row r="256" spans="2:6" x14ac:dyDescent="0.25">
      <c r="B256" s="59"/>
      <c r="C256" s="241"/>
      <c r="D256" s="241"/>
      <c r="E256" s="67"/>
      <c r="F256" s="67"/>
    </row>
    <row r="257" spans="2:6" x14ac:dyDescent="0.25">
      <c r="B257" s="59"/>
      <c r="C257" s="241"/>
      <c r="D257" s="241"/>
      <c r="E257" s="67"/>
      <c r="F257" s="67"/>
    </row>
    <row r="258" spans="2:6" x14ac:dyDescent="0.25">
      <c r="B258" s="59"/>
      <c r="C258" s="241"/>
      <c r="D258" s="241"/>
      <c r="E258" s="67"/>
      <c r="F258" s="67"/>
    </row>
    <row r="259" spans="2:6" x14ac:dyDescent="0.25">
      <c r="B259" s="59"/>
      <c r="C259" s="241"/>
      <c r="D259" s="241"/>
      <c r="E259" s="67"/>
      <c r="F259" s="67"/>
    </row>
    <row r="260" spans="2:6" x14ac:dyDescent="0.25">
      <c r="B260" s="59"/>
      <c r="C260" s="241"/>
      <c r="D260" s="241"/>
      <c r="E260" s="67"/>
      <c r="F260" s="67"/>
    </row>
    <row r="261" spans="2:6" x14ac:dyDescent="0.25">
      <c r="B261" s="59"/>
      <c r="C261" s="241"/>
      <c r="D261" s="241"/>
      <c r="E261" s="67"/>
      <c r="F261" s="67"/>
    </row>
    <row r="262" spans="2:6" x14ac:dyDescent="0.25">
      <c r="B262" s="59"/>
      <c r="C262" s="241"/>
      <c r="D262" s="241"/>
      <c r="E262" s="67"/>
      <c r="F262" s="67"/>
    </row>
    <row r="263" spans="2:6" x14ac:dyDescent="0.25">
      <c r="B263" s="59"/>
      <c r="C263" s="241"/>
      <c r="D263" s="241"/>
      <c r="E263" s="67"/>
      <c r="F263" s="67"/>
    </row>
    <row r="264" spans="2:6" x14ac:dyDescent="0.25">
      <c r="B264" s="59"/>
      <c r="C264" s="241"/>
      <c r="D264" s="241"/>
      <c r="E264" s="67"/>
      <c r="F264" s="67"/>
    </row>
    <row r="265" spans="2:6" x14ac:dyDescent="0.25">
      <c r="B265" s="59"/>
      <c r="C265" s="241"/>
      <c r="D265" s="241"/>
      <c r="E265" s="67"/>
      <c r="F265" s="67"/>
    </row>
    <row r="266" spans="2:6" x14ac:dyDescent="0.25">
      <c r="B266" s="59"/>
      <c r="C266" s="241"/>
      <c r="D266" s="241"/>
      <c r="E266" s="67"/>
      <c r="F266" s="67"/>
    </row>
    <row r="267" spans="2:6" x14ac:dyDescent="0.25">
      <c r="B267" s="59"/>
      <c r="C267" s="241"/>
      <c r="D267" s="241"/>
      <c r="E267" s="67"/>
      <c r="F267" s="67"/>
    </row>
    <row r="268" spans="2:6" x14ac:dyDescent="0.25">
      <c r="B268" s="59"/>
      <c r="C268" s="241"/>
      <c r="D268" s="241"/>
      <c r="E268" s="67"/>
      <c r="F268" s="67"/>
    </row>
    <row r="269" spans="2:6" x14ac:dyDescent="0.25">
      <c r="B269" s="59"/>
      <c r="C269" s="241"/>
      <c r="D269" s="241"/>
      <c r="E269" s="67"/>
      <c r="F269" s="67"/>
    </row>
    <row r="270" spans="2:6" x14ac:dyDescent="0.25">
      <c r="B270" s="59"/>
      <c r="C270" s="241"/>
      <c r="D270" s="241"/>
      <c r="E270" s="67"/>
      <c r="F270" s="67"/>
    </row>
    <row r="271" spans="2:6" x14ac:dyDescent="0.25">
      <c r="B271" s="59"/>
      <c r="C271" s="241"/>
      <c r="D271" s="241"/>
      <c r="E271" s="67"/>
      <c r="F271" s="67"/>
    </row>
    <row r="272" spans="2:6" x14ac:dyDescent="0.25">
      <c r="B272" s="59"/>
      <c r="C272" s="241"/>
      <c r="D272" s="241"/>
      <c r="E272" s="67"/>
      <c r="F272" s="67"/>
    </row>
    <row r="273" spans="2:6" x14ac:dyDescent="0.25">
      <c r="B273" s="59"/>
      <c r="C273" s="241"/>
      <c r="D273" s="241"/>
      <c r="E273" s="67"/>
      <c r="F273" s="67"/>
    </row>
    <row r="274" spans="2:6" x14ac:dyDescent="0.25">
      <c r="B274" s="59"/>
      <c r="C274" s="241"/>
      <c r="D274" s="241"/>
      <c r="E274" s="67"/>
      <c r="F274" s="67"/>
    </row>
    <row r="275" spans="2:6" x14ac:dyDescent="0.25">
      <c r="B275" s="59"/>
      <c r="C275" s="241"/>
      <c r="D275" s="241"/>
      <c r="E275" s="67"/>
      <c r="F275" s="67"/>
    </row>
    <row r="276" spans="2:6" x14ac:dyDescent="0.25">
      <c r="B276" s="59"/>
      <c r="C276" s="241"/>
      <c r="D276" s="241"/>
      <c r="E276" s="67"/>
      <c r="F276" s="67"/>
    </row>
    <row r="277" spans="2:6" x14ac:dyDescent="0.25">
      <c r="B277" s="59"/>
      <c r="C277" s="241"/>
      <c r="D277" s="241"/>
      <c r="E277" s="67"/>
      <c r="F277" s="67"/>
    </row>
    <row r="278" spans="2:6" x14ac:dyDescent="0.25">
      <c r="B278" s="59"/>
      <c r="C278" s="241"/>
      <c r="D278" s="241"/>
      <c r="E278" s="67"/>
      <c r="F278" s="67"/>
    </row>
    <row r="279" spans="2:6" x14ac:dyDescent="0.25">
      <c r="B279" s="59"/>
      <c r="C279" s="241"/>
      <c r="D279" s="241"/>
      <c r="E279" s="67"/>
      <c r="F279" s="67"/>
    </row>
    <row r="280" spans="2:6" x14ac:dyDescent="0.25">
      <c r="B280" s="59"/>
      <c r="C280" s="241"/>
      <c r="D280" s="241"/>
      <c r="E280" s="67"/>
      <c r="F280" s="67"/>
    </row>
    <row r="281" spans="2:6" x14ac:dyDescent="0.25">
      <c r="B281" s="59"/>
      <c r="C281" s="241"/>
      <c r="D281" s="241"/>
      <c r="E281" s="67"/>
      <c r="F281" s="67"/>
    </row>
    <row r="282" spans="2:6" x14ac:dyDescent="0.25">
      <c r="B282" s="59"/>
      <c r="C282" s="241"/>
      <c r="D282" s="241"/>
      <c r="E282" s="67"/>
      <c r="F282" s="67"/>
    </row>
    <row r="283" spans="2:6" x14ac:dyDescent="0.25">
      <c r="B283" s="59"/>
      <c r="C283" s="241"/>
      <c r="D283" s="241"/>
      <c r="E283" s="67"/>
      <c r="F283" s="67"/>
    </row>
    <row r="284" spans="2:6" x14ac:dyDescent="0.25">
      <c r="B284" s="59"/>
      <c r="C284" s="241"/>
      <c r="D284" s="241"/>
      <c r="E284" s="67"/>
      <c r="F284" s="67"/>
    </row>
    <row r="285" spans="2:6" x14ac:dyDescent="0.25">
      <c r="B285" s="59"/>
      <c r="C285" s="241"/>
      <c r="D285" s="241"/>
      <c r="E285" s="67"/>
      <c r="F285" s="67"/>
    </row>
    <row r="286" spans="2:6" x14ac:dyDescent="0.25">
      <c r="B286" s="59"/>
      <c r="C286" s="241"/>
      <c r="D286" s="241"/>
      <c r="E286" s="67"/>
      <c r="F286" s="67"/>
    </row>
    <row r="287" spans="2:6" x14ac:dyDescent="0.25">
      <c r="B287" s="59"/>
      <c r="C287" s="241"/>
      <c r="D287" s="241"/>
      <c r="E287" s="67"/>
      <c r="F287" s="67"/>
    </row>
    <row r="288" spans="2:6" x14ac:dyDescent="0.25">
      <c r="B288" s="59"/>
      <c r="C288" s="241"/>
      <c r="D288" s="241"/>
      <c r="E288" s="67"/>
      <c r="F288" s="67"/>
    </row>
    <row r="289" spans="2:6" x14ac:dyDescent="0.25">
      <c r="B289" s="59"/>
      <c r="C289" s="241"/>
      <c r="D289" s="241"/>
      <c r="E289" s="67"/>
      <c r="F289" s="67"/>
    </row>
    <row r="290" spans="2:6" x14ac:dyDescent="0.25">
      <c r="B290" s="59"/>
      <c r="C290" s="241"/>
      <c r="D290" s="241"/>
      <c r="E290" s="67"/>
      <c r="F290" s="67"/>
    </row>
    <row r="291" spans="2:6" x14ac:dyDescent="0.25">
      <c r="B291" s="59"/>
      <c r="C291" s="241"/>
      <c r="D291" s="241"/>
      <c r="E291" s="67"/>
      <c r="F291" s="67"/>
    </row>
    <row r="292" spans="2:6" x14ac:dyDescent="0.25">
      <c r="B292" s="59"/>
      <c r="C292" s="241"/>
      <c r="D292" s="241"/>
      <c r="E292" s="67"/>
      <c r="F292" s="67"/>
    </row>
    <row r="293" spans="2:6" x14ac:dyDescent="0.25">
      <c r="B293" s="59"/>
      <c r="C293" s="241"/>
      <c r="D293" s="241"/>
      <c r="E293" s="67"/>
      <c r="F293" s="67"/>
    </row>
    <row r="294" spans="2:6" x14ac:dyDescent="0.25">
      <c r="B294" s="59"/>
      <c r="C294" s="241"/>
      <c r="D294" s="241"/>
      <c r="E294" s="67"/>
      <c r="F294" s="67"/>
    </row>
    <row r="295" spans="2:6" x14ac:dyDescent="0.25">
      <c r="B295" s="59"/>
      <c r="C295" s="241"/>
      <c r="D295" s="241"/>
      <c r="E295" s="67"/>
      <c r="F295" s="67"/>
    </row>
    <row r="296" spans="2:6" x14ac:dyDescent="0.25">
      <c r="B296" s="59"/>
      <c r="C296" s="241"/>
      <c r="D296" s="241"/>
      <c r="E296" s="67"/>
      <c r="F296" s="67"/>
    </row>
    <row r="297" spans="2:6" x14ac:dyDescent="0.25">
      <c r="B297" s="59"/>
      <c r="C297" s="241"/>
      <c r="D297" s="241"/>
      <c r="E297" s="67"/>
      <c r="F297" s="67"/>
    </row>
    <row r="298" spans="2:6" x14ac:dyDescent="0.25">
      <c r="B298" s="59"/>
      <c r="C298" s="241"/>
      <c r="D298" s="241"/>
      <c r="E298" s="67"/>
      <c r="F298" s="67"/>
    </row>
    <row r="299" spans="2:6" x14ac:dyDescent="0.25">
      <c r="B299" s="59"/>
      <c r="C299" s="241"/>
      <c r="D299" s="241"/>
      <c r="E299" s="67"/>
      <c r="F299" s="67"/>
    </row>
    <row r="300" spans="2:6" x14ac:dyDescent="0.25">
      <c r="B300" s="59"/>
      <c r="C300" s="241"/>
      <c r="D300" s="241"/>
      <c r="E300" s="67"/>
      <c r="F300" s="67"/>
    </row>
    <row r="301" spans="2:6" x14ac:dyDescent="0.25">
      <c r="B301" s="59"/>
      <c r="C301" s="241"/>
      <c r="D301" s="241"/>
      <c r="E301" s="67"/>
      <c r="F301" s="67"/>
    </row>
    <row r="302" spans="2:6" x14ac:dyDescent="0.25">
      <c r="B302" s="59"/>
      <c r="C302" s="241"/>
      <c r="D302" s="241"/>
      <c r="E302" s="67"/>
      <c r="F302" s="67"/>
    </row>
    <row r="303" spans="2:6" x14ac:dyDescent="0.25">
      <c r="B303" s="59"/>
      <c r="C303" s="241"/>
      <c r="D303" s="241"/>
      <c r="E303" s="67"/>
      <c r="F303" s="67"/>
    </row>
    <row r="304" spans="2:6" x14ac:dyDescent="0.25">
      <c r="B304" s="59"/>
      <c r="C304" s="241"/>
      <c r="D304" s="241"/>
      <c r="E304" s="67"/>
      <c r="F304" s="67"/>
    </row>
    <row r="305" spans="2:6" x14ac:dyDescent="0.25">
      <c r="B305" s="59"/>
      <c r="C305" s="241"/>
      <c r="D305" s="241"/>
      <c r="E305" s="67"/>
      <c r="F305" s="67"/>
    </row>
    <row r="306" spans="2:6" x14ac:dyDescent="0.25">
      <c r="B306" s="59"/>
      <c r="C306" s="241"/>
      <c r="D306" s="241"/>
      <c r="E306" s="67"/>
      <c r="F306" s="67"/>
    </row>
    <row r="307" spans="2:6" x14ac:dyDescent="0.25">
      <c r="B307" s="59"/>
      <c r="C307" s="241"/>
      <c r="D307" s="241"/>
      <c r="E307" s="67"/>
      <c r="F307" s="67"/>
    </row>
    <row r="308" spans="2:6" x14ac:dyDescent="0.25">
      <c r="B308" s="59"/>
      <c r="C308" s="241"/>
      <c r="D308" s="241"/>
      <c r="E308" s="67"/>
      <c r="F308" s="67"/>
    </row>
    <row r="309" spans="2:6" x14ac:dyDescent="0.25">
      <c r="B309" s="59"/>
      <c r="C309" s="241"/>
      <c r="D309" s="241"/>
      <c r="E309" s="67"/>
      <c r="F309" s="67"/>
    </row>
    <row r="310" spans="2:6" x14ac:dyDescent="0.25">
      <c r="B310" s="59"/>
      <c r="C310" s="241"/>
      <c r="D310" s="241"/>
      <c r="E310" s="67"/>
      <c r="F310" s="67"/>
    </row>
    <row r="311" spans="2:6" x14ac:dyDescent="0.25">
      <c r="B311" s="59"/>
      <c r="C311" s="241"/>
      <c r="D311" s="241"/>
      <c r="E311" s="67"/>
      <c r="F311" s="67"/>
    </row>
    <row r="312" spans="2:6" x14ac:dyDescent="0.25">
      <c r="B312" s="59"/>
      <c r="C312" s="241"/>
      <c r="D312" s="241"/>
      <c r="E312" s="67"/>
      <c r="F312" s="67"/>
    </row>
    <row r="313" spans="2:6" x14ac:dyDescent="0.25">
      <c r="B313" s="59"/>
      <c r="C313" s="241"/>
      <c r="D313" s="241"/>
      <c r="E313" s="67"/>
      <c r="F313" s="67"/>
    </row>
    <row r="314" spans="2:6" x14ac:dyDescent="0.25">
      <c r="B314" s="59"/>
      <c r="C314" s="241"/>
      <c r="D314" s="241"/>
      <c r="E314" s="67"/>
      <c r="F314" s="67"/>
    </row>
    <row r="315" spans="2:6" x14ac:dyDescent="0.25">
      <c r="B315" s="59"/>
      <c r="C315" s="241"/>
      <c r="D315" s="241"/>
      <c r="E315" s="67"/>
      <c r="F315" s="67"/>
    </row>
    <row r="316" spans="2:6" x14ac:dyDescent="0.25">
      <c r="B316" s="59"/>
      <c r="C316" s="241"/>
      <c r="D316" s="241"/>
      <c r="E316" s="67"/>
      <c r="F316" s="67"/>
    </row>
    <row r="317" spans="2:6" x14ac:dyDescent="0.25">
      <c r="B317" s="59"/>
      <c r="C317" s="241"/>
      <c r="D317" s="241"/>
      <c r="E317" s="67"/>
      <c r="F317" s="67"/>
    </row>
    <row r="318" spans="2:6" x14ac:dyDescent="0.25">
      <c r="B318" s="59"/>
      <c r="C318" s="241"/>
      <c r="D318" s="241"/>
      <c r="E318" s="67"/>
      <c r="F318" s="67"/>
    </row>
    <row r="319" spans="2:6" x14ac:dyDescent="0.25">
      <c r="B319" s="59"/>
      <c r="C319" s="241"/>
      <c r="D319" s="241"/>
      <c r="E319" s="67"/>
      <c r="F319" s="67"/>
    </row>
    <row r="320" spans="2:6" x14ac:dyDescent="0.25">
      <c r="B320" s="59"/>
      <c r="C320" s="241"/>
      <c r="D320" s="241"/>
      <c r="E320" s="67"/>
      <c r="F320" s="67"/>
    </row>
    <row r="321" spans="2:6" x14ac:dyDescent="0.25">
      <c r="B321" s="59"/>
      <c r="C321" s="241"/>
      <c r="D321" s="241"/>
      <c r="E321" s="67"/>
      <c r="F321" s="67"/>
    </row>
    <row r="322" spans="2:6" x14ac:dyDescent="0.25">
      <c r="B322" s="59"/>
      <c r="C322" s="241"/>
      <c r="D322" s="241"/>
      <c r="E322" s="67"/>
      <c r="F322" s="67"/>
    </row>
    <row r="323" spans="2:6" x14ac:dyDescent="0.25">
      <c r="B323" s="59"/>
      <c r="C323" s="241"/>
      <c r="D323" s="241"/>
      <c r="E323" s="67"/>
      <c r="F323" s="67"/>
    </row>
    <row r="324" spans="2:6" x14ac:dyDescent="0.25">
      <c r="B324" s="59"/>
      <c r="C324" s="241"/>
      <c r="D324" s="241"/>
      <c r="E324" s="67"/>
      <c r="F324" s="67"/>
    </row>
    <row r="325" spans="2:6" x14ac:dyDescent="0.25">
      <c r="B325" s="59"/>
      <c r="C325" s="241"/>
      <c r="D325" s="241"/>
      <c r="E325" s="67"/>
      <c r="F325" s="67"/>
    </row>
    <row r="326" spans="2:6" x14ac:dyDescent="0.25">
      <c r="B326" s="59"/>
      <c r="C326" s="241"/>
      <c r="D326" s="241"/>
      <c r="E326" s="67"/>
      <c r="F326" s="67"/>
    </row>
    <row r="327" spans="2:6" x14ac:dyDescent="0.25">
      <c r="B327" s="59"/>
      <c r="C327" s="241"/>
      <c r="D327" s="241"/>
      <c r="E327" s="67"/>
      <c r="F327" s="67"/>
    </row>
    <row r="328" spans="2:6" x14ac:dyDescent="0.25">
      <c r="B328" s="59"/>
      <c r="C328" s="241"/>
      <c r="D328" s="241"/>
      <c r="E328" s="67"/>
      <c r="F328" s="67"/>
    </row>
    <row r="329" spans="2:6" x14ac:dyDescent="0.25">
      <c r="B329" s="59"/>
      <c r="C329" s="241"/>
      <c r="D329" s="241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P13" sqref="P13"/>
    </sheetView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51"/>
      <c r="E2" s="249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0</v>
      </c>
      <c r="B4" s="252" t="s">
        <v>143</v>
      </c>
      <c r="C4" s="252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4" workbookViewId="0">
      <selection activeCell="C6" activeCellId="1" sqref="A6:A11 C6:C11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53" t="s">
        <v>133</v>
      </c>
      <c r="B1" s="253"/>
      <c r="C1" s="253"/>
    </row>
    <row r="2" spans="1:3" ht="36" customHeight="1" x14ac:dyDescent="0.9">
      <c r="A2" s="91"/>
      <c r="B2" s="91"/>
      <c r="C2" s="92"/>
    </row>
    <row r="3" spans="1:3" ht="61.5" x14ac:dyDescent="0.9">
      <c r="A3" s="253"/>
      <c r="B3" s="253"/>
      <c r="C3" s="253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4"/>
      <c r="B6" s="96" t="s">
        <v>117</v>
      </c>
      <c r="C6" s="93"/>
    </row>
    <row r="7" spans="1:3" ht="61.5" x14ac:dyDescent="0.9">
      <c r="A7" s="94"/>
      <c r="B7" s="96" t="s">
        <v>117</v>
      </c>
      <c r="C7" s="93"/>
    </row>
    <row r="8" spans="1:3" ht="61.5" x14ac:dyDescent="0.9">
      <c r="A8" s="94"/>
      <c r="B8" s="96" t="s">
        <v>117</v>
      </c>
      <c r="C8" s="93"/>
    </row>
    <row r="9" spans="1:3" ht="61.5" x14ac:dyDescent="0.9">
      <c r="A9" s="94"/>
      <c r="B9" s="96" t="s">
        <v>117</v>
      </c>
      <c r="C9" s="93"/>
    </row>
    <row r="10" spans="1:3" ht="61.5" x14ac:dyDescent="0.9">
      <c r="A10" s="94"/>
      <c r="B10" s="96" t="s">
        <v>117</v>
      </c>
      <c r="C10" s="93"/>
    </row>
    <row r="11" spans="1:3" ht="61.5" x14ac:dyDescent="0.9">
      <c r="A11" s="94"/>
      <c r="B11" s="96" t="s">
        <v>117</v>
      </c>
      <c r="C11" s="93"/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2" x14ac:dyDescent="0.5">
      <c r="A17" s="90"/>
      <c r="B17" s="90"/>
    </row>
    <row r="18" spans="1:2" x14ac:dyDescent="0.5">
      <c r="A18" s="90"/>
      <c r="B18" s="90"/>
    </row>
    <row r="19" spans="1:2" x14ac:dyDescent="0.5">
      <c r="A19" s="90"/>
      <c r="B19" s="90"/>
    </row>
    <row r="20" spans="1:2" x14ac:dyDescent="0.5">
      <c r="A20" s="90"/>
      <c r="B20" s="90"/>
    </row>
    <row r="21" spans="1:2" x14ac:dyDescent="0.5">
      <c r="A21" s="90"/>
      <c r="B21" s="90"/>
    </row>
    <row r="22" spans="1:2" x14ac:dyDescent="0.5">
      <c r="A22" s="90"/>
      <c r="B22" s="90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54" t="s">
        <v>128</v>
      </c>
      <c r="B1" s="254"/>
      <c r="C1" s="254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91" t="str">
        <f>IF(C4&lt;&gt;"","1","")</f>
        <v>1</v>
      </c>
      <c r="B4" s="141" t="str">
        <f>IF(C4&lt;&gt;"","-","")</f>
        <v>-</v>
      </c>
      <c r="C4" s="145">
        <f>IF(ConsySummary!F31&gt;0,ConsySummary!F31,"")</f>
        <v>255</v>
      </c>
      <c r="E4" s="144"/>
    </row>
    <row r="5" spans="1:5" x14ac:dyDescent="0.45">
      <c r="A5" s="191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170</v>
      </c>
      <c r="E5" s="144"/>
    </row>
    <row r="6" spans="1:5" x14ac:dyDescent="0.45">
      <c r="A6" s="191" t="str">
        <f>IF(C6&lt;&gt;"","3-4","")</f>
        <v>3-4</v>
      </c>
      <c r="B6" s="141" t="str">
        <f t="shared" si="0"/>
        <v>-</v>
      </c>
      <c r="C6" s="145">
        <f>IF(ConsySummary!F33&gt;0,ConsySummary!F33,"")</f>
        <v>85</v>
      </c>
      <c r="E6" s="144"/>
    </row>
    <row r="7" spans="1:5" x14ac:dyDescent="0.45">
      <c r="A7" s="191" t="str">
        <f>IF(C7&lt;&gt;"","3-4","")</f>
        <v>3-4</v>
      </c>
      <c r="B7" s="141" t="str">
        <f t="shared" si="0"/>
        <v>-</v>
      </c>
      <c r="C7" s="145">
        <f>IF(ConsySummary!F34&gt;0,ConsySummary!F34,"")</f>
        <v>85</v>
      </c>
      <c r="E7" s="144"/>
    </row>
    <row r="8" spans="1:5" x14ac:dyDescent="0.45">
      <c r="A8" s="191" t="str">
        <f>IF(C8&lt;&gt;"","5-8","")</f>
        <v>5-8</v>
      </c>
      <c r="B8" s="141" t="str">
        <f t="shared" si="0"/>
        <v>-</v>
      </c>
      <c r="C8" s="145">
        <f>IF(ConsySummary!F35&gt;0,ConsySummary!F35,"")</f>
        <v>45</v>
      </c>
      <c r="E8" s="144"/>
    </row>
    <row r="9" spans="1:5" x14ac:dyDescent="0.45">
      <c r="A9" s="191" t="str">
        <f t="shared" ref="A9:A11" si="1">IF(C9&lt;&gt;"","5-8","")</f>
        <v>5-8</v>
      </c>
      <c r="B9" s="141" t="str">
        <f t="shared" si="0"/>
        <v>-</v>
      </c>
      <c r="C9" s="145">
        <f>IF(ConsySummary!F36&gt;0,ConsySummary!F36,"")</f>
        <v>45</v>
      </c>
      <c r="E9" s="144"/>
    </row>
    <row r="10" spans="1:5" x14ac:dyDescent="0.45">
      <c r="A10" s="191" t="str">
        <f t="shared" si="1"/>
        <v>5-8</v>
      </c>
      <c r="B10" s="141" t="str">
        <f t="shared" si="0"/>
        <v>-</v>
      </c>
      <c r="C10" s="145">
        <f>IF(ConsySummary!F37&gt;0,ConsySummary!F37,"")</f>
        <v>45</v>
      </c>
      <c r="E10" s="144"/>
    </row>
    <row r="11" spans="1:5" x14ac:dyDescent="0.45">
      <c r="A11" s="191" t="str">
        <f t="shared" si="1"/>
        <v/>
      </c>
      <c r="B11" s="141" t="str">
        <f t="shared" si="0"/>
        <v/>
      </c>
      <c r="C11" s="145" t="str">
        <f>IF(ConsySummary!F38&gt;0,ConsySummary!F38,"")</f>
        <v/>
      </c>
      <c r="E11" s="144"/>
    </row>
    <row r="12" spans="1:5" x14ac:dyDescent="0.45">
      <c r="A12" s="191" t="str">
        <f>IF(C12&lt;&gt;"","9-16","")</f>
        <v/>
      </c>
      <c r="B12" s="141" t="str">
        <f t="shared" si="0"/>
        <v/>
      </c>
      <c r="C12" s="145" t="str">
        <f>IF(ConsySummary!F39&gt;0,ConsySummary!F39,"")</f>
        <v/>
      </c>
      <c r="E12" s="144"/>
    </row>
    <row r="13" spans="1:5" x14ac:dyDescent="0.45">
      <c r="A13" s="191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91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91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91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91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91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91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91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91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91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91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91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91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91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91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91" t="str">
        <f t="shared" si="3"/>
        <v/>
      </c>
      <c r="B28" s="141" t="str">
        <f t="shared" si="0"/>
        <v/>
      </c>
    </row>
    <row r="29" spans="1:5" x14ac:dyDescent="0.45">
      <c r="A29" s="191" t="str">
        <f t="shared" si="3"/>
        <v/>
      </c>
      <c r="B29" s="141" t="str">
        <f t="shared" si="0"/>
        <v/>
      </c>
    </row>
    <row r="30" spans="1:5" x14ac:dyDescent="0.45">
      <c r="A30" s="191" t="str">
        <f t="shared" si="3"/>
        <v/>
      </c>
      <c r="B30" s="141" t="str">
        <f t="shared" si="0"/>
        <v/>
      </c>
    </row>
    <row r="31" spans="1:5" x14ac:dyDescent="0.45">
      <c r="A31" s="191" t="str">
        <f t="shared" si="3"/>
        <v/>
      </c>
      <c r="B31" s="141" t="str">
        <f t="shared" si="0"/>
        <v/>
      </c>
    </row>
    <row r="32" spans="1:5" x14ac:dyDescent="0.45">
      <c r="A32" s="191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39</vt:i4>
      </vt:variant>
    </vt:vector>
  </HeadingPairs>
  <TitlesOfParts>
    <vt:vector size="47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FCFSummaryFinalHdr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2024-02-03T01:05:07Z</cp:lastPrinted>
  <dcterms:created xsi:type="dcterms:W3CDTF">2014-06-07T17:42:48Z</dcterms:created>
  <dcterms:modified xsi:type="dcterms:W3CDTF">2024-04-07T16:09:46Z</dcterms:modified>
</cp:coreProperties>
</file>