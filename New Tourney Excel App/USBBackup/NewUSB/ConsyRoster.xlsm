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814A407F-6677-481D-9E7D-2D3E3649F978}" xr6:coauthVersionLast="47" xr6:coauthVersionMax="47" xr10:uidLastSave="{00000000-0000-0000-0000-000000000000}"/>
  <bookViews>
    <workbookView xWindow="15" yWindow="150" windowWidth="27930" windowHeight="12720" activeTab="2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CCinAccNoHdr">ConsyCheckInSheet!$D$10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</definedName>
    <definedName name="FCRCCinTourneyDate">ConsyCheckInSheet!$C$6</definedName>
    <definedName name="FCRCCinTourneyLocation">ConsyCheckInSheet!$C$4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Pool1!$A$6:$E$30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Hdr">Pool1!$B$5</definedName>
    <definedName name="FCRPool1Name">Pool1!$B$1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Pool2!$A$6:$E$30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Pool3!$A$6:$E$30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Pool4!$A$6:$E$30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FCRResutlsNameHdr">Results!$B$9</definedName>
    <definedName name="PCRPool2Number">Pool2!$A$1</definedName>
    <definedName name="_xlnm.Print_Area" localSheetId="1">ConsyCheckInSheet!$A$10:$H$45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B10" i="1"/>
  <c r="H9" i="13" l="1"/>
  <c r="G9" i="13"/>
  <c r="F9" i="13"/>
  <c r="E9" i="1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N10" i="1" l="1"/>
  <c r="M10" i="1"/>
  <c r="L10" i="1"/>
  <c r="K10" i="1"/>
  <c r="J10" i="1"/>
  <c r="I10" i="1"/>
  <c r="H10" i="1"/>
  <c r="G10" i="1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6" i="6"/>
  <c r="A7" i="6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8" i="6"/>
  <c r="A9" i="6" s="1"/>
  <c r="A10" i="6" s="1"/>
  <c r="A11" i="6" s="1"/>
  <c r="A17" i="5"/>
  <c r="A16" i="5"/>
  <c r="A15" i="5"/>
  <c r="A14" i="5"/>
  <c r="A13" i="5"/>
  <c r="A6" i="5"/>
  <c r="A7" i="5" s="1"/>
  <c r="A8" i="5" s="1"/>
  <c r="A9" i="5" s="1"/>
  <c r="A10" i="5" s="1"/>
  <c r="A11" i="5" s="1"/>
  <c r="A12" i="5" s="1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<sst xmlns="http://schemas.openxmlformats.org/spreadsheetml/2006/main" count="394" uniqueCount="146">
  <si>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</si>
  <si>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</si>
  <si>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</si>
  <si>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</si>
  <si>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</si>
  <si>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</si>
  <si>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</si>
  <si>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</si>
  <si>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</si>
  <si>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</si>
  <si>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</si>
  <si>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</si>
  <si>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</si>
  <si>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</si>
  <si>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</si>
  <si>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</si>
  <si>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</si>
  <si>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</si>
  <si>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</si>
  <si>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</si>
  <si>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</si>
  <si>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</si>
  <si>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</si>
  <si>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</si>
  <si>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</si>
  <si>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</si>
  <si>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</si>
  <si>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</si>
  <si>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</si>
  <si>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</si>
  <si>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</si>
  <si>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</si>
  <si>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</si>
  <si>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</si>
  <si>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</si>
  <si>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</si>
  <si>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</si>
  <si>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</si>
  <si>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</si>
  <si>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</si>
  <si>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</si>
  <si>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</si>
  <si>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</si>
  <si>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</si>
  <si>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</si>
  <si>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</si>
  <si>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</si>
  <si>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Amt Pd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</si>
  <si>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</si>
  <si>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</si>
  <si>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</si>
  <si>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</si>
  <si>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</si>
  <si>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</si>
  <si>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</si>
  <si>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</si>
  <si>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</si>
  <si>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</si>
  <si>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</si>
  <si>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</si>
  <si>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</si>
  <si>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</si>
  <si>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</si>
  <si>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</si>
  <si>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</si>
  <si>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Napa Tourney</t>
  </si>
  <si>
    <t>The Moose Lodge</t>
  </si>
  <si>
    <t>Napa, Ca 94558</t>
  </si>
  <si>
    <t>a</t>
  </si>
  <si>
    <t>b</t>
  </si>
  <si>
    <t>c</t>
  </si>
  <si>
    <t>d</t>
  </si>
  <si>
    <t>e</t>
  </si>
  <si>
    <t>f</t>
  </si>
  <si>
    <t>g</t>
  </si>
  <si>
    <t>1</t>
  </si>
  <si>
    <t>2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</si>
  <si>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</si>
  <si>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</si>
  <si>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</si>
  <si>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</si>
  <si>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</si>
  <si>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</si>
  <si>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</si>
  <si>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</si>
  <si>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A</t>
  </si>
  <si>
    <t>B</t>
  </si>
  <si>
    <t>C</t>
  </si>
  <si>
    <t>D</t>
  </si>
  <si>
    <t>E</t>
  </si>
  <si>
    <t>F</t>
  </si>
  <si>
    <t>G</t>
  </si>
  <si>
    <t>H</t>
  </si>
  <si>
    <t>This will compute the pools and Payoffs   ==&gt;</t>
  </si>
  <si>
    <t>Y</t>
  </si>
  <si>
    <t>17</t>
  </si>
  <si>
    <t>X</t>
  </si>
  <si>
    <t>18</t>
  </si>
  <si>
    <t>Z</t>
  </si>
  <si>
    <t>19</t>
  </si>
  <si>
    <t>L</t>
  </si>
  <si>
    <t>10</t>
  </si>
  <si>
    <t xml:space="preserve">N </t>
  </si>
  <si>
    <t>11</t>
  </si>
  <si>
    <t>P</t>
  </si>
  <si>
    <t>12</t>
  </si>
  <si>
    <t>R</t>
  </si>
  <si>
    <t>13</t>
  </si>
  <si>
    <t>T</t>
  </si>
  <si>
    <t>14</t>
  </si>
  <si>
    <t>V</t>
  </si>
  <si>
    <t>15</t>
  </si>
  <si>
    <t>16</t>
  </si>
  <si>
    <t>20</t>
  </si>
  <si>
    <t>21</t>
  </si>
  <si>
    <t>22</t>
  </si>
  <si>
    <t>23</t>
  </si>
  <si>
    <t>I</t>
  </si>
  <si>
    <t>24</t>
  </si>
  <si>
    <t>J</t>
  </si>
  <si>
    <t>25</t>
  </si>
  <si>
    <t>K</t>
  </si>
  <si>
    <t>26</t>
  </si>
  <si>
    <t>M</t>
  </si>
  <si>
    <t>27</t>
  </si>
  <si>
    <t>O</t>
  </si>
  <si>
    <t>28</t>
  </si>
  <si>
    <t>Q</t>
  </si>
  <si>
    <t>29</t>
  </si>
  <si>
    <t>32</t>
  </si>
  <si>
    <t>35</t>
  </si>
  <si>
    <t>38</t>
  </si>
  <si>
    <t>41</t>
  </si>
  <si>
    <t>44</t>
  </si>
  <si>
    <t>S</t>
  </si>
  <si>
    <t>30</t>
  </si>
  <si>
    <t>33</t>
  </si>
  <si>
    <t>36</t>
  </si>
  <si>
    <t>39</t>
  </si>
  <si>
    <t>42</t>
  </si>
  <si>
    <t>U</t>
  </si>
  <si>
    <t>31</t>
  </si>
  <si>
    <t>34</t>
  </si>
  <si>
    <t>37</t>
  </si>
  <si>
    <t>40</t>
  </si>
  <si>
    <t>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</si>
</sst>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1" fontId="1" fillId="0" borderId="0" xfId="0" applyNumberFormat="1" applyFont="1" applyAlignment="1">
      <alignment horizontal="center"/>
    </xf>
    <xf numFmtId="0" fontId="0" fillId="0" borderId="0" xfId="0" applyProtection="1"/>
    <xf numFmtId="0" fontId="1" fillId="0" borderId="6" xfId="0" applyNumberFormat="1" applyFont="1" applyBorder="1" applyAlignment="1">
      <alignment horizontal="center" wrapText="1"/>
    </xf>
    <xf numFmtId="0" fontId="1" fillId="0" borderId="7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49" fontId="12" fillId="0" borderId="0" xfId="0" applyNumberFormat="1" applyFont="1" applyProtection="1">
      <protection locked="0"/>
    </xf>
    <xf numFmtId="0" fontId="0" fillId="0" borderId="0" xfId="0" applyAlignment="1">
      <alignment horizontal="center" wrapText="1"/>
    </xf>
    <xf numFmtId="0" fontId="0" fillId="0" borderId="0" xfId="0" applyBorder="1"/>
    <xf numFmtId="0" fontId="1" fillId="0" borderId="1" xfId="0" applyNumberFormat="1" applyFont="1" applyBorder="1" applyAlignment="1">
      <alignment horizontal="center" wrapText="1"/>
    </xf>
    <xf numFmtId="0" fontId="1" fillId="0" borderId="5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quotePrefix="1" applyFont="1" applyBorder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>
      <alignment horizontal="left"/>
    </xf>
    <xf numFmtId="1" fontId="0" fillId="0" borderId="0" xfId="0" applyNumberFormat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 applyAlignment="1"/>
    <xf numFmtId="49" fontId="1" fillId="0" borderId="0" xfId="0" applyNumberFormat="1" applyFont="1" applyAlignme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Border="1" applyAlignment="1" applyProtection="1">
      <alignment horizontal="left"/>
    </xf>
    <xf numFmtId="166" fontId="8" fillId="0" borderId="1" xfId="1" applyNumberFormat="1" applyFont="1" applyBorder="1" applyAlignment="1">
      <alignment horizontal="center"/>
    </xf>
    <xf numFmtId="0" fontId="1" fillId="0" borderId="0" xfId="0" applyNumberFormat="1" applyFont="1" applyBorder="1" applyAlignment="1" applyProtection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49" fontId="2" fillId="0" borderId="0" xfId="0" applyNumberFormat="1" applyFont="1" applyBorder="1" applyAlignment="1" applyProtection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NumberFormat="1" applyFont="1" applyBorder="1" applyAlignment="1" applyProtection="1">
      <alignment horizontal="left"/>
    </xf>
    <xf numFmtId="0" fontId="13" fillId="0" borderId="0" xfId="0" applyFont="1" applyAlignment="1">
      <alignment horizontal="left"/>
    </xf>
    <xf numFmtId="0" fontId="1" fillId="0" borderId="8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49" fontId="12" fillId="0" borderId="0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center"/>
      <protection locked="0"/>
    </xf>
    <xf numFmtId="49" fontId="12" fillId="0" borderId="0" xfId="0" applyNumberFormat="1" applyFont="1" applyBorder="1" applyProtection="1">
      <protection locked="0"/>
    </xf>
    <xf numFmtId="0" fontId="8" fillId="0" borderId="1" xfId="0" quotePrefix="1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1209675</xdr:colOff>
          <xdr:row>1</xdr:row>
          <xdr:rowOff>0</xdr:rowOff>
        </xdr:from>
        <xdr:to>
          <xdr:col>6</xdr:col>
          <xdr:colOff>352425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6</xdr:col>
          <xdr:colOff>381000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6</xdr:col>
          <xdr:colOff>381000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7"/>
  <sheetViews>
    <sheetView workbookViewId="0">
      <pane ySplit="11" topLeftCell="A12" activePane="bottomLeft" state="frozen"/>
      <selection pane="bottomLeft" activeCell="J11" sqref="J11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9" customWidth="1"/>
    <col min="12" max="13" width="8.42578125" customWidth="1"/>
    <col min="14" max="14" width="8.42578125" style="45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217" t="s">
        <v>57</v>
      </c>
      <c r="B1" s="217"/>
      <c r="C1" s="202"/>
      <c r="D1" s="202"/>
      <c r="E1" s="150"/>
      <c r="F1" s="20"/>
      <c r="K1" s="154"/>
      <c r="L1" s="50"/>
      <c r="O1" s="35"/>
      <c r="P1" s="35"/>
      <c r="Q1" s="136"/>
      <c r="R1" s="17"/>
      <c r="S1" s="18"/>
      <c r="V1" s="50"/>
      <c r="Z1" s="50"/>
    </row>
    <row r="2" spans="1:30" x14ac:dyDescent="0.25">
      <c r="A2" s="203"/>
      <c r="B2" s="203"/>
      <c r="C2" s="203"/>
      <c r="D2" s="225" t="s">
        <v>93</v>
      </c>
      <c r="E2" s="225"/>
      <c r="F2" s="203"/>
      <c r="G2" s="191"/>
      <c r="H2" s="169"/>
      <c r="I2" s="169"/>
      <c r="J2" s="169"/>
      <c r="R2" s="17"/>
      <c r="S2" s="19"/>
    </row>
    <row r="3" spans="1:30" ht="15.75" customHeight="1" x14ac:dyDescent="0.25">
      <c r="A3" s="203"/>
      <c r="B3" s="222" t="s">
        <v>58</v>
      </c>
      <c r="C3" s="222"/>
      <c r="D3" s="221" t="s">
        <v>65</v>
      </c>
      <c r="E3" s="221"/>
      <c r="F3" s="203"/>
      <c r="G3" s="20"/>
      <c r="L3" s="10"/>
      <c r="M3" s="21"/>
      <c r="R3" s="20"/>
      <c r="S3" s="19"/>
      <c r="Z3" s="164"/>
    </row>
    <row r="4" spans="1:30" x14ac:dyDescent="0.25">
      <c r="A4" s="203"/>
      <c r="B4" s="222" t="s">
        <v>59</v>
      </c>
      <c r="C4" s="222"/>
      <c r="D4" s="221" t="s">
        <v>66</v>
      </c>
      <c r="E4" s="221"/>
      <c r="F4" s="203"/>
      <c r="G4" s="19"/>
      <c r="L4" s="10"/>
      <c r="M4" s="9"/>
      <c r="R4" s="100"/>
      <c r="S4" s="93"/>
      <c r="AA4" s="165"/>
    </row>
    <row r="5" spans="1:30" ht="15" customHeight="1" x14ac:dyDescent="0.25">
      <c r="A5" s="203"/>
      <c r="B5" s="222" t="s">
        <v>60</v>
      </c>
      <c r="C5" s="222"/>
      <c r="D5" s="221" t="s">
        <v>67</v>
      </c>
      <c r="E5" s="221"/>
      <c r="F5" s="203"/>
      <c r="G5" s="25"/>
      <c r="L5" s="10"/>
      <c r="M5" s="9"/>
      <c r="Q5" s="146"/>
      <c r="R5" s="146"/>
      <c r="S5" s="146"/>
      <c r="T5" s="146"/>
      <c r="U5" s="146"/>
      <c r="V5" s="146"/>
      <c r="Z5" s="138"/>
      <c r="AA5" s="168"/>
      <c r="AB5" s="168"/>
      <c r="AC5" s="168"/>
      <c r="AD5" s="168"/>
    </row>
    <row r="6" spans="1:30" x14ac:dyDescent="0.25">
      <c r="A6" s="203"/>
      <c r="B6" s="222" t="s">
        <v>61</v>
      </c>
      <c r="C6" s="222"/>
      <c r="D6" s="212">
        <v>45045</v>
      </c>
      <c r="E6" s="204"/>
      <c r="F6" s="203"/>
      <c r="G6" s="22"/>
      <c r="L6" s="19"/>
      <c r="Q6" s="146"/>
      <c r="R6" s="146"/>
      <c r="S6" s="146"/>
      <c r="T6" s="146"/>
      <c r="U6" s="146"/>
      <c r="V6" s="146"/>
      <c r="Y6" s="141"/>
    </row>
    <row r="7" spans="1:30" ht="18.75" x14ac:dyDescent="0.3">
      <c r="A7" s="203"/>
      <c r="B7" s="203"/>
      <c r="C7" s="203"/>
      <c r="D7" s="203"/>
      <c r="E7" s="203"/>
      <c r="F7" s="203"/>
      <c r="G7" s="22"/>
      <c r="H7" s="170"/>
      <c r="I7" s="170"/>
      <c r="J7" s="16"/>
      <c r="K7" s="16"/>
      <c r="L7" s="20"/>
      <c r="R7" s="10"/>
      <c r="S7" s="21"/>
      <c r="Z7" s="220"/>
      <c r="AA7" s="220"/>
      <c r="AB7" s="167"/>
    </row>
    <row r="8" spans="1:30" ht="18.75" x14ac:dyDescent="0.3">
      <c r="C8" s="200"/>
      <c r="D8" s="183"/>
      <c r="G8" s="36"/>
      <c r="H8" s="36"/>
      <c r="I8" s="36"/>
      <c r="J8" s="36"/>
      <c r="R8" s="20"/>
      <c r="S8" s="9"/>
    </row>
    <row r="9" spans="1:30" ht="42" customHeight="1" x14ac:dyDescent="0.25">
      <c r="A9" s="144"/>
      <c r="B9" s="201" t="s">
        <v>53</v>
      </c>
      <c r="C9" s="192" t="s">
        <v>56</v>
      </c>
      <c r="D9" s="152"/>
      <c r="E9" s="145"/>
      <c r="G9" s="178"/>
      <c r="H9" s="178"/>
      <c r="I9" s="178"/>
      <c r="J9" s="179"/>
      <c r="K9" s="223" t="s">
        <v>39</v>
      </c>
      <c r="L9" s="224"/>
      <c r="M9" s="169"/>
      <c r="R9" s="10"/>
      <c r="S9" s="9"/>
      <c r="U9" s="190"/>
      <c r="V9" s="190"/>
      <c r="W9" s="190"/>
      <c r="X9" s="190"/>
    </row>
    <row r="10" spans="1:30" ht="15.75" x14ac:dyDescent="0.25">
      <c r="A10" s="144"/>
      <c r="B10" s="76">
        <f>SUM(B12:B211)</f>
        <v>0</v>
      </c>
      <c r="C10" s="241">
        <f>SUM(C12:C211)</f>
        <v>0</v>
      </c>
      <c r="D10" s="139"/>
      <c r="E10" s="139"/>
      <c r="G10" s="76">
        <f>SUM(G12:G205)</f>
        <v>0</v>
      </c>
      <c r="H10" s="76">
        <f t="shared" ref="H10:J10" si="0">SUM(H12:H205)</f>
        <v>0</v>
      </c>
      <c r="I10" s="76">
        <f t="shared" si="0"/>
        <v>0</v>
      </c>
      <c r="J10" s="76">
        <f t="shared" si="0"/>
        <v>0</v>
      </c>
      <c r="K10" s="76">
        <f>SUM(K12:K211)</f>
        <v>0</v>
      </c>
      <c r="L10" s="76">
        <f t="shared" ref="L10:N10" si="1">SUM(L12:L211)</f>
        <v>0</v>
      </c>
      <c r="M10" s="76">
        <f t="shared" si="1"/>
        <v>0</v>
      </c>
      <c r="N10" s="213">
        <f t="shared" si="1"/>
        <v>0</v>
      </c>
      <c r="O10" s="218" t="s">
        <v>49</v>
      </c>
      <c r="P10" s="138"/>
      <c r="Q10" s="194"/>
      <c r="R10" s="195"/>
      <c r="S10" s="195"/>
      <c r="T10" s="191"/>
      <c r="U10" s="196"/>
      <c r="V10" s="196"/>
      <c r="W10" s="196"/>
      <c r="X10" s="196"/>
      <c r="Y10" s="195"/>
    </row>
    <row r="11" spans="1:30" ht="30.75" customHeight="1" x14ac:dyDescent="0.25">
      <c r="B11" s="12" t="s">
        <v>46</v>
      </c>
      <c r="C11" s="37" t="s">
        <v>3</v>
      </c>
      <c r="D11" s="5" t="s">
        <v>0</v>
      </c>
      <c r="E11" s="6" t="s">
        <v>1</v>
      </c>
      <c r="F11" s="7" t="s">
        <v>2</v>
      </c>
      <c r="G11" s="184" t="s">
        <v>51</v>
      </c>
      <c r="H11" s="184" t="s">
        <v>52</v>
      </c>
      <c r="I11" s="184" t="s">
        <v>52</v>
      </c>
      <c r="J11" s="184" t="s">
        <v>52</v>
      </c>
      <c r="K11" s="37" t="s">
        <v>16</v>
      </c>
      <c r="L11" s="137" t="s">
        <v>55</v>
      </c>
      <c r="M11" s="37" t="s">
        <v>17</v>
      </c>
      <c r="N11" s="47" t="s">
        <v>47</v>
      </c>
      <c r="O11" s="219"/>
      <c r="P11" s="138"/>
      <c r="Q11" s="194"/>
      <c r="R11" s="197"/>
      <c r="S11" s="197"/>
      <c r="T11" s="197"/>
      <c r="U11" s="196"/>
      <c r="V11" s="196"/>
      <c r="W11" s="196"/>
      <c r="X11" s="196"/>
      <c r="Y11" s="198"/>
      <c r="AB11" s="166"/>
    </row>
    <row r="12" spans="1:30" x14ac:dyDescent="0.25">
      <c r="A12" s="8">
        <v>1</v>
      </c>
      <c r="B12" s="173"/>
      <c r="C12" s="174"/>
      <c r="D12" s="171" t="s">
        <v>86</v>
      </c>
      <c r="E12" s="156" t="s">
        <v>94</v>
      </c>
      <c r="F12" s="172" t="s">
        <v>95</v>
      </c>
      <c r="G12" s="173"/>
      <c r="H12" s="187"/>
      <c r="I12" s="187"/>
      <c r="J12" s="187"/>
      <c r="K12" s="187"/>
      <c r="L12" s="187"/>
      <c r="M12" s="187"/>
      <c r="N12" s="103"/>
      <c r="O12" s="193"/>
      <c r="P12" s="207"/>
      <c r="Q12" s="194"/>
      <c r="R12" s="191"/>
      <c r="S12" s="191"/>
      <c r="T12" s="191"/>
      <c r="U12" s="194"/>
      <c r="V12" s="194"/>
      <c r="W12" s="194"/>
      <c r="X12" s="194"/>
      <c r="Y12" s="199"/>
      <c r="AB12" s="32"/>
    </row>
    <row r="13" spans="1:30" x14ac:dyDescent="0.25">
      <c r="A13" s="8">
        <f>+A12+1</f>
        <v>2</v>
      </c>
      <c r="B13" s="173"/>
      <c r="C13" s="174"/>
      <c r="D13" s="156" t="s">
        <v>87</v>
      </c>
      <c r="E13" s="171" t="s">
        <v>96</v>
      </c>
      <c r="F13" s="172" t="s">
        <v>97</v>
      </c>
      <c r="G13" s="173"/>
      <c r="H13" s="173"/>
      <c r="I13" s="173"/>
      <c r="J13" s="187"/>
      <c r="K13" s="187"/>
      <c r="L13" s="187"/>
      <c r="M13" s="187"/>
      <c r="N13" s="175"/>
      <c r="O13" s="208"/>
      <c r="P13" s="206"/>
      <c r="Q13" s="194"/>
      <c r="R13" s="191"/>
      <c r="S13" s="191"/>
      <c r="T13" s="191"/>
      <c r="U13" s="194"/>
      <c r="V13" s="194"/>
      <c r="W13" s="194"/>
      <c r="X13" s="194"/>
      <c r="Y13" s="199"/>
      <c r="AB13" s="32"/>
    </row>
    <row r="14" spans="1:30" x14ac:dyDescent="0.25">
      <c r="A14" s="8">
        <f t="shared" ref="A14:A77" si="2">+A13+1</f>
        <v>3</v>
      </c>
      <c r="B14" s="173"/>
      <c r="C14" s="174"/>
      <c r="D14" s="171" t="s">
        <v>88</v>
      </c>
      <c r="E14" s="156" t="s">
        <v>98</v>
      </c>
      <c r="F14" s="157" t="s">
        <v>99</v>
      </c>
      <c r="G14" s="173"/>
      <c r="H14" s="173"/>
      <c r="I14" s="173"/>
      <c r="J14" s="187"/>
      <c r="K14" s="187"/>
      <c r="L14" s="187"/>
      <c r="M14" s="187"/>
      <c r="N14" s="175"/>
      <c r="O14" s="208"/>
      <c r="P14" s="206"/>
      <c r="Q14" s="194"/>
      <c r="R14" s="191"/>
      <c r="S14" s="191"/>
      <c r="T14" s="191"/>
      <c r="U14" s="194"/>
      <c r="V14" s="194"/>
      <c r="W14" s="194"/>
      <c r="X14" s="194"/>
      <c r="Y14" s="199"/>
      <c r="AB14" s="32"/>
    </row>
    <row r="15" spans="1:30" x14ac:dyDescent="0.25">
      <c r="A15" s="8">
        <f t="shared" si="2"/>
        <v>4</v>
      </c>
      <c r="B15" s="173"/>
      <c r="C15" s="174"/>
      <c r="D15" s="156" t="s">
        <v>100</v>
      </c>
      <c r="E15" s="156" t="s">
        <v>98</v>
      </c>
      <c r="F15" s="157" t="s">
        <v>101</v>
      </c>
      <c r="G15" s="173"/>
      <c r="H15" s="187"/>
      <c r="I15" s="187"/>
      <c r="J15" s="187"/>
      <c r="K15" s="187"/>
      <c r="L15" s="187"/>
      <c r="M15" s="187"/>
      <c r="N15" s="175"/>
      <c r="O15" s="208"/>
      <c r="P15" s="206"/>
      <c r="Q15" s="194"/>
      <c r="R15" s="191"/>
      <c r="S15" s="191"/>
      <c r="T15" s="191"/>
      <c r="U15" s="194"/>
      <c r="V15" s="194"/>
      <c r="W15" s="194"/>
      <c r="X15" s="194"/>
      <c r="Y15" s="199"/>
    </row>
    <row r="16" spans="1:30" x14ac:dyDescent="0.25">
      <c r="A16" s="8">
        <f t="shared" si="2"/>
        <v>5</v>
      </c>
      <c r="B16" s="173"/>
      <c r="C16" s="174"/>
      <c r="D16" s="171" t="s">
        <v>102</v>
      </c>
      <c r="E16" s="156" t="s">
        <v>94</v>
      </c>
      <c r="F16" s="172" t="s">
        <v>103</v>
      </c>
      <c r="G16" s="173"/>
      <c r="H16" s="187"/>
      <c r="I16" s="173"/>
      <c r="J16" s="187"/>
      <c r="K16" s="187"/>
      <c r="L16" s="187"/>
      <c r="M16" s="187"/>
      <c r="N16" s="175"/>
      <c r="O16" s="208"/>
      <c r="P16" s="206"/>
      <c r="Q16" s="194"/>
      <c r="R16" s="191"/>
      <c r="S16" s="191"/>
      <c r="T16" s="191"/>
      <c r="U16" s="194"/>
      <c r="V16" s="194"/>
      <c r="W16" s="194"/>
      <c r="X16" s="194"/>
      <c r="Y16" s="199"/>
      <c r="AA16" s="1"/>
      <c r="AB16" s="139"/>
      <c r="AC16" s="140"/>
    </row>
    <row r="17" spans="1:29" x14ac:dyDescent="0.25">
      <c r="A17" s="8">
        <f t="shared" si="2"/>
        <v>6</v>
      </c>
      <c r="B17" s="173"/>
      <c r="C17" s="174"/>
      <c r="D17" s="171" t="s">
        <v>104</v>
      </c>
      <c r="E17" s="171" t="s">
        <v>96</v>
      </c>
      <c r="F17" s="172" t="s">
        <v>105</v>
      </c>
      <c r="G17" s="173"/>
      <c r="H17" s="173"/>
      <c r="I17" s="173"/>
      <c r="J17" s="187"/>
      <c r="K17" s="187"/>
      <c r="L17" s="187"/>
      <c r="M17" s="187"/>
      <c r="N17" s="175"/>
      <c r="O17" s="208"/>
      <c r="P17" s="206"/>
      <c r="Q17" s="194"/>
      <c r="R17" s="191"/>
      <c r="S17" s="191"/>
      <c r="T17" s="191"/>
      <c r="U17" s="194"/>
      <c r="V17" s="194"/>
      <c r="W17" s="194"/>
      <c r="X17" s="194"/>
      <c r="Y17" s="199"/>
      <c r="AB17" s="3"/>
      <c r="AC17" s="142"/>
    </row>
    <row r="18" spans="1:29" x14ac:dyDescent="0.25">
      <c r="A18" s="8">
        <f t="shared" si="2"/>
        <v>7</v>
      </c>
      <c r="B18" s="173"/>
      <c r="C18" s="174"/>
      <c r="D18" s="171" t="s">
        <v>106</v>
      </c>
      <c r="E18" s="156" t="s">
        <v>98</v>
      </c>
      <c r="F18" s="157" t="s">
        <v>107</v>
      </c>
      <c r="G18" s="173"/>
      <c r="H18" s="187"/>
      <c r="I18" s="173"/>
      <c r="J18" s="187"/>
      <c r="K18" s="187"/>
      <c r="L18" s="187"/>
      <c r="M18" s="187"/>
      <c r="N18" s="175"/>
      <c r="O18" s="208"/>
      <c r="P18" s="206"/>
      <c r="Q18" s="194"/>
      <c r="R18" s="191"/>
      <c r="S18" s="191"/>
      <c r="T18" s="191"/>
      <c r="U18" s="194"/>
      <c r="V18" s="194"/>
      <c r="W18" s="194"/>
      <c r="X18" s="194"/>
      <c r="Y18" s="199"/>
      <c r="AA18" s="143"/>
      <c r="AB18" s="153"/>
      <c r="AC18" s="140"/>
    </row>
    <row r="19" spans="1:29" x14ac:dyDescent="0.25">
      <c r="A19" s="8">
        <f t="shared" si="2"/>
        <v>8</v>
      </c>
      <c r="B19" s="173"/>
      <c r="C19" s="174"/>
      <c r="D19" s="156" t="s">
        <v>108</v>
      </c>
      <c r="E19" s="156" t="s">
        <v>94</v>
      </c>
      <c r="F19" s="172" t="s">
        <v>109</v>
      </c>
      <c r="G19" s="173"/>
      <c r="H19" s="173"/>
      <c r="I19" s="187"/>
      <c r="J19" s="187"/>
      <c r="K19" s="187"/>
      <c r="L19" s="187"/>
      <c r="M19" s="187"/>
      <c r="N19" s="175"/>
      <c r="O19" s="208"/>
      <c r="P19" s="206"/>
      <c r="Q19" s="194"/>
      <c r="R19" s="191"/>
      <c r="S19" s="191"/>
      <c r="T19" s="191"/>
      <c r="U19" s="194"/>
      <c r="V19" s="194"/>
      <c r="W19" s="194"/>
      <c r="X19" s="194"/>
      <c r="Y19" s="199"/>
    </row>
    <row r="20" spans="1:29" x14ac:dyDescent="0.25">
      <c r="A20" s="8">
        <f t="shared" si="2"/>
        <v>9</v>
      </c>
      <c r="B20" s="173"/>
      <c r="C20" s="174"/>
      <c r="D20" s="171" t="s">
        <v>110</v>
      </c>
      <c r="E20" s="171" t="s">
        <v>96</v>
      </c>
      <c r="F20" s="172" t="s">
        <v>111</v>
      </c>
      <c r="G20" s="173"/>
      <c r="H20" s="173"/>
      <c r="I20" s="173"/>
      <c r="J20" s="187"/>
      <c r="K20" s="187"/>
      <c r="L20" s="187"/>
      <c r="M20" s="187"/>
      <c r="N20" s="103"/>
      <c r="O20" s="193"/>
      <c r="P20" s="207"/>
      <c r="Q20" s="194"/>
      <c r="R20" s="191"/>
      <c r="S20" s="191"/>
      <c r="T20" s="191"/>
      <c r="U20" s="194"/>
      <c r="V20" s="194"/>
      <c r="W20" s="194"/>
      <c r="X20" s="194"/>
      <c r="Y20" s="199"/>
      <c r="AB20" s="32"/>
    </row>
    <row r="21" spans="1:29" x14ac:dyDescent="0.25">
      <c r="A21" s="8">
        <f t="shared" si="2"/>
        <v>10</v>
      </c>
      <c r="B21" s="173"/>
      <c r="C21" s="174"/>
      <c r="D21" s="171" t="s">
        <v>85</v>
      </c>
      <c r="E21" s="156" t="s">
        <v>98</v>
      </c>
      <c r="F21" s="157" t="s">
        <v>112</v>
      </c>
      <c r="G21" s="173"/>
      <c r="H21" s="173"/>
      <c r="I21" s="173"/>
      <c r="J21" s="187"/>
      <c r="K21" s="187"/>
      <c r="L21" s="187"/>
      <c r="M21" s="187"/>
      <c r="N21" s="103"/>
      <c r="O21" s="193"/>
      <c r="P21" s="207"/>
      <c r="Q21" s="194"/>
      <c r="R21" s="191"/>
      <c r="S21" s="191"/>
      <c r="T21" s="191"/>
      <c r="U21" s="194"/>
      <c r="V21" s="194"/>
      <c r="W21" s="194"/>
      <c r="X21" s="194"/>
      <c r="Y21" s="199"/>
      <c r="AB21" s="32"/>
    </row>
    <row r="22" spans="1:29" x14ac:dyDescent="0.25">
      <c r="A22" s="8">
        <f t="shared" si="2"/>
        <v>11</v>
      </c>
      <c r="B22" s="173"/>
      <c r="C22" s="174"/>
      <c r="D22" s="171" t="s">
        <v>89</v>
      </c>
      <c r="E22" s="156" t="s">
        <v>94</v>
      </c>
      <c r="F22" s="172" t="s">
        <v>113</v>
      </c>
      <c r="G22" s="173"/>
      <c r="H22" s="173"/>
      <c r="I22" s="173"/>
      <c r="J22" s="187"/>
      <c r="K22" s="187"/>
      <c r="L22" s="187"/>
      <c r="M22" s="187"/>
      <c r="N22" s="175"/>
      <c r="O22" s="208"/>
      <c r="P22" s="206"/>
      <c r="Q22" s="194"/>
      <c r="R22" s="191"/>
      <c r="S22" s="191"/>
      <c r="T22" s="191"/>
      <c r="U22" s="194"/>
      <c r="V22" s="194"/>
      <c r="W22" s="194"/>
      <c r="X22" s="194"/>
      <c r="Y22" s="199"/>
      <c r="AB22" s="32"/>
    </row>
    <row r="23" spans="1:29" x14ac:dyDescent="0.25">
      <c r="A23" s="8">
        <f t="shared" si="2"/>
        <v>12</v>
      </c>
      <c r="B23" s="173"/>
      <c r="C23" s="174"/>
      <c r="D23" s="156" t="s">
        <v>90</v>
      </c>
      <c r="E23" s="171" t="s">
        <v>96</v>
      </c>
      <c r="F23" s="172" t="s">
        <v>114</v>
      </c>
      <c r="G23" s="173"/>
      <c r="H23" s="173"/>
      <c r="I23" s="173"/>
      <c r="J23" s="187"/>
      <c r="K23" s="187"/>
      <c r="L23" s="187"/>
      <c r="M23" s="187"/>
      <c r="N23" s="175"/>
      <c r="O23" s="208"/>
      <c r="P23" s="206"/>
      <c r="Q23" s="194"/>
      <c r="R23" s="191"/>
      <c r="S23" s="191"/>
      <c r="T23" s="191"/>
      <c r="U23" s="194"/>
      <c r="V23" s="194"/>
      <c r="W23" s="194"/>
      <c r="X23" s="194"/>
      <c r="Y23" s="199"/>
      <c r="AA23" s="169"/>
      <c r="AB23" s="32"/>
    </row>
    <row r="24" spans="1:29" x14ac:dyDescent="0.25">
      <c r="A24" s="8">
        <f t="shared" si="2"/>
        <v>13</v>
      </c>
      <c r="B24" s="173"/>
      <c r="C24" s="174"/>
      <c r="D24" s="156" t="s">
        <v>91</v>
      </c>
      <c r="E24" s="156" t="s">
        <v>98</v>
      </c>
      <c r="F24" s="157" t="s">
        <v>115</v>
      </c>
      <c r="G24" s="173"/>
      <c r="H24" s="187"/>
      <c r="I24" s="187"/>
      <c r="J24" s="187"/>
      <c r="K24" s="187"/>
      <c r="L24" s="187"/>
      <c r="M24" s="187"/>
      <c r="N24" s="175"/>
      <c r="O24" s="208"/>
      <c r="P24" s="206"/>
      <c r="Q24" s="194"/>
      <c r="R24" s="191"/>
      <c r="S24" s="191"/>
      <c r="T24" s="191"/>
      <c r="U24" s="194"/>
      <c r="V24" s="194"/>
      <c r="W24" s="194"/>
      <c r="X24" s="194"/>
      <c r="Y24" s="199"/>
      <c r="AB24" s="32"/>
    </row>
    <row r="25" spans="1:29" x14ac:dyDescent="0.25">
      <c r="A25" s="8">
        <f t="shared" si="2"/>
        <v>14</v>
      </c>
      <c r="B25" s="173"/>
      <c r="C25" s="174"/>
      <c r="D25" s="171" t="s">
        <v>92</v>
      </c>
      <c r="E25" s="156" t="s">
        <v>94</v>
      </c>
      <c r="F25" s="172" t="s">
        <v>116</v>
      </c>
      <c r="G25" s="173"/>
      <c r="H25" s="173"/>
      <c r="I25" s="173"/>
      <c r="J25" s="187"/>
      <c r="K25" s="187"/>
      <c r="L25" s="187"/>
      <c r="M25" s="187"/>
      <c r="N25" s="175"/>
      <c r="O25" s="208"/>
      <c r="P25" s="206"/>
      <c r="Q25" s="194"/>
      <c r="R25" s="191"/>
      <c r="S25" s="191"/>
      <c r="T25" s="191"/>
      <c r="U25" s="194"/>
      <c r="V25" s="194"/>
      <c r="W25" s="194"/>
      <c r="X25" s="194"/>
      <c r="Y25" s="199"/>
      <c r="AB25" s="32"/>
    </row>
    <row r="26" spans="1:29" x14ac:dyDescent="0.25">
      <c r="A26" s="8">
        <f t="shared" si="2"/>
        <v>15</v>
      </c>
      <c r="B26" s="173"/>
      <c r="C26" s="174"/>
      <c r="D26" s="156" t="s">
        <v>117</v>
      </c>
      <c r="E26" s="171" t="s">
        <v>96</v>
      </c>
      <c r="F26" s="172" t="s">
        <v>118</v>
      </c>
      <c r="G26" s="173"/>
      <c r="H26" s="173"/>
      <c r="I26" s="173"/>
      <c r="J26" s="187"/>
      <c r="K26" s="187"/>
      <c r="L26" s="187"/>
      <c r="M26" s="187"/>
      <c r="N26" s="175"/>
      <c r="O26" s="208"/>
      <c r="P26" s="206"/>
      <c r="Q26" s="194"/>
      <c r="R26" s="191"/>
      <c r="S26" s="191"/>
      <c r="T26" s="191"/>
      <c r="U26" s="194"/>
      <c r="V26" s="194"/>
      <c r="W26" s="194"/>
      <c r="X26" s="194"/>
      <c r="Y26" s="199"/>
      <c r="AB26" s="32"/>
    </row>
    <row r="27" spans="1:29" x14ac:dyDescent="0.25">
      <c r="A27" s="8">
        <f t="shared" si="2"/>
        <v>16</v>
      </c>
      <c r="B27" s="173"/>
      <c r="C27" s="174"/>
      <c r="D27" s="156" t="s">
        <v>119</v>
      </c>
      <c r="E27" s="156" t="s">
        <v>98</v>
      </c>
      <c r="F27" s="157" t="s">
        <v>120</v>
      </c>
      <c r="G27" s="173"/>
      <c r="H27" s="187"/>
      <c r="I27" s="187"/>
      <c r="J27" s="187"/>
      <c r="K27" s="187"/>
      <c r="L27" s="187"/>
      <c r="M27" s="187"/>
      <c r="N27" s="175"/>
      <c r="O27" s="208"/>
      <c r="P27" s="206"/>
      <c r="Q27" s="194"/>
      <c r="R27" s="191"/>
      <c r="S27" s="191"/>
      <c r="T27" s="191"/>
      <c r="U27" s="194"/>
      <c r="V27" s="194"/>
      <c r="W27" s="194"/>
      <c r="X27" s="194"/>
      <c r="Y27" s="199"/>
      <c r="AB27" s="32"/>
    </row>
    <row r="28" spans="1:29" x14ac:dyDescent="0.25">
      <c r="A28" s="8">
        <f t="shared" si="2"/>
        <v>17</v>
      </c>
      <c r="B28" s="173"/>
      <c r="C28" s="174"/>
      <c r="D28" s="171" t="s">
        <v>121</v>
      </c>
      <c r="E28" s="156" t="s">
        <v>94</v>
      </c>
      <c r="F28" s="172" t="s">
        <v>122</v>
      </c>
      <c r="G28" s="173"/>
      <c r="H28" s="173"/>
      <c r="I28" s="173"/>
      <c r="J28" s="187"/>
      <c r="K28" s="187"/>
      <c r="L28" s="187"/>
      <c r="M28" s="187"/>
      <c r="N28" s="175"/>
      <c r="O28" s="208"/>
      <c r="P28" s="206"/>
      <c r="Q28" s="194"/>
      <c r="R28" s="191"/>
      <c r="S28" s="191"/>
      <c r="T28" s="191"/>
      <c r="U28" s="194"/>
      <c r="V28" s="194"/>
      <c r="W28" s="194"/>
      <c r="X28" s="194"/>
      <c r="Y28" s="199"/>
      <c r="AB28" s="32"/>
    </row>
    <row r="29" spans="1:29" x14ac:dyDescent="0.25">
      <c r="A29" s="8">
        <f t="shared" si="2"/>
        <v>18</v>
      </c>
      <c r="B29" s="173"/>
      <c r="C29" s="174"/>
      <c r="D29" s="156" t="s">
        <v>123</v>
      </c>
      <c r="E29" s="171" t="s">
        <v>96</v>
      </c>
      <c r="F29" s="172" t="s">
        <v>124</v>
      </c>
      <c r="G29" s="173"/>
      <c r="H29" s="173"/>
      <c r="I29" s="173"/>
      <c r="J29" s="187"/>
      <c r="K29" s="187"/>
      <c r="L29" s="187"/>
      <c r="M29" s="187"/>
      <c r="N29" s="175"/>
      <c r="O29" s="208"/>
      <c r="P29" s="206"/>
      <c r="Q29" s="194"/>
      <c r="R29" s="191"/>
      <c r="S29" s="191"/>
      <c r="T29" s="191"/>
      <c r="U29" s="194"/>
      <c r="V29" s="194"/>
      <c r="W29" s="194"/>
      <c r="X29" s="194"/>
      <c r="Y29" s="199"/>
      <c r="AB29" s="32"/>
    </row>
    <row r="30" spans="1:29" x14ac:dyDescent="0.25">
      <c r="A30" s="8">
        <f t="shared" si="2"/>
        <v>19</v>
      </c>
      <c r="B30" s="173"/>
      <c r="C30" s="174"/>
      <c r="D30" s="171" t="s">
        <v>125</v>
      </c>
      <c r="E30" s="156" t="s">
        <v>98</v>
      </c>
      <c r="F30" s="157" t="s">
        <v>126</v>
      </c>
      <c r="G30" s="173"/>
      <c r="H30" s="173"/>
      <c r="I30" s="173"/>
      <c r="J30" s="187"/>
      <c r="K30" s="187"/>
      <c r="L30" s="187"/>
      <c r="M30" s="187"/>
      <c r="N30" s="103"/>
      <c r="O30" s="193"/>
      <c r="P30" s="207"/>
      <c r="Q30" s="194"/>
      <c r="R30" s="191"/>
      <c r="S30" s="191"/>
      <c r="T30" s="191"/>
      <c r="U30" s="194"/>
      <c r="V30" s="194"/>
      <c r="W30" s="194"/>
      <c r="X30" s="194"/>
      <c r="Y30" s="199"/>
      <c r="AB30" s="32"/>
    </row>
    <row r="31" spans="1:29" x14ac:dyDescent="0.25">
      <c r="A31" s="8">
        <f t="shared" si="2"/>
        <v>20</v>
      </c>
      <c r="B31" s="173"/>
      <c r="C31" s="174"/>
      <c r="D31" s="171" t="s">
        <v>127</v>
      </c>
      <c r="E31" s="156" t="s">
        <v>94</v>
      </c>
      <c r="F31" s="172" t="s">
        <v>128</v>
      </c>
      <c r="G31" s="173"/>
      <c r="H31" s="187"/>
      <c r="I31" s="187"/>
      <c r="J31" s="187"/>
      <c r="K31" s="187"/>
      <c r="L31" s="187"/>
      <c r="M31" s="187"/>
      <c r="N31" s="175"/>
      <c r="O31" s="208"/>
      <c r="P31" s="206"/>
      <c r="Q31" s="194"/>
      <c r="R31" s="191"/>
      <c r="S31" s="191"/>
      <c r="T31" s="191"/>
      <c r="U31" s="194"/>
      <c r="V31" s="194"/>
      <c r="W31" s="194"/>
      <c r="X31" s="194"/>
      <c r="Y31" s="199"/>
      <c r="AB31" s="32"/>
    </row>
    <row r="32" spans="1:29" x14ac:dyDescent="0.25">
      <c r="A32" s="8">
        <f t="shared" si="2"/>
        <v>21</v>
      </c>
      <c r="B32" s="173"/>
      <c r="C32" s="174"/>
      <c r="D32" s="171" t="s">
        <v>127</v>
      </c>
      <c r="E32" s="156" t="s">
        <v>94</v>
      </c>
      <c r="F32" s="157" t="s">
        <v>129</v>
      </c>
      <c r="G32" s="173"/>
      <c r="H32" s="187"/>
      <c r="I32" s="187"/>
      <c r="J32" s="187"/>
      <c r="K32" s="187"/>
      <c r="L32" s="187"/>
      <c r="M32" s="187"/>
      <c r="N32" s="103"/>
      <c r="O32" s="193"/>
      <c r="P32" s="207"/>
      <c r="Q32" s="194"/>
      <c r="R32" s="191"/>
      <c r="S32" s="191"/>
      <c r="T32" s="191"/>
      <c r="U32" s="194"/>
      <c r="V32" s="194"/>
      <c r="W32" s="194"/>
      <c r="X32" s="194"/>
      <c r="Y32" s="199"/>
      <c r="AB32" s="32"/>
    </row>
    <row r="33" spans="1:28" x14ac:dyDescent="0.25">
      <c r="A33" s="8">
        <f t="shared" si="2"/>
        <v>22</v>
      </c>
      <c r="B33" s="173"/>
      <c r="C33" s="174"/>
      <c r="D33" s="171" t="s">
        <v>127</v>
      </c>
      <c r="E33" s="156" t="s">
        <v>94</v>
      </c>
      <c r="F33" s="157" t="s">
        <v>130</v>
      </c>
      <c r="G33" s="173"/>
      <c r="H33" s="187"/>
      <c r="I33" s="187"/>
      <c r="J33" s="187"/>
      <c r="K33" s="187"/>
      <c r="L33" s="187"/>
      <c r="M33" s="187"/>
      <c r="N33" s="103"/>
      <c r="O33" s="193"/>
      <c r="P33" s="207"/>
      <c r="Q33" s="194"/>
      <c r="R33" s="191"/>
      <c r="S33" s="191"/>
      <c r="T33" s="191"/>
      <c r="U33" s="194"/>
      <c r="V33" s="194"/>
      <c r="W33" s="194"/>
      <c r="X33" s="194"/>
      <c r="Y33" s="199"/>
      <c r="AB33" s="32"/>
    </row>
    <row r="34" spans="1:28" x14ac:dyDescent="0.25">
      <c r="A34" s="8">
        <f t="shared" si="2"/>
        <v>23</v>
      </c>
      <c r="B34" s="173"/>
      <c r="C34" s="174"/>
      <c r="D34" s="171" t="s">
        <v>127</v>
      </c>
      <c r="E34" s="156" t="s">
        <v>94</v>
      </c>
      <c r="F34" s="157" t="s">
        <v>131</v>
      </c>
      <c r="G34" s="173"/>
      <c r="H34" s="173"/>
      <c r="I34" s="173"/>
      <c r="J34" s="187"/>
      <c r="K34" s="187"/>
      <c r="L34" s="187"/>
      <c r="M34" s="187"/>
      <c r="N34" s="175"/>
      <c r="O34" s="208"/>
      <c r="P34" s="206"/>
      <c r="Q34" s="194"/>
      <c r="R34" s="191"/>
      <c r="S34" s="191"/>
      <c r="T34" s="191"/>
      <c r="U34" s="194"/>
      <c r="V34" s="194"/>
      <c r="W34" s="194"/>
      <c r="X34" s="194"/>
      <c r="Y34" s="199"/>
      <c r="AB34" s="32"/>
    </row>
    <row r="35" spans="1:28" x14ac:dyDescent="0.25">
      <c r="A35" s="8">
        <f t="shared" si="2"/>
        <v>24</v>
      </c>
      <c r="B35" s="173"/>
      <c r="C35" s="174"/>
      <c r="D35" s="171" t="s">
        <v>127</v>
      </c>
      <c r="E35" s="156" t="s">
        <v>94</v>
      </c>
      <c r="F35" s="157" t="s">
        <v>132</v>
      </c>
      <c r="G35" s="173"/>
      <c r="H35" s="187"/>
      <c r="I35" s="187"/>
      <c r="J35" s="187"/>
      <c r="K35" s="187"/>
      <c r="L35" s="187"/>
      <c r="M35" s="187"/>
      <c r="N35" s="103"/>
      <c r="O35" s="193"/>
      <c r="P35" s="207"/>
      <c r="Q35" s="194"/>
      <c r="R35" s="191"/>
      <c r="S35" s="191"/>
      <c r="T35" s="191"/>
      <c r="U35" s="194"/>
      <c r="V35" s="194"/>
      <c r="W35" s="194"/>
      <c r="X35" s="194"/>
      <c r="Y35" s="199"/>
      <c r="AB35" s="32"/>
    </row>
    <row r="36" spans="1:28" x14ac:dyDescent="0.25">
      <c r="A36" s="8">
        <f t="shared" si="2"/>
        <v>25</v>
      </c>
      <c r="B36" s="173"/>
      <c r="C36" s="174"/>
      <c r="D36" s="171" t="s">
        <v>127</v>
      </c>
      <c r="E36" s="156" t="s">
        <v>94</v>
      </c>
      <c r="F36" s="157" t="s">
        <v>133</v>
      </c>
      <c r="G36" s="173"/>
      <c r="H36" s="173"/>
      <c r="I36" s="173"/>
      <c r="J36" s="187"/>
      <c r="K36" s="187"/>
      <c r="L36" s="187"/>
      <c r="M36" s="187"/>
      <c r="N36" s="175"/>
      <c r="O36" s="208"/>
      <c r="P36" s="206"/>
      <c r="Q36" s="194"/>
      <c r="R36" s="191"/>
      <c r="S36" s="191"/>
      <c r="T36" s="191"/>
      <c r="U36" s="194"/>
      <c r="V36" s="194"/>
      <c r="W36" s="194"/>
      <c r="X36" s="194"/>
      <c r="Y36" s="199"/>
      <c r="AB36" s="32"/>
    </row>
    <row r="37" spans="1:28" x14ac:dyDescent="0.25">
      <c r="A37" s="8">
        <f t="shared" si="2"/>
        <v>26</v>
      </c>
      <c r="B37" s="173"/>
      <c r="C37" s="174"/>
      <c r="D37" s="171" t="s">
        <v>134</v>
      </c>
      <c r="E37" s="171" t="s">
        <v>96</v>
      </c>
      <c r="F37" s="172" t="s">
        <v>135</v>
      </c>
      <c r="G37" s="173"/>
      <c r="H37" s="187"/>
      <c r="I37" s="187"/>
      <c r="J37" s="187"/>
      <c r="K37" s="187"/>
      <c r="L37" s="187"/>
      <c r="M37" s="187"/>
      <c r="N37" s="175"/>
      <c r="O37" s="208"/>
      <c r="P37" s="206"/>
      <c r="Q37" s="194"/>
      <c r="R37" s="191"/>
      <c r="S37" s="191"/>
      <c r="T37" s="191"/>
      <c r="U37" s="194"/>
      <c r="V37" s="194"/>
      <c r="W37" s="194"/>
      <c r="X37" s="194"/>
      <c r="Y37" s="199"/>
      <c r="AB37" s="32"/>
    </row>
    <row r="38" spans="1:28" x14ac:dyDescent="0.25">
      <c r="A38" s="8">
        <f t="shared" si="2"/>
        <v>27</v>
      </c>
      <c r="B38" s="173"/>
      <c r="C38" s="174"/>
      <c r="D38" s="171" t="s">
        <v>134</v>
      </c>
      <c r="E38" s="171" t="s">
        <v>96</v>
      </c>
      <c r="F38" s="157" t="s">
        <v>136</v>
      </c>
      <c r="G38" s="173"/>
      <c r="H38" s="187"/>
      <c r="I38" s="187"/>
      <c r="J38" s="187"/>
      <c r="K38" s="187"/>
      <c r="L38" s="187"/>
      <c r="M38" s="187"/>
      <c r="N38" s="175"/>
      <c r="O38" s="208"/>
      <c r="P38" s="206"/>
      <c r="Q38" s="194"/>
      <c r="R38" s="191"/>
      <c r="S38" s="191"/>
      <c r="T38" s="191"/>
      <c r="U38" s="194"/>
      <c r="V38" s="194"/>
      <c r="W38" s="194"/>
      <c r="X38" s="194"/>
      <c r="Y38" s="199"/>
      <c r="AB38" s="32"/>
    </row>
    <row r="39" spans="1:28" x14ac:dyDescent="0.25">
      <c r="A39" s="8">
        <f t="shared" si="2"/>
        <v>28</v>
      </c>
      <c r="B39" s="173"/>
      <c r="C39" s="174"/>
      <c r="D39" s="171" t="s">
        <v>134</v>
      </c>
      <c r="E39" s="171" t="s">
        <v>96</v>
      </c>
      <c r="F39" s="157" t="s">
        <v>137</v>
      </c>
      <c r="G39" s="173"/>
      <c r="H39" s="187"/>
      <c r="I39" s="187"/>
      <c r="J39" s="187"/>
      <c r="K39" s="187"/>
      <c r="L39" s="187"/>
      <c r="M39" s="187"/>
      <c r="N39" s="175"/>
      <c r="O39" s="208"/>
      <c r="P39" s="206"/>
      <c r="Q39" s="194"/>
      <c r="R39" s="191"/>
      <c r="S39" s="191"/>
      <c r="T39" s="191"/>
      <c r="U39" s="194"/>
      <c r="V39" s="194"/>
      <c r="W39" s="194"/>
      <c r="X39" s="194"/>
      <c r="Y39" s="199"/>
      <c r="AB39" s="32"/>
    </row>
    <row r="40" spans="1:28" x14ac:dyDescent="0.25">
      <c r="A40" s="8">
        <f t="shared" si="2"/>
        <v>29</v>
      </c>
      <c r="B40" s="173"/>
      <c r="C40" s="174"/>
      <c r="D40" s="171" t="s">
        <v>134</v>
      </c>
      <c r="E40" s="171" t="s">
        <v>96</v>
      </c>
      <c r="F40" s="157" t="s">
        <v>138</v>
      </c>
      <c r="G40" s="173"/>
      <c r="H40" s="173"/>
      <c r="I40" s="173"/>
      <c r="J40" s="173"/>
      <c r="K40" s="187"/>
      <c r="L40" s="187"/>
      <c r="M40" s="187"/>
      <c r="N40" s="103"/>
      <c r="O40" s="193"/>
      <c r="P40" s="207"/>
      <c r="Q40" s="194"/>
      <c r="R40" s="191"/>
      <c r="S40" s="191"/>
      <c r="T40" s="191"/>
      <c r="U40" s="194"/>
      <c r="V40" s="194"/>
      <c r="W40" s="194"/>
      <c r="X40" s="194"/>
      <c r="Y40" s="199"/>
      <c r="AB40" s="32"/>
    </row>
    <row r="41" spans="1:28" x14ac:dyDescent="0.25">
      <c r="A41" s="8">
        <f t="shared" si="2"/>
        <v>30</v>
      </c>
      <c r="B41" s="173"/>
      <c r="C41" s="174"/>
      <c r="D41" s="171" t="s">
        <v>134</v>
      </c>
      <c r="E41" s="171" t="s">
        <v>96</v>
      </c>
      <c r="F41" s="157" t="s">
        <v>139</v>
      </c>
      <c r="G41" s="173"/>
      <c r="H41" s="187"/>
      <c r="I41" s="187"/>
      <c r="J41" s="187"/>
      <c r="K41" s="187"/>
      <c r="L41" s="187"/>
      <c r="M41" s="187"/>
      <c r="N41" s="175"/>
      <c r="O41" s="208"/>
      <c r="P41" s="206"/>
      <c r="Q41" s="194"/>
      <c r="R41" s="191"/>
      <c r="S41" s="191"/>
      <c r="T41" s="191"/>
      <c r="U41" s="194"/>
      <c r="V41" s="194"/>
      <c r="W41" s="194"/>
      <c r="X41" s="194"/>
      <c r="Y41" s="199"/>
      <c r="AB41" s="32"/>
    </row>
    <row r="42" spans="1:28" x14ac:dyDescent="0.25">
      <c r="A42" s="8">
        <f t="shared" si="2"/>
        <v>31</v>
      </c>
      <c r="B42" s="173"/>
      <c r="C42" s="174"/>
      <c r="D42" s="171" t="s">
        <v>140</v>
      </c>
      <c r="E42" s="156" t="s">
        <v>98</v>
      </c>
      <c r="F42" s="157" t="s">
        <v>141</v>
      </c>
      <c r="G42" s="173"/>
      <c r="H42" s="187"/>
      <c r="I42" s="187"/>
      <c r="J42" s="187"/>
      <c r="K42" s="187"/>
      <c r="L42" s="187"/>
      <c r="M42" s="187"/>
      <c r="N42" s="175"/>
      <c r="O42" s="208"/>
      <c r="P42" s="206"/>
      <c r="Q42" s="194"/>
      <c r="R42" s="191"/>
      <c r="S42" s="191"/>
      <c r="T42" s="191"/>
      <c r="U42" s="194"/>
      <c r="V42" s="194"/>
      <c r="W42" s="194"/>
      <c r="X42" s="194"/>
      <c r="Y42" s="199"/>
      <c r="AB42" s="32"/>
    </row>
    <row r="43" spans="1:28" x14ac:dyDescent="0.25">
      <c r="A43" s="8">
        <f t="shared" si="2"/>
        <v>32</v>
      </c>
      <c r="B43" s="173"/>
      <c r="C43" s="174"/>
      <c r="D43" s="171" t="s">
        <v>140</v>
      </c>
      <c r="E43" s="156" t="s">
        <v>98</v>
      </c>
      <c r="F43" s="157" t="s">
        <v>142</v>
      </c>
      <c r="G43" s="173"/>
      <c r="H43" s="173"/>
      <c r="I43" s="173"/>
      <c r="J43" s="187"/>
      <c r="K43" s="187"/>
      <c r="L43" s="187"/>
      <c r="M43" s="187"/>
      <c r="N43" s="175"/>
      <c r="O43" s="208"/>
      <c r="P43" s="206"/>
      <c r="Q43" s="194"/>
      <c r="R43" s="191"/>
      <c r="S43" s="191"/>
      <c r="T43" s="191"/>
      <c r="U43" s="194"/>
      <c r="V43" s="194"/>
      <c r="W43" s="194"/>
      <c r="X43" s="194"/>
      <c r="Y43" s="199"/>
      <c r="AB43" s="32"/>
    </row>
    <row r="44" spans="1:28" x14ac:dyDescent="0.25">
      <c r="A44" s="8">
        <f t="shared" si="2"/>
        <v>33</v>
      </c>
      <c r="B44" s="173"/>
      <c r="C44" s="174"/>
      <c r="D44" s="171" t="s">
        <v>140</v>
      </c>
      <c r="E44" s="156" t="s">
        <v>98</v>
      </c>
      <c r="F44" s="157" t="s">
        <v>143</v>
      </c>
      <c r="G44" s="173"/>
      <c r="H44" s="173"/>
      <c r="I44" s="173"/>
      <c r="J44" s="187"/>
      <c r="K44" s="187"/>
      <c r="L44" s="187"/>
      <c r="M44" s="187"/>
      <c r="N44" s="175"/>
      <c r="O44" s="208"/>
      <c r="P44" s="206"/>
      <c r="Q44" s="194"/>
      <c r="R44" s="191"/>
      <c r="S44" s="191"/>
      <c r="T44" s="191"/>
      <c r="U44" s="194"/>
      <c r="V44" s="194"/>
      <c r="W44" s="194"/>
      <c r="X44" s="194"/>
      <c r="Y44" s="199"/>
      <c r="AB44" s="32"/>
    </row>
    <row r="45" spans="1:28" x14ac:dyDescent="0.25">
      <c r="A45" s="8">
        <f t="shared" si="2"/>
        <v>34</v>
      </c>
      <c r="B45" s="173"/>
      <c r="C45" s="174"/>
      <c r="D45" s="171" t="s">
        <v>140</v>
      </c>
      <c r="E45" s="156" t="s">
        <v>98</v>
      </c>
      <c r="F45" s="157" t="s">
        <v>144</v>
      </c>
      <c r="G45" s="187"/>
      <c r="H45" s="187"/>
      <c r="I45" s="187"/>
      <c r="J45" s="187"/>
      <c r="K45" s="187"/>
      <c r="L45" s="187"/>
      <c r="M45" s="187"/>
      <c r="N45" s="175"/>
      <c r="O45" s="208"/>
      <c r="P45" s="206"/>
      <c r="Q45" s="194"/>
      <c r="R45" s="191"/>
      <c r="S45" s="191"/>
      <c r="T45" s="191"/>
      <c r="U45" s="194"/>
      <c r="V45" s="194"/>
      <c r="W45" s="194"/>
      <c r="X45" s="194"/>
      <c r="Y45" s="199"/>
      <c r="AB45" s="32"/>
    </row>
    <row r="46" spans="1:28" x14ac:dyDescent="0.25">
      <c r="A46" s="8">
        <f t="shared" si="2"/>
        <v>35</v>
      </c>
      <c r="B46" s="173"/>
      <c r="C46" s="174"/>
      <c r="D46" s="171" t="s">
        <v>140</v>
      </c>
      <c r="E46" s="156" t="s">
        <v>98</v>
      </c>
      <c r="F46" s="157" t="s">
        <v>145</v>
      </c>
      <c r="G46" s="187"/>
      <c r="H46" s="187"/>
      <c r="I46" s="187"/>
      <c r="J46" s="187"/>
      <c r="K46" s="187"/>
      <c r="L46" s="187"/>
      <c r="M46" s="187"/>
      <c r="N46" s="175"/>
      <c r="O46" s="208"/>
      <c r="P46" s="206"/>
      <c r="Q46" s="194"/>
      <c r="R46" s="191"/>
      <c r="S46" s="191"/>
      <c r="T46" s="191"/>
      <c r="U46" s="194"/>
      <c r="V46" s="194"/>
      <c r="W46" s="194"/>
      <c r="X46" s="194"/>
      <c r="Y46" s="199"/>
      <c r="AB46" s="32"/>
    </row>
    <row r="47" spans="1:28" x14ac:dyDescent="0.25">
      <c r="A47" s="8">
        <f t="shared" si="2"/>
        <v>36</v>
      </c>
      <c r="B47" s="173"/>
      <c r="C47" s="174"/>
      <c r="D47" s="171"/>
      <c r="E47" s="171"/>
      <c r="F47" s="172"/>
      <c r="G47" s="173"/>
      <c r="H47" s="187"/>
      <c r="I47" s="187"/>
      <c r="J47" s="187"/>
      <c r="K47" s="187"/>
      <c r="L47" s="187"/>
      <c r="M47" s="187"/>
      <c r="N47" s="175"/>
      <c r="O47" s="208"/>
      <c r="P47" s="206"/>
      <c r="Q47" s="194"/>
      <c r="R47" s="191"/>
      <c r="S47" s="191"/>
      <c r="T47" s="191"/>
      <c r="U47" s="194"/>
      <c r="V47" s="194"/>
      <c r="W47" s="194"/>
      <c r="X47" s="194"/>
      <c r="Y47" s="199"/>
      <c r="AB47" s="32"/>
    </row>
    <row r="48" spans="1:28" x14ac:dyDescent="0.25">
      <c r="A48" s="8">
        <f t="shared" si="2"/>
        <v>37</v>
      </c>
      <c r="B48" s="173"/>
      <c r="C48" s="174"/>
      <c r="D48" s="171"/>
      <c r="E48" s="171"/>
      <c r="F48" s="172"/>
      <c r="G48" s="173"/>
      <c r="H48" s="173"/>
      <c r="I48" s="173"/>
      <c r="J48" s="187"/>
      <c r="K48" s="187"/>
      <c r="L48" s="187"/>
      <c r="M48" s="187"/>
      <c r="N48" s="175"/>
      <c r="O48" s="208"/>
      <c r="P48" s="206"/>
      <c r="Q48" s="194"/>
      <c r="R48" s="191"/>
      <c r="S48" s="191"/>
      <c r="T48" s="191"/>
      <c r="U48" s="194"/>
      <c r="V48" s="194"/>
      <c r="W48" s="194"/>
      <c r="X48" s="194"/>
      <c r="Y48" s="199"/>
      <c r="AB48" s="32"/>
    </row>
    <row r="49" spans="1:28" x14ac:dyDescent="0.25">
      <c r="A49" s="8">
        <f t="shared" si="2"/>
        <v>38</v>
      </c>
      <c r="B49" s="173"/>
      <c r="C49" s="174"/>
      <c r="D49" s="171"/>
      <c r="E49" s="171"/>
      <c r="F49" s="172"/>
      <c r="G49" s="173"/>
      <c r="H49" s="173"/>
      <c r="I49" s="173"/>
      <c r="J49" s="187"/>
      <c r="K49" s="187"/>
      <c r="L49" s="187"/>
      <c r="M49" s="187"/>
      <c r="N49" s="175"/>
      <c r="O49" s="208"/>
      <c r="P49" s="206"/>
      <c r="Q49" s="194"/>
      <c r="R49" s="191"/>
      <c r="S49" s="191"/>
      <c r="T49" s="191"/>
      <c r="U49" s="194"/>
      <c r="V49" s="194"/>
      <c r="W49" s="194"/>
      <c r="X49" s="194"/>
      <c r="Y49" s="199"/>
      <c r="AB49" s="32"/>
    </row>
    <row r="50" spans="1:28" x14ac:dyDescent="0.25">
      <c r="A50" s="8">
        <f t="shared" si="2"/>
        <v>39</v>
      </c>
      <c r="B50" s="173"/>
      <c r="C50" s="174"/>
      <c r="D50" s="171"/>
      <c r="E50" s="171"/>
      <c r="F50" s="172"/>
      <c r="G50" s="173"/>
      <c r="H50" s="173"/>
      <c r="I50" s="173"/>
      <c r="J50" s="187"/>
      <c r="K50" s="187"/>
      <c r="L50" s="187"/>
      <c r="M50" s="187"/>
      <c r="N50" s="175"/>
      <c r="O50" s="208"/>
      <c r="P50" s="206"/>
      <c r="Q50" s="194"/>
      <c r="R50" s="191"/>
      <c r="S50" s="191"/>
      <c r="T50" s="191"/>
      <c r="U50" s="194"/>
      <c r="V50" s="194"/>
      <c r="W50" s="194"/>
      <c r="X50" s="194"/>
      <c r="Y50" s="199"/>
      <c r="AB50" s="32"/>
    </row>
    <row r="51" spans="1:28" x14ac:dyDescent="0.25">
      <c r="A51" s="8">
        <f t="shared" si="2"/>
        <v>40</v>
      </c>
      <c r="B51" s="173"/>
      <c r="C51" s="174"/>
      <c r="D51" s="171"/>
      <c r="E51" s="171"/>
      <c r="F51" s="172"/>
      <c r="G51" s="173"/>
      <c r="H51" s="187"/>
      <c r="I51" s="187"/>
      <c r="J51" s="187"/>
      <c r="K51" s="187"/>
      <c r="L51" s="187"/>
      <c r="M51" s="187"/>
      <c r="N51" s="175"/>
      <c r="O51" s="208"/>
      <c r="P51" s="206"/>
      <c r="Q51" s="194"/>
      <c r="R51" s="191"/>
      <c r="S51" s="191"/>
      <c r="T51" s="191"/>
      <c r="U51" s="194"/>
      <c r="V51" s="194"/>
      <c r="W51" s="194"/>
      <c r="X51" s="194"/>
      <c r="Y51" s="199"/>
      <c r="AB51" s="32"/>
    </row>
    <row r="52" spans="1:28" x14ac:dyDescent="0.25">
      <c r="A52" s="8">
        <f t="shared" si="2"/>
        <v>41</v>
      </c>
      <c r="B52" s="173"/>
      <c r="C52" s="174"/>
      <c r="D52" s="171"/>
      <c r="E52" s="171"/>
      <c r="F52" s="172"/>
      <c r="G52" s="173"/>
      <c r="H52" s="173"/>
      <c r="I52" s="173"/>
      <c r="J52" s="187"/>
      <c r="K52" s="187"/>
      <c r="L52" s="187"/>
      <c r="M52" s="187"/>
      <c r="N52" s="175"/>
      <c r="O52" s="208"/>
      <c r="P52" s="206"/>
      <c r="Q52" s="194"/>
      <c r="R52" s="191"/>
      <c r="S52" s="191"/>
      <c r="T52" s="191"/>
      <c r="U52" s="194"/>
      <c r="V52" s="194"/>
      <c r="W52" s="194"/>
      <c r="X52" s="194"/>
      <c r="Y52" s="199"/>
      <c r="AB52" s="32"/>
    </row>
    <row r="53" spans="1:28" x14ac:dyDescent="0.25">
      <c r="A53" s="8">
        <f t="shared" si="2"/>
        <v>42</v>
      </c>
      <c r="B53" s="173"/>
      <c r="C53" s="174"/>
      <c r="D53" s="171"/>
      <c r="E53" s="171"/>
      <c r="F53" s="172"/>
      <c r="G53" s="173"/>
      <c r="H53" s="173"/>
      <c r="I53" s="173"/>
      <c r="J53" s="187"/>
      <c r="K53" s="187"/>
      <c r="L53" s="187"/>
      <c r="M53" s="187"/>
      <c r="N53" s="175"/>
      <c r="O53" s="208"/>
      <c r="P53" s="206"/>
      <c r="Q53" s="194"/>
      <c r="R53" s="191"/>
      <c r="S53" s="191"/>
      <c r="T53" s="191"/>
      <c r="U53" s="194"/>
      <c r="V53" s="194"/>
      <c r="W53" s="194"/>
      <c r="X53" s="194"/>
      <c r="Y53" s="199"/>
      <c r="AB53" s="32"/>
    </row>
    <row r="54" spans="1:28" x14ac:dyDescent="0.25">
      <c r="A54" s="8">
        <f t="shared" si="2"/>
        <v>43</v>
      </c>
      <c r="B54" s="173"/>
      <c r="C54" s="174"/>
      <c r="D54" s="171"/>
      <c r="E54" s="171"/>
      <c r="F54" s="172"/>
      <c r="G54" s="173"/>
      <c r="H54" s="187"/>
      <c r="I54" s="187"/>
      <c r="J54" s="187"/>
      <c r="K54" s="187"/>
      <c r="L54" s="187"/>
      <c r="M54" s="187"/>
      <c r="N54" s="175"/>
      <c r="O54" s="208"/>
      <c r="P54" s="206"/>
      <c r="Q54" s="194"/>
      <c r="R54" s="191"/>
      <c r="S54" s="191"/>
      <c r="T54" s="191"/>
      <c r="U54" s="194"/>
      <c r="V54" s="194"/>
      <c r="W54" s="194"/>
      <c r="X54" s="194"/>
      <c r="Y54" s="199"/>
      <c r="AB54" s="32"/>
    </row>
    <row r="55" spans="1:28" x14ac:dyDescent="0.25">
      <c r="A55" s="8">
        <f t="shared" si="2"/>
        <v>44</v>
      </c>
      <c r="B55" s="173"/>
      <c r="C55" s="174"/>
      <c r="D55" s="171"/>
      <c r="E55" s="171"/>
      <c r="F55" s="172"/>
      <c r="G55" s="187"/>
      <c r="H55" s="187"/>
      <c r="I55" s="187"/>
      <c r="J55" s="187"/>
      <c r="K55" s="187"/>
      <c r="L55" s="187"/>
      <c r="M55" s="187"/>
      <c r="N55" s="175"/>
      <c r="O55" s="208"/>
      <c r="P55" s="206"/>
      <c r="Q55" s="194"/>
      <c r="R55" s="191"/>
      <c r="S55" s="191"/>
      <c r="T55" s="191"/>
      <c r="U55" s="194"/>
      <c r="V55" s="194"/>
      <c r="W55" s="194"/>
      <c r="X55" s="194"/>
      <c r="Y55" s="199"/>
      <c r="AB55" s="32"/>
    </row>
    <row r="56" spans="1:28" x14ac:dyDescent="0.25">
      <c r="A56" s="8">
        <f t="shared" si="2"/>
        <v>45</v>
      </c>
      <c r="B56" s="173"/>
      <c r="C56" s="174"/>
      <c r="D56" s="171"/>
      <c r="E56" s="171"/>
      <c r="F56" s="172"/>
      <c r="G56" s="173"/>
      <c r="H56" s="187"/>
      <c r="I56" s="187"/>
      <c r="J56" s="187"/>
      <c r="K56" s="187"/>
      <c r="L56" s="187"/>
      <c r="M56" s="187"/>
      <c r="N56" s="175"/>
      <c r="O56" s="208"/>
      <c r="P56" s="206"/>
      <c r="Q56" s="194"/>
      <c r="R56" s="191"/>
      <c r="S56" s="191"/>
      <c r="T56" s="191"/>
      <c r="U56" s="194"/>
      <c r="V56" s="194"/>
      <c r="W56" s="194"/>
      <c r="X56" s="194"/>
      <c r="Y56" s="199"/>
      <c r="AB56" s="32"/>
    </row>
    <row r="57" spans="1:28" x14ac:dyDescent="0.25">
      <c r="A57" s="8">
        <f t="shared" si="2"/>
        <v>46</v>
      </c>
      <c r="B57" s="173"/>
      <c r="C57" s="174"/>
      <c r="D57" s="171"/>
      <c r="E57" s="171"/>
      <c r="F57" s="172"/>
      <c r="G57" s="173"/>
      <c r="H57" s="187"/>
      <c r="I57" s="187"/>
      <c r="J57" s="187"/>
      <c r="K57" s="187"/>
      <c r="L57" s="187"/>
      <c r="M57" s="187"/>
      <c r="N57" s="175"/>
      <c r="O57" s="208"/>
      <c r="P57" s="206"/>
      <c r="Q57" s="194"/>
      <c r="R57" s="191"/>
      <c r="S57" s="191"/>
      <c r="T57" s="191"/>
      <c r="U57" s="194"/>
      <c r="V57" s="194"/>
      <c r="W57" s="194"/>
      <c r="X57" s="194"/>
      <c r="Y57" s="199"/>
      <c r="AB57" s="32"/>
    </row>
    <row r="58" spans="1:28" x14ac:dyDescent="0.25">
      <c r="A58" s="8">
        <f t="shared" si="2"/>
        <v>47</v>
      </c>
      <c r="B58" s="173"/>
      <c r="C58" s="174"/>
      <c r="D58" s="171"/>
      <c r="E58" s="171"/>
      <c r="F58" s="172"/>
      <c r="G58" s="173"/>
      <c r="H58" s="173"/>
      <c r="I58" s="173"/>
      <c r="J58" s="187"/>
      <c r="K58" s="187"/>
      <c r="L58" s="187"/>
      <c r="M58" s="187"/>
      <c r="N58" s="175"/>
      <c r="O58" s="208"/>
      <c r="P58" s="206"/>
      <c r="Q58" s="194"/>
      <c r="R58" s="191"/>
      <c r="S58" s="191"/>
      <c r="T58" s="191"/>
      <c r="U58" s="194"/>
      <c r="V58" s="194"/>
      <c r="W58" s="194"/>
      <c r="X58" s="194"/>
      <c r="Y58" s="199"/>
      <c r="AB58" s="32"/>
    </row>
    <row r="59" spans="1:28" x14ac:dyDescent="0.25">
      <c r="A59" s="8">
        <f t="shared" si="2"/>
        <v>48</v>
      </c>
      <c r="B59" s="173"/>
      <c r="C59" s="174"/>
      <c r="D59" s="171"/>
      <c r="E59" s="171"/>
      <c r="F59" s="172"/>
      <c r="G59" s="173"/>
      <c r="H59" s="173"/>
      <c r="I59" s="173"/>
      <c r="J59" s="187"/>
      <c r="K59" s="187"/>
      <c r="L59" s="187"/>
      <c r="M59" s="187"/>
      <c r="N59" s="175"/>
      <c r="O59" s="208"/>
      <c r="P59" s="206"/>
      <c r="Q59" s="194"/>
      <c r="R59" s="191"/>
      <c r="S59" s="191"/>
      <c r="T59" s="191"/>
      <c r="U59" s="194"/>
      <c r="V59" s="194"/>
      <c r="W59" s="194"/>
      <c r="X59" s="194"/>
      <c r="Y59" s="199"/>
      <c r="AB59" s="32"/>
    </row>
    <row r="60" spans="1:28" x14ac:dyDescent="0.25">
      <c r="A60" s="8">
        <f t="shared" si="2"/>
        <v>49</v>
      </c>
      <c r="B60" s="173"/>
      <c r="C60" s="174"/>
      <c r="D60" s="171"/>
      <c r="E60" s="171"/>
      <c r="F60" s="172"/>
      <c r="G60" s="173"/>
      <c r="H60" s="173"/>
      <c r="I60" s="173"/>
      <c r="J60" s="187"/>
      <c r="K60" s="187"/>
      <c r="L60" s="187"/>
      <c r="M60" s="187"/>
      <c r="N60" s="175"/>
      <c r="O60" s="208"/>
      <c r="P60" s="206"/>
      <c r="Q60" s="194"/>
      <c r="R60" s="191"/>
      <c r="S60" s="191"/>
      <c r="T60" s="191"/>
      <c r="U60" s="194"/>
      <c r="V60" s="194"/>
      <c r="W60" s="194"/>
      <c r="X60" s="194"/>
      <c r="Y60" s="199"/>
      <c r="AB60" s="32"/>
    </row>
    <row r="61" spans="1:28" x14ac:dyDescent="0.25">
      <c r="A61" s="8">
        <f t="shared" si="2"/>
        <v>50</v>
      </c>
      <c r="B61" s="173"/>
      <c r="C61" s="174"/>
      <c r="D61" s="171"/>
      <c r="E61" s="171"/>
      <c r="F61" s="172"/>
      <c r="G61" s="173"/>
      <c r="H61" s="187"/>
      <c r="I61" s="187"/>
      <c r="J61" s="187"/>
      <c r="K61" s="187"/>
      <c r="L61" s="187"/>
      <c r="M61" s="187"/>
      <c r="N61" s="175"/>
      <c r="O61" s="208"/>
      <c r="P61" s="206"/>
      <c r="Q61" s="194"/>
      <c r="R61" s="191"/>
      <c r="S61" s="191"/>
      <c r="T61" s="191"/>
      <c r="U61" s="194"/>
      <c r="V61" s="194"/>
      <c r="W61" s="194"/>
      <c r="X61" s="194"/>
      <c r="Y61" s="199"/>
      <c r="AB61" s="32"/>
    </row>
    <row r="62" spans="1:28" x14ac:dyDescent="0.25">
      <c r="A62" s="8">
        <f t="shared" si="2"/>
        <v>51</v>
      </c>
      <c r="B62" s="173"/>
      <c r="C62" s="174"/>
      <c r="D62" s="171"/>
      <c r="E62" s="171"/>
      <c r="F62" s="172"/>
      <c r="G62" s="187"/>
      <c r="H62" s="187"/>
      <c r="I62" s="187"/>
      <c r="J62" s="187"/>
      <c r="K62" s="187"/>
      <c r="L62" s="187"/>
      <c r="M62" s="187"/>
      <c r="N62" s="175"/>
      <c r="O62" s="208"/>
      <c r="P62" s="206"/>
      <c r="Q62" s="194"/>
      <c r="R62" s="191"/>
      <c r="S62" s="191"/>
      <c r="T62" s="191"/>
      <c r="U62" s="194"/>
      <c r="V62" s="194"/>
      <c r="W62" s="194"/>
      <c r="X62" s="194"/>
      <c r="Y62" s="199"/>
      <c r="AB62" s="32"/>
    </row>
    <row r="63" spans="1:28" x14ac:dyDescent="0.25">
      <c r="A63" s="8">
        <f t="shared" si="2"/>
        <v>52</v>
      </c>
      <c r="B63" s="173"/>
      <c r="C63" s="173"/>
      <c r="D63" s="189"/>
      <c r="E63" s="171"/>
      <c r="F63" s="172"/>
      <c r="G63" s="173"/>
      <c r="H63" s="187"/>
      <c r="I63" s="187"/>
      <c r="J63" s="187"/>
      <c r="K63" s="187"/>
      <c r="L63" s="187"/>
      <c r="M63" s="187"/>
      <c r="N63" s="175"/>
      <c r="O63" s="208"/>
      <c r="P63" s="206"/>
      <c r="Q63" s="194"/>
      <c r="R63" s="191"/>
      <c r="S63" s="191"/>
      <c r="T63" s="191"/>
      <c r="U63" s="194"/>
      <c r="V63" s="194"/>
      <c r="W63" s="194"/>
      <c r="X63" s="194"/>
      <c r="Y63" s="199"/>
      <c r="AB63" s="32"/>
    </row>
    <row r="64" spans="1:28" x14ac:dyDescent="0.25">
      <c r="A64" s="8">
        <f t="shared" si="2"/>
        <v>53</v>
      </c>
      <c r="B64" s="173"/>
      <c r="C64" s="174"/>
      <c r="D64" s="171"/>
      <c r="E64" s="171"/>
      <c r="F64" s="172"/>
      <c r="G64" s="173"/>
      <c r="H64" s="187"/>
      <c r="I64" s="187"/>
      <c r="J64" s="187"/>
      <c r="K64" s="187"/>
      <c r="L64" s="187"/>
      <c r="M64" s="187"/>
      <c r="N64" s="175"/>
      <c r="O64" s="208"/>
      <c r="P64" s="206"/>
      <c r="Q64" s="194"/>
      <c r="R64" s="191"/>
      <c r="S64" s="191"/>
      <c r="T64" s="191"/>
      <c r="U64" s="194"/>
      <c r="V64" s="194"/>
      <c r="W64" s="194"/>
      <c r="X64" s="194"/>
      <c r="Y64" s="199"/>
      <c r="AB64" s="32"/>
    </row>
    <row r="65" spans="1:28" x14ac:dyDescent="0.25">
      <c r="A65" s="8">
        <f t="shared" si="2"/>
        <v>54</v>
      </c>
      <c r="B65" s="173"/>
      <c r="C65" s="174"/>
      <c r="D65" s="171"/>
      <c r="E65" s="171"/>
      <c r="F65" s="172"/>
      <c r="G65" s="173"/>
      <c r="H65" s="187"/>
      <c r="I65" s="187"/>
      <c r="J65" s="187"/>
      <c r="K65" s="187"/>
      <c r="L65" s="187"/>
      <c r="M65" s="187"/>
      <c r="N65" s="175"/>
      <c r="O65" s="208"/>
      <c r="P65" s="206"/>
      <c r="Q65" s="194"/>
      <c r="R65" s="191"/>
      <c r="S65" s="191"/>
      <c r="T65" s="191"/>
      <c r="U65" s="194"/>
      <c r="V65" s="194"/>
      <c r="W65" s="194"/>
      <c r="X65" s="194"/>
      <c r="Y65" s="199"/>
      <c r="AB65" s="32"/>
    </row>
    <row r="66" spans="1:28" x14ac:dyDescent="0.25">
      <c r="A66" s="8">
        <f t="shared" si="2"/>
        <v>55</v>
      </c>
      <c r="B66" s="173"/>
      <c r="C66" s="174"/>
      <c r="D66" s="171"/>
      <c r="E66" s="171"/>
      <c r="F66" s="172"/>
      <c r="G66" s="187"/>
      <c r="H66" s="187"/>
      <c r="I66" s="187"/>
      <c r="J66" s="187"/>
      <c r="K66" s="187"/>
      <c r="L66" s="187"/>
      <c r="M66" s="187"/>
      <c r="N66" s="175"/>
      <c r="O66" s="208"/>
      <c r="P66" s="206"/>
      <c r="Q66" s="194"/>
      <c r="R66" s="191"/>
      <c r="S66" s="191"/>
      <c r="T66" s="191"/>
      <c r="U66" s="194"/>
      <c r="V66" s="194"/>
      <c r="W66" s="194"/>
      <c r="X66" s="194"/>
      <c r="Y66" s="199"/>
      <c r="AB66" s="32"/>
    </row>
    <row r="67" spans="1:28" x14ac:dyDescent="0.25">
      <c r="A67" s="8">
        <f t="shared" si="2"/>
        <v>56</v>
      </c>
      <c r="B67" s="173"/>
      <c r="C67" s="174"/>
      <c r="D67" s="171"/>
      <c r="E67" s="171"/>
      <c r="F67" s="172"/>
      <c r="G67" s="173"/>
      <c r="H67" s="187"/>
      <c r="I67" s="187"/>
      <c r="J67" s="187"/>
      <c r="K67" s="187"/>
      <c r="L67" s="187"/>
      <c r="M67" s="187"/>
      <c r="N67" s="175"/>
      <c r="O67" s="208"/>
      <c r="P67" s="206"/>
      <c r="Q67" s="194"/>
      <c r="R67" s="191"/>
      <c r="S67" s="191"/>
      <c r="T67" s="191"/>
      <c r="U67" s="194"/>
      <c r="V67" s="194"/>
      <c r="W67" s="194"/>
      <c r="X67" s="194"/>
      <c r="Y67" s="199"/>
      <c r="AB67" s="32"/>
    </row>
    <row r="68" spans="1:28" x14ac:dyDescent="0.25">
      <c r="A68" s="8">
        <f t="shared" si="2"/>
        <v>57</v>
      </c>
      <c r="B68" s="173"/>
      <c r="C68" s="174"/>
      <c r="D68" s="171"/>
      <c r="E68" s="171"/>
      <c r="F68" s="172"/>
      <c r="G68" s="187"/>
      <c r="H68" s="187"/>
      <c r="I68" s="187"/>
      <c r="J68" s="187"/>
      <c r="K68" s="187"/>
      <c r="L68" s="187"/>
      <c r="M68" s="187"/>
      <c r="N68" s="175"/>
      <c r="O68" s="208"/>
      <c r="P68" s="206"/>
      <c r="Q68" s="194"/>
      <c r="R68" s="191"/>
      <c r="S68" s="191"/>
      <c r="T68" s="191"/>
      <c r="U68" s="194"/>
      <c r="V68" s="194"/>
      <c r="W68" s="194"/>
      <c r="X68" s="194"/>
      <c r="Y68" s="199"/>
      <c r="AB68" s="32"/>
    </row>
    <row r="69" spans="1:28" x14ac:dyDescent="0.25">
      <c r="A69" s="8">
        <f t="shared" si="2"/>
        <v>58</v>
      </c>
      <c r="B69" s="173"/>
      <c r="C69" s="174"/>
      <c r="D69" s="171"/>
      <c r="E69" s="171"/>
      <c r="F69" s="172"/>
      <c r="G69" s="187"/>
      <c r="H69" s="187"/>
      <c r="I69" s="187"/>
      <c r="J69" s="187"/>
      <c r="K69" s="187"/>
      <c r="L69" s="187"/>
      <c r="M69" s="187"/>
      <c r="N69" s="175"/>
      <c r="O69" s="208"/>
      <c r="P69" s="206"/>
      <c r="Q69" s="194"/>
      <c r="R69" s="191"/>
      <c r="S69" s="191"/>
      <c r="T69" s="191"/>
      <c r="U69" s="194"/>
      <c r="V69" s="194"/>
      <c r="W69" s="194"/>
      <c r="X69" s="194"/>
      <c r="Y69" s="199"/>
      <c r="AB69" s="32"/>
    </row>
    <row r="70" spans="1:28" x14ac:dyDescent="0.25">
      <c r="A70" s="8">
        <f t="shared" si="2"/>
        <v>59</v>
      </c>
      <c r="B70" s="173"/>
      <c r="C70" s="174"/>
      <c r="D70" s="171"/>
      <c r="E70" s="171"/>
      <c r="F70" s="172"/>
      <c r="G70" s="173"/>
      <c r="H70" s="187"/>
      <c r="I70" s="187"/>
      <c r="J70" s="187"/>
      <c r="K70" s="187"/>
      <c r="L70" s="187"/>
      <c r="M70" s="187"/>
      <c r="N70" s="175"/>
      <c r="O70" s="208"/>
      <c r="P70" s="206"/>
      <c r="Q70" s="194"/>
      <c r="R70" s="191"/>
      <c r="S70" s="191"/>
      <c r="T70" s="191"/>
      <c r="U70" s="194"/>
      <c r="V70" s="194"/>
      <c r="W70" s="194"/>
      <c r="X70" s="194"/>
      <c r="Y70" s="199"/>
      <c r="AB70" s="32"/>
    </row>
    <row r="71" spans="1:28" x14ac:dyDescent="0.25">
      <c r="A71" s="8">
        <f t="shared" si="2"/>
        <v>60</v>
      </c>
      <c r="B71" s="173"/>
      <c r="C71" s="174"/>
      <c r="D71" s="171"/>
      <c r="E71" s="171"/>
      <c r="F71" s="172"/>
      <c r="G71" s="173"/>
      <c r="H71" s="173"/>
      <c r="I71" s="173"/>
      <c r="J71" s="187"/>
      <c r="K71" s="187"/>
      <c r="L71" s="187"/>
      <c r="M71" s="187"/>
      <c r="N71" s="175"/>
      <c r="O71" s="208"/>
      <c r="P71" s="206"/>
      <c r="Q71" s="194"/>
      <c r="R71" s="191"/>
      <c r="S71" s="191"/>
      <c r="T71" s="191"/>
      <c r="U71" s="194"/>
      <c r="V71" s="194"/>
      <c r="W71" s="194"/>
      <c r="X71" s="194"/>
      <c r="Y71" s="199"/>
      <c r="AB71" s="32"/>
    </row>
    <row r="72" spans="1:28" x14ac:dyDescent="0.25">
      <c r="A72" s="8">
        <f t="shared" si="2"/>
        <v>61</v>
      </c>
      <c r="B72" s="173"/>
      <c r="C72" s="174"/>
      <c r="D72" s="171"/>
      <c r="E72" s="171"/>
      <c r="F72" s="172"/>
      <c r="G72" s="173"/>
      <c r="H72" s="173"/>
      <c r="I72" s="173"/>
      <c r="J72" s="187"/>
      <c r="K72" s="187"/>
      <c r="L72" s="187"/>
      <c r="M72" s="187"/>
      <c r="N72" s="175"/>
      <c r="O72" s="208"/>
      <c r="P72" s="206"/>
      <c r="Q72" s="194"/>
      <c r="R72" s="191"/>
      <c r="S72" s="191"/>
      <c r="T72" s="191"/>
      <c r="U72" s="194"/>
      <c r="V72" s="194"/>
      <c r="W72" s="194"/>
      <c r="X72" s="194"/>
      <c r="Y72" s="199"/>
      <c r="AB72" s="32"/>
    </row>
    <row r="73" spans="1:28" x14ac:dyDescent="0.25">
      <c r="A73" s="8">
        <f t="shared" si="2"/>
        <v>62</v>
      </c>
      <c r="B73" s="173"/>
      <c r="C73" s="174"/>
      <c r="D73" s="171"/>
      <c r="E73" s="171"/>
      <c r="F73" s="172"/>
      <c r="G73" s="173"/>
      <c r="H73" s="173"/>
      <c r="I73" s="173"/>
      <c r="J73" s="187"/>
      <c r="K73" s="187"/>
      <c r="L73" s="187"/>
      <c r="M73" s="187"/>
      <c r="N73" s="103"/>
      <c r="O73" s="193"/>
      <c r="P73" s="207"/>
      <c r="Q73" s="194"/>
      <c r="R73" s="191"/>
      <c r="S73" s="191"/>
      <c r="T73" s="191"/>
      <c r="U73" s="194"/>
      <c r="V73" s="194"/>
      <c r="W73" s="194"/>
      <c r="X73" s="194"/>
      <c r="Y73" s="199"/>
      <c r="AB73" s="32"/>
    </row>
    <row r="74" spans="1:28" x14ac:dyDescent="0.25">
      <c r="A74" s="8">
        <f t="shared" si="2"/>
        <v>63</v>
      </c>
      <c r="B74" s="173"/>
      <c r="C74" s="174"/>
      <c r="D74" s="171"/>
      <c r="E74" s="171"/>
      <c r="F74" s="172"/>
      <c r="G74" s="173"/>
      <c r="H74" s="173"/>
      <c r="I74" s="173"/>
      <c r="J74" s="187"/>
      <c r="K74" s="187"/>
      <c r="L74" s="187"/>
      <c r="M74" s="187"/>
      <c r="N74" s="175"/>
      <c r="O74" s="208"/>
      <c r="P74" s="206"/>
      <c r="Q74" s="194"/>
      <c r="R74" s="191"/>
      <c r="S74" s="191"/>
      <c r="T74" s="191"/>
      <c r="U74" s="194"/>
      <c r="V74" s="194"/>
      <c r="W74" s="194"/>
      <c r="X74" s="194"/>
      <c r="Y74" s="199"/>
      <c r="AB74" s="32"/>
    </row>
    <row r="75" spans="1:28" x14ac:dyDescent="0.25">
      <c r="A75" s="8">
        <f t="shared" si="2"/>
        <v>64</v>
      </c>
      <c r="B75" s="173"/>
      <c r="C75" s="174"/>
      <c r="D75" s="171"/>
      <c r="E75" s="171"/>
      <c r="F75" s="172"/>
      <c r="G75" s="173"/>
      <c r="H75" s="173"/>
      <c r="I75" s="173"/>
      <c r="J75" s="187"/>
      <c r="K75" s="187"/>
      <c r="L75" s="187"/>
      <c r="M75" s="187"/>
      <c r="N75" s="175"/>
      <c r="O75" s="208"/>
      <c r="P75" s="206"/>
      <c r="Q75" s="194"/>
      <c r="R75" s="191"/>
      <c r="S75" s="191"/>
      <c r="T75" s="191"/>
      <c r="U75" s="194"/>
      <c r="V75" s="194"/>
      <c r="W75" s="194"/>
      <c r="X75" s="194"/>
      <c r="Y75" s="199"/>
      <c r="AB75" s="32"/>
    </row>
    <row r="76" spans="1:28" x14ac:dyDescent="0.25">
      <c r="A76" s="8">
        <f t="shared" si="2"/>
        <v>65</v>
      </c>
      <c r="B76" s="173"/>
      <c r="C76" s="174"/>
      <c r="D76" s="171"/>
      <c r="E76" s="171"/>
      <c r="F76" s="172"/>
      <c r="G76" s="173"/>
      <c r="H76" s="187"/>
      <c r="I76" s="187"/>
      <c r="J76" s="187"/>
      <c r="K76" s="187"/>
      <c r="L76" s="187"/>
      <c r="M76" s="187"/>
      <c r="N76" s="175"/>
      <c r="O76" s="208"/>
      <c r="P76" s="206"/>
      <c r="Q76" s="194"/>
      <c r="R76" s="191"/>
      <c r="S76" s="191"/>
      <c r="T76" s="191"/>
      <c r="U76" s="194"/>
      <c r="V76" s="194"/>
      <c r="W76" s="194"/>
      <c r="X76" s="194"/>
      <c r="Y76" s="199"/>
      <c r="AB76" s="32"/>
    </row>
    <row r="77" spans="1:28" x14ac:dyDescent="0.25">
      <c r="A77" s="8">
        <f t="shared" si="2"/>
        <v>66</v>
      </c>
      <c r="B77" s="173"/>
      <c r="C77" s="174"/>
      <c r="D77" s="171"/>
      <c r="E77" s="171"/>
      <c r="F77" s="172"/>
      <c r="G77" s="173"/>
      <c r="H77" s="187"/>
      <c r="I77" s="187"/>
      <c r="J77" s="187"/>
      <c r="K77" s="187"/>
      <c r="L77" s="187"/>
      <c r="M77" s="187"/>
      <c r="N77" s="175"/>
      <c r="O77" s="208"/>
      <c r="P77" s="206"/>
      <c r="Q77" s="194"/>
      <c r="R77" s="191"/>
      <c r="S77" s="191"/>
      <c r="T77" s="191"/>
      <c r="U77" s="194"/>
      <c r="V77" s="194"/>
      <c r="W77" s="194"/>
      <c r="X77" s="194"/>
      <c r="Y77" s="199"/>
      <c r="AB77" s="32"/>
    </row>
    <row r="78" spans="1:28" x14ac:dyDescent="0.25">
      <c r="A78" s="8">
        <f t="shared" ref="A78:A141" si="3">+A77+1</f>
        <v>67</v>
      </c>
      <c r="B78" s="173"/>
      <c r="C78" s="174"/>
      <c r="D78" s="171"/>
      <c r="E78" s="171"/>
      <c r="F78" s="172"/>
      <c r="G78" s="173"/>
      <c r="H78" s="173"/>
      <c r="I78" s="173"/>
      <c r="J78" s="187"/>
      <c r="K78" s="187"/>
      <c r="L78" s="187"/>
      <c r="M78" s="187"/>
      <c r="N78" s="175"/>
      <c r="O78" s="208"/>
      <c r="P78" s="206"/>
      <c r="Q78" s="194"/>
      <c r="R78" s="191"/>
      <c r="S78" s="191"/>
      <c r="T78" s="191"/>
      <c r="U78" s="194"/>
      <c r="V78" s="194"/>
      <c r="W78" s="194"/>
      <c r="X78" s="194"/>
      <c r="Y78" s="199"/>
      <c r="AB78" s="32"/>
    </row>
    <row r="79" spans="1:28" x14ac:dyDescent="0.25">
      <c r="A79" s="8">
        <f t="shared" si="3"/>
        <v>68</v>
      </c>
      <c r="B79" s="173"/>
      <c r="C79" s="174"/>
      <c r="D79" s="171"/>
      <c r="E79" s="171"/>
      <c r="F79" s="172"/>
      <c r="G79" s="173"/>
      <c r="H79" s="173"/>
      <c r="I79" s="173"/>
      <c r="J79" s="187"/>
      <c r="K79" s="187"/>
      <c r="L79" s="187"/>
      <c r="M79" s="187"/>
      <c r="N79" s="175"/>
      <c r="O79" s="208"/>
      <c r="P79" s="206"/>
      <c r="Q79" s="194"/>
      <c r="R79" s="191"/>
      <c r="S79" s="191"/>
      <c r="T79" s="191"/>
      <c r="U79" s="194"/>
      <c r="V79" s="194"/>
      <c r="W79" s="194"/>
      <c r="X79" s="194"/>
      <c r="Y79" s="199"/>
      <c r="AB79" s="32"/>
    </row>
    <row r="80" spans="1:28" x14ac:dyDescent="0.25">
      <c r="A80" s="8">
        <f t="shared" si="3"/>
        <v>69</v>
      </c>
      <c r="B80" s="173"/>
      <c r="C80" s="174"/>
      <c r="D80" s="171"/>
      <c r="E80" s="171"/>
      <c r="F80" s="172"/>
      <c r="G80" s="173"/>
      <c r="H80" s="173"/>
      <c r="I80" s="173"/>
      <c r="J80" s="187"/>
      <c r="K80" s="187"/>
      <c r="L80" s="187"/>
      <c r="M80" s="187"/>
      <c r="N80" s="175"/>
      <c r="O80" s="208"/>
      <c r="P80" s="206"/>
      <c r="Q80" s="194"/>
      <c r="R80" s="191"/>
      <c r="S80" s="191"/>
      <c r="T80" s="191"/>
      <c r="U80" s="194"/>
      <c r="V80" s="194"/>
      <c r="W80" s="194"/>
      <c r="X80" s="194"/>
      <c r="Y80" s="199"/>
    </row>
    <row r="81" spans="1:25" x14ac:dyDescent="0.25">
      <c r="A81" s="8">
        <f t="shared" si="3"/>
        <v>70</v>
      </c>
      <c r="B81" s="173"/>
      <c r="C81" s="174"/>
      <c r="D81" s="171"/>
      <c r="E81" s="171"/>
      <c r="F81" s="172"/>
      <c r="G81" s="173"/>
      <c r="H81" s="173"/>
      <c r="I81" s="173"/>
      <c r="J81" s="173"/>
      <c r="K81" s="187"/>
      <c r="L81" s="187"/>
      <c r="M81" s="187"/>
      <c r="N81" s="175"/>
      <c r="O81" s="208"/>
      <c r="P81" s="206"/>
      <c r="Q81" s="194"/>
      <c r="R81" s="191"/>
      <c r="S81" s="191"/>
      <c r="T81" s="191"/>
      <c r="U81" s="194"/>
      <c r="V81" s="194"/>
      <c r="W81" s="194"/>
      <c r="X81" s="194"/>
      <c r="Y81" s="199"/>
    </row>
    <row r="82" spans="1:25" x14ac:dyDescent="0.25">
      <c r="A82" s="8">
        <f t="shared" si="3"/>
        <v>71</v>
      </c>
      <c r="B82" s="173"/>
      <c r="C82" s="174"/>
      <c r="D82" s="171"/>
      <c r="E82" s="171"/>
      <c r="F82" s="172"/>
      <c r="G82" s="173"/>
      <c r="H82" s="187"/>
      <c r="I82" s="187"/>
      <c r="J82" s="187"/>
      <c r="K82" s="187"/>
      <c r="L82" s="187"/>
      <c r="M82" s="187"/>
      <c r="N82" s="175"/>
      <c r="O82" s="208"/>
      <c r="P82" s="206"/>
      <c r="Q82" s="194"/>
      <c r="R82" s="191"/>
      <c r="S82" s="191"/>
      <c r="T82" s="191"/>
      <c r="U82" s="194"/>
      <c r="V82" s="194"/>
      <c r="W82" s="194"/>
      <c r="X82" s="194"/>
      <c r="Y82" s="199"/>
    </row>
    <row r="83" spans="1:25" x14ac:dyDescent="0.25">
      <c r="A83" s="8">
        <f t="shared" si="3"/>
        <v>72</v>
      </c>
      <c r="B83" s="173"/>
      <c r="C83" s="174"/>
      <c r="D83" s="171"/>
      <c r="E83" s="171"/>
      <c r="F83" s="172"/>
      <c r="G83" s="173"/>
      <c r="H83" s="187"/>
      <c r="I83" s="187"/>
      <c r="J83" s="187"/>
      <c r="K83" s="187"/>
      <c r="L83" s="187"/>
      <c r="M83" s="187"/>
      <c r="N83" s="175"/>
      <c r="O83" s="208"/>
      <c r="P83" s="206"/>
      <c r="Q83" s="194"/>
      <c r="R83" s="191"/>
      <c r="S83" s="191"/>
      <c r="T83" s="191"/>
      <c r="U83" s="194"/>
      <c r="V83" s="194"/>
      <c r="W83" s="194"/>
      <c r="X83" s="194"/>
      <c r="Y83" s="199"/>
    </row>
    <row r="84" spans="1:25" x14ac:dyDescent="0.25">
      <c r="A84" s="8">
        <f t="shared" si="3"/>
        <v>73</v>
      </c>
      <c r="B84" s="173"/>
      <c r="C84" s="174"/>
      <c r="D84" s="171"/>
      <c r="E84" s="171"/>
      <c r="F84" s="172"/>
      <c r="G84" s="173"/>
      <c r="H84" s="187"/>
      <c r="I84" s="187"/>
      <c r="J84" s="187"/>
      <c r="K84" s="187"/>
      <c r="L84" s="187"/>
      <c r="M84" s="187"/>
      <c r="N84" s="175"/>
      <c r="O84" s="208"/>
      <c r="P84" s="206"/>
      <c r="Q84" s="194"/>
      <c r="R84" s="191"/>
      <c r="S84" s="191"/>
      <c r="T84" s="191"/>
      <c r="U84" s="194"/>
      <c r="V84" s="194"/>
      <c r="W84" s="194"/>
      <c r="X84" s="194"/>
      <c r="Y84" s="199"/>
    </row>
    <row r="85" spans="1:25" x14ac:dyDescent="0.25">
      <c r="A85" s="8">
        <f t="shared" si="3"/>
        <v>74</v>
      </c>
      <c r="B85" s="173"/>
      <c r="C85" s="174"/>
      <c r="D85" s="171"/>
      <c r="E85" s="171"/>
      <c r="F85" s="172"/>
      <c r="G85" s="173"/>
      <c r="H85" s="187"/>
      <c r="I85" s="187"/>
      <c r="J85" s="187"/>
      <c r="K85" s="187"/>
      <c r="L85" s="187"/>
      <c r="M85" s="187"/>
      <c r="N85" s="103"/>
      <c r="O85" s="193"/>
      <c r="P85" s="207"/>
      <c r="Q85" s="194"/>
      <c r="R85" s="191"/>
      <c r="S85" s="191"/>
      <c r="T85" s="191"/>
      <c r="U85" s="194"/>
      <c r="V85" s="194"/>
      <c r="W85" s="194"/>
      <c r="X85" s="194"/>
      <c r="Y85" s="199"/>
    </row>
    <row r="86" spans="1:25" x14ac:dyDescent="0.25">
      <c r="A86" s="8">
        <f t="shared" si="3"/>
        <v>75</v>
      </c>
      <c r="B86" s="173"/>
      <c r="C86" s="174"/>
      <c r="D86" s="188"/>
      <c r="E86" s="188"/>
      <c r="F86" s="187"/>
      <c r="G86" s="173"/>
      <c r="H86" s="187"/>
      <c r="I86" s="187"/>
      <c r="J86" s="187"/>
      <c r="K86" s="187"/>
      <c r="L86" s="187"/>
      <c r="M86" s="187"/>
      <c r="N86" s="103"/>
      <c r="O86" s="193"/>
      <c r="P86" s="207"/>
      <c r="Q86" s="194"/>
      <c r="R86" s="191"/>
      <c r="S86" s="191"/>
      <c r="T86" s="191"/>
      <c r="U86" s="194"/>
      <c r="V86" s="194"/>
      <c r="W86" s="194"/>
      <c r="X86" s="194"/>
      <c r="Y86" s="199"/>
    </row>
    <row r="87" spans="1:25" x14ac:dyDescent="0.25">
      <c r="A87" s="8">
        <f t="shared" si="3"/>
        <v>76</v>
      </c>
      <c r="B87" s="173"/>
      <c r="C87" s="174"/>
      <c r="D87" s="171"/>
      <c r="E87" s="171"/>
      <c r="F87" s="172"/>
      <c r="G87" s="173"/>
      <c r="H87" s="187"/>
      <c r="I87" s="187"/>
      <c r="J87" s="187"/>
      <c r="K87" s="187"/>
      <c r="L87" s="187"/>
      <c r="M87" s="187"/>
      <c r="N87" s="103"/>
      <c r="O87" s="193"/>
      <c r="P87" s="207"/>
      <c r="Q87" s="194"/>
      <c r="R87" s="191"/>
      <c r="S87" s="191"/>
      <c r="T87" s="191"/>
      <c r="U87" s="194"/>
      <c r="V87" s="194"/>
      <c r="W87" s="194"/>
      <c r="X87" s="194"/>
      <c r="Y87" s="199"/>
    </row>
    <row r="88" spans="1:25" x14ac:dyDescent="0.25">
      <c r="A88" s="8">
        <f t="shared" si="3"/>
        <v>77</v>
      </c>
      <c r="B88" s="173"/>
      <c r="C88" s="174"/>
      <c r="D88" s="171"/>
      <c r="E88" s="171"/>
      <c r="F88" s="172"/>
      <c r="G88" s="187"/>
      <c r="H88" s="187"/>
      <c r="I88" s="187"/>
      <c r="J88" s="187"/>
      <c r="K88" s="187"/>
      <c r="L88" s="187"/>
      <c r="M88" s="187"/>
      <c r="N88" s="103"/>
      <c r="O88" s="193"/>
      <c r="P88" s="207"/>
      <c r="Q88" s="194"/>
      <c r="R88" s="191"/>
      <c r="S88" s="191"/>
      <c r="T88" s="191"/>
      <c r="U88" s="194"/>
      <c r="V88" s="194"/>
      <c r="W88" s="194"/>
      <c r="X88" s="194"/>
      <c r="Y88" s="199"/>
    </row>
    <row r="89" spans="1:25" x14ac:dyDescent="0.25">
      <c r="A89" s="8">
        <f t="shared" si="3"/>
        <v>78</v>
      </c>
      <c r="B89" s="173"/>
      <c r="C89" s="174"/>
      <c r="D89" s="171"/>
      <c r="E89" s="171"/>
      <c r="F89" s="172"/>
      <c r="G89" s="187"/>
      <c r="H89" s="187"/>
      <c r="I89" s="187"/>
      <c r="J89" s="187"/>
      <c r="K89" s="187"/>
      <c r="L89" s="187"/>
      <c r="M89" s="187"/>
      <c r="N89" s="103"/>
      <c r="O89" s="193"/>
      <c r="P89" s="207"/>
      <c r="Q89" s="194"/>
      <c r="R89" s="191"/>
      <c r="S89" s="191"/>
      <c r="T89" s="191"/>
      <c r="U89" s="194"/>
      <c r="V89" s="194"/>
      <c r="W89" s="194"/>
      <c r="X89" s="194"/>
      <c r="Y89" s="199"/>
    </row>
    <row r="90" spans="1:25" x14ac:dyDescent="0.25">
      <c r="A90" s="8">
        <f t="shared" si="3"/>
        <v>79</v>
      </c>
      <c r="B90" s="173"/>
      <c r="C90" s="174"/>
      <c r="D90" s="171"/>
      <c r="E90" s="171"/>
      <c r="F90" s="172"/>
      <c r="G90" s="187"/>
      <c r="H90" s="187"/>
      <c r="I90" s="187"/>
      <c r="J90" s="187"/>
      <c r="K90" s="187"/>
      <c r="L90" s="187"/>
      <c r="M90" s="187"/>
      <c r="N90" s="103"/>
      <c r="O90" s="193"/>
      <c r="P90" s="207"/>
      <c r="Q90" s="194"/>
      <c r="R90" s="191"/>
      <c r="S90" s="191"/>
      <c r="T90" s="191"/>
      <c r="U90" s="194"/>
      <c r="V90" s="194"/>
      <c r="W90" s="194"/>
      <c r="X90" s="194"/>
      <c r="Y90" s="199"/>
    </row>
    <row r="91" spans="1:25" x14ac:dyDescent="0.25">
      <c r="A91" s="8">
        <f t="shared" si="3"/>
        <v>80</v>
      </c>
      <c r="B91" s="173"/>
      <c r="C91" s="174"/>
      <c r="D91" s="171"/>
      <c r="E91" s="171"/>
      <c r="F91" s="172"/>
      <c r="G91" s="187"/>
      <c r="H91" s="187"/>
      <c r="I91" s="187"/>
      <c r="J91" s="187"/>
      <c r="K91" s="187"/>
      <c r="L91" s="187"/>
      <c r="M91" s="187"/>
      <c r="N91" s="103"/>
      <c r="O91" s="193"/>
      <c r="P91" s="207"/>
      <c r="Q91" s="194"/>
      <c r="R91" s="191"/>
      <c r="S91" s="191"/>
      <c r="T91" s="191"/>
      <c r="U91" s="194"/>
      <c r="V91" s="194"/>
      <c r="W91" s="194"/>
      <c r="X91" s="194"/>
      <c r="Y91" s="199"/>
    </row>
    <row r="92" spans="1:25" x14ac:dyDescent="0.25">
      <c r="A92" s="8">
        <f t="shared" si="3"/>
        <v>81</v>
      </c>
      <c r="B92" s="173"/>
      <c r="C92" s="174"/>
      <c r="D92" s="171"/>
      <c r="E92" s="171"/>
      <c r="F92" s="172"/>
      <c r="G92" s="187"/>
      <c r="H92" s="187"/>
      <c r="I92" s="187"/>
      <c r="J92" s="187"/>
      <c r="K92" s="187"/>
      <c r="L92" s="187"/>
      <c r="M92" s="187"/>
      <c r="N92" s="103"/>
      <c r="O92" s="193"/>
      <c r="P92" s="207"/>
      <c r="Q92" s="194"/>
      <c r="R92" s="191"/>
      <c r="S92" s="191"/>
      <c r="T92" s="191"/>
      <c r="U92" s="194"/>
      <c r="V92" s="194"/>
      <c r="W92" s="194"/>
      <c r="X92" s="194"/>
      <c r="Y92" s="199"/>
    </row>
    <row r="93" spans="1:25" x14ac:dyDescent="0.25">
      <c r="A93" s="8">
        <f t="shared" si="3"/>
        <v>82</v>
      </c>
      <c r="B93" s="173"/>
      <c r="C93" s="174"/>
      <c r="D93" s="171"/>
      <c r="E93" s="171"/>
      <c r="F93" s="172"/>
      <c r="G93" s="187"/>
      <c r="H93" s="187"/>
      <c r="I93" s="187"/>
      <c r="J93" s="187"/>
      <c r="K93" s="187"/>
      <c r="L93" s="187"/>
      <c r="M93" s="187"/>
      <c r="N93" s="103"/>
      <c r="O93" s="193"/>
      <c r="P93" s="207"/>
      <c r="Q93" s="194"/>
      <c r="R93" s="191"/>
      <c r="S93" s="191"/>
      <c r="T93" s="191"/>
      <c r="U93" s="194"/>
      <c r="V93" s="194"/>
      <c r="W93" s="194"/>
      <c r="X93" s="194"/>
      <c r="Y93" s="199"/>
    </row>
    <row r="94" spans="1:25" x14ac:dyDescent="0.25">
      <c r="A94" s="8">
        <f t="shared" si="3"/>
        <v>83</v>
      </c>
      <c r="B94" s="173"/>
      <c r="C94" s="174"/>
      <c r="D94" s="171"/>
      <c r="E94" s="171"/>
      <c r="F94" s="172"/>
      <c r="G94" s="187"/>
      <c r="H94" s="187"/>
      <c r="I94" s="187"/>
      <c r="J94" s="187"/>
      <c r="K94" s="187"/>
      <c r="L94" s="187"/>
      <c r="M94" s="187"/>
      <c r="N94" s="103"/>
      <c r="O94" s="193"/>
      <c r="P94" s="207"/>
      <c r="Q94" s="194"/>
      <c r="R94" s="191"/>
      <c r="S94" s="191"/>
      <c r="T94" s="191"/>
      <c r="U94" s="194"/>
      <c r="V94" s="194"/>
      <c r="W94" s="194"/>
      <c r="X94" s="194"/>
      <c r="Y94" s="199"/>
    </row>
    <row r="95" spans="1:25" x14ac:dyDescent="0.25">
      <c r="A95" s="8">
        <f t="shared" si="3"/>
        <v>84</v>
      </c>
      <c r="B95" s="173"/>
      <c r="C95" s="174"/>
      <c r="D95" s="171"/>
      <c r="E95" s="171"/>
      <c r="F95" s="172"/>
      <c r="G95" s="187"/>
      <c r="H95" s="187"/>
      <c r="I95" s="187"/>
      <c r="J95" s="187"/>
      <c r="K95" s="187"/>
      <c r="L95" s="187"/>
      <c r="M95" s="187"/>
      <c r="N95" s="103"/>
      <c r="O95" s="193"/>
      <c r="P95" s="207"/>
      <c r="Q95" s="194"/>
      <c r="R95" s="191"/>
      <c r="S95" s="191"/>
      <c r="T95" s="191"/>
      <c r="U95" s="194"/>
      <c r="V95" s="194"/>
      <c r="W95" s="194"/>
      <c r="X95" s="194"/>
      <c r="Y95" s="199"/>
    </row>
    <row r="96" spans="1:25" x14ac:dyDescent="0.25">
      <c r="A96" s="8">
        <f t="shared" si="3"/>
        <v>85</v>
      </c>
      <c r="B96" s="173"/>
      <c r="C96" s="174"/>
      <c r="D96" s="171"/>
      <c r="E96" s="171"/>
      <c r="F96" s="172"/>
      <c r="G96" s="187"/>
      <c r="H96" s="187"/>
      <c r="I96" s="187"/>
      <c r="J96" s="187"/>
      <c r="K96" s="187"/>
      <c r="L96" s="187"/>
      <c r="M96" s="187"/>
      <c r="N96" s="103"/>
      <c r="O96" s="193"/>
      <c r="P96" s="207"/>
      <c r="Q96" s="194"/>
      <c r="R96" s="191"/>
      <c r="S96" s="191"/>
      <c r="T96" s="191"/>
      <c r="U96" s="194"/>
      <c r="V96" s="194"/>
      <c r="W96" s="194"/>
      <c r="X96" s="194"/>
      <c r="Y96" s="199"/>
    </row>
    <row r="97" spans="1:25" x14ac:dyDescent="0.25">
      <c r="A97" s="8">
        <f t="shared" si="3"/>
        <v>86</v>
      </c>
      <c r="B97" s="173"/>
      <c r="C97" s="174"/>
      <c r="D97" s="171"/>
      <c r="E97" s="171"/>
      <c r="F97" s="172"/>
      <c r="G97" s="187"/>
      <c r="H97" s="187"/>
      <c r="I97" s="187"/>
      <c r="J97" s="187"/>
      <c r="K97" s="187"/>
      <c r="L97" s="187"/>
      <c r="M97" s="187"/>
      <c r="N97" s="103"/>
      <c r="O97" s="193"/>
      <c r="P97" s="207"/>
      <c r="Q97" s="194"/>
      <c r="R97" s="191"/>
      <c r="S97" s="191"/>
      <c r="T97" s="191"/>
      <c r="U97" s="194"/>
      <c r="V97" s="194"/>
      <c r="W97" s="194"/>
      <c r="X97" s="194"/>
      <c r="Y97" s="199"/>
    </row>
    <row r="98" spans="1:25" x14ac:dyDescent="0.25">
      <c r="A98" s="8">
        <f t="shared" si="3"/>
        <v>87</v>
      </c>
      <c r="B98" s="173"/>
      <c r="C98" s="174"/>
      <c r="D98" s="171"/>
      <c r="E98" s="171"/>
      <c r="F98" s="172"/>
      <c r="G98" s="187"/>
      <c r="H98" s="187"/>
      <c r="I98" s="187"/>
      <c r="J98" s="187"/>
      <c r="K98" s="187"/>
      <c r="L98" s="187"/>
      <c r="M98" s="187"/>
      <c r="N98" s="103"/>
      <c r="O98" s="193"/>
      <c r="P98" s="207"/>
      <c r="Q98" s="194"/>
      <c r="R98" s="191"/>
      <c r="S98" s="191"/>
      <c r="T98" s="191"/>
      <c r="U98" s="194"/>
      <c r="V98" s="194"/>
      <c r="W98" s="194"/>
      <c r="X98" s="194"/>
      <c r="Y98" s="199"/>
    </row>
    <row r="99" spans="1:25" x14ac:dyDescent="0.25">
      <c r="A99" s="8">
        <f t="shared" si="3"/>
        <v>88</v>
      </c>
      <c r="B99" s="173"/>
      <c r="C99" s="174"/>
      <c r="D99" s="171"/>
      <c r="E99" s="171"/>
      <c r="F99" s="172"/>
      <c r="G99" s="187"/>
      <c r="H99" s="187"/>
      <c r="I99" s="187"/>
      <c r="J99" s="187"/>
      <c r="K99" s="187"/>
      <c r="L99" s="187"/>
      <c r="M99" s="187"/>
      <c r="N99" s="103"/>
      <c r="O99" s="193"/>
      <c r="P99" s="207"/>
      <c r="Q99" s="194"/>
      <c r="R99" s="191"/>
      <c r="S99" s="191"/>
      <c r="T99" s="191"/>
      <c r="U99" s="194"/>
      <c r="V99" s="194"/>
      <c r="W99" s="194"/>
      <c r="X99" s="194"/>
      <c r="Y99" s="199"/>
    </row>
    <row r="100" spans="1:25" x14ac:dyDescent="0.25">
      <c r="A100" s="8">
        <f t="shared" si="3"/>
        <v>89</v>
      </c>
      <c r="B100" s="173"/>
      <c r="C100" s="174"/>
      <c r="D100" s="171"/>
      <c r="E100" s="171"/>
      <c r="F100" s="172"/>
      <c r="G100" s="187"/>
      <c r="H100" s="187"/>
      <c r="I100" s="187"/>
      <c r="J100" s="187"/>
      <c r="K100" s="187"/>
      <c r="L100" s="187"/>
      <c r="M100" s="187"/>
      <c r="N100" s="103"/>
      <c r="O100" s="193"/>
      <c r="P100" s="207"/>
      <c r="Q100" s="194"/>
      <c r="R100" s="191"/>
      <c r="S100" s="191"/>
      <c r="T100" s="191"/>
      <c r="U100" s="194"/>
      <c r="V100" s="194"/>
      <c r="W100" s="194"/>
      <c r="X100" s="194"/>
      <c r="Y100" s="199"/>
    </row>
    <row r="101" spans="1:25" x14ac:dyDescent="0.25">
      <c r="A101" s="8">
        <f t="shared" si="3"/>
        <v>90</v>
      </c>
      <c r="B101" s="173"/>
      <c r="C101" s="174"/>
      <c r="D101" s="171"/>
      <c r="E101" s="171"/>
      <c r="F101" s="172"/>
      <c r="G101" s="187"/>
      <c r="H101" s="187"/>
      <c r="I101" s="187"/>
      <c r="J101" s="187"/>
      <c r="K101" s="187"/>
      <c r="L101" s="187"/>
      <c r="M101" s="187"/>
      <c r="N101" s="103"/>
      <c r="O101" s="193"/>
      <c r="P101" s="207"/>
      <c r="Q101" s="194"/>
      <c r="R101" s="191"/>
      <c r="S101" s="191"/>
      <c r="T101" s="191"/>
      <c r="U101" s="194"/>
      <c r="V101" s="194"/>
      <c r="W101" s="194"/>
      <c r="X101" s="194"/>
      <c r="Y101" s="199"/>
    </row>
    <row r="102" spans="1:25" x14ac:dyDescent="0.25">
      <c r="A102" s="8">
        <f t="shared" si="3"/>
        <v>91</v>
      </c>
      <c r="B102" s="173"/>
      <c r="C102" s="174"/>
      <c r="D102" s="171"/>
      <c r="E102" s="171"/>
      <c r="F102" s="172"/>
      <c r="G102" s="187"/>
      <c r="H102" s="187"/>
      <c r="I102" s="187"/>
      <c r="J102" s="187"/>
      <c r="K102" s="187"/>
      <c r="L102" s="187"/>
      <c r="M102" s="187"/>
      <c r="N102" s="103"/>
      <c r="O102" s="193"/>
      <c r="P102" s="207"/>
      <c r="Q102" s="194"/>
      <c r="R102" s="191"/>
      <c r="S102" s="191"/>
      <c r="T102" s="191"/>
      <c r="U102" s="194"/>
      <c r="V102" s="194"/>
      <c r="W102" s="194"/>
      <c r="X102" s="194"/>
      <c r="Y102" s="199"/>
    </row>
    <row r="103" spans="1:25" x14ac:dyDescent="0.25">
      <c r="A103" s="8">
        <f t="shared" si="3"/>
        <v>92</v>
      </c>
      <c r="B103" s="173"/>
      <c r="C103" s="174"/>
      <c r="D103" s="171"/>
      <c r="E103" s="171"/>
      <c r="F103" s="172"/>
      <c r="G103" s="187"/>
      <c r="H103" s="187"/>
      <c r="I103" s="187"/>
      <c r="J103" s="187"/>
      <c r="K103" s="187"/>
      <c r="L103" s="187"/>
      <c r="M103" s="187"/>
      <c r="N103" s="103"/>
      <c r="O103" s="193"/>
      <c r="P103" s="207"/>
      <c r="Q103" s="194"/>
      <c r="R103" s="191"/>
      <c r="S103" s="191"/>
      <c r="T103" s="191"/>
      <c r="U103" s="194"/>
      <c r="V103" s="194"/>
      <c r="W103" s="194"/>
      <c r="X103" s="194"/>
      <c r="Y103" s="199"/>
    </row>
    <row r="104" spans="1:25" x14ac:dyDescent="0.25">
      <c r="A104" s="8">
        <f t="shared" si="3"/>
        <v>93</v>
      </c>
      <c r="B104" s="173"/>
      <c r="C104" s="174"/>
      <c r="D104" s="171"/>
      <c r="E104" s="171"/>
      <c r="F104" s="172"/>
      <c r="G104" s="187"/>
      <c r="H104" s="187"/>
      <c r="I104" s="187"/>
      <c r="J104" s="187"/>
      <c r="K104" s="187"/>
      <c r="L104" s="187"/>
      <c r="M104" s="187"/>
      <c r="N104" s="103"/>
      <c r="O104" s="193"/>
      <c r="P104" s="207"/>
      <c r="Q104" s="194"/>
      <c r="R104" s="191"/>
      <c r="S104" s="191"/>
      <c r="T104" s="191"/>
      <c r="U104" s="194"/>
      <c r="V104" s="194"/>
      <c r="W104" s="194"/>
      <c r="X104" s="194"/>
      <c r="Y104" s="199"/>
    </row>
    <row r="105" spans="1:25" x14ac:dyDescent="0.25">
      <c r="A105" s="8">
        <f t="shared" si="3"/>
        <v>94</v>
      </c>
      <c r="B105" s="173"/>
      <c r="C105" s="174"/>
      <c r="D105" s="171"/>
      <c r="E105" s="171"/>
      <c r="F105" s="172"/>
      <c r="G105" s="187"/>
      <c r="H105" s="187"/>
      <c r="I105" s="187"/>
      <c r="J105" s="187"/>
      <c r="K105" s="187"/>
      <c r="L105" s="187"/>
      <c r="M105" s="187"/>
      <c r="N105" s="103"/>
      <c r="O105" s="193"/>
      <c r="P105" s="207"/>
      <c r="Q105" s="194"/>
      <c r="R105" s="191"/>
      <c r="S105" s="191"/>
      <c r="T105" s="191"/>
      <c r="U105" s="194"/>
      <c r="V105" s="194"/>
      <c r="W105" s="194"/>
      <c r="X105" s="194"/>
      <c r="Y105" s="199"/>
    </row>
    <row r="106" spans="1:25" x14ac:dyDescent="0.25">
      <c r="A106" s="8">
        <f t="shared" si="3"/>
        <v>95</v>
      </c>
      <c r="B106" s="173"/>
      <c r="C106" s="174"/>
      <c r="D106" s="171"/>
      <c r="E106" s="171"/>
      <c r="F106" s="172"/>
      <c r="G106" s="187"/>
      <c r="H106" s="187"/>
      <c r="I106" s="187"/>
      <c r="J106" s="187"/>
      <c r="K106" s="187"/>
      <c r="L106" s="187"/>
      <c r="M106" s="187"/>
      <c r="N106" s="103"/>
      <c r="O106" s="193"/>
      <c r="P106" s="207"/>
      <c r="Q106" s="194"/>
      <c r="R106" s="191"/>
      <c r="S106" s="191"/>
      <c r="T106" s="191"/>
      <c r="U106" s="194"/>
      <c r="V106" s="194"/>
      <c r="W106" s="194"/>
      <c r="X106" s="194"/>
      <c r="Y106" s="199"/>
    </row>
    <row r="107" spans="1:25" x14ac:dyDescent="0.25">
      <c r="A107" s="8">
        <f t="shared" si="3"/>
        <v>96</v>
      </c>
      <c r="B107" s="173"/>
      <c r="C107" s="174"/>
      <c r="D107" s="171"/>
      <c r="E107" s="171"/>
      <c r="F107" s="172"/>
      <c r="G107" s="187"/>
      <c r="H107" s="187"/>
      <c r="I107" s="187"/>
      <c r="J107" s="187"/>
      <c r="K107" s="187"/>
      <c r="L107" s="187"/>
      <c r="M107" s="187"/>
      <c r="N107" s="103"/>
      <c r="O107" s="193"/>
      <c r="P107" s="207"/>
      <c r="Q107" s="194"/>
      <c r="R107" s="191"/>
      <c r="S107" s="191"/>
      <c r="T107" s="191"/>
      <c r="U107" s="194"/>
      <c r="V107" s="194"/>
      <c r="W107" s="194"/>
      <c r="X107" s="194"/>
      <c r="Y107" s="199"/>
    </row>
    <row r="108" spans="1:25" x14ac:dyDescent="0.25">
      <c r="A108" s="8">
        <f t="shared" si="3"/>
        <v>97</v>
      </c>
      <c r="B108" s="173"/>
      <c r="C108" s="174"/>
      <c r="D108" s="171"/>
      <c r="E108" s="171"/>
      <c r="F108" s="172"/>
      <c r="G108" s="187"/>
      <c r="H108" s="187"/>
      <c r="I108" s="187"/>
      <c r="J108" s="187"/>
      <c r="K108" s="187"/>
      <c r="L108" s="187"/>
      <c r="M108" s="187"/>
      <c r="N108" s="103"/>
      <c r="O108" s="193"/>
      <c r="P108" s="207"/>
      <c r="Q108" s="194"/>
      <c r="R108" s="191"/>
      <c r="S108" s="191"/>
      <c r="T108" s="191"/>
      <c r="U108" s="194"/>
      <c r="V108" s="194"/>
      <c r="W108" s="194"/>
      <c r="X108" s="194"/>
      <c r="Y108" s="199"/>
    </row>
    <row r="109" spans="1:25" x14ac:dyDescent="0.25">
      <c r="A109" s="8">
        <f t="shared" si="3"/>
        <v>98</v>
      </c>
      <c r="B109" s="173"/>
      <c r="C109" s="174"/>
      <c r="D109" s="171"/>
      <c r="E109" s="171"/>
      <c r="F109" s="172"/>
      <c r="G109" s="187"/>
      <c r="H109" s="187"/>
      <c r="I109" s="187"/>
      <c r="J109" s="187"/>
      <c r="K109" s="187"/>
      <c r="L109" s="187"/>
      <c r="M109" s="187"/>
      <c r="N109" s="103"/>
      <c r="O109" s="193"/>
      <c r="P109" s="207"/>
      <c r="Q109" s="194"/>
      <c r="R109" s="191"/>
      <c r="S109" s="191"/>
      <c r="T109" s="191"/>
      <c r="U109" s="194"/>
      <c r="V109" s="194"/>
      <c r="W109" s="194"/>
      <c r="X109" s="194"/>
      <c r="Y109" s="199"/>
    </row>
    <row r="110" spans="1:25" x14ac:dyDescent="0.25">
      <c r="A110" s="8">
        <f t="shared" si="3"/>
        <v>99</v>
      </c>
      <c r="B110" s="173"/>
      <c r="C110" s="174"/>
      <c r="D110" s="171"/>
      <c r="E110" s="171"/>
      <c r="F110" s="172"/>
      <c r="G110" s="187"/>
      <c r="H110" s="187"/>
      <c r="I110" s="187"/>
      <c r="J110" s="187"/>
      <c r="K110" s="187"/>
      <c r="L110" s="187"/>
      <c r="M110" s="187"/>
      <c r="N110" s="103"/>
      <c r="O110" s="193"/>
      <c r="P110" s="207"/>
      <c r="Q110" s="194"/>
      <c r="R110" s="191"/>
      <c r="S110" s="191"/>
      <c r="T110" s="191"/>
      <c r="U110" s="194"/>
      <c r="V110" s="194"/>
      <c r="W110" s="194"/>
      <c r="X110" s="194"/>
      <c r="Y110" s="199"/>
    </row>
    <row r="111" spans="1:25" x14ac:dyDescent="0.25">
      <c r="A111" s="8">
        <f t="shared" si="3"/>
        <v>100</v>
      </c>
      <c r="B111" s="173"/>
      <c r="C111" s="174"/>
      <c r="D111" s="171"/>
      <c r="E111" s="171"/>
      <c r="F111" s="172"/>
      <c r="G111" s="187"/>
      <c r="H111" s="187"/>
      <c r="I111" s="187"/>
      <c r="J111" s="187"/>
      <c r="K111" s="187"/>
      <c r="L111" s="187"/>
      <c r="M111" s="187"/>
      <c r="N111" s="103"/>
      <c r="O111" s="193"/>
      <c r="P111" s="207"/>
      <c r="Q111" s="194"/>
      <c r="R111" s="191"/>
      <c r="S111" s="191"/>
      <c r="T111" s="191"/>
      <c r="U111" s="194"/>
      <c r="V111" s="194"/>
      <c r="W111" s="194"/>
      <c r="X111" s="194"/>
      <c r="Y111" s="199"/>
    </row>
    <row r="112" spans="1:25" x14ac:dyDescent="0.25">
      <c r="A112" s="8">
        <f t="shared" si="3"/>
        <v>101</v>
      </c>
      <c r="B112" s="173"/>
      <c r="C112" s="174"/>
      <c r="D112" s="171"/>
      <c r="E112" s="171"/>
      <c r="F112" s="172"/>
      <c r="G112" s="187"/>
      <c r="H112" s="187"/>
      <c r="I112" s="187"/>
      <c r="J112" s="187"/>
      <c r="K112" s="187"/>
      <c r="L112" s="187"/>
      <c r="M112" s="187"/>
      <c r="N112" s="103"/>
      <c r="O112" s="193"/>
      <c r="P112" s="207"/>
      <c r="Q112" s="194"/>
      <c r="R112" s="191"/>
      <c r="S112" s="191"/>
      <c r="T112" s="191"/>
      <c r="U112" s="194"/>
      <c r="V112" s="194"/>
      <c r="W112" s="194"/>
      <c r="X112" s="194"/>
      <c r="Y112" s="199"/>
    </row>
    <row r="113" spans="1:25" x14ac:dyDescent="0.25">
      <c r="A113" s="8">
        <f t="shared" si="3"/>
        <v>102</v>
      </c>
      <c r="B113" s="173"/>
      <c r="C113" s="174"/>
      <c r="D113" s="171"/>
      <c r="E113" s="171"/>
      <c r="F113" s="172"/>
      <c r="G113" s="187"/>
      <c r="H113" s="187"/>
      <c r="I113" s="187"/>
      <c r="J113" s="187"/>
      <c r="K113" s="187"/>
      <c r="L113" s="187"/>
      <c r="M113" s="187"/>
      <c r="N113" s="103"/>
      <c r="O113" s="193"/>
      <c r="P113" s="207"/>
      <c r="Q113" s="194"/>
      <c r="R113" s="191"/>
      <c r="S113" s="191"/>
      <c r="T113" s="191"/>
      <c r="U113" s="194"/>
      <c r="V113" s="194"/>
      <c r="W113" s="194"/>
      <c r="X113" s="194"/>
      <c r="Y113" s="199"/>
    </row>
    <row r="114" spans="1:25" x14ac:dyDescent="0.25">
      <c r="A114" s="8">
        <f t="shared" si="3"/>
        <v>103</v>
      </c>
      <c r="B114" s="173"/>
      <c r="C114" s="174"/>
      <c r="D114" s="171"/>
      <c r="E114" s="171"/>
      <c r="F114" s="172"/>
      <c r="G114" s="187"/>
      <c r="H114" s="187"/>
      <c r="I114" s="187"/>
      <c r="J114" s="187"/>
      <c r="K114" s="187"/>
      <c r="L114" s="187"/>
      <c r="M114" s="187"/>
      <c r="N114" s="103"/>
      <c r="O114" s="193"/>
      <c r="P114" s="207"/>
      <c r="Q114" s="194"/>
      <c r="R114" s="191"/>
      <c r="S114" s="191"/>
      <c r="T114" s="191"/>
      <c r="U114" s="194"/>
      <c r="V114" s="194"/>
      <c r="W114" s="194"/>
      <c r="X114" s="194"/>
      <c r="Y114" s="199"/>
    </row>
    <row r="115" spans="1:25" x14ac:dyDescent="0.25">
      <c r="A115" s="8">
        <f t="shared" si="3"/>
        <v>104</v>
      </c>
      <c r="B115" s="173"/>
      <c r="C115" s="174"/>
      <c r="D115" s="171"/>
      <c r="E115" s="171"/>
      <c r="F115" s="172"/>
      <c r="G115" s="187"/>
      <c r="H115" s="187"/>
      <c r="I115" s="187"/>
      <c r="J115" s="187"/>
      <c r="K115" s="187"/>
      <c r="L115" s="187"/>
      <c r="M115" s="187"/>
      <c r="N115" s="103"/>
      <c r="O115" s="193"/>
      <c r="P115" s="207"/>
      <c r="Q115" s="194"/>
      <c r="R115" s="191"/>
      <c r="S115" s="191"/>
      <c r="T115" s="191"/>
      <c r="U115" s="194"/>
      <c r="V115" s="194"/>
      <c r="W115" s="194"/>
      <c r="X115" s="194"/>
      <c r="Y115" s="199"/>
    </row>
    <row r="116" spans="1:25" x14ac:dyDescent="0.25">
      <c r="A116" s="8">
        <f t="shared" si="3"/>
        <v>105</v>
      </c>
      <c r="B116" s="173"/>
      <c r="C116" s="174"/>
      <c r="D116" s="171"/>
      <c r="E116" s="171"/>
      <c r="F116" s="172"/>
      <c r="G116" s="187"/>
      <c r="H116" s="187"/>
      <c r="I116" s="187"/>
      <c r="J116" s="187"/>
      <c r="K116" s="187"/>
      <c r="L116" s="187"/>
      <c r="M116" s="187"/>
      <c r="N116" s="103"/>
      <c r="O116" s="193"/>
      <c r="P116" s="207"/>
      <c r="Q116" s="194"/>
      <c r="R116" s="191"/>
      <c r="S116" s="191"/>
      <c r="T116" s="191"/>
      <c r="U116" s="194"/>
      <c r="V116" s="194"/>
      <c r="W116" s="194"/>
      <c r="X116" s="194"/>
      <c r="Y116" s="199"/>
    </row>
    <row r="117" spans="1:25" x14ac:dyDescent="0.25">
      <c r="A117" s="8">
        <f t="shared" si="3"/>
        <v>106</v>
      </c>
      <c r="B117" s="173"/>
      <c r="C117" s="174"/>
      <c r="D117" s="171"/>
      <c r="E117" s="171"/>
      <c r="F117" s="172"/>
      <c r="G117" s="187"/>
      <c r="H117" s="187"/>
      <c r="I117" s="187"/>
      <c r="J117" s="187"/>
      <c r="K117" s="187"/>
      <c r="L117" s="187"/>
      <c r="M117" s="187"/>
      <c r="N117" s="103"/>
      <c r="O117" s="193"/>
      <c r="P117" s="207"/>
      <c r="Q117" s="194"/>
      <c r="R117" s="191"/>
      <c r="S117" s="191"/>
      <c r="T117" s="191"/>
      <c r="U117" s="194"/>
      <c r="V117" s="194"/>
      <c r="W117" s="194"/>
      <c r="X117" s="194"/>
      <c r="Y117" s="199"/>
    </row>
    <row r="118" spans="1:25" x14ac:dyDescent="0.25">
      <c r="A118" s="8">
        <f t="shared" si="3"/>
        <v>107</v>
      </c>
      <c r="B118" s="173"/>
      <c r="C118" s="174"/>
      <c r="D118" s="171"/>
      <c r="E118" s="171"/>
      <c r="F118" s="172"/>
      <c r="G118" s="187"/>
      <c r="H118" s="187"/>
      <c r="I118" s="187"/>
      <c r="J118" s="187"/>
      <c r="K118" s="187"/>
      <c r="L118" s="187"/>
      <c r="M118" s="187"/>
      <c r="N118" s="103"/>
      <c r="O118" s="193"/>
      <c r="P118" s="207"/>
      <c r="Q118" s="194"/>
      <c r="R118" s="191"/>
      <c r="S118" s="191"/>
      <c r="T118" s="191"/>
      <c r="U118" s="194"/>
      <c r="V118" s="194"/>
      <c r="W118" s="194"/>
      <c r="X118" s="194"/>
      <c r="Y118" s="199"/>
    </row>
    <row r="119" spans="1:25" x14ac:dyDescent="0.25">
      <c r="A119" s="8">
        <f t="shared" si="3"/>
        <v>108</v>
      </c>
      <c r="B119" s="173"/>
      <c r="C119" s="174"/>
      <c r="D119" s="171"/>
      <c r="E119" s="171"/>
      <c r="F119" s="172"/>
      <c r="G119" s="187"/>
      <c r="H119" s="187"/>
      <c r="I119" s="187"/>
      <c r="J119" s="187"/>
      <c r="K119" s="187"/>
      <c r="L119" s="187"/>
      <c r="M119" s="187"/>
      <c r="N119" s="103"/>
      <c r="O119" s="193"/>
      <c r="P119" s="207"/>
      <c r="Q119" s="194"/>
      <c r="R119" s="191"/>
      <c r="S119" s="191"/>
      <c r="T119" s="191"/>
      <c r="U119" s="194"/>
      <c r="V119" s="194"/>
      <c r="W119" s="194"/>
      <c r="X119" s="194"/>
      <c r="Y119" s="199"/>
    </row>
    <row r="120" spans="1:25" x14ac:dyDescent="0.25">
      <c r="A120" s="8">
        <f t="shared" si="3"/>
        <v>109</v>
      </c>
      <c r="B120" s="173"/>
      <c r="C120" s="174"/>
      <c r="D120" s="171"/>
      <c r="E120" s="171"/>
      <c r="F120" s="172"/>
      <c r="G120" s="187"/>
      <c r="H120" s="187"/>
      <c r="I120" s="187"/>
      <c r="J120" s="187"/>
      <c r="K120" s="187"/>
      <c r="L120" s="187"/>
      <c r="M120" s="187"/>
      <c r="N120" s="103"/>
      <c r="O120" s="193"/>
      <c r="P120" s="207"/>
      <c r="Q120" s="194"/>
      <c r="R120" s="191"/>
      <c r="S120" s="191"/>
      <c r="T120" s="191"/>
      <c r="U120" s="194"/>
      <c r="V120" s="194"/>
      <c r="W120" s="194"/>
      <c r="X120" s="194"/>
      <c r="Y120" s="199"/>
    </row>
    <row r="121" spans="1:25" x14ac:dyDescent="0.25">
      <c r="A121" s="8">
        <f t="shared" si="3"/>
        <v>110</v>
      </c>
      <c r="B121" s="173"/>
      <c r="C121" s="174"/>
      <c r="D121" s="171"/>
      <c r="E121" s="171"/>
      <c r="F121" s="172"/>
      <c r="G121" s="187"/>
      <c r="H121" s="187"/>
      <c r="I121" s="187"/>
      <c r="J121" s="187"/>
      <c r="K121" s="187"/>
      <c r="L121" s="187"/>
      <c r="M121" s="187"/>
      <c r="N121" s="103"/>
      <c r="O121" s="193"/>
      <c r="P121" s="207"/>
      <c r="Q121" s="194"/>
      <c r="R121" s="191"/>
      <c r="S121" s="191"/>
      <c r="T121" s="191"/>
      <c r="U121" s="194"/>
      <c r="V121" s="194"/>
      <c r="W121" s="194"/>
      <c r="X121" s="194"/>
      <c r="Y121" s="199"/>
    </row>
    <row r="122" spans="1:25" x14ac:dyDescent="0.25">
      <c r="A122" s="8">
        <f t="shared" si="3"/>
        <v>111</v>
      </c>
      <c r="B122" s="173"/>
      <c r="C122" s="174"/>
      <c r="D122" s="171"/>
      <c r="E122" s="171"/>
      <c r="F122" s="172"/>
      <c r="G122" s="187"/>
      <c r="H122" s="187"/>
      <c r="I122" s="187"/>
      <c r="J122" s="187"/>
      <c r="K122" s="187"/>
      <c r="L122" s="187"/>
      <c r="M122" s="187"/>
      <c r="N122" s="103"/>
      <c r="O122" s="193"/>
      <c r="P122" s="207"/>
      <c r="Q122" s="194"/>
      <c r="R122" s="191"/>
      <c r="S122" s="191"/>
      <c r="T122" s="191"/>
      <c r="U122" s="194"/>
      <c r="V122" s="194"/>
      <c r="W122" s="194"/>
      <c r="X122" s="194"/>
      <c r="Y122" s="199"/>
    </row>
    <row r="123" spans="1:25" x14ac:dyDescent="0.25">
      <c r="A123" s="8">
        <f t="shared" si="3"/>
        <v>112</v>
      </c>
      <c r="B123" s="173"/>
      <c r="C123" s="174"/>
      <c r="D123" s="171"/>
      <c r="E123" s="171"/>
      <c r="F123" s="172"/>
      <c r="G123" s="187"/>
      <c r="H123" s="187"/>
      <c r="I123" s="187"/>
      <c r="J123" s="187"/>
      <c r="K123" s="187"/>
      <c r="L123" s="187"/>
      <c r="M123" s="187"/>
      <c r="N123" s="103"/>
      <c r="O123" s="193"/>
      <c r="P123" s="207"/>
      <c r="Q123" s="194"/>
      <c r="R123" s="191"/>
      <c r="S123" s="191"/>
      <c r="T123" s="191"/>
      <c r="U123" s="194"/>
      <c r="V123" s="194"/>
      <c r="W123" s="194"/>
      <c r="X123" s="194"/>
      <c r="Y123" s="199"/>
    </row>
    <row r="124" spans="1:25" x14ac:dyDescent="0.25">
      <c r="A124" s="8">
        <f t="shared" si="3"/>
        <v>113</v>
      </c>
      <c r="B124" s="173"/>
      <c r="C124" s="174"/>
      <c r="D124" s="171"/>
      <c r="E124" s="171"/>
      <c r="F124" s="172"/>
      <c r="G124" s="187"/>
      <c r="H124" s="187"/>
      <c r="I124" s="187"/>
      <c r="J124" s="187"/>
      <c r="K124" s="187"/>
      <c r="L124" s="187"/>
      <c r="M124" s="187"/>
      <c r="N124" s="103"/>
      <c r="O124" s="193"/>
      <c r="P124" s="207"/>
      <c r="Q124" s="194"/>
      <c r="R124" s="191"/>
      <c r="S124" s="191"/>
      <c r="T124" s="191"/>
      <c r="U124" s="194"/>
      <c r="V124" s="194"/>
      <c r="W124" s="194"/>
      <c r="X124" s="194"/>
      <c r="Y124" s="199"/>
    </row>
    <row r="125" spans="1:25" x14ac:dyDescent="0.25">
      <c r="A125" s="8">
        <f t="shared" si="3"/>
        <v>114</v>
      </c>
      <c r="B125" s="173"/>
      <c r="C125" s="174"/>
      <c r="D125" s="171"/>
      <c r="E125" s="171"/>
      <c r="F125" s="172"/>
      <c r="G125" s="187"/>
      <c r="H125" s="187"/>
      <c r="I125" s="187"/>
      <c r="J125" s="187"/>
      <c r="K125" s="187"/>
      <c r="L125" s="187"/>
      <c r="M125" s="187"/>
      <c r="N125" s="103"/>
      <c r="O125" s="193"/>
      <c r="P125" s="207"/>
      <c r="Q125" s="194"/>
      <c r="R125" s="191"/>
      <c r="S125" s="191"/>
      <c r="T125" s="191"/>
      <c r="U125" s="194"/>
      <c r="V125" s="194"/>
      <c r="W125" s="194"/>
      <c r="X125" s="194"/>
      <c r="Y125" s="199"/>
    </row>
    <row r="126" spans="1:25" x14ac:dyDescent="0.25">
      <c r="A126" s="8">
        <f t="shared" si="3"/>
        <v>115</v>
      </c>
      <c r="B126" s="173"/>
      <c r="C126" s="174"/>
      <c r="D126" s="171"/>
      <c r="E126" s="171"/>
      <c r="F126" s="172"/>
      <c r="G126" s="187"/>
      <c r="H126" s="187"/>
      <c r="I126" s="187"/>
      <c r="J126" s="187"/>
      <c r="K126" s="187"/>
      <c r="L126" s="187"/>
      <c r="M126" s="187"/>
      <c r="N126" s="103"/>
      <c r="O126" s="193"/>
      <c r="P126" s="207"/>
      <c r="Q126" s="194"/>
      <c r="R126" s="191"/>
      <c r="S126" s="191"/>
      <c r="T126" s="191"/>
      <c r="U126" s="194"/>
      <c r="V126" s="194"/>
      <c r="W126" s="194"/>
      <c r="X126" s="194"/>
      <c r="Y126" s="199"/>
    </row>
    <row r="127" spans="1:25" x14ac:dyDescent="0.25">
      <c r="A127" s="8">
        <f t="shared" si="3"/>
        <v>116</v>
      </c>
      <c r="B127" s="173"/>
      <c r="C127" s="174"/>
      <c r="D127" s="171"/>
      <c r="E127" s="171"/>
      <c r="F127" s="172"/>
      <c r="G127" s="187"/>
      <c r="H127" s="187"/>
      <c r="I127" s="187"/>
      <c r="J127" s="187"/>
      <c r="K127" s="187"/>
      <c r="L127" s="187"/>
      <c r="M127" s="187"/>
      <c r="N127" s="103"/>
      <c r="O127" s="193"/>
      <c r="P127" s="207"/>
      <c r="Q127" s="194"/>
      <c r="R127" s="191"/>
      <c r="S127" s="191"/>
      <c r="T127" s="191"/>
      <c r="U127" s="194"/>
      <c r="V127" s="194"/>
      <c r="W127" s="194"/>
      <c r="X127" s="194"/>
      <c r="Y127" s="199"/>
    </row>
    <row r="128" spans="1:25" x14ac:dyDescent="0.25">
      <c r="A128" s="8">
        <f t="shared" si="3"/>
        <v>117</v>
      </c>
      <c r="B128" s="173"/>
      <c r="C128" s="174"/>
      <c r="D128" s="171"/>
      <c r="E128" s="171"/>
      <c r="F128" s="172"/>
      <c r="G128" s="187"/>
      <c r="H128" s="187"/>
      <c r="I128" s="187"/>
      <c r="J128" s="187"/>
      <c r="K128" s="187"/>
      <c r="L128" s="187"/>
      <c r="M128" s="187"/>
      <c r="N128" s="103"/>
      <c r="O128" s="193"/>
      <c r="P128" s="207"/>
      <c r="Q128" s="194"/>
      <c r="R128" s="191"/>
      <c r="S128" s="191"/>
      <c r="T128" s="191"/>
      <c r="U128" s="194"/>
      <c r="V128" s="194"/>
      <c r="W128" s="194"/>
      <c r="X128" s="194"/>
      <c r="Y128" s="199"/>
    </row>
    <row r="129" spans="1:25" x14ac:dyDescent="0.25">
      <c r="A129" s="8">
        <f t="shared" si="3"/>
        <v>118</v>
      </c>
      <c r="B129" s="173"/>
      <c r="C129" s="174"/>
      <c r="D129" s="171"/>
      <c r="E129" s="171"/>
      <c r="F129" s="172"/>
      <c r="G129" s="187"/>
      <c r="H129" s="187"/>
      <c r="I129" s="187"/>
      <c r="J129" s="187"/>
      <c r="K129" s="187"/>
      <c r="L129" s="187"/>
      <c r="M129" s="187"/>
      <c r="N129" s="103"/>
      <c r="O129" s="193"/>
      <c r="P129" s="207"/>
      <c r="Q129" s="194"/>
      <c r="R129" s="191"/>
      <c r="S129" s="191"/>
      <c r="T129" s="191"/>
      <c r="U129" s="194"/>
      <c r="V129" s="194"/>
      <c r="W129" s="194"/>
      <c r="X129" s="194"/>
      <c r="Y129" s="199"/>
    </row>
    <row r="130" spans="1:25" x14ac:dyDescent="0.25">
      <c r="A130" s="8">
        <f t="shared" si="3"/>
        <v>119</v>
      </c>
      <c r="B130" s="173"/>
      <c r="C130" s="174"/>
      <c r="D130" s="171"/>
      <c r="E130" s="171"/>
      <c r="F130" s="172"/>
      <c r="G130" s="187"/>
      <c r="H130" s="187"/>
      <c r="I130" s="187"/>
      <c r="J130" s="187"/>
      <c r="K130" s="187"/>
      <c r="L130" s="187"/>
      <c r="M130" s="187"/>
      <c r="N130" s="103"/>
      <c r="O130" s="193"/>
      <c r="P130" s="207"/>
      <c r="Q130" s="194"/>
      <c r="R130" s="191"/>
      <c r="S130" s="191"/>
      <c r="T130" s="191"/>
      <c r="U130" s="194"/>
      <c r="V130" s="194"/>
      <c r="W130" s="194"/>
      <c r="X130" s="194"/>
      <c r="Y130" s="199"/>
    </row>
    <row r="131" spans="1:25" x14ac:dyDescent="0.25">
      <c r="A131" s="8">
        <f t="shared" si="3"/>
        <v>120</v>
      </c>
      <c r="B131" s="173"/>
      <c r="C131" s="174"/>
      <c r="D131" s="171"/>
      <c r="E131" s="171"/>
      <c r="F131" s="172"/>
      <c r="G131" s="187"/>
      <c r="H131" s="187"/>
      <c r="I131" s="187"/>
      <c r="J131" s="187"/>
      <c r="K131" s="187"/>
      <c r="L131" s="187"/>
      <c r="M131" s="187"/>
      <c r="N131" s="103"/>
      <c r="O131" s="193"/>
      <c r="P131" s="207"/>
      <c r="Q131" s="194"/>
      <c r="R131" s="191"/>
      <c r="S131" s="191"/>
      <c r="T131" s="191"/>
      <c r="U131" s="194"/>
      <c r="V131" s="194"/>
      <c r="W131" s="194"/>
      <c r="X131" s="194"/>
      <c r="Y131" s="199"/>
    </row>
    <row r="132" spans="1:25" x14ac:dyDescent="0.25">
      <c r="A132" s="8">
        <f t="shared" si="3"/>
        <v>121</v>
      </c>
      <c r="B132" s="173"/>
      <c r="C132" s="174"/>
      <c r="D132" s="171"/>
      <c r="E132" s="171"/>
      <c r="F132" s="172"/>
      <c r="G132" s="187"/>
      <c r="H132" s="187"/>
      <c r="I132" s="187"/>
      <c r="J132" s="187"/>
      <c r="K132" s="187"/>
      <c r="L132" s="187"/>
      <c r="M132" s="187"/>
      <c r="N132" s="103"/>
      <c r="O132" s="193"/>
      <c r="P132" s="207"/>
      <c r="Q132" s="194"/>
      <c r="R132" s="191"/>
      <c r="S132" s="191"/>
      <c r="T132" s="191"/>
      <c r="U132" s="194"/>
      <c r="V132" s="194"/>
      <c r="W132" s="194"/>
      <c r="X132" s="194"/>
      <c r="Y132" s="199"/>
    </row>
    <row r="133" spans="1:25" x14ac:dyDescent="0.25">
      <c r="A133" s="8">
        <f t="shared" si="3"/>
        <v>122</v>
      </c>
      <c r="B133" s="173"/>
      <c r="C133" s="174"/>
      <c r="D133" s="171"/>
      <c r="E133" s="171"/>
      <c r="F133" s="172"/>
      <c r="G133" s="187"/>
      <c r="H133" s="187"/>
      <c r="I133" s="187"/>
      <c r="J133" s="187"/>
      <c r="K133" s="187"/>
      <c r="L133" s="187"/>
      <c r="M133" s="187"/>
      <c r="N133" s="103"/>
      <c r="O133" s="193"/>
      <c r="P133" s="207"/>
      <c r="Q133" s="194"/>
      <c r="R133" s="191"/>
      <c r="S133" s="191"/>
      <c r="T133" s="191"/>
      <c r="U133" s="194"/>
      <c r="V133" s="194"/>
      <c r="W133" s="194"/>
      <c r="X133" s="194"/>
      <c r="Y133" s="199"/>
    </row>
    <row r="134" spans="1:25" x14ac:dyDescent="0.25">
      <c r="A134" s="8">
        <f t="shared" si="3"/>
        <v>123</v>
      </c>
      <c r="B134" s="173"/>
      <c r="C134" s="174"/>
      <c r="D134" s="171"/>
      <c r="E134" s="171"/>
      <c r="F134" s="172"/>
      <c r="G134" s="187"/>
      <c r="H134" s="187"/>
      <c r="I134" s="187"/>
      <c r="J134" s="187"/>
      <c r="K134" s="187"/>
      <c r="L134" s="187"/>
      <c r="M134" s="187"/>
      <c r="N134" s="103"/>
      <c r="O134" s="193"/>
      <c r="P134" s="207"/>
      <c r="Q134" s="194"/>
      <c r="R134" s="191"/>
      <c r="S134" s="191"/>
      <c r="T134" s="191"/>
      <c r="U134" s="194"/>
      <c r="V134" s="194"/>
      <c r="W134" s="194"/>
      <c r="X134" s="194"/>
      <c r="Y134" s="199"/>
    </row>
    <row r="135" spans="1:25" x14ac:dyDescent="0.25">
      <c r="A135" s="8">
        <f t="shared" si="3"/>
        <v>124</v>
      </c>
      <c r="B135" s="173"/>
      <c r="C135" s="174"/>
      <c r="D135" s="171"/>
      <c r="E135" s="171"/>
      <c r="F135" s="172"/>
      <c r="G135" s="187"/>
      <c r="H135" s="187"/>
      <c r="I135" s="187"/>
      <c r="J135" s="187"/>
      <c r="K135" s="187"/>
      <c r="L135" s="187"/>
      <c r="M135" s="187"/>
      <c r="N135" s="103"/>
      <c r="O135" s="193"/>
      <c r="P135" s="207"/>
      <c r="Q135" s="194"/>
      <c r="R135" s="191"/>
      <c r="S135" s="191"/>
      <c r="T135" s="191"/>
      <c r="U135" s="194"/>
      <c r="V135" s="194"/>
      <c r="W135" s="194"/>
      <c r="X135" s="194"/>
      <c r="Y135" s="199"/>
    </row>
    <row r="136" spans="1:25" x14ac:dyDescent="0.25">
      <c r="A136" s="8">
        <f t="shared" si="3"/>
        <v>125</v>
      </c>
      <c r="B136" s="173"/>
      <c r="C136" s="174"/>
      <c r="D136" s="171"/>
      <c r="E136" s="171"/>
      <c r="F136" s="172"/>
      <c r="G136" s="187"/>
      <c r="H136" s="187"/>
      <c r="I136" s="187"/>
      <c r="J136" s="187"/>
      <c r="K136" s="187"/>
      <c r="L136" s="187"/>
      <c r="M136" s="187"/>
      <c r="N136" s="103"/>
      <c r="O136" s="193"/>
      <c r="P136" s="207"/>
      <c r="Q136" s="194"/>
      <c r="R136" s="191"/>
      <c r="S136" s="191"/>
      <c r="T136" s="191"/>
      <c r="U136" s="194"/>
      <c r="V136" s="194"/>
      <c r="W136" s="194"/>
      <c r="X136" s="194"/>
      <c r="Y136" s="199"/>
    </row>
    <row r="137" spans="1:25" x14ac:dyDescent="0.25">
      <c r="A137" s="8">
        <f t="shared" si="3"/>
        <v>126</v>
      </c>
      <c r="B137" s="173"/>
      <c r="C137" s="174"/>
      <c r="D137" s="171"/>
      <c r="E137" s="171"/>
      <c r="F137" s="172"/>
      <c r="G137" s="187"/>
      <c r="H137" s="187"/>
      <c r="I137" s="187"/>
      <c r="J137" s="187"/>
      <c r="K137" s="187"/>
      <c r="L137" s="187"/>
      <c r="M137" s="187"/>
      <c r="N137" s="103"/>
      <c r="O137" s="193"/>
      <c r="P137" s="207"/>
      <c r="Q137" s="194"/>
      <c r="R137" s="191"/>
      <c r="S137" s="191"/>
      <c r="T137" s="191"/>
      <c r="U137" s="194"/>
      <c r="V137" s="194"/>
      <c r="W137" s="194"/>
      <c r="X137" s="194"/>
      <c r="Y137" s="199"/>
    </row>
    <row r="138" spans="1:25" x14ac:dyDescent="0.25">
      <c r="A138" s="8">
        <f t="shared" si="3"/>
        <v>127</v>
      </c>
      <c r="B138" s="173"/>
      <c r="C138" s="174"/>
      <c r="D138" s="171"/>
      <c r="E138" s="171"/>
      <c r="F138" s="172"/>
      <c r="G138" s="187"/>
      <c r="H138" s="187"/>
      <c r="I138" s="187"/>
      <c r="J138" s="187"/>
      <c r="K138" s="187"/>
      <c r="L138" s="187"/>
      <c r="M138" s="187"/>
      <c r="N138" s="103"/>
      <c r="O138" s="193"/>
      <c r="P138" s="207"/>
      <c r="Q138" s="194"/>
      <c r="R138" s="191"/>
      <c r="S138" s="191"/>
      <c r="T138" s="191"/>
      <c r="U138" s="194"/>
      <c r="V138" s="194"/>
      <c r="W138" s="194"/>
      <c r="X138" s="194"/>
      <c r="Y138" s="199"/>
    </row>
    <row r="139" spans="1:25" x14ac:dyDescent="0.25">
      <c r="A139" s="8">
        <f t="shared" si="3"/>
        <v>128</v>
      </c>
      <c r="B139" s="173"/>
      <c r="C139" s="174"/>
      <c r="D139" s="171"/>
      <c r="E139" s="171"/>
      <c r="F139" s="172"/>
      <c r="G139" s="187"/>
      <c r="H139" s="187"/>
      <c r="I139" s="187"/>
      <c r="J139" s="187"/>
      <c r="K139" s="187"/>
      <c r="L139" s="187"/>
      <c r="M139" s="187"/>
      <c r="N139" s="103"/>
      <c r="O139" s="193"/>
      <c r="P139" s="207"/>
      <c r="Q139" s="194"/>
      <c r="R139" s="191"/>
      <c r="S139" s="191"/>
      <c r="T139" s="191"/>
      <c r="U139" s="194"/>
      <c r="V139" s="194"/>
      <c r="W139" s="194"/>
      <c r="X139" s="194"/>
      <c r="Y139" s="199"/>
    </row>
    <row r="140" spans="1:25" x14ac:dyDescent="0.25">
      <c r="A140" s="8">
        <f t="shared" si="3"/>
        <v>129</v>
      </c>
      <c r="B140" s="173"/>
      <c r="C140" s="174"/>
      <c r="D140" s="171"/>
      <c r="E140" s="171"/>
      <c r="F140" s="172"/>
      <c r="G140" s="187"/>
      <c r="H140" s="187"/>
      <c r="I140" s="187"/>
      <c r="J140" s="187"/>
      <c r="K140" s="187"/>
      <c r="L140" s="187"/>
      <c r="M140" s="187"/>
      <c r="N140" s="103"/>
      <c r="O140" s="193"/>
      <c r="P140" s="207"/>
      <c r="Q140" s="194"/>
      <c r="R140" s="191"/>
      <c r="S140" s="191"/>
      <c r="T140" s="191"/>
      <c r="U140" s="194"/>
      <c r="V140" s="194"/>
      <c r="W140" s="194"/>
      <c r="X140" s="194"/>
      <c r="Y140" s="199"/>
    </row>
    <row r="141" spans="1:25" x14ac:dyDescent="0.25">
      <c r="A141" s="8">
        <f t="shared" si="3"/>
        <v>130</v>
      </c>
      <c r="B141" s="173"/>
      <c r="C141" s="174"/>
      <c r="D141" s="171"/>
      <c r="E141" s="171"/>
      <c r="F141" s="172"/>
      <c r="G141" s="187"/>
      <c r="H141" s="187"/>
      <c r="I141" s="187"/>
      <c r="J141" s="187"/>
      <c r="K141" s="187"/>
      <c r="L141" s="187"/>
      <c r="M141" s="187"/>
      <c r="N141" s="103"/>
      <c r="O141" s="193"/>
      <c r="P141" s="207"/>
      <c r="Q141" s="194"/>
      <c r="R141" s="191"/>
      <c r="S141" s="191"/>
      <c r="T141" s="191"/>
      <c r="U141" s="194"/>
      <c r="V141" s="194"/>
      <c r="W141" s="194"/>
      <c r="X141" s="194"/>
      <c r="Y141" s="199"/>
    </row>
    <row r="142" spans="1:25" x14ac:dyDescent="0.25">
      <c r="A142" s="8">
        <f t="shared" ref="A142:A205" si="4">+A141+1</f>
        <v>131</v>
      </c>
      <c r="B142" s="173"/>
      <c r="C142" s="174"/>
      <c r="D142" s="171"/>
      <c r="E142" s="171"/>
      <c r="F142" s="172"/>
      <c r="G142" s="187"/>
      <c r="H142" s="187"/>
      <c r="I142" s="187"/>
      <c r="J142" s="187"/>
      <c r="K142" s="187"/>
      <c r="L142" s="187"/>
      <c r="M142" s="187"/>
      <c r="N142" s="103"/>
      <c r="O142" s="193"/>
      <c r="P142" s="207"/>
      <c r="Q142" s="194"/>
      <c r="R142" s="191"/>
      <c r="S142" s="191"/>
      <c r="T142" s="191"/>
      <c r="U142" s="194"/>
      <c r="V142" s="194"/>
      <c r="W142" s="194"/>
      <c r="X142" s="194"/>
      <c r="Y142" s="199"/>
    </row>
    <row r="143" spans="1:25" x14ac:dyDescent="0.25">
      <c r="A143" s="8">
        <f t="shared" si="4"/>
        <v>132</v>
      </c>
      <c r="B143" s="173"/>
      <c r="C143" s="174"/>
      <c r="D143" s="171"/>
      <c r="E143" s="171"/>
      <c r="F143" s="172"/>
      <c r="G143" s="187"/>
      <c r="H143" s="187"/>
      <c r="I143" s="187"/>
      <c r="J143" s="187"/>
      <c r="K143" s="187"/>
      <c r="L143" s="187"/>
      <c r="M143" s="187"/>
      <c r="N143" s="103"/>
      <c r="O143" s="193"/>
      <c r="P143" s="207"/>
      <c r="Q143" s="194"/>
      <c r="R143" s="191"/>
      <c r="S143" s="191"/>
      <c r="T143" s="191"/>
      <c r="U143" s="194"/>
      <c r="V143" s="194"/>
      <c r="W143" s="194"/>
      <c r="X143" s="194"/>
      <c r="Y143" s="199"/>
    </row>
    <row r="144" spans="1:25" x14ac:dyDescent="0.25">
      <c r="A144" s="8">
        <f t="shared" si="4"/>
        <v>133</v>
      </c>
      <c r="B144" s="173"/>
      <c r="C144" s="174"/>
      <c r="D144" s="171"/>
      <c r="E144" s="171"/>
      <c r="F144" s="172"/>
      <c r="G144" s="187"/>
      <c r="H144" s="187"/>
      <c r="I144" s="187"/>
      <c r="J144" s="187"/>
      <c r="K144" s="187"/>
      <c r="L144" s="187"/>
      <c r="M144" s="187"/>
      <c r="N144" s="103"/>
      <c r="O144" s="193"/>
      <c r="P144" s="207"/>
      <c r="Q144" s="194"/>
      <c r="R144" s="191"/>
      <c r="S144" s="191"/>
      <c r="T144" s="191"/>
      <c r="U144" s="194"/>
      <c r="V144" s="194"/>
      <c r="W144" s="194"/>
      <c r="X144" s="194"/>
      <c r="Y144" s="199"/>
    </row>
    <row r="145" spans="1:25" x14ac:dyDescent="0.25">
      <c r="A145" s="8">
        <f t="shared" si="4"/>
        <v>134</v>
      </c>
      <c r="B145" s="173"/>
      <c r="C145" s="174"/>
      <c r="D145" s="171"/>
      <c r="E145" s="171"/>
      <c r="F145" s="172"/>
      <c r="G145" s="187"/>
      <c r="H145" s="187"/>
      <c r="I145" s="187"/>
      <c r="J145" s="187"/>
      <c r="K145" s="187"/>
      <c r="L145" s="187"/>
      <c r="M145" s="187"/>
      <c r="N145" s="103"/>
      <c r="O145" s="193"/>
      <c r="P145" s="207"/>
      <c r="Q145" s="194"/>
      <c r="R145" s="191"/>
      <c r="S145" s="191"/>
      <c r="T145" s="191"/>
      <c r="U145" s="194"/>
      <c r="V145" s="194"/>
      <c r="W145" s="194"/>
      <c r="X145" s="194"/>
      <c r="Y145" s="199"/>
    </row>
    <row r="146" spans="1:25" x14ac:dyDescent="0.25">
      <c r="A146" s="8">
        <f t="shared" si="4"/>
        <v>135</v>
      </c>
      <c r="B146" s="173"/>
      <c r="C146" s="174"/>
      <c r="D146" s="171"/>
      <c r="E146" s="171"/>
      <c r="F146" s="172"/>
      <c r="G146" s="187"/>
      <c r="H146" s="187"/>
      <c r="I146" s="187"/>
      <c r="J146" s="187"/>
      <c r="K146" s="187"/>
      <c r="L146" s="187"/>
      <c r="M146" s="187"/>
      <c r="N146" s="103"/>
      <c r="O146" s="193"/>
      <c r="P146" s="207"/>
      <c r="Q146" s="194"/>
      <c r="R146" s="191"/>
      <c r="S146" s="191"/>
      <c r="T146" s="191"/>
      <c r="U146" s="194"/>
      <c r="V146" s="194"/>
      <c r="W146" s="194"/>
      <c r="X146" s="194"/>
      <c r="Y146" s="199"/>
    </row>
    <row r="147" spans="1:25" x14ac:dyDescent="0.25">
      <c r="A147" s="8">
        <f t="shared" si="4"/>
        <v>136</v>
      </c>
      <c r="B147" s="173"/>
      <c r="C147" s="174"/>
      <c r="D147" s="171"/>
      <c r="E147" s="171"/>
      <c r="F147" s="172"/>
      <c r="G147" s="187"/>
      <c r="H147" s="187"/>
      <c r="I147" s="187"/>
      <c r="J147" s="187"/>
      <c r="K147" s="187"/>
      <c r="L147" s="187"/>
      <c r="M147" s="187"/>
      <c r="N147" s="103"/>
      <c r="O147" s="193"/>
      <c r="P147" s="207"/>
      <c r="Q147" s="194"/>
      <c r="R147" s="191"/>
      <c r="S147" s="191"/>
      <c r="T147" s="191"/>
      <c r="U147" s="194"/>
      <c r="V147" s="194"/>
      <c r="W147" s="194"/>
      <c r="X147" s="194"/>
      <c r="Y147" s="199"/>
    </row>
    <row r="148" spans="1:25" x14ac:dyDescent="0.25">
      <c r="A148" s="8">
        <f t="shared" si="4"/>
        <v>137</v>
      </c>
      <c r="B148" s="173"/>
      <c r="C148" s="174"/>
      <c r="D148" s="171"/>
      <c r="E148" s="171"/>
      <c r="F148" s="172"/>
      <c r="G148" s="187"/>
      <c r="H148" s="187"/>
      <c r="I148" s="187"/>
      <c r="J148" s="187"/>
      <c r="K148" s="187"/>
      <c r="L148" s="187"/>
      <c r="M148" s="187"/>
      <c r="N148" s="103"/>
      <c r="O148" s="193"/>
      <c r="P148" s="207"/>
      <c r="Q148" s="194"/>
      <c r="R148" s="191"/>
      <c r="S148" s="191"/>
      <c r="T148" s="191"/>
      <c r="U148" s="194"/>
      <c r="V148" s="194"/>
      <c r="W148" s="194"/>
      <c r="X148" s="194"/>
      <c r="Y148" s="199"/>
    </row>
    <row r="149" spans="1:25" x14ac:dyDescent="0.25">
      <c r="A149" s="8">
        <f t="shared" si="4"/>
        <v>138</v>
      </c>
      <c r="B149" s="173"/>
      <c r="C149" s="174"/>
      <c r="D149" s="171"/>
      <c r="E149" s="171"/>
      <c r="F149" s="172"/>
      <c r="G149" s="187"/>
      <c r="H149" s="187"/>
      <c r="I149" s="187"/>
      <c r="J149" s="187"/>
      <c r="K149" s="187"/>
      <c r="L149" s="187"/>
      <c r="M149" s="187"/>
      <c r="N149" s="103"/>
      <c r="O149" s="193"/>
      <c r="P149" s="207"/>
      <c r="Q149" s="194"/>
      <c r="R149" s="191"/>
      <c r="S149" s="191"/>
      <c r="T149" s="191"/>
      <c r="U149" s="194"/>
      <c r="V149" s="194"/>
      <c r="W149" s="194"/>
      <c r="X149" s="194"/>
      <c r="Y149" s="199"/>
    </row>
    <row r="150" spans="1:25" x14ac:dyDescent="0.25">
      <c r="A150" s="8">
        <f t="shared" si="4"/>
        <v>139</v>
      </c>
      <c r="B150" s="173"/>
      <c r="C150" s="174"/>
      <c r="D150" s="171"/>
      <c r="E150" s="171"/>
      <c r="F150" s="172"/>
      <c r="G150" s="187"/>
      <c r="H150" s="187"/>
      <c r="I150" s="187"/>
      <c r="J150" s="187"/>
      <c r="K150" s="187"/>
      <c r="L150" s="187"/>
      <c r="M150" s="187"/>
      <c r="N150" s="103"/>
      <c r="O150" s="193"/>
      <c r="P150" s="207"/>
      <c r="Q150" s="194"/>
      <c r="R150" s="191"/>
      <c r="S150" s="191"/>
      <c r="T150" s="191"/>
      <c r="U150" s="194"/>
      <c r="V150" s="194"/>
      <c r="W150" s="194"/>
      <c r="X150" s="194"/>
      <c r="Y150" s="199"/>
    </row>
    <row r="151" spans="1:25" x14ac:dyDescent="0.25">
      <c r="A151" s="8">
        <f t="shared" si="4"/>
        <v>140</v>
      </c>
      <c r="B151" s="173"/>
      <c r="C151" s="174"/>
      <c r="D151" s="171"/>
      <c r="E151" s="171"/>
      <c r="F151" s="172"/>
      <c r="G151" s="187"/>
      <c r="H151" s="187"/>
      <c r="I151" s="187"/>
      <c r="J151" s="187"/>
      <c r="K151" s="187"/>
      <c r="L151" s="187"/>
      <c r="M151" s="187"/>
      <c r="N151" s="103"/>
      <c r="O151" s="193"/>
      <c r="P151" s="207"/>
      <c r="Q151" s="194"/>
      <c r="R151" s="191"/>
      <c r="S151" s="191"/>
      <c r="T151" s="191"/>
      <c r="U151" s="194"/>
      <c r="V151" s="194"/>
      <c r="W151" s="194"/>
      <c r="X151" s="194"/>
      <c r="Y151" s="199"/>
    </row>
    <row r="152" spans="1:25" x14ac:dyDescent="0.25">
      <c r="A152" s="8">
        <f t="shared" si="4"/>
        <v>141</v>
      </c>
      <c r="B152" s="173"/>
      <c r="C152" s="174"/>
      <c r="D152" s="171"/>
      <c r="E152" s="171"/>
      <c r="F152" s="172"/>
      <c r="G152" s="187"/>
      <c r="H152" s="187"/>
      <c r="I152" s="187"/>
      <c r="J152" s="187"/>
      <c r="K152" s="187"/>
      <c r="L152" s="187"/>
      <c r="M152" s="187"/>
      <c r="N152" s="103"/>
      <c r="O152" s="193"/>
      <c r="P152" s="207"/>
      <c r="Q152" s="194"/>
      <c r="R152" s="191"/>
      <c r="S152" s="191"/>
      <c r="T152" s="191"/>
      <c r="U152" s="194"/>
      <c r="V152" s="194"/>
      <c r="W152" s="194"/>
      <c r="X152" s="194"/>
      <c r="Y152" s="199"/>
    </row>
    <row r="153" spans="1:25" x14ac:dyDescent="0.25">
      <c r="A153" s="8">
        <f t="shared" si="4"/>
        <v>142</v>
      </c>
      <c r="B153" s="173"/>
      <c r="C153" s="174"/>
      <c r="D153" s="171"/>
      <c r="E153" s="171"/>
      <c r="F153" s="172"/>
      <c r="G153" s="187"/>
      <c r="H153" s="187"/>
      <c r="I153" s="187"/>
      <c r="J153" s="187"/>
      <c r="K153" s="187"/>
      <c r="L153" s="187"/>
      <c r="M153" s="187"/>
      <c r="N153" s="103"/>
      <c r="O153" s="193"/>
      <c r="P153" s="207"/>
      <c r="Q153" s="194"/>
      <c r="R153" s="191"/>
      <c r="S153" s="191"/>
      <c r="T153" s="191"/>
      <c r="U153" s="194"/>
      <c r="V153" s="194"/>
      <c r="W153" s="194"/>
      <c r="X153" s="194"/>
      <c r="Y153" s="199"/>
    </row>
    <row r="154" spans="1:25" x14ac:dyDescent="0.25">
      <c r="A154" s="8">
        <f t="shared" si="4"/>
        <v>143</v>
      </c>
      <c r="B154" s="173"/>
      <c r="C154" s="174"/>
      <c r="D154" s="171"/>
      <c r="E154" s="171"/>
      <c r="F154" s="172"/>
      <c r="G154" s="187"/>
      <c r="H154" s="187"/>
      <c r="I154" s="187"/>
      <c r="J154" s="187"/>
      <c r="K154" s="187"/>
      <c r="L154" s="187"/>
      <c r="M154" s="187"/>
      <c r="N154" s="103"/>
      <c r="O154" s="193"/>
      <c r="P154" s="207"/>
      <c r="Q154" s="194"/>
      <c r="R154" s="191"/>
      <c r="S154" s="191"/>
      <c r="T154" s="191"/>
      <c r="U154" s="194"/>
      <c r="V154" s="194"/>
      <c r="W154" s="194"/>
      <c r="X154" s="194"/>
      <c r="Y154" s="199"/>
    </row>
    <row r="155" spans="1:25" x14ac:dyDescent="0.25">
      <c r="A155" s="8">
        <f t="shared" si="4"/>
        <v>144</v>
      </c>
      <c r="B155" s="173"/>
      <c r="C155" s="174"/>
      <c r="D155" s="171"/>
      <c r="E155" s="171"/>
      <c r="F155" s="172"/>
      <c r="G155" s="187"/>
      <c r="H155" s="187"/>
      <c r="I155" s="187"/>
      <c r="J155" s="187"/>
      <c r="K155" s="187"/>
      <c r="L155" s="187"/>
      <c r="M155" s="187"/>
      <c r="N155" s="103"/>
      <c r="O155" s="193"/>
      <c r="P155" s="207"/>
      <c r="Q155" s="194"/>
      <c r="R155" s="191"/>
      <c r="S155" s="191"/>
      <c r="T155" s="191"/>
      <c r="U155" s="194"/>
      <c r="V155" s="194"/>
      <c r="W155" s="194"/>
      <c r="X155" s="194"/>
      <c r="Y155" s="199"/>
    </row>
    <row r="156" spans="1:25" x14ac:dyDescent="0.25">
      <c r="A156" s="8">
        <f t="shared" si="4"/>
        <v>145</v>
      </c>
      <c r="B156" s="173"/>
      <c r="C156" s="174"/>
      <c r="D156" s="171"/>
      <c r="E156" s="171"/>
      <c r="F156" s="172"/>
      <c r="G156" s="187"/>
      <c r="H156" s="187"/>
      <c r="I156" s="187"/>
      <c r="J156" s="187"/>
      <c r="K156" s="187"/>
      <c r="L156" s="187"/>
      <c r="M156" s="187"/>
      <c r="N156" s="103"/>
      <c r="O156" s="193"/>
      <c r="P156" s="207"/>
      <c r="Q156" s="194"/>
      <c r="R156" s="191"/>
      <c r="S156" s="191"/>
      <c r="T156" s="191"/>
      <c r="U156" s="194"/>
      <c r="V156" s="194"/>
      <c r="W156" s="194"/>
      <c r="X156" s="194"/>
      <c r="Y156" s="199"/>
    </row>
    <row r="157" spans="1:25" x14ac:dyDescent="0.25">
      <c r="A157" s="8">
        <f t="shared" si="4"/>
        <v>146</v>
      </c>
      <c r="B157" s="173"/>
      <c r="C157" s="174"/>
      <c r="D157" s="171"/>
      <c r="E157" s="171"/>
      <c r="F157" s="172"/>
      <c r="G157" s="187"/>
      <c r="H157" s="187"/>
      <c r="I157" s="187"/>
      <c r="J157" s="187"/>
      <c r="K157" s="187"/>
      <c r="L157" s="187"/>
      <c r="M157" s="187"/>
      <c r="N157" s="103"/>
      <c r="O157" s="193"/>
      <c r="P157" s="207"/>
      <c r="Q157" s="194"/>
      <c r="R157" s="191"/>
      <c r="S157" s="191"/>
      <c r="T157" s="191"/>
      <c r="U157" s="194"/>
      <c r="V157" s="194"/>
      <c r="W157" s="194"/>
      <c r="X157" s="194"/>
      <c r="Y157" s="199"/>
    </row>
    <row r="158" spans="1:25" x14ac:dyDescent="0.25">
      <c r="A158" s="8">
        <f t="shared" si="4"/>
        <v>147</v>
      </c>
      <c r="B158" s="173"/>
      <c r="C158" s="174"/>
      <c r="D158" s="171"/>
      <c r="E158" s="171"/>
      <c r="F158" s="172"/>
      <c r="G158" s="187"/>
      <c r="H158" s="187"/>
      <c r="I158" s="187"/>
      <c r="J158" s="187"/>
      <c r="K158" s="187"/>
      <c r="L158" s="187"/>
      <c r="M158" s="187"/>
      <c r="N158" s="103"/>
      <c r="O158" s="193"/>
      <c r="P158" s="207"/>
      <c r="Q158" s="194"/>
      <c r="R158" s="191"/>
      <c r="S158" s="191"/>
      <c r="T158" s="191"/>
      <c r="U158" s="194"/>
      <c r="V158" s="194"/>
      <c r="W158" s="194"/>
      <c r="X158" s="194"/>
      <c r="Y158" s="199"/>
    </row>
    <row r="159" spans="1:25" x14ac:dyDescent="0.25">
      <c r="A159" s="8">
        <f t="shared" si="4"/>
        <v>148</v>
      </c>
      <c r="B159" s="173"/>
      <c r="C159" s="174"/>
      <c r="D159" s="171"/>
      <c r="E159" s="171"/>
      <c r="F159" s="172"/>
      <c r="G159" s="187"/>
      <c r="H159" s="187"/>
      <c r="I159" s="187"/>
      <c r="J159" s="187"/>
      <c r="K159" s="187"/>
      <c r="L159" s="187"/>
      <c r="M159" s="187"/>
      <c r="N159" s="103"/>
      <c r="O159" s="193"/>
      <c r="P159" s="207"/>
      <c r="Q159" s="194"/>
      <c r="R159" s="191"/>
      <c r="S159" s="191"/>
      <c r="T159" s="191"/>
      <c r="U159" s="194"/>
      <c r="V159" s="194"/>
      <c r="W159" s="194"/>
      <c r="X159" s="194"/>
      <c r="Y159" s="199"/>
    </row>
    <row r="160" spans="1:25" x14ac:dyDescent="0.25">
      <c r="A160" s="8">
        <f t="shared" si="4"/>
        <v>149</v>
      </c>
      <c r="B160" s="173"/>
      <c r="C160" s="174"/>
      <c r="D160" s="171"/>
      <c r="E160" s="171"/>
      <c r="F160" s="172"/>
      <c r="G160" s="187"/>
      <c r="H160" s="187"/>
      <c r="I160" s="187"/>
      <c r="J160" s="187"/>
      <c r="K160" s="187"/>
      <c r="L160" s="187"/>
      <c r="M160" s="187"/>
      <c r="N160" s="103"/>
      <c r="O160" s="193"/>
      <c r="P160" s="207"/>
      <c r="Q160" s="194"/>
      <c r="R160" s="191"/>
      <c r="S160" s="191"/>
      <c r="T160" s="191"/>
      <c r="U160" s="194"/>
      <c r="V160" s="194"/>
      <c r="W160" s="194"/>
      <c r="X160" s="194"/>
      <c r="Y160" s="199"/>
    </row>
    <row r="161" spans="1:25" x14ac:dyDescent="0.25">
      <c r="A161" s="8">
        <f t="shared" si="4"/>
        <v>150</v>
      </c>
      <c r="B161" s="173"/>
      <c r="C161" s="174"/>
      <c r="D161" s="171"/>
      <c r="E161" s="171"/>
      <c r="F161" s="172"/>
      <c r="G161" s="187"/>
      <c r="H161" s="187"/>
      <c r="I161" s="187"/>
      <c r="J161" s="187"/>
      <c r="K161" s="187"/>
      <c r="L161" s="187"/>
      <c r="M161" s="187"/>
      <c r="N161" s="103"/>
      <c r="O161" s="193"/>
      <c r="P161" s="207"/>
      <c r="Q161" s="194"/>
      <c r="R161" s="191"/>
      <c r="S161" s="191"/>
      <c r="T161" s="191"/>
      <c r="U161" s="194"/>
      <c r="V161" s="194"/>
      <c r="W161" s="194"/>
      <c r="X161" s="194"/>
      <c r="Y161" s="199"/>
    </row>
    <row r="162" spans="1:25" x14ac:dyDescent="0.25">
      <c r="A162" s="8">
        <f t="shared" si="4"/>
        <v>151</v>
      </c>
      <c r="B162" s="173"/>
      <c r="C162" s="174"/>
      <c r="D162" s="171"/>
      <c r="E162" s="171"/>
      <c r="F162" s="172"/>
      <c r="G162" s="187"/>
      <c r="H162" s="187"/>
      <c r="I162" s="187"/>
      <c r="J162" s="187"/>
      <c r="K162" s="187"/>
      <c r="L162" s="187"/>
      <c r="M162" s="187"/>
      <c r="N162" s="103"/>
      <c r="O162" s="193"/>
      <c r="P162" s="207"/>
      <c r="Q162" s="194"/>
      <c r="R162" s="191"/>
      <c r="S162" s="191"/>
      <c r="T162" s="191"/>
      <c r="U162" s="194"/>
      <c r="V162" s="194"/>
      <c r="W162" s="194"/>
      <c r="X162" s="194"/>
      <c r="Y162" s="199"/>
    </row>
    <row r="163" spans="1:25" x14ac:dyDescent="0.25">
      <c r="A163" s="8">
        <f t="shared" si="4"/>
        <v>152</v>
      </c>
      <c r="B163" s="173"/>
      <c r="C163" s="174"/>
      <c r="D163" s="171"/>
      <c r="E163" s="171"/>
      <c r="F163" s="172"/>
      <c r="G163" s="187"/>
      <c r="H163" s="187"/>
      <c r="I163" s="187"/>
      <c r="J163" s="187"/>
      <c r="K163" s="187"/>
      <c r="L163" s="187"/>
      <c r="M163" s="187"/>
      <c r="N163" s="103"/>
      <c r="O163" s="193"/>
      <c r="P163" s="207"/>
      <c r="Q163" s="194"/>
      <c r="R163" s="191"/>
      <c r="S163" s="191"/>
      <c r="T163" s="191"/>
      <c r="U163" s="194"/>
      <c r="V163" s="194"/>
      <c r="W163" s="194"/>
      <c r="X163" s="194"/>
      <c r="Y163" s="199"/>
    </row>
    <row r="164" spans="1:25" x14ac:dyDescent="0.25">
      <c r="A164" s="8">
        <f t="shared" si="4"/>
        <v>153</v>
      </c>
      <c r="B164" s="173"/>
      <c r="C164" s="174"/>
      <c r="D164" s="171"/>
      <c r="E164" s="171"/>
      <c r="F164" s="172"/>
      <c r="G164" s="187"/>
      <c r="H164" s="187"/>
      <c r="I164" s="187"/>
      <c r="J164" s="187"/>
      <c r="K164" s="187"/>
      <c r="L164" s="187"/>
      <c r="M164" s="187"/>
      <c r="N164" s="103"/>
      <c r="O164" s="193"/>
      <c r="P164" s="207"/>
      <c r="Q164" s="194"/>
      <c r="R164" s="191"/>
      <c r="S164" s="191"/>
      <c r="T164" s="191"/>
      <c r="U164" s="194"/>
      <c r="V164" s="194"/>
      <c r="W164" s="194"/>
      <c r="X164" s="194"/>
      <c r="Y164" s="199"/>
    </row>
    <row r="165" spans="1:25" x14ac:dyDescent="0.25">
      <c r="A165" s="8">
        <f t="shared" si="4"/>
        <v>154</v>
      </c>
      <c r="B165" s="173"/>
      <c r="C165" s="174"/>
      <c r="D165" s="171"/>
      <c r="E165" s="171"/>
      <c r="F165" s="172"/>
      <c r="G165" s="187"/>
      <c r="H165" s="187"/>
      <c r="I165" s="187"/>
      <c r="J165" s="187"/>
      <c r="K165" s="187"/>
      <c r="L165" s="187"/>
      <c r="M165" s="187"/>
      <c r="N165" s="103"/>
      <c r="O165" s="193"/>
      <c r="P165" s="207"/>
      <c r="Q165" s="194"/>
      <c r="R165" s="191"/>
      <c r="S165" s="191"/>
      <c r="T165" s="191"/>
      <c r="U165" s="194"/>
      <c r="V165" s="194"/>
      <c r="W165" s="194"/>
      <c r="X165" s="194"/>
      <c r="Y165" s="199"/>
    </row>
    <row r="166" spans="1:25" x14ac:dyDescent="0.25">
      <c r="A166" s="8">
        <f t="shared" si="4"/>
        <v>155</v>
      </c>
      <c r="B166" s="173"/>
      <c r="C166" s="174"/>
      <c r="D166" s="171"/>
      <c r="E166" s="171"/>
      <c r="F166" s="172"/>
      <c r="G166" s="187"/>
      <c r="H166" s="187"/>
      <c r="I166" s="187"/>
      <c r="J166" s="187"/>
      <c r="K166" s="187"/>
      <c r="L166" s="187"/>
      <c r="M166" s="187"/>
      <c r="N166" s="103"/>
      <c r="O166" s="193"/>
      <c r="P166" s="207"/>
      <c r="Q166" s="194"/>
      <c r="R166" s="191"/>
      <c r="S166" s="191"/>
      <c r="T166" s="191"/>
      <c r="U166" s="194"/>
      <c r="V166" s="194"/>
      <c r="W166" s="194"/>
      <c r="X166" s="194"/>
      <c r="Y166" s="199"/>
    </row>
    <row r="167" spans="1:25" x14ac:dyDescent="0.25">
      <c r="A167" s="8">
        <f t="shared" si="4"/>
        <v>156</v>
      </c>
      <c r="B167" s="173"/>
      <c r="C167" s="174"/>
      <c r="D167" s="171"/>
      <c r="E167" s="171"/>
      <c r="F167" s="172"/>
      <c r="G167" s="187"/>
      <c r="H167" s="187"/>
      <c r="I167" s="187"/>
      <c r="J167" s="187"/>
      <c r="K167" s="187"/>
      <c r="L167" s="187"/>
      <c r="M167" s="187"/>
      <c r="N167" s="103"/>
      <c r="O167" s="193"/>
      <c r="P167" s="207"/>
      <c r="Q167" s="194"/>
      <c r="R167" s="191"/>
      <c r="S167" s="191"/>
      <c r="T167" s="191"/>
      <c r="U167" s="194"/>
      <c r="V167" s="194"/>
      <c r="W167" s="194"/>
      <c r="X167" s="194"/>
      <c r="Y167" s="199"/>
    </row>
    <row r="168" spans="1:25" x14ac:dyDescent="0.25">
      <c r="A168" s="8">
        <f t="shared" si="4"/>
        <v>157</v>
      </c>
      <c r="B168" s="173"/>
      <c r="C168" s="174"/>
      <c r="D168" s="171"/>
      <c r="E168" s="171"/>
      <c r="F168" s="172"/>
      <c r="G168" s="187"/>
      <c r="H168" s="187"/>
      <c r="I168" s="187"/>
      <c r="J168" s="187"/>
      <c r="K168" s="187"/>
      <c r="L168" s="187"/>
      <c r="M168" s="187"/>
      <c r="N168" s="103"/>
      <c r="O168" s="193"/>
      <c r="P168" s="207"/>
      <c r="Q168" s="194"/>
      <c r="R168" s="191"/>
      <c r="S168" s="191"/>
      <c r="T168" s="191"/>
      <c r="U168" s="194"/>
      <c r="V168" s="194"/>
      <c r="W168" s="194"/>
      <c r="X168" s="194"/>
      <c r="Y168" s="199"/>
    </row>
    <row r="169" spans="1:25" x14ac:dyDescent="0.25">
      <c r="A169" s="8">
        <f t="shared" si="4"/>
        <v>158</v>
      </c>
      <c r="B169" s="173"/>
      <c r="C169" s="174"/>
      <c r="D169" s="171"/>
      <c r="E169" s="171"/>
      <c r="F169" s="172"/>
      <c r="G169" s="187"/>
      <c r="H169" s="187"/>
      <c r="I169" s="187"/>
      <c r="J169" s="187"/>
      <c r="K169" s="187"/>
      <c r="L169" s="187"/>
      <c r="M169" s="187"/>
      <c r="N169" s="103"/>
      <c r="O169" s="193"/>
      <c r="P169" s="207"/>
      <c r="Q169" s="194"/>
      <c r="R169" s="191"/>
      <c r="S169" s="191"/>
      <c r="T169" s="191"/>
      <c r="U169" s="194"/>
      <c r="V169" s="194"/>
      <c r="W169" s="194"/>
      <c r="X169" s="194"/>
      <c r="Y169" s="199"/>
    </row>
    <row r="170" spans="1:25" x14ac:dyDescent="0.25">
      <c r="A170" s="8">
        <f t="shared" si="4"/>
        <v>159</v>
      </c>
      <c r="B170" s="173"/>
      <c r="C170" s="174"/>
      <c r="D170" s="171"/>
      <c r="E170" s="171"/>
      <c r="F170" s="172"/>
      <c r="G170" s="187"/>
      <c r="H170" s="187"/>
      <c r="I170" s="187"/>
      <c r="J170" s="187"/>
      <c r="K170" s="187"/>
      <c r="L170" s="187"/>
      <c r="M170" s="187"/>
      <c r="N170" s="103"/>
      <c r="O170" s="193"/>
      <c r="P170" s="207"/>
      <c r="Q170" s="194"/>
      <c r="R170" s="191"/>
      <c r="S170" s="191"/>
      <c r="T170" s="191"/>
      <c r="U170" s="194"/>
      <c r="V170" s="194"/>
      <c r="W170" s="194"/>
      <c r="X170" s="194"/>
      <c r="Y170" s="199"/>
    </row>
    <row r="171" spans="1:25" x14ac:dyDescent="0.25">
      <c r="A171" s="8">
        <f t="shared" si="4"/>
        <v>160</v>
      </c>
      <c r="B171" s="173"/>
      <c r="C171" s="174"/>
      <c r="D171" s="171"/>
      <c r="E171" s="171"/>
      <c r="F171" s="172"/>
      <c r="G171" s="187"/>
      <c r="H171" s="187"/>
      <c r="I171" s="187"/>
      <c r="J171" s="187"/>
      <c r="K171" s="187"/>
      <c r="L171" s="187"/>
      <c r="M171" s="187"/>
      <c r="N171" s="103"/>
      <c r="O171" s="193"/>
      <c r="P171" s="207"/>
      <c r="Q171" s="194"/>
      <c r="R171" s="191"/>
      <c r="S171" s="191"/>
      <c r="T171" s="191"/>
      <c r="U171" s="194"/>
      <c r="V171" s="194"/>
      <c r="W171" s="194"/>
      <c r="X171" s="194"/>
      <c r="Y171" s="199"/>
    </row>
    <row r="172" spans="1:25" x14ac:dyDescent="0.25">
      <c r="A172" s="8">
        <f t="shared" si="4"/>
        <v>161</v>
      </c>
      <c r="B172" s="173"/>
      <c r="C172" s="174"/>
      <c r="D172" s="171"/>
      <c r="E172" s="171"/>
      <c r="F172" s="172"/>
      <c r="G172" s="187"/>
      <c r="H172" s="187"/>
      <c r="I172" s="187"/>
      <c r="J172" s="187"/>
      <c r="K172" s="187"/>
      <c r="L172" s="187"/>
      <c r="M172" s="187"/>
      <c r="N172" s="103"/>
      <c r="O172" s="193"/>
      <c r="P172" s="207"/>
      <c r="Q172" s="194"/>
      <c r="R172" s="191"/>
      <c r="S172" s="191"/>
      <c r="T172" s="191"/>
      <c r="U172" s="194"/>
      <c r="V172" s="194"/>
      <c r="W172" s="194"/>
      <c r="X172" s="194"/>
      <c r="Y172" s="199"/>
    </row>
    <row r="173" spans="1:25" x14ac:dyDescent="0.25">
      <c r="A173" s="8">
        <f t="shared" si="4"/>
        <v>162</v>
      </c>
      <c r="B173" s="173"/>
      <c r="C173" s="174"/>
      <c r="D173" s="171"/>
      <c r="E173" s="171"/>
      <c r="F173" s="172"/>
      <c r="G173" s="187"/>
      <c r="H173" s="187"/>
      <c r="I173" s="187"/>
      <c r="J173" s="187"/>
      <c r="K173" s="187"/>
      <c r="L173" s="187"/>
      <c r="M173" s="187"/>
      <c r="N173" s="103"/>
      <c r="O173" s="193"/>
      <c r="P173" s="207"/>
      <c r="Q173" s="194"/>
      <c r="R173" s="191"/>
      <c r="S173" s="191"/>
      <c r="T173" s="191"/>
      <c r="U173" s="194"/>
      <c r="V173" s="194"/>
      <c r="W173" s="194"/>
      <c r="X173" s="194"/>
      <c r="Y173" s="199"/>
    </row>
    <row r="174" spans="1:25" x14ac:dyDescent="0.25">
      <c r="A174" s="8">
        <f t="shared" si="4"/>
        <v>163</v>
      </c>
      <c r="B174" s="173"/>
      <c r="C174" s="174"/>
      <c r="D174" s="171"/>
      <c r="E174" s="171"/>
      <c r="F174" s="172"/>
      <c r="G174" s="187"/>
      <c r="H174" s="187"/>
      <c r="I174" s="187"/>
      <c r="J174" s="187"/>
      <c r="K174" s="187"/>
      <c r="L174" s="187"/>
      <c r="M174" s="187"/>
      <c r="N174" s="103"/>
      <c r="O174" s="193"/>
      <c r="P174" s="207"/>
      <c r="Q174" s="194"/>
      <c r="R174" s="191"/>
      <c r="S174" s="191"/>
      <c r="T174" s="191"/>
      <c r="U174" s="194"/>
      <c r="V174" s="194"/>
      <c r="W174" s="194"/>
      <c r="X174" s="194"/>
      <c r="Y174" s="199"/>
    </row>
    <row r="175" spans="1:25" x14ac:dyDescent="0.25">
      <c r="A175" s="8">
        <f t="shared" si="4"/>
        <v>164</v>
      </c>
      <c r="B175" s="173"/>
      <c r="C175" s="174"/>
      <c r="D175" s="171"/>
      <c r="E175" s="171"/>
      <c r="F175" s="172"/>
      <c r="G175" s="187"/>
      <c r="H175" s="187"/>
      <c r="I175" s="187"/>
      <c r="J175" s="187"/>
      <c r="K175" s="187"/>
      <c r="L175" s="187"/>
      <c r="M175" s="187"/>
      <c r="N175" s="103"/>
      <c r="O175" s="193"/>
      <c r="P175" s="207"/>
      <c r="Q175" s="194"/>
      <c r="R175" s="191"/>
      <c r="S175" s="191"/>
      <c r="T175" s="191"/>
      <c r="U175" s="194"/>
      <c r="V175" s="194"/>
      <c r="W175" s="194"/>
      <c r="X175" s="194"/>
      <c r="Y175" s="199"/>
    </row>
    <row r="176" spans="1:25" x14ac:dyDescent="0.25">
      <c r="A176" s="8">
        <f t="shared" si="4"/>
        <v>165</v>
      </c>
      <c r="B176" s="173"/>
      <c r="C176" s="174"/>
      <c r="D176" s="171"/>
      <c r="E176" s="171"/>
      <c r="F176" s="172"/>
      <c r="G176" s="187"/>
      <c r="H176" s="187"/>
      <c r="I176" s="187"/>
      <c r="J176" s="187"/>
      <c r="K176" s="187"/>
      <c r="L176" s="187"/>
      <c r="M176" s="187"/>
      <c r="N176" s="103"/>
      <c r="O176" s="193"/>
      <c r="P176" s="207"/>
      <c r="Q176" s="194"/>
      <c r="R176" s="191"/>
      <c r="S176" s="191"/>
      <c r="T176" s="191"/>
      <c r="U176" s="194"/>
      <c r="V176" s="194"/>
      <c r="W176" s="194"/>
      <c r="X176" s="194"/>
      <c r="Y176" s="199"/>
    </row>
    <row r="177" spans="1:25" x14ac:dyDescent="0.25">
      <c r="A177" s="8">
        <f t="shared" si="4"/>
        <v>166</v>
      </c>
      <c r="B177" s="173"/>
      <c r="C177" s="174"/>
      <c r="D177" s="171"/>
      <c r="E177" s="171"/>
      <c r="F177" s="172"/>
      <c r="G177" s="187"/>
      <c r="H177" s="187"/>
      <c r="I177" s="187"/>
      <c r="J177" s="187"/>
      <c r="K177" s="187"/>
      <c r="L177" s="187"/>
      <c r="M177" s="187"/>
      <c r="N177" s="103"/>
      <c r="O177" s="193"/>
      <c r="P177" s="207"/>
      <c r="Q177" s="194"/>
      <c r="R177" s="191"/>
      <c r="S177" s="191"/>
      <c r="T177" s="191"/>
      <c r="U177" s="194"/>
      <c r="V177" s="194"/>
      <c r="W177" s="194"/>
      <c r="X177" s="194"/>
      <c r="Y177" s="199"/>
    </row>
    <row r="178" spans="1:25" x14ac:dyDescent="0.25">
      <c r="A178" s="8">
        <f t="shared" si="4"/>
        <v>167</v>
      </c>
      <c r="B178" s="173"/>
      <c r="C178" s="174"/>
      <c r="D178" s="171"/>
      <c r="E178" s="171"/>
      <c r="F178" s="172"/>
      <c r="G178" s="187"/>
      <c r="H178" s="187"/>
      <c r="I178" s="187"/>
      <c r="J178" s="187"/>
      <c r="K178" s="187"/>
      <c r="L178" s="187"/>
      <c r="M178" s="187"/>
      <c r="N178" s="103"/>
      <c r="O178" s="193"/>
      <c r="P178" s="207"/>
      <c r="Q178" s="194"/>
      <c r="R178" s="191"/>
      <c r="S178" s="191"/>
      <c r="T178" s="191"/>
      <c r="U178" s="194"/>
      <c r="V178" s="194"/>
      <c r="W178" s="194"/>
      <c r="X178" s="194"/>
      <c r="Y178" s="199"/>
    </row>
    <row r="179" spans="1:25" x14ac:dyDescent="0.25">
      <c r="A179" s="8">
        <f t="shared" si="4"/>
        <v>168</v>
      </c>
      <c r="B179" s="173"/>
      <c r="C179" s="174"/>
      <c r="D179" s="171"/>
      <c r="E179" s="171"/>
      <c r="F179" s="172"/>
      <c r="G179" s="187"/>
      <c r="H179" s="187"/>
      <c r="I179" s="187"/>
      <c r="J179" s="187"/>
      <c r="K179" s="187"/>
      <c r="L179" s="187"/>
      <c r="M179" s="187"/>
      <c r="N179" s="103"/>
      <c r="O179" s="193"/>
      <c r="P179" s="207"/>
      <c r="Q179" s="194"/>
      <c r="R179" s="191"/>
      <c r="S179" s="191"/>
      <c r="T179" s="191"/>
      <c r="U179" s="194"/>
      <c r="V179" s="194"/>
      <c r="W179" s="194"/>
      <c r="X179" s="194"/>
      <c r="Y179" s="199"/>
    </row>
    <row r="180" spans="1:25" x14ac:dyDescent="0.25">
      <c r="A180" s="8">
        <f t="shared" si="4"/>
        <v>169</v>
      </c>
      <c r="B180" s="173"/>
      <c r="C180" s="174"/>
      <c r="D180" s="171"/>
      <c r="E180" s="171"/>
      <c r="F180" s="172"/>
      <c r="G180" s="187"/>
      <c r="H180" s="187"/>
      <c r="I180" s="187"/>
      <c r="J180" s="187"/>
      <c r="K180" s="187"/>
      <c r="L180" s="187"/>
      <c r="M180" s="187"/>
      <c r="N180" s="103"/>
      <c r="O180" s="193"/>
      <c r="P180" s="207"/>
      <c r="Q180" s="194"/>
      <c r="R180" s="191"/>
      <c r="S180" s="191"/>
      <c r="T180" s="191"/>
      <c r="U180" s="194"/>
      <c r="V180" s="194"/>
      <c r="W180" s="194"/>
      <c r="X180" s="194"/>
      <c r="Y180" s="199"/>
    </row>
    <row r="181" spans="1:25" x14ac:dyDescent="0.25">
      <c r="A181" s="8">
        <f t="shared" si="4"/>
        <v>170</v>
      </c>
      <c r="B181" s="173"/>
      <c r="C181" s="174"/>
      <c r="D181" s="171"/>
      <c r="E181" s="171"/>
      <c r="F181" s="172"/>
      <c r="G181" s="187"/>
      <c r="H181" s="187"/>
      <c r="I181" s="187"/>
      <c r="J181" s="187"/>
      <c r="K181" s="187"/>
      <c r="L181" s="187"/>
      <c r="M181" s="187"/>
      <c r="N181" s="103"/>
      <c r="O181" s="193"/>
      <c r="P181" s="207"/>
      <c r="Q181" s="194"/>
      <c r="R181" s="191"/>
      <c r="S181" s="191"/>
      <c r="T181" s="191"/>
      <c r="U181" s="194"/>
      <c r="V181" s="194"/>
      <c r="W181" s="194"/>
      <c r="X181" s="194"/>
      <c r="Y181" s="199"/>
    </row>
    <row r="182" spans="1:25" x14ac:dyDescent="0.25">
      <c r="A182" s="8">
        <f t="shared" si="4"/>
        <v>171</v>
      </c>
      <c r="B182" s="173"/>
      <c r="C182" s="174"/>
      <c r="D182" s="171"/>
      <c r="E182" s="171"/>
      <c r="F182" s="172"/>
      <c r="G182" s="187"/>
      <c r="H182" s="187"/>
      <c r="I182" s="187"/>
      <c r="J182" s="187"/>
      <c r="K182" s="187"/>
      <c r="L182" s="187"/>
      <c r="M182" s="187"/>
      <c r="N182" s="103"/>
      <c r="O182" s="193"/>
      <c r="P182" s="207"/>
      <c r="Q182" s="194"/>
      <c r="R182" s="191"/>
      <c r="S182" s="191"/>
      <c r="T182" s="191"/>
      <c r="U182" s="194"/>
      <c r="V182" s="194"/>
      <c r="W182" s="194"/>
      <c r="X182" s="194"/>
      <c r="Y182" s="199"/>
    </row>
    <row r="183" spans="1:25" x14ac:dyDescent="0.25">
      <c r="A183" s="8">
        <f t="shared" si="4"/>
        <v>172</v>
      </c>
      <c r="B183" s="173"/>
      <c r="C183" s="174"/>
      <c r="D183" s="171"/>
      <c r="E183" s="171"/>
      <c r="F183" s="172"/>
      <c r="G183" s="187"/>
      <c r="H183" s="187"/>
      <c r="I183" s="187"/>
      <c r="J183" s="187"/>
      <c r="K183" s="187"/>
      <c r="L183" s="187"/>
      <c r="M183" s="187"/>
      <c r="N183" s="103"/>
      <c r="O183" s="193"/>
      <c r="P183" s="207"/>
      <c r="Q183" s="194"/>
      <c r="R183" s="191"/>
      <c r="S183" s="191"/>
      <c r="T183" s="191"/>
      <c r="U183" s="194"/>
      <c r="V183" s="194"/>
      <c r="W183" s="194"/>
      <c r="X183" s="194"/>
      <c r="Y183" s="199"/>
    </row>
    <row r="184" spans="1:25" x14ac:dyDescent="0.25">
      <c r="A184" s="8">
        <f t="shared" si="4"/>
        <v>173</v>
      </c>
      <c r="B184" s="173"/>
      <c r="C184" s="174"/>
      <c r="D184" s="171"/>
      <c r="E184" s="171"/>
      <c r="F184" s="172"/>
      <c r="G184" s="187"/>
      <c r="H184" s="187"/>
      <c r="I184" s="187"/>
      <c r="J184" s="187"/>
      <c r="K184" s="187"/>
      <c r="L184" s="187"/>
      <c r="M184" s="187"/>
      <c r="N184" s="103"/>
      <c r="O184" s="193"/>
      <c r="P184" s="207"/>
      <c r="Q184" s="194"/>
      <c r="R184" s="191"/>
      <c r="S184" s="191"/>
      <c r="T184" s="191"/>
      <c r="U184" s="194"/>
      <c r="V184" s="194"/>
      <c r="W184" s="194"/>
      <c r="X184" s="194"/>
      <c r="Y184" s="199"/>
    </row>
    <row r="185" spans="1:25" x14ac:dyDescent="0.25">
      <c r="A185" s="8">
        <f t="shared" si="4"/>
        <v>174</v>
      </c>
      <c r="B185" s="173"/>
      <c r="C185" s="174"/>
      <c r="D185" s="171"/>
      <c r="E185" s="171"/>
      <c r="F185" s="172"/>
      <c r="G185" s="187"/>
      <c r="H185" s="187"/>
      <c r="I185" s="187"/>
      <c r="J185" s="187"/>
      <c r="K185" s="187"/>
      <c r="L185" s="187"/>
      <c r="M185" s="187"/>
      <c r="N185" s="103"/>
      <c r="O185" s="193"/>
      <c r="P185" s="207"/>
      <c r="Q185" s="194"/>
      <c r="R185" s="191"/>
      <c r="S185" s="191"/>
      <c r="T185" s="191"/>
      <c r="U185" s="194"/>
      <c r="V185" s="194"/>
      <c r="W185" s="194"/>
      <c r="X185" s="194"/>
      <c r="Y185" s="199"/>
    </row>
    <row r="186" spans="1:25" x14ac:dyDescent="0.25">
      <c r="A186" s="8">
        <f t="shared" si="4"/>
        <v>175</v>
      </c>
      <c r="B186" s="173"/>
      <c r="C186" s="174"/>
      <c r="D186" s="171"/>
      <c r="E186" s="171"/>
      <c r="F186" s="172"/>
      <c r="G186" s="187"/>
      <c r="H186" s="187"/>
      <c r="I186" s="187"/>
      <c r="J186" s="187"/>
      <c r="K186" s="187"/>
      <c r="L186" s="187"/>
      <c r="M186" s="187"/>
      <c r="N186" s="103"/>
      <c r="O186" s="193"/>
      <c r="P186" s="207"/>
      <c r="Q186" s="194"/>
      <c r="R186" s="191"/>
      <c r="S186" s="191"/>
      <c r="T186" s="191"/>
      <c r="U186" s="194"/>
      <c r="V186" s="194"/>
      <c r="W186" s="194"/>
      <c r="X186" s="194"/>
      <c r="Y186" s="199"/>
    </row>
    <row r="187" spans="1:25" x14ac:dyDescent="0.25">
      <c r="A187" s="8">
        <f t="shared" si="4"/>
        <v>176</v>
      </c>
      <c r="B187" s="173"/>
      <c r="C187" s="174"/>
      <c r="D187" s="171"/>
      <c r="E187" s="171"/>
      <c r="F187" s="172"/>
      <c r="G187" s="187"/>
      <c r="H187" s="187"/>
      <c r="I187" s="187"/>
      <c r="J187" s="187"/>
      <c r="K187" s="187"/>
      <c r="L187" s="187"/>
      <c r="M187" s="187"/>
      <c r="N187" s="103"/>
      <c r="O187" s="193"/>
      <c r="P187" s="207"/>
      <c r="Q187" s="194"/>
      <c r="R187" s="191"/>
      <c r="S187" s="191"/>
      <c r="T187" s="191"/>
      <c r="U187" s="194"/>
      <c r="V187" s="194"/>
      <c r="W187" s="194"/>
      <c r="X187" s="194"/>
      <c r="Y187" s="199"/>
    </row>
    <row r="188" spans="1:25" x14ac:dyDescent="0.25">
      <c r="A188" s="8">
        <f t="shared" si="4"/>
        <v>177</v>
      </c>
      <c r="B188" s="173"/>
      <c r="C188" s="174"/>
      <c r="D188" s="171"/>
      <c r="E188" s="171"/>
      <c r="F188" s="172"/>
      <c r="G188" s="187"/>
      <c r="H188" s="187"/>
      <c r="I188" s="187"/>
      <c r="J188" s="187"/>
      <c r="K188" s="187"/>
      <c r="L188" s="187"/>
      <c r="M188" s="187"/>
      <c r="N188" s="103"/>
      <c r="O188" s="193"/>
      <c r="P188" s="207"/>
      <c r="Q188" s="194"/>
      <c r="R188" s="191"/>
      <c r="S188" s="191"/>
      <c r="T188" s="191"/>
      <c r="U188" s="194"/>
      <c r="V188" s="194"/>
      <c r="W188" s="194"/>
      <c r="X188" s="194"/>
      <c r="Y188" s="199"/>
    </row>
    <row r="189" spans="1:25" x14ac:dyDescent="0.25">
      <c r="A189" s="8">
        <f t="shared" si="4"/>
        <v>178</v>
      </c>
      <c r="B189" s="173"/>
      <c r="C189" s="174"/>
      <c r="D189" s="171"/>
      <c r="E189" s="171"/>
      <c r="F189" s="172"/>
      <c r="G189" s="187"/>
      <c r="H189" s="187"/>
      <c r="I189" s="187"/>
      <c r="J189" s="187"/>
      <c r="K189" s="187"/>
      <c r="L189" s="187"/>
      <c r="M189" s="187"/>
      <c r="N189" s="103"/>
      <c r="O189" s="193"/>
      <c r="P189" s="207"/>
      <c r="Q189" s="194"/>
      <c r="R189" s="191"/>
      <c r="S189" s="191"/>
      <c r="T189" s="191"/>
      <c r="U189" s="194"/>
      <c r="V189" s="194"/>
      <c r="W189" s="194"/>
      <c r="X189" s="194"/>
      <c r="Y189" s="199"/>
    </row>
    <row r="190" spans="1:25" x14ac:dyDescent="0.25">
      <c r="A190" s="8">
        <f t="shared" si="4"/>
        <v>179</v>
      </c>
      <c r="B190" s="173"/>
      <c r="C190" s="174"/>
      <c r="D190" s="171"/>
      <c r="E190" s="171"/>
      <c r="F190" s="172"/>
      <c r="G190" s="187"/>
      <c r="H190" s="187"/>
      <c r="I190" s="187"/>
      <c r="J190" s="187"/>
      <c r="K190" s="187"/>
      <c r="L190" s="187"/>
      <c r="M190" s="187"/>
      <c r="N190" s="103"/>
      <c r="O190" s="193"/>
      <c r="P190" s="207"/>
      <c r="Q190" s="194"/>
      <c r="R190" s="191"/>
      <c r="S190" s="191"/>
      <c r="T190" s="191"/>
      <c r="U190" s="194"/>
      <c r="V190" s="194"/>
      <c r="W190" s="194"/>
      <c r="X190" s="194"/>
      <c r="Y190" s="199"/>
    </row>
    <row r="191" spans="1:25" x14ac:dyDescent="0.25">
      <c r="A191" s="8">
        <f t="shared" si="4"/>
        <v>180</v>
      </c>
      <c r="B191" s="173"/>
      <c r="C191" s="174"/>
      <c r="D191" s="171"/>
      <c r="E191" s="171"/>
      <c r="F191" s="172"/>
      <c r="G191" s="187"/>
      <c r="H191" s="187"/>
      <c r="I191" s="187"/>
      <c r="J191" s="187"/>
      <c r="K191" s="187"/>
      <c r="L191" s="187"/>
      <c r="M191" s="187"/>
      <c r="N191" s="103"/>
      <c r="O191" s="193"/>
      <c r="P191" s="207"/>
      <c r="Q191" s="194"/>
      <c r="R191" s="191"/>
      <c r="S191" s="191"/>
      <c r="T191" s="191"/>
      <c r="U191" s="194"/>
      <c r="V191" s="194"/>
      <c r="W191" s="194"/>
      <c r="X191" s="194"/>
      <c r="Y191" s="199"/>
    </row>
    <row r="192" spans="1:25" x14ac:dyDescent="0.25">
      <c r="A192" s="8">
        <f t="shared" si="4"/>
        <v>181</v>
      </c>
      <c r="B192" s="173"/>
      <c r="C192" s="174"/>
      <c r="D192" s="171"/>
      <c r="E192" s="171"/>
      <c r="F192" s="172"/>
      <c r="G192" s="187"/>
      <c r="H192" s="187"/>
      <c r="I192" s="187"/>
      <c r="J192" s="187"/>
      <c r="K192" s="187"/>
      <c r="L192" s="187"/>
      <c r="M192" s="187"/>
      <c r="N192" s="103"/>
      <c r="O192" s="193"/>
      <c r="P192" s="207"/>
      <c r="Q192" s="194"/>
      <c r="R192" s="191"/>
      <c r="S192" s="191"/>
      <c r="T192" s="191"/>
      <c r="U192" s="194"/>
      <c r="V192" s="194"/>
      <c r="W192" s="194"/>
      <c r="X192" s="194"/>
      <c r="Y192" s="199"/>
    </row>
    <row r="193" spans="1:25" x14ac:dyDescent="0.25">
      <c r="A193" s="8">
        <f t="shared" si="4"/>
        <v>182</v>
      </c>
      <c r="B193" s="173"/>
      <c r="C193" s="174"/>
      <c r="D193" s="171"/>
      <c r="E193" s="171"/>
      <c r="F193" s="172"/>
      <c r="G193" s="187"/>
      <c r="H193" s="187"/>
      <c r="I193" s="187"/>
      <c r="J193" s="187"/>
      <c r="K193" s="187"/>
      <c r="L193" s="187"/>
      <c r="M193" s="187"/>
      <c r="N193" s="103"/>
      <c r="O193" s="193"/>
      <c r="P193" s="207"/>
      <c r="Q193" s="194"/>
      <c r="R193" s="191"/>
      <c r="S193" s="191"/>
      <c r="T193" s="191"/>
      <c r="U193" s="194"/>
      <c r="V193" s="194"/>
      <c r="W193" s="194"/>
      <c r="X193" s="194"/>
      <c r="Y193" s="199"/>
    </row>
    <row r="194" spans="1:25" x14ac:dyDescent="0.25">
      <c r="A194" s="8">
        <f t="shared" si="4"/>
        <v>183</v>
      </c>
      <c r="B194" s="173"/>
      <c r="C194" s="174"/>
      <c r="D194" s="171"/>
      <c r="E194" s="171"/>
      <c r="F194" s="172"/>
      <c r="G194" s="187"/>
      <c r="H194" s="187"/>
      <c r="I194" s="187"/>
      <c r="J194" s="187"/>
      <c r="K194" s="187"/>
      <c r="L194" s="187"/>
      <c r="M194" s="187"/>
      <c r="N194" s="103"/>
      <c r="O194" s="193"/>
      <c r="P194" s="207"/>
      <c r="Q194" s="194"/>
      <c r="R194" s="191"/>
      <c r="S194" s="191"/>
      <c r="T194" s="191"/>
      <c r="U194" s="194"/>
      <c r="V194" s="194"/>
      <c r="W194" s="194"/>
      <c r="X194" s="194"/>
      <c r="Y194" s="199"/>
    </row>
    <row r="195" spans="1:25" x14ac:dyDescent="0.25">
      <c r="A195" s="8">
        <f t="shared" si="4"/>
        <v>184</v>
      </c>
      <c r="B195" s="173"/>
      <c r="C195" s="174"/>
      <c r="D195" s="171"/>
      <c r="E195" s="171"/>
      <c r="F195" s="172"/>
      <c r="G195" s="187"/>
      <c r="H195" s="187"/>
      <c r="I195" s="187"/>
      <c r="J195" s="187"/>
      <c r="K195" s="187"/>
      <c r="L195" s="187"/>
      <c r="M195" s="187"/>
      <c r="N195" s="103"/>
      <c r="O195" s="193"/>
      <c r="P195" s="207"/>
      <c r="Q195" s="194"/>
      <c r="R195" s="191"/>
      <c r="S195" s="191"/>
      <c r="T195" s="191"/>
      <c r="U195" s="194"/>
      <c r="V195" s="194"/>
      <c r="W195" s="194"/>
      <c r="X195" s="194"/>
      <c r="Y195" s="199"/>
    </row>
    <row r="196" spans="1:25" x14ac:dyDescent="0.25">
      <c r="A196" s="8">
        <f t="shared" si="4"/>
        <v>185</v>
      </c>
      <c r="B196" s="173"/>
      <c r="C196" s="174"/>
      <c r="D196" s="171"/>
      <c r="E196" s="171"/>
      <c r="F196" s="172"/>
      <c r="G196" s="187"/>
      <c r="H196" s="187"/>
      <c r="I196" s="187"/>
      <c r="J196" s="187"/>
      <c r="K196" s="187"/>
      <c r="L196" s="187"/>
      <c r="M196" s="187"/>
      <c r="N196" s="103"/>
      <c r="O196" s="193"/>
      <c r="P196" s="207"/>
      <c r="Q196" s="194"/>
      <c r="R196" s="191"/>
      <c r="S196" s="191"/>
      <c r="T196" s="191"/>
      <c r="U196" s="194"/>
      <c r="V196" s="194"/>
      <c r="W196" s="194"/>
      <c r="X196" s="194"/>
      <c r="Y196" s="199"/>
    </row>
    <row r="197" spans="1:25" x14ac:dyDescent="0.25">
      <c r="A197" s="8">
        <f t="shared" si="4"/>
        <v>186</v>
      </c>
      <c r="B197" s="173"/>
      <c r="C197" s="174"/>
      <c r="D197" s="171"/>
      <c r="E197" s="171"/>
      <c r="F197" s="172"/>
      <c r="G197" s="187"/>
      <c r="H197" s="187"/>
      <c r="I197" s="187"/>
      <c r="J197" s="187"/>
      <c r="K197" s="187"/>
      <c r="L197" s="187"/>
      <c r="M197" s="187"/>
      <c r="N197" s="103"/>
      <c r="O197" s="193"/>
      <c r="P197" s="207"/>
      <c r="Q197" s="194"/>
      <c r="R197" s="191"/>
      <c r="S197" s="191"/>
      <c r="T197" s="191"/>
      <c r="U197" s="194"/>
      <c r="V197" s="194"/>
      <c r="W197" s="194"/>
      <c r="X197" s="194"/>
      <c r="Y197" s="199"/>
    </row>
    <row r="198" spans="1:25" x14ac:dyDescent="0.25">
      <c r="A198" s="8">
        <f t="shared" si="4"/>
        <v>187</v>
      </c>
      <c r="B198" s="173"/>
      <c r="C198" s="174"/>
      <c r="D198" s="171"/>
      <c r="E198" s="171"/>
      <c r="F198" s="172"/>
      <c r="G198" s="187"/>
      <c r="H198" s="187"/>
      <c r="I198" s="187"/>
      <c r="J198" s="187"/>
      <c r="K198" s="187"/>
      <c r="L198" s="187"/>
      <c r="M198" s="187"/>
      <c r="N198" s="103"/>
      <c r="O198" s="193"/>
      <c r="P198" s="207"/>
      <c r="Q198" s="194"/>
      <c r="R198" s="191"/>
      <c r="S198" s="191"/>
      <c r="T198" s="191"/>
      <c r="U198" s="194"/>
      <c r="V198" s="194"/>
      <c r="W198" s="194"/>
      <c r="X198" s="194"/>
      <c r="Y198" s="199"/>
    </row>
    <row r="199" spans="1:25" x14ac:dyDescent="0.25">
      <c r="A199" s="8">
        <f t="shared" si="4"/>
        <v>188</v>
      </c>
      <c r="B199" s="173"/>
      <c r="C199" s="174"/>
      <c r="D199" s="171"/>
      <c r="E199" s="171"/>
      <c r="F199" s="172"/>
      <c r="G199" s="187"/>
      <c r="H199" s="187"/>
      <c r="I199" s="187"/>
      <c r="J199" s="187"/>
      <c r="K199" s="187"/>
      <c r="L199" s="187"/>
      <c r="M199" s="187"/>
      <c r="N199" s="103"/>
      <c r="O199" s="193"/>
      <c r="P199" s="207"/>
      <c r="Q199" s="194"/>
      <c r="R199" s="191"/>
      <c r="S199" s="191"/>
      <c r="T199" s="191"/>
      <c r="U199" s="194"/>
      <c r="V199" s="194"/>
      <c r="W199" s="194"/>
      <c r="X199" s="194"/>
      <c r="Y199" s="199"/>
    </row>
    <row r="200" spans="1:25" x14ac:dyDescent="0.25">
      <c r="A200" s="8">
        <f t="shared" si="4"/>
        <v>189</v>
      </c>
      <c r="B200" s="173"/>
      <c r="C200" s="174"/>
      <c r="D200" s="171"/>
      <c r="E200" s="171"/>
      <c r="F200" s="172"/>
      <c r="G200" s="187"/>
      <c r="H200" s="187"/>
      <c r="I200" s="187"/>
      <c r="J200" s="187"/>
      <c r="K200" s="187"/>
      <c r="L200" s="187"/>
      <c r="M200" s="187"/>
      <c r="N200" s="103"/>
      <c r="O200" s="193"/>
      <c r="P200" s="207"/>
      <c r="Q200" s="194"/>
      <c r="R200" s="191"/>
      <c r="S200" s="191"/>
      <c r="T200" s="191"/>
      <c r="U200" s="194"/>
      <c r="V200" s="194"/>
      <c r="W200" s="194"/>
      <c r="X200" s="194"/>
      <c r="Y200" s="199"/>
    </row>
    <row r="201" spans="1:25" x14ac:dyDescent="0.25">
      <c r="A201" s="8">
        <f t="shared" si="4"/>
        <v>190</v>
      </c>
      <c r="B201" s="173"/>
      <c r="C201" s="174"/>
      <c r="D201" s="171"/>
      <c r="E201" s="171"/>
      <c r="F201" s="172"/>
      <c r="G201" s="187"/>
      <c r="H201" s="187"/>
      <c r="I201" s="187"/>
      <c r="J201" s="187"/>
      <c r="K201" s="187"/>
      <c r="L201" s="187"/>
      <c r="M201" s="187"/>
      <c r="N201" s="103"/>
      <c r="O201" s="193"/>
      <c r="P201" s="207"/>
      <c r="Q201" s="194"/>
      <c r="R201" s="191"/>
      <c r="S201" s="191"/>
      <c r="T201" s="191"/>
      <c r="U201" s="194"/>
      <c r="V201" s="194"/>
      <c r="W201" s="194"/>
      <c r="X201" s="194"/>
      <c r="Y201" s="199"/>
    </row>
    <row r="202" spans="1:25" x14ac:dyDescent="0.25">
      <c r="A202" s="8">
        <f t="shared" si="4"/>
        <v>191</v>
      </c>
      <c r="B202" s="173"/>
      <c r="C202" s="174"/>
      <c r="D202" s="171"/>
      <c r="E202" s="171"/>
      <c r="F202" s="172"/>
      <c r="G202" s="187"/>
      <c r="H202" s="187"/>
      <c r="I202" s="187"/>
      <c r="J202" s="187"/>
      <c r="K202" s="187"/>
      <c r="L202" s="187"/>
      <c r="M202" s="187"/>
      <c r="N202" s="103"/>
      <c r="O202" s="193"/>
      <c r="P202" s="207"/>
      <c r="Q202" s="194"/>
      <c r="R202" s="191"/>
      <c r="S202" s="191"/>
      <c r="T202" s="191"/>
      <c r="U202" s="194"/>
      <c r="V202" s="194"/>
      <c r="W202" s="194"/>
      <c r="X202" s="194"/>
      <c r="Y202" s="199"/>
    </row>
    <row r="203" spans="1:25" x14ac:dyDescent="0.25">
      <c r="A203" s="8">
        <f t="shared" si="4"/>
        <v>192</v>
      </c>
      <c r="B203" s="173"/>
      <c r="C203" s="174"/>
      <c r="D203" s="171"/>
      <c r="E203" s="171"/>
      <c r="F203" s="172"/>
      <c r="G203" s="187"/>
      <c r="H203" s="187"/>
      <c r="I203" s="187"/>
      <c r="J203" s="187"/>
      <c r="K203" s="187"/>
      <c r="L203" s="187"/>
      <c r="M203" s="187"/>
      <c r="N203" s="103"/>
      <c r="O203" s="193"/>
      <c r="P203" s="207"/>
      <c r="Q203" s="194"/>
      <c r="R203" s="191"/>
      <c r="S203" s="191"/>
      <c r="T203" s="191"/>
      <c r="U203" s="194"/>
      <c r="V203" s="194"/>
      <c r="W203" s="194"/>
      <c r="X203" s="194"/>
      <c r="Y203" s="199"/>
    </row>
    <row r="204" spans="1:25" x14ac:dyDescent="0.25">
      <c r="A204" s="8">
        <f t="shared" si="4"/>
        <v>193</v>
      </c>
      <c r="B204" s="173"/>
      <c r="C204" s="174"/>
      <c r="D204" s="171"/>
      <c r="E204" s="171"/>
      <c r="F204" s="172"/>
      <c r="G204" s="187"/>
      <c r="H204" s="187"/>
      <c r="I204" s="187"/>
      <c r="J204" s="187"/>
      <c r="K204" s="187"/>
      <c r="L204" s="187"/>
      <c r="M204" s="187"/>
      <c r="N204" s="103"/>
      <c r="O204" s="193"/>
      <c r="P204" s="207"/>
      <c r="Q204" s="194"/>
      <c r="R204" s="191"/>
      <c r="S204" s="191"/>
      <c r="T204" s="191"/>
      <c r="U204" s="194"/>
      <c r="V204" s="194"/>
      <c r="W204" s="194"/>
      <c r="X204" s="194"/>
      <c r="Y204" s="199"/>
    </row>
    <row r="205" spans="1:25" x14ac:dyDescent="0.25">
      <c r="A205" s="8">
        <f t="shared" si="4"/>
        <v>194</v>
      </c>
      <c r="B205" s="173"/>
      <c r="C205" s="174"/>
      <c r="D205" s="171"/>
      <c r="E205" s="171"/>
      <c r="F205" s="172"/>
      <c r="G205" s="187"/>
      <c r="H205" s="187"/>
      <c r="I205" s="187"/>
      <c r="J205" s="187"/>
      <c r="K205" s="187"/>
      <c r="L205" s="187"/>
      <c r="M205" s="187"/>
      <c r="N205" s="103"/>
      <c r="O205" s="193"/>
      <c r="P205" s="207"/>
      <c r="Q205" s="194"/>
      <c r="R205" s="191"/>
      <c r="S205" s="191"/>
      <c r="T205" s="191"/>
      <c r="U205" s="194"/>
      <c r="V205" s="194"/>
      <c r="W205" s="194"/>
      <c r="X205" s="194"/>
      <c r="Y205" s="199"/>
    </row>
    <row r="206" spans="1:25" x14ac:dyDescent="0.25">
      <c r="A206" s="8">
        <f t="shared" ref="A206:A211" si="5">+A205+1</f>
        <v>195</v>
      </c>
      <c r="B206" s="173"/>
      <c r="C206" s="174"/>
      <c r="D206" s="171"/>
      <c r="E206" s="171"/>
      <c r="F206" s="172"/>
      <c r="G206" s="187"/>
      <c r="H206" s="187"/>
      <c r="I206" s="187"/>
      <c r="J206" s="187"/>
      <c r="K206" s="187"/>
      <c r="L206" s="187"/>
      <c r="M206" s="187"/>
      <c r="N206" s="103"/>
      <c r="O206" s="193"/>
      <c r="P206" s="207"/>
      <c r="Q206" s="194"/>
      <c r="R206" s="191"/>
      <c r="S206" s="191"/>
      <c r="T206" s="191"/>
      <c r="U206" s="194"/>
      <c r="V206" s="194"/>
      <c r="W206" s="194"/>
      <c r="X206" s="194"/>
      <c r="Y206" s="199"/>
    </row>
    <row r="207" spans="1:25" x14ac:dyDescent="0.25">
      <c r="A207" s="8">
        <f t="shared" si="5"/>
        <v>196</v>
      </c>
      <c r="B207" s="173"/>
      <c r="C207" s="174"/>
      <c r="D207" s="171"/>
      <c r="E207" s="171"/>
      <c r="F207" s="172"/>
      <c r="G207" s="187"/>
      <c r="H207" s="187"/>
      <c r="I207" s="187"/>
      <c r="J207" s="187"/>
      <c r="K207" s="187"/>
      <c r="L207" s="187"/>
      <c r="M207" s="187"/>
      <c r="N207" s="103"/>
      <c r="O207" s="193"/>
      <c r="P207" s="207"/>
      <c r="Q207" s="194"/>
      <c r="R207" s="191"/>
      <c r="S207" s="191"/>
      <c r="T207" s="191"/>
      <c r="U207" s="194"/>
      <c r="V207" s="194"/>
      <c r="W207" s="194"/>
      <c r="X207" s="194"/>
      <c r="Y207" s="199"/>
    </row>
    <row r="208" spans="1:25" x14ac:dyDescent="0.25">
      <c r="A208" s="8">
        <f t="shared" si="5"/>
        <v>197</v>
      </c>
      <c r="B208" s="173"/>
      <c r="C208" s="174"/>
      <c r="D208" s="171"/>
      <c r="E208" s="171"/>
      <c r="F208" s="172"/>
      <c r="G208" s="187"/>
      <c r="H208" s="187"/>
      <c r="I208" s="187"/>
      <c r="J208" s="187"/>
      <c r="K208" s="187"/>
      <c r="L208" s="187"/>
      <c r="M208" s="187"/>
      <c r="N208" s="103"/>
      <c r="O208" s="193"/>
      <c r="P208" s="207"/>
      <c r="Q208" s="194"/>
      <c r="R208" s="191"/>
      <c r="S208" s="191"/>
      <c r="T208" s="191"/>
      <c r="U208" s="194"/>
      <c r="V208" s="194"/>
      <c r="W208" s="194"/>
      <c r="X208" s="194"/>
      <c r="Y208" s="199"/>
    </row>
    <row r="209" spans="1:25" x14ac:dyDescent="0.25">
      <c r="A209" s="8">
        <f t="shared" si="5"/>
        <v>198</v>
      </c>
      <c r="B209" s="173"/>
      <c r="C209" s="174"/>
      <c r="D209" s="171"/>
      <c r="E209" s="171"/>
      <c r="F209" s="172"/>
      <c r="G209" s="187"/>
      <c r="H209" s="187"/>
      <c r="I209" s="187"/>
      <c r="J209" s="187"/>
      <c r="K209" s="187"/>
      <c r="L209" s="187"/>
      <c r="M209" s="187"/>
      <c r="N209" s="103"/>
      <c r="O209" s="193"/>
      <c r="P209" s="207"/>
      <c r="Q209" s="194"/>
      <c r="R209" s="191"/>
      <c r="S209" s="191"/>
      <c r="T209" s="191"/>
      <c r="U209" s="194"/>
      <c r="V209" s="194"/>
      <c r="W209" s="194"/>
      <c r="X209" s="194"/>
      <c r="Y209" s="199"/>
    </row>
    <row r="210" spans="1:25" x14ac:dyDescent="0.25">
      <c r="A210" s="8">
        <f t="shared" si="5"/>
        <v>199</v>
      </c>
      <c r="B210" s="173"/>
      <c r="C210" s="174"/>
      <c r="D210" s="171"/>
      <c r="E210" s="171"/>
      <c r="F210" s="172"/>
      <c r="G210" s="187"/>
      <c r="H210" s="187"/>
      <c r="I210" s="187"/>
      <c r="J210" s="187"/>
      <c r="K210" s="187"/>
      <c r="L210" s="187"/>
      <c r="M210" s="187"/>
      <c r="N210" s="103"/>
      <c r="O210" s="193"/>
      <c r="P210" s="207"/>
      <c r="Q210" s="194"/>
      <c r="R210" s="191"/>
      <c r="S210" s="191"/>
      <c r="T210" s="191"/>
      <c r="U210" s="194"/>
      <c r="V210" s="194"/>
      <c r="W210" s="194"/>
      <c r="X210" s="194"/>
      <c r="Y210" s="199"/>
    </row>
    <row r="211" spans="1:25" x14ac:dyDescent="0.25">
      <c r="A211" s="8">
        <f t="shared" si="5"/>
        <v>200</v>
      </c>
      <c r="B211" s="173"/>
      <c r="C211" s="174"/>
      <c r="D211" s="171"/>
      <c r="E211" s="171"/>
      <c r="F211" s="172"/>
      <c r="G211" s="187"/>
      <c r="H211" s="187"/>
      <c r="I211" s="187"/>
      <c r="J211" s="187"/>
      <c r="K211" s="187"/>
      <c r="L211" s="187"/>
      <c r="M211" s="187"/>
      <c r="N211" s="103"/>
      <c r="O211" s="193"/>
      <c r="P211" s="207"/>
      <c r="Q211" s="194"/>
      <c r="R211" s="191"/>
      <c r="S211" s="191"/>
      <c r="T211" s="191"/>
      <c r="U211" s="194"/>
      <c r="V211" s="194"/>
      <c r="W211" s="194"/>
      <c r="X211" s="194"/>
      <c r="Y211" s="199"/>
    </row>
    <row r="212" spans="1:25" x14ac:dyDescent="0.25">
      <c r="B212" s="11"/>
      <c r="C212" s="9"/>
      <c r="O212" s="4"/>
      <c r="P212" s="4"/>
      <c r="Q212" s="194"/>
      <c r="R212" s="191"/>
      <c r="S212" s="191"/>
      <c r="T212" s="191"/>
      <c r="U212" s="194"/>
      <c r="V212" s="191"/>
      <c r="W212" s="191"/>
      <c r="X212" s="191"/>
      <c r="Y212" s="191"/>
    </row>
    <row r="213" spans="1:25" x14ac:dyDescent="0.25">
      <c r="B213" s="11"/>
      <c r="C213" s="9"/>
      <c r="O213" s="4"/>
      <c r="P213" s="4"/>
      <c r="Q213" s="194"/>
      <c r="R213" s="191"/>
      <c r="S213" s="191"/>
      <c r="T213" s="191"/>
      <c r="U213" s="194"/>
      <c r="V213" s="191"/>
      <c r="W213" s="191"/>
      <c r="X213" s="191"/>
      <c r="Y213" s="191"/>
    </row>
    <row r="214" spans="1:25" x14ac:dyDescent="0.25">
      <c r="B214" s="11"/>
      <c r="C214" s="9"/>
      <c r="O214" s="4"/>
      <c r="P214" s="4"/>
      <c r="Q214" s="194"/>
      <c r="R214" s="191"/>
      <c r="S214" s="191"/>
      <c r="T214" s="191"/>
      <c r="U214" s="194"/>
      <c r="V214" s="191"/>
      <c r="W214" s="191"/>
      <c r="X214" s="191"/>
      <c r="Y214" s="191"/>
    </row>
    <row r="215" spans="1:25" x14ac:dyDescent="0.25">
      <c r="B215" s="11"/>
      <c r="C215" s="9"/>
      <c r="O215" s="4"/>
      <c r="P215" s="4"/>
      <c r="Q215" s="194"/>
      <c r="R215" s="191"/>
      <c r="S215" s="191"/>
      <c r="T215" s="191"/>
      <c r="U215" s="194"/>
      <c r="V215" s="191"/>
      <c r="W215" s="191"/>
      <c r="X215" s="191"/>
      <c r="Y215" s="191"/>
    </row>
    <row r="216" spans="1:25" x14ac:dyDescent="0.25">
      <c r="B216" s="11"/>
      <c r="C216" s="9"/>
      <c r="O216" s="4"/>
      <c r="P216" s="4"/>
      <c r="Q216" s="194"/>
      <c r="R216" s="191"/>
      <c r="S216" s="191"/>
      <c r="T216" s="191"/>
      <c r="U216" s="194"/>
      <c r="V216" s="191"/>
      <c r="W216" s="191"/>
      <c r="X216" s="191"/>
      <c r="Y216" s="191"/>
    </row>
    <row r="217" spans="1:25" x14ac:dyDescent="0.25">
      <c r="B217" s="11"/>
      <c r="C217" s="9"/>
      <c r="O217" s="4"/>
      <c r="P217" s="4"/>
      <c r="Q217" s="194"/>
      <c r="R217" s="191"/>
      <c r="S217" s="191"/>
      <c r="T217" s="191"/>
      <c r="U217" s="194"/>
      <c r="V217" s="191"/>
      <c r="W217" s="191"/>
      <c r="X217" s="191"/>
      <c r="Y217" s="191"/>
    </row>
    <row r="218" spans="1:25" x14ac:dyDescent="0.25">
      <c r="B218" s="11"/>
      <c r="O218" s="4"/>
      <c r="P218" s="4"/>
      <c r="Q218" s="194"/>
      <c r="R218" s="191"/>
      <c r="S218" s="191"/>
      <c r="T218" s="191"/>
      <c r="U218" s="194"/>
      <c r="V218" s="191"/>
      <c r="W218" s="191"/>
      <c r="X218" s="191"/>
      <c r="Y218" s="191"/>
    </row>
    <row r="219" spans="1:25" x14ac:dyDescent="0.25">
      <c r="B219" s="11"/>
      <c r="O219" s="4"/>
      <c r="P219" s="4"/>
      <c r="Q219" s="194"/>
      <c r="R219" s="191"/>
      <c r="S219" s="191"/>
      <c r="T219" s="191"/>
      <c r="U219" s="194"/>
      <c r="V219" s="191"/>
      <c r="W219" s="191"/>
      <c r="X219" s="191"/>
      <c r="Y219" s="191"/>
    </row>
    <row r="220" spans="1:25" x14ac:dyDescent="0.25">
      <c r="O220" s="4"/>
      <c r="P220" s="4"/>
      <c r="Q220" s="194"/>
      <c r="R220" s="191"/>
      <c r="S220" s="191"/>
      <c r="T220" s="191"/>
      <c r="U220" s="194"/>
      <c r="V220" s="191"/>
      <c r="W220" s="191"/>
      <c r="X220" s="191"/>
      <c r="Y220" s="191"/>
    </row>
    <row r="221" spans="1:25" x14ac:dyDescent="0.25">
      <c r="O221" s="4"/>
      <c r="P221" s="4"/>
      <c r="Q221" s="194"/>
      <c r="R221" s="191"/>
      <c r="S221" s="191"/>
      <c r="T221" s="191"/>
      <c r="U221" s="194"/>
      <c r="V221" s="191"/>
      <c r="W221" s="191"/>
      <c r="X221" s="191"/>
      <c r="Y221" s="191"/>
    </row>
    <row r="222" spans="1:25" x14ac:dyDescent="0.25">
      <c r="O222" s="4"/>
      <c r="P222" s="4"/>
      <c r="Q222" s="194"/>
      <c r="R222" s="191"/>
      <c r="S222" s="191"/>
      <c r="T222" s="191"/>
      <c r="U222" s="194"/>
      <c r="V222" s="191"/>
      <c r="W222" s="191"/>
      <c r="X222" s="191"/>
      <c r="Y222" s="191"/>
    </row>
    <row r="223" spans="1:25" x14ac:dyDescent="0.25">
      <c r="Q223" s="194"/>
      <c r="R223" s="191"/>
      <c r="S223" s="191"/>
      <c r="T223" s="191"/>
      <c r="U223" s="194"/>
      <c r="V223" s="191"/>
      <c r="W223" s="191"/>
      <c r="X223" s="191"/>
      <c r="Y223" s="191"/>
    </row>
    <row r="224" spans="1:25" x14ac:dyDescent="0.25">
      <c r="Q224" s="194"/>
      <c r="R224" s="191"/>
      <c r="S224" s="191"/>
      <c r="T224" s="191"/>
      <c r="U224" s="194"/>
      <c r="V224" s="191"/>
      <c r="W224" s="191"/>
      <c r="X224" s="191"/>
      <c r="Y224" s="191"/>
    </row>
    <row r="225" spans="17:25" x14ac:dyDescent="0.25">
      <c r="Q225" s="194"/>
      <c r="R225" s="191"/>
      <c r="S225" s="191"/>
      <c r="T225" s="191"/>
      <c r="U225" s="194"/>
      <c r="V225" s="191"/>
      <c r="W225" s="191"/>
      <c r="X225" s="191"/>
      <c r="Y225" s="191"/>
    </row>
    <row r="226" spans="17:25" x14ac:dyDescent="0.25">
      <c r="Q226" s="194"/>
      <c r="R226" s="191"/>
      <c r="S226" s="191"/>
      <c r="T226" s="191"/>
      <c r="U226" s="194"/>
      <c r="V226" s="191"/>
      <c r="W226" s="191"/>
      <c r="X226" s="191"/>
      <c r="Y226" s="191"/>
    </row>
    <row r="227" spans="17:25" x14ac:dyDescent="0.25">
      <c r="Q227" s="194"/>
      <c r="R227" s="191"/>
      <c r="S227" s="191"/>
      <c r="T227" s="191"/>
      <c r="U227" s="194"/>
      <c r="V227" s="191"/>
      <c r="W227" s="191"/>
      <c r="X227" s="191"/>
      <c r="Y227" s="191"/>
    </row>
    <row r="228" spans="17:25" x14ac:dyDescent="0.25">
      <c r="Q228" s="194"/>
      <c r="R228" s="191"/>
      <c r="S228" s="191"/>
      <c r="T228" s="191"/>
      <c r="U228" s="194"/>
      <c r="V228" s="191"/>
      <c r="W228" s="191"/>
      <c r="X228" s="191"/>
      <c r="Y228" s="191"/>
    </row>
    <row r="229" spans="17:25" x14ac:dyDescent="0.25">
      <c r="Q229" s="194"/>
      <c r="R229" s="191"/>
      <c r="S229" s="191"/>
      <c r="T229" s="191"/>
      <c r="U229" s="194"/>
      <c r="V229" s="191"/>
      <c r="W229" s="191"/>
      <c r="X229" s="191"/>
      <c r="Y229" s="191"/>
    </row>
    <row r="230" spans="17:25" x14ac:dyDescent="0.25">
      <c r="Q230" s="194"/>
      <c r="R230" s="191"/>
      <c r="S230" s="191"/>
      <c r="T230" s="191"/>
      <c r="U230" s="194"/>
      <c r="V230" s="191"/>
      <c r="W230" s="191"/>
      <c r="X230" s="191"/>
      <c r="Y230" s="191"/>
    </row>
    <row r="231" spans="17:25" x14ac:dyDescent="0.25">
      <c r="Q231" s="194"/>
      <c r="R231" s="191"/>
      <c r="S231" s="191"/>
      <c r="T231" s="191"/>
      <c r="U231" s="194"/>
      <c r="V231" s="191"/>
      <c r="W231" s="191"/>
      <c r="X231" s="191"/>
      <c r="Y231" s="191"/>
    </row>
    <row r="232" spans="17:25" x14ac:dyDescent="0.25">
      <c r="Q232" s="194"/>
      <c r="R232" s="191"/>
      <c r="S232" s="191"/>
      <c r="T232" s="191"/>
      <c r="U232" s="194"/>
      <c r="V232" s="191"/>
      <c r="W232" s="191"/>
      <c r="X232" s="191"/>
      <c r="Y232" s="191"/>
    </row>
    <row r="233" spans="17:25" x14ac:dyDescent="0.25">
      <c r="Q233" s="194"/>
      <c r="R233" s="191"/>
      <c r="S233" s="191"/>
      <c r="T233" s="191"/>
      <c r="U233" s="194"/>
      <c r="V233" s="191"/>
      <c r="W233" s="191"/>
      <c r="X233" s="191"/>
      <c r="Y233" s="191"/>
    </row>
    <row r="234" spans="17:25" x14ac:dyDescent="0.25">
      <c r="Q234" s="194"/>
      <c r="R234" s="191"/>
      <c r="S234" s="191"/>
      <c r="T234" s="191"/>
      <c r="U234" s="194"/>
      <c r="V234" s="191"/>
      <c r="W234" s="191"/>
      <c r="X234" s="191"/>
      <c r="Y234" s="191"/>
    </row>
    <row r="235" spans="17:25" x14ac:dyDescent="0.25">
      <c r="Q235" s="194"/>
      <c r="R235" s="191"/>
      <c r="S235" s="191"/>
      <c r="T235" s="191"/>
      <c r="U235" s="194"/>
      <c r="V235" s="191"/>
      <c r="W235" s="191"/>
      <c r="X235" s="191"/>
      <c r="Y235" s="191"/>
    </row>
    <row r="236" spans="17:25" x14ac:dyDescent="0.25">
      <c r="Q236" s="194"/>
      <c r="R236" s="191"/>
      <c r="S236" s="191"/>
      <c r="T236" s="191"/>
      <c r="U236" s="194"/>
      <c r="V236" s="191"/>
      <c r="W236" s="191"/>
      <c r="X236" s="191"/>
      <c r="Y236" s="191"/>
    </row>
    <row r="237" spans="17:25" x14ac:dyDescent="0.25">
      <c r="Q237" s="194"/>
      <c r="R237" s="191"/>
      <c r="S237" s="191"/>
      <c r="T237" s="191"/>
      <c r="U237" s="194"/>
      <c r="V237" s="191"/>
      <c r="W237" s="191"/>
      <c r="X237" s="191"/>
      <c r="Y237" s="191"/>
    </row>
    <row r="238" spans="17:25" x14ac:dyDescent="0.25">
      <c r="Q238" s="194"/>
      <c r="R238" s="191"/>
      <c r="S238" s="191"/>
      <c r="T238" s="191"/>
      <c r="U238" s="194"/>
      <c r="V238" s="191"/>
      <c r="W238" s="191"/>
      <c r="X238" s="191"/>
      <c r="Y238" s="191"/>
    </row>
    <row r="239" spans="17:25" x14ac:dyDescent="0.25">
      <c r="Q239" s="194"/>
      <c r="R239" s="191"/>
      <c r="S239" s="191"/>
      <c r="T239" s="191"/>
      <c r="U239" s="194"/>
      <c r="V239" s="191"/>
      <c r="W239" s="191"/>
      <c r="X239" s="191"/>
      <c r="Y239" s="191"/>
    </row>
    <row r="240" spans="17:25" x14ac:dyDescent="0.25">
      <c r="Q240" s="194"/>
      <c r="R240" s="191"/>
      <c r="S240" s="191"/>
      <c r="T240" s="191"/>
      <c r="U240" s="194"/>
      <c r="V240" s="191"/>
      <c r="W240" s="191"/>
      <c r="X240" s="191"/>
      <c r="Y240" s="191"/>
    </row>
    <row r="241" spans="17:25" x14ac:dyDescent="0.25">
      <c r="Q241" s="194"/>
      <c r="R241" s="191"/>
      <c r="S241" s="191"/>
      <c r="T241" s="191"/>
      <c r="U241" s="194"/>
      <c r="V241" s="191"/>
      <c r="W241" s="191"/>
      <c r="X241" s="191"/>
      <c r="Y241" s="191"/>
    </row>
    <row r="242" spans="17:25" x14ac:dyDescent="0.25">
      <c r="Q242" s="194"/>
      <c r="R242" s="191"/>
      <c r="S242" s="191"/>
      <c r="T242" s="191"/>
      <c r="U242" s="194"/>
      <c r="V242" s="191"/>
      <c r="W242" s="191"/>
      <c r="X242" s="191"/>
      <c r="Y242" s="191"/>
    </row>
    <row r="243" spans="17:25" x14ac:dyDescent="0.25">
      <c r="Q243" s="194"/>
      <c r="R243" s="191"/>
      <c r="S243" s="191"/>
      <c r="T243" s="191"/>
      <c r="U243" s="194"/>
      <c r="V243" s="191"/>
      <c r="W243" s="191"/>
      <c r="X243" s="191"/>
      <c r="Y243" s="191"/>
    </row>
    <row r="244" spans="17:25" x14ac:dyDescent="0.25">
      <c r="Q244" s="194"/>
      <c r="R244" s="191"/>
      <c r="S244" s="191"/>
      <c r="T244" s="191"/>
      <c r="U244" s="194"/>
      <c r="V244" s="191"/>
      <c r="W244" s="191"/>
      <c r="X244" s="191"/>
      <c r="Y244" s="191"/>
    </row>
    <row r="245" spans="17:25" x14ac:dyDescent="0.25">
      <c r="Q245" s="194"/>
      <c r="R245" s="191"/>
      <c r="S245" s="191"/>
      <c r="T245" s="191"/>
      <c r="U245" s="194"/>
      <c r="V245" s="191"/>
      <c r="W245" s="191"/>
      <c r="X245" s="191"/>
      <c r="Y245" s="191"/>
    </row>
    <row r="246" spans="17:25" x14ac:dyDescent="0.25">
      <c r="Q246" s="194"/>
      <c r="R246" s="191"/>
      <c r="S246" s="191"/>
      <c r="T246" s="191"/>
      <c r="U246" s="194"/>
      <c r="V246" s="191"/>
      <c r="W246" s="191"/>
      <c r="X246" s="191"/>
      <c r="Y246" s="191"/>
    </row>
    <row r="247" spans="17:25" x14ac:dyDescent="0.25">
      <c r="Q247" s="194"/>
      <c r="R247" s="191"/>
      <c r="S247" s="191"/>
      <c r="T247" s="191"/>
      <c r="U247" s="194"/>
      <c r="V247" s="191"/>
      <c r="W247" s="191"/>
      <c r="X247" s="191"/>
      <c r="Y247" s="191"/>
    </row>
    <row r="248" spans="17:25" x14ac:dyDescent="0.25">
      <c r="Q248" s="194"/>
      <c r="R248" s="191"/>
      <c r="S248" s="191"/>
      <c r="T248" s="191"/>
      <c r="U248" s="194"/>
      <c r="V248" s="191"/>
      <c r="W248" s="191"/>
      <c r="X248" s="191"/>
      <c r="Y248" s="191"/>
    </row>
    <row r="249" spans="17:25" x14ac:dyDescent="0.25">
      <c r="Q249" s="194"/>
      <c r="R249" s="191"/>
      <c r="S249" s="191"/>
      <c r="T249" s="191"/>
      <c r="U249" s="194"/>
      <c r="V249" s="191"/>
      <c r="W249" s="191"/>
      <c r="X249" s="191"/>
      <c r="Y249" s="191"/>
    </row>
    <row r="250" spans="17:25" x14ac:dyDescent="0.25">
      <c r="Q250" s="194"/>
      <c r="R250" s="191"/>
      <c r="S250" s="191"/>
      <c r="T250" s="191"/>
      <c r="U250" s="194"/>
      <c r="V250" s="191"/>
      <c r="W250" s="191"/>
      <c r="X250" s="191"/>
      <c r="Y250" s="191"/>
    </row>
    <row r="251" spans="17:25" x14ac:dyDescent="0.25">
      <c r="Q251" s="194"/>
      <c r="R251" s="191"/>
      <c r="S251" s="191"/>
      <c r="T251" s="191"/>
      <c r="U251" s="194"/>
      <c r="V251" s="191"/>
      <c r="W251" s="191"/>
      <c r="X251" s="191"/>
      <c r="Y251" s="191"/>
    </row>
    <row r="252" spans="17:25" x14ac:dyDescent="0.25">
      <c r="Q252" s="194"/>
      <c r="R252" s="191"/>
      <c r="S252" s="191"/>
      <c r="T252" s="191"/>
      <c r="U252" s="194"/>
      <c r="V252" s="191"/>
      <c r="W252" s="191"/>
      <c r="X252" s="191"/>
      <c r="Y252" s="191"/>
    </row>
    <row r="253" spans="17:25" x14ac:dyDescent="0.25">
      <c r="Q253" s="194"/>
      <c r="R253" s="191"/>
      <c r="S253" s="191"/>
      <c r="T253" s="191"/>
      <c r="U253" s="194"/>
      <c r="V253" s="191"/>
      <c r="W253" s="191"/>
      <c r="X253" s="191"/>
      <c r="Y253" s="191"/>
    </row>
    <row r="254" spans="17:25" x14ac:dyDescent="0.25">
      <c r="Q254" s="194"/>
      <c r="R254" s="191"/>
      <c r="S254" s="191"/>
      <c r="T254" s="191"/>
      <c r="U254" s="194"/>
      <c r="V254" s="191"/>
      <c r="W254" s="191"/>
      <c r="X254" s="191"/>
      <c r="Y254" s="191"/>
    </row>
    <row r="255" spans="17:25" x14ac:dyDescent="0.25">
      <c r="Q255" s="194"/>
      <c r="R255" s="191"/>
      <c r="S255" s="191"/>
      <c r="T255" s="191"/>
      <c r="U255" s="194"/>
      <c r="V255" s="191"/>
      <c r="W255" s="191"/>
      <c r="X255" s="191"/>
      <c r="Y255" s="191"/>
    </row>
    <row r="256" spans="17:25" x14ac:dyDescent="0.25">
      <c r="Q256" s="194"/>
      <c r="R256" s="191"/>
      <c r="S256" s="191"/>
      <c r="T256" s="191"/>
      <c r="U256" s="194"/>
      <c r="V256" s="191"/>
      <c r="W256" s="191"/>
      <c r="X256" s="191"/>
      <c r="Y256" s="191"/>
    </row>
    <row r="257" spans="17:25" x14ac:dyDescent="0.25">
      <c r="Q257" s="194"/>
      <c r="R257" s="191"/>
      <c r="S257" s="191"/>
      <c r="T257" s="191"/>
      <c r="U257" s="194"/>
      <c r="V257" s="191"/>
      <c r="W257" s="191"/>
      <c r="X257" s="191"/>
      <c r="Y257" s="191"/>
    </row>
    <row r="258" spans="17:25" x14ac:dyDescent="0.25">
      <c r="Q258" s="194"/>
      <c r="R258" s="191"/>
      <c r="S258" s="191"/>
      <c r="T258" s="191"/>
      <c r="U258" s="194"/>
      <c r="V258" s="191"/>
      <c r="W258" s="191"/>
      <c r="X258" s="191"/>
      <c r="Y258" s="191"/>
    </row>
    <row r="259" spans="17:25" x14ac:dyDescent="0.25">
      <c r="Q259" s="194"/>
      <c r="R259" s="191"/>
      <c r="S259" s="191"/>
      <c r="T259" s="191"/>
      <c r="U259" s="194"/>
      <c r="V259" s="191"/>
      <c r="W259" s="191"/>
      <c r="X259" s="191"/>
      <c r="Y259" s="191"/>
    </row>
    <row r="260" spans="17:25" x14ac:dyDescent="0.25">
      <c r="Q260" s="194"/>
      <c r="R260" s="191"/>
      <c r="S260" s="191"/>
      <c r="T260" s="191"/>
      <c r="U260" s="194"/>
      <c r="V260" s="191"/>
      <c r="W260" s="191"/>
      <c r="X260" s="191"/>
      <c r="Y260" s="191"/>
    </row>
    <row r="261" spans="17:25" x14ac:dyDescent="0.25">
      <c r="Q261" s="194"/>
      <c r="R261" s="191"/>
      <c r="S261" s="191"/>
      <c r="T261" s="191"/>
      <c r="U261" s="194"/>
      <c r="V261" s="191"/>
      <c r="W261" s="191"/>
      <c r="X261" s="191"/>
      <c r="Y261" s="191"/>
    </row>
    <row r="262" spans="17:25" x14ac:dyDescent="0.25">
      <c r="Q262" s="194"/>
      <c r="R262" s="191"/>
      <c r="S262" s="191"/>
      <c r="T262" s="191"/>
      <c r="U262" s="194"/>
      <c r="V262" s="191"/>
      <c r="W262" s="191"/>
      <c r="X262" s="191"/>
      <c r="Y262" s="191"/>
    </row>
    <row r="263" spans="17:25" x14ac:dyDescent="0.25">
      <c r="Q263" s="194"/>
      <c r="R263" s="191"/>
      <c r="S263" s="191"/>
      <c r="T263" s="191"/>
      <c r="U263" s="194"/>
      <c r="V263" s="191"/>
      <c r="W263" s="191"/>
      <c r="X263" s="191"/>
      <c r="Y263" s="191"/>
    </row>
    <row r="264" spans="17:25" x14ac:dyDescent="0.25">
      <c r="Q264" s="194"/>
      <c r="R264" s="191"/>
      <c r="S264" s="191"/>
      <c r="T264" s="191"/>
      <c r="U264" s="194"/>
      <c r="V264" s="191"/>
      <c r="W264" s="191"/>
      <c r="X264" s="191"/>
      <c r="Y264" s="191"/>
    </row>
    <row r="265" spans="17:25" x14ac:dyDescent="0.25">
      <c r="Q265" s="194"/>
      <c r="R265" s="191"/>
      <c r="S265" s="191"/>
      <c r="T265" s="191"/>
      <c r="U265" s="194"/>
      <c r="V265" s="191"/>
      <c r="W265" s="191"/>
      <c r="X265" s="191"/>
      <c r="Y265" s="191"/>
    </row>
    <row r="266" spans="17:25" x14ac:dyDescent="0.25">
      <c r="Q266" s="194"/>
      <c r="R266" s="191"/>
      <c r="S266" s="191"/>
      <c r="T266" s="191"/>
      <c r="U266" s="194"/>
      <c r="V266" s="191"/>
      <c r="W266" s="191"/>
      <c r="X266" s="191"/>
      <c r="Y266" s="191"/>
    </row>
    <row r="267" spans="17:25" x14ac:dyDescent="0.25">
      <c r="Q267" s="194"/>
      <c r="R267" s="191"/>
      <c r="S267" s="191"/>
      <c r="T267" s="191"/>
      <c r="U267" s="194"/>
      <c r="V267" s="191"/>
      <c r="W267" s="191"/>
      <c r="X267" s="191"/>
      <c r="Y267" s="191"/>
    </row>
    <row r="268" spans="17:25" x14ac:dyDescent="0.25">
      <c r="Q268" s="194"/>
      <c r="R268" s="191"/>
      <c r="S268" s="191"/>
      <c r="T268" s="191"/>
      <c r="U268" s="194"/>
      <c r="V268" s="191"/>
      <c r="W268" s="191"/>
      <c r="X268" s="191"/>
      <c r="Y268" s="191"/>
    </row>
    <row r="269" spans="17:25" x14ac:dyDescent="0.25">
      <c r="Q269" s="194"/>
      <c r="R269" s="191"/>
      <c r="S269" s="191"/>
      <c r="T269" s="191"/>
      <c r="U269" s="194"/>
      <c r="V269" s="191"/>
      <c r="W269" s="191"/>
      <c r="X269" s="191"/>
      <c r="Y269" s="191"/>
    </row>
    <row r="270" spans="17:25" x14ac:dyDescent="0.25">
      <c r="Q270" s="194"/>
      <c r="R270" s="191"/>
      <c r="S270" s="191"/>
      <c r="T270" s="191"/>
      <c r="U270" s="194"/>
      <c r="V270" s="191"/>
      <c r="W270" s="191"/>
      <c r="X270" s="191"/>
      <c r="Y270" s="191"/>
    </row>
    <row r="271" spans="17:25" x14ac:dyDescent="0.25">
      <c r="Q271" s="194"/>
      <c r="R271" s="191"/>
      <c r="S271" s="191"/>
      <c r="T271" s="191"/>
      <c r="U271" s="194"/>
      <c r="V271" s="191"/>
      <c r="W271" s="191"/>
      <c r="X271" s="191"/>
      <c r="Y271" s="191"/>
    </row>
    <row r="272" spans="17:25" x14ac:dyDescent="0.25">
      <c r="Q272" s="194"/>
      <c r="R272" s="191"/>
      <c r="S272" s="191"/>
      <c r="T272" s="191"/>
      <c r="U272" s="194"/>
      <c r="V272" s="191"/>
      <c r="W272" s="191"/>
      <c r="X272" s="191"/>
      <c r="Y272" s="191"/>
    </row>
    <row r="273" spans="17:25" x14ac:dyDescent="0.25">
      <c r="Q273" s="194"/>
      <c r="R273" s="191"/>
      <c r="S273" s="191"/>
      <c r="T273" s="191"/>
      <c r="U273" s="194"/>
      <c r="V273" s="191"/>
      <c r="W273" s="191"/>
      <c r="X273" s="191"/>
      <c r="Y273" s="191"/>
    </row>
    <row r="274" spans="17:25" x14ac:dyDescent="0.25">
      <c r="Q274" s="194"/>
      <c r="R274" s="191"/>
      <c r="S274" s="191"/>
      <c r="T274" s="191"/>
      <c r="U274" s="194"/>
      <c r="V274" s="191"/>
      <c r="W274" s="191"/>
      <c r="X274" s="191"/>
      <c r="Y274" s="191"/>
    </row>
    <row r="275" spans="17:25" x14ac:dyDescent="0.25">
      <c r="Q275" s="194"/>
      <c r="R275" s="191"/>
      <c r="S275" s="191"/>
      <c r="T275" s="191"/>
      <c r="U275" s="194"/>
      <c r="V275" s="191"/>
      <c r="W275" s="191"/>
      <c r="X275" s="191"/>
      <c r="Y275" s="191"/>
    </row>
    <row r="276" spans="17:25" x14ac:dyDescent="0.25">
      <c r="Q276" s="194"/>
      <c r="R276" s="191"/>
      <c r="S276" s="191"/>
      <c r="T276" s="191"/>
      <c r="U276" s="194"/>
      <c r="V276" s="191"/>
      <c r="W276" s="191"/>
      <c r="X276" s="191"/>
      <c r="Y276" s="191"/>
    </row>
    <row r="277" spans="17:25" x14ac:dyDescent="0.25">
      <c r="Q277" s="194"/>
      <c r="R277" s="191"/>
      <c r="S277" s="191"/>
      <c r="T277" s="191"/>
      <c r="U277" s="194"/>
      <c r="V277" s="191"/>
      <c r="W277" s="191"/>
      <c r="X277" s="191"/>
      <c r="Y277" s="191"/>
    </row>
    <row r="278" spans="17:25" x14ac:dyDescent="0.25">
      <c r="Q278" s="194"/>
      <c r="R278" s="191"/>
      <c r="S278" s="191"/>
      <c r="T278" s="191"/>
      <c r="U278" s="194"/>
      <c r="V278" s="191"/>
      <c r="W278" s="191"/>
      <c r="X278" s="191"/>
      <c r="Y278" s="191"/>
    </row>
    <row r="279" spans="17:25" x14ac:dyDescent="0.25">
      <c r="Q279" s="194"/>
      <c r="R279" s="191"/>
      <c r="S279" s="191"/>
      <c r="T279" s="191"/>
      <c r="U279" s="194"/>
      <c r="V279" s="191"/>
      <c r="W279" s="191"/>
      <c r="X279" s="191"/>
      <c r="Y279" s="191"/>
    </row>
    <row r="280" spans="17:25" x14ac:dyDescent="0.25">
      <c r="Q280" s="194"/>
      <c r="R280" s="191"/>
      <c r="S280" s="191"/>
      <c r="T280" s="191"/>
      <c r="U280" s="194"/>
      <c r="V280" s="191"/>
      <c r="W280" s="191"/>
      <c r="X280" s="191"/>
      <c r="Y280" s="191"/>
    </row>
    <row r="281" spans="17:25" x14ac:dyDescent="0.25">
      <c r="Q281" s="194"/>
      <c r="R281" s="191"/>
      <c r="S281" s="191"/>
      <c r="T281" s="191"/>
      <c r="U281" s="194"/>
      <c r="V281" s="191"/>
      <c r="W281" s="191"/>
      <c r="X281" s="191"/>
      <c r="Y281" s="191"/>
    </row>
    <row r="282" spans="17:25" x14ac:dyDescent="0.25">
      <c r="Q282" s="194"/>
      <c r="R282" s="191"/>
      <c r="S282" s="191"/>
      <c r="T282" s="191"/>
      <c r="U282" s="194"/>
      <c r="V282" s="191"/>
      <c r="W282" s="191"/>
      <c r="X282" s="191"/>
      <c r="Y282" s="191"/>
    </row>
    <row r="283" spans="17:25" x14ac:dyDescent="0.25">
      <c r="Q283" s="194"/>
      <c r="R283" s="191"/>
      <c r="S283" s="191"/>
      <c r="T283" s="191"/>
      <c r="U283" s="194"/>
      <c r="V283" s="191"/>
      <c r="W283" s="191"/>
      <c r="X283" s="191"/>
      <c r="Y283" s="191"/>
    </row>
    <row r="284" spans="17:25" x14ac:dyDescent="0.25">
      <c r="Q284" s="194"/>
      <c r="R284" s="191"/>
      <c r="S284" s="191"/>
      <c r="T284" s="191"/>
      <c r="U284" s="194"/>
      <c r="V284" s="191"/>
      <c r="W284" s="191"/>
      <c r="X284" s="191"/>
      <c r="Y284" s="191"/>
    </row>
    <row r="285" spans="17:25" x14ac:dyDescent="0.25">
      <c r="Q285" s="194"/>
      <c r="R285" s="191"/>
      <c r="S285" s="191"/>
      <c r="T285" s="191"/>
      <c r="U285" s="194"/>
      <c r="V285" s="191"/>
      <c r="W285" s="191"/>
      <c r="X285" s="191"/>
      <c r="Y285" s="191"/>
    </row>
    <row r="286" spans="17:25" x14ac:dyDescent="0.25">
      <c r="Q286" s="194"/>
      <c r="R286" s="191"/>
      <c r="S286" s="191"/>
      <c r="T286" s="191"/>
      <c r="U286" s="194"/>
      <c r="V286" s="191"/>
      <c r="W286" s="191"/>
      <c r="X286" s="191"/>
      <c r="Y286" s="191"/>
    </row>
    <row r="287" spans="17:25" x14ac:dyDescent="0.25">
      <c r="Q287" s="194"/>
      <c r="R287" s="191"/>
      <c r="S287" s="191"/>
      <c r="T287" s="191"/>
      <c r="U287" s="194"/>
      <c r="V287" s="191"/>
      <c r="W287" s="191"/>
      <c r="X287" s="191"/>
      <c r="Y287" s="191"/>
    </row>
  </sheetData>
  <sheetProtection selectLockedCells="1"/>
  <sortState xmlns:xlrd2="http://schemas.microsoft.com/office/spreadsheetml/2017/richdata2" ref="B12:Z181">
    <sortCondition descending="1" ref="B12:B181"/>
    <sortCondition ref="D12:D181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>
                <anchor moveWithCells="1" sizeWithCells="1">
                  <from>
                    <xdr:col>4</xdr:col>
                    <xdr:colOff>1209675</xdr:colOff>
                    <xdr:row>1</xdr:row>
                    <xdr:rowOff>0</xdr:rowOff>
                  </from>
                  <to>
                    <xdr:col>6</xdr:col>
                    <xdr:colOff>352425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6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204"/>
  <sheetViews>
    <sheetView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217" t="s">
        <v>83</v>
      </c>
      <c r="B1" s="217"/>
      <c r="C1" s="202"/>
      <c r="D1" s="202"/>
      <c r="E1" s="150"/>
    </row>
    <row r="2" spans="1:8" x14ac:dyDescent="0.25">
      <c r="A2" s="203"/>
      <c r="B2" s="203"/>
      <c r="C2" s="203"/>
      <c r="D2" s="203"/>
      <c r="E2" s="203"/>
    </row>
    <row r="3" spans="1:8" x14ac:dyDescent="0.25">
      <c r="A3" s="203"/>
      <c r="B3" s="209" t="s">
        <v>58</v>
      </c>
      <c r="C3" s="221" t="s">
        <v>65</v>
      </c>
      <c r="D3" s="221"/>
      <c r="E3" s="221"/>
    </row>
    <row r="4" spans="1:8" x14ac:dyDescent="0.25">
      <c r="A4" s="203"/>
      <c r="B4" s="209" t="s">
        <v>59</v>
      </c>
      <c r="C4" s="221" t="s">
        <v>66</v>
      </c>
      <c r="D4" s="221"/>
      <c r="E4" s="221"/>
    </row>
    <row r="5" spans="1:8" x14ac:dyDescent="0.25">
      <c r="A5" s="203"/>
      <c r="B5" s="209" t="s">
        <v>60</v>
      </c>
      <c r="C5" s="221" t="s">
        <v>67</v>
      </c>
      <c r="D5" s="221"/>
      <c r="E5" s="203"/>
    </row>
    <row r="6" spans="1:8" x14ac:dyDescent="0.25">
      <c r="A6" s="203"/>
      <c r="B6" s="209" t="s">
        <v>61</v>
      </c>
      <c r="C6" s="212">
        <v>45045</v>
      </c>
      <c r="E6" s="214"/>
    </row>
    <row r="7" spans="1:8" x14ac:dyDescent="0.25">
      <c r="A7" s="203"/>
      <c r="B7" s="203"/>
      <c r="C7" s="203"/>
      <c r="D7" s="203"/>
      <c r="E7" s="203"/>
    </row>
    <row r="9" spans="1:8" ht="15.75" x14ac:dyDescent="0.25">
      <c r="A9" s="195"/>
      <c r="B9" s="139"/>
      <c r="C9" s="139"/>
      <c r="D9" s="4"/>
      <c r="E9" s="76">
        <f>SUM(E11:E204)</f>
        <v>0</v>
      </c>
      <c r="F9" s="76">
        <f t="shared" ref="F9:H9" si="0">SUM(F11:F204)</f>
        <v>0</v>
      </c>
      <c r="G9" s="76">
        <f t="shared" si="0"/>
        <v>0</v>
      </c>
      <c r="H9" s="76">
        <f t="shared" si="0"/>
        <v>0</v>
      </c>
    </row>
    <row r="10" spans="1:8" ht="30" x14ac:dyDescent="0.25">
      <c r="A10" s="12" t="s">
        <v>46</v>
      </c>
      <c r="B10" s="5" t="s">
        <v>0</v>
      </c>
      <c r="C10" s="6" t="s">
        <v>1</v>
      </c>
      <c r="D10" s="7" t="s">
        <v>2</v>
      </c>
      <c r="E10" s="192" t="s">
        <v>51</v>
      </c>
      <c r="F10" s="192" t="s">
        <v>52</v>
      </c>
      <c r="G10" s="192" t="s">
        <v>55</v>
      </c>
      <c r="H10" s="192" t="s">
        <v>84</v>
      </c>
    </row>
    <row r="11" spans="1:8" x14ac:dyDescent="0.25">
      <c r="A11" s="216"/>
      <c r="B11" s="171" t="s">
        <v>86</v>
      </c>
      <c r="C11" s="156" t="s">
        <v>94</v>
      </c>
      <c r="D11" s="172" t="s">
        <v>95</v>
      </c>
      <c r="E11" s="173"/>
      <c r="F11" s="187"/>
      <c r="G11" s="187"/>
      <c r="H11" s="187"/>
    </row>
    <row r="12" spans="1:8" x14ac:dyDescent="0.25">
      <c r="A12" s="216"/>
      <c r="B12" s="156" t="s">
        <v>87</v>
      </c>
      <c r="C12" s="171" t="s">
        <v>96</v>
      </c>
      <c r="D12" s="172" t="s">
        <v>97</v>
      </c>
      <c r="E12" s="173"/>
      <c r="F12" s="173"/>
      <c r="G12" s="187"/>
      <c r="H12" s="187"/>
    </row>
    <row r="13" spans="1:8" x14ac:dyDescent="0.25">
      <c r="A13" s="216"/>
      <c r="B13" s="171" t="s">
        <v>88</v>
      </c>
      <c r="C13" s="156" t="s">
        <v>98</v>
      </c>
      <c r="D13" s="157" t="s">
        <v>99</v>
      </c>
      <c r="E13" s="173"/>
      <c r="F13" s="173"/>
      <c r="G13" s="187"/>
      <c r="H13" s="187"/>
    </row>
    <row r="14" spans="1:8" x14ac:dyDescent="0.25">
      <c r="A14" s="216"/>
      <c r="B14" s="156" t="s">
        <v>100</v>
      </c>
      <c r="C14" s="156" t="s">
        <v>98</v>
      </c>
      <c r="D14" s="157" t="s">
        <v>101</v>
      </c>
      <c r="E14" s="173"/>
      <c r="F14" s="187"/>
      <c r="G14" s="187"/>
      <c r="H14" s="187"/>
    </row>
    <row r="15" spans="1:8" x14ac:dyDescent="0.25">
      <c r="A15" s="216"/>
      <c r="B15" s="171" t="s">
        <v>102</v>
      </c>
      <c r="C15" s="156" t="s">
        <v>94</v>
      </c>
      <c r="D15" s="172" t="s">
        <v>103</v>
      </c>
      <c r="E15" s="173"/>
      <c r="F15" s="187"/>
      <c r="G15" s="187"/>
      <c r="H15" s="187"/>
    </row>
    <row r="16" spans="1:8" x14ac:dyDescent="0.25">
      <c r="A16" s="216"/>
      <c r="B16" s="171" t="s">
        <v>104</v>
      </c>
      <c r="C16" s="171" t="s">
        <v>96</v>
      </c>
      <c r="D16" s="172" t="s">
        <v>105</v>
      </c>
      <c r="E16" s="173"/>
      <c r="F16" s="173"/>
      <c r="G16" s="187"/>
      <c r="H16" s="187"/>
    </row>
    <row r="17" spans="1:8" x14ac:dyDescent="0.25">
      <c r="A17" s="216"/>
      <c r="B17" s="171" t="s">
        <v>106</v>
      </c>
      <c r="C17" s="156" t="s">
        <v>98</v>
      </c>
      <c r="D17" s="157" t="s">
        <v>107</v>
      </c>
      <c r="E17" s="173"/>
      <c r="F17" s="187"/>
      <c r="G17" s="187"/>
      <c r="H17" s="187"/>
    </row>
    <row r="18" spans="1:8" x14ac:dyDescent="0.25">
      <c r="A18" s="216"/>
      <c r="B18" s="156" t="s">
        <v>108</v>
      </c>
      <c r="C18" s="156" t="s">
        <v>94</v>
      </c>
      <c r="D18" s="172" t="s">
        <v>109</v>
      </c>
      <c r="E18" s="173"/>
      <c r="F18" s="173"/>
      <c r="G18" s="187"/>
      <c r="H18" s="187"/>
    </row>
    <row r="19" spans="1:8" x14ac:dyDescent="0.25">
      <c r="A19" s="216"/>
      <c r="B19" s="171" t="s">
        <v>110</v>
      </c>
      <c r="C19" s="171" t="s">
        <v>96</v>
      </c>
      <c r="D19" s="172" t="s">
        <v>111</v>
      </c>
      <c r="E19" s="173"/>
      <c r="F19" s="173"/>
      <c r="G19" s="187"/>
      <c r="H19" s="187"/>
    </row>
    <row r="20" spans="1:8" x14ac:dyDescent="0.25">
      <c r="A20" s="216"/>
      <c r="B20" s="171" t="s">
        <v>85</v>
      </c>
      <c r="C20" s="156" t="s">
        <v>98</v>
      </c>
      <c r="D20" s="157" t="s">
        <v>112</v>
      </c>
      <c r="E20" s="173"/>
      <c r="F20" s="173"/>
      <c r="G20" s="187"/>
      <c r="H20" s="187"/>
    </row>
    <row r="21" spans="1:8" x14ac:dyDescent="0.25">
      <c r="A21" s="216"/>
      <c r="B21" s="171" t="s">
        <v>89</v>
      </c>
      <c r="C21" s="156" t="s">
        <v>94</v>
      </c>
      <c r="D21" s="172" t="s">
        <v>113</v>
      </c>
      <c r="E21" s="173"/>
      <c r="F21" s="173"/>
      <c r="G21" s="187"/>
      <c r="H21" s="187"/>
    </row>
    <row r="22" spans="1:8" x14ac:dyDescent="0.25">
      <c r="A22" s="216"/>
      <c r="B22" s="156" t="s">
        <v>90</v>
      </c>
      <c r="C22" s="171" t="s">
        <v>96</v>
      </c>
      <c r="D22" s="172" t="s">
        <v>114</v>
      </c>
      <c r="E22" s="173"/>
      <c r="F22" s="173"/>
      <c r="G22" s="187"/>
      <c r="H22" s="187"/>
    </row>
    <row r="23" spans="1:8" x14ac:dyDescent="0.25">
      <c r="A23" s="216"/>
      <c r="B23" s="156" t="s">
        <v>91</v>
      </c>
      <c r="C23" s="156" t="s">
        <v>98</v>
      </c>
      <c r="D23" s="157" t="s">
        <v>115</v>
      </c>
      <c r="E23" s="173"/>
      <c r="F23" s="187"/>
      <c r="G23" s="187"/>
      <c r="H23" s="187"/>
    </row>
    <row r="24" spans="1:8" x14ac:dyDescent="0.25">
      <c r="A24" s="216"/>
      <c r="B24" s="171" t="s">
        <v>92</v>
      </c>
      <c r="C24" s="156" t="s">
        <v>94</v>
      </c>
      <c r="D24" s="172" t="s">
        <v>116</v>
      </c>
      <c r="E24" s="173"/>
      <c r="F24" s="173"/>
      <c r="G24" s="187"/>
      <c r="H24" s="187"/>
    </row>
    <row r="25" spans="1:8" x14ac:dyDescent="0.25">
      <c r="A25" s="216"/>
      <c r="B25" s="156" t="s">
        <v>117</v>
      </c>
      <c r="C25" s="171" t="s">
        <v>96</v>
      </c>
      <c r="D25" s="172" t="s">
        <v>118</v>
      </c>
      <c r="E25" s="173"/>
      <c r="F25" s="173"/>
      <c r="G25" s="187"/>
      <c r="H25" s="187"/>
    </row>
    <row r="26" spans="1:8" x14ac:dyDescent="0.25">
      <c r="A26" s="216"/>
      <c r="B26" s="156" t="s">
        <v>119</v>
      </c>
      <c r="C26" s="156" t="s">
        <v>98</v>
      </c>
      <c r="D26" s="157" t="s">
        <v>120</v>
      </c>
      <c r="E26" s="173"/>
      <c r="F26" s="187"/>
      <c r="G26" s="187"/>
      <c r="H26" s="187"/>
    </row>
    <row r="27" spans="1:8" x14ac:dyDescent="0.25">
      <c r="A27" s="216"/>
      <c r="B27" s="171" t="s">
        <v>121</v>
      </c>
      <c r="C27" s="156" t="s">
        <v>94</v>
      </c>
      <c r="D27" s="172" t="s">
        <v>122</v>
      </c>
      <c r="E27" s="173"/>
      <c r="F27" s="173"/>
      <c r="G27" s="187"/>
      <c r="H27" s="187"/>
    </row>
    <row r="28" spans="1:8" x14ac:dyDescent="0.25">
      <c r="A28" s="216"/>
      <c r="B28" s="156" t="s">
        <v>123</v>
      </c>
      <c r="C28" s="171" t="s">
        <v>96</v>
      </c>
      <c r="D28" s="172" t="s">
        <v>124</v>
      </c>
      <c r="E28" s="173"/>
      <c r="F28" s="173"/>
      <c r="G28" s="187"/>
      <c r="H28" s="187"/>
    </row>
    <row r="29" spans="1:8" x14ac:dyDescent="0.25">
      <c r="A29" s="216"/>
      <c r="B29" s="171" t="s">
        <v>125</v>
      </c>
      <c r="C29" s="156" t="s">
        <v>98</v>
      </c>
      <c r="D29" s="157" t="s">
        <v>126</v>
      </c>
      <c r="E29" s="173"/>
      <c r="F29" s="173"/>
      <c r="G29" s="187"/>
      <c r="H29" s="187"/>
    </row>
    <row r="30" spans="1:8" x14ac:dyDescent="0.25">
      <c r="A30" s="216"/>
      <c r="B30" s="171" t="s">
        <v>127</v>
      </c>
      <c r="C30" s="156" t="s">
        <v>94</v>
      </c>
      <c r="D30" s="172" t="s">
        <v>128</v>
      </c>
      <c r="E30" s="173"/>
      <c r="F30" s="187"/>
      <c r="G30" s="187"/>
      <c r="H30" s="187"/>
    </row>
    <row r="31" spans="1:8" x14ac:dyDescent="0.25">
      <c r="A31" s="216"/>
      <c r="B31" s="171" t="s">
        <v>127</v>
      </c>
      <c r="C31" s="156" t="s">
        <v>94</v>
      </c>
      <c r="D31" s="157" t="s">
        <v>129</v>
      </c>
      <c r="E31" s="173"/>
      <c r="F31" s="187"/>
      <c r="G31" s="187"/>
      <c r="H31" s="187"/>
    </row>
    <row r="32" spans="1:8" x14ac:dyDescent="0.25">
      <c r="A32" s="216"/>
      <c r="B32" s="171" t="s">
        <v>127</v>
      </c>
      <c r="C32" s="156" t="s">
        <v>94</v>
      </c>
      <c r="D32" s="157" t="s">
        <v>130</v>
      </c>
      <c r="E32" s="173"/>
      <c r="F32" s="187"/>
      <c r="G32" s="187"/>
      <c r="H32" s="187"/>
    </row>
    <row r="33" spans="1:8" x14ac:dyDescent="0.25">
      <c r="A33" s="216"/>
      <c r="B33" s="171" t="s">
        <v>127</v>
      </c>
      <c r="C33" s="156" t="s">
        <v>94</v>
      </c>
      <c r="D33" s="157" t="s">
        <v>131</v>
      </c>
      <c r="E33" s="173"/>
      <c r="F33" s="173"/>
      <c r="G33" s="187"/>
      <c r="H33" s="187"/>
    </row>
    <row r="34" spans="1:8" x14ac:dyDescent="0.25">
      <c r="A34" s="216"/>
      <c r="B34" s="171" t="s">
        <v>127</v>
      </c>
      <c r="C34" s="156" t="s">
        <v>94</v>
      </c>
      <c r="D34" s="157" t="s">
        <v>132</v>
      </c>
      <c r="E34" s="173"/>
      <c r="F34" s="187"/>
      <c r="G34" s="187"/>
      <c r="H34" s="187"/>
    </row>
    <row r="35" spans="1:8" x14ac:dyDescent="0.25">
      <c r="A35" s="216"/>
      <c r="B35" s="171" t="s">
        <v>127</v>
      </c>
      <c r="C35" s="156" t="s">
        <v>94</v>
      </c>
      <c r="D35" s="157" t="s">
        <v>133</v>
      </c>
      <c r="E35" s="173"/>
      <c r="F35" s="173"/>
      <c r="G35" s="187"/>
      <c r="H35" s="187"/>
    </row>
    <row r="36" spans="1:8" x14ac:dyDescent="0.25">
      <c r="A36" s="216"/>
      <c r="B36" s="171" t="s">
        <v>134</v>
      </c>
      <c r="C36" s="171" t="s">
        <v>96</v>
      </c>
      <c r="D36" s="172" t="s">
        <v>135</v>
      </c>
      <c r="E36" s="173"/>
      <c r="F36" s="187"/>
      <c r="G36" s="187"/>
      <c r="H36" s="187"/>
    </row>
    <row r="37" spans="1:8" x14ac:dyDescent="0.25">
      <c r="A37" s="216"/>
      <c r="B37" s="171" t="s">
        <v>134</v>
      </c>
      <c r="C37" s="171" t="s">
        <v>96</v>
      </c>
      <c r="D37" s="157" t="s">
        <v>136</v>
      </c>
      <c r="E37" s="173"/>
      <c r="F37" s="187"/>
      <c r="G37" s="187"/>
      <c r="H37" s="187"/>
    </row>
    <row r="38" spans="1:8" x14ac:dyDescent="0.25">
      <c r="A38" s="216"/>
      <c r="B38" s="171" t="s">
        <v>134</v>
      </c>
      <c r="C38" s="171" t="s">
        <v>96</v>
      </c>
      <c r="D38" s="157" t="s">
        <v>137</v>
      </c>
      <c r="E38" s="173"/>
      <c r="F38" s="187"/>
      <c r="G38" s="187"/>
      <c r="H38" s="187"/>
    </row>
    <row r="39" spans="1:8" x14ac:dyDescent="0.25">
      <c r="A39" s="216"/>
      <c r="B39" s="171" t="s">
        <v>134</v>
      </c>
      <c r="C39" s="171" t="s">
        <v>96</v>
      </c>
      <c r="D39" s="157" t="s">
        <v>138</v>
      </c>
      <c r="E39" s="173"/>
      <c r="F39" s="173"/>
      <c r="G39" s="187"/>
      <c r="H39" s="187"/>
    </row>
    <row r="40" spans="1:8" x14ac:dyDescent="0.25">
      <c r="A40" s="216"/>
      <c r="B40" s="171" t="s">
        <v>134</v>
      </c>
      <c r="C40" s="171" t="s">
        <v>96</v>
      </c>
      <c r="D40" s="157" t="s">
        <v>139</v>
      </c>
      <c r="E40" s="173"/>
      <c r="F40" s="187"/>
      <c r="G40" s="187"/>
      <c r="H40" s="187"/>
    </row>
    <row r="41" spans="1:8" x14ac:dyDescent="0.25">
      <c r="A41" s="216"/>
      <c r="B41" s="171" t="s">
        <v>140</v>
      </c>
      <c r="C41" s="156" t="s">
        <v>98</v>
      </c>
      <c r="D41" s="157" t="s">
        <v>141</v>
      </c>
      <c r="E41" s="173"/>
      <c r="F41" s="187"/>
      <c r="G41" s="187"/>
      <c r="H41" s="187"/>
    </row>
    <row r="42" spans="1:8" x14ac:dyDescent="0.25">
      <c r="A42" s="216"/>
      <c r="B42" s="171" t="s">
        <v>140</v>
      </c>
      <c r="C42" s="156" t="s">
        <v>98</v>
      </c>
      <c r="D42" s="157" t="s">
        <v>142</v>
      </c>
      <c r="E42" s="173"/>
      <c r="F42" s="173"/>
      <c r="G42" s="187"/>
      <c r="H42" s="187"/>
    </row>
    <row r="43" spans="1:8" x14ac:dyDescent="0.25">
      <c r="A43" s="216"/>
      <c r="B43" s="171" t="s">
        <v>140</v>
      </c>
      <c r="C43" s="156" t="s">
        <v>98</v>
      </c>
      <c r="D43" s="157" t="s">
        <v>143</v>
      </c>
      <c r="E43" s="173"/>
      <c r="F43" s="173"/>
      <c r="G43" s="187"/>
      <c r="H43" s="187"/>
    </row>
    <row r="44" spans="1:8" x14ac:dyDescent="0.25">
      <c r="A44" s="216"/>
      <c r="B44" s="171" t="s">
        <v>140</v>
      </c>
      <c r="C44" s="156" t="s">
        <v>98</v>
      </c>
      <c r="D44" s="157" t="s">
        <v>144</v>
      </c>
      <c r="E44" s="187"/>
      <c r="F44" s="187"/>
      <c r="G44" s="187"/>
      <c r="H44" s="187"/>
    </row>
    <row r="45" spans="1:8" x14ac:dyDescent="0.25">
      <c r="A45" s="216"/>
      <c r="B45" s="171" t="s">
        <v>140</v>
      </c>
      <c r="C45" s="156" t="s">
        <v>98</v>
      </c>
      <c r="D45" s="157" t="s">
        <v>145</v>
      </c>
      <c r="E45" s="187"/>
      <c r="F45" s="187"/>
      <c r="G45" s="187"/>
      <c r="H45" s="187"/>
    </row>
    <row r="46" spans="1:8" x14ac:dyDescent="0.25">
      <c r="A46" s="191"/>
      <c r="B46" s="240"/>
      <c r="C46" s="240"/>
      <c r="D46" s="237"/>
      <c r="E46" s="238"/>
      <c r="F46" s="239"/>
      <c r="G46" s="239"/>
      <c r="H46" s="239"/>
    </row>
    <row r="47" spans="1:8" x14ac:dyDescent="0.25">
      <c r="A47" s="191"/>
      <c r="B47" s="191"/>
      <c r="C47" s="191"/>
      <c r="D47" s="191"/>
      <c r="E47" s="191"/>
      <c r="F47" s="191"/>
      <c r="G47" s="191"/>
      <c r="H47" s="191"/>
    </row>
    <row r="48" spans="1:8" x14ac:dyDescent="0.25">
      <c r="A48" s="191"/>
      <c r="B48" s="191"/>
      <c r="C48" s="191"/>
      <c r="D48" s="191"/>
      <c r="E48" s="191"/>
      <c r="F48" s="191"/>
      <c r="G48" s="191"/>
      <c r="H48" s="191"/>
    </row>
    <row r="49" spans="1:8" x14ac:dyDescent="0.25">
      <c r="A49" s="191"/>
      <c r="B49" s="191"/>
      <c r="C49" s="191"/>
      <c r="D49" s="191"/>
      <c r="E49" s="191"/>
      <c r="F49" s="191"/>
      <c r="G49" s="191"/>
      <c r="H49" s="191"/>
    </row>
    <row r="50" spans="1:8" x14ac:dyDescent="0.25">
      <c r="A50" s="191"/>
      <c r="B50" s="191"/>
      <c r="C50" s="191"/>
      <c r="D50" s="191"/>
      <c r="E50" s="191"/>
      <c r="F50" s="191"/>
      <c r="G50" s="191"/>
      <c r="H50" s="191"/>
    </row>
    <row r="51" spans="1:8" x14ac:dyDescent="0.25">
      <c r="A51" s="191"/>
      <c r="B51" s="191"/>
      <c r="C51" s="191"/>
      <c r="D51" s="191"/>
      <c r="E51" s="191"/>
      <c r="F51" s="191"/>
      <c r="G51" s="191"/>
      <c r="H51" s="191"/>
    </row>
    <row r="52" spans="1:8" x14ac:dyDescent="0.25">
      <c r="A52" s="191"/>
      <c r="B52" s="191"/>
      <c r="C52" s="191"/>
      <c r="D52" s="191"/>
      <c r="E52" s="191"/>
      <c r="F52" s="191"/>
      <c r="G52" s="191"/>
      <c r="H52" s="191"/>
    </row>
    <row r="53" spans="1:8" x14ac:dyDescent="0.25">
      <c r="A53" s="191"/>
      <c r="B53" s="191"/>
      <c r="C53" s="191"/>
      <c r="D53" s="191"/>
      <c r="E53" s="191"/>
      <c r="F53" s="191"/>
      <c r="G53" s="191"/>
      <c r="H53" s="191"/>
    </row>
    <row r="54" spans="1:8" x14ac:dyDescent="0.25">
      <c r="A54" s="191"/>
      <c r="B54" s="191"/>
      <c r="C54" s="191"/>
      <c r="D54" s="191"/>
      <c r="E54" s="191"/>
      <c r="F54" s="191"/>
      <c r="G54" s="191"/>
      <c r="H54" s="191"/>
    </row>
    <row r="55" spans="1:8" x14ac:dyDescent="0.25">
      <c r="A55" s="191"/>
      <c r="B55" s="191"/>
      <c r="C55" s="191"/>
      <c r="D55" s="191"/>
      <c r="E55" s="191"/>
      <c r="F55" s="191"/>
      <c r="G55" s="191"/>
      <c r="H55" s="191"/>
    </row>
    <row r="56" spans="1:8" x14ac:dyDescent="0.25">
      <c r="A56" s="191"/>
      <c r="B56" s="191"/>
      <c r="C56" s="191"/>
      <c r="D56" s="191"/>
      <c r="E56" s="191"/>
      <c r="F56" s="191"/>
      <c r="G56" s="191"/>
      <c r="H56" s="191"/>
    </row>
    <row r="57" spans="1:8" x14ac:dyDescent="0.25">
      <c r="A57" s="191"/>
      <c r="B57" s="191"/>
      <c r="C57" s="191"/>
      <c r="D57" s="191"/>
      <c r="E57" s="191"/>
      <c r="F57" s="191"/>
      <c r="G57" s="191"/>
      <c r="H57" s="191"/>
    </row>
    <row r="58" spans="1:8" x14ac:dyDescent="0.25">
      <c r="A58" s="191"/>
      <c r="B58" s="191"/>
      <c r="C58" s="191"/>
      <c r="D58" s="191"/>
      <c r="E58" s="191"/>
      <c r="F58" s="191"/>
      <c r="G58" s="191"/>
      <c r="H58" s="191"/>
    </row>
    <row r="59" spans="1:8" x14ac:dyDescent="0.25">
      <c r="A59" s="191"/>
      <c r="B59" s="191"/>
      <c r="C59" s="191"/>
      <c r="D59" s="191"/>
      <c r="E59" s="191"/>
      <c r="F59" s="191"/>
      <c r="G59" s="191"/>
      <c r="H59" s="191"/>
    </row>
    <row r="60" spans="1:8" x14ac:dyDescent="0.25">
      <c r="A60" s="191"/>
      <c r="B60" s="191"/>
      <c r="C60" s="191"/>
      <c r="D60" s="191"/>
      <c r="E60" s="191"/>
      <c r="F60" s="191"/>
      <c r="G60" s="191"/>
      <c r="H60" s="191"/>
    </row>
    <row r="61" spans="1:8" x14ac:dyDescent="0.25">
      <c r="A61" s="191"/>
      <c r="B61" s="191"/>
      <c r="C61" s="191"/>
      <c r="D61" s="191"/>
      <c r="E61" s="191"/>
      <c r="F61" s="191"/>
      <c r="G61" s="191"/>
      <c r="H61" s="191"/>
    </row>
    <row r="62" spans="1:8" x14ac:dyDescent="0.25">
      <c r="A62" s="191"/>
      <c r="B62" s="191"/>
      <c r="C62" s="191"/>
      <c r="D62" s="191"/>
      <c r="E62" s="191"/>
      <c r="F62" s="191"/>
      <c r="G62" s="191"/>
      <c r="H62" s="191"/>
    </row>
    <row r="63" spans="1:8" x14ac:dyDescent="0.25">
      <c r="A63" s="191"/>
      <c r="B63" s="191"/>
      <c r="C63" s="191"/>
      <c r="D63" s="191"/>
      <c r="E63" s="191"/>
      <c r="F63" s="191"/>
      <c r="G63" s="191"/>
      <c r="H63" s="191"/>
    </row>
    <row r="64" spans="1:8" x14ac:dyDescent="0.25">
      <c r="A64" s="191"/>
      <c r="B64" s="191"/>
      <c r="C64" s="191"/>
      <c r="D64" s="191"/>
      <c r="E64" s="191"/>
      <c r="F64" s="191"/>
      <c r="G64" s="191"/>
      <c r="H64" s="191"/>
    </row>
    <row r="65" spans="1:8" x14ac:dyDescent="0.25">
      <c r="A65" s="191"/>
      <c r="B65" s="191"/>
      <c r="C65" s="191"/>
      <c r="D65" s="191"/>
      <c r="E65" s="191"/>
      <c r="F65" s="191"/>
      <c r="G65" s="191"/>
      <c r="H65" s="191"/>
    </row>
    <row r="66" spans="1:8" x14ac:dyDescent="0.25">
      <c r="A66" s="191"/>
      <c r="B66" s="191"/>
      <c r="C66" s="191"/>
      <c r="D66" s="191"/>
      <c r="E66" s="191"/>
      <c r="F66" s="191"/>
      <c r="G66" s="191"/>
      <c r="H66" s="191"/>
    </row>
    <row r="67" spans="1:8" x14ac:dyDescent="0.25">
      <c r="A67" s="191"/>
      <c r="B67" s="191"/>
      <c r="C67" s="191"/>
      <c r="D67" s="191"/>
      <c r="E67" s="191"/>
      <c r="F67" s="191"/>
      <c r="G67" s="191"/>
      <c r="H67" s="191"/>
    </row>
    <row r="68" spans="1:8" x14ac:dyDescent="0.25">
      <c r="A68" s="191"/>
      <c r="B68" s="191"/>
      <c r="C68" s="191"/>
      <c r="D68" s="191"/>
      <c r="E68" s="191"/>
      <c r="F68" s="191"/>
      <c r="G68" s="191"/>
      <c r="H68" s="191"/>
    </row>
    <row r="69" spans="1:8" x14ac:dyDescent="0.25">
      <c r="A69" s="191"/>
      <c r="B69" s="191"/>
      <c r="C69" s="191"/>
      <c r="D69" s="191"/>
      <c r="E69" s="191"/>
      <c r="F69" s="191"/>
      <c r="G69" s="191"/>
      <c r="H69" s="191"/>
    </row>
    <row r="70" spans="1:8" x14ac:dyDescent="0.25">
      <c r="A70" s="191"/>
      <c r="B70" s="191"/>
      <c r="C70" s="191"/>
      <c r="D70" s="191"/>
      <c r="E70" s="191"/>
      <c r="F70" s="191"/>
      <c r="G70" s="191"/>
      <c r="H70" s="191"/>
    </row>
    <row r="71" spans="1:8" x14ac:dyDescent="0.25">
      <c r="A71" s="191"/>
      <c r="B71" s="191"/>
      <c r="C71" s="191"/>
      <c r="D71" s="191"/>
      <c r="E71" s="191"/>
      <c r="F71" s="191"/>
      <c r="G71" s="191"/>
      <c r="H71" s="191"/>
    </row>
    <row r="72" spans="1:8" x14ac:dyDescent="0.25">
      <c r="A72" s="191"/>
      <c r="B72" s="191"/>
      <c r="C72" s="191"/>
      <c r="D72" s="191"/>
      <c r="E72" s="191"/>
      <c r="F72" s="191"/>
      <c r="G72" s="191"/>
      <c r="H72" s="191"/>
    </row>
    <row r="73" spans="1:8" x14ac:dyDescent="0.25">
      <c r="A73" s="191"/>
      <c r="B73" s="191"/>
      <c r="C73" s="191"/>
      <c r="D73" s="191"/>
      <c r="E73" s="191"/>
      <c r="F73" s="191"/>
      <c r="G73" s="191"/>
      <c r="H73" s="191"/>
    </row>
    <row r="74" spans="1:8" x14ac:dyDescent="0.25">
      <c r="A74" s="191"/>
      <c r="B74" s="191"/>
      <c r="C74" s="191"/>
      <c r="D74" s="191"/>
      <c r="E74" s="191"/>
      <c r="F74" s="191"/>
      <c r="G74" s="191"/>
      <c r="H74" s="191"/>
    </row>
    <row r="75" spans="1:8" x14ac:dyDescent="0.25">
      <c r="A75" s="191"/>
      <c r="B75" s="191"/>
      <c r="C75" s="191"/>
      <c r="D75" s="191"/>
      <c r="E75" s="191"/>
      <c r="F75" s="191"/>
      <c r="G75" s="191"/>
      <c r="H75" s="191"/>
    </row>
    <row r="76" spans="1:8" x14ac:dyDescent="0.25">
      <c r="A76" s="191"/>
      <c r="B76" s="191"/>
      <c r="C76" s="191"/>
      <c r="D76" s="191"/>
      <c r="E76" s="191"/>
      <c r="F76" s="191"/>
      <c r="G76" s="191"/>
      <c r="H76" s="191"/>
    </row>
    <row r="77" spans="1:8" x14ac:dyDescent="0.25">
      <c r="A77" s="191"/>
      <c r="B77" s="191"/>
      <c r="C77" s="191"/>
      <c r="D77" s="191"/>
      <c r="E77" s="191"/>
      <c r="F77" s="191"/>
      <c r="G77" s="191"/>
      <c r="H77" s="191"/>
    </row>
    <row r="78" spans="1:8" x14ac:dyDescent="0.25">
      <c r="A78" s="191"/>
      <c r="B78" s="191"/>
      <c r="C78" s="191"/>
      <c r="D78" s="191"/>
      <c r="E78" s="191"/>
      <c r="F78" s="191"/>
      <c r="G78" s="191"/>
      <c r="H78" s="191"/>
    </row>
    <row r="79" spans="1:8" x14ac:dyDescent="0.25">
      <c r="A79" s="191"/>
      <c r="B79" s="191"/>
      <c r="C79" s="191"/>
      <c r="D79" s="191"/>
      <c r="E79" s="191"/>
      <c r="F79" s="191"/>
      <c r="G79" s="191"/>
      <c r="H79" s="191"/>
    </row>
    <row r="80" spans="1:8" x14ac:dyDescent="0.25">
      <c r="A80" s="191"/>
      <c r="B80" s="191"/>
      <c r="C80" s="191"/>
      <c r="D80" s="191"/>
      <c r="E80" s="191"/>
      <c r="F80" s="191"/>
      <c r="G80" s="191"/>
      <c r="H80" s="191"/>
    </row>
    <row r="81" spans="1:8" x14ac:dyDescent="0.25">
      <c r="A81" s="191"/>
      <c r="B81" s="191"/>
      <c r="C81" s="191"/>
      <c r="D81" s="191"/>
      <c r="E81" s="191"/>
      <c r="F81" s="191"/>
      <c r="G81" s="191"/>
      <c r="H81" s="191"/>
    </row>
    <row r="82" spans="1:8" x14ac:dyDescent="0.25">
      <c r="A82" s="191"/>
      <c r="B82" s="191"/>
      <c r="C82" s="191"/>
      <c r="D82" s="191"/>
      <c r="E82" s="191"/>
      <c r="F82" s="191"/>
      <c r="G82" s="191"/>
      <c r="H82" s="191"/>
    </row>
    <row r="83" spans="1:8" x14ac:dyDescent="0.25">
      <c r="A83" s="191"/>
      <c r="B83" s="191"/>
      <c r="C83" s="191"/>
      <c r="D83" s="191"/>
      <c r="E83" s="191"/>
      <c r="F83" s="191"/>
      <c r="G83" s="191"/>
      <c r="H83" s="191"/>
    </row>
    <row r="84" spans="1:8" x14ac:dyDescent="0.25">
      <c r="A84" s="191"/>
      <c r="B84" s="191"/>
      <c r="C84" s="191"/>
      <c r="D84" s="191"/>
      <c r="E84" s="191"/>
      <c r="F84" s="191"/>
      <c r="G84" s="191"/>
      <c r="H84" s="191"/>
    </row>
    <row r="85" spans="1:8" x14ac:dyDescent="0.25">
      <c r="A85" s="191"/>
      <c r="B85" s="191"/>
      <c r="C85" s="191"/>
      <c r="D85" s="191"/>
      <c r="E85" s="191"/>
      <c r="F85" s="191"/>
      <c r="G85" s="191"/>
      <c r="H85" s="191"/>
    </row>
    <row r="86" spans="1:8" x14ac:dyDescent="0.25">
      <c r="A86" s="191"/>
      <c r="B86" s="191"/>
      <c r="C86" s="191"/>
      <c r="D86" s="191"/>
      <c r="E86" s="191"/>
      <c r="F86" s="191"/>
      <c r="G86" s="191"/>
      <c r="H86" s="191"/>
    </row>
    <row r="87" spans="1:8" x14ac:dyDescent="0.25">
      <c r="A87" s="191"/>
      <c r="B87" s="191"/>
      <c r="C87" s="191"/>
      <c r="D87" s="191"/>
      <c r="E87" s="191"/>
      <c r="F87" s="191"/>
      <c r="G87" s="191"/>
      <c r="H87" s="191"/>
    </row>
    <row r="88" spans="1:8" x14ac:dyDescent="0.25">
      <c r="A88" s="191"/>
      <c r="B88" s="191"/>
      <c r="C88" s="191"/>
      <c r="D88" s="191"/>
      <c r="E88" s="191"/>
      <c r="F88" s="191"/>
      <c r="G88" s="191"/>
      <c r="H88" s="191"/>
    </row>
    <row r="89" spans="1:8" x14ac:dyDescent="0.25">
      <c r="A89" s="191"/>
      <c r="B89" s="191"/>
      <c r="C89" s="191"/>
      <c r="D89" s="191"/>
      <c r="E89" s="191"/>
      <c r="F89" s="191"/>
      <c r="G89" s="191"/>
      <c r="H89" s="191"/>
    </row>
    <row r="90" spans="1:8" x14ac:dyDescent="0.25">
      <c r="A90" s="191"/>
      <c r="B90" s="191"/>
      <c r="C90" s="191"/>
      <c r="D90" s="191"/>
      <c r="E90" s="191"/>
      <c r="F90" s="191"/>
      <c r="G90" s="191"/>
      <c r="H90" s="191"/>
    </row>
    <row r="91" spans="1:8" x14ac:dyDescent="0.25">
      <c r="A91" s="191"/>
      <c r="B91" s="191"/>
      <c r="C91" s="191"/>
      <c r="D91" s="191"/>
      <c r="E91" s="191"/>
      <c r="F91" s="191"/>
      <c r="G91" s="191"/>
      <c r="H91" s="191"/>
    </row>
    <row r="92" spans="1:8" x14ac:dyDescent="0.25">
      <c r="A92" s="191"/>
      <c r="B92" s="191"/>
      <c r="C92" s="191"/>
      <c r="D92" s="191"/>
      <c r="E92" s="191"/>
      <c r="F92" s="191"/>
      <c r="G92" s="191"/>
      <c r="H92" s="191"/>
    </row>
    <row r="93" spans="1:8" x14ac:dyDescent="0.25">
      <c r="A93" s="191"/>
      <c r="B93" s="191"/>
      <c r="C93" s="191"/>
      <c r="D93" s="191"/>
      <c r="E93" s="191"/>
      <c r="F93" s="191"/>
      <c r="G93" s="191"/>
      <c r="H93" s="191"/>
    </row>
    <row r="94" spans="1:8" x14ac:dyDescent="0.25">
      <c r="A94" s="191"/>
      <c r="B94" s="191"/>
      <c r="C94" s="191"/>
      <c r="D94" s="191"/>
      <c r="E94" s="191"/>
      <c r="F94" s="191"/>
      <c r="G94" s="191"/>
      <c r="H94" s="191"/>
    </row>
    <row r="95" spans="1:8" x14ac:dyDescent="0.25">
      <c r="A95" s="191"/>
      <c r="B95" s="191"/>
      <c r="C95" s="191"/>
      <c r="D95" s="191"/>
      <c r="E95" s="191"/>
      <c r="F95" s="191"/>
      <c r="G95" s="191"/>
      <c r="H95" s="191"/>
    </row>
    <row r="96" spans="1:8" x14ac:dyDescent="0.25">
      <c r="A96" s="191"/>
      <c r="B96" s="191"/>
      <c r="C96" s="191"/>
      <c r="D96" s="191"/>
      <c r="E96" s="191"/>
      <c r="F96" s="191"/>
      <c r="G96" s="191"/>
      <c r="H96" s="191"/>
    </row>
    <row r="97" spans="1:8" x14ac:dyDescent="0.25">
      <c r="A97" s="191"/>
      <c r="B97" s="191"/>
      <c r="C97" s="191"/>
      <c r="D97" s="191"/>
      <c r="E97" s="191"/>
      <c r="F97" s="191"/>
      <c r="G97" s="191"/>
      <c r="H97" s="191"/>
    </row>
    <row r="98" spans="1:8" x14ac:dyDescent="0.25">
      <c r="A98" s="191"/>
      <c r="B98" s="191"/>
      <c r="C98" s="191"/>
      <c r="D98" s="191"/>
      <c r="E98" s="191"/>
      <c r="F98" s="191"/>
      <c r="G98" s="191"/>
      <c r="H98" s="191"/>
    </row>
    <row r="99" spans="1:8" x14ac:dyDescent="0.25">
      <c r="A99" s="191"/>
      <c r="B99" s="191"/>
      <c r="C99" s="191"/>
      <c r="D99" s="191"/>
      <c r="E99" s="191"/>
      <c r="F99" s="191"/>
      <c r="G99" s="191"/>
      <c r="H99" s="191"/>
    </row>
    <row r="100" spans="1:8" x14ac:dyDescent="0.25">
      <c r="A100" s="191"/>
      <c r="B100" s="191"/>
      <c r="C100" s="191"/>
      <c r="D100" s="191"/>
      <c r="E100" s="191"/>
      <c r="F100" s="191"/>
      <c r="G100" s="191"/>
      <c r="H100" s="191"/>
    </row>
    <row r="101" spans="1:8" x14ac:dyDescent="0.25">
      <c r="A101" s="191"/>
      <c r="B101" s="191"/>
      <c r="C101" s="191"/>
      <c r="D101" s="191"/>
      <c r="E101" s="191"/>
      <c r="F101" s="191"/>
      <c r="G101" s="191"/>
      <c r="H101" s="191"/>
    </row>
    <row r="102" spans="1:8" x14ac:dyDescent="0.25">
      <c r="A102" s="191"/>
      <c r="B102" s="191"/>
      <c r="C102" s="191"/>
      <c r="D102" s="191"/>
      <c r="E102" s="191"/>
      <c r="F102" s="191"/>
      <c r="G102" s="191"/>
      <c r="H102" s="191"/>
    </row>
    <row r="103" spans="1:8" x14ac:dyDescent="0.25">
      <c r="A103" s="191"/>
      <c r="B103" s="191"/>
      <c r="C103" s="191"/>
      <c r="D103" s="191"/>
      <c r="E103" s="191"/>
      <c r="F103" s="191"/>
      <c r="G103" s="191"/>
      <c r="H103" s="191"/>
    </row>
    <row r="104" spans="1:8" x14ac:dyDescent="0.25">
      <c r="A104" s="191"/>
      <c r="B104" s="191"/>
      <c r="C104" s="191"/>
      <c r="D104" s="191"/>
      <c r="E104" s="191"/>
      <c r="F104" s="191"/>
      <c r="G104" s="191"/>
      <c r="H104" s="191"/>
    </row>
    <row r="105" spans="1:8" x14ac:dyDescent="0.25">
      <c r="A105" s="191"/>
      <c r="B105" s="191"/>
      <c r="C105" s="191"/>
      <c r="D105" s="191"/>
      <c r="E105" s="191"/>
      <c r="F105" s="191"/>
      <c r="G105" s="191"/>
      <c r="H105" s="191"/>
    </row>
    <row r="106" spans="1:8" x14ac:dyDescent="0.25">
      <c r="A106" s="191"/>
      <c r="B106" s="191"/>
      <c r="C106" s="191"/>
      <c r="D106" s="191"/>
      <c r="E106" s="191"/>
      <c r="F106" s="191"/>
      <c r="G106" s="191"/>
      <c r="H106" s="191"/>
    </row>
    <row r="107" spans="1:8" x14ac:dyDescent="0.25">
      <c r="A107" s="191"/>
      <c r="B107" s="191"/>
      <c r="C107" s="191"/>
      <c r="D107" s="191"/>
      <c r="E107" s="191"/>
      <c r="F107" s="191"/>
      <c r="G107" s="191"/>
      <c r="H107" s="191"/>
    </row>
    <row r="108" spans="1:8" x14ac:dyDescent="0.25">
      <c r="A108" s="191"/>
      <c r="B108" s="191"/>
      <c r="C108" s="191"/>
      <c r="D108" s="191"/>
      <c r="E108" s="191"/>
      <c r="F108" s="191"/>
      <c r="G108" s="191"/>
      <c r="H108" s="191"/>
    </row>
    <row r="109" spans="1:8" x14ac:dyDescent="0.25">
      <c r="A109" s="191"/>
      <c r="B109" s="191"/>
      <c r="C109" s="191"/>
      <c r="D109" s="191"/>
      <c r="E109" s="191"/>
      <c r="F109" s="191"/>
      <c r="G109" s="191"/>
      <c r="H109" s="191"/>
    </row>
    <row r="110" spans="1:8" x14ac:dyDescent="0.25">
      <c r="A110" s="191"/>
      <c r="B110" s="191"/>
      <c r="C110" s="191"/>
      <c r="D110" s="191"/>
      <c r="E110" s="191"/>
      <c r="F110" s="191"/>
      <c r="G110" s="191"/>
      <c r="H110" s="191"/>
    </row>
    <row r="111" spans="1:8" x14ac:dyDescent="0.25">
      <c r="A111" s="191"/>
      <c r="B111" s="191"/>
      <c r="C111" s="191"/>
      <c r="D111" s="191"/>
      <c r="E111" s="191"/>
      <c r="F111" s="191"/>
      <c r="G111" s="191"/>
      <c r="H111" s="191"/>
    </row>
    <row r="112" spans="1:8" x14ac:dyDescent="0.25">
      <c r="A112" s="191"/>
      <c r="B112" s="191"/>
      <c r="C112" s="191"/>
      <c r="D112" s="191"/>
      <c r="E112" s="191"/>
      <c r="F112" s="191"/>
      <c r="G112" s="191"/>
      <c r="H112" s="191"/>
    </row>
    <row r="113" spans="1:8" x14ac:dyDescent="0.25">
      <c r="A113" s="191"/>
      <c r="B113" s="191"/>
      <c r="C113" s="191"/>
      <c r="D113" s="191"/>
      <c r="E113" s="191"/>
      <c r="F113" s="191"/>
      <c r="G113" s="191"/>
      <c r="H113" s="191"/>
    </row>
    <row r="114" spans="1:8" x14ac:dyDescent="0.25">
      <c r="A114" s="191"/>
      <c r="B114" s="191"/>
      <c r="C114" s="191"/>
      <c r="D114" s="191"/>
      <c r="E114" s="191"/>
      <c r="F114" s="191"/>
      <c r="G114" s="191"/>
      <c r="H114" s="191"/>
    </row>
    <row r="115" spans="1:8" x14ac:dyDescent="0.25">
      <c r="A115" s="191"/>
      <c r="B115" s="191"/>
      <c r="C115" s="191"/>
      <c r="D115" s="191"/>
      <c r="E115" s="191"/>
      <c r="F115" s="191"/>
      <c r="G115" s="191"/>
      <c r="H115" s="191"/>
    </row>
    <row r="116" spans="1:8" x14ac:dyDescent="0.25">
      <c r="A116" s="191"/>
      <c r="B116" s="191"/>
      <c r="C116" s="191"/>
      <c r="D116" s="191"/>
      <c r="E116" s="191"/>
      <c r="F116" s="191"/>
      <c r="G116" s="191"/>
      <c r="H116" s="191"/>
    </row>
    <row r="117" spans="1:8" x14ac:dyDescent="0.25">
      <c r="A117" s="191"/>
      <c r="B117" s="191"/>
      <c r="C117" s="191"/>
      <c r="D117" s="191"/>
      <c r="E117" s="191"/>
      <c r="F117" s="191"/>
      <c r="G117" s="191"/>
      <c r="H117" s="191"/>
    </row>
    <row r="118" spans="1:8" x14ac:dyDescent="0.25">
      <c r="A118" s="191"/>
      <c r="B118" s="191"/>
      <c r="C118" s="191"/>
      <c r="D118" s="191"/>
      <c r="E118" s="191"/>
      <c r="F118" s="191"/>
      <c r="G118" s="191"/>
      <c r="H118" s="191"/>
    </row>
    <row r="119" spans="1:8" x14ac:dyDescent="0.25">
      <c r="A119" s="191"/>
      <c r="B119" s="191"/>
      <c r="C119" s="191"/>
      <c r="D119" s="191"/>
      <c r="E119" s="191"/>
      <c r="F119" s="191"/>
      <c r="G119" s="191"/>
      <c r="H119" s="191"/>
    </row>
    <row r="120" spans="1:8" x14ac:dyDescent="0.25">
      <c r="A120" s="191"/>
      <c r="B120" s="191"/>
      <c r="C120" s="191"/>
      <c r="D120" s="191"/>
      <c r="E120" s="191"/>
      <c r="F120" s="191"/>
      <c r="G120" s="191"/>
      <c r="H120" s="191"/>
    </row>
    <row r="121" spans="1:8" x14ac:dyDescent="0.25">
      <c r="A121" s="191"/>
      <c r="B121" s="191"/>
      <c r="C121" s="191"/>
      <c r="D121" s="191"/>
      <c r="E121" s="191"/>
      <c r="F121" s="191"/>
      <c r="G121" s="191"/>
      <c r="H121" s="191"/>
    </row>
    <row r="122" spans="1:8" x14ac:dyDescent="0.25">
      <c r="A122" s="191"/>
      <c r="B122" s="191"/>
      <c r="C122" s="191"/>
      <c r="D122" s="191"/>
      <c r="E122" s="191"/>
      <c r="F122" s="191"/>
      <c r="G122" s="191"/>
      <c r="H122" s="191"/>
    </row>
    <row r="123" spans="1:8" x14ac:dyDescent="0.25">
      <c r="A123" s="191"/>
      <c r="B123" s="191"/>
      <c r="C123" s="191"/>
      <c r="D123" s="191"/>
      <c r="E123" s="191"/>
      <c r="F123" s="191"/>
      <c r="G123" s="191"/>
      <c r="H123" s="191"/>
    </row>
    <row r="124" spans="1:8" x14ac:dyDescent="0.25">
      <c r="A124" s="191"/>
      <c r="B124" s="191"/>
      <c r="C124" s="191"/>
      <c r="D124" s="191"/>
      <c r="E124" s="191"/>
      <c r="F124" s="191"/>
      <c r="G124" s="191"/>
      <c r="H124" s="191"/>
    </row>
    <row r="125" spans="1:8" x14ac:dyDescent="0.25">
      <c r="A125" s="191"/>
      <c r="B125" s="191"/>
      <c r="C125" s="191"/>
      <c r="D125" s="191"/>
      <c r="E125" s="191"/>
      <c r="F125" s="191"/>
      <c r="G125" s="191"/>
      <c r="H125" s="191"/>
    </row>
    <row r="126" spans="1:8" x14ac:dyDescent="0.25">
      <c r="A126" s="191"/>
      <c r="B126" s="191"/>
      <c r="C126" s="191"/>
      <c r="D126" s="191"/>
      <c r="E126" s="191"/>
      <c r="F126" s="191"/>
      <c r="G126" s="191"/>
      <c r="H126" s="191"/>
    </row>
    <row r="127" spans="1:8" x14ac:dyDescent="0.25">
      <c r="A127" s="191"/>
      <c r="B127" s="191"/>
      <c r="C127" s="191"/>
      <c r="D127" s="191"/>
      <c r="E127" s="191"/>
      <c r="F127" s="191"/>
      <c r="G127" s="191"/>
      <c r="H127" s="191"/>
    </row>
    <row r="128" spans="1:8" x14ac:dyDescent="0.25">
      <c r="A128" s="191"/>
      <c r="B128" s="191"/>
      <c r="C128" s="191"/>
      <c r="D128" s="191"/>
      <c r="E128" s="191"/>
      <c r="F128" s="191"/>
      <c r="G128" s="191"/>
      <c r="H128" s="191"/>
    </row>
    <row r="129" spans="1:8" x14ac:dyDescent="0.25">
      <c r="A129" s="191"/>
      <c r="B129" s="191"/>
      <c r="C129" s="191"/>
      <c r="D129" s="191"/>
      <c r="E129" s="191"/>
      <c r="F129" s="191"/>
      <c r="G129" s="191"/>
      <c r="H129" s="191"/>
    </row>
    <row r="130" spans="1:8" x14ac:dyDescent="0.25">
      <c r="A130" s="191"/>
      <c r="B130" s="191"/>
      <c r="C130" s="191"/>
      <c r="D130" s="191"/>
      <c r="E130" s="191"/>
      <c r="F130" s="191"/>
      <c r="G130" s="191"/>
      <c r="H130" s="191"/>
    </row>
    <row r="131" spans="1:8" x14ac:dyDescent="0.25">
      <c r="A131" s="191"/>
      <c r="B131" s="191"/>
      <c r="C131" s="191"/>
      <c r="D131" s="191"/>
      <c r="E131" s="191"/>
      <c r="F131" s="191"/>
      <c r="G131" s="191"/>
      <c r="H131" s="191"/>
    </row>
    <row r="132" spans="1:8" x14ac:dyDescent="0.25">
      <c r="A132" s="191"/>
      <c r="B132" s="191"/>
      <c r="C132" s="191"/>
      <c r="D132" s="191"/>
      <c r="E132" s="191"/>
      <c r="F132" s="191"/>
      <c r="G132" s="191"/>
      <c r="H132" s="191"/>
    </row>
    <row r="133" spans="1:8" x14ac:dyDescent="0.25">
      <c r="A133" s="191"/>
      <c r="B133" s="191"/>
      <c r="C133" s="191"/>
      <c r="D133" s="191"/>
      <c r="E133" s="191"/>
      <c r="F133" s="191"/>
      <c r="G133" s="191"/>
      <c r="H133" s="191"/>
    </row>
    <row r="134" spans="1:8" x14ac:dyDescent="0.25">
      <c r="A134" s="191"/>
      <c r="B134" s="191"/>
      <c r="C134" s="191"/>
      <c r="D134" s="191"/>
      <c r="E134" s="191"/>
      <c r="F134" s="191"/>
      <c r="G134" s="191"/>
      <c r="H134" s="191"/>
    </row>
    <row r="135" spans="1:8" x14ac:dyDescent="0.25">
      <c r="A135" s="191"/>
      <c r="B135" s="191"/>
      <c r="C135" s="191"/>
      <c r="D135" s="191"/>
      <c r="E135" s="191"/>
      <c r="F135" s="191"/>
      <c r="G135" s="191"/>
      <c r="H135" s="191"/>
    </row>
    <row r="136" spans="1:8" x14ac:dyDescent="0.25">
      <c r="A136" s="191"/>
      <c r="B136" s="191"/>
      <c r="C136" s="191"/>
      <c r="D136" s="191"/>
      <c r="E136" s="191"/>
      <c r="F136" s="191"/>
      <c r="G136" s="191"/>
      <c r="H136" s="191"/>
    </row>
    <row r="137" spans="1:8" x14ac:dyDescent="0.25">
      <c r="A137" s="191"/>
      <c r="B137" s="191"/>
      <c r="C137" s="191"/>
      <c r="D137" s="191"/>
      <c r="E137" s="191"/>
      <c r="F137" s="191"/>
      <c r="G137" s="191"/>
      <c r="H137" s="191"/>
    </row>
    <row r="138" spans="1:8" x14ac:dyDescent="0.25">
      <c r="A138" s="191"/>
      <c r="B138" s="191"/>
      <c r="C138" s="191"/>
      <c r="D138" s="191"/>
      <c r="E138" s="191"/>
      <c r="F138" s="191"/>
      <c r="G138" s="191"/>
      <c r="H138" s="191"/>
    </row>
    <row r="139" spans="1:8" x14ac:dyDescent="0.25">
      <c r="A139" s="191"/>
      <c r="B139" s="191"/>
      <c r="C139" s="191"/>
      <c r="D139" s="191"/>
      <c r="E139" s="191"/>
      <c r="F139" s="191"/>
      <c r="G139" s="191"/>
      <c r="H139" s="191"/>
    </row>
    <row r="140" spans="1:8" x14ac:dyDescent="0.25">
      <c r="A140" s="191"/>
      <c r="B140" s="191"/>
      <c r="C140" s="191"/>
      <c r="D140" s="191"/>
      <c r="E140" s="191"/>
      <c r="F140" s="191"/>
      <c r="G140" s="191"/>
      <c r="H140" s="191"/>
    </row>
    <row r="141" spans="1:8" x14ac:dyDescent="0.25">
      <c r="A141" s="191"/>
      <c r="B141" s="191"/>
      <c r="C141" s="191"/>
      <c r="D141" s="191"/>
      <c r="E141" s="191"/>
      <c r="F141" s="191"/>
      <c r="G141" s="191"/>
      <c r="H141" s="191"/>
    </row>
    <row r="142" spans="1:8" x14ac:dyDescent="0.25">
      <c r="A142" s="191"/>
      <c r="B142" s="191"/>
      <c r="C142" s="191"/>
      <c r="D142" s="191"/>
      <c r="E142" s="191"/>
      <c r="F142" s="191"/>
      <c r="G142" s="191"/>
      <c r="H142" s="191"/>
    </row>
    <row r="143" spans="1:8" x14ac:dyDescent="0.25">
      <c r="A143" s="191"/>
      <c r="B143" s="191"/>
      <c r="C143" s="191"/>
      <c r="D143" s="191"/>
      <c r="E143" s="191"/>
      <c r="F143" s="191"/>
      <c r="G143" s="191"/>
      <c r="H143" s="191"/>
    </row>
    <row r="144" spans="1:8" x14ac:dyDescent="0.25">
      <c r="A144" s="191"/>
      <c r="B144" s="191"/>
      <c r="C144" s="191"/>
      <c r="D144" s="191"/>
      <c r="E144" s="191"/>
      <c r="F144" s="191"/>
      <c r="G144" s="191"/>
      <c r="H144" s="191"/>
    </row>
    <row r="145" spans="1:8" x14ac:dyDescent="0.25">
      <c r="A145" s="191"/>
      <c r="B145" s="191"/>
      <c r="C145" s="191"/>
      <c r="D145" s="191"/>
      <c r="E145" s="191"/>
      <c r="F145" s="191"/>
      <c r="G145" s="191"/>
      <c r="H145" s="191"/>
    </row>
    <row r="146" spans="1:8" x14ac:dyDescent="0.25">
      <c r="A146" s="191"/>
      <c r="B146" s="191"/>
      <c r="C146" s="191"/>
      <c r="D146" s="191"/>
      <c r="E146" s="191"/>
      <c r="F146" s="191"/>
      <c r="G146" s="191"/>
      <c r="H146" s="191"/>
    </row>
    <row r="147" spans="1:8" x14ac:dyDescent="0.25">
      <c r="A147" s="191"/>
      <c r="B147" s="191"/>
      <c r="C147" s="191"/>
      <c r="D147" s="191"/>
      <c r="E147" s="191"/>
      <c r="F147" s="191"/>
      <c r="G147" s="191"/>
      <c r="H147" s="191"/>
    </row>
    <row r="148" spans="1:8" x14ac:dyDescent="0.25">
      <c r="A148" s="191"/>
      <c r="B148" s="191"/>
      <c r="C148" s="191"/>
      <c r="D148" s="191"/>
      <c r="E148" s="191"/>
      <c r="F148" s="191"/>
      <c r="G148" s="191"/>
      <c r="H148" s="191"/>
    </row>
    <row r="149" spans="1:8" x14ac:dyDescent="0.25">
      <c r="A149" s="191"/>
      <c r="B149" s="191"/>
      <c r="C149" s="191"/>
      <c r="D149" s="191"/>
      <c r="E149" s="191"/>
      <c r="F149" s="191"/>
      <c r="G149" s="191"/>
      <c r="H149" s="191"/>
    </row>
    <row r="150" spans="1:8" x14ac:dyDescent="0.25">
      <c r="A150" s="191"/>
      <c r="B150" s="191"/>
      <c r="C150" s="191"/>
      <c r="D150" s="191"/>
      <c r="E150" s="191"/>
      <c r="F150" s="191"/>
      <c r="G150" s="191"/>
      <c r="H150" s="191"/>
    </row>
    <row r="151" spans="1:8" x14ac:dyDescent="0.25">
      <c r="A151" s="191"/>
      <c r="B151" s="191"/>
      <c r="C151" s="191"/>
      <c r="D151" s="191"/>
      <c r="E151" s="191"/>
      <c r="F151" s="191"/>
      <c r="G151" s="191"/>
      <c r="H151" s="191"/>
    </row>
    <row r="152" spans="1:8" x14ac:dyDescent="0.25">
      <c r="A152" s="191"/>
      <c r="B152" s="191"/>
      <c r="C152" s="191"/>
      <c r="D152" s="191"/>
      <c r="E152" s="191"/>
      <c r="F152" s="191"/>
      <c r="G152" s="191"/>
      <c r="H152" s="191"/>
    </row>
    <row r="153" spans="1:8" x14ac:dyDescent="0.25">
      <c r="A153" s="191"/>
      <c r="B153" s="191"/>
      <c r="C153" s="191"/>
      <c r="D153" s="191"/>
      <c r="E153" s="191"/>
      <c r="F153" s="191"/>
      <c r="G153" s="191"/>
      <c r="H153" s="191"/>
    </row>
    <row r="154" spans="1:8" x14ac:dyDescent="0.25">
      <c r="A154" s="191"/>
      <c r="B154" s="191"/>
      <c r="C154" s="191"/>
      <c r="D154" s="191"/>
      <c r="E154" s="191"/>
      <c r="F154" s="191"/>
      <c r="G154" s="191"/>
      <c r="H154" s="191"/>
    </row>
    <row r="155" spans="1:8" x14ac:dyDescent="0.25">
      <c r="A155" s="191"/>
      <c r="B155" s="191"/>
      <c r="C155" s="191"/>
      <c r="D155" s="191"/>
      <c r="E155" s="191"/>
      <c r="F155" s="191"/>
      <c r="G155" s="191"/>
      <c r="H155" s="191"/>
    </row>
    <row r="156" spans="1:8" x14ac:dyDescent="0.25">
      <c r="A156" s="191"/>
      <c r="B156" s="191"/>
      <c r="C156" s="191"/>
      <c r="D156" s="191"/>
      <c r="E156" s="191"/>
      <c r="F156" s="191"/>
      <c r="G156" s="191"/>
      <c r="H156" s="191"/>
    </row>
    <row r="157" spans="1:8" x14ac:dyDescent="0.25">
      <c r="A157" s="191"/>
      <c r="B157" s="191"/>
      <c r="C157" s="191"/>
      <c r="D157" s="191"/>
      <c r="E157" s="191"/>
      <c r="F157" s="191"/>
      <c r="G157" s="191"/>
      <c r="H157" s="191"/>
    </row>
    <row r="158" spans="1:8" x14ac:dyDescent="0.25">
      <c r="A158" s="191"/>
      <c r="B158" s="191"/>
      <c r="C158" s="191"/>
      <c r="D158" s="191"/>
      <c r="E158" s="191"/>
      <c r="F158" s="191"/>
      <c r="G158" s="191"/>
      <c r="H158" s="191"/>
    </row>
    <row r="159" spans="1:8" x14ac:dyDescent="0.25">
      <c r="A159" s="191"/>
      <c r="B159" s="191"/>
      <c r="C159" s="191"/>
      <c r="D159" s="191"/>
      <c r="E159" s="191"/>
      <c r="F159" s="191"/>
      <c r="G159" s="191"/>
      <c r="H159" s="191"/>
    </row>
    <row r="160" spans="1:8" x14ac:dyDescent="0.25">
      <c r="A160" s="191"/>
      <c r="B160" s="191"/>
      <c r="C160" s="191"/>
      <c r="D160" s="191"/>
      <c r="E160" s="191"/>
      <c r="F160" s="191"/>
      <c r="G160" s="191"/>
      <c r="H160" s="191"/>
    </row>
    <row r="161" spans="1:8" x14ac:dyDescent="0.25">
      <c r="A161" s="191"/>
      <c r="B161" s="191"/>
      <c r="C161" s="191"/>
      <c r="D161" s="191"/>
      <c r="E161" s="191"/>
      <c r="F161" s="191"/>
      <c r="G161" s="191"/>
      <c r="H161" s="191"/>
    </row>
    <row r="162" spans="1:8" x14ac:dyDescent="0.25">
      <c r="A162" s="191"/>
      <c r="B162" s="191"/>
      <c r="C162" s="191"/>
      <c r="D162" s="191"/>
      <c r="E162" s="191"/>
      <c r="F162" s="191"/>
      <c r="G162" s="191"/>
      <c r="H162" s="191"/>
    </row>
    <row r="163" spans="1:8" x14ac:dyDescent="0.25">
      <c r="A163" s="191"/>
      <c r="B163" s="191"/>
      <c r="C163" s="191"/>
      <c r="D163" s="191"/>
      <c r="E163" s="191"/>
      <c r="F163" s="191"/>
      <c r="G163" s="191"/>
      <c r="H163" s="191"/>
    </row>
    <row r="164" spans="1:8" x14ac:dyDescent="0.25">
      <c r="A164" s="191"/>
      <c r="B164" s="191"/>
      <c r="C164" s="191"/>
      <c r="D164" s="191"/>
      <c r="E164" s="191"/>
      <c r="F164" s="191"/>
      <c r="G164" s="191"/>
      <c r="H164" s="191"/>
    </row>
    <row r="165" spans="1:8" x14ac:dyDescent="0.25">
      <c r="A165" s="191"/>
      <c r="B165" s="191"/>
      <c r="C165" s="191"/>
      <c r="D165" s="191"/>
      <c r="E165" s="191"/>
      <c r="F165" s="191"/>
      <c r="G165" s="191"/>
      <c r="H165" s="191"/>
    </row>
    <row r="166" spans="1:8" x14ac:dyDescent="0.25">
      <c r="A166" s="191"/>
      <c r="B166" s="191"/>
      <c r="C166" s="191"/>
      <c r="D166" s="191"/>
      <c r="E166" s="191"/>
      <c r="F166" s="191"/>
      <c r="G166" s="191"/>
      <c r="H166" s="191"/>
    </row>
    <row r="167" spans="1:8" x14ac:dyDescent="0.25">
      <c r="A167" s="191"/>
      <c r="B167" s="191"/>
      <c r="C167" s="191"/>
      <c r="D167" s="191"/>
      <c r="E167" s="191"/>
      <c r="F167" s="191"/>
      <c r="G167" s="191"/>
      <c r="H167" s="191"/>
    </row>
    <row r="168" spans="1:8" x14ac:dyDescent="0.25">
      <c r="A168" s="191"/>
      <c r="B168" s="191"/>
      <c r="C168" s="191"/>
      <c r="D168" s="191"/>
      <c r="E168" s="191"/>
      <c r="F168" s="191"/>
      <c r="G168" s="191"/>
      <c r="H168" s="191"/>
    </row>
    <row r="169" spans="1:8" x14ac:dyDescent="0.25">
      <c r="A169" s="191"/>
      <c r="B169" s="191"/>
      <c r="C169" s="191"/>
      <c r="D169" s="191"/>
      <c r="E169" s="191"/>
      <c r="F169" s="191"/>
      <c r="G169" s="191"/>
      <c r="H169" s="191"/>
    </row>
    <row r="170" spans="1:8" x14ac:dyDescent="0.25">
      <c r="A170" s="191"/>
      <c r="B170" s="191"/>
      <c r="C170" s="191"/>
      <c r="D170" s="191"/>
      <c r="E170" s="191"/>
      <c r="F170" s="191"/>
      <c r="G170" s="191"/>
      <c r="H170" s="191"/>
    </row>
    <row r="171" spans="1:8" x14ac:dyDescent="0.25">
      <c r="A171" s="191"/>
      <c r="B171" s="191"/>
      <c r="C171" s="191"/>
      <c r="D171" s="191"/>
      <c r="E171" s="191"/>
      <c r="F171" s="191"/>
      <c r="G171" s="191"/>
      <c r="H171" s="191"/>
    </row>
    <row r="172" spans="1:8" x14ac:dyDescent="0.25">
      <c r="A172" s="191"/>
      <c r="B172" s="191"/>
      <c r="C172" s="191"/>
      <c r="D172" s="191"/>
      <c r="E172" s="191"/>
      <c r="F172" s="191"/>
      <c r="G172" s="191"/>
      <c r="H172" s="191"/>
    </row>
    <row r="173" spans="1:8" x14ac:dyDescent="0.25">
      <c r="A173" s="191"/>
      <c r="B173" s="191"/>
      <c r="C173" s="191"/>
      <c r="D173" s="191"/>
      <c r="E173" s="191"/>
      <c r="F173" s="191"/>
      <c r="G173" s="191"/>
      <c r="H173" s="191"/>
    </row>
    <row r="174" spans="1:8" x14ac:dyDescent="0.25">
      <c r="A174" s="191"/>
      <c r="B174" s="191"/>
      <c r="C174" s="191"/>
      <c r="D174" s="191"/>
      <c r="E174" s="191"/>
      <c r="F174" s="191"/>
      <c r="G174" s="191"/>
      <c r="H174" s="191"/>
    </row>
    <row r="175" spans="1:8" x14ac:dyDescent="0.25">
      <c r="A175" s="191"/>
      <c r="B175" s="191"/>
      <c r="C175" s="191"/>
      <c r="D175" s="191"/>
      <c r="E175" s="191"/>
      <c r="F175" s="191"/>
      <c r="G175" s="191"/>
      <c r="H175" s="191"/>
    </row>
    <row r="176" spans="1:8" x14ac:dyDescent="0.25">
      <c r="A176" s="191"/>
      <c r="B176" s="191"/>
      <c r="C176" s="191"/>
      <c r="D176" s="191"/>
      <c r="E176" s="191"/>
      <c r="F176" s="191"/>
      <c r="G176" s="191"/>
      <c r="H176" s="191"/>
    </row>
    <row r="177" spans="1:8" x14ac:dyDescent="0.25">
      <c r="A177" s="191"/>
      <c r="B177" s="191"/>
      <c r="C177" s="191"/>
      <c r="D177" s="191"/>
      <c r="E177" s="191"/>
      <c r="F177" s="191"/>
      <c r="G177" s="191"/>
      <c r="H177" s="191"/>
    </row>
    <row r="178" spans="1:8" x14ac:dyDescent="0.25">
      <c r="A178" s="191"/>
      <c r="B178" s="191"/>
      <c r="C178" s="191"/>
      <c r="D178" s="191"/>
      <c r="E178" s="191"/>
      <c r="F178" s="191"/>
      <c r="G178" s="191"/>
      <c r="H178" s="191"/>
    </row>
    <row r="179" spans="1:8" x14ac:dyDescent="0.25">
      <c r="A179" s="191"/>
      <c r="B179" s="191"/>
      <c r="C179" s="191"/>
      <c r="D179" s="191"/>
      <c r="E179" s="191"/>
      <c r="F179" s="191"/>
      <c r="G179" s="191"/>
      <c r="H179" s="191"/>
    </row>
    <row r="180" spans="1:8" x14ac:dyDescent="0.25">
      <c r="A180" s="191"/>
      <c r="B180" s="191"/>
      <c r="C180" s="191"/>
      <c r="D180" s="191"/>
      <c r="E180" s="191"/>
      <c r="F180" s="191"/>
      <c r="G180" s="191"/>
      <c r="H180" s="191"/>
    </row>
    <row r="181" spans="1:8" x14ac:dyDescent="0.25">
      <c r="A181" s="191"/>
      <c r="B181" s="191"/>
      <c r="C181" s="191"/>
      <c r="D181" s="191"/>
      <c r="E181" s="191"/>
      <c r="F181" s="191"/>
      <c r="G181" s="191"/>
      <c r="H181" s="191"/>
    </row>
    <row r="182" spans="1:8" x14ac:dyDescent="0.25">
      <c r="A182" s="191"/>
      <c r="B182" s="191"/>
      <c r="C182" s="191"/>
      <c r="D182" s="191"/>
      <c r="E182" s="191"/>
      <c r="F182" s="191"/>
      <c r="G182" s="191"/>
      <c r="H182" s="191"/>
    </row>
    <row r="183" spans="1:8" x14ac:dyDescent="0.25">
      <c r="A183" s="191"/>
      <c r="B183" s="191"/>
      <c r="C183" s="191"/>
      <c r="D183" s="191"/>
      <c r="E183" s="191"/>
      <c r="F183" s="191"/>
      <c r="G183" s="191"/>
      <c r="H183" s="191"/>
    </row>
    <row r="184" spans="1:8" x14ac:dyDescent="0.25">
      <c r="A184" s="191"/>
      <c r="B184" s="191"/>
      <c r="C184" s="191"/>
      <c r="D184" s="191"/>
      <c r="E184" s="191"/>
      <c r="F184" s="191"/>
      <c r="G184" s="191"/>
      <c r="H184" s="191"/>
    </row>
    <row r="185" spans="1:8" x14ac:dyDescent="0.25">
      <c r="A185" s="191"/>
      <c r="B185" s="191"/>
      <c r="C185" s="191"/>
      <c r="D185" s="191"/>
      <c r="E185" s="191"/>
      <c r="F185" s="191"/>
      <c r="G185" s="191"/>
      <c r="H185" s="191"/>
    </row>
    <row r="186" spans="1:8" x14ac:dyDescent="0.25">
      <c r="A186" s="191"/>
      <c r="B186" s="191"/>
      <c r="C186" s="191"/>
      <c r="D186" s="191"/>
      <c r="E186" s="191"/>
      <c r="F186" s="191"/>
      <c r="G186" s="191"/>
      <c r="H186" s="191"/>
    </row>
    <row r="187" spans="1:8" x14ac:dyDescent="0.25">
      <c r="A187" s="191"/>
      <c r="B187" s="191"/>
      <c r="C187" s="191"/>
      <c r="D187" s="191"/>
      <c r="E187" s="191"/>
      <c r="F187" s="191"/>
      <c r="G187" s="191"/>
      <c r="H187" s="191"/>
    </row>
    <row r="188" spans="1:8" x14ac:dyDescent="0.25">
      <c r="A188" s="191"/>
      <c r="B188" s="191"/>
      <c r="C188" s="191"/>
      <c r="D188" s="191"/>
      <c r="E188" s="191"/>
      <c r="F188" s="191"/>
      <c r="G188" s="191"/>
      <c r="H188" s="191"/>
    </row>
    <row r="189" spans="1:8" x14ac:dyDescent="0.25">
      <c r="A189" s="191"/>
      <c r="B189" s="191"/>
      <c r="C189" s="191"/>
      <c r="D189" s="191"/>
      <c r="E189" s="191"/>
      <c r="F189" s="191"/>
      <c r="G189" s="191"/>
      <c r="H189" s="191"/>
    </row>
    <row r="190" spans="1:8" x14ac:dyDescent="0.25">
      <c r="A190" s="191"/>
      <c r="B190" s="191"/>
      <c r="C190" s="191"/>
      <c r="D190" s="191"/>
      <c r="E190" s="191"/>
      <c r="F190" s="191"/>
      <c r="G190" s="191"/>
      <c r="H190" s="191"/>
    </row>
    <row r="191" spans="1:8" x14ac:dyDescent="0.25">
      <c r="A191" s="191"/>
      <c r="B191" s="191"/>
      <c r="C191" s="191"/>
      <c r="D191" s="191"/>
      <c r="E191" s="191"/>
      <c r="F191" s="191"/>
      <c r="G191" s="191"/>
      <c r="H191" s="191"/>
    </row>
    <row r="192" spans="1:8" x14ac:dyDescent="0.25">
      <c r="A192" s="191"/>
      <c r="B192" s="191"/>
      <c r="C192" s="191"/>
      <c r="D192" s="191"/>
      <c r="E192" s="191"/>
      <c r="F192" s="191"/>
      <c r="G192" s="191"/>
      <c r="H192" s="191"/>
    </row>
    <row r="193" spans="1:8" x14ac:dyDescent="0.25">
      <c r="A193" s="191"/>
      <c r="B193" s="191"/>
      <c r="C193" s="191"/>
      <c r="D193" s="191"/>
      <c r="E193" s="191"/>
      <c r="F193" s="191"/>
      <c r="G193" s="191"/>
      <c r="H193" s="191"/>
    </row>
    <row r="194" spans="1:8" x14ac:dyDescent="0.25">
      <c r="A194" s="191"/>
      <c r="B194" s="191"/>
      <c r="C194" s="191"/>
      <c r="D194" s="191"/>
      <c r="E194" s="191"/>
      <c r="F194" s="191"/>
      <c r="G194" s="191"/>
      <c r="H194" s="191"/>
    </row>
    <row r="195" spans="1:8" x14ac:dyDescent="0.25">
      <c r="A195" s="191"/>
      <c r="B195" s="191"/>
      <c r="C195" s="191"/>
      <c r="D195" s="191"/>
      <c r="E195" s="191"/>
      <c r="F195" s="191"/>
      <c r="G195" s="191"/>
      <c r="H195" s="191"/>
    </row>
    <row r="196" spans="1:8" x14ac:dyDescent="0.25">
      <c r="A196" s="191"/>
      <c r="B196" s="191"/>
      <c r="C196" s="191"/>
      <c r="D196" s="191"/>
      <c r="E196" s="191"/>
      <c r="F196" s="191"/>
      <c r="G196" s="191"/>
      <c r="H196" s="191"/>
    </row>
    <row r="197" spans="1:8" x14ac:dyDescent="0.25">
      <c r="A197" s="191"/>
      <c r="B197" s="191"/>
      <c r="C197" s="191"/>
      <c r="D197" s="191"/>
      <c r="E197" s="191"/>
      <c r="F197" s="191"/>
      <c r="G197" s="191"/>
      <c r="H197" s="191"/>
    </row>
    <row r="198" spans="1:8" x14ac:dyDescent="0.25">
      <c r="A198" s="191"/>
      <c r="B198" s="191"/>
      <c r="C198" s="191"/>
      <c r="D198" s="191"/>
      <c r="E198" s="191"/>
      <c r="F198" s="191"/>
      <c r="G198" s="191"/>
      <c r="H198" s="191"/>
    </row>
    <row r="199" spans="1:8" x14ac:dyDescent="0.25">
      <c r="A199" s="191"/>
      <c r="B199" s="191"/>
      <c r="C199" s="191"/>
      <c r="D199" s="191"/>
      <c r="E199" s="191"/>
      <c r="F199" s="191"/>
      <c r="G199" s="191"/>
      <c r="H199" s="191"/>
    </row>
    <row r="200" spans="1:8" x14ac:dyDescent="0.25">
      <c r="A200" s="191"/>
      <c r="B200" s="191"/>
      <c r="C200" s="191"/>
      <c r="D200" s="191"/>
      <c r="E200" s="191"/>
      <c r="F200" s="191"/>
      <c r="G200" s="191"/>
      <c r="H200" s="191"/>
    </row>
    <row r="201" spans="1:8" x14ac:dyDescent="0.25">
      <c r="A201" s="191"/>
      <c r="B201" s="191"/>
      <c r="C201" s="191"/>
      <c r="D201" s="191"/>
      <c r="E201" s="191"/>
      <c r="F201" s="191"/>
      <c r="G201" s="191"/>
      <c r="H201" s="191"/>
    </row>
    <row r="202" spans="1:8" x14ac:dyDescent="0.25">
      <c r="A202" s="191"/>
      <c r="B202" s="191"/>
      <c r="C202" s="191"/>
      <c r="D202" s="191"/>
      <c r="E202" s="191"/>
      <c r="F202" s="191"/>
      <c r="G202" s="191"/>
      <c r="H202" s="191"/>
    </row>
    <row r="203" spans="1:8" x14ac:dyDescent="0.25">
      <c r="A203" s="191"/>
      <c r="B203" s="191"/>
      <c r="C203" s="191"/>
      <c r="D203" s="191"/>
      <c r="E203" s="191"/>
      <c r="F203" s="191"/>
      <c r="G203" s="191"/>
      <c r="H203" s="191"/>
    </row>
    <row r="204" spans="1:8" x14ac:dyDescent="0.25">
      <c r="A204" s="191"/>
      <c r="B204" s="191"/>
      <c r="C204" s="191"/>
      <c r="D204" s="191"/>
      <c r="E204" s="191"/>
      <c r="F204" s="191"/>
      <c r="G204" s="191"/>
      <c r="H204" s="191"/>
    </row>
  </sheetData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Tourney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abSelected="1"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4" customWidth="1"/>
    <col min="10" max="10" width="8" style="31" customWidth="1"/>
    <col min="11" max="11" width="8" style="38" customWidth="1"/>
    <col min="12" max="12" width="8" style="45" customWidth="1"/>
    <col min="13" max="16" width="6.42578125" style="11" customWidth="1"/>
    <col min="17" max="17" width="9" style="1" customWidth="1"/>
    <col min="18" max="18" width="6.42578125" customWidth="1"/>
    <col min="19" max="19" width="9.140625" style="95" customWidth="1"/>
    <col min="20" max="20" width="9.140625" customWidth="1"/>
    <col min="21" max="21" width="9.140625" style="1"/>
    <col min="23" max="25" width="9.140625" style="155" customWidth="1"/>
    <col min="26" max="32" width="9.140625" customWidth="1"/>
  </cols>
  <sheetData>
    <row r="1" spans="1:33" ht="21" x14ac:dyDescent="0.35">
      <c r="A1" s="226" t="s">
        <v>54</v>
      </c>
      <c r="B1" s="226"/>
      <c r="C1" s="150"/>
      <c r="D1" s="29"/>
      <c r="E1" s="28"/>
      <c r="F1" s="23"/>
      <c r="G1" s="10"/>
      <c r="H1" s="10"/>
      <c r="I1" s="23"/>
      <c r="J1" s="180"/>
      <c r="K1" s="180"/>
      <c r="L1" s="25"/>
      <c r="R1" s="2"/>
      <c r="S1" s="17"/>
      <c r="T1" s="50"/>
      <c r="V1" s="1"/>
      <c r="AG1" s="50" t="s">
        <v>26</v>
      </c>
    </row>
    <row r="2" spans="1:33" x14ac:dyDescent="0.25">
      <c r="A2" s="39"/>
      <c r="D2" s="10"/>
      <c r="E2" s="23"/>
      <c r="F2" s="23"/>
      <c r="G2" s="10"/>
      <c r="H2" s="180"/>
      <c r="I2" s="181"/>
      <c r="J2" s="180"/>
      <c r="K2" s="180"/>
      <c r="L2" s="26"/>
      <c r="R2" s="14"/>
      <c r="S2" s="96"/>
    </row>
    <row r="3" spans="1:33" x14ac:dyDescent="0.25">
      <c r="B3" s="209" t="s">
        <v>58</v>
      </c>
      <c r="C3" s="222" t="s">
        <v>65</v>
      </c>
      <c r="D3" s="222"/>
      <c r="E3" s="210"/>
      <c r="F3" s="210"/>
      <c r="G3" s="22"/>
      <c r="H3" s="22"/>
      <c r="I3" s="23"/>
      <c r="J3" s="180"/>
      <c r="K3" s="180"/>
      <c r="P3" s="20"/>
    </row>
    <row r="4" spans="1:33" s="169" customFormat="1" x14ac:dyDescent="0.25">
      <c r="A4" s="1"/>
      <c r="B4" s="209" t="s">
        <v>59</v>
      </c>
      <c r="C4" s="222" t="s">
        <v>66</v>
      </c>
      <c r="D4" s="222"/>
      <c r="E4" s="210"/>
      <c r="F4" s="210"/>
      <c r="G4" s="22"/>
      <c r="H4" s="22"/>
      <c r="I4" s="23"/>
      <c r="J4" s="205"/>
      <c r="K4" s="205"/>
      <c r="L4" s="45"/>
      <c r="M4" s="205"/>
      <c r="N4" s="205"/>
      <c r="O4" s="205"/>
      <c r="Q4" s="1"/>
      <c r="U4" s="1"/>
      <c r="W4" s="168"/>
      <c r="X4" s="168"/>
      <c r="Y4" s="168"/>
    </row>
    <row r="5" spans="1:33" s="169" customFormat="1" x14ac:dyDescent="0.25">
      <c r="A5" s="1"/>
      <c r="B5" s="209" t="s">
        <v>60</v>
      </c>
      <c r="C5" s="222" t="s">
        <v>67</v>
      </c>
      <c r="D5" s="222"/>
      <c r="E5" s="210"/>
      <c r="F5" s="210"/>
      <c r="G5" s="22"/>
      <c r="H5" s="22"/>
      <c r="I5" s="23"/>
      <c r="J5" s="205"/>
      <c r="K5" s="205"/>
      <c r="L5" s="45"/>
      <c r="M5" s="205"/>
      <c r="N5" s="205"/>
      <c r="O5" s="205"/>
      <c r="Q5" s="1"/>
      <c r="U5" s="1"/>
      <c r="W5" s="168"/>
      <c r="X5" s="168"/>
      <c r="Y5" s="168"/>
    </row>
    <row r="6" spans="1:33" x14ac:dyDescent="0.25">
      <c r="A6" s="33"/>
      <c r="B6" s="209" t="s">
        <v>61</v>
      </c>
      <c r="C6" s="211">
        <v>45045</v>
      </c>
      <c r="D6" s="210"/>
      <c r="E6" s="210"/>
      <c r="G6" s="10"/>
      <c r="H6" s="23"/>
      <c r="I6" s="227"/>
      <c r="J6" s="227"/>
      <c r="K6" s="227"/>
      <c r="L6" s="227"/>
      <c r="M6" s="227"/>
      <c r="P6" s="20"/>
    </row>
    <row r="7" spans="1:33" x14ac:dyDescent="0.25">
      <c r="A7" s="147"/>
      <c r="B7" s="15"/>
      <c r="C7" s="136"/>
      <c r="E7" s="36"/>
      <c r="F7" s="36"/>
      <c r="H7" s="25"/>
      <c r="I7" s="64"/>
      <c r="J7" s="64"/>
      <c r="K7" s="64"/>
      <c r="L7" s="32"/>
      <c r="M7" s="176"/>
      <c r="N7" s="176"/>
      <c r="O7" s="176"/>
      <c r="P7" s="176"/>
      <c r="Q7" s="51"/>
    </row>
    <row r="8" spans="1:33" x14ac:dyDescent="0.25">
      <c r="A8" s="27"/>
      <c r="B8" s="24"/>
      <c r="G8" s="30"/>
      <c r="H8" s="30"/>
      <c r="M8" s="12">
        <f>SUM(M10:M203)</f>
        <v>0</v>
      </c>
      <c r="N8" s="12">
        <f>SUM(N10:N203)</f>
        <v>0</v>
      </c>
      <c r="O8" s="12">
        <f>SUM(O10:O203)</f>
        <v>0</v>
      </c>
      <c r="P8" s="12">
        <f>SUM(P10:P203)</f>
        <v>0</v>
      </c>
      <c r="AC8" s="182"/>
      <c r="AD8" s="1"/>
      <c r="AE8" s="182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3" t="s">
        <v>4</v>
      </c>
      <c r="F9" s="13" t="s">
        <v>5</v>
      </c>
      <c r="G9" s="13" t="s">
        <v>18</v>
      </c>
      <c r="H9" s="13" t="s">
        <v>19</v>
      </c>
      <c r="I9" s="13" t="s">
        <v>22</v>
      </c>
      <c r="J9" s="13" t="s">
        <v>20</v>
      </c>
      <c r="K9" s="13" t="s">
        <v>21</v>
      </c>
      <c r="L9" s="47" t="s">
        <v>25</v>
      </c>
      <c r="M9" s="13" t="s">
        <v>51</v>
      </c>
      <c r="N9" s="13" t="s">
        <v>52</v>
      </c>
      <c r="O9" s="13" t="s">
        <v>52</v>
      </c>
      <c r="P9" s="13" t="s">
        <v>52</v>
      </c>
      <c r="Q9" s="215" t="s">
        <v>77</v>
      </c>
      <c r="R9" s="40"/>
      <c r="S9" s="94"/>
      <c r="T9" s="35"/>
      <c r="U9" s="43" t="s">
        <v>23</v>
      </c>
      <c r="V9" s="44" t="s">
        <v>24</v>
      </c>
    </row>
    <row r="10" spans="1:33" x14ac:dyDescent="0.25">
      <c r="A10" s="8">
        <v>1</v>
      </c>
      <c r="B10" s="171"/>
      <c r="C10" s="156"/>
      <c r="D10" s="157"/>
      <c r="E10" s="77"/>
      <c r="F10" s="77"/>
      <c r="G10" s="77"/>
      <c r="H10" s="77"/>
      <c r="I10" s="77"/>
      <c r="J10" s="77" t="str">
        <f>IF(E10&lt;&gt;"",1,"")</f>
        <v/>
      </c>
      <c r="K10" s="77"/>
      <c r="L10" s="77"/>
      <c r="M10" s="173"/>
      <c r="N10" s="174"/>
      <c r="O10" s="174"/>
      <c r="P10" s="174"/>
      <c r="Q10" s="8">
        <v>1</v>
      </c>
      <c r="R10" s="41"/>
      <c r="S10" s="52"/>
      <c r="T10" s="46">
        <v>1</v>
      </c>
      <c r="U10" s="8">
        <v>7</v>
      </c>
      <c r="V10" s="42">
        <v>4</v>
      </c>
    </row>
    <row r="11" spans="1:33" x14ac:dyDescent="0.25">
      <c r="A11" s="8">
        <f>+A10+1</f>
        <v>2</v>
      </c>
      <c r="B11" s="171"/>
      <c r="C11" s="171"/>
      <c r="D11" s="172"/>
      <c r="E11" s="77"/>
      <c r="F11" s="77"/>
      <c r="G11" s="77"/>
      <c r="H11" s="77"/>
      <c r="I11" s="77"/>
      <c r="J11" s="77" t="str">
        <f>IF(E11&lt;&gt;"",J10+1,"")</f>
        <v/>
      </c>
      <c r="K11" s="77"/>
      <c r="L11" s="77"/>
      <c r="M11" s="173"/>
      <c r="N11" s="174"/>
      <c r="O11" s="174"/>
      <c r="P11" s="174"/>
      <c r="Q11" s="8">
        <v>2</v>
      </c>
      <c r="R11" s="41"/>
      <c r="S11" s="41"/>
      <c r="T11" s="46">
        <f>+T10+1</f>
        <v>2</v>
      </c>
      <c r="U11" s="42">
        <f>+T11*7+U10</f>
        <v>21</v>
      </c>
      <c r="V11" s="42">
        <f>+T11*4+V10</f>
        <v>12</v>
      </c>
    </row>
    <row r="12" spans="1:33" x14ac:dyDescent="0.25">
      <c r="A12" s="8">
        <f t="shared" ref="A12:A75" si="0">+A11+1</f>
        <v>3</v>
      </c>
      <c r="B12" s="171"/>
      <c r="C12" s="171"/>
      <c r="D12" s="172"/>
      <c r="E12" s="77"/>
      <c r="F12" s="77"/>
      <c r="G12" s="77"/>
      <c r="H12" s="77"/>
      <c r="I12" s="77"/>
      <c r="J12" s="77" t="str">
        <f t="shared" ref="J12:J75" si="1">IF(E12&lt;&gt;"",J11+1,"")</f>
        <v/>
      </c>
      <c r="K12" s="77"/>
      <c r="L12" s="77"/>
      <c r="M12" s="173"/>
      <c r="N12" s="174"/>
      <c r="O12" s="174"/>
      <c r="P12" s="174"/>
      <c r="Q12" s="8" t="s">
        <v>78</v>
      </c>
      <c r="R12" s="41"/>
      <c r="S12" s="52"/>
      <c r="T12" s="46">
        <f t="shared" ref="T12:T19" si="2">+T11+1</f>
        <v>3</v>
      </c>
      <c r="U12" s="42">
        <f t="shared" ref="U12:U19" si="3">+T12*7+U11</f>
        <v>42</v>
      </c>
      <c r="V12" s="42">
        <f t="shared" ref="V12:V19" si="4">+T12*4+V11</f>
        <v>24</v>
      </c>
    </row>
    <row r="13" spans="1:33" x14ac:dyDescent="0.25">
      <c r="A13" s="8">
        <f t="shared" si="0"/>
        <v>4</v>
      </c>
      <c r="B13" s="171"/>
      <c r="C13" s="156"/>
      <c r="D13" s="157"/>
      <c r="E13" s="77"/>
      <c r="F13" s="77"/>
      <c r="G13" s="77"/>
      <c r="H13" s="77"/>
      <c r="I13" s="77"/>
      <c r="J13" s="77" t="str">
        <f t="shared" si="1"/>
        <v/>
      </c>
      <c r="K13" s="77"/>
      <c r="L13" s="77"/>
      <c r="M13" s="173"/>
      <c r="N13" s="174"/>
      <c r="O13" s="174"/>
      <c r="P13" s="174"/>
      <c r="Q13" s="8" t="s">
        <v>78</v>
      </c>
      <c r="R13" s="133"/>
      <c r="S13" s="41"/>
      <c r="T13" s="46">
        <f t="shared" si="2"/>
        <v>4</v>
      </c>
      <c r="U13" s="42">
        <f t="shared" si="3"/>
        <v>70</v>
      </c>
      <c r="V13" s="42">
        <f t="shared" si="4"/>
        <v>40</v>
      </c>
    </row>
    <row r="14" spans="1:33" x14ac:dyDescent="0.25">
      <c r="A14" s="8">
        <f t="shared" si="0"/>
        <v>5</v>
      </c>
      <c r="B14" s="171"/>
      <c r="C14" s="171"/>
      <c r="D14" s="172"/>
      <c r="E14" s="77"/>
      <c r="F14" s="77"/>
      <c r="G14" s="77"/>
      <c r="H14" s="77"/>
      <c r="I14" s="77"/>
      <c r="J14" s="77" t="str">
        <f t="shared" si="1"/>
        <v/>
      </c>
      <c r="K14" s="77"/>
      <c r="L14" s="77"/>
      <c r="M14" s="173"/>
      <c r="N14" s="174"/>
      <c r="O14" s="174"/>
      <c r="P14" s="174"/>
      <c r="Q14" s="8" t="s">
        <v>79</v>
      </c>
      <c r="R14" s="41"/>
      <c r="S14" s="41"/>
      <c r="T14" s="46">
        <f t="shared" si="2"/>
        <v>5</v>
      </c>
      <c r="U14" s="42">
        <f t="shared" si="3"/>
        <v>105</v>
      </c>
      <c r="V14" s="42">
        <f t="shared" si="4"/>
        <v>60</v>
      </c>
    </row>
    <row r="15" spans="1:33" x14ac:dyDescent="0.25">
      <c r="A15" s="8">
        <f t="shared" si="0"/>
        <v>6</v>
      </c>
      <c r="B15" s="171"/>
      <c r="C15" s="171"/>
      <c r="D15" s="172"/>
      <c r="E15" s="77"/>
      <c r="F15" s="77"/>
      <c r="G15" s="77"/>
      <c r="H15" s="77"/>
      <c r="I15" s="77"/>
      <c r="J15" s="77" t="str">
        <f t="shared" si="1"/>
        <v/>
      </c>
      <c r="K15" s="77"/>
      <c r="L15" s="77"/>
      <c r="M15" s="173"/>
      <c r="N15" s="173"/>
      <c r="O15" s="173"/>
      <c r="P15" s="174"/>
      <c r="Q15" s="8" t="s">
        <v>79</v>
      </c>
      <c r="R15" s="41"/>
      <c r="S15" s="41"/>
      <c r="T15" s="46">
        <f t="shared" si="2"/>
        <v>6</v>
      </c>
      <c r="U15" s="42">
        <f t="shared" si="3"/>
        <v>147</v>
      </c>
      <c r="V15" s="42">
        <f t="shared" si="4"/>
        <v>84</v>
      </c>
    </row>
    <row r="16" spans="1:33" x14ac:dyDescent="0.25">
      <c r="A16" s="8">
        <f t="shared" si="0"/>
        <v>7</v>
      </c>
      <c r="B16" s="171"/>
      <c r="C16" s="171"/>
      <c r="D16" s="172"/>
      <c r="E16" s="77"/>
      <c r="F16" s="77"/>
      <c r="G16" s="77"/>
      <c r="H16" s="77"/>
      <c r="I16" s="77"/>
      <c r="J16" s="77" t="str">
        <f t="shared" si="1"/>
        <v/>
      </c>
      <c r="K16" s="77"/>
      <c r="L16" s="77"/>
      <c r="M16" s="173"/>
      <c r="N16" s="174"/>
      <c r="O16" s="174"/>
      <c r="P16" s="174"/>
      <c r="Q16" s="8" t="s">
        <v>79</v>
      </c>
      <c r="R16" s="41"/>
      <c r="S16" s="41"/>
      <c r="T16" s="46">
        <f t="shared" si="2"/>
        <v>7</v>
      </c>
      <c r="U16" s="42">
        <f t="shared" si="3"/>
        <v>196</v>
      </c>
      <c r="V16" s="42">
        <f t="shared" si="4"/>
        <v>112</v>
      </c>
    </row>
    <row r="17" spans="1:22" x14ac:dyDescent="0.25">
      <c r="A17" s="8">
        <f t="shared" si="0"/>
        <v>8</v>
      </c>
      <c r="B17" s="171"/>
      <c r="C17" s="171"/>
      <c r="D17" s="172"/>
      <c r="E17" s="77"/>
      <c r="F17" s="77"/>
      <c r="G17" s="77"/>
      <c r="H17" s="77"/>
      <c r="I17" s="77"/>
      <c r="J17" s="77" t="str">
        <f t="shared" si="1"/>
        <v/>
      </c>
      <c r="K17" s="77"/>
      <c r="L17" s="77"/>
      <c r="M17" s="173"/>
      <c r="N17" s="174"/>
      <c r="O17" s="174"/>
      <c r="P17" s="174"/>
      <c r="Q17" s="8" t="s">
        <v>79</v>
      </c>
      <c r="R17" s="41"/>
      <c r="S17" s="52"/>
      <c r="T17" s="46">
        <f t="shared" si="2"/>
        <v>8</v>
      </c>
      <c r="U17" s="42">
        <f t="shared" si="3"/>
        <v>252</v>
      </c>
      <c r="V17" s="42">
        <f t="shared" si="4"/>
        <v>144</v>
      </c>
    </row>
    <row r="18" spans="1:22" x14ac:dyDescent="0.25">
      <c r="A18" s="8">
        <f t="shared" si="0"/>
        <v>9</v>
      </c>
      <c r="B18" s="171"/>
      <c r="C18" s="171"/>
      <c r="D18" s="172"/>
      <c r="E18" s="77"/>
      <c r="F18" s="77"/>
      <c r="G18" s="77"/>
      <c r="H18" s="77"/>
      <c r="I18" s="77"/>
      <c r="J18" s="77" t="str">
        <f t="shared" si="1"/>
        <v/>
      </c>
      <c r="K18" s="77"/>
      <c r="L18" s="77"/>
      <c r="M18" s="174"/>
      <c r="N18" s="174"/>
      <c r="O18" s="174"/>
      <c r="P18" s="174"/>
      <c r="Q18" s="8" t="s">
        <v>80</v>
      </c>
      <c r="R18" s="41"/>
      <c r="S18" s="41"/>
      <c r="T18" s="46">
        <f t="shared" si="2"/>
        <v>9</v>
      </c>
      <c r="U18" s="42">
        <f t="shared" si="3"/>
        <v>315</v>
      </c>
      <c r="V18" s="42">
        <f t="shared" si="4"/>
        <v>180</v>
      </c>
    </row>
    <row r="19" spans="1:22" x14ac:dyDescent="0.25">
      <c r="A19" s="8">
        <f t="shared" si="0"/>
        <v>10</v>
      </c>
      <c r="B19" s="156"/>
      <c r="C19" s="156"/>
      <c r="D19" s="157"/>
      <c r="E19" s="77"/>
      <c r="F19" s="77"/>
      <c r="G19" s="77"/>
      <c r="H19" s="77"/>
      <c r="I19" s="77"/>
      <c r="J19" s="77" t="str">
        <f t="shared" si="1"/>
        <v/>
      </c>
      <c r="K19" s="77"/>
      <c r="L19" s="77"/>
      <c r="M19" s="158"/>
      <c r="N19" s="158"/>
      <c r="O19" s="158"/>
      <c r="P19" s="160"/>
      <c r="Q19" s="8" t="s">
        <v>80</v>
      </c>
      <c r="R19" s="133"/>
      <c r="S19" s="41"/>
      <c r="T19" s="46">
        <f t="shared" si="2"/>
        <v>10</v>
      </c>
      <c r="U19" s="42">
        <f t="shared" si="3"/>
        <v>385</v>
      </c>
      <c r="V19" s="42">
        <f t="shared" si="4"/>
        <v>220</v>
      </c>
    </row>
    <row r="20" spans="1:22" x14ac:dyDescent="0.25">
      <c r="A20" s="8">
        <f t="shared" si="0"/>
        <v>11</v>
      </c>
      <c r="B20" s="156"/>
      <c r="C20" s="156"/>
      <c r="D20" s="157"/>
      <c r="E20" s="77"/>
      <c r="F20" s="77"/>
      <c r="G20" s="77"/>
      <c r="H20" s="77"/>
      <c r="I20" s="77"/>
      <c r="J20" s="77" t="str">
        <f t="shared" si="1"/>
        <v/>
      </c>
      <c r="K20" s="77"/>
      <c r="L20" s="77"/>
      <c r="M20" s="158"/>
      <c r="N20" s="158"/>
      <c r="O20" s="158"/>
      <c r="P20" s="160"/>
      <c r="Q20" s="8" t="s">
        <v>80</v>
      </c>
      <c r="R20" s="41"/>
      <c r="S20" s="133"/>
      <c r="T20" s="48"/>
      <c r="U20" s="41"/>
    </row>
    <row r="21" spans="1:22" x14ac:dyDescent="0.25">
      <c r="A21" s="8">
        <f t="shared" si="0"/>
        <v>12</v>
      </c>
      <c r="B21" s="156"/>
      <c r="C21" s="156"/>
      <c r="D21" s="157"/>
      <c r="E21" s="77"/>
      <c r="F21" s="77"/>
      <c r="G21" s="77"/>
      <c r="H21" s="77"/>
      <c r="I21" s="77"/>
      <c r="J21" s="77" t="str">
        <f t="shared" si="1"/>
        <v/>
      </c>
      <c r="K21" s="77"/>
      <c r="L21" s="77"/>
      <c r="M21" s="158"/>
      <c r="N21" s="158"/>
      <c r="O21" s="158"/>
      <c r="P21" s="160"/>
      <c r="Q21" s="8" t="s">
        <v>80</v>
      </c>
      <c r="R21" s="133"/>
      <c r="S21" s="133"/>
      <c r="T21" s="48"/>
      <c r="U21" s="41"/>
    </row>
    <row r="22" spans="1:22" x14ac:dyDescent="0.25">
      <c r="A22" s="8">
        <f t="shared" si="0"/>
        <v>13</v>
      </c>
      <c r="B22" s="156"/>
      <c r="C22" s="156"/>
      <c r="D22" s="157"/>
      <c r="E22" s="77"/>
      <c r="F22" s="77"/>
      <c r="G22" s="77"/>
      <c r="H22" s="77"/>
      <c r="I22" s="77"/>
      <c r="J22" s="77" t="str">
        <f t="shared" si="1"/>
        <v/>
      </c>
      <c r="K22" s="77"/>
      <c r="L22" s="77"/>
      <c r="M22" s="158"/>
      <c r="N22" s="158"/>
      <c r="O22" s="158"/>
      <c r="P22" s="160"/>
      <c r="Q22" s="8" t="s">
        <v>80</v>
      </c>
      <c r="R22" s="41"/>
      <c r="S22" s="134"/>
      <c r="T22" s="48"/>
      <c r="U22" s="41"/>
    </row>
    <row r="23" spans="1:22" x14ac:dyDescent="0.25">
      <c r="A23" s="8">
        <f t="shared" si="0"/>
        <v>14</v>
      </c>
      <c r="B23" s="156"/>
      <c r="C23" s="156"/>
      <c r="D23" s="157"/>
      <c r="E23" s="77"/>
      <c r="F23" s="77"/>
      <c r="G23" s="77"/>
      <c r="H23" s="77"/>
      <c r="I23" s="77"/>
      <c r="J23" s="77" t="str">
        <f t="shared" si="1"/>
        <v/>
      </c>
      <c r="K23" s="77"/>
      <c r="L23" s="77"/>
      <c r="M23" s="158"/>
      <c r="N23" s="158"/>
      <c r="O23" s="158"/>
      <c r="P23" s="160"/>
      <c r="Q23" s="8" t="s">
        <v>80</v>
      </c>
      <c r="R23" s="41"/>
      <c r="S23" s="133"/>
      <c r="T23" s="49"/>
      <c r="U23" s="41"/>
    </row>
    <row r="24" spans="1:22" x14ac:dyDescent="0.25">
      <c r="A24" s="8">
        <f t="shared" si="0"/>
        <v>15</v>
      </c>
      <c r="B24" s="156"/>
      <c r="C24" s="156"/>
      <c r="D24" s="157"/>
      <c r="E24" s="77"/>
      <c r="F24" s="77"/>
      <c r="G24" s="77"/>
      <c r="H24" s="77"/>
      <c r="I24" s="77"/>
      <c r="J24" s="77" t="str">
        <f t="shared" si="1"/>
        <v/>
      </c>
      <c r="K24" s="77"/>
      <c r="L24" s="77"/>
      <c r="M24" s="160"/>
      <c r="N24" s="160"/>
      <c r="O24" s="160"/>
      <c r="P24" s="160"/>
      <c r="Q24" s="8" t="s">
        <v>80</v>
      </c>
      <c r="R24" s="133"/>
      <c r="S24" s="41"/>
      <c r="T24" s="48"/>
      <c r="U24" s="41"/>
    </row>
    <row r="25" spans="1:22" x14ac:dyDescent="0.25">
      <c r="A25" s="8">
        <f t="shared" si="0"/>
        <v>16</v>
      </c>
      <c r="B25" s="156"/>
      <c r="C25" s="156"/>
      <c r="D25" s="157"/>
      <c r="E25" s="77"/>
      <c r="F25" s="77"/>
      <c r="G25" s="77"/>
      <c r="H25" s="77"/>
      <c r="I25" s="77"/>
      <c r="J25" s="77" t="str">
        <f t="shared" si="1"/>
        <v/>
      </c>
      <c r="K25" s="77"/>
      <c r="L25" s="77"/>
      <c r="M25" s="158"/>
      <c r="N25" s="158"/>
      <c r="O25" s="158"/>
      <c r="P25" s="160"/>
      <c r="Q25" s="8" t="s">
        <v>80</v>
      </c>
      <c r="R25" s="41"/>
      <c r="S25" s="41"/>
      <c r="T25" s="49"/>
      <c r="U25" s="41"/>
    </row>
    <row r="26" spans="1:22" x14ac:dyDescent="0.25">
      <c r="A26" s="8">
        <f t="shared" si="0"/>
        <v>17</v>
      </c>
      <c r="B26" s="99"/>
      <c r="C26" s="99"/>
      <c r="D26" s="101"/>
      <c r="E26" s="77"/>
      <c r="F26" s="77"/>
      <c r="G26" s="77"/>
      <c r="H26" s="77"/>
      <c r="I26" s="77"/>
      <c r="J26" s="77" t="str">
        <f t="shared" si="1"/>
        <v/>
      </c>
      <c r="K26" s="77"/>
      <c r="L26" s="77"/>
      <c r="M26" s="102"/>
      <c r="N26" s="102"/>
      <c r="O26" s="102"/>
      <c r="P26" s="102"/>
      <c r="Q26" s="8" t="s">
        <v>81</v>
      </c>
      <c r="R26" s="41"/>
      <c r="S26" s="41"/>
      <c r="T26" s="49"/>
      <c r="U26" s="41"/>
    </row>
    <row r="27" spans="1:22" x14ac:dyDescent="0.25">
      <c r="A27" s="8">
        <f t="shared" si="0"/>
        <v>18</v>
      </c>
      <c r="B27" s="156"/>
      <c r="C27" s="156"/>
      <c r="D27" s="156"/>
      <c r="E27" s="161"/>
      <c r="F27" s="161"/>
      <c r="G27" s="161"/>
      <c r="H27" s="161"/>
      <c r="I27" s="158"/>
      <c r="J27" s="77" t="str">
        <f t="shared" si="1"/>
        <v/>
      </c>
      <c r="K27" s="158"/>
      <c r="L27" s="159"/>
      <c r="M27" s="160"/>
      <c r="N27" s="160"/>
      <c r="O27" s="160"/>
      <c r="P27" s="160"/>
      <c r="Q27" s="8" t="s">
        <v>81</v>
      </c>
      <c r="S27" s="41"/>
    </row>
    <row r="28" spans="1:22" x14ac:dyDescent="0.25">
      <c r="A28" s="8">
        <f t="shared" si="0"/>
        <v>19</v>
      </c>
      <c r="B28" s="162"/>
      <c r="C28" s="156"/>
      <c r="D28" s="156"/>
      <c r="E28" s="161"/>
      <c r="F28" s="161"/>
      <c r="G28" s="161"/>
      <c r="H28" s="161"/>
      <c r="I28" s="158"/>
      <c r="J28" s="77" t="str">
        <f t="shared" si="1"/>
        <v/>
      </c>
      <c r="K28" s="158"/>
      <c r="L28" s="159"/>
      <c r="M28" s="158"/>
      <c r="N28" s="158"/>
      <c r="O28" s="158"/>
      <c r="P28" s="160"/>
      <c r="Q28" s="8" t="s">
        <v>81</v>
      </c>
      <c r="S28" s="41"/>
    </row>
    <row r="29" spans="1:22" x14ac:dyDescent="0.25">
      <c r="A29" s="8">
        <f t="shared" si="0"/>
        <v>20</v>
      </c>
      <c r="B29" s="156"/>
      <c r="C29" s="156"/>
      <c r="D29" s="156"/>
      <c r="E29" s="161"/>
      <c r="F29" s="161"/>
      <c r="G29" s="161"/>
      <c r="H29" s="161"/>
      <c r="I29" s="158"/>
      <c r="J29" s="77" t="str">
        <f t="shared" si="1"/>
        <v/>
      </c>
      <c r="K29" s="158"/>
      <c r="L29" s="159"/>
      <c r="M29" s="160"/>
      <c r="N29" s="160"/>
      <c r="O29" s="160"/>
      <c r="P29" s="160"/>
      <c r="Q29" s="8" t="s">
        <v>81</v>
      </c>
      <c r="S29" s="41"/>
    </row>
    <row r="30" spans="1:22" x14ac:dyDescent="0.25">
      <c r="A30" s="8">
        <f t="shared" si="0"/>
        <v>21</v>
      </c>
      <c r="B30" s="156"/>
      <c r="C30" s="156"/>
      <c r="D30" s="157"/>
      <c r="E30" s="161"/>
      <c r="F30" s="161"/>
      <c r="G30" s="161"/>
      <c r="H30" s="161"/>
      <c r="I30" s="158"/>
      <c r="J30" s="77" t="str">
        <f t="shared" si="1"/>
        <v/>
      </c>
      <c r="K30" s="158"/>
      <c r="L30" s="159"/>
      <c r="M30" s="158"/>
      <c r="N30" s="158"/>
      <c r="O30" s="158"/>
      <c r="P30" s="158"/>
      <c r="Q30" s="8" t="s">
        <v>81</v>
      </c>
      <c r="S30" s="41"/>
    </row>
    <row r="31" spans="1:22" x14ac:dyDescent="0.25">
      <c r="A31" s="8">
        <f t="shared" si="0"/>
        <v>22</v>
      </c>
      <c r="B31" s="156"/>
      <c r="C31" s="156"/>
      <c r="D31" s="157"/>
      <c r="E31" s="161"/>
      <c r="F31" s="161"/>
      <c r="G31" s="161"/>
      <c r="H31" s="161"/>
      <c r="I31" s="158"/>
      <c r="J31" s="77" t="str">
        <f t="shared" si="1"/>
        <v/>
      </c>
      <c r="K31" s="158"/>
      <c r="L31" s="159"/>
      <c r="M31" s="158"/>
      <c r="N31" s="158"/>
      <c r="O31" s="158"/>
      <c r="P31" s="158"/>
      <c r="Q31" s="8" t="s">
        <v>81</v>
      </c>
      <c r="S31" s="41"/>
    </row>
    <row r="32" spans="1:22" x14ac:dyDescent="0.25">
      <c r="A32" s="8">
        <f t="shared" si="0"/>
        <v>23</v>
      </c>
      <c r="B32" s="156"/>
      <c r="C32" s="156"/>
      <c r="D32" s="163"/>
      <c r="E32" s="161"/>
      <c r="F32" s="161"/>
      <c r="G32" s="161"/>
      <c r="H32" s="161"/>
      <c r="I32" s="158"/>
      <c r="J32" s="77" t="str">
        <f t="shared" si="1"/>
        <v/>
      </c>
      <c r="K32" s="158"/>
      <c r="L32" s="159"/>
      <c r="M32" s="158"/>
      <c r="N32" s="158"/>
      <c r="O32" s="158"/>
      <c r="P32" s="158"/>
      <c r="Q32" s="8" t="s">
        <v>81</v>
      </c>
      <c r="S32" s="41"/>
    </row>
    <row r="33" spans="1:19" x14ac:dyDescent="0.25">
      <c r="A33" s="8">
        <f t="shared" si="0"/>
        <v>24</v>
      </c>
      <c r="B33" s="156"/>
      <c r="C33" s="156"/>
      <c r="D33" s="157"/>
      <c r="E33" s="161"/>
      <c r="F33" s="161"/>
      <c r="G33" s="161"/>
      <c r="H33" s="161"/>
      <c r="I33" s="158"/>
      <c r="J33" s="77" t="str">
        <f t="shared" si="1"/>
        <v/>
      </c>
      <c r="K33" s="158"/>
      <c r="L33" s="159"/>
      <c r="M33" s="158"/>
      <c r="N33" s="158"/>
      <c r="O33" s="158"/>
      <c r="P33" s="158"/>
      <c r="Q33" s="8" t="s">
        <v>81</v>
      </c>
      <c r="S33" s="41"/>
    </row>
    <row r="34" spans="1:19" x14ac:dyDescent="0.25">
      <c r="A34" s="8">
        <f t="shared" si="0"/>
        <v>25</v>
      </c>
      <c r="B34" s="156"/>
      <c r="C34" s="156"/>
      <c r="D34" s="157"/>
      <c r="E34" s="161"/>
      <c r="F34" s="161"/>
      <c r="G34" s="161"/>
      <c r="H34" s="161"/>
      <c r="I34" s="158"/>
      <c r="J34" s="77" t="str">
        <f t="shared" si="1"/>
        <v/>
      </c>
      <c r="K34" s="158"/>
      <c r="L34" s="159"/>
      <c r="M34" s="158"/>
      <c r="N34" s="158"/>
      <c r="O34" s="158"/>
      <c r="P34" s="158"/>
      <c r="Q34" s="8" t="s">
        <v>81</v>
      </c>
      <c r="S34" s="41"/>
    </row>
    <row r="35" spans="1:19" x14ac:dyDescent="0.25">
      <c r="A35" s="8">
        <f t="shared" si="0"/>
        <v>26</v>
      </c>
      <c r="B35" s="156"/>
      <c r="C35" s="156"/>
      <c r="D35" s="157"/>
      <c r="E35" s="161"/>
      <c r="F35" s="161"/>
      <c r="G35" s="161"/>
      <c r="H35" s="161"/>
      <c r="I35" s="158"/>
      <c r="J35" s="77" t="str">
        <f t="shared" si="1"/>
        <v/>
      </c>
      <c r="K35" s="158"/>
      <c r="L35" s="159"/>
      <c r="M35" s="158"/>
      <c r="N35" s="158"/>
      <c r="O35" s="158"/>
      <c r="P35" s="158"/>
      <c r="Q35" s="8" t="s">
        <v>81</v>
      </c>
      <c r="S35" s="41"/>
    </row>
    <row r="36" spans="1:19" x14ac:dyDescent="0.25">
      <c r="A36" s="8">
        <f t="shared" si="0"/>
        <v>27</v>
      </c>
      <c r="B36" s="156"/>
      <c r="C36" s="156"/>
      <c r="D36" s="157"/>
      <c r="E36" s="161"/>
      <c r="F36" s="161"/>
      <c r="G36" s="161"/>
      <c r="H36" s="161"/>
      <c r="I36" s="158"/>
      <c r="J36" s="77" t="str">
        <f t="shared" si="1"/>
        <v/>
      </c>
      <c r="K36" s="158"/>
      <c r="L36" s="159"/>
      <c r="M36" s="158"/>
      <c r="N36" s="158"/>
      <c r="O36" s="158"/>
      <c r="P36" s="158"/>
      <c r="Q36" s="8" t="s">
        <v>81</v>
      </c>
      <c r="S36" s="41"/>
    </row>
    <row r="37" spans="1:19" x14ac:dyDescent="0.25">
      <c r="A37" s="8">
        <f t="shared" si="0"/>
        <v>28</v>
      </c>
      <c r="B37" s="156"/>
      <c r="C37" s="156"/>
      <c r="D37" s="157"/>
      <c r="E37" s="161"/>
      <c r="F37" s="161"/>
      <c r="G37" s="161"/>
      <c r="H37" s="161"/>
      <c r="I37" s="158"/>
      <c r="J37" s="77" t="str">
        <f t="shared" si="1"/>
        <v/>
      </c>
      <c r="K37" s="158"/>
      <c r="L37" s="159"/>
      <c r="M37" s="158"/>
      <c r="N37" s="158"/>
      <c r="O37" s="158"/>
      <c r="P37" s="158"/>
      <c r="Q37" s="8" t="s">
        <v>81</v>
      </c>
      <c r="S37" s="41"/>
    </row>
    <row r="38" spans="1:19" x14ac:dyDescent="0.25">
      <c r="A38" s="8">
        <f t="shared" si="0"/>
        <v>29</v>
      </c>
      <c r="B38" s="156"/>
      <c r="C38" s="156"/>
      <c r="D38" s="157"/>
      <c r="E38" s="161"/>
      <c r="F38" s="161"/>
      <c r="G38" s="161"/>
      <c r="H38" s="161"/>
      <c r="I38" s="158"/>
      <c r="J38" s="77" t="str">
        <f t="shared" si="1"/>
        <v/>
      </c>
      <c r="K38" s="158"/>
      <c r="L38" s="159"/>
      <c r="M38" s="158"/>
      <c r="N38" s="158"/>
      <c r="O38" s="158"/>
      <c r="P38" s="158"/>
      <c r="Q38" s="8" t="s">
        <v>81</v>
      </c>
      <c r="S38" s="41"/>
    </row>
    <row r="39" spans="1:19" x14ac:dyDescent="0.25">
      <c r="A39" s="8">
        <f t="shared" si="0"/>
        <v>30</v>
      </c>
      <c r="B39" s="156"/>
      <c r="C39" s="156"/>
      <c r="D39" s="157"/>
      <c r="E39" s="161"/>
      <c r="F39" s="161"/>
      <c r="G39" s="161"/>
      <c r="H39" s="161"/>
      <c r="I39" s="158"/>
      <c r="J39" s="77" t="str">
        <f t="shared" si="1"/>
        <v/>
      </c>
      <c r="K39" s="158"/>
      <c r="L39" s="159"/>
      <c r="M39" s="158"/>
      <c r="N39" s="158"/>
      <c r="O39" s="158"/>
      <c r="P39" s="158"/>
      <c r="Q39" s="8" t="s">
        <v>81</v>
      </c>
      <c r="S39" s="41"/>
    </row>
    <row r="40" spans="1:19" x14ac:dyDescent="0.25">
      <c r="A40" s="8">
        <f t="shared" si="0"/>
        <v>31</v>
      </c>
      <c r="B40" s="156"/>
      <c r="C40" s="156"/>
      <c r="D40" s="157"/>
      <c r="E40" s="161"/>
      <c r="F40" s="161"/>
      <c r="G40" s="161"/>
      <c r="H40" s="161"/>
      <c r="I40" s="158"/>
      <c r="J40" s="77" t="str">
        <f t="shared" si="1"/>
        <v/>
      </c>
      <c r="K40" s="158"/>
      <c r="L40" s="159"/>
      <c r="M40" s="158"/>
      <c r="N40" s="158"/>
      <c r="O40" s="158"/>
      <c r="P40" s="158"/>
      <c r="Q40" s="8" t="s">
        <v>81</v>
      </c>
      <c r="S40" s="41"/>
    </row>
    <row r="41" spans="1:19" x14ac:dyDescent="0.25">
      <c r="A41" s="8">
        <f t="shared" si="0"/>
        <v>32</v>
      </c>
      <c r="B41" s="156"/>
      <c r="C41" s="156"/>
      <c r="D41" s="157"/>
      <c r="E41" s="161"/>
      <c r="F41" s="161"/>
      <c r="G41" s="161"/>
      <c r="H41" s="161"/>
      <c r="I41" s="158"/>
      <c r="J41" s="77" t="str">
        <f t="shared" si="1"/>
        <v/>
      </c>
      <c r="K41" s="158"/>
      <c r="L41" s="159"/>
      <c r="M41" s="158"/>
      <c r="N41" s="158"/>
      <c r="O41" s="158"/>
      <c r="P41" s="158"/>
      <c r="Q41" s="8" t="s">
        <v>81</v>
      </c>
      <c r="S41" s="41"/>
    </row>
    <row r="42" spans="1:19" x14ac:dyDescent="0.25">
      <c r="A42" s="8">
        <f t="shared" si="0"/>
        <v>33</v>
      </c>
      <c r="B42" s="156"/>
      <c r="C42" s="156"/>
      <c r="D42" s="157"/>
      <c r="E42" s="161"/>
      <c r="F42" s="161"/>
      <c r="G42" s="161"/>
      <c r="H42" s="161"/>
      <c r="I42" s="158"/>
      <c r="J42" s="77" t="str">
        <f t="shared" si="1"/>
        <v/>
      </c>
      <c r="K42" s="158"/>
      <c r="L42" s="159"/>
      <c r="M42" s="158"/>
      <c r="N42" s="158"/>
      <c r="O42" s="158"/>
      <c r="P42" s="158"/>
    </row>
    <row r="43" spans="1:19" x14ac:dyDescent="0.25">
      <c r="A43" s="8">
        <f t="shared" si="0"/>
        <v>34</v>
      </c>
      <c r="B43" s="156"/>
      <c r="C43" s="156"/>
      <c r="D43" s="157"/>
      <c r="E43" s="161"/>
      <c r="F43" s="161"/>
      <c r="G43" s="161"/>
      <c r="H43" s="161"/>
      <c r="I43" s="158"/>
      <c r="J43" s="77" t="str">
        <f t="shared" si="1"/>
        <v/>
      </c>
      <c r="K43" s="158"/>
      <c r="L43" s="159"/>
      <c r="M43" s="158"/>
      <c r="N43" s="158"/>
      <c r="O43" s="158"/>
      <c r="P43" s="158"/>
    </row>
    <row r="44" spans="1:19" x14ac:dyDescent="0.25">
      <c r="A44" s="8">
        <f t="shared" si="0"/>
        <v>35</v>
      </c>
      <c r="B44" s="156"/>
      <c r="C44" s="156"/>
      <c r="D44" s="157"/>
      <c r="E44" s="161"/>
      <c r="F44" s="161"/>
      <c r="G44" s="161"/>
      <c r="H44" s="161"/>
      <c r="I44" s="158"/>
      <c r="J44" s="77" t="str">
        <f t="shared" si="1"/>
        <v/>
      </c>
      <c r="K44" s="158"/>
      <c r="L44" s="159"/>
      <c r="M44" s="158"/>
      <c r="N44" s="158"/>
      <c r="O44" s="158"/>
      <c r="P44" s="158"/>
    </row>
    <row r="45" spans="1:19" x14ac:dyDescent="0.25">
      <c r="A45" s="8">
        <f t="shared" si="0"/>
        <v>36</v>
      </c>
      <c r="B45" s="156"/>
      <c r="C45" s="156"/>
      <c r="D45" s="157"/>
      <c r="E45" s="161"/>
      <c r="F45" s="161"/>
      <c r="G45" s="161"/>
      <c r="H45" s="161"/>
      <c r="I45" s="158"/>
      <c r="J45" s="77" t="str">
        <f t="shared" si="1"/>
        <v/>
      </c>
      <c r="K45" s="158"/>
      <c r="L45" s="159"/>
      <c r="M45" s="158"/>
      <c r="N45" s="158"/>
      <c r="O45" s="158"/>
      <c r="P45" s="158"/>
    </row>
    <row r="46" spans="1:19" x14ac:dyDescent="0.25">
      <c r="A46" s="8">
        <f t="shared" si="0"/>
        <v>37</v>
      </c>
      <c r="B46" s="156"/>
      <c r="C46" s="156"/>
      <c r="D46" s="157"/>
      <c r="E46" s="161"/>
      <c r="F46" s="161"/>
      <c r="G46" s="161"/>
      <c r="H46" s="161"/>
      <c r="I46" s="158"/>
      <c r="J46" s="77" t="str">
        <f t="shared" si="1"/>
        <v/>
      </c>
      <c r="K46" s="158"/>
      <c r="L46" s="159"/>
      <c r="M46" s="158"/>
      <c r="N46" s="158"/>
      <c r="O46" s="158"/>
      <c r="P46" s="158"/>
    </row>
    <row r="47" spans="1:19" x14ac:dyDescent="0.25">
      <c r="A47" s="8">
        <f t="shared" si="0"/>
        <v>38</v>
      </c>
      <c r="B47" s="156"/>
      <c r="C47" s="156"/>
      <c r="D47" s="157"/>
      <c r="E47" s="161"/>
      <c r="F47" s="161"/>
      <c r="G47" s="161"/>
      <c r="H47" s="161"/>
      <c r="I47" s="158"/>
      <c r="J47" s="77" t="str">
        <f t="shared" si="1"/>
        <v/>
      </c>
      <c r="K47" s="158"/>
      <c r="L47" s="159"/>
      <c r="M47" s="158"/>
      <c r="N47" s="158"/>
      <c r="O47" s="158"/>
      <c r="P47" s="158"/>
    </row>
    <row r="48" spans="1:19" x14ac:dyDescent="0.25">
      <c r="A48" s="8">
        <f t="shared" si="0"/>
        <v>39</v>
      </c>
      <c r="B48" s="156"/>
      <c r="C48" s="156"/>
      <c r="D48" s="157"/>
      <c r="E48" s="161"/>
      <c r="F48" s="161"/>
      <c r="G48" s="161"/>
      <c r="H48" s="161"/>
      <c r="I48" s="158"/>
      <c r="J48" s="77" t="str">
        <f t="shared" si="1"/>
        <v/>
      </c>
      <c r="K48" s="158"/>
      <c r="L48" s="159"/>
      <c r="M48" s="158"/>
      <c r="N48" s="158"/>
      <c r="O48" s="158"/>
      <c r="P48" s="158"/>
    </row>
    <row r="49" spans="1:16" x14ac:dyDescent="0.25">
      <c r="A49" s="8">
        <f t="shared" si="0"/>
        <v>40</v>
      </c>
      <c r="B49" s="156"/>
      <c r="C49" s="156"/>
      <c r="D49" s="157"/>
      <c r="E49" s="161"/>
      <c r="F49" s="161"/>
      <c r="G49" s="161"/>
      <c r="H49" s="161"/>
      <c r="I49" s="158"/>
      <c r="J49" s="77" t="str">
        <f t="shared" si="1"/>
        <v/>
      </c>
      <c r="K49" s="158"/>
      <c r="L49" s="159"/>
      <c r="M49" s="158"/>
      <c r="N49" s="158"/>
      <c r="O49" s="158"/>
      <c r="P49" s="158"/>
    </row>
    <row r="50" spans="1:16" x14ac:dyDescent="0.25">
      <c r="A50" s="8">
        <f t="shared" si="0"/>
        <v>41</v>
      </c>
      <c r="B50" s="156"/>
      <c r="C50" s="156"/>
      <c r="D50" s="157"/>
      <c r="E50" s="161"/>
      <c r="F50" s="161"/>
      <c r="G50" s="161"/>
      <c r="H50" s="161"/>
      <c r="I50" s="158"/>
      <c r="J50" s="77" t="str">
        <f t="shared" si="1"/>
        <v/>
      </c>
      <c r="K50" s="158"/>
      <c r="L50" s="159"/>
      <c r="M50" s="158"/>
      <c r="N50" s="158"/>
      <c r="O50" s="158"/>
      <c r="P50" s="158"/>
    </row>
    <row r="51" spans="1:16" x14ac:dyDescent="0.25">
      <c r="A51" s="8">
        <f t="shared" si="0"/>
        <v>42</v>
      </c>
      <c r="B51" s="156"/>
      <c r="C51" s="156"/>
      <c r="D51" s="157"/>
      <c r="E51" s="161"/>
      <c r="F51" s="161"/>
      <c r="G51" s="161"/>
      <c r="H51" s="161"/>
      <c r="I51" s="158"/>
      <c r="J51" s="77" t="str">
        <f t="shared" si="1"/>
        <v/>
      </c>
      <c r="K51" s="158"/>
      <c r="L51" s="159"/>
      <c r="M51" s="158"/>
      <c r="N51" s="158"/>
      <c r="O51" s="158"/>
      <c r="P51" s="158"/>
    </row>
    <row r="52" spans="1:16" x14ac:dyDescent="0.25">
      <c r="A52" s="8">
        <f t="shared" si="0"/>
        <v>43</v>
      </c>
      <c r="B52" s="156"/>
      <c r="C52" s="156"/>
      <c r="D52" s="157"/>
      <c r="E52" s="161"/>
      <c r="F52" s="161"/>
      <c r="G52" s="161"/>
      <c r="H52" s="161"/>
      <c r="I52" s="158"/>
      <c r="J52" s="77" t="str">
        <f t="shared" si="1"/>
        <v/>
      </c>
      <c r="K52" s="158"/>
      <c r="L52" s="159"/>
      <c r="M52" s="158"/>
      <c r="N52" s="158"/>
      <c r="O52" s="158"/>
      <c r="P52" s="158"/>
    </row>
    <row r="53" spans="1:16" x14ac:dyDescent="0.25">
      <c r="A53" s="8">
        <f t="shared" si="0"/>
        <v>44</v>
      </c>
      <c r="B53" s="156"/>
      <c r="C53" s="156"/>
      <c r="D53" s="157"/>
      <c r="E53" s="161"/>
      <c r="F53" s="161"/>
      <c r="G53" s="161"/>
      <c r="H53" s="161"/>
      <c r="I53" s="158"/>
      <c r="J53" s="77" t="str">
        <f t="shared" si="1"/>
        <v/>
      </c>
      <c r="K53" s="158"/>
      <c r="L53" s="159"/>
      <c r="M53" s="158"/>
      <c r="N53" s="158"/>
      <c r="O53" s="158"/>
      <c r="P53" s="158"/>
    </row>
    <row r="54" spans="1:16" x14ac:dyDescent="0.25">
      <c r="A54" s="8">
        <f t="shared" si="0"/>
        <v>45</v>
      </c>
      <c r="B54" s="156"/>
      <c r="C54" s="156"/>
      <c r="D54" s="157"/>
      <c r="E54" s="161"/>
      <c r="F54" s="161"/>
      <c r="G54" s="161"/>
      <c r="H54" s="161"/>
      <c r="I54" s="158"/>
      <c r="J54" s="77" t="str">
        <f t="shared" si="1"/>
        <v/>
      </c>
      <c r="K54" s="158"/>
      <c r="L54" s="159"/>
      <c r="M54" s="158"/>
      <c r="N54" s="158"/>
      <c r="O54" s="158"/>
      <c r="P54" s="158"/>
    </row>
    <row r="55" spans="1:16" x14ac:dyDescent="0.25">
      <c r="A55" s="8">
        <f t="shared" si="0"/>
        <v>46</v>
      </c>
      <c r="B55" s="156"/>
      <c r="C55" s="156"/>
      <c r="D55" s="157"/>
      <c r="E55" s="161"/>
      <c r="F55" s="161"/>
      <c r="G55" s="161"/>
      <c r="H55" s="161"/>
      <c r="I55" s="158"/>
      <c r="J55" s="77" t="str">
        <f t="shared" si="1"/>
        <v/>
      </c>
      <c r="K55" s="158"/>
      <c r="L55" s="159"/>
      <c r="M55" s="158"/>
      <c r="N55" s="158"/>
      <c r="O55" s="158"/>
      <c r="P55" s="158"/>
    </row>
    <row r="56" spans="1:16" x14ac:dyDescent="0.25">
      <c r="A56" s="8">
        <f t="shared" si="0"/>
        <v>47</v>
      </c>
      <c r="B56" s="156"/>
      <c r="C56" s="156"/>
      <c r="D56" s="157"/>
      <c r="E56" s="161"/>
      <c r="F56" s="161"/>
      <c r="G56" s="161"/>
      <c r="H56" s="161"/>
      <c r="I56" s="158"/>
      <c r="J56" s="77" t="str">
        <f t="shared" si="1"/>
        <v/>
      </c>
      <c r="K56" s="158"/>
      <c r="L56" s="159"/>
      <c r="M56" s="158"/>
      <c r="N56" s="158"/>
      <c r="O56" s="158"/>
      <c r="P56" s="158"/>
    </row>
    <row r="57" spans="1:16" x14ac:dyDescent="0.25">
      <c r="A57" s="8">
        <f t="shared" si="0"/>
        <v>48</v>
      </c>
      <c r="B57" s="156"/>
      <c r="C57" s="156"/>
      <c r="D57" s="157"/>
      <c r="E57" s="161"/>
      <c r="F57" s="161"/>
      <c r="G57" s="161"/>
      <c r="H57" s="161"/>
      <c r="I57" s="158"/>
      <c r="J57" s="77" t="str">
        <f t="shared" si="1"/>
        <v/>
      </c>
      <c r="K57" s="158"/>
      <c r="L57" s="159"/>
      <c r="M57" s="158"/>
      <c r="N57" s="158"/>
      <c r="O57" s="158"/>
      <c r="P57" s="158"/>
    </row>
    <row r="58" spans="1:16" x14ac:dyDescent="0.25">
      <c r="A58" s="8">
        <f t="shared" si="0"/>
        <v>49</v>
      </c>
      <c r="B58" s="156"/>
      <c r="C58" s="156"/>
      <c r="D58" s="157"/>
      <c r="E58" s="161"/>
      <c r="F58" s="161"/>
      <c r="G58" s="161"/>
      <c r="H58" s="161"/>
      <c r="I58" s="158"/>
      <c r="J58" s="77" t="str">
        <f t="shared" si="1"/>
        <v/>
      </c>
      <c r="K58" s="158"/>
      <c r="L58" s="159"/>
      <c r="M58" s="158"/>
      <c r="N58" s="158"/>
      <c r="O58" s="158"/>
      <c r="P58" s="158"/>
    </row>
    <row r="59" spans="1:16" x14ac:dyDescent="0.25">
      <c r="A59" s="8">
        <f t="shared" si="0"/>
        <v>50</v>
      </c>
      <c r="B59" s="156"/>
      <c r="C59" s="156"/>
      <c r="D59" s="157"/>
      <c r="E59" s="161"/>
      <c r="F59" s="161"/>
      <c r="G59" s="161"/>
      <c r="H59" s="161"/>
      <c r="I59" s="158"/>
      <c r="J59" s="77" t="str">
        <f t="shared" si="1"/>
        <v/>
      </c>
      <c r="K59" s="158"/>
      <c r="L59" s="159"/>
      <c r="M59" s="158"/>
      <c r="N59" s="158"/>
      <c r="O59" s="158"/>
      <c r="P59" s="158"/>
    </row>
    <row r="60" spans="1:16" x14ac:dyDescent="0.25">
      <c r="A60" s="8">
        <f t="shared" si="0"/>
        <v>51</v>
      </c>
      <c r="B60" s="156"/>
      <c r="C60" s="156"/>
      <c r="D60" s="157"/>
      <c r="E60" s="161"/>
      <c r="F60" s="161"/>
      <c r="G60" s="161"/>
      <c r="H60" s="161"/>
      <c r="I60" s="158"/>
      <c r="J60" s="77" t="str">
        <f t="shared" si="1"/>
        <v/>
      </c>
      <c r="K60" s="158"/>
      <c r="L60" s="159"/>
      <c r="M60" s="158"/>
      <c r="N60" s="158"/>
      <c r="O60" s="158"/>
      <c r="P60" s="158"/>
    </row>
    <row r="61" spans="1:16" x14ac:dyDescent="0.25">
      <c r="A61" s="8">
        <f t="shared" si="0"/>
        <v>52</v>
      </c>
      <c r="B61" s="156"/>
      <c r="C61" s="156"/>
      <c r="D61" s="157"/>
      <c r="E61" s="161"/>
      <c r="F61" s="161"/>
      <c r="G61" s="161"/>
      <c r="H61" s="161"/>
      <c r="I61" s="158"/>
      <c r="J61" s="77" t="str">
        <f t="shared" si="1"/>
        <v/>
      </c>
      <c r="K61" s="158"/>
      <c r="L61" s="159"/>
      <c r="M61" s="158"/>
      <c r="N61" s="158"/>
      <c r="O61" s="158"/>
      <c r="P61" s="158"/>
    </row>
    <row r="62" spans="1:16" x14ac:dyDescent="0.25">
      <c r="A62" s="8">
        <f t="shared" si="0"/>
        <v>53</v>
      </c>
      <c r="B62" s="156"/>
      <c r="C62" s="156"/>
      <c r="D62" s="157"/>
      <c r="E62" s="161"/>
      <c r="F62" s="161"/>
      <c r="G62" s="161"/>
      <c r="H62" s="161"/>
      <c r="I62" s="158"/>
      <c r="J62" s="77" t="str">
        <f t="shared" si="1"/>
        <v/>
      </c>
      <c r="K62" s="158"/>
      <c r="L62" s="159"/>
      <c r="M62" s="158"/>
      <c r="N62" s="158"/>
      <c r="O62" s="158"/>
      <c r="P62" s="158"/>
    </row>
    <row r="63" spans="1:16" x14ac:dyDescent="0.25">
      <c r="A63" s="8">
        <f t="shared" si="0"/>
        <v>54</v>
      </c>
      <c r="B63" s="156"/>
      <c r="C63" s="156"/>
      <c r="D63" s="157"/>
      <c r="E63" s="161"/>
      <c r="F63" s="161"/>
      <c r="G63" s="161"/>
      <c r="H63" s="161"/>
      <c r="I63" s="158"/>
      <c r="J63" s="77" t="str">
        <f t="shared" si="1"/>
        <v/>
      </c>
      <c r="K63" s="158"/>
      <c r="L63" s="159"/>
      <c r="M63" s="158"/>
      <c r="N63" s="158"/>
      <c r="O63" s="158"/>
      <c r="P63" s="158"/>
    </row>
    <row r="64" spans="1:16" x14ac:dyDescent="0.25">
      <c r="A64" s="8">
        <f t="shared" si="0"/>
        <v>55</v>
      </c>
      <c r="B64" s="156"/>
      <c r="C64" s="156"/>
      <c r="D64" s="157"/>
      <c r="E64" s="161"/>
      <c r="F64" s="161"/>
      <c r="G64" s="161"/>
      <c r="H64" s="161"/>
      <c r="I64" s="158"/>
      <c r="J64" s="77" t="str">
        <f t="shared" si="1"/>
        <v/>
      </c>
      <c r="K64" s="158"/>
      <c r="L64" s="159"/>
      <c r="M64" s="158"/>
      <c r="N64" s="158"/>
      <c r="O64" s="158"/>
      <c r="P64" s="158"/>
    </row>
    <row r="65" spans="1:16" x14ac:dyDescent="0.25">
      <c r="A65" s="8">
        <f t="shared" si="0"/>
        <v>56</v>
      </c>
      <c r="B65" s="156"/>
      <c r="C65" s="156"/>
      <c r="D65" s="157"/>
      <c r="E65" s="161"/>
      <c r="F65" s="161"/>
      <c r="G65" s="161"/>
      <c r="H65" s="161"/>
      <c r="I65" s="158"/>
      <c r="J65" s="77" t="str">
        <f t="shared" si="1"/>
        <v/>
      </c>
      <c r="K65" s="158"/>
      <c r="L65" s="159"/>
      <c r="M65" s="158"/>
      <c r="N65" s="158"/>
      <c r="O65" s="158"/>
      <c r="P65" s="158"/>
    </row>
    <row r="66" spans="1:16" x14ac:dyDescent="0.25">
      <c r="A66" s="8">
        <f t="shared" si="0"/>
        <v>57</v>
      </c>
      <c r="B66" s="156"/>
      <c r="C66" s="156"/>
      <c r="D66" s="157"/>
      <c r="E66" s="161"/>
      <c r="F66" s="161"/>
      <c r="G66" s="161"/>
      <c r="H66" s="161"/>
      <c r="I66" s="158"/>
      <c r="J66" s="77" t="str">
        <f t="shared" si="1"/>
        <v/>
      </c>
      <c r="K66" s="158"/>
      <c r="L66" s="159"/>
      <c r="M66" s="158"/>
      <c r="N66" s="158"/>
      <c r="O66" s="158"/>
      <c r="P66" s="158"/>
    </row>
    <row r="67" spans="1:16" x14ac:dyDescent="0.25">
      <c r="A67" s="8">
        <f t="shared" si="0"/>
        <v>58</v>
      </c>
      <c r="B67" s="156"/>
      <c r="C67" s="156"/>
      <c r="D67" s="157"/>
      <c r="E67" s="161"/>
      <c r="F67" s="161"/>
      <c r="G67" s="161"/>
      <c r="H67" s="161"/>
      <c r="I67" s="158"/>
      <c r="J67" s="77" t="str">
        <f t="shared" si="1"/>
        <v/>
      </c>
      <c r="K67" s="158"/>
      <c r="L67" s="159"/>
      <c r="M67" s="158"/>
      <c r="N67" s="158"/>
      <c r="O67" s="158"/>
      <c r="P67" s="158"/>
    </row>
    <row r="68" spans="1:16" x14ac:dyDescent="0.25">
      <c r="A68" s="8">
        <f t="shared" si="0"/>
        <v>59</v>
      </c>
      <c r="B68" s="156"/>
      <c r="C68" s="156"/>
      <c r="D68" s="157"/>
      <c r="E68" s="161"/>
      <c r="F68" s="161"/>
      <c r="G68" s="161"/>
      <c r="H68" s="161"/>
      <c r="I68" s="158"/>
      <c r="J68" s="77" t="str">
        <f t="shared" si="1"/>
        <v/>
      </c>
      <c r="K68" s="158"/>
      <c r="L68" s="159"/>
      <c r="M68" s="158"/>
      <c r="N68" s="158"/>
      <c r="O68" s="158"/>
      <c r="P68" s="158"/>
    </row>
    <row r="69" spans="1:16" x14ac:dyDescent="0.25">
      <c r="A69" s="8">
        <f t="shared" si="0"/>
        <v>60</v>
      </c>
      <c r="B69" s="156"/>
      <c r="C69" s="156"/>
      <c r="D69" s="157"/>
      <c r="E69" s="161"/>
      <c r="F69" s="161"/>
      <c r="G69" s="161"/>
      <c r="H69" s="161"/>
      <c r="I69" s="158"/>
      <c r="J69" s="77" t="str">
        <f t="shared" si="1"/>
        <v/>
      </c>
      <c r="K69" s="158"/>
      <c r="L69" s="159"/>
      <c r="M69" s="158"/>
      <c r="N69" s="158"/>
      <c r="O69" s="158"/>
      <c r="P69" s="158"/>
    </row>
    <row r="70" spans="1:16" x14ac:dyDescent="0.25">
      <c r="A70" s="8">
        <f t="shared" si="0"/>
        <v>61</v>
      </c>
      <c r="B70" s="156"/>
      <c r="C70" s="156"/>
      <c r="D70" s="157"/>
      <c r="E70" s="161"/>
      <c r="F70" s="161"/>
      <c r="G70" s="161"/>
      <c r="H70" s="161"/>
      <c r="I70" s="158"/>
      <c r="J70" s="77" t="str">
        <f t="shared" si="1"/>
        <v/>
      </c>
      <c r="K70" s="158"/>
      <c r="L70" s="159"/>
      <c r="M70" s="158"/>
      <c r="N70" s="158"/>
      <c r="O70" s="158"/>
      <c r="P70" s="158"/>
    </row>
    <row r="71" spans="1:16" x14ac:dyDescent="0.25">
      <c r="A71" s="8">
        <f t="shared" si="0"/>
        <v>62</v>
      </c>
      <c r="B71" s="156"/>
      <c r="C71" s="156"/>
      <c r="D71" s="157"/>
      <c r="E71" s="161"/>
      <c r="F71" s="161"/>
      <c r="G71" s="161"/>
      <c r="H71" s="161"/>
      <c r="I71" s="158"/>
      <c r="J71" s="77" t="str">
        <f t="shared" si="1"/>
        <v/>
      </c>
      <c r="K71" s="158"/>
      <c r="L71" s="159"/>
      <c r="M71" s="158"/>
      <c r="N71" s="158"/>
      <c r="O71" s="158"/>
      <c r="P71" s="158"/>
    </row>
    <row r="72" spans="1:16" x14ac:dyDescent="0.25">
      <c r="A72" s="8">
        <f t="shared" si="0"/>
        <v>63</v>
      </c>
      <c r="B72" s="156"/>
      <c r="C72" s="156"/>
      <c r="D72" s="157"/>
      <c r="E72" s="161"/>
      <c r="F72" s="161"/>
      <c r="G72" s="161"/>
      <c r="H72" s="161"/>
      <c r="I72" s="158"/>
      <c r="J72" s="77" t="str">
        <f t="shared" si="1"/>
        <v/>
      </c>
      <c r="K72" s="158"/>
      <c r="L72" s="159"/>
      <c r="M72" s="158"/>
      <c r="N72" s="158"/>
      <c r="O72" s="158"/>
      <c r="P72" s="158"/>
    </row>
    <row r="73" spans="1:16" x14ac:dyDescent="0.25">
      <c r="A73" s="8">
        <f t="shared" si="0"/>
        <v>64</v>
      </c>
      <c r="B73" s="156"/>
      <c r="C73" s="156"/>
      <c r="D73" s="157"/>
      <c r="E73" s="161"/>
      <c r="F73" s="161"/>
      <c r="G73" s="161"/>
      <c r="H73" s="161"/>
      <c r="I73" s="158"/>
      <c r="J73" s="77" t="str">
        <f t="shared" si="1"/>
        <v/>
      </c>
      <c r="K73" s="158"/>
      <c r="L73" s="159"/>
      <c r="M73" s="158"/>
      <c r="N73" s="158"/>
      <c r="O73" s="158"/>
      <c r="P73" s="158"/>
    </row>
    <row r="74" spans="1:16" x14ac:dyDescent="0.25">
      <c r="A74" s="8">
        <f t="shared" si="0"/>
        <v>65</v>
      </c>
      <c r="B74" s="156"/>
      <c r="C74" s="156"/>
      <c r="D74" s="157"/>
      <c r="E74" s="161"/>
      <c r="F74" s="161"/>
      <c r="G74" s="161"/>
      <c r="H74" s="161"/>
      <c r="I74" s="158"/>
      <c r="J74" s="77" t="str">
        <f t="shared" si="1"/>
        <v/>
      </c>
      <c r="K74" s="158"/>
      <c r="L74" s="159"/>
      <c r="M74" s="158"/>
      <c r="N74" s="158"/>
      <c r="O74" s="158"/>
      <c r="P74" s="158"/>
    </row>
    <row r="75" spans="1:16" x14ac:dyDescent="0.25">
      <c r="A75" s="8">
        <f t="shared" si="0"/>
        <v>66</v>
      </c>
      <c r="B75" s="156"/>
      <c r="C75" s="156"/>
      <c r="D75" s="157"/>
      <c r="E75" s="161"/>
      <c r="F75" s="161"/>
      <c r="G75" s="161"/>
      <c r="H75" s="161"/>
      <c r="I75" s="158"/>
      <c r="J75" s="77" t="str">
        <f t="shared" si="1"/>
        <v/>
      </c>
      <c r="K75" s="158"/>
      <c r="L75" s="159"/>
      <c r="M75" s="158"/>
      <c r="N75" s="158"/>
      <c r="O75" s="158"/>
      <c r="P75" s="158"/>
    </row>
    <row r="76" spans="1:16" x14ac:dyDescent="0.25">
      <c r="A76" s="8">
        <f t="shared" ref="A76:A139" si="5">+A75+1</f>
        <v>67</v>
      </c>
      <c r="B76" s="156"/>
      <c r="C76" s="156"/>
      <c r="D76" s="157"/>
      <c r="E76" s="161"/>
      <c r="F76" s="161"/>
      <c r="G76" s="161"/>
      <c r="H76" s="161"/>
      <c r="I76" s="158"/>
      <c r="J76" s="77" t="str">
        <f t="shared" ref="J76:J139" si="6">IF(E76&lt;&gt;"",J75+1,"")</f>
        <v/>
      </c>
      <c r="K76" s="158"/>
      <c r="L76" s="159"/>
      <c r="M76" s="158"/>
      <c r="N76" s="158"/>
      <c r="O76" s="158"/>
      <c r="P76" s="158"/>
    </row>
    <row r="77" spans="1:16" x14ac:dyDescent="0.25">
      <c r="A77" s="8">
        <f t="shared" si="5"/>
        <v>68</v>
      </c>
      <c r="B77" s="156"/>
      <c r="C77" s="156"/>
      <c r="D77" s="157"/>
      <c r="E77" s="161"/>
      <c r="F77" s="161"/>
      <c r="G77" s="161"/>
      <c r="H77" s="161"/>
      <c r="I77" s="158"/>
      <c r="J77" s="77" t="str">
        <f t="shared" si="6"/>
        <v/>
      </c>
      <c r="K77" s="158"/>
      <c r="L77" s="159"/>
      <c r="M77" s="158"/>
      <c r="N77" s="158"/>
      <c r="O77" s="158"/>
      <c r="P77" s="158"/>
    </row>
    <row r="78" spans="1:16" x14ac:dyDescent="0.25">
      <c r="A78" s="8">
        <f t="shared" si="5"/>
        <v>69</v>
      </c>
      <c r="B78" s="156"/>
      <c r="C78" s="156"/>
      <c r="D78" s="157"/>
      <c r="E78" s="161"/>
      <c r="F78" s="161"/>
      <c r="G78" s="161"/>
      <c r="H78" s="161"/>
      <c r="I78" s="158"/>
      <c r="J78" s="77" t="str">
        <f t="shared" si="6"/>
        <v/>
      </c>
      <c r="K78" s="158"/>
      <c r="L78" s="159"/>
      <c r="M78" s="158"/>
      <c r="N78" s="158"/>
      <c r="O78" s="158"/>
      <c r="P78" s="158"/>
    </row>
    <row r="79" spans="1:16" x14ac:dyDescent="0.25">
      <c r="A79" s="8">
        <f t="shared" si="5"/>
        <v>70</v>
      </c>
      <c r="B79" s="156"/>
      <c r="C79" s="156"/>
      <c r="D79" s="157"/>
      <c r="E79" s="161"/>
      <c r="F79" s="161"/>
      <c r="G79" s="161"/>
      <c r="H79" s="161"/>
      <c r="I79" s="158"/>
      <c r="J79" s="77" t="str">
        <f t="shared" si="6"/>
        <v/>
      </c>
      <c r="K79" s="158"/>
      <c r="L79" s="159"/>
      <c r="M79" s="158"/>
      <c r="N79" s="158"/>
      <c r="O79" s="158"/>
      <c r="P79" s="158"/>
    </row>
    <row r="80" spans="1:16" x14ac:dyDescent="0.25">
      <c r="A80" s="8">
        <f t="shared" si="5"/>
        <v>71</v>
      </c>
      <c r="B80" s="156"/>
      <c r="C80" s="156"/>
      <c r="D80" s="157"/>
      <c r="E80" s="161"/>
      <c r="F80" s="161"/>
      <c r="G80" s="161"/>
      <c r="H80" s="161"/>
      <c r="I80" s="158"/>
      <c r="J80" s="77" t="str">
        <f t="shared" si="6"/>
        <v/>
      </c>
      <c r="K80" s="158"/>
      <c r="L80" s="159"/>
      <c r="M80" s="158"/>
      <c r="N80" s="158"/>
      <c r="O80" s="158"/>
      <c r="P80" s="158"/>
    </row>
    <row r="81" spans="1:16" x14ac:dyDescent="0.25">
      <c r="A81" s="8">
        <f t="shared" si="5"/>
        <v>72</v>
      </c>
      <c r="B81" s="156"/>
      <c r="C81" s="156"/>
      <c r="D81" s="157"/>
      <c r="E81" s="161"/>
      <c r="F81" s="161"/>
      <c r="G81" s="161"/>
      <c r="H81" s="161"/>
      <c r="I81" s="158"/>
      <c r="J81" s="77" t="str">
        <f t="shared" si="6"/>
        <v/>
      </c>
      <c r="K81" s="158"/>
      <c r="L81" s="159"/>
      <c r="M81" s="158"/>
      <c r="N81" s="158"/>
      <c r="O81" s="158"/>
      <c r="P81" s="158"/>
    </row>
    <row r="82" spans="1:16" x14ac:dyDescent="0.25">
      <c r="A82" s="8">
        <f t="shared" si="5"/>
        <v>73</v>
      </c>
      <c r="B82" s="156"/>
      <c r="C82" s="156"/>
      <c r="D82" s="157"/>
      <c r="E82" s="161"/>
      <c r="F82" s="161"/>
      <c r="G82" s="161"/>
      <c r="H82" s="161"/>
      <c r="I82" s="158"/>
      <c r="J82" s="77" t="str">
        <f t="shared" si="6"/>
        <v/>
      </c>
      <c r="K82" s="158"/>
      <c r="L82" s="159"/>
      <c r="M82" s="158"/>
      <c r="N82" s="158"/>
      <c r="O82" s="158"/>
      <c r="P82" s="158"/>
    </row>
    <row r="83" spans="1:16" x14ac:dyDescent="0.25">
      <c r="A83" s="8">
        <f t="shared" si="5"/>
        <v>74</v>
      </c>
      <c r="B83" s="156"/>
      <c r="C83" s="156"/>
      <c r="D83" s="157"/>
      <c r="E83" s="161"/>
      <c r="F83" s="161"/>
      <c r="G83" s="161"/>
      <c r="H83" s="161"/>
      <c r="I83" s="158"/>
      <c r="J83" s="77" t="str">
        <f t="shared" si="6"/>
        <v/>
      </c>
      <c r="K83" s="158"/>
      <c r="L83" s="159"/>
      <c r="M83" s="158"/>
      <c r="N83" s="158"/>
      <c r="O83" s="158"/>
      <c r="P83" s="158"/>
    </row>
    <row r="84" spans="1:16" x14ac:dyDescent="0.25">
      <c r="A84" s="8">
        <f t="shared" si="5"/>
        <v>75</v>
      </c>
      <c r="B84" s="156"/>
      <c r="C84" s="156"/>
      <c r="D84" s="157"/>
      <c r="E84" s="161"/>
      <c r="F84" s="161"/>
      <c r="G84" s="161"/>
      <c r="H84" s="161"/>
      <c r="I84" s="158"/>
      <c r="J84" s="77" t="str">
        <f t="shared" si="6"/>
        <v/>
      </c>
      <c r="K84" s="158"/>
      <c r="L84" s="159"/>
      <c r="M84" s="158"/>
      <c r="N84" s="158"/>
      <c r="O84" s="158"/>
      <c r="P84" s="158"/>
    </row>
    <row r="85" spans="1:16" x14ac:dyDescent="0.25">
      <c r="A85" s="8">
        <f t="shared" si="5"/>
        <v>76</v>
      </c>
      <c r="B85" s="156"/>
      <c r="C85" s="156"/>
      <c r="D85" s="157"/>
      <c r="E85" s="161"/>
      <c r="F85" s="161"/>
      <c r="G85" s="161"/>
      <c r="H85" s="161"/>
      <c r="I85" s="158"/>
      <c r="J85" s="77" t="str">
        <f t="shared" si="6"/>
        <v/>
      </c>
      <c r="K85" s="158"/>
      <c r="L85" s="159"/>
      <c r="M85" s="158"/>
      <c r="N85" s="158"/>
      <c r="O85" s="158"/>
      <c r="P85" s="158"/>
    </row>
    <row r="86" spans="1:16" x14ac:dyDescent="0.25">
      <c r="A86" s="8">
        <f t="shared" si="5"/>
        <v>77</v>
      </c>
      <c r="B86" s="156"/>
      <c r="C86" s="156"/>
      <c r="D86" s="157"/>
      <c r="E86" s="161"/>
      <c r="F86" s="161"/>
      <c r="G86" s="161"/>
      <c r="H86" s="161"/>
      <c r="I86" s="158"/>
      <c r="J86" s="77" t="str">
        <f t="shared" si="6"/>
        <v/>
      </c>
      <c r="K86" s="158"/>
      <c r="L86" s="159"/>
      <c r="M86" s="158"/>
      <c r="N86" s="158"/>
      <c r="O86" s="158"/>
      <c r="P86" s="158"/>
    </row>
    <row r="87" spans="1:16" x14ac:dyDescent="0.25">
      <c r="A87" s="8">
        <f t="shared" si="5"/>
        <v>78</v>
      </c>
      <c r="B87" s="156"/>
      <c r="C87" s="156"/>
      <c r="D87" s="157"/>
      <c r="E87" s="161"/>
      <c r="F87" s="161"/>
      <c r="G87" s="161"/>
      <c r="H87" s="161"/>
      <c r="I87" s="158"/>
      <c r="J87" s="77" t="str">
        <f t="shared" si="6"/>
        <v/>
      </c>
      <c r="K87" s="158"/>
      <c r="L87" s="159"/>
      <c r="M87" s="158"/>
      <c r="N87" s="158"/>
      <c r="O87" s="158"/>
      <c r="P87" s="158"/>
    </row>
    <row r="88" spans="1:16" x14ac:dyDescent="0.25">
      <c r="A88" s="8">
        <f t="shared" si="5"/>
        <v>79</v>
      </c>
      <c r="B88" s="156"/>
      <c r="C88" s="156"/>
      <c r="D88" s="157"/>
      <c r="E88" s="161"/>
      <c r="F88" s="161"/>
      <c r="G88" s="161"/>
      <c r="H88" s="161"/>
      <c r="I88" s="158"/>
      <c r="J88" s="77" t="str">
        <f t="shared" si="6"/>
        <v/>
      </c>
      <c r="K88" s="158"/>
      <c r="L88" s="159"/>
      <c r="M88" s="158"/>
      <c r="N88" s="158"/>
      <c r="O88" s="158"/>
      <c r="P88" s="158"/>
    </row>
    <row r="89" spans="1:16" x14ac:dyDescent="0.25">
      <c r="A89" s="8">
        <f t="shared" si="5"/>
        <v>80</v>
      </c>
      <c r="B89" s="156"/>
      <c r="C89" s="156"/>
      <c r="D89" s="157"/>
      <c r="E89" s="161"/>
      <c r="F89" s="161"/>
      <c r="G89" s="161"/>
      <c r="H89" s="161"/>
      <c r="I89" s="158"/>
      <c r="J89" s="77" t="str">
        <f t="shared" si="6"/>
        <v/>
      </c>
      <c r="K89" s="158"/>
      <c r="L89" s="159"/>
      <c r="M89" s="158"/>
      <c r="N89" s="158"/>
      <c r="O89" s="158"/>
      <c r="P89" s="158"/>
    </row>
    <row r="90" spans="1:16" x14ac:dyDescent="0.25">
      <c r="A90" s="8">
        <f t="shared" si="5"/>
        <v>81</v>
      </c>
      <c r="B90" s="156"/>
      <c r="C90" s="156"/>
      <c r="D90" s="157"/>
      <c r="E90" s="161"/>
      <c r="F90" s="161"/>
      <c r="G90" s="161"/>
      <c r="H90" s="161"/>
      <c r="I90" s="158"/>
      <c r="J90" s="77" t="str">
        <f t="shared" si="6"/>
        <v/>
      </c>
      <c r="K90" s="158"/>
      <c r="L90" s="159"/>
      <c r="M90" s="158"/>
      <c r="N90" s="158"/>
      <c r="O90" s="158"/>
      <c r="P90" s="158"/>
    </row>
    <row r="91" spans="1:16" x14ac:dyDescent="0.25">
      <c r="A91" s="8">
        <f t="shared" si="5"/>
        <v>82</v>
      </c>
      <c r="B91" s="156"/>
      <c r="C91" s="156"/>
      <c r="D91" s="157"/>
      <c r="E91" s="161"/>
      <c r="F91" s="161"/>
      <c r="G91" s="161"/>
      <c r="H91" s="161"/>
      <c r="I91" s="158"/>
      <c r="J91" s="77" t="str">
        <f t="shared" si="6"/>
        <v/>
      </c>
      <c r="K91" s="158"/>
      <c r="L91" s="159"/>
      <c r="M91" s="158"/>
      <c r="N91" s="158"/>
      <c r="O91" s="158"/>
      <c r="P91" s="158"/>
    </row>
    <row r="92" spans="1:16" x14ac:dyDescent="0.25">
      <c r="A92" s="8">
        <f t="shared" si="5"/>
        <v>83</v>
      </c>
      <c r="B92" s="156"/>
      <c r="C92" s="156"/>
      <c r="D92" s="157"/>
      <c r="E92" s="161"/>
      <c r="F92" s="161"/>
      <c r="G92" s="161"/>
      <c r="H92" s="161"/>
      <c r="I92" s="158"/>
      <c r="J92" s="77" t="str">
        <f t="shared" si="6"/>
        <v/>
      </c>
      <c r="K92" s="158"/>
      <c r="L92" s="159"/>
      <c r="M92" s="158"/>
      <c r="N92" s="158"/>
      <c r="O92" s="158"/>
      <c r="P92" s="158"/>
    </row>
    <row r="93" spans="1:16" x14ac:dyDescent="0.25">
      <c r="A93" s="8">
        <f t="shared" si="5"/>
        <v>84</v>
      </c>
      <c r="B93" s="156"/>
      <c r="C93" s="156"/>
      <c r="D93" s="157"/>
      <c r="E93" s="161"/>
      <c r="F93" s="161"/>
      <c r="G93" s="161"/>
      <c r="H93" s="161"/>
      <c r="I93" s="158"/>
      <c r="J93" s="77" t="str">
        <f t="shared" si="6"/>
        <v/>
      </c>
      <c r="K93" s="158"/>
      <c r="L93" s="159"/>
      <c r="M93" s="158"/>
      <c r="N93" s="158"/>
      <c r="O93" s="158"/>
      <c r="P93" s="158"/>
    </row>
    <row r="94" spans="1:16" x14ac:dyDescent="0.25">
      <c r="A94" s="8">
        <f t="shared" si="5"/>
        <v>85</v>
      </c>
      <c r="B94" s="156"/>
      <c r="C94" s="156"/>
      <c r="D94" s="157"/>
      <c r="E94" s="161"/>
      <c r="F94" s="161"/>
      <c r="G94" s="161"/>
      <c r="H94" s="161"/>
      <c r="I94" s="158"/>
      <c r="J94" s="77" t="str">
        <f t="shared" si="6"/>
        <v/>
      </c>
      <c r="K94" s="158"/>
      <c r="L94" s="159"/>
      <c r="M94" s="158"/>
      <c r="N94" s="158"/>
      <c r="O94" s="158"/>
      <c r="P94" s="158"/>
    </row>
    <row r="95" spans="1:16" x14ac:dyDescent="0.25">
      <c r="A95" s="8">
        <f t="shared" si="5"/>
        <v>86</v>
      </c>
      <c r="B95" s="156"/>
      <c r="C95" s="156"/>
      <c r="D95" s="157"/>
      <c r="E95" s="161"/>
      <c r="F95" s="161"/>
      <c r="G95" s="161"/>
      <c r="H95" s="161"/>
      <c r="I95" s="158"/>
      <c r="J95" s="77" t="str">
        <f t="shared" si="6"/>
        <v/>
      </c>
      <c r="K95" s="158"/>
      <c r="L95" s="159"/>
      <c r="M95" s="158"/>
      <c r="N95" s="158"/>
      <c r="O95" s="158"/>
      <c r="P95" s="158"/>
    </row>
    <row r="96" spans="1:16" x14ac:dyDescent="0.25">
      <c r="A96" s="8">
        <f t="shared" si="5"/>
        <v>87</v>
      </c>
      <c r="B96" s="156"/>
      <c r="C96" s="156"/>
      <c r="D96" s="157"/>
      <c r="E96" s="161"/>
      <c r="F96" s="161"/>
      <c r="G96" s="161"/>
      <c r="H96" s="161"/>
      <c r="I96" s="158"/>
      <c r="J96" s="77" t="str">
        <f t="shared" si="6"/>
        <v/>
      </c>
      <c r="K96" s="158"/>
      <c r="L96" s="159"/>
      <c r="M96" s="158"/>
      <c r="N96" s="158"/>
      <c r="O96" s="158"/>
      <c r="P96" s="158"/>
    </row>
    <row r="97" spans="1:16" x14ac:dyDescent="0.25">
      <c r="A97" s="8">
        <f t="shared" si="5"/>
        <v>88</v>
      </c>
      <c r="B97" s="156"/>
      <c r="C97" s="156"/>
      <c r="D97" s="157"/>
      <c r="E97" s="161"/>
      <c r="F97" s="161"/>
      <c r="G97" s="161"/>
      <c r="H97" s="161"/>
      <c r="I97" s="158"/>
      <c r="J97" s="77" t="str">
        <f t="shared" si="6"/>
        <v/>
      </c>
      <c r="K97" s="158"/>
      <c r="L97" s="159"/>
      <c r="M97" s="158"/>
      <c r="N97" s="158"/>
      <c r="O97" s="158"/>
      <c r="P97" s="158"/>
    </row>
    <row r="98" spans="1:16" x14ac:dyDescent="0.25">
      <c r="A98" s="8">
        <f t="shared" si="5"/>
        <v>89</v>
      </c>
      <c r="B98" s="156"/>
      <c r="C98" s="156"/>
      <c r="D98" s="157"/>
      <c r="E98" s="161"/>
      <c r="F98" s="161"/>
      <c r="G98" s="161"/>
      <c r="H98" s="161"/>
      <c r="I98" s="158"/>
      <c r="J98" s="77" t="str">
        <f t="shared" si="6"/>
        <v/>
      </c>
      <c r="K98" s="158"/>
      <c r="L98" s="159"/>
      <c r="M98" s="158"/>
      <c r="N98" s="158"/>
      <c r="O98" s="158"/>
      <c r="P98" s="158"/>
    </row>
    <row r="99" spans="1:16" x14ac:dyDescent="0.25">
      <c r="A99" s="8">
        <f t="shared" si="5"/>
        <v>90</v>
      </c>
      <c r="B99" s="156"/>
      <c r="C99" s="156"/>
      <c r="D99" s="157"/>
      <c r="E99" s="161"/>
      <c r="F99" s="161"/>
      <c r="G99" s="161"/>
      <c r="H99" s="161"/>
      <c r="I99" s="158"/>
      <c r="J99" s="77" t="str">
        <f t="shared" si="6"/>
        <v/>
      </c>
      <c r="K99" s="158"/>
      <c r="L99" s="159"/>
      <c r="M99" s="158"/>
      <c r="N99" s="158"/>
      <c r="O99" s="158"/>
      <c r="P99" s="158"/>
    </row>
    <row r="100" spans="1:16" x14ac:dyDescent="0.25">
      <c r="A100" s="8">
        <f t="shared" si="5"/>
        <v>91</v>
      </c>
      <c r="B100" s="156"/>
      <c r="C100" s="156"/>
      <c r="D100" s="157"/>
      <c r="E100" s="161"/>
      <c r="F100" s="161"/>
      <c r="G100" s="161"/>
      <c r="H100" s="161"/>
      <c r="I100" s="158"/>
      <c r="J100" s="77" t="str">
        <f t="shared" si="6"/>
        <v/>
      </c>
      <c r="K100" s="158"/>
      <c r="L100" s="159"/>
      <c r="M100" s="158"/>
      <c r="N100" s="158"/>
      <c r="O100" s="158"/>
      <c r="P100" s="158"/>
    </row>
    <row r="101" spans="1:16" x14ac:dyDescent="0.25">
      <c r="A101" s="8">
        <f t="shared" si="5"/>
        <v>92</v>
      </c>
      <c r="B101" s="156"/>
      <c r="C101" s="156"/>
      <c r="D101" s="157"/>
      <c r="E101" s="161"/>
      <c r="F101" s="161"/>
      <c r="G101" s="161"/>
      <c r="H101" s="161"/>
      <c r="I101" s="158"/>
      <c r="J101" s="77" t="str">
        <f t="shared" si="6"/>
        <v/>
      </c>
      <c r="K101" s="158"/>
      <c r="L101" s="159"/>
      <c r="M101" s="158"/>
      <c r="N101" s="158"/>
      <c r="O101" s="158"/>
      <c r="P101" s="158"/>
    </row>
    <row r="102" spans="1:16" x14ac:dyDescent="0.25">
      <c r="A102" s="8">
        <f t="shared" si="5"/>
        <v>93</v>
      </c>
      <c r="B102" s="156"/>
      <c r="C102" s="156"/>
      <c r="D102" s="157"/>
      <c r="E102" s="161"/>
      <c r="F102" s="161"/>
      <c r="G102" s="161"/>
      <c r="H102" s="161"/>
      <c r="I102" s="158"/>
      <c r="J102" s="77" t="str">
        <f t="shared" si="6"/>
        <v/>
      </c>
      <c r="K102" s="158"/>
      <c r="L102" s="159"/>
      <c r="M102" s="158"/>
      <c r="N102" s="158"/>
      <c r="O102" s="158"/>
      <c r="P102" s="158"/>
    </row>
    <row r="103" spans="1:16" x14ac:dyDescent="0.25">
      <c r="A103" s="8">
        <f t="shared" si="5"/>
        <v>94</v>
      </c>
      <c r="B103" s="156"/>
      <c r="C103" s="156"/>
      <c r="D103" s="157"/>
      <c r="E103" s="161"/>
      <c r="F103" s="161"/>
      <c r="G103" s="161"/>
      <c r="H103" s="161"/>
      <c r="I103" s="158"/>
      <c r="J103" s="77" t="str">
        <f t="shared" si="6"/>
        <v/>
      </c>
      <c r="K103" s="158"/>
      <c r="L103" s="159"/>
      <c r="M103" s="158"/>
      <c r="N103" s="158"/>
      <c r="O103" s="158"/>
      <c r="P103" s="158"/>
    </row>
    <row r="104" spans="1:16" x14ac:dyDescent="0.25">
      <c r="A104" s="8">
        <f t="shared" si="5"/>
        <v>95</v>
      </c>
      <c r="B104" s="156"/>
      <c r="C104" s="156"/>
      <c r="D104" s="157"/>
      <c r="E104" s="161"/>
      <c r="F104" s="161"/>
      <c r="G104" s="161"/>
      <c r="H104" s="161"/>
      <c r="I104" s="158"/>
      <c r="J104" s="77" t="str">
        <f t="shared" si="6"/>
        <v/>
      </c>
      <c r="K104" s="158"/>
      <c r="L104" s="159"/>
      <c r="M104" s="158"/>
      <c r="N104" s="158"/>
      <c r="O104" s="158"/>
      <c r="P104" s="158"/>
    </row>
    <row r="105" spans="1:16" x14ac:dyDescent="0.25">
      <c r="A105" s="8">
        <f t="shared" si="5"/>
        <v>96</v>
      </c>
      <c r="B105" s="156"/>
      <c r="C105" s="156"/>
      <c r="D105" s="157"/>
      <c r="E105" s="161"/>
      <c r="F105" s="161"/>
      <c r="G105" s="161"/>
      <c r="H105" s="161"/>
      <c r="I105" s="158"/>
      <c r="J105" s="77" t="str">
        <f t="shared" si="6"/>
        <v/>
      </c>
      <c r="K105" s="158"/>
      <c r="L105" s="159"/>
      <c r="M105" s="158"/>
      <c r="N105" s="158"/>
      <c r="O105" s="158"/>
      <c r="P105" s="158"/>
    </row>
    <row r="106" spans="1:16" x14ac:dyDescent="0.25">
      <c r="A106" s="8">
        <f t="shared" si="5"/>
        <v>97</v>
      </c>
      <c r="B106" s="156"/>
      <c r="C106" s="156"/>
      <c r="D106" s="157"/>
      <c r="E106" s="161"/>
      <c r="F106" s="161"/>
      <c r="G106" s="161"/>
      <c r="H106" s="161"/>
      <c r="I106" s="158"/>
      <c r="J106" s="77" t="str">
        <f t="shared" si="6"/>
        <v/>
      </c>
      <c r="K106" s="158"/>
      <c r="L106" s="159"/>
      <c r="M106" s="158"/>
      <c r="N106" s="158"/>
      <c r="O106" s="158"/>
      <c r="P106" s="158"/>
    </row>
    <row r="107" spans="1:16" x14ac:dyDescent="0.25">
      <c r="A107" s="8">
        <f t="shared" si="5"/>
        <v>98</v>
      </c>
      <c r="B107" s="156"/>
      <c r="C107" s="156"/>
      <c r="D107" s="157"/>
      <c r="E107" s="161"/>
      <c r="F107" s="161"/>
      <c r="G107" s="161"/>
      <c r="H107" s="161"/>
      <c r="I107" s="158"/>
      <c r="J107" s="77" t="str">
        <f t="shared" si="6"/>
        <v/>
      </c>
      <c r="K107" s="158"/>
      <c r="L107" s="159"/>
      <c r="M107" s="158"/>
      <c r="N107" s="158"/>
      <c r="O107" s="158"/>
      <c r="P107" s="158"/>
    </row>
    <row r="108" spans="1:16" x14ac:dyDescent="0.25">
      <c r="A108" s="8">
        <f t="shared" si="5"/>
        <v>99</v>
      </c>
      <c r="B108" s="156"/>
      <c r="C108" s="156"/>
      <c r="D108" s="157"/>
      <c r="E108" s="161"/>
      <c r="F108" s="161"/>
      <c r="G108" s="161"/>
      <c r="H108" s="161"/>
      <c r="I108" s="158"/>
      <c r="J108" s="77" t="str">
        <f t="shared" si="6"/>
        <v/>
      </c>
      <c r="K108" s="158"/>
      <c r="L108" s="159"/>
      <c r="M108" s="158"/>
      <c r="N108" s="158"/>
      <c r="O108" s="158"/>
      <c r="P108" s="158"/>
    </row>
    <row r="109" spans="1:16" x14ac:dyDescent="0.25">
      <c r="A109" s="8">
        <f t="shared" si="5"/>
        <v>100</v>
      </c>
      <c r="B109" s="156"/>
      <c r="C109" s="156"/>
      <c r="D109" s="157"/>
      <c r="E109" s="161"/>
      <c r="F109" s="161"/>
      <c r="G109" s="161"/>
      <c r="H109" s="161"/>
      <c r="I109" s="158"/>
      <c r="J109" s="77" t="str">
        <f t="shared" si="6"/>
        <v/>
      </c>
      <c r="K109" s="158"/>
      <c r="L109" s="159"/>
      <c r="M109" s="158"/>
      <c r="N109" s="158"/>
      <c r="O109" s="158"/>
      <c r="P109" s="158"/>
    </row>
    <row r="110" spans="1:16" x14ac:dyDescent="0.25">
      <c r="A110" s="8">
        <f t="shared" si="5"/>
        <v>101</v>
      </c>
      <c r="B110" s="156"/>
      <c r="C110" s="156"/>
      <c r="D110" s="157"/>
      <c r="E110" s="161"/>
      <c r="F110" s="161"/>
      <c r="G110" s="161"/>
      <c r="H110" s="161"/>
      <c r="I110" s="158"/>
      <c r="J110" s="77" t="str">
        <f t="shared" si="6"/>
        <v/>
      </c>
      <c r="K110" s="158"/>
      <c r="L110" s="159"/>
      <c r="M110" s="158"/>
      <c r="N110" s="158"/>
      <c r="O110" s="158"/>
      <c r="P110" s="158"/>
    </row>
    <row r="111" spans="1:16" x14ac:dyDescent="0.25">
      <c r="A111" s="8">
        <f t="shared" si="5"/>
        <v>102</v>
      </c>
      <c r="B111" s="156"/>
      <c r="C111" s="156"/>
      <c r="D111" s="157"/>
      <c r="E111" s="161"/>
      <c r="F111" s="161"/>
      <c r="G111" s="161"/>
      <c r="H111" s="161"/>
      <c r="I111" s="158"/>
      <c r="J111" s="77" t="str">
        <f t="shared" si="6"/>
        <v/>
      </c>
      <c r="K111" s="158"/>
      <c r="L111" s="159"/>
      <c r="M111" s="158"/>
      <c r="N111" s="158"/>
      <c r="O111" s="158"/>
      <c r="P111" s="158"/>
    </row>
    <row r="112" spans="1:16" x14ac:dyDescent="0.25">
      <c r="A112" s="8">
        <f t="shared" si="5"/>
        <v>103</v>
      </c>
      <c r="B112" s="156"/>
      <c r="C112" s="156"/>
      <c r="D112" s="157"/>
      <c r="E112" s="161"/>
      <c r="F112" s="161"/>
      <c r="G112" s="161"/>
      <c r="H112" s="161"/>
      <c r="I112" s="158"/>
      <c r="J112" s="77" t="str">
        <f t="shared" si="6"/>
        <v/>
      </c>
      <c r="K112" s="158"/>
      <c r="L112" s="159"/>
      <c r="M112" s="158"/>
      <c r="N112" s="158"/>
      <c r="O112" s="158"/>
      <c r="P112" s="158"/>
    </row>
    <row r="113" spans="1:16" x14ac:dyDescent="0.25">
      <c r="A113" s="8">
        <f t="shared" si="5"/>
        <v>104</v>
      </c>
      <c r="B113" s="156"/>
      <c r="C113" s="156"/>
      <c r="D113" s="157"/>
      <c r="E113" s="161"/>
      <c r="F113" s="161"/>
      <c r="G113" s="161"/>
      <c r="H113" s="161"/>
      <c r="I113" s="158"/>
      <c r="J113" s="77" t="str">
        <f t="shared" si="6"/>
        <v/>
      </c>
      <c r="K113" s="158"/>
      <c r="L113" s="159"/>
      <c r="M113" s="158"/>
      <c r="N113" s="158"/>
      <c r="O113" s="158"/>
      <c r="P113" s="158"/>
    </row>
    <row r="114" spans="1:16" x14ac:dyDescent="0.25">
      <c r="A114" s="8">
        <f t="shared" si="5"/>
        <v>105</v>
      </c>
      <c r="B114" s="156"/>
      <c r="C114" s="156"/>
      <c r="D114" s="157"/>
      <c r="E114" s="161"/>
      <c r="F114" s="161"/>
      <c r="G114" s="161"/>
      <c r="H114" s="161"/>
      <c r="I114" s="158"/>
      <c r="J114" s="77" t="str">
        <f t="shared" si="6"/>
        <v/>
      </c>
      <c r="K114" s="158"/>
      <c r="L114" s="159"/>
      <c r="M114" s="158"/>
      <c r="N114" s="158"/>
      <c r="O114" s="158"/>
      <c r="P114" s="158"/>
    </row>
    <row r="115" spans="1:16" x14ac:dyDescent="0.25">
      <c r="A115" s="8">
        <f t="shared" si="5"/>
        <v>106</v>
      </c>
      <c r="B115" s="156"/>
      <c r="C115" s="156"/>
      <c r="D115" s="157"/>
      <c r="E115" s="161"/>
      <c r="F115" s="161"/>
      <c r="G115" s="161"/>
      <c r="H115" s="161"/>
      <c r="I115" s="158"/>
      <c r="J115" s="77" t="str">
        <f t="shared" si="6"/>
        <v/>
      </c>
      <c r="K115" s="158"/>
      <c r="L115" s="159"/>
      <c r="M115" s="158"/>
      <c r="N115" s="158"/>
      <c r="O115" s="158"/>
      <c r="P115" s="158"/>
    </row>
    <row r="116" spans="1:16" x14ac:dyDescent="0.25">
      <c r="A116" s="8">
        <f t="shared" si="5"/>
        <v>107</v>
      </c>
      <c r="B116" s="156"/>
      <c r="C116" s="156"/>
      <c r="D116" s="157"/>
      <c r="E116" s="161"/>
      <c r="F116" s="161"/>
      <c r="G116" s="161"/>
      <c r="H116" s="161"/>
      <c r="I116" s="158"/>
      <c r="J116" s="77" t="str">
        <f t="shared" si="6"/>
        <v/>
      </c>
      <c r="K116" s="158"/>
      <c r="L116" s="159"/>
      <c r="M116" s="158"/>
      <c r="N116" s="158"/>
      <c r="O116" s="158"/>
      <c r="P116" s="158"/>
    </row>
    <row r="117" spans="1:16" x14ac:dyDescent="0.25">
      <c r="A117" s="8">
        <f t="shared" si="5"/>
        <v>108</v>
      </c>
      <c r="B117" s="156"/>
      <c r="C117" s="156"/>
      <c r="D117" s="157"/>
      <c r="E117" s="161"/>
      <c r="F117" s="161"/>
      <c r="G117" s="161"/>
      <c r="H117" s="161"/>
      <c r="I117" s="158"/>
      <c r="J117" s="77" t="str">
        <f t="shared" si="6"/>
        <v/>
      </c>
      <c r="K117" s="158"/>
      <c r="L117" s="159"/>
      <c r="M117" s="158"/>
      <c r="N117" s="158"/>
      <c r="O117" s="158"/>
      <c r="P117" s="158"/>
    </row>
    <row r="118" spans="1:16" x14ac:dyDescent="0.25">
      <c r="A118" s="8">
        <f t="shared" si="5"/>
        <v>109</v>
      </c>
      <c r="B118" s="156"/>
      <c r="C118" s="156"/>
      <c r="D118" s="157"/>
      <c r="E118" s="161"/>
      <c r="F118" s="161"/>
      <c r="G118" s="161"/>
      <c r="H118" s="161"/>
      <c r="I118" s="158"/>
      <c r="J118" s="77" t="str">
        <f t="shared" si="6"/>
        <v/>
      </c>
      <c r="K118" s="158"/>
      <c r="L118" s="159"/>
      <c r="M118" s="158"/>
      <c r="N118" s="158"/>
      <c r="O118" s="158"/>
      <c r="P118" s="158"/>
    </row>
    <row r="119" spans="1:16" x14ac:dyDescent="0.25">
      <c r="A119" s="8">
        <f t="shared" si="5"/>
        <v>110</v>
      </c>
      <c r="B119" s="156"/>
      <c r="C119" s="156"/>
      <c r="D119" s="157"/>
      <c r="E119" s="161"/>
      <c r="F119" s="161"/>
      <c r="G119" s="161"/>
      <c r="H119" s="161"/>
      <c r="I119" s="158"/>
      <c r="J119" s="77" t="str">
        <f t="shared" si="6"/>
        <v/>
      </c>
      <c r="K119" s="158"/>
      <c r="L119" s="159"/>
      <c r="M119" s="158"/>
      <c r="N119" s="158"/>
      <c r="O119" s="158"/>
      <c r="P119" s="158"/>
    </row>
    <row r="120" spans="1:16" x14ac:dyDescent="0.25">
      <c r="A120" s="8">
        <f t="shared" si="5"/>
        <v>111</v>
      </c>
      <c r="B120" s="156"/>
      <c r="C120" s="156"/>
      <c r="D120" s="157"/>
      <c r="E120" s="161"/>
      <c r="F120" s="161"/>
      <c r="G120" s="161"/>
      <c r="H120" s="161"/>
      <c r="I120" s="158"/>
      <c r="J120" s="77" t="str">
        <f t="shared" si="6"/>
        <v/>
      </c>
      <c r="K120" s="158"/>
      <c r="L120" s="159"/>
      <c r="M120" s="158"/>
      <c r="N120" s="158"/>
      <c r="O120" s="158"/>
      <c r="P120" s="158"/>
    </row>
    <row r="121" spans="1:16" x14ac:dyDescent="0.25">
      <c r="A121" s="8">
        <f t="shared" si="5"/>
        <v>112</v>
      </c>
      <c r="B121" s="156"/>
      <c r="C121" s="156"/>
      <c r="D121" s="157"/>
      <c r="E121" s="161"/>
      <c r="F121" s="161"/>
      <c r="G121" s="161"/>
      <c r="H121" s="161"/>
      <c r="I121" s="158"/>
      <c r="J121" s="77" t="str">
        <f t="shared" si="6"/>
        <v/>
      </c>
      <c r="K121" s="158"/>
      <c r="L121" s="159"/>
      <c r="M121" s="158"/>
      <c r="N121" s="158"/>
      <c r="O121" s="158"/>
      <c r="P121" s="158"/>
    </row>
    <row r="122" spans="1:16" x14ac:dyDescent="0.25">
      <c r="A122" s="8">
        <f t="shared" si="5"/>
        <v>113</v>
      </c>
      <c r="B122" s="156"/>
      <c r="C122" s="156"/>
      <c r="D122" s="157"/>
      <c r="E122" s="161"/>
      <c r="F122" s="161"/>
      <c r="G122" s="161"/>
      <c r="H122" s="161"/>
      <c r="I122" s="158"/>
      <c r="J122" s="77" t="str">
        <f t="shared" si="6"/>
        <v/>
      </c>
      <c r="K122" s="158"/>
      <c r="L122" s="159"/>
      <c r="M122" s="158"/>
      <c r="N122" s="158"/>
      <c r="O122" s="158"/>
      <c r="P122" s="158"/>
    </row>
    <row r="123" spans="1:16" x14ac:dyDescent="0.25">
      <c r="A123" s="8">
        <f t="shared" si="5"/>
        <v>114</v>
      </c>
      <c r="B123" s="156"/>
      <c r="C123" s="156"/>
      <c r="D123" s="157"/>
      <c r="E123" s="161"/>
      <c r="F123" s="161"/>
      <c r="G123" s="161"/>
      <c r="H123" s="161"/>
      <c r="I123" s="158"/>
      <c r="J123" s="77" t="str">
        <f t="shared" si="6"/>
        <v/>
      </c>
      <c r="K123" s="158"/>
      <c r="L123" s="159"/>
      <c r="M123" s="158"/>
      <c r="N123" s="158"/>
      <c r="O123" s="158"/>
      <c r="P123" s="158"/>
    </row>
    <row r="124" spans="1:16" x14ac:dyDescent="0.25">
      <c r="A124" s="8">
        <f t="shared" si="5"/>
        <v>115</v>
      </c>
      <c r="B124" s="156"/>
      <c r="C124" s="156"/>
      <c r="D124" s="157"/>
      <c r="E124" s="161"/>
      <c r="F124" s="161"/>
      <c r="G124" s="161"/>
      <c r="H124" s="161"/>
      <c r="I124" s="158"/>
      <c r="J124" s="77" t="str">
        <f t="shared" si="6"/>
        <v/>
      </c>
      <c r="K124" s="158"/>
      <c r="L124" s="159"/>
      <c r="M124" s="158"/>
      <c r="N124" s="158"/>
      <c r="O124" s="158"/>
      <c r="P124" s="158"/>
    </row>
    <row r="125" spans="1:16" x14ac:dyDescent="0.25">
      <c r="A125" s="8">
        <f t="shared" si="5"/>
        <v>116</v>
      </c>
      <c r="B125" s="156"/>
      <c r="C125" s="156"/>
      <c r="D125" s="157"/>
      <c r="E125" s="161"/>
      <c r="F125" s="161"/>
      <c r="G125" s="161"/>
      <c r="H125" s="161"/>
      <c r="I125" s="158"/>
      <c r="J125" s="77" t="str">
        <f t="shared" si="6"/>
        <v/>
      </c>
      <c r="K125" s="158"/>
      <c r="L125" s="159"/>
      <c r="M125" s="158"/>
      <c r="N125" s="158"/>
      <c r="O125" s="158"/>
      <c r="P125" s="158"/>
    </row>
    <row r="126" spans="1:16" x14ac:dyDescent="0.25">
      <c r="A126" s="8">
        <f t="shared" si="5"/>
        <v>117</v>
      </c>
      <c r="B126" s="156"/>
      <c r="C126" s="156"/>
      <c r="D126" s="157"/>
      <c r="E126" s="161"/>
      <c r="F126" s="161"/>
      <c r="G126" s="161"/>
      <c r="H126" s="161"/>
      <c r="I126" s="158"/>
      <c r="J126" s="77" t="str">
        <f t="shared" si="6"/>
        <v/>
      </c>
      <c r="K126" s="158"/>
      <c r="L126" s="159"/>
      <c r="M126" s="158"/>
      <c r="N126" s="158"/>
      <c r="O126" s="158"/>
      <c r="P126" s="158"/>
    </row>
    <row r="127" spans="1:16" x14ac:dyDescent="0.25">
      <c r="A127" s="8">
        <f t="shared" si="5"/>
        <v>118</v>
      </c>
      <c r="B127" s="156"/>
      <c r="C127" s="156"/>
      <c r="D127" s="157"/>
      <c r="E127" s="161"/>
      <c r="F127" s="161"/>
      <c r="G127" s="161"/>
      <c r="H127" s="161"/>
      <c r="I127" s="158"/>
      <c r="J127" s="77" t="str">
        <f t="shared" si="6"/>
        <v/>
      </c>
      <c r="K127" s="158"/>
      <c r="L127" s="159"/>
      <c r="M127" s="158"/>
      <c r="N127" s="158"/>
      <c r="O127" s="158"/>
      <c r="P127" s="158"/>
    </row>
    <row r="128" spans="1:16" x14ac:dyDescent="0.25">
      <c r="A128" s="8">
        <f t="shared" si="5"/>
        <v>119</v>
      </c>
      <c r="B128" s="156"/>
      <c r="C128" s="156"/>
      <c r="D128" s="157"/>
      <c r="E128" s="161"/>
      <c r="F128" s="161"/>
      <c r="G128" s="161"/>
      <c r="H128" s="161"/>
      <c r="I128" s="158"/>
      <c r="J128" s="77" t="str">
        <f t="shared" si="6"/>
        <v/>
      </c>
      <c r="K128" s="158"/>
      <c r="L128" s="159"/>
      <c r="M128" s="158"/>
      <c r="N128" s="158"/>
      <c r="O128" s="158"/>
      <c r="P128" s="158"/>
    </row>
    <row r="129" spans="1:16" x14ac:dyDescent="0.25">
      <c r="A129" s="8">
        <f t="shared" si="5"/>
        <v>120</v>
      </c>
      <c r="B129" s="156"/>
      <c r="C129" s="156"/>
      <c r="D129" s="157"/>
      <c r="E129" s="161"/>
      <c r="F129" s="161"/>
      <c r="G129" s="161"/>
      <c r="H129" s="161"/>
      <c r="I129" s="158"/>
      <c r="J129" s="77" t="str">
        <f t="shared" si="6"/>
        <v/>
      </c>
      <c r="K129" s="158"/>
      <c r="L129" s="159"/>
      <c r="M129" s="158"/>
      <c r="N129" s="158"/>
      <c r="O129" s="158"/>
      <c r="P129" s="158"/>
    </row>
    <row r="130" spans="1:16" x14ac:dyDescent="0.25">
      <c r="A130" s="8">
        <f t="shared" si="5"/>
        <v>121</v>
      </c>
      <c r="B130" s="156"/>
      <c r="C130" s="156"/>
      <c r="D130" s="157"/>
      <c r="E130" s="161"/>
      <c r="F130" s="161"/>
      <c r="G130" s="161"/>
      <c r="H130" s="161"/>
      <c r="I130" s="158"/>
      <c r="J130" s="77" t="str">
        <f t="shared" si="6"/>
        <v/>
      </c>
      <c r="K130" s="158"/>
      <c r="L130" s="159"/>
      <c r="M130" s="158"/>
      <c r="N130" s="158"/>
      <c r="O130" s="158"/>
      <c r="P130" s="158"/>
    </row>
    <row r="131" spans="1:16" x14ac:dyDescent="0.25">
      <c r="A131" s="8">
        <f t="shared" si="5"/>
        <v>122</v>
      </c>
      <c r="B131" s="156"/>
      <c r="C131" s="156"/>
      <c r="D131" s="157"/>
      <c r="E131" s="161"/>
      <c r="F131" s="161"/>
      <c r="G131" s="161"/>
      <c r="H131" s="161"/>
      <c r="I131" s="158"/>
      <c r="J131" s="77" t="str">
        <f t="shared" si="6"/>
        <v/>
      </c>
      <c r="K131" s="158"/>
      <c r="L131" s="159"/>
      <c r="M131" s="158"/>
      <c r="N131" s="158"/>
      <c r="O131" s="158"/>
      <c r="P131" s="158"/>
    </row>
    <row r="132" spans="1:16" x14ac:dyDescent="0.25">
      <c r="A132" s="8">
        <f t="shared" si="5"/>
        <v>123</v>
      </c>
      <c r="B132" s="156"/>
      <c r="C132" s="156"/>
      <c r="D132" s="157"/>
      <c r="E132" s="161"/>
      <c r="F132" s="161"/>
      <c r="G132" s="161"/>
      <c r="H132" s="161"/>
      <c r="I132" s="158"/>
      <c r="J132" s="77" t="str">
        <f t="shared" si="6"/>
        <v/>
      </c>
      <c r="K132" s="158"/>
      <c r="L132" s="159"/>
      <c r="M132" s="158"/>
      <c r="N132" s="158"/>
      <c r="O132" s="158"/>
      <c r="P132" s="158"/>
    </row>
    <row r="133" spans="1:16" x14ac:dyDescent="0.25">
      <c r="A133" s="8">
        <f t="shared" si="5"/>
        <v>124</v>
      </c>
      <c r="B133" s="156"/>
      <c r="C133" s="156"/>
      <c r="D133" s="157"/>
      <c r="E133" s="161"/>
      <c r="F133" s="161"/>
      <c r="G133" s="161"/>
      <c r="H133" s="161"/>
      <c r="I133" s="158"/>
      <c r="J133" s="77" t="str">
        <f t="shared" si="6"/>
        <v/>
      </c>
      <c r="K133" s="158"/>
      <c r="L133" s="159"/>
      <c r="M133" s="158"/>
      <c r="N133" s="158"/>
      <c r="O133" s="158"/>
      <c r="P133" s="158"/>
    </row>
    <row r="134" spans="1:16" x14ac:dyDescent="0.25">
      <c r="A134" s="8">
        <f t="shared" si="5"/>
        <v>125</v>
      </c>
      <c r="B134" s="156"/>
      <c r="C134" s="156"/>
      <c r="D134" s="157"/>
      <c r="E134" s="161"/>
      <c r="F134" s="161"/>
      <c r="G134" s="161"/>
      <c r="H134" s="161"/>
      <c r="I134" s="158"/>
      <c r="J134" s="77" t="str">
        <f t="shared" si="6"/>
        <v/>
      </c>
      <c r="K134" s="158"/>
      <c r="L134" s="159"/>
      <c r="M134" s="158"/>
      <c r="N134" s="158"/>
      <c r="O134" s="158"/>
      <c r="P134" s="158"/>
    </row>
    <row r="135" spans="1:16" x14ac:dyDescent="0.25">
      <c r="A135" s="8">
        <f t="shared" si="5"/>
        <v>126</v>
      </c>
      <c r="B135" s="156"/>
      <c r="C135" s="156"/>
      <c r="D135" s="157"/>
      <c r="E135" s="161"/>
      <c r="F135" s="161"/>
      <c r="G135" s="161"/>
      <c r="H135" s="161"/>
      <c r="I135" s="158"/>
      <c r="J135" s="77" t="str">
        <f t="shared" si="6"/>
        <v/>
      </c>
      <c r="K135" s="158"/>
      <c r="L135" s="159"/>
      <c r="M135" s="158"/>
      <c r="N135" s="158"/>
      <c r="O135" s="158"/>
      <c r="P135" s="158"/>
    </row>
    <row r="136" spans="1:16" x14ac:dyDescent="0.25">
      <c r="A136" s="8">
        <f t="shared" si="5"/>
        <v>127</v>
      </c>
      <c r="B136" s="156"/>
      <c r="C136" s="156"/>
      <c r="D136" s="157"/>
      <c r="E136" s="161"/>
      <c r="F136" s="161"/>
      <c r="G136" s="161"/>
      <c r="H136" s="161"/>
      <c r="I136" s="158"/>
      <c r="J136" s="77" t="str">
        <f t="shared" si="6"/>
        <v/>
      </c>
      <c r="K136" s="158"/>
      <c r="L136" s="159"/>
      <c r="M136" s="158"/>
      <c r="N136" s="158"/>
      <c r="O136" s="158"/>
      <c r="P136" s="158"/>
    </row>
    <row r="137" spans="1:16" x14ac:dyDescent="0.25">
      <c r="A137" s="8">
        <f t="shared" si="5"/>
        <v>128</v>
      </c>
      <c r="B137" s="156"/>
      <c r="C137" s="156"/>
      <c r="D137" s="157"/>
      <c r="E137" s="161"/>
      <c r="F137" s="161"/>
      <c r="G137" s="161"/>
      <c r="H137" s="161"/>
      <c r="I137" s="158"/>
      <c r="J137" s="77" t="str">
        <f t="shared" si="6"/>
        <v/>
      </c>
      <c r="K137" s="158"/>
      <c r="L137" s="159"/>
      <c r="M137" s="158"/>
      <c r="N137" s="158"/>
      <c r="O137" s="158"/>
      <c r="P137" s="158"/>
    </row>
    <row r="138" spans="1:16" x14ac:dyDescent="0.25">
      <c r="A138" s="8">
        <f t="shared" si="5"/>
        <v>129</v>
      </c>
      <c r="B138" s="156"/>
      <c r="C138" s="156"/>
      <c r="D138" s="157"/>
      <c r="E138" s="161"/>
      <c r="F138" s="161"/>
      <c r="G138" s="161"/>
      <c r="H138" s="161"/>
      <c r="I138" s="158"/>
      <c r="J138" s="77" t="str">
        <f t="shared" si="6"/>
        <v/>
      </c>
      <c r="K138" s="158"/>
      <c r="L138" s="159"/>
      <c r="M138" s="158"/>
      <c r="N138" s="158"/>
      <c r="O138" s="158"/>
      <c r="P138" s="158"/>
    </row>
    <row r="139" spans="1:16" x14ac:dyDescent="0.25">
      <c r="A139" s="8">
        <f t="shared" si="5"/>
        <v>130</v>
      </c>
      <c r="B139" s="156"/>
      <c r="C139" s="156"/>
      <c r="D139" s="157"/>
      <c r="E139" s="161"/>
      <c r="F139" s="161"/>
      <c r="G139" s="161"/>
      <c r="H139" s="161"/>
      <c r="I139" s="158"/>
      <c r="J139" s="77" t="str">
        <f t="shared" si="6"/>
        <v/>
      </c>
      <c r="K139" s="158"/>
      <c r="L139" s="159"/>
      <c r="M139" s="158"/>
      <c r="N139" s="158"/>
      <c r="O139" s="158"/>
      <c r="P139" s="158"/>
    </row>
    <row r="140" spans="1:16" x14ac:dyDescent="0.25">
      <c r="A140" s="8">
        <f t="shared" ref="A140:A203" si="7">+A139+1</f>
        <v>131</v>
      </c>
      <c r="B140" s="156"/>
      <c r="C140" s="156"/>
      <c r="D140" s="157"/>
      <c r="E140" s="161"/>
      <c r="F140" s="161"/>
      <c r="G140" s="161"/>
      <c r="H140" s="161"/>
      <c r="I140" s="158"/>
      <c r="J140" s="77" t="str">
        <f t="shared" ref="J140:J203" si="8">IF(E140&lt;&gt;"",J139+1,"")</f>
        <v/>
      </c>
      <c r="K140" s="158"/>
      <c r="L140" s="159"/>
      <c r="M140" s="158"/>
      <c r="N140" s="158"/>
      <c r="O140" s="158"/>
      <c r="P140" s="158"/>
    </row>
    <row r="141" spans="1:16" x14ac:dyDescent="0.25">
      <c r="A141" s="8">
        <f t="shared" si="7"/>
        <v>132</v>
      </c>
      <c r="B141" s="156"/>
      <c r="C141" s="156"/>
      <c r="D141" s="157"/>
      <c r="E141" s="161"/>
      <c r="F141" s="161"/>
      <c r="G141" s="161"/>
      <c r="H141" s="161"/>
      <c r="I141" s="158"/>
      <c r="J141" s="77" t="str">
        <f t="shared" si="8"/>
        <v/>
      </c>
      <c r="K141" s="158"/>
      <c r="L141" s="159"/>
      <c r="M141" s="158"/>
      <c r="N141" s="158"/>
      <c r="O141" s="158"/>
      <c r="P141" s="158"/>
    </row>
    <row r="142" spans="1:16" x14ac:dyDescent="0.25">
      <c r="A142" s="8">
        <f t="shared" si="7"/>
        <v>133</v>
      </c>
      <c r="B142" s="156"/>
      <c r="C142" s="156"/>
      <c r="D142" s="157"/>
      <c r="E142" s="161"/>
      <c r="F142" s="161"/>
      <c r="G142" s="161"/>
      <c r="H142" s="161"/>
      <c r="I142" s="158"/>
      <c r="J142" s="77" t="str">
        <f t="shared" si="8"/>
        <v/>
      </c>
      <c r="K142" s="158"/>
      <c r="L142" s="159"/>
      <c r="M142" s="158"/>
      <c r="N142" s="158"/>
      <c r="O142" s="158"/>
      <c r="P142" s="158"/>
    </row>
    <row r="143" spans="1:16" x14ac:dyDescent="0.25">
      <c r="A143" s="8">
        <f t="shared" si="7"/>
        <v>134</v>
      </c>
      <c r="B143" s="156"/>
      <c r="C143" s="156"/>
      <c r="D143" s="157"/>
      <c r="E143" s="161"/>
      <c r="F143" s="161"/>
      <c r="G143" s="161"/>
      <c r="H143" s="161"/>
      <c r="I143" s="158"/>
      <c r="J143" s="77" t="str">
        <f t="shared" si="8"/>
        <v/>
      </c>
      <c r="K143" s="158"/>
      <c r="L143" s="159"/>
      <c r="M143" s="158"/>
      <c r="N143" s="158"/>
      <c r="O143" s="158"/>
      <c r="P143" s="158"/>
    </row>
    <row r="144" spans="1:16" x14ac:dyDescent="0.25">
      <c r="A144" s="8">
        <f t="shared" si="7"/>
        <v>135</v>
      </c>
      <c r="B144" s="156"/>
      <c r="C144" s="156"/>
      <c r="D144" s="157"/>
      <c r="E144" s="161"/>
      <c r="F144" s="161"/>
      <c r="G144" s="161"/>
      <c r="H144" s="161"/>
      <c r="I144" s="158"/>
      <c r="J144" s="77" t="str">
        <f t="shared" si="8"/>
        <v/>
      </c>
      <c r="K144" s="158"/>
      <c r="L144" s="159"/>
      <c r="M144" s="158"/>
      <c r="N144" s="158"/>
      <c r="O144" s="158"/>
      <c r="P144" s="158"/>
    </row>
    <row r="145" spans="1:16" x14ac:dyDescent="0.25">
      <c r="A145" s="8">
        <f t="shared" si="7"/>
        <v>136</v>
      </c>
      <c r="B145" s="156"/>
      <c r="C145" s="156"/>
      <c r="D145" s="157"/>
      <c r="E145" s="161"/>
      <c r="F145" s="161"/>
      <c r="G145" s="161"/>
      <c r="H145" s="161"/>
      <c r="I145" s="158"/>
      <c r="J145" s="77" t="str">
        <f t="shared" si="8"/>
        <v/>
      </c>
      <c r="K145" s="158"/>
      <c r="L145" s="159"/>
      <c r="M145" s="158"/>
      <c r="N145" s="158"/>
      <c r="O145" s="158"/>
      <c r="P145" s="158"/>
    </row>
    <row r="146" spans="1:16" x14ac:dyDescent="0.25">
      <c r="A146" s="8">
        <f t="shared" si="7"/>
        <v>137</v>
      </c>
      <c r="B146" s="156"/>
      <c r="C146" s="156"/>
      <c r="D146" s="157"/>
      <c r="E146" s="161"/>
      <c r="F146" s="161"/>
      <c r="G146" s="161"/>
      <c r="H146" s="161"/>
      <c r="I146" s="158"/>
      <c r="J146" s="77" t="str">
        <f t="shared" si="8"/>
        <v/>
      </c>
      <c r="K146" s="158"/>
      <c r="L146" s="159"/>
      <c r="M146" s="158"/>
      <c r="N146" s="158"/>
      <c r="O146" s="158"/>
      <c r="P146" s="158"/>
    </row>
    <row r="147" spans="1:16" x14ac:dyDescent="0.25">
      <c r="A147" s="8">
        <f t="shared" si="7"/>
        <v>138</v>
      </c>
      <c r="B147" s="156"/>
      <c r="C147" s="156"/>
      <c r="D147" s="157"/>
      <c r="E147" s="161"/>
      <c r="F147" s="161"/>
      <c r="G147" s="161"/>
      <c r="H147" s="161"/>
      <c r="I147" s="158"/>
      <c r="J147" s="77" t="str">
        <f t="shared" si="8"/>
        <v/>
      </c>
      <c r="K147" s="158"/>
      <c r="L147" s="159"/>
      <c r="M147" s="158"/>
      <c r="N147" s="158"/>
      <c r="O147" s="158"/>
      <c r="P147" s="158"/>
    </row>
    <row r="148" spans="1:16" x14ac:dyDescent="0.25">
      <c r="A148" s="8">
        <f t="shared" si="7"/>
        <v>139</v>
      </c>
      <c r="B148" s="156"/>
      <c r="C148" s="156"/>
      <c r="D148" s="157"/>
      <c r="E148" s="161"/>
      <c r="F148" s="161"/>
      <c r="G148" s="161"/>
      <c r="H148" s="161"/>
      <c r="I148" s="158"/>
      <c r="J148" s="77" t="str">
        <f t="shared" si="8"/>
        <v/>
      </c>
      <c r="K148" s="158"/>
      <c r="L148" s="159"/>
      <c r="M148" s="158"/>
      <c r="N148" s="158"/>
      <c r="O148" s="158"/>
      <c r="P148" s="158"/>
    </row>
    <row r="149" spans="1:16" x14ac:dyDescent="0.25">
      <c r="A149" s="8">
        <f t="shared" si="7"/>
        <v>140</v>
      </c>
      <c r="B149" s="156"/>
      <c r="C149" s="156"/>
      <c r="D149" s="157"/>
      <c r="E149" s="161"/>
      <c r="F149" s="161"/>
      <c r="G149" s="161"/>
      <c r="H149" s="161"/>
      <c r="I149" s="158"/>
      <c r="J149" s="77" t="str">
        <f t="shared" si="8"/>
        <v/>
      </c>
      <c r="K149" s="158"/>
      <c r="L149" s="159"/>
      <c r="M149" s="158"/>
      <c r="N149" s="158"/>
      <c r="O149" s="158"/>
      <c r="P149" s="158"/>
    </row>
    <row r="150" spans="1:16" x14ac:dyDescent="0.25">
      <c r="A150" s="8">
        <f t="shared" si="7"/>
        <v>141</v>
      </c>
      <c r="B150" s="156"/>
      <c r="C150" s="156"/>
      <c r="D150" s="157"/>
      <c r="E150" s="161"/>
      <c r="F150" s="161"/>
      <c r="G150" s="161"/>
      <c r="H150" s="161"/>
      <c r="I150" s="158"/>
      <c r="J150" s="77" t="str">
        <f t="shared" si="8"/>
        <v/>
      </c>
      <c r="K150" s="158"/>
      <c r="L150" s="159"/>
      <c r="M150" s="158"/>
      <c r="N150" s="158"/>
      <c r="O150" s="158"/>
      <c r="P150" s="158"/>
    </row>
    <row r="151" spans="1:16" x14ac:dyDescent="0.25">
      <c r="A151" s="8">
        <f t="shared" si="7"/>
        <v>142</v>
      </c>
      <c r="B151" s="156"/>
      <c r="C151" s="156"/>
      <c r="D151" s="157"/>
      <c r="E151" s="161"/>
      <c r="F151" s="161"/>
      <c r="G151" s="161"/>
      <c r="H151" s="161"/>
      <c r="I151" s="158"/>
      <c r="J151" s="77" t="str">
        <f t="shared" si="8"/>
        <v/>
      </c>
      <c r="K151" s="158"/>
      <c r="L151" s="159"/>
      <c r="M151" s="158"/>
      <c r="N151" s="158"/>
      <c r="O151" s="158"/>
      <c r="P151" s="158"/>
    </row>
    <row r="152" spans="1:16" x14ac:dyDescent="0.25">
      <c r="A152" s="8">
        <f t="shared" si="7"/>
        <v>143</v>
      </c>
      <c r="B152" s="156"/>
      <c r="C152" s="156"/>
      <c r="D152" s="157"/>
      <c r="E152" s="161"/>
      <c r="F152" s="161"/>
      <c r="G152" s="161"/>
      <c r="H152" s="161"/>
      <c r="I152" s="158"/>
      <c r="J152" s="77" t="str">
        <f t="shared" si="8"/>
        <v/>
      </c>
      <c r="K152" s="158"/>
      <c r="L152" s="159"/>
      <c r="M152" s="158"/>
      <c r="N152" s="158"/>
      <c r="O152" s="158"/>
      <c r="P152" s="158"/>
    </row>
    <row r="153" spans="1:16" x14ac:dyDescent="0.25">
      <c r="A153" s="8">
        <f t="shared" si="7"/>
        <v>144</v>
      </c>
      <c r="B153" s="156"/>
      <c r="C153" s="156"/>
      <c r="D153" s="157"/>
      <c r="E153" s="161"/>
      <c r="F153" s="161"/>
      <c r="G153" s="161"/>
      <c r="H153" s="161"/>
      <c r="I153" s="158"/>
      <c r="J153" s="77" t="str">
        <f t="shared" si="8"/>
        <v/>
      </c>
      <c r="K153" s="158"/>
      <c r="L153" s="159"/>
      <c r="M153" s="158"/>
      <c r="N153" s="158"/>
      <c r="O153" s="158"/>
      <c r="P153" s="158"/>
    </row>
    <row r="154" spans="1:16" x14ac:dyDescent="0.25">
      <c r="A154" s="8">
        <f t="shared" si="7"/>
        <v>145</v>
      </c>
      <c r="B154" s="156"/>
      <c r="C154" s="156"/>
      <c r="D154" s="157"/>
      <c r="E154" s="161"/>
      <c r="F154" s="161"/>
      <c r="G154" s="161"/>
      <c r="H154" s="161"/>
      <c r="I154" s="158"/>
      <c r="J154" s="77" t="str">
        <f t="shared" si="8"/>
        <v/>
      </c>
      <c r="K154" s="158"/>
      <c r="L154" s="159"/>
      <c r="M154" s="158"/>
      <c r="N154" s="158"/>
      <c r="O154" s="158"/>
      <c r="P154" s="158"/>
    </row>
    <row r="155" spans="1:16" x14ac:dyDescent="0.25">
      <c r="A155" s="8">
        <f t="shared" si="7"/>
        <v>146</v>
      </c>
      <c r="B155" s="156"/>
      <c r="C155" s="156"/>
      <c r="D155" s="157"/>
      <c r="E155" s="161"/>
      <c r="F155" s="161"/>
      <c r="G155" s="161"/>
      <c r="H155" s="161"/>
      <c r="I155" s="158"/>
      <c r="J155" s="77" t="str">
        <f t="shared" si="8"/>
        <v/>
      </c>
      <c r="K155" s="158"/>
      <c r="L155" s="159"/>
      <c r="M155" s="158"/>
      <c r="N155" s="158"/>
      <c r="O155" s="158"/>
      <c r="P155" s="158"/>
    </row>
    <row r="156" spans="1:16" x14ac:dyDescent="0.25">
      <c r="A156" s="8">
        <f t="shared" si="7"/>
        <v>147</v>
      </c>
      <c r="B156" s="156"/>
      <c r="C156" s="156"/>
      <c r="D156" s="157"/>
      <c r="E156" s="161"/>
      <c r="F156" s="161"/>
      <c r="G156" s="161"/>
      <c r="H156" s="161"/>
      <c r="I156" s="158"/>
      <c r="J156" s="77" t="str">
        <f t="shared" si="8"/>
        <v/>
      </c>
      <c r="K156" s="158"/>
      <c r="L156" s="159"/>
      <c r="M156" s="158"/>
      <c r="N156" s="158"/>
      <c r="O156" s="158"/>
      <c r="P156" s="158"/>
    </row>
    <row r="157" spans="1:16" x14ac:dyDescent="0.25">
      <c r="A157" s="8">
        <f t="shared" si="7"/>
        <v>148</v>
      </c>
      <c r="B157" s="156"/>
      <c r="C157" s="156"/>
      <c r="D157" s="157"/>
      <c r="E157" s="161"/>
      <c r="F157" s="161"/>
      <c r="G157" s="161"/>
      <c r="H157" s="161"/>
      <c r="I157" s="158"/>
      <c r="J157" s="77" t="str">
        <f t="shared" si="8"/>
        <v/>
      </c>
      <c r="K157" s="158"/>
      <c r="L157" s="159"/>
      <c r="M157" s="158"/>
      <c r="N157" s="158"/>
      <c r="O157" s="158"/>
      <c r="P157" s="158"/>
    </row>
    <row r="158" spans="1:16" x14ac:dyDescent="0.25">
      <c r="A158" s="8">
        <f t="shared" si="7"/>
        <v>149</v>
      </c>
      <c r="B158" s="156"/>
      <c r="C158" s="156"/>
      <c r="D158" s="157"/>
      <c r="E158" s="161"/>
      <c r="F158" s="161"/>
      <c r="G158" s="161"/>
      <c r="H158" s="161"/>
      <c r="I158" s="158"/>
      <c r="J158" s="77" t="str">
        <f t="shared" si="8"/>
        <v/>
      </c>
      <c r="K158" s="158"/>
      <c r="L158" s="159"/>
      <c r="M158" s="158"/>
      <c r="N158" s="158"/>
      <c r="O158" s="158"/>
      <c r="P158" s="158"/>
    </row>
    <row r="159" spans="1:16" x14ac:dyDescent="0.25">
      <c r="A159" s="8">
        <f t="shared" si="7"/>
        <v>150</v>
      </c>
      <c r="B159" s="156"/>
      <c r="C159" s="156"/>
      <c r="D159" s="157"/>
      <c r="E159" s="161"/>
      <c r="F159" s="161"/>
      <c r="G159" s="161"/>
      <c r="H159" s="161"/>
      <c r="I159" s="158"/>
      <c r="J159" s="77" t="str">
        <f t="shared" si="8"/>
        <v/>
      </c>
      <c r="K159" s="158"/>
      <c r="L159" s="159"/>
      <c r="M159" s="158"/>
      <c r="N159" s="158"/>
      <c r="O159" s="158"/>
      <c r="P159" s="158"/>
    </row>
    <row r="160" spans="1:16" x14ac:dyDescent="0.25">
      <c r="A160" s="8">
        <f t="shared" si="7"/>
        <v>151</v>
      </c>
      <c r="B160" s="156"/>
      <c r="C160" s="156"/>
      <c r="D160" s="157"/>
      <c r="E160" s="161"/>
      <c r="F160" s="161"/>
      <c r="G160" s="161"/>
      <c r="H160" s="161"/>
      <c r="I160" s="158"/>
      <c r="J160" s="77" t="str">
        <f t="shared" si="8"/>
        <v/>
      </c>
      <c r="K160" s="158"/>
      <c r="L160" s="159"/>
      <c r="M160" s="158"/>
      <c r="N160" s="158"/>
      <c r="O160" s="158"/>
      <c r="P160" s="158"/>
    </row>
    <row r="161" spans="1:16" x14ac:dyDescent="0.25">
      <c r="A161" s="8">
        <f t="shared" si="7"/>
        <v>152</v>
      </c>
      <c r="B161" s="156"/>
      <c r="C161" s="156"/>
      <c r="D161" s="157"/>
      <c r="E161" s="161"/>
      <c r="F161" s="161"/>
      <c r="G161" s="161"/>
      <c r="H161" s="161"/>
      <c r="I161" s="158"/>
      <c r="J161" s="77" t="str">
        <f t="shared" si="8"/>
        <v/>
      </c>
      <c r="K161" s="158"/>
      <c r="L161" s="159"/>
      <c r="M161" s="158"/>
      <c r="N161" s="158"/>
      <c r="O161" s="158"/>
      <c r="P161" s="158"/>
    </row>
    <row r="162" spans="1:16" x14ac:dyDescent="0.25">
      <c r="A162" s="8">
        <f t="shared" si="7"/>
        <v>153</v>
      </c>
      <c r="B162" s="156"/>
      <c r="C162" s="156"/>
      <c r="D162" s="157"/>
      <c r="E162" s="161"/>
      <c r="F162" s="161"/>
      <c r="G162" s="161"/>
      <c r="H162" s="161"/>
      <c r="I162" s="158"/>
      <c r="J162" s="77" t="str">
        <f t="shared" si="8"/>
        <v/>
      </c>
      <c r="K162" s="158"/>
      <c r="L162" s="159"/>
      <c r="M162" s="158"/>
      <c r="N162" s="158"/>
      <c r="O162" s="158"/>
      <c r="P162" s="158"/>
    </row>
    <row r="163" spans="1:16" x14ac:dyDescent="0.25">
      <c r="A163" s="8">
        <f t="shared" si="7"/>
        <v>154</v>
      </c>
      <c r="B163" s="156"/>
      <c r="C163" s="156"/>
      <c r="D163" s="157"/>
      <c r="E163" s="161"/>
      <c r="F163" s="161"/>
      <c r="G163" s="161"/>
      <c r="H163" s="161"/>
      <c r="I163" s="158"/>
      <c r="J163" s="77" t="str">
        <f t="shared" si="8"/>
        <v/>
      </c>
      <c r="K163" s="158"/>
      <c r="L163" s="159"/>
      <c r="M163" s="158"/>
      <c r="N163" s="158"/>
      <c r="O163" s="158"/>
      <c r="P163" s="158"/>
    </row>
    <row r="164" spans="1:16" x14ac:dyDescent="0.25">
      <c r="A164" s="8">
        <f t="shared" si="7"/>
        <v>155</v>
      </c>
      <c r="B164" s="156"/>
      <c r="C164" s="156"/>
      <c r="D164" s="157"/>
      <c r="E164" s="161"/>
      <c r="F164" s="161"/>
      <c r="G164" s="161"/>
      <c r="H164" s="161"/>
      <c r="I164" s="158"/>
      <c r="J164" s="77" t="str">
        <f t="shared" si="8"/>
        <v/>
      </c>
      <c r="K164" s="158"/>
      <c r="L164" s="159"/>
      <c r="M164" s="158"/>
      <c r="N164" s="158"/>
      <c r="O164" s="158"/>
      <c r="P164" s="158"/>
    </row>
    <row r="165" spans="1:16" x14ac:dyDescent="0.25">
      <c r="A165" s="8">
        <f t="shared" si="7"/>
        <v>156</v>
      </c>
      <c r="B165" s="156"/>
      <c r="C165" s="156"/>
      <c r="D165" s="157"/>
      <c r="E165" s="161"/>
      <c r="F165" s="161"/>
      <c r="G165" s="161"/>
      <c r="H165" s="161"/>
      <c r="I165" s="158"/>
      <c r="J165" s="77" t="str">
        <f t="shared" si="8"/>
        <v/>
      </c>
      <c r="K165" s="158"/>
      <c r="L165" s="159"/>
      <c r="M165" s="158"/>
      <c r="N165" s="158"/>
      <c r="O165" s="158"/>
      <c r="P165" s="158"/>
    </row>
    <row r="166" spans="1:16" x14ac:dyDescent="0.25">
      <c r="A166" s="8">
        <f t="shared" si="7"/>
        <v>157</v>
      </c>
      <c r="B166" s="156"/>
      <c r="C166" s="156"/>
      <c r="D166" s="157"/>
      <c r="E166" s="161"/>
      <c r="F166" s="161"/>
      <c r="G166" s="161"/>
      <c r="H166" s="161"/>
      <c r="I166" s="158"/>
      <c r="J166" s="77" t="str">
        <f t="shared" si="8"/>
        <v/>
      </c>
      <c r="K166" s="158"/>
      <c r="L166" s="159"/>
      <c r="M166" s="158"/>
      <c r="N166" s="158"/>
      <c r="O166" s="158"/>
      <c r="P166" s="158"/>
    </row>
    <row r="167" spans="1:16" x14ac:dyDescent="0.25">
      <c r="A167" s="8">
        <f t="shared" si="7"/>
        <v>158</v>
      </c>
      <c r="B167" s="156"/>
      <c r="C167" s="156"/>
      <c r="D167" s="157"/>
      <c r="E167" s="161"/>
      <c r="F167" s="161"/>
      <c r="G167" s="161"/>
      <c r="H167" s="161"/>
      <c r="I167" s="158"/>
      <c r="J167" s="77" t="str">
        <f t="shared" si="8"/>
        <v/>
      </c>
      <c r="K167" s="158"/>
      <c r="L167" s="159"/>
      <c r="M167" s="158"/>
      <c r="N167" s="158"/>
      <c r="O167" s="158"/>
      <c r="P167" s="158"/>
    </row>
    <row r="168" spans="1:16" x14ac:dyDescent="0.25">
      <c r="A168" s="8">
        <f t="shared" si="7"/>
        <v>159</v>
      </c>
      <c r="B168" s="156"/>
      <c r="C168" s="156"/>
      <c r="D168" s="157"/>
      <c r="E168" s="161"/>
      <c r="F168" s="161"/>
      <c r="G168" s="161"/>
      <c r="H168" s="161"/>
      <c r="I168" s="158"/>
      <c r="J168" s="77" t="str">
        <f t="shared" si="8"/>
        <v/>
      </c>
      <c r="K168" s="158"/>
      <c r="L168" s="159"/>
      <c r="M168" s="158"/>
      <c r="N168" s="158"/>
      <c r="O168" s="158"/>
      <c r="P168" s="158"/>
    </row>
    <row r="169" spans="1:16" x14ac:dyDescent="0.25">
      <c r="A169" s="8">
        <f t="shared" si="7"/>
        <v>160</v>
      </c>
      <c r="B169" s="156"/>
      <c r="C169" s="156"/>
      <c r="D169" s="157"/>
      <c r="E169" s="161"/>
      <c r="F169" s="161"/>
      <c r="G169" s="161"/>
      <c r="H169" s="161"/>
      <c r="I169" s="158"/>
      <c r="J169" s="77" t="str">
        <f t="shared" si="8"/>
        <v/>
      </c>
      <c r="K169" s="158"/>
      <c r="L169" s="159"/>
      <c r="M169" s="158"/>
      <c r="N169" s="158"/>
      <c r="O169" s="158"/>
      <c r="P169" s="158"/>
    </row>
    <row r="170" spans="1:16" x14ac:dyDescent="0.25">
      <c r="A170" s="8">
        <f t="shared" si="7"/>
        <v>161</v>
      </c>
      <c r="B170" s="156"/>
      <c r="C170" s="156"/>
      <c r="D170" s="157"/>
      <c r="E170" s="161"/>
      <c r="F170" s="161"/>
      <c r="G170" s="161"/>
      <c r="H170" s="161"/>
      <c r="I170" s="158"/>
      <c r="J170" s="77" t="str">
        <f t="shared" si="8"/>
        <v/>
      </c>
      <c r="K170" s="158"/>
      <c r="L170" s="159"/>
      <c r="M170" s="158"/>
      <c r="N170" s="158"/>
      <c r="O170" s="158"/>
      <c r="P170" s="158"/>
    </row>
    <row r="171" spans="1:16" x14ac:dyDescent="0.25">
      <c r="A171" s="8">
        <f t="shared" si="7"/>
        <v>162</v>
      </c>
      <c r="B171" s="156"/>
      <c r="C171" s="156"/>
      <c r="D171" s="157"/>
      <c r="E171" s="161"/>
      <c r="F171" s="161"/>
      <c r="G171" s="161"/>
      <c r="H171" s="161"/>
      <c r="I171" s="158"/>
      <c r="J171" s="77" t="str">
        <f t="shared" si="8"/>
        <v/>
      </c>
      <c r="K171" s="158"/>
      <c r="L171" s="159"/>
      <c r="M171" s="158"/>
      <c r="N171" s="158"/>
      <c r="O171" s="158"/>
      <c r="P171" s="158"/>
    </row>
    <row r="172" spans="1:16" x14ac:dyDescent="0.25">
      <c r="A172" s="8">
        <f t="shared" si="7"/>
        <v>163</v>
      </c>
      <c r="B172" s="156"/>
      <c r="C172" s="156"/>
      <c r="D172" s="157"/>
      <c r="E172" s="161"/>
      <c r="F172" s="161"/>
      <c r="G172" s="161"/>
      <c r="H172" s="161"/>
      <c r="I172" s="158"/>
      <c r="J172" s="77" t="str">
        <f t="shared" si="8"/>
        <v/>
      </c>
      <c r="K172" s="158"/>
      <c r="L172" s="159"/>
      <c r="M172" s="158"/>
      <c r="N172" s="158"/>
      <c r="O172" s="158"/>
      <c r="P172" s="158"/>
    </row>
    <row r="173" spans="1:16" x14ac:dyDescent="0.25">
      <c r="A173" s="8">
        <f t="shared" si="7"/>
        <v>164</v>
      </c>
      <c r="B173" s="156"/>
      <c r="C173" s="156"/>
      <c r="D173" s="157"/>
      <c r="E173" s="161"/>
      <c r="F173" s="161"/>
      <c r="G173" s="161"/>
      <c r="H173" s="161"/>
      <c r="I173" s="158"/>
      <c r="J173" s="77" t="str">
        <f t="shared" si="8"/>
        <v/>
      </c>
      <c r="K173" s="158"/>
      <c r="L173" s="159"/>
      <c r="M173" s="158"/>
      <c r="N173" s="158"/>
      <c r="O173" s="158"/>
      <c r="P173" s="158"/>
    </row>
    <row r="174" spans="1:16" x14ac:dyDescent="0.25">
      <c r="A174" s="8">
        <f t="shared" si="7"/>
        <v>165</v>
      </c>
      <c r="B174" s="156"/>
      <c r="C174" s="156"/>
      <c r="D174" s="157"/>
      <c r="E174" s="161"/>
      <c r="F174" s="161"/>
      <c r="G174" s="161"/>
      <c r="H174" s="161"/>
      <c r="I174" s="158"/>
      <c r="J174" s="77" t="str">
        <f t="shared" si="8"/>
        <v/>
      </c>
      <c r="K174" s="158"/>
      <c r="L174" s="159"/>
      <c r="M174" s="158"/>
      <c r="N174" s="158"/>
      <c r="O174" s="158"/>
      <c r="P174" s="158"/>
    </row>
    <row r="175" spans="1:16" x14ac:dyDescent="0.25">
      <c r="A175" s="8">
        <f t="shared" si="7"/>
        <v>166</v>
      </c>
      <c r="B175" s="156"/>
      <c r="C175" s="156"/>
      <c r="D175" s="157"/>
      <c r="E175" s="161"/>
      <c r="F175" s="161"/>
      <c r="G175" s="161"/>
      <c r="H175" s="161"/>
      <c r="I175" s="158"/>
      <c r="J175" s="77" t="str">
        <f t="shared" si="8"/>
        <v/>
      </c>
      <c r="K175" s="158"/>
      <c r="L175" s="159"/>
      <c r="M175" s="158"/>
      <c r="N175" s="158"/>
      <c r="O175" s="158"/>
      <c r="P175" s="158"/>
    </row>
    <row r="176" spans="1:16" x14ac:dyDescent="0.25">
      <c r="A176" s="8">
        <f t="shared" si="7"/>
        <v>167</v>
      </c>
      <c r="B176" s="156"/>
      <c r="C176" s="156"/>
      <c r="D176" s="157"/>
      <c r="E176" s="161"/>
      <c r="F176" s="161"/>
      <c r="G176" s="161"/>
      <c r="H176" s="161"/>
      <c r="I176" s="158"/>
      <c r="J176" s="77" t="str">
        <f t="shared" si="8"/>
        <v/>
      </c>
      <c r="K176" s="158"/>
      <c r="L176" s="159"/>
      <c r="M176" s="158"/>
      <c r="N176" s="158"/>
      <c r="O176" s="158"/>
      <c r="P176" s="158"/>
    </row>
    <row r="177" spans="1:16" x14ac:dyDescent="0.25">
      <c r="A177" s="8">
        <f t="shared" si="7"/>
        <v>168</v>
      </c>
      <c r="B177" s="156"/>
      <c r="C177" s="156"/>
      <c r="D177" s="157"/>
      <c r="E177" s="161"/>
      <c r="F177" s="161"/>
      <c r="G177" s="161"/>
      <c r="H177" s="161"/>
      <c r="I177" s="158"/>
      <c r="J177" s="77" t="str">
        <f t="shared" si="8"/>
        <v/>
      </c>
      <c r="K177" s="158"/>
      <c r="L177" s="159"/>
      <c r="M177" s="158"/>
      <c r="N177" s="158"/>
      <c r="O177" s="158"/>
      <c r="P177" s="158"/>
    </row>
    <row r="178" spans="1:16" x14ac:dyDescent="0.25">
      <c r="A178" s="8">
        <f t="shared" si="7"/>
        <v>169</v>
      </c>
      <c r="B178" s="156"/>
      <c r="C178" s="156"/>
      <c r="D178" s="157"/>
      <c r="E178" s="161"/>
      <c r="F178" s="161"/>
      <c r="G178" s="161"/>
      <c r="H178" s="161"/>
      <c r="I178" s="158"/>
      <c r="J178" s="77" t="str">
        <f t="shared" si="8"/>
        <v/>
      </c>
      <c r="K178" s="158"/>
      <c r="L178" s="159"/>
      <c r="M178" s="158"/>
      <c r="N178" s="158"/>
      <c r="O178" s="158"/>
      <c r="P178" s="158"/>
    </row>
    <row r="179" spans="1:16" x14ac:dyDescent="0.25">
      <c r="A179" s="8">
        <f t="shared" si="7"/>
        <v>170</v>
      </c>
      <c r="B179" s="156"/>
      <c r="C179" s="156"/>
      <c r="D179" s="157"/>
      <c r="E179" s="161"/>
      <c r="F179" s="161"/>
      <c r="G179" s="161"/>
      <c r="H179" s="161"/>
      <c r="I179" s="158"/>
      <c r="J179" s="77" t="str">
        <f t="shared" si="8"/>
        <v/>
      </c>
      <c r="K179" s="158"/>
      <c r="L179" s="159"/>
      <c r="M179" s="158"/>
      <c r="N179" s="158"/>
      <c r="O179" s="158"/>
      <c r="P179" s="158"/>
    </row>
    <row r="180" spans="1:16" x14ac:dyDescent="0.25">
      <c r="A180" s="8">
        <f t="shared" si="7"/>
        <v>171</v>
      </c>
      <c r="B180" s="156"/>
      <c r="C180" s="156"/>
      <c r="D180" s="157"/>
      <c r="E180" s="161"/>
      <c r="F180" s="161"/>
      <c r="G180" s="161"/>
      <c r="H180" s="161"/>
      <c r="I180" s="158"/>
      <c r="J180" s="77" t="str">
        <f t="shared" si="8"/>
        <v/>
      </c>
      <c r="K180" s="158"/>
      <c r="L180" s="159"/>
      <c r="M180" s="158"/>
      <c r="N180" s="158"/>
      <c r="O180" s="158"/>
      <c r="P180" s="158"/>
    </row>
    <row r="181" spans="1:16" x14ac:dyDescent="0.25">
      <c r="A181" s="8">
        <f t="shared" si="7"/>
        <v>172</v>
      </c>
      <c r="B181" s="156"/>
      <c r="C181" s="156"/>
      <c r="D181" s="157"/>
      <c r="E181" s="161"/>
      <c r="F181" s="161"/>
      <c r="G181" s="161"/>
      <c r="H181" s="161"/>
      <c r="I181" s="158"/>
      <c r="J181" s="77" t="str">
        <f t="shared" si="8"/>
        <v/>
      </c>
      <c r="K181" s="158"/>
      <c r="L181" s="159"/>
      <c r="M181" s="158"/>
      <c r="N181" s="158"/>
      <c r="O181" s="158"/>
      <c r="P181" s="158"/>
    </row>
    <row r="182" spans="1:16" x14ac:dyDescent="0.25">
      <c r="A182" s="8">
        <f t="shared" si="7"/>
        <v>173</v>
      </c>
      <c r="B182" s="156"/>
      <c r="C182" s="156"/>
      <c r="D182" s="157"/>
      <c r="E182" s="161"/>
      <c r="F182" s="161"/>
      <c r="G182" s="161"/>
      <c r="H182" s="161"/>
      <c r="I182" s="158"/>
      <c r="J182" s="77" t="str">
        <f t="shared" si="8"/>
        <v/>
      </c>
      <c r="K182" s="158"/>
      <c r="L182" s="159"/>
      <c r="M182" s="158"/>
      <c r="N182" s="158"/>
      <c r="O182" s="158"/>
      <c r="P182" s="158"/>
    </row>
    <row r="183" spans="1:16" x14ac:dyDescent="0.25">
      <c r="A183" s="8">
        <f t="shared" si="7"/>
        <v>174</v>
      </c>
      <c r="B183" s="156"/>
      <c r="C183" s="156"/>
      <c r="D183" s="157"/>
      <c r="E183" s="161"/>
      <c r="F183" s="161"/>
      <c r="G183" s="161"/>
      <c r="H183" s="161"/>
      <c r="I183" s="158"/>
      <c r="J183" s="77" t="str">
        <f t="shared" si="8"/>
        <v/>
      </c>
      <c r="K183" s="158"/>
      <c r="L183" s="159"/>
      <c r="M183" s="158"/>
      <c r="N183" s="158"/>
      <c r="O183" s="158"/>
      <c r="P183" s="158"/>
    </row>
    <row r="184" spans="1:16" x14ac:dyDescent="0.25">
      <c r="A184" s="8">
        <f t="shared" si="7"/>
        <v>175</v>
      </c>
      <c r="B184" s="156"/>
      <c r="C184" s="156"/>
      <c r="D184" s="157"/>
      <c r="E184" s="161"/>
      <c r="F184" s="161"/>
      <c r="G184" s="161"/>
      <c r="H184" s="161"/>
      <c r="I184" s="158"/>
      <c r="J184" s="77" t="str">
        <f t="shared" si="8"/>
        <v/>
      </c>
      <c r="K184" s="158"/>
      <c r="L184" s="159"/>
      <c r="M184" s="158"/>
      <c r="N184" s="158"/>
      <c r="O184" s="158"/>
      <c r="P184" s="158"/>
    </row>
    <row r="185" spans="1:16" x14ac:dyDescent="0.25">
      <c r="A185" s="8">
        <f t="shared" si="7"/>
        <v>176</v>
      </c>
      <c r="B185" s="156"/>
      <c r="C185" s="156"/>
      <c r="D185" s="157"/>
      <c r="E185" s="161"/>
      <c r="F185" s="161"/>
      <c r="G185" s="161"/>
      <c r="H185" s="161"/>
      <c r="I185" s="158"/>
      <c r="J185" s="77" t="str">
        <f t="shared" si="8"/>
        <v/>
      </c>
      <c r="K185" s="158"/>
      <c r="L185" s="159"/>
      <c r="M185" s="158"/>
      <c r="N185" s="158"/>
      <c r="O185" s="158"/>
      <c r="P185" s="158"/>
    </row>
    <row r="186" spans="1:16" x14ac:dyDescent="0.25">
      <c r="A186" s="8">
        <f t="shared" si="7"/>
        <v>177</v>
      </c>
      <c r="B186" s="156"/>
      <c r="C186" s="156"/>
      <c r="D186" s="157"/>
      <c r="E186" s="161"/>
      <c r="F186" s="161"/>
      <c r="G186" s="161"/>
      <c r="H186" s="161"/>
      <c r="I186" s="158"/>
      <c r="J186" s="77" t="str">
        <f t="shared" si="8"/>
        <v/>
      </c>
      <c r="K186" s="158"/>
      <c r="L186" s="159"/>
      <c r="M186" s="158"/>
      <c r="N186" s="158"/>
      <c r="O186" s="158"/>
      <c r="P186" s="158"/>
    </row>
    <row r="187" spans="1:16" x14ac:dyDescent="0.25">
      <c r="A187" s="8">
        <f t="shared" si="7"/>
        <v>178</v>
      </c>
      <c r="B187" s="156"/>
      <c r="C187" s="156"/>
      <c r="D187" s="157"/>
      <c r="E187" s="161"/>
      <c r="F187" s="161"/>
      <c r="G187" s="161"/>
      <c r="H187" s="161"/>
      <c r="I187" s="158"/>
      <c r="J187" s="77" t="str">
        <f t="shared" si="8"/>
        <v/>
      </c>
      <c r="K187" s="158"/>
      <c r="L187" s="159"/>
      <c r="M187" s="158"/>
      <c r="N187" s="158"/>
      <c r="O187" s="158"/>
      <c r="P187" s="158"/>
    </row>
    <row r="188" spans="1:16" x14ac:dyDescent="0.25">
      <c r="A188" s="8">
        <f t="shared" si="7"/>
        <v>179</v>
      </c>
      <c r="B188" s="156"/>
      <c r="C188" s="156"/>
      <c r="D188" s="157"/>
      <c r="E188" s="161"/>
      <c r="F188" s="161"/>
      <c r="G188" s="161"/>
      <c r="H188" s="161"/>
      <c r="I188" s="158"/>
      <c r="J188" s="77" t="str">
        <f t="shared" si="8"/>
        <v/>
      </c>
      <c r="K188" s="158"/>
      <c r="L188" s="159"/>
      <c r="M188" s="158"/>
      <c r="N188" s="158"/>
      <c r="O188" s="158"/>
      <c r="P188" s="158"/>
    </row>
    <row r="189" spans="1:16" x14ac:dyDescent="0.25">
      <c r="A189" s="8">
        <f t="shared" si="7"/>
        <v>180</v>
      </c>
      <c r="B189" s="156"/>
      <c r="C189" s="156"/>
      <c r="D189" s="157"/>
      <c r="E189" s="161"/>
      <c r="F189" s="161"/>
      <c r="G189" s="161"/>
      <c r="H189" s="161"/>
      <c r="I189" s="158"/>
      <c r="J189" s="77" t="str">
        <f t="shared" si="8"/>
        <v/>
      </c>
      <c r="K189" s="158"/>
      <c r="L189" s="159"/>
      <c r="M189" s="158"/>
      <c r="N189" s="158"/>
      <c r="O189" s="158"/>
      <c r="P189" s="158"/>
    </row>
    <row r="190" spans="1:16" x14ac:dyDescent="0.25">
      <c r="A190" s="8">
        <f t="shared" si="7"/>
        <v>181</v>
      </c>
      <c r="B190" s="156"/>
      <c r="C190" s="156"/>
      <c r="D190" s="157"/>
      <c r="E190" s="161"/>
      <c r="F190" s="161"/>
      <c r="G190" s="161"/>
      <c r="H190" s="161"/>
      <c r="I190" s="158"/>
      <c r="J190" s="77" t="str">
        <f t="shared" si="8"/>
        <v/>
      </c>
      <c r="K190" s="158"/>
      <c r="L190" s="159"/>
      <c r="M190" s="158"/>
      <c r="N190" s="158"/>
      <c r="O190" s="158"/>
      <c r="P190" s="158"/>
    </row>
    <row r="191" spans="1:16" x14ac:dyDescent="0.25">
      <c r="A191" s="8">
        <f t="shared" si="7"/>
        <v>182</v>
      </c>
      <c r="B191" s="156"/>
      <c r="C191" s="156"/>
      <c r="D191" s="157"/>
      <c r="E191" s="161"/>
      <c r="F191" s="161"/>
      <c r="G191" s="161"/>
      <c r="H191" s="161"/>
      <c r="I191" s="158"/>
      <c r="J191" s="77" t="str">
        <f t="shared" si="8"/>
        <v/>
      </c>
      <c r="K191" s="158"/>
      <c r="L191" s="159"/>
      <c r="M191" s="158"/>
      <c r="N191" s="158"/>
      <c r="O191" s="158"/>
      <c r="P191" s="158"/>
    </row>
    <row r="192" spans="1:16" x14ac:dyDescent="0.25">
      <c r="A192" s="8">
        <f t="shared" si="7"/>
        <v>183</v>
      </c>
      <c r="B192" s="156"/>
      <c r="C192" s="156"/>
      <c r="D192" s="157"/>
      <c r="E192" s="161"/>
      <c r="F192" s="161"/>
      <c r="G192" s="161"/>
      <c r="H192" s="161"/>
      <c r="I192" s="158"/>
      <c r="J192" s="77" t="str">
        <f t="shared" si="8"/>
        <v/>
      </c>
      <c r="K192" s="158"/>
      <c r="L192" s="159"/>
      <c r="M192" s="158"/>
      <c r="N192" s="158"/>
      <c r="O192" s="158"/>
      <c r="P192" s="158"/>
    </row>
    <row r="193" spans="1:16" x14ac:dyDescent="0.25">
      <c r="A193" s="8">
        <f t="shared" si="7"/>
        <v>184</v>
      </c>
      <c r="B193" s="156"/>
      <c r="C193" s="156"/>
      <c r="D193" s="157"/>
      <c r="E193" s="161"/>
      <c r="F193" s="161"/>
      <c r="G193" s="161"/>
      <c r="H193" s="161"/>
      <c r="I193" s="158"/>
      <c r="J193" s="77" t="str">
        <f t="shared" si="8"/>
        <v/>
      </c>
      <c r="K193" s="158"/>
      <c r="L193" s="159"/>
      <c r="M193" s="158"/>
      <c r="N193" s="158"/>
      <c r="O193" s="158"/>
      <c r="P193" s="158"/>
    </row>
    <row r="194" spans="1:16" x14ac:dyDescent="0.25">
      <c r="A194" s="8">
        <f t="shared" si="7"/>
        <v>185</v>
      </c>
      <c r="B194" s="156"/>
      <c r="C194" s="156"/>
      <c r="D194" s="157"/>
      <c r="E194" s="161"/>
      <c r="F194" s="161"/>
      <c r="G194" s="161"/>
      <c r="H194" s="161"/>
      <c r="I194" s="158"/>
      <c r="J194" s="77" t="str">
        <f t="shared" si="8"/>
        <v/>
      </c>
      <c r="K194" s="158"/>
      <c r="L194" s="159"/>
      <c r="M194" s="158"/>
      <c r="N194" s="158"/>
      <c r="O194" s="158"/>
      <c r="P194" s="158"/>
    </row>
    <row r="195" spans="1:16" x14ac:dyDescent="0.25">
      <c r="A195" s="8">
        <f t="shared" si="7"/>
        <v>186</v>
      </c>
      <c r="B195" s="156"/>
      <c r="C195" s="156"/>
      <c r="D195" s="157"/>
      <c r="E195" s="161"/>
      <c r="F195" s="161"/>
      <c r="G195" s="161"/>
      <c r="H195" s="161"/>
      <c r="I195" s="158"/>
      <c r="J195" s="77" t="str">
        <f t="shared" si="8"/>
        <v/>
      </c>
      <c r="K195" s="158"/>
      <c r="L195" s="159"/>
      <c r="M195" s="158"/>
      <c r="N195" s="158"/>
      <c r="O195" s="158"/>
      <c r="P195" s="158"/>
    </row>
    <row r="196" spans="1:16" x14ac:dyDescent="0.25">
      <c r="A196" s="8">
        <f t="shared" si="7"/>
        <v>187</v>
      </c>
      <c r="B196" s="156"/>
      <c r="C196" s="156"/>
      <c r="D196" s="157"/>
      <c r="E196" s="161"/>
      <c r="F196" s="161"/>
      <c r="G196" s="161"/>
      <c r="H196" s="161"/>
      <c r="I196" s="158"/>
      <c r="J196" s="77" t="str">
        <f t="shared" si="8"/>
        <v/>
      </c>
      <c r="K196" s="158"/>
      <c r="L196" s="159"/>
      <c r="M196" s="158"/>
      <c r="N196" s="158"/>
      <c r="O196" s="158"/>
      <c r="P196" s="158"/>
    </row>
    <row r="197" spans="1:16" x14ac:dyDescent="0.25">
      <c r="A197" s="8">
        <f t="shared" si="7"/>
        <v>188</v>
      </c>
      <c r="B197" s="156"/>
      <c r="C197" s="156"/>
      <c r="D197" s="157"/>
      <c r="E197" s="161"/>
      <c r="F197" s="161"/>
      <c r="G197" s="161"/>
      <c r="H197" s="161"/>
      <c r="I197" s="158"/>
      <c r="J197" s="77" t="str">
        <f t="shared" si="8"/>
        <v/>
      </c>
      <c r="K197" s="158"/>
      <c r="L197" s="159"/>
      <c r="M197" s="158"/>
      <c r="N197" s="158"/>
      <c r="O197" s="158"/>
      <c r="P197" s="158"/>
    </row>
    <row r="198" spans="1:16" x14ac:dyDescent="0.25">
      <c r="A198" s="8">
        <f t="shared" si="7"/>
        <v>189</v>
      </c>
      <c r="B198" s="156"/>
      <c r="C198" s="156"/>
      <c r="D198" s="157"/>
      <c r="E198" s="161"/>
      <c r="F198" s="161"/>
      <c r="G198" s="161"/>
      <c r="H198" s="161"/>
      <c r="I198" s="158"/>
      <c r="J198" s="77" t="str">
        <f t="shared" si="8"/>
        <v/>
      </c>
      <c r="K198" s="158"/>
      <c r="L198" s="159"/>
      <c r="M198" s="158"/>
      <c r="N198" s="158"/>
      <c r="O198" s="158"/>
      <c r="P198" s="158"/>
    </row>
    <row r="199" spans="1:16" x14ac:dyDescent="0.25">
      <c r="A199" s="8">
        <f t="shared" si="7"/>
        <v>190</v>
      </c>
      <c r="B199" s="156"/>
      <c r="C199" s="156"/>
      <c r="D199" s="157"/>
      <c r="E199" s="161"/>
      <c r="F199" s="161"/>
      <c r="G199" s="161"/>
      <c r="H199" s="161"/>
      <c r="I199" s="158"/>
      <c r="J199" s="77" t="str">
        <f t="shared" si="8"/>
        <v/>
      </c>
      <c r="K199" s="158"/>
      <c r="L199" s="159"/>
      <c r="M199" s="158"/>
      <c r="N199" s="158"/>
      <c r="O199" s="158"/>
      <c r="P199" s="158"/>
    </row>
    <row r="200" spans="1:16" x14ac:dyDescent="0.25">
      <c r="A200" s="8">
        <f t="shared" si="7"/>
        <v>191</v>
      </c>
      <c r="B200" s="156"/>
      <c r="C200" s="156"/>
      <c r="D200" s="157"/>
      <c r="E200" s="161"/>
      <c r="F200" s="161"/>
      <c r="G200" s="161"/>
      <c r="H200" s="161"/>
      <c r="I200" s="158"/>
      <c r="J200" s="77" t="str">
        <f t="shared" si="8"/>
        <v/>
      </c>
      <c r="K200" s="158"/>
      <c r="L200" s="159"/>
      <c r="M200" s="158"/>
      <c r="N200" s="158"/>
      <c r="O200" s="158"/>
      <c r="P200" s="158"/>
    </row>
    <row r="201" spans="1:16" x14ac:dyDescent="0.25">
      <c r="A201" s="8">
        <f t="shared" si="7"/>
        <v>192</v>
      </c>
      <c r="B201" s="156"/>
      <c r="C201" s="156"/>
      <c r="D201" s="157"/>
      <c r="E201" s="161"/>
      <c r="F201" s="161"/>
      <c r="G201" s="161"/>
      <c r="H201" s="161"/>
      <c r="I201" s="158"/>
      <c r="J201" s="77" t="str">
        <f t="shared" si="8"/>
        <v/>
      </c>
      <c r="K201" s="158"/>
      <c r="L201" s="159"/>
      <c r="M201" s="158"/>
      <c r="N201" s="158"/>
      <c r="O201" s="158"/>
      <c r="P201" s="158"/>
    </row>
    <row r="202" spans="1:16" x14ac:dyDescent="0.25">
      <c r="A202" s="8">
        <f t="shared" si="7"/>
        <v>193</v>
      </c>
      <c r="B202" s="156"/>
      <c r="C202" s="156"/>
      <c r="D202" s="157"/>
      <c r="E202" s="161"/>
      <c r="F202" s="161"/>
      <c r="G202" s="161"/>
      <c r="H202" s="161"/>
      <c r="I202" s="158"/>
      <c r="J202" s="77" t="str">
        <f t="shared" si="8"/>
        <v/>
      </c>
      <c r="K202" s="158"/>
      <c r="L202" s="159"/>
      <c r="M202" s="158"/>
      <c r="N202" s="158"/>
      <c r="O202" s="158"/>
      <c r="P202" s="158"/>
    </row>
    <row r="203" spans="1:16" x14ac:dyDescent="0.25">
      <c r="A203" s="8">
        <f t="shared" si="7"/>
        <v>194</v>
      </c>
      <c r="B203" s="156"/>
      <c r="C203" s="156"/>
      <c r="D203" s="157"/>
      <c r="E203" s="161"/>
      <c r="F203" s="161"/>
      <c r="G203" s="161"/>
      <c r="H203" s="161"/>
      <c r="I203" s="158"/>
      <c r="J203" s="77" t="str">
        <f t="shared" si="8"/>
        <v/>
      </c>
      <c r="K203" s="158"/>
      <c r="L203" s="159"/>
      <c r="M203" s="158"/>
      <c r="N203" s="158"/>
      <c r="O203" s="158"/>
      <c r="P203" s="158"/>
    </row>
    <row r="204" spans="1:16" x14ac:dyDescent="0.25">
      <c r="A204" s="8">
        <f t="shared" ref="A204:A209" si="9">+A203+1</f>
        <v>195</v>
      </c>
      <c r="B204" s="156"/>
      <c r="C204" s="156"/>
      <c r="D204" s="157"/>
      <c r="E204" s="161"/>
      <c r="F204" s="161"/>
      <c r="G204" s="161"/>
      <c r="H204" s="161"/>
      <c r="I204" s="158"/>
      <c r="J204" s="77" t="str">
        <f t="shared" ref="J204:J209" si="10">IF(E204&lt;&gt;"",J203+1,"")</f>
        <v/>
      </c>
      <c r="K204" s="158"/>
      <c r="L204" s="159"/>
      <c r="M204" s="158"/>
      <c r="N204" s="158"/>
      <c r="O204" s="158"/>
      <c r="P204" s="158"/>
    </row>
    <row r="205" spans="1:16" x14ac:dyDescent="0.25">
      <c r="A205" s="8">
        <f t="shared" si="9"/>
        <v>196</v>
      </c>
      <c r="B205" s="156"/>
      <c r="C205" s="156"/>
      <c r="D205" s="157"/>
      <c r="E205" s="161"/>
      <c r="F205" s="161"/>
      <c r="G205" s="161"/>
      <c r="H205" s="161"/>
      <c r="I205" s="158"/>
      <c r="J205" s="77" t="str">
        <f t="shared" si="10"/>
        <v/>
      </c>
      <c r="K205" s="158"/>
      <c r="L205" s="159"/>
      <c r="M205" s="158"/>
      <c r="N205" s="158"/>
      <c r="O205" s="158"/>
      <c r="P205" s="158"/>
    </row>
    <row r="206" spans="1:16" x14ac:dyDescent="0.25">
      <c r="A206" s="8">
        <f t="shared" si="9"/>
        <v>197</v>
      </c>
      <c r="B206" s="156"/>
      <c r="C206" s="156"/>
      <c r="D206" s="157"/>
      <c r="E206" s="161"/>
      <c r="F206" s="161"/>
      <c r="G206" s="161"/>
      <c r="H206" s="161"/>
      <c r="I206" s="158"/>
      <c r="J206" s="77" t="str">
        <f t="shared" si="10"/>
        <v/>
      </c>
      <c r="K206" s="158"/>
      <c r="L206" s="159"/>
      <c r="M206" s="158"/>
      <c r="N206" s="158"/>
      <c r="O206" s="158"/>
      <c r="P206" s="158"/>
    </row>
    <row r="207" spans="1:16" x14ac:dyDescent="0.25">
      <c r="A207" s="8">
        <f t="shared" si="9"/>
        <v>198</v>
      </c>
      <c r="B207" s="156"/>
      <c r="C207" s="156"/>
      <c r="D207" s="157"/>
      <c r="E207" s="161"/>
      <c r="F207" s="161"/>
      <c r="G207" s="161"/>
      <c r="H207" s="161"/>
      <c r="I207" s="158"/>
      <c r="J207" s="77" t="str">
        <f t="shared" si="10"/>
        <v/>
      </c>
      <c r="K207" s="158"/>
      <c r="L207" s="159"/>
      <c r="M207" s="158"/>
      <c r="N207" s="158"/>
      <c r="O207" s="158"/>
      <c r="P207" s="158"/>
    </row>
    <row r="208" spans="1:16" x14ac:dyDescent="0.25">
      <c r="A208" s="8">
        <f t="shared" si="9"/>
        <v>199</v>
      </c>
      <c r="B208" s="156"/>
      <c r="C208" s="156"/>
      <c r="D208" s="157"/>
      <c r="E208" s="161"/>
      <c r="F208" s="161"/>
      <c r="G208" s="161"/>
      <c r="H208" s="161"/>
      <c r="I208" s="158"/>
      <c r="J208" s="77" t="str">
        <f t="shared" si="10"/>
        <v/>
      </c>
      <c r="K208" s="158"/>
      <c r="L208" s="159"/>
      <c r="M208" s="158"/>
      <c r="N208" s="158"/>
      <c r="O208" s="158"/>
      <c r="P208" s="158"/>
    </row>
    <row r="209" spans="1:16" x14ac:dyDescent="0.25">
      <c r="A209" s="8">
        <f t="shared" si="9"/>
        <v>200</v>
      </c>
      <c r="B209" s="156"/>
      <c r="C209" s="156"/>
      <c r="D209" s="157"/>
      <c r="E209" s="161"/>
      <c r="F209" s="161"/>
      <c r="G209" s="161"/>
      <c r="H209" s="161"/>
      <c r="I209" s="158"/>
      <c r="J209" s="77" t="str">
        <f t="shared" si="10"/>
        <v/>
      </c>
      <c r="K209" s="158"/>
      <c r="L209" s="159"/>
      <c r="M209" s="158"/>
      <c r="N209" s="158"/>
      <c r="O209" s="158"/>
      <c r="P209" s="158"/>
    </row>
  </sheetData>
  <sheetProtection selectLockedCells="1"/>
  <sortState xmlns:xlrd2="http://schemas.microsoft.com/office/spreadsheetml/2017/richdata2" ref="B10:R18">
    <sortCondition ref="M10:M18"/>
    <sortCondition ref="B10:B18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E5" sqref="E5"/>
    </sheetView>
  </sheetViews>
  <sheetFormatPr defaultRowHeight="21" x14ac:dyDescent="0.35"/>
  <cols>
    <col min="1" max="1" width="10.14062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7"/>
  </cols>
  <sheetData>
    <row r="1" spans="1:18" x14ac:dyDescent="0.35">
      <c r="A1" s="119" t="s">
        <v>9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  <c r="G2" s="186"/>
      <c r="H2" s="131"/>
    </row>
    <row r="3" spans="1:18" x14ac:dyDescent="0.35">
      <c r="C3" s="125" t="s">
        <v>15</v>
      </c>
      <c r="D3" s="126"/>
      <c r="G3" s="186"/>
      <c r="H3" s="131"/>
    </row>
    <row r="5" spans="1:18" x14ac:dyDescent="0.35">
      <c r="B5" s="127" t="s">
        <v>0</v>
      </c>
      <c r="C5" s="128" t="s">
        <v>1</v>
      </c>
      <c r="D5" s="129" t="s">
        <v>2</v>
      </c>
      <c r="E5" s="185" t="s">
        <v>62</v>
      </c>
    </row>
    <row r="6" spans="1:18" x14ac:dyDescent="0.35">
      <c r="A6" s="130">
        <f xml:space="preserve"> IF(FCRPool1Firstname&lt;&gt;"",1,"")</f>
        <v>1</v>
      </c>
      <c r="B6" s="109" t="s">
        <v>68</v>
      </c>
      <c r="C6" s="109"/>
      <c r="D6" s="110"/>
      <c r="E6" s="111"/>
    </row>
    <row r="7" spans="1:18" x14ac:dyDescent="0.35">
      <c r="A7" s="130">
        <f xml:space="preserve"> IF(B7&lt;&gt;"",A6+1,"")</f>
        <v>2</v>
      </c>
      <c r="B7" s="109" t="s">
        <v>69</v>
      </c>
      <c r="C7" s="109"/>
      <c r="D7" s="110"/>
      <c r="E7" s="111"/>
    </row>
    <row r="8" spans="1:18" x14ac:dyDescent="0.35">
      <c r="A8" s="130">
        <f t="shared" ref="A8:A17" si="0" xml:space="preserve"> IF(B8&lt;&gt;"",A7+1,"")</f>
        <v>3</v>
      </c>
      <c r="B8" s="109" t="s">
        <v>70</v>
      </c>
      <c r="C8" s="109"/>
      <c r="D8" s="110"/>
      <c r="E8" s="111"/>
    </row>
    <row r="9" spans="1:18" x14ac:dyDescent="0.35">
      <c r="A9" s="130">
        <f t="shared" si="0"/>
        <v>4</v>
      </c>
      <c r="B9" s="109" t="s">
        <v>71</v>
      </c>
      <c r="C9" s="109"/>
      <c r="D9" s="110"/>
      <c r="E9" s="111"/>
    </row>
    <row r="10" spans="1:18" x14ac:dyDescent="0.35">
      <c r="A10" s="130">
        <f t="shared" si="0"/>
        <v>5</v>
      </c>
      <c r="B10" s="109" t="s">
        <v>72</v>
      </c>
      <c r="C10" s="109"/>
      <c r="D10" s="110"/>
      <c r="E10" s="111"/>
    </row>
    <row r="11" spans="1:18" x14ac:dyDescent="0.35">
      <c r="A11" s="130">
        <f t="shared" si="0"/>
        <v>6</v>
      </c>
      <c r="B11" s="109" t="s">
        <v>73</v>
      </c>
      <c r="C11" s="109"/>
      <c r="D11" s="110"/>
      <c r="E11" s="111"/>
      <c r="Q11" s="131"/>
      <c r="R11" s="131"/>
    </row>
    <row r="12" spans="1:18" x14ac:dyDescent="0.35">
      <c r="A12" s="130">
        <f t="shared" si="0"/>
        <v>7</v>
      </c>
      <c r="B12" s="109" t="s">
        <v>74</v>
      </c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/>
      <c r="B18" s="117"/>
      <c r="C18" s="117"/>
      <c r="D18" s="118"/>
      <c r="E18" s="118"/>
    </row>
    <row r="19" spans="1:19" x14ac:dyDescent="0.35">
      <c r="A19" s="130"/>
      <c r="B19" s="117"/>
      <c r="C19" s="117"/>
      <c r="D19" s="118"/>
      <c r="E19" s="118"/>
    </row>
    <row r="20" spans="1:19" x14ac:dyDescent="0.35">
      <c r="A20" s="130"/>
      <c r="B20" s="117"/>
      <c r="C20" s="117"/>
      <c r="D20" s="118"/>
      <c r="E20" s="118"/>
    </row>
    <row r="21" spans="1:19" x14ac:dyDescent="0.35">
      <c r="A21" s="130"/>
      <c r="B21" s="117"/>
      <c r="C21" s="117"/>
      <c r="D21" s="118"/>
      <c r="E21" s="118"/>
      <c r="Q21" s="131"/>
    </row>
    <row r="22" spans="1:19" x14ac:dyDescent="0.35">
      <c r="A22" s="130"/>
      <c r="B22" s="117"/>
      <c r="C22" s="117"/>
      <c r="D22" s="118"/>
      <c r="E22" s="118"/>
      <c r="Q22" s="131"/>
      <c r="R22" s="131"/>
      <c r="S22" s="131"/>
    </row>
    <row r="23" spans="1:19" x14ac:dyDescent="0.35">
      <c r="A23" s="130"/>
      <c r="B23" s="117"/>
      <c r="C23" s="117"/>
      <c r="D23" s="118"/>
      <c r="E23" s="118"/>
      <c r="Q23" s="131"/>
      <c r="R23" s="131"/>
    </row>
    <row r="24" spans="1:19" x14ac:dyDescent="0.35">
      <c r="A24" s="130"/>
      <c r="B24" s="117"/>
      <c r="C24" s="117"/>
      <c r="D24" s="118"/>
      <c r="E24" s="118"/>
    </row>
    <row r="25" spans="1:19" x14ac:dyDescent="0.35">
      <c r="A25" s="130"/>
      <c r="B25" s="117"/>
      <c r="C25" s="117"/>
      <c r="D25" s="118"/>
      <c r="E25" s="118"/>
    </row>
    <row r="26" spans="1:19" x14ac:dyDescent="0.35">
      <c r="A26" s="130"/>
      <c r="B26" s="117"/>
      <c r="C26" s="117"/>
      <c r="D26" s="118"/>
      <c r="E26" s="118"/>
    </row>
    <row r="27" spans="1:19" x14ac:dyDescent="0.35">
      <c r="A27" s="130"/>
      <c r="B27" s="117"/>
      <c r="C27" s="117"/>
      <c r="D27" s="118"/>
      <c r="E27" s="118"/>
      <c r="Q27" s="131"/>
      <c r="R27" s="131"/>
      <c r="S27" s="131"/>
    </row>
    <row r="28" spans="1:19" x14ac:dyDescent="0.35">
      <c r="A28" s="130"/>
      <c r="B28" s="117"/>
      <c r="C28" s="117"/>
      <c r="D28" s="118"/>
      <c r="E28" s="118"/>
    </row>
    <row r="29" spans="1:19" x14ac:dyDescent="0.35">
      <c r="A29" s="130"/>
      <c r="B29" s="117"/>
      <c r="C29" s="117"/>
      <c r="D29" s="118"/>
      <c r="E29" s="118"/>
    </row>
    <row r="30" spans="1:19" x14ac:dyDescent="0.35">
      <c r="A30" s="130"/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/>
  </sheetViews>
  <sheetFormatPr defaultRowHeight="21" x14ac:dyDescent="0.35"/>
  <cols>
    <col min="1" max="1" width="11.8554687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7"/>
  </cols>
  <sheetData>
    <row r="1" spans="1:18" x14ac:dyDescent="0.35">
      <c r="A1" s="119" t="s">
        <v>12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</row>
    <row r="3" spans="1:18" x14ac:dyDescent="0.35">
      <c r="C3" s="125" t="s">
        <v>15</v>
      </c>
      <c r="D3" s="126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10</v>
      </c>
    </row>
    <row r="6" spans="1:18" x14ac:dyDescent="0.35">
      <c r="A6" s="130">
        <f xml:space="preserve"> IF(FCRPool2FirstName&lt;&gt;"",1,"")</f>
        <v>1</v>
      </c>
      <c r="B6" s="109" t="s">
        <v>75</v>
      </c>
      <c r="C6" s="109"/>
      <c r="D6" s="110"/>
      <c r="E6" s="111"/>
    </row>
    <row r="7" spans="1:18" x14ac:dyDescent="0.35">
      <c r="A7" s="130">
        <f xml:space="preserve"> IF(B7&lt;&gt;"",A6+1,"")</f>
        <v>2</v>
      </c>
      <c r="B7" s="109" t="s">
        <v>76</v>
      </c>
      <c r="C7" s="109"/>
      <c r="D7" s="110"/>
      <c r="E7" s="111"/>
    </row>
    <row r="8" spans="1:18" x14ac:dyDescent="0.35">
      <c r="A8" s="130" t="str">
        <f t="shared" ref="A8:A30" si="0" xml:space="preserve"> IF(B8&lt;&gt;"",A7+1,"")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67" customWidth="1"/>
    <col min="2" max="2" width="34.85546875" style="66" customWidth="1"/>
    <col min="3" max="3" width="28" style="66" customWidth="1"/>
    <col min="4" max="4" width="13.85546875" style="67" customWidth="1"/>
    <col min="5" max="5" width="12.7109375" style="67" customWidth="1"/>
    <col min="6" max="16384" width="9.140625" style="169"/>
  </cols>
  <sheetData>
    <row r="1" spans="1:8" x14ac:dyDescent="0.35">
      <c r="A1" s="72" t="s">
        <v>13</v>
      </c>
      <c r="B1" s="65"/>
      <c r="C1" s="150"/>
      <c r="G1" s="136" t="s">
        <v>11</v>
      </c>
      <c r="H1" s="169" t="s">
        <v>14</v>
      </c>
    </row>
    <row r="2" spans="1:8" x14ac:dyDescent="0.35">
      <c r="A2" s="124"/>
      <c r="B2" s="66" t="s">
        <v>8</v>
      </c>
      <c r="C2" s="68" t="s">
        <v>7</v>
      </c>
      <c r="D2" s="69"/>
    </row>
    <row r="3" spans="1:8" x14ac:dyDescent="0.35">
      <c r="A3" s="70"/>
      <c r="C3" s="68" t="s">
        <v>15</v>
      </c>
      <c r="D3" s="126"/>
    </row>
    <row r="5" spans="1:8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8" x14ac:dyDescent="0.35">
      <c r="A6" s="71" t="str">
        <f>IF(FCRPool3FirstName&lt;&gt;"",1,"")</f>
        <v/>
      </c>
      <c r="B6" s="109"/>
      <c r="C6" s="109"/>
      <c r="D6" s="110"/>
      <c r="E6" s="111"/>
    </row>
    <row r="7" spans="1:8" x14ac:dyDescent="0.35">
      <c r="A7" s="71" t="str">
        <f>IF(B7&lt;&gt;"",A6+1,"")</f>
        <v/>
      </c>
      <c r="B7" s="109"/>
      <c r="C7" s="109"/>
      <c r="D7" s="110"/>
      <c r="E7" s="111"/>
    </row>
    <row r="8" spans="1:8" x14ac:dyDescent="0.35">
      <c r="A8" s="71" t="str">
        <f t="shared" ref="A8:A30" si="0">IF(B8&lt;&gt;"",A7+1,"")</f>
        <v/>
      </c>
      <c r="B8" s="109"/>
      <c r="C8" s="109"/>
      <c r="D8" s="110"/>
      <c r="E8" s="111"/>
    </row>
    <row r="9" spans="1:8" x14ac:dyDescent="0.35">
      <c r="A9" s="71" t="str">
        <f t="shared" si="0"/>
        <v/>
      </c>
      <c r="B9" s="109"/>
      <c r="C9" s="109"/>
      <c r="D9" s="110"/>
      <c r="E9" s="111"/>
    </row>
    <row r="10" spans="1:8" x14ac:dyDescent="0.35">
      <c r="A10" s="71" t="str">
        <f t="shared" si="0"/>
        <v/>
      </c>
      <c r="B10" s="109"/>
      <c r="C10" s="109"/>
      <c r="D10" s="110"/>
      <c r="E10" s="111"/>
    </row>
    <row r="11" spans="1:8" x14ac:dyDescent="0.35">
      <c r="A11" s="71" t="str">
        <f t="shared" si="0"/>
        <v/>
      </c>
      <c r="B11" s="109"/>
      <c r="C11" s="109"/>
      <c r="D11" s="110"/>
      <c r="E11" s="111"/>
    </row>
    <row r="12" spans="1:8" x14ac:dyDescent="0.35">
      <c r="A12" s="71" t="str">
        <f t="shared" si="0"/>
        <v/>
      </c>
      <c r="B12" s="112"/>
      <c r="C12" s="112"/>
      <c r="D12" s="113"/>
      <c r="E12" s="114"/>
    </row>
    <row r="13" spans="1:8" x14ac:dyDescent="0.35">
      <c r="A13" s="71" t="str">
        <f t="shared" si="0"/>
        <v/>
      </c>
      <c r="B13" s="109"/>
      <c r="C13" s="109"/>
      <c r="D13" s="110"/>
      <c r="E13" s="111"/>
    </row>
    <row r="14" spans="1:8" x14ac:dyDescent="0.35">
      <c r="A14" s="71" t="str">
        <f t="shared" si="0"/>
        <v/>
      </c>
      <c r="B14" s="115"/>
      <c r="C14" s="115"/>
      <c r="D14" s="116"/>
      <c r="E14" s="116"/>
    </row>
    <row r="15" spans="1:8" x14ac:dyDescent="0.35">
      <c r="A15" s="71" t="str">
        <f t="shared" si="0"/>
        <v/>
      </c>
      <c r="B15" s="117"/>
      <c r="C15" s="117"/>
      <c r="D15" s="118"/>
      <c r="E15" s="118"/>
    </row>
    <row r="16" spans="1:8" x14ac:dyDescent="0.35">
      <c r="A16" s="71" t="str">
        <f t="shared" si="0"/>
        <v/>
      </c>
      <c r="B16" s="117"/>
      <c r="C16" s="117"/>
      <c r="D16" s="118"/>
      <c r="E16" s="118"/>
    </row>
    <row r="17" spans="1:5" x14ac:dyDescent="0.35">
      <c r="A17" s="71" t="str">
        <f t="shared" si="0"/>
        <v/>
      </c>
      <c r="B17" s="117"/>
      <c r="C17" s="117"/>
      <c r="D17" s="118"/>
      <c r="E17" s="118"/>
    </row>
    <row r="18" spans="1:5" x14ac:dyDescent="0.35">
      <c r="A18" s="71" t="str">
        <f t="shared" si="0"/>
        <v/>
      </c>
      <c r="B18" s="117"/>
      <c r="C18" s="117"/>
      <c r="D18" s="118"/>
      <c r="E18" s="118"/>
    </row>
    <row r="19" spans="1:5" x14ac:dyDescent="0.35">
      <c r="A19" s="71" t="str">
        <f t="shared" si="0"/>
        <v/>
      </c>
      <c r="B19" s="117"/>
      <c r="C19" s="117"/>
      <c r="D19" s="118"/>
      <c r="E19" s="118"/>
    </row>
    <row r="20" spans="1:5" x14ac:dyDescent="0.35">
      <c r="A20" s="71" t="str">
        <f t="shared" si="0"/>
        <v/>
      </c>
      <c r="B20" s="117"/>
      <c r="C20" s="117"/>
      <c r="D20" s="118"/>
      <c r="E20" s="118"/>
    </row>
    <row r="21" spans="1:5" x14ac:dyDescent="0.35">
      <c r="A21" s="71" t="str">
        <f t="shared" si="0"/>
        <v/>
      </c>
      <c r="B21" s="117"/>
      <c r="C21" s="117"/>
      <c r="D21" s="118"/>
      <c r="E21" s="118"/>
    </row>
    <row r="22" spans="1:5" x14ac:dyDescent="0.35">
      <c r="A22" s="71" t="str">
        <f t="shared" si="0"/>
        <v/>
      </c>
      <c r="B22" s="117"/>
      <c r="C22" s="117"/>
      <c r="D22" s="118"/>
      <c r="E22" s="118"/>
    </row>
    <row r="23" spans="1:5" x14ac:dyDescent="0.35">
      <c r="A23" s="71" t="str">
        <f t="shared" si="0"/>
        <v/>
      </c>
      <c r="B23" s="117"/>
      <c r="C23" s="117"/>
      <c r="D23" s="118"/>
      <c r="E23" s="118"/>
    </row>
    <row r="24" spans="1:5" x14ac:dyDescent="0.35">
      <c r="A24" s="71" t="str">
        <f t="shared" si="0"/>
        <v/>
      </c>
      <c r="B24" s="117"/>
      <c r="C24" s="117"/>
      <c r="D24" s="118"/>
      <c r="E24" s="118"/>
    </row>
    <row r="25" spans="1:5" x14ac:dyDescent="0.35">
      <c r="A25" s="71" t="str">
        <f t="shared" si="0"/>
        <v/>
      </c>
      <c r="B25" s="117"/>
      <c r="C25" s="117"/>
      <c r="D25" s="118"/>
      <c r="E25" s="118"/>
    </row>
    <row r="26" spans="1:5" x14ac:dyDescent="0.35">
      <c r="A26" s="71" t="str">
        <f t="shared" si="0"/>
        <v/>
      </c>
      <c r="B26" s="117"/>
      <c r="C26" s="117"/>
      <c r="D26" s="118"/>
      <c r="E26" s="118"/>
    </row>
    <row r="27" spans="1:5" x14ac:dyDescent="0.35">
      <c r="A27" s="71" t="str">
        <f t="shared" si="0"/>
        <v/>
      </c>
      <c r="B27" s="117"/>
      <c r="C27" s="117"/>
      <c r="D27" s="118"/>
      <c r="E27" s="118"/>
    </row>
    <row r="28" spans="1:5" x14ac:dyDescent="0.35">
      <c r="A28" s="71" t="str">
        <f t="shared" si="0"/>
        <v/>
      </c>
      <c r="B28" s="117"/>
      <c r="C28" s="117"/>
      <c r="D28" s="118"/>
      <c r="E28" s="118"/>
    </row>
    <row r="29" spans="1:5" x14ac:dyDescent="0.35">
      <c r="A29" s="71" t="str">
        <f t="shared" si="0"/>
        <v/>
      </c>
      <c r="B29" s="117"/>
      <c r="C29" s="117"/>
      <c r="D29" s="118"/>
      <c r="E29" s="118"/>
    </row>
    <row r="30" spans="1:5" x14ac:dyDescent="0.35">
      <c r="A30" s="71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86" customWidth="1"/>
    <col min="2" max="2" width="34.85546875" style="66" customWidth="1"/>
    <col min="3" max="3" width="28" style="66" customWidth="1"/>
    <col min="4" max="4" width="13.85546875" style="66" customWidth="1"/>
    <col min="5" max="5" width="12.7109375" style="66" customWidth="1"/>
    <col min="6" max="16384" width="9.140625" style="169"/>
  </cols>
  <sheetData>
    <row r="1" spans="1:7" x14ac:dyDescent="0.35">
      <c r="A1" s="84" t="s">
        <v>50</v>
      </c>
      <c r="B1" s="65"/>
      <c r="C1" s="150"/>
      <c r="D1" s="67"/>
      <c r="G1" s="136"/>
    </row>
    <row r="2" spans="1:7" x14ac:dyDescent="0.35">
      <c r="A2" s="124"/>
      <c r="B2" s="66" t="s">
        <v>8</v>
      </c>
      <c r="C2" s="68" t="s">
        <v>7</v>
      </c>
      <c r="D2" s="69"/>
    </row>
    <row r="3" spans="1:7" x14ac:dyDescent="0.35">
      <c r="A3" s="85"/>
      <c r="C3" s="68" t="s">
        <v>15</v>
      </c>
      <c r="D3" s="126"/>
    </row>
    <row r="4" spans="1:7" x14ac:dyDescent="0.35">
      <c r="D4" s="67"/>
    </row>
    <row r="5" spans="1:7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7" x14ac:dyDescent="0.35">
      <c r="A6" s="87" t="str">
        <f xml:space="preserve"> IF(FCRPool4FirstName&lt;&gt;"",1,"")</f>
        <v/>
      </c>
      <c r="B6" s="109"/>
      <c r="C6" s="109"/>
      <c r="D6" s="110"/>
      <c r="E6" s="111"/>
    </row>
    <row r="7" spans="1:7" x14ac:dyDescent="0.35">
      <c r="A7" s="88" t="str">
        <f>IF(B7&lt;&gt;"",A6+1,"")</f>
        <v/>
      </c>
      <c r="B7" s="115"/>
      <c r="C7" s="115"/>
      <c r="D7" s="115"/>
      <c r="E7" s="114"/>
    </row>
    <row r="8" spans="1:7" x14ac:dyDescent="0.35">
      <c r="A8" s="88" t="str">
        <f t="shared" ref="A8:A30" si="0">IF(B8&lt;&gt;"",A7+1,"")</f>
        <v/>
      </c>
      <c r="B8" s="117"/>
      <c r="C8" s="117"/>
      <c r="D8" s="117"/>
      <c r="E8" s="111"/>
    </row>
    <row r="9" spans="1:7" x14ac:dyDescent="0.35">
      <c r="A9" s="88" t="str">
        <f t="shared" si="0"/>
        <v/>
      </c>
      <c r="B9" s="117"/>
      <c r="C9" s="117"/>
      <c r="D9" s="117"/>
      <c r="E9" s="111"/>
    </row>
    <row r="10" spans="1:7" x14ac:dyDescent="0.35">
      <c r="A10" s="88" t="str">
        <f t="shared" si="0"/>
        <v/>
      </c>
      <c r="B10" s="117"/>
      <c r="C10" s="117"/>
      <c r="D10" s="117"/>
      <c r="E10" s="111"/>
    </row>
    <row r="11" spans="1:7" x14ac:dyDescent="0.35">
      <c r="A11" s="88" t="str">
        <f t="shared" si="0"/>
        <v/>
      </c>
      <c r="B11" s="117"/>
      <c r="C11" s="117"/>
      <c r="D11" s="117"/>
      <c r="E11" s="111"/>
    </row>
    <row r="12" spans="1:7" x14ac:dyDescent="0.35">
      <c r="A12" s="88" t="str">
        <f t="shared" si="0"/>
        <v/>
      </c>
      <c r="B12" s="117"/>
      <c r="C12" s="117"/>
      <c r="D12" s="117"/>
      <c r="E12" s="111"/>
    </row>
    <row r="13" spans="1:7" x14ac:dyDescent="0.35">
      <c r="A13" s="88" t="str">
        <f t="shared" si="0"/>
        <v/>
      </c>
      <c r="B13" s="117"/>
      <c r="C13" s="117"/>
      <c r="D13" s="117"/>
      <c r="E13" s="111"/>
    </row>
    <row r="14" spans="1:7" x14ac:dyDescent="0.35">
      <c r="A14" s="88" t="str">
        <f t="shared" si="0"/>
        <v/>
      </c>
      <c r="B14" s="117"/>
      <c r="C14" s="117"/>
      <c r="D14" s="117"/>
      <c r="E14" s="111"/>
    </row>
    <row r="15" spans="1:7" x14ac:dyDescent="0.35">
      <c r="A15" s="88" t="str">
        <f t="shared" si="0"/>
        <v/>
      </c>
      <c r="B15" s="117"/>
      <c r="C15" s="117"/>
      <c r="D15" s="117"/>
      <c r="E15" s="111"/>
    </row>
    <row r="16" spans="1:7" x14ac:dyDescent="0.35">
      <c r="A16" s="88" t="str">
        <f t="shared" si="0"/>
        <v/>
      </c>
      <c r="B16" s="117"/>
      <c r="C16" s="117"/>
      <c r="D16" s="117"/>
      <c r="E16" s="111"/>
    </row>
    <row r="17" spans="1:5" x14ac:dyDescent="0.35">
      <c r="A17" s="88" t="str">
        <f t="shared" si="0"/>
        <v/>
      </c>
      <c r="B17" s="115"/>
      <c r="C17" s="115"/>
      <c r="D17" s="115"/>
      <c r="E17" s="115"/>
    </row>
    <row r="18" spans="1:5" x14ac:dyDescent="0.35">
      <c r="A18" s="88" t="str">
        <f t="shared" si="0"/>
        <v/>
      </c>
      <c r="B18" s="117"/>
      <c r="C18" s="117"/>
      <c r="D18" s="117"/>
      <c r="E18" s="117"/>
    </row>
    <row r="19" spans="1:5" x14ac:dyDescent="0.35">
      <c r="A19" s="88" t="str">
        <f t="shared" si="0"/>
        <v/>
      </c>
      <c r="B19" s="117"/>
      <c r="C19" s="117"/>
      <c r="D19" s="117"/>
      <c r="E19" s="117"/>
    </row>
    <row r="20" spans="1:5" x14ac:dyDescent="0.35">
      <c r="A20" s="88" t="str">
        <f t="shared" si="0"/>
        <v/>
      </c>
      <c r="B20" s="117"/>
      <c r="C20" s="117"/>
      <c r="D20" s="117"/>
      <c r="E20" s="117"/>
    </row>
    <row r="21" spans="1:5" x14ac:dyDescent="0.35">
      <c r="A21" s="88" t="str">
        <f t="shared" si="0"/>
        <v/>
      </c>
      <c r="B21" s="117"/>
      <c r="C21" s="117"/>
      <c r="D21" s="117"/>
      <c r="E21" s="117"/>
    </row>
    <row r="22" spans="1:5" x14ac:dyDescent="0.35">
      <c r="A22" s="88" t="str">
        <f t="shared" si="0"/>
        <v/>
      </c>
      <c r="B22" s="117"/>
      <c r="C22" s="117"/>
      <c r="D22" s="117"/>
      <c r="E22" s="117"/>
    </row>
    <row r="23" spans="1:5" x14ac:dyDescent="0.35">
      <c r="A23" s="88" t="str">
        <f t="shared" si="0"/>
        <v/>
      </c>
      <c r="B23" s="117"/>
      <c r="C23" s="117"/>
      <c r="D23" s="117"/>
      <c r="E23" s="117"/>
    </row>
    <row r="24" spans="1:5" x14ac:dyDescent="0.35">
      <c r="A24" s="88" t="str">
        <f t="shared" si="0"/>
        <v/>
      </c>
      <c r="B24" s="117"/>
      <c r="C24" s="117"/>
      <c r="D24" s="117"/>
      <c r="E24" s="117"/>
    </row>
    <row r="25" spans="1:5" x14ac:dyDescent="0.35">
      <c r="A25" s="88" t="str">
        <f t="shared" si="0"/>
        <v/>
      </c>
      <c r="B25" s="117"/>
      <c r="C25" s="117"/>
      <c r="D25" s="117"/>
      <c r="E25" s="117"/>
    </row>
    <row r="26" spans="1:5" x14ac:dyDescent="0.35">
      <c r="A26" s="88" t="str">
        <f t="shared" si="0"/>
        <v/>
      </c>
      <c r="B26" s="117"/>
      <c r="C26" s="117"/>
      <c r="D26" s="117"/>
      <c r="E26" s="117"/>
    </row>
    <row r="27" spans="1:5" x14ac:dyDescent="0.35">
      <c r="A27" s="88" t="str">
        <f t="shared" si="0"/>
        <v/>
      </c>
      <c r="B27" s="117"/>
      <c r="C27" s="117"/>
      <c r="D27" s="117"/>
      <c r="E27" s="117"/>
    </row>
    <row r="28" spans="1:5" x14ac:dyDescent="0.35">
      <c r="A28" s="88" t="str">
        <f t="shared" si="0"/>
        <v/>
      </c>
      <c r="B28" s="117"/>
      <c r="C28" s="117"/>
      <c r="D28" s="117"/>
      <c r="E28" s="117"/>
    </row>
    <row r="29" spans="1:5" x14ac:dyDescent="0.35">
      <c r="A29" s="88" t="str">
        <f t="shared" si="0"/>
        <v/>
      </c>
      <c r="B29" s="117"/>
      <c r="C29" s="117"/>
      <c r="D29" s="117"/>
      <c r="E29" s="117"/>
    </row>
    <row r="30" spans="1:5" x14ac:dyDescent="0.35">
      <c r="A30" s="88" t="str">
        <f t="shared" si="0"/>
        <v/>
      </c>
      <c r="B30" s="117"/>
      <c r="C30" s="117"/>
      <c r="D30" s="117"/>
      <c r="E30" s="117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53" customWidth="1"/>
    <col min="2" max="2" width="28.5703125" style="53" customWidth="1"/>
    <col min="3" max="3" width="24.7109375" style="53" customWidth="1"/>
    <col min="4" max="4" width="12.7109375" style="53" customWidth="1"/>
    <col min="5" max="16384" width="9.140625" style="53"/>
  </cols>
  <sheetData>
    <row r="1" spans="1:6" ht="21" x14ac:dyDescent="0.35">
      <c r="A1" s="55" t="s">
        <v>30</v>
      </c>
      <c r="C1" s="150"/>
    </row>
    <row r="3" spans="1:6" ht="21" x14ac:dyDescent="0.35">
      <c r="A3" s="228">
        <f>+Entries!A2</f>
        <v>0</v>
      </c>
      <c r="B3" s="228"/>
      <c r="C3" s="228"/>
      <c r="D3" s="150"/>
    </row>
    <row r="4" spans="1:6" x14ac:dyDescent="0.3">
      <c r="A4" s="229"/>
      <c r="B4" s="229"/>
      <c r="C4" s="57"/>
    </row>
    <row r="5" spans="1:6" x14ac:dyDescent="0.3">
      <c r="A5" s="230" t="e">
        <f>+#REF!</f>
        <v>#REF!</v>
      </c>
      <c r="B5" s="228"/>
      <c r="C5" s="58" t="s">
        <v>28</v>
      </c>
    </row>
    <row r="6" spans="1:6" x14ac:dyDescent="0.3">
      <c r="A6" s="63"/>
      <c r="B6" s="58" t="s">
        <v>36</v>
      </c>
      <c r="C6" s="57"/>
    </row>
    <row r="7" spans="1:6" x14ac:dyDescent="0.3">
      <c r="A7" s="63">
        <f>+Entries!B10</f>
        <v>0</v>
      </c>
      <c r="B7" s="231" t="s">
        <v>34</v>
      </c>
      <c r="C7" s="231"/>
    </row>
    <row r="8" spans="1:6" x14ac:dyDescent="0.3">
      <c r="A8" s="63">
        <f>+Results!A8</f>
        <v>0</v>
      </c>
      <c r="B8" s="91" t="s">
        <v>6</v>
      </c>
    </row>
    <row r="9" spans="1:6" x14ac:dyDescent="0.3">
      <c r="A9" s="56"/>
      <c r="B9" s="59" t="s">
        <v>0</v>
      </c>
      <c r="C9" s="59" t="s">
        <v>1</v>
      </c>
      <c r="D9" s="60" t="s">
        <v>2</v>
      </c>
      <c r="E9" s="62" t="s">
        <v>33</v>
      </c>
      <c r="F9" s="62" t="s">
        <v>32</v>
      </c>
    </row>
    <row r="10" spans="1:6" x14ac:dyDescent="0.3">
      <c r="A10" s="61">
        <v>1</v>
      </c>
      <c r="B10" s="105"/>
      <c r="C10" s="105"/>
      <c r="D10" s="104"/>
      <c r="E10" s="104"/>
      <c r="F10" s="104"/>
    </row>
    <row r="11" spans="1:6" x14ac:dyDescent="0.3">
      <c r="A11" s="61">
        <f>+A10+1</f>
        <v>2</v>
      </c>
      <c r="B11" s="105"/>
      <c r="C11" s="105"/>
      <c r="D11" s="104"/>
      <c r="E11" s="104"/>
      <c r="F11" s="104"/>
    </row>
    <row r="12" spans="1:6" x14ac:dyDescent="0.3">
      <c r="A12" s="61">
        <f t="shared" ref="A12:A41" si="0">+A11+1</f>
        <v>3</v>
      </c>
      <c r="B12" s="105"/>
      <c r="C12" s="105"/>
      <c r="D12" s="104"/>
      <c r="E12" s="104"/>
      <c r="F12" s="104"/>
    </row>
    <row r="13" spans="1:6" x14ac:dyDescent="0.3">
      <c r="A13" s="61">
        <f t="shared" si="0"/>
        <v>4</v>
      </c>
      <c r="B13" s="105"/>
      <c r="C13" s="105"/>
      <c r="D13" s="104"/>
      <c r="E13" s="104"/>
      <c r="F13" s="104"/>
    </row>
    <row r="14" spans="1:6" x14ac:dyDescent="0.3">
      <c r="A14" s="61">
        <f t="shared" si="0"/>
        <v>5</v>
      </c>
      <c r="B14" s="105"/>
      <c r="C14" s="105"/>
      <c r="D14" s="104"/>
      <c r="E14" s="104"/>
      <c r="F14" s="104"/>
    </row>
    <row r="15" spans="1:6" x14ac:dyDescent="0.3">
      <c r="A15" s="61">
        <f t="shared" si="0"/>
        <v>6</v>
      </c>
      <c r="B15" s="105"/>
      <c r="C15" s="105"/>
      <c r="D15" s="104"/>
      <c r="E15" s="104"/>
      <c r="F15" s="104"/>
    </row>
    <row r="16" spans="1:6" x14ac:dyDescent="0.3">
      <c r="A16" s="61">
        <f t="shared" si="0"/>
        <v>7</v>
      </c>
      <c r="B16" s="105"/>
      <c r="C16" s="105"/>
      <c r="D16" s="104"/>
      <c r="E16" s="104"/>
      <c r="F16" s="104"/>
    </row>
    <row r="17" spans="1:6" x14ac:dyDescent="0.3">
      <c r="A17" s="61">
        <f t="shared" si="0"/>
        <v>8</v>
      </c>
      <c r="B17" s="105"/>
      <c r="C17" s="105"/>
      <c r="D17" s="104"/>
      <c r="E17" s="104"/>
      <c r="F17" s="104"/>
    </row>
    <row r="18" spans="1:6" x14ac:dyDescent="0.3">
      <c r="A18" s="61">
        <f t="shared" si="0"/>
        <v>9</v>
      </c>
      <c r="B18" s="105"/>
      <c r="C18" s="105"/>
      <c r="D18" s="104"/>
      <c r="E18" s="104"/>
      <c r="F18" s="104"/>
    </row>
    <row r="19" spans="1:6" x14ac:dyDescent="0.3">
      <c r="A19" s="61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61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61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61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61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61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61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61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61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61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61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61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61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61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61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61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61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61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61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61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61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61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61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C1" sqref="C1"/>
    </sheetView>
  </sheetViews>
  <sheetFormatPr defaultRowHeight="18.75" x14ac:dyDescent="0.3"/>
  <cols>
    <col min="1" max="1" width="6.7109375" style="55" customWidth="1"/>
    <col min="2" max="2" width="28.5703125" style="57" customWidth="1"/>
    <col min="3" max="3" width="24.7109375" style="57" customWidth="1"/>
    <col min="4" max="4" width="12.7109375" style="56" customWidth="1"/>
    <col min="5" max="5" width="10.28515625" style="56" customWidth="1"/>
    <col min="6" max="6" width="11.140625" style="56" customWidth="1"/>
    <col min="7" max="16384" width="9.140625" style="55"/>
  </cols>
  <sheetData>
    <row r="1" spans="1:18" ht="21" x14ac:dyDescent="0.35">
      <c r="A1" s="55" t="s">
        <v>27</v>
      </c>
      <c r="C1" s="150"/>
      <c r="J1" s="97"/>
      <c r="K1" s="57"/>
      <c r="L1" s="57"/>
      <c r="M1" s="56"/>
      <c r="N1" s="56"/>
      <c r="O1" s="56"/>
    </row>
    <row r="2" spans="1:18" x14ac:dyDescent="0.3">
      <c r="J2" s="97"/>
      <c r="K2" s="57"/>
      <c r="L2" s="57"/>
      <c r="M2" s="56"/>
      <c r="N2" s="56"/>
      <c r="O2" s="56"/>
    </row>
    <row r="3" spans="1:18" x14ac:dyDescent="0.3">
      <c r="A3" s="232">
        <f>+Entries!A2</f>
        <v>0</v>
      </c>
      <c r="B3" s="232"/>
      <c r="C3" s="232"/>
      <c r="E3" s="57"/>
      <c r="F3" s="57"/>
      <c r="J3" s="228"/>
      <c r="K3" s="228"/>
      <c r="L3" s="228"/>
      <c r="M3" s="56"/>
      <c r="N3" s="57"/>
      <c r="O3" s="57"/>
    </row>
    <row r="4" spans="1:18" x14ac:dyDescent="0.3">
      <c r="A4" s="229"/>
      <c r="B4" s="229"/>
      <c r="J4" s="229"/>
      <c r="K4" s="229"/>
      <c r="L4" s="57"/>
      <c r="M4" s="56"/>
      <c r="N4" s="56"/>
      <c r="O4" s="56"/>
      <c r="R4" s="135"/>
    </row>
    <row r="5" spans="1:18" x14ac:dyDescent="0.3">
      <c r="A5" s="230" t="e">
        <f>+#REF!</f>
        <v>#REF!</v>
      </c>
      <c r="B5" s="228"/>
      <c r="C5" s="58" t="s">
        <v>28</v>
      </c>
      <c r="J5" s="228"/>
      <c r="K5" s="228"/>
      <c r="L5" s="98"/>
      <c r="M5" s="56"/>
      <c r="N5" s="56"/>
      <c r="O5" s="56"/>
    </row>
    <row r="6" spans="1:18" x14ac:dyDescent="0.3">
      <c r="A6" s="63"/>
      <c r="B6" s="148" t="s">
        <v>36</v>
      </c>
      <c r="J6" s="97"/>
      <c r="K6" s="98"/>
      <c r="L6" s="57"/>
      <c r="M6" s="56"/>
      <c r="N6" s="56"/>
      <c r="O6" s="56"/>
    </row>
    <row r="7" spans="1:18" x14ac:dyDescent="0.3">
      <c r="A7" s="63">
        <f>+Entries!B10</f>
        <v>0</v>
      </c>
      <c r="B7" s="231" t="s">
        <v>34</v>
      </c>
      <c r="C7" s="231"/>
      <c r="J7" s="63"/>
      <c r="K7" s="231"/>
      <c r="L7" s="231"/>
      <c r="M7" s="56"/>
      <c r="N7" s="56"/>
      <c r="O7" s="56"/>
    </row>
    <row r="8" spans="1:18" x14ac:dyDescent="0.3">
      <c r="A8" s="63">
        <f>+Results!A8</f>
        <v>0</v>
      </c>
      <c r="B8" s="91" t="s">
        <v>6</v>
      </c>
      <c r="J8" s="63"/>
      <c r="K8" s="91"/>
      <c r="L8" s="57"/>
      <c r="M8" s="56"/>
      <c r="N8" s="56"/>
      <c r="O8" s="56"/>
    </row>
    <row r="9" spans="1:18" x14ac:dyDescent="0.3">
      <c r="A9" s="56"/>
      <c r="B9" s="59" t="s">
        <v>0</v>
      </c>
      <c r="C9" s="59" t="s">
        <v>1</v>
      </c>
      <c r="D9" s="60" t="s">
        <v>2</v>
      </c>
      <c r="E9" s="62" t="s">
        <v>31</v>
      </c>
      <c r="F9" s="62" t="s">
        <v>32</v>
      </c>
    </row>
    <row r="10" spans="1:18" x14ac:dyDescent="0.3">
      <c r="A10" s="106">
        <v>1</v>
      </c>
      <c r="B10" s="105"/>
      <c r="C10" s="105"/>
      <c r="D10" s="104"/>
      <c r="E10" s="104"/>
      <c r="F10" s="104"/>
    </row>
    <row r="11" spans="1:18" x14ac:dyDescent="0.3">
      <c r="A11" s="106">
        <f>+A10+1</f>
        <v>2</v>
      </c>
      <c r="B11" s="105"/>
      <c r="C11" s="105"/>
      <c r="D11" s="104"/>
      <c r="E11" s="104"/>
      <c r="F11" s="104"/>
    </row>
    <row r="12" spans="1:18" x14ac:dyDescent="0.3">
      <c r="A12" s="106">
        <f t="shared" ref="A12:A41" si="0">+A11+1</f>
        <v>3</v>
      </c>
      <c r="B12" s="105"/>
      <c r="C12" s="105"/>
      <c r="D12" s="104"/>
      <c r="E12" s="104"/>
      <c r="F12" s="104"/>
    </row>
    <row r="13" spans="1:18" x14ac:dyDescent="0.3">
      <c r="A13" s="106">
        <f t="shared" si="0"/>
        <v>4</v>
      </c>
      <c r="B13" s="105"/>
      <c r="C13" s="105"/>
      <c r="D13" s="104"/>
      <c r="E13" s="104"/>
      <c r="F13" s="104"/>
    </row>
    <row r="14" spans="1:18" x14ac:dyDescent="0.3">
      <c r="A14" s="106">
        <f t="shared" si="0"/>
        <v>5</v>
      </c>
      <c r="B14" s="105"/>
      <c r="C14" s="105"/>
      <c r="D14" s="104"/>
      <c r="E14" s="104"/>
      <c r="F14" s="104"/>
    </row>
    <row r="15" spans="1:18" x14ac:dyDescent="0.3">
      <c r="A15" s="106">
        <f t="shared" si="0"/>
        <v>6</v>
      </c>
      <c r="B15" s="105"/>
      <c r="C15" s="105"/>
      <c r="D15" s="104"/>
      <c r="E15" s="104"/>
      <c r="F15" s="104"/>
    </row>
    <row r="16" spans="1:18" x14ac:dyDescent="0.3">
      <c r="A16" s="106">
        <f t="shared" si="0"/>
        <v>7</v>
      </c>
      <c r="B16" s="105"/>
      <c r="C16" s="105"/>
      <c r="D16" s="104"/>
      <c r="E16" s="104"/>
      <c r="F16" s="104"/>
    </row>
    <row r="17" spans="1:6" x14ac:dyDescent="0.3">
      <c r="A17" s="106">
        <f t="shared" si="0"/>
        <v>8</v>
      </c>
      <c r="B17" s="105"/>
      <c r="C17" s="105"/>
      <c r="D17" s="104"/>
      <c r="E17" s="104"/>
      <c r="F17" s="104"/>
    </row>
    <row r="18" spans="1:6" x14ac:dyDescent="0.3">
      <c r="A18" s="106">
        <f t="shared" si="0"/>
        <v>9</v>
      </c>
      <c r="B18" s="105"/>
      <c r="C18" s="105"/>
      <c r="D18" s="104"/>
      <c r="E18" s="104"/>
      <c r="F18" s="104"/>
    </row>
    <row r="19" spans="1:6" x14ac:dyDescent="0.3">
      <c r="A19" s="106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106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106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106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106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106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106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106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106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106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106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106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106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106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106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106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106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106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106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106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106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106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106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9" customWidth="1"/>
    <col min="2" max="2" width="25.5703125" style="19" customWidth="1"/>
    <col min="3" max="3" width="19.42578125" style="19" customWidth="1"/>
    <col min="4" max="4" width="12.7109375" style="19" customWidth="1"/>
    <col min="5" max="6" width="9.140625" style="19"/>
    <col min="7" max="7" width="8" style="80" customWidth="1"/>
    <col min="8" max="8" width="7.5703125" style="80" customWidth="1"/>
    <col min="9" max="9" width="6.140625" style="83" customWidth="1"/>
    <col min="10" max="10" width="2.7109375" style="83" customWidth="1"/>
    <col min="11" max="11" width="8.28515625" style="32" customWidth="1"/>
    <col min="12" max="12" width="6.42578125" style="32" customWidth="1"/>
    <col min="13" max="13" width="9.28515625" style="32" customWidth="1"/>
    <col min="14" max="14" width="9.85546875" style="19" customWidth="1"/>
    <col min="15" max="19" width="9.140625" style="89" customWidth="1"/>
    <col min="20" max="16384" width="9.140625" style="19"/>
  </cols>
  <sheetData>
    <row r="1" spans="1:20" ht="15.75" x14ac:dyDescent="0.25">
      <c r="A1" s="19" t="s">
        <v>29</v>
      </c>
      <c r="D1" s="151" t="e">
        <f>+#REF!</f>
        <v>#REF!</v>
      </c>
      <c r="N1" s="35" t="s">
        <v>48</v>
      </c>
      <c r="T1" s="92" t="s">
        <v>26</v>
      </c>
    </row>
    <row r="3" spans="1:20" x14ac:dyDescent="0.25">
      <c r="A3" s="233">
        <f>+Entries!A2</f>
        <v>0</v>
      </c>
      <c r="B3" s="233"/>
      <c r="C3" s="233"/>
    </row>
    <row r="4" spans="1:20" x14ac:dyDescent="0.25">
      <c r="A4" s="234"/>
      <c r="B4" s="234"/>
      <c r="C4" s="79"/>
    </row>
    <row r="5" spans="1:20" x14ac:dyDescent="0.25">
      <c r="A5" s="235"/>
      <c r="B5" s="233"/>
      <c r="C5" s="54"/>
    </row>
    <row r="6" spans="1:20" x14ac:dyDescent="0.25">
      <c r="A6" s="81"/>
      <c r="B6" s="149"/>
      <c r="C6" s="79"/>
    </row>
    <row r="7" spans="1:20" x14ac:dyDescent="0.25">
      <c r="A7" s="81"/>
      <c r="B7" s="236"/>
      <c r="C7" s="236"/>
    </row>
    <row r="8" spans="1:20" x14ac:dyDescent="0.25">
      <c r="A8" s="81"/>
      <c r="B8" s="90"/>
    </row>
    <row r="9" spans="1:20" ht="34.5" customHeight="1" x14ac:dyDescent="0.25">
      <c r="A9" s="17"/>
      <c r="B9" s="5" t="s">
        <v>0</v>
      </c>
      <c r="C9" s="6" t="s">
        <v>1</v>
      </c>
      <c r="D9" s="7" t="s">
        <v>2</v>
      </c>
      <c r="E9" s="82" t="s">
        <v>31</v>
      </c>
      <c r="F9" s="82" t="s">
        <v>32</v>
      </c>
      <c r="G9" s="13" t="s">
        <v>33</v>
      </c>
      <c r="H9" s="13" t="s">
        <v>38</v>
      </c>
      <c r="I9" s="13" t="s">
        <v>37</v>
      </c>
      <c r="J9" s="13"/>
      <c r="K9" s="47" t="s">
        <v>35</v>
      </c>
      <c r="L9" s="47" t="s">
        <v>40</v>
      </c>
      <c r="M9" s="47" t="s">
        <v>41</v>
      </c>
      <c r="O9" s="89" t="s">
        <v>45</v>
      </c>
      <c r="P9" s="89" t="s">
        <v>42</v>
      </c>
      <c r="Q9" s="147" t="s">
        <v>43</v>
      </c>
      <c r="R9" s="89" t="s">
        <v>44</v>
      </c>
      <c r="S9" s="89" t="s">
        <v>43</v>
      </c>
    </row>
    <row r="10" spans="1:20" x14ac:dyDescent="0.25">
      <c r="A10" s="82">
        <v>1</v>
      </c>
      <c r="B10" s="107"/>
      <c r="C10" s="107"/>
      <c r="D10" s="108"/>
      <c r="E10" s="108"/>
      <c r="F10" s="108"/>
      <c r="G10" s="78"/>
      <c r="H10" s="78"/>
      <c r="I10" s="78" t="str">
        <f>IF(F10&gt;0,F10+H10,"")</f>
        <v/>
      </c>
      <c r="J10" s="78"/>
      <c r="K10" s="103"/>
      <c r="L10" s="103"/>
      <c r="M10" s="103" t="str">
        <f t="shared" ref="M10:M41" si="0">IF(K10&gt;0,K10+L10,"")</f>
        <v/>
      </c>
      <c r="O10" s="132">
        <f>SUM(P10:S10)</f>
        <v>40</v>
      </c>
      <c r="P10" s="132">
        <v>40</v>
      </c>
      <c r="Q10" s="132"/>
      <c r="R10" s="132"/>
      <c r="S10" s="132"/>
    </row>
    <row r="11" spans="1:20" x14ac:dyDescent="0.25">
      <c r="A11" s="82">
        <f>+A10+1</f>
        <v>2</v>
      </c>
      <c r="B11" s="107"/>
      <c r="C11" s="107"/>
      <c r="D11" s="108"/>
      <c r="E11" s="108"/>
      <c r="F11" s="108"/>
      <c r="G11" s="78"/>
      <c r="H11" s="78"/>
      <c r="I11" s="78" t="str">
        <f t="shared" ref="I11:I41" si="1">IF(F11&gt;0,F11+H11,"")</f>
        <v/>
      </c>
      <c r="J11" s="78"/>
      <c r="K11" s="103"/>
      <c r="L11" s="103"/>
      <c r="M11" s="103" t="str">
        <f t="shared" si="0"/>
        <v/>
      </c>
      <c r="O11" s="132">
        <f t="shared" ref="O11:O41" si="2">SUM(P11:S11)</f>
        <v>0</v>
      </c>
      <c r="P11" s="132"/>
      <c r="Q11" s="132"/>
      <c r="R11" s="132"/>
      <c r="S11" s="132"/>
    </row>
    <row r="12" spans="1:20" x14ac:dyDescent="0.25">
      <c r="A12" s="82">
        <f t="shared" ref="A12:A41" si="3">+A11+1</f>
        <v>3</v>
      </c>
      <c r="B12" s="107"/>
      <c r="C12" s="107"/>
      <c r="D12" s="108"/>
      <c r="E12" s="108"/>
      <c r="F12" s="108"/>
      <c r="G12" s="78"/>
      <c r="H12" s="78"/>
      <c r="I12" s="78" t="str">
        <f t="shared" si="1"/>
        <v/>
      </c>
      <c r="J12" s="78"/>
      <c r="K12" s="103"/>
      <c r="L12" s="103"/>
      <c r="M12" s="103" t="str">
        <f t="shared" si="0"/>
        <v/>
      </c>
      <c r="O12" s="132">
        <f t="shared" si="2"/>
        <v>0</v>
      </c>
      <c r="P12" s="132"/>
      <c r="Q12" s="132"/>
      <c r="R12" s="132"/>
      <c r="S12" s="132"/>
    </row>
    <row r="13" spans="1:20" x14ac:dyDescent="0.25">
      <c r="A13" s="82">
        <f t="shared" si="3"/>
        <v>4</v>
      </c>
      <c r="B13" s="107"/>
      <c r="C13" s="107"/>
      <c r="D13" s="108"/>
      <c r="E13" s="108"/>
      <c r="F13" s="108"/>
      <c r="G13" s="78"/>
      <c r="H13" s="78"/>
      <c r="I13" s="78" t="str">
        <f t="shared" si="1"/>
        <v/>
      </c>
      <c r="J13" s="78"/>
      <c r="K13" s="103"/>
      <c r="L13" s="103"/>
      <c r="M13" s="103" t="str">
        <f t="shared" si="0"/>
        <v/>
      </c>
      <c r="O13" s="132">
        <f t="shared" si="2"/>
        <v>0</v>
      </c>
      <c r="P13" s="132"/>
      <c r="Q13" s="132"/>
      <c r="R13" s="132"/>
      <c r="S13" s="132"/>
    </row>
    <row r="14" spans="1:20" x14ac:dyDescent="0.25">
      <c r="A14" s="82">
        <f t="shared" si="3"/>
        <v>5</v>
      </c>
      <c r="B14" s="107"/>
      <c r="C14" s="107"/>
      <c r="D14" s="108"/>
      <c r="E14" s="108"/>
      <c r="F14" s="108"/>
      <c r="G14" s="78"/>
      <c r="H14" s="78"/>
      <c r="I14" s="78" t="str">
        <f t="shared" si="1"/>
        <v/>
      </c>
      <c r="J14" s="78"/>
      <c r="K14" s="103"/>
      <c r="L14" s="103"/>
      <c r="M14" s="103" t="str">
        <f t="shared" si="0"/>
        <v/>
      </c>
      <c r="O14" s="132">
        <f t="shared" si="2"/>
        <v>0</v>
      </c>
      <c r="P14" s="132"/>
      <c r="Q14" s="132"/>
      <c r="R14" s="132"/>
      <c r="S14" s="132"/>
    </row>
    <row r="15" spans="1:20" x14ac:dyDescent="0.25">
      <c r="A15" s="82">
        <f t="shared" si="3"/>
        <v>6</v>
      </c>
      <c r="B15" s="107"/>
      <c r="C15" s="107"/>
      <c r="D15" s="108"/>
      <c r="E15" s="108"/>
      <c r="F15" s="108"/>
      <c r="G15" s="78"/>
      <c r="H15" s="78"/>
      <c r="I15" s="78" t="str">
        <f t="shared" si="1"/>
        <v/>
      </c>
      <c r="J15" s="78"/>
      <c r="K15" s="103"/>
      <c r="L15" s="103"/>
      <c r="M15" s="103" t="str">
        <f t="shared" si="0"/>
        <v/>
      </c>
      <c r="O15" s="132">
        <f t="shared" si="2"/>
        <v>40</v>
      </c>
      <c r="P15" s="132">
        <v>40</v>
      </c>
      <c r="Q15" s="132"/>
      <c r="R15" s="132"/>
      <c r="S15" s="132"/>
    </row>
    <row r="16" spans="1:20" x14ac:dyDescent="0.25">
      <c r="A16" s="82">
        <f t="shared" si="3"/>
        <v>7</v>
      </c>
      <c r="B16" s="107"/>
      <c r="C16" s="107"/>
      <c r="D16" s="108"/>
      <c r="E16" s="108"/>
      <c r="F16" s="108"/>
      <c r="G16" s="78"/>
      <c r="H16" s="78"/>
      <c r="I16" s="78" t="str">
        <f t="shared" si="1"/>
        <v/>
      </c>
      <c r="J16" s="78"/>
      <c r="K16" s="103"/>
      <c r="L16" s="103"/>
      <c r="M16" s="103" t="str">
        <f t="shared" si="0"/>
        <v/>
      </c>
      <c r="O16" s="132">
        <f t="shared" si="2"/>
        <v>0</v>
      </c>
      <c r="P16" s="132"/>
      <c r="Q16" s="132"/>
      <c r="R16" s="132"/>
      <c r="S16" s="132"/>
    </row>
    <row r="17" spans="1:19" x14ac:dyDescent="0.25">
      <c r="A17" s="82">
        <f t="shared" si="3"/>
        <v>8</v>
      </c>
      <c r="B17" s="107"/>
      <c r="C17" s="107"/>
      <c r="D17" s="108"/>
      <c r="E17" s="108"/>
      <c r="F17" s="108"/>
      <c r="G17" s="78"/>
      <c r="H17" s="78"/>
      <c r="I17" s="78" t="str">
        <f t="shared" si="1"/>
        <v/>
      </c>
      <c r="J17" s="78"/>
      <c r="K17" s="103"/>
      <c r="L17" s="103"/>
      <c r="M17" s="103" t="str">
        <f t="shared" si="0"/>
        <v/>
      </c>
      <c r="O17" s="132">
        <f t="shared" si="2"/>
        <v>0</v>
      </c>
      <c r="P17" s="132"/>
      <c r="Q17" s="132"/>
      <c r="R17" s="132"/>
      <c r="S17" s="132"/>
    </row>
    <row r="18" spans="1:19" x14ac:dyDescent="0.25">
      <c r="A18" s="82">
        <f t="shared" si="3"/>
        <v>9</v>
      </c>
      <c r="B18" s="107"/>
      <c r="C18" s="107"/>
      <c r="D18" s="108"/>
      <c r="E18" s="108"/>
      <c r="F18" s="108"/>
      <c r="G18" s="78"/>
      <c r="H18" s="78"/>
      <c r="I18" s="78" t="str">
        <f t="shared" si="1"/>
        <v/>
      </c>
      <c r="J18" s="78"/>
      <c r="K18" s="103"/>
      <c r="L18" s="103"/>
      <c r="M18" s="103" t="str">
        <f t="shared" si="0"/>
        <v/>
      </c>
      <c r="O18" s="132">
        <f t="shared" si="2"/>
        <v>0</v>
      </c>
      <c r="P18" s="132"/>
      <c r="Q18" s="132"/>
      <c r="R18" s="132"/>
      <c r="S18" s="132"/>
    </row>
    <row r="19" spans="1:19" x14ac:dyDescent="0.25">
      <c r="A19" s="82">
        <f t="shared" si="3"/>
        <v>10</v>
      </c>
      <c r="B19" s="107"/>
      <c r="C19" s="107"/>
      <c r="D19" s="108"/>
      <c r="E19" s="108"/>
      <c r="F19" s="108"/>
      <c r="G19" s="78"/>
      <c r="H19" s="78"/>
      <c r="I19" s="78" t="str">
        <f t="shared" si="1"/>
        <v/>
      </c>
      <c r="J19" s="78"/>
      <c r="K19" s="103"/>
      <c r="L19" s="103"/>
      <c r="M19" s="103" t="str">
        <f t="shared" si="0"/>
        <v/>
      </c>
      <c r="O19" s="132">
        <f t="shared" si="2"/>
        <v>0</v>
      </c>
      <c r="P19" s="132"/>
      <c r="Q19" s="132"/>
      <c r="R19" s="132"/>
      <c r="S19" s="132"/>
    </row>
    <row r="20" spans="1:19" x14ac:dyDescent="0.25">
      <c r="A20" s="82">
        <f t="shared" si="3"/>
        <v>11</v>
      </c>
      <c r="B20" s="107"/>
      <c r="C20" s="107"/>
      <c r="D20" s="108"/>
      <c r="E20" s="108"/>
      <c r="F20" s="108"/>
      <c r="G20" s="78"/>
      <c r="H20" s="78"/>
      <c r="I20" s="78" t="str">
        <f t="shared" si="1"/>
        <v/>
      </c>
      <c r="J20" s="78"/>
      <c r="K20" s="103"/>
      <c r="L20" s="103"/>
      <c r="M20" s="103" t="str">
        <f t="shared" si="0"/>
        <v/>
      </c>
      <c r="O20" s="132">
        <f t="shared" si="2"/>
        <v>0</v>
      </c>
      <c r="P20" s="132"/>
      <c r="Q20" s="132"/>
      <c r="R20" s="132"/>
      <c r="S20" s="132"/>
    </row>
    <row r="21" spans="1:19" x14ac:dyDescent="0.25">
      <c r="A21" s="82">
        <f t="shared" si="3"/>
        <v>12</v>
      </c>
      <c r="B21" s="107"/>
      <c r="C21" s="107"/>
      <c r="D21" s="108"/>
      <c r="E21" s="108"/>
      <c r="F21" s="108"/>
      <c r="G21" s="78"/>
      <c r="H21" s="78"/>
      <c r="I21" s="78" t="str">
        <f t="shared" si="1"/>
        <v/>
      </c>
      <c r="J21" s="78"/>
      <c r="K21" s="103"/>
      <c r="L21" s="103"/>
      <c r="M21" s="103" t="str">
        <f t="shared" si="0"/>
        <v/>
      </c>
      <c r="O21" s="132">
        <f t="shared" si="2"/>
        <v>0</v>
      </c>
      <c r="P21" s="132"/>
      <c r="Q21" s="132"/>
      <c r="R21" s="132"/>
      <c r="S21" s="132"/>
    </row>
    <row r="22" spans="1:19" x14ac:dyDescent="0.25">
      <c r="A22" s="82">
        <f t="shared" si="3"/>
        <v>13</v>
      </c>
      <c r="B22" s="107"/>
      <c r="C22" s="107"/>
      <c r="D22" s="108"/>
      <c r="E22" s="108"/>
      <c r="F22" s="108"/>
      <c r="G22" s="78"/>
      <c r="H22" s="78"/>
      <c r="I22" s="78" t="str">
        <f t="shared" si="1"/>
        <v/>
      </c>
      <c r="J22" s="78"/>
      <c r="K22" s="103"/>
      <c r="L22" s="103"/>
      <c r="M22" s="103" t="str">
        <f t="shared" si="0"/>
        <v/>
      </c>
      <c r="O22" s="132">
        <f t="shared" si="2"/>
        <v>0</v>
      </c>
      <c r="P22" s="132"/>
      <c r="Q22" s="132"/>
      <c r="R22" s="132"/>
      <c r="S22" s="132"/>
    </row>
    <row r="23" spans="1:19" x14ac:dyDescent="0.25">
      <c r="A23" s="82">
        <f t="shared" si="3"/>
        <v>14</v>
      </c>
      <c r="B23" s="107"/>
      <c r="C23" s="107"/>
      <c r="D23" s="108"/>
      <c r="E23" s="108"/>
      <c r="F23" s="108"/>
      <c r="G23" s="78"/>
      <c r="H23" s="78"/>
      <c r="I23" s="78" t="str">
        <f t="shared" si="1"/>
        <v/>
      </c>
      <c r="J23" s="78"/>
      <c r="K23" s="103"/>
      <c r="L23" s="103"/>
      <c r="M23" s="103" t="str">
        <f t="shared" si="0"/>
        <v/>
      </c>
      <c r="O23" s="132">
        <f t="shared" si="2"/>
        <v>0</v>
      </c>
      <c r="P23" s="132"/>
      <c r="Q23" s="132"/>
      <c r="R23" s="132"/>
      <c r="S23" s="132"/>
    </row>
    <row r="24" spans="1:19" x14ac:dyDescent="0.25">
      <c r="A24" s="82">
        <f t="shared" si="3"/>
        <v>15</v>
      </c>
      <c r="B24" s="107"/>
      <c r="C24" s="107"/>
      <c r="D24" s="108"/>
      <c r="E24" s="108"/>
      <c r="F24" s="108"/>
      <c r="G24" s="78"/>
      <c r="H24" s="78"/>
      <c r="I24" s="78" t="str">
        <f t="shared" si="1"/>
        <v/>
      </c>
      <c r="J24" s="78"/>
      <c r="K24" s="103"/>
      <c r="L24" s="103"/>
      <c r="M24" s="103" t="str">
        <f t="shared" si="0"/>
        <v/>
      </c>
      <c r="O24" s="132">
        <f t="shared" si="2"/>
        <v>0</v>
      </c>
      <c r="P24" s="132"/>
      <c r="Q24" s="132"/>
      <c r="R24" s="132"/>
      <c r="S24" s="132"/>
    </row>
    <row r="25" spans="1:19" x14ac:dyDescent="0.25">
      <c r="A25" s="82">
        <f t="shared" si="3"/>
        <v>16</v>
      </c>
      <c r="B25" s="107"/>
      <c r="C25" s="107"/>
      <c r="D25" s="108"/>
      <c r="E25" s="108"/>
      <c r="F25" s="108"/>
      <c r="G25" s="78"/>
      <c r="H25" s="78"/>
      <c r="I25" s="78" t="str">
        <f t="shared" si="1"/>
        <v/>
      </c>
      <c r="J25" s="78"/>
      <c r="K25" s="103"/>
      <c r="L25" s="103"/>
      <c r="M25" s="103" t="str">
        <f t="shared" si="0"/>
        <v/>
      </c>
      <c r="O25" s="132">
        <f t="shared" si="2"/>
        <v>0</v>
      </c>
      <c r="P25" s="132"/>
      <c r="Q25" s="132"/>
      <c r="R25" s="132"/>
      <c r="S25" s="132"/>
    </row>
    <row r="26" spans="1:19" x14ac:dyDescent="0.25">
      <c r="A26" s="82">
        <f t="shared" si="3"/>
        <v>17</v>
      </c>
      <c r="B26" s="107"/>
      <c r="C26" s="107"/>
      <c r="D26" s="108"/>
      <c r="E26" s="108"/>
      <c r="F26" s="108"/>
      <c r="G26" s="78"/>
      <c r="H26" s="78"/>
      <c r="I26" s="78" t="str">
        <f t="shared" si="1"/>
        <v/>
      </c>
      <c r="J26" s="78"/>
      <c r="K26" s="103"/>
      <c r="L26" s="103"/>
      <c r="M26" s="103" t="str">
        <f t="shared" si="0"/>
        <v/>
      </c>
      <c r="O26" s="132">
        <f t="shared" si="2"/>
        <v>0</v>
      </c>
      <c r="P26" s="132"/>
      <c r="Q26" s="132"/>
      <c r="R26" s="132"/>
      <c r="S26" s="132"/>
    </row>
    <row r="27" spans="1:19" x14ac:dyDescent="0.25">
      <c r="A27" s="82">
        <f t="shared" si="3"/>
        <v>18</v>
      </c>
      <c r="B27" s="107"/>
      <c r="C27" s="107"/>
      <c r="D27" s="108"/>
      <c r="E27" s="108"/>
      <c r="F27" s="108"/>
      <c r="G27" s="78"/>
      <c r="H27" s="78"/>
      <c r="I27" s="78" t="str">
        <f t="shared" si="1"/>
        <v/>
      </c>
      <c r="J27" s="78"/>
      <c r="K27" s="103"/>
      <c r="L27" s="103"/>
      <c r="M27" s="103" t="str">
        <f t="shared" si="0"/>
        <v/>
      </c>
      <c r="O27" s="132">
        <f t="shared" si="2"/>
        <v>0</v>
      </c>
      <c r="P27" s="132"/>
      <c r="Q27" s="132"/>
      <c r="R27" s="132"/>
      <c r="S27" s="132"/>
    </row>
    <row r="28" spans="1:19" x14ac:dyDescent="0.25">
      <c r="A28" s="82">
        <f t="shared" si="3"/>
        <v>19</v>
      </c>
      <c r="B28" s="107"/>
      <c r="C28" s="107"/>
      <c r="D28" s="108"/>
      <c r="E28" s="108"/>
      <c r="F28" s="108"/>
      <c r="G28" s="78"/>
      <c r="H28" s="78"/>
      <c r="I28" s="78" t="str">
        <f t="shared" si="1"/>
        <v/>
      </c>
      <c r="J28" s="78"/>
      <c r="K28" s="103"/>
      <c r="L28" s="103"/>
      <c r="M28" s="103" t="str">
        <f t="shared" si="0"/>
        <v/>
      </c>
      <c r="O28" s="132">
        <f t="shared" si="2"/>
        <v>0</v>
      </c>
      <c r="P28" s="132"/>
      <c r="Q28" s="132"/>
      <c r="R28" s="132"/>
      <c r="S28" s="132"/>
    </row>
    <row r="29" spans="1:19" x14ac:dyDescent="0.25">
      <c r="A29" s="82">
        <f t="shared" si="3"/>
        <v>20</v>
      </c>
      <c r="B29" s="107"/>
      <c r="C29" s="107"/>
      <c r="D29" s="108"/>
      <c r="E29" s="108"/>
      <c r="F29" s="108"/>
      <c r="G29" s="78"/>
      <c r="H29" s="78"/>
      <c r="I29" s="78" t="str">
        <f t="shared" si="1"/>
        <v/>
      </c>
      <c r="J29" s="78"/>
      <c r="K29" s="103"/>
      <c r="L29" s="103"/>
      <c r="M29" s="103" t="str">
        <f t="shared" si="0"/>
        <v/>
      </c>
      <c r="O29" s="132">
        <f t="shared" si="2"/>
        <v>0</v>
      </c>
      <c r="P29" s="132"/>
      <c r="Q29" s="132"/>
      <c r="R29" s="132"/>
      <c r="S29" s="132"/>
    </row>
    <row r="30" spans="1:19" x14ac:dyDescent="0.25">
      <c r="A30" s="82">
        <f t="shared" si="3"/>
        <v>21</v>
      </c>
      <c r="B30" s="107"/>
      <c r="C30" s="107"/>
      <c r="D30" s="108"/>
      <c r="E30" s="108"/>
      <c r="F30" s="108"/>
      <c r="G30" s="78"/>
      <c r="H30" s="78"/>
      <c r="I30" s="78" t="str">
        <f t="shared" si="1"/>
        <v/>
      </c>
      <c r="J30" s="78"/>
      <c r="K30" s="103"/>
      <c r="L30" s="103"/>
      <c r="M30" s="103" t="str">
        <f t="shared" si="0"/>
        <v/>
      </c>
      <c r="O30" s="132">
        <f t="shared" si="2"/>
        <v>0</v>
      </c>
      <c r="P30" s="132"/>
      <c r="Q30" s="132"/>
      <c r="R30" s="132"/>
      <c r="S30" s="132"/>
    </row>
    <row r="31" spans="1:19" x14ac:dyDescent="0.25">
      <c r="A31" s="82">
        <f t="shared" si="3"/>
        <v>22</v>
      </c>
      <c r="B31" s="107"/>
      <c r="C31" s="107"/>
      <c r="D31" s="108"/>
      <c r="E31" s="108"/>
      <c r="F31" s="108"/>
      <c r="G31" s="78"/>
      <c r="H31" s="78"/>
      <c r="I31" s="78" t="str">
        <f t="shared" si="1"/>
        <v/>
      </c>
      <c r="J31" s="78"/>
      <c r="K31" s="103"/>
      <c r="L31" s="103"/>
      <c r="M31" s="103" t="str">
        <f t="shared" si="0"/>
        <v/>
      </c>
      <c r="O31" s="132">
        <f t="shared" si="2"/>
        <v>0</v>
      </c>
      <c r="P31" s="132"/>
      <c r="Q31" s="132"/>
      <c r="R31" s="132"/>
      <c r="S31" s="132"/>
    </row>
    <row r="32" spans="1:19" x14ac:dyDescent="0.25">
      <c r="A32" s="82">
        <f t="shared" si="3"/>
        <v>23</v>
      </c>
      <c r="B32" s="107"/>
      <c r="C32" s="107"/>
      <c r="D32" s="108"/>
      <c r="E32" s="108"/>
      <c r="F32" s="108"/>
      <c r="G32" s="78"/>
      <c r="H32" s="78"/>
      <c r="I32" s="78" t="str">
        <f t="shared" si="1"/>
        <v/>
      </c>
      <c r="J32" s="78"/>
      <c r="K32" s="103"/>
      <c r="L32" s="103"/>
      <c r="M32" s="103" t="str">
        <f t="shared" si="0"/>
        <v/>
      </c>
      <c r="O32" s="132">
        <f t="shared" si="2"/>
        <v>0</v>
      </c>
      <c r="P32" s="132"/>
      <c r="Q32" s="132"/>
      <c r="R32" s="132"/>
      <c r="S32" s="132"/>
    </row>
    <row r="33" spans="1:19" x14ac:dyDescent="0.25">
      <c r="A33" s="82">
        <f t="shared" si="3"/>
        <v>24</v>
      </c>
      <c r="B33" s="107"/>
      <c r="C33" s="107"/>
      <c r="D33" s="108"/>
      <c r="E33" s="108"/>
      <c r="F33" s="108"/>
      <c r="G33" s="78"/>
      <c r="H33" s="78"/>
      <c r="I33" s="78" t="str">
        <f t="shared" si="1"/>
        <v/>
      </c>
      <c r="J33" s="78"/>
      <c r="K33" s="103"/>
      <c r="L33" s="103"/>
      <c r="M33" s="103" t="str">
        <f t="shared" si="0"/>
        <v/>
      </c>
      <c r="O33" s="132">
        <f t="shared" si="2"/>
        <v>0</v>
      </c>
      <c r="P33" s="132"/>
      <c r="Q33" s="132"/>
      <c r="R33" s="132"/>
      <c r="S33" s="132"/>
    </row>
    <row r="34" spans="1:19" x14ac:dyDescent="0.25">
      <c r="A34" s="82">
        <f t="shared" si="3"/>
        <v>25</v>
      </c>
      <c r="B34" s="107"/>
      <c r="C34" s="107"/>
      <c r="D34" s="108"/>
      <c r="E34" s="108"/>
      <c r="F34" s="108"/>
      <c r="G34" s="78"/>
      <c r="H34" s="78"/>
      <c r="I34" s="78" t="str">
        <f t="shared" si="1"/>
        <v/>
      </c>
      <c r="J34" s="78"/>
      <c r="K34" s="103"/>
      <c r="L34" s="103"/>
      <c r="M34" s="103" t="str">
        <f t="shared" si="0"/>
        <v/>
      </c>
      <c r="O34" s="132">
        <f t="shared" si="2"/>
        <v>0</v>
      </c>
      <c r="P34" s="132"/>
      <c r="Q34" s="132"/>
      <c r="R34" s="132"/>
      <c r="S34" s="132"/>
    </row>
    <row r="35" spans="1:19" x14ac:dyDescent="0.25">
      <c r="A35" s="82">
        <f t="shared" si="3"/>
        <v>26</v>
      </c>
      <c r="B35" s="107"/>
      <c r="C35" s="107"/>
      <c r="D35" s="108"/>
      <c r="E35" s="108"/>
      <c r="F35" s="108"/>
      <c r="G35" s="78"/>
      <c r="H35" s="78"/>
      <c r="I35" s="78" t="str">
        <f t="shared" si="1"/>
        <v/>
      </c>
      <c r="J35" s="78"/>
      <c r="K35" s="103"/>
      <c r="L35" s="103"/>
      <c r="M35" s="103" t="str">
        <f t="shared" si="0"/>
        <v/>
      </c>
      <c r="O35" s="132">
        <f t="shared" si="2"/>
        <v>0</v>
      </c>
      <c r="P35" s="132"/>
      <c r="Q35" s="132"/>
      <c r="R35" s="132"/>
      <c r="S35" s="132"/>
    </row>
    <row r="36" spans="1:19" x14ac:dyDescent="0.25">
      <c r="A36" s="82">
        <f t="shared" si="3"/>
        <v>27</v>
      </c>
      <c r="B36" s="107"/>
      <c r="C36" s="107"/>
      <c r="D36" s="108"/>
      <c r="E36" s="108"/>
      <c r="F36" s="108"/>
      <c r="G36" s="78"/>
      <c r="H36" s="78"/>
      <c r="I36" s="78" t="str">
        <f t="shared" si="1"/>
        <v/>
      </c>
      <c r="J36" s="78"/>
      <c r="K36" s="103"/>
      <c r="L36" s="103"/>
      <c r="M36" s="103" t="str">
        <f t="shared" si="0"/>
        <v/>
      </c>
      <c r="O36" s="132">
        <f t="shared" si="2"/>
        <v>0</v>
      </c>
      <c r="P36" s="132"/>
      <c r="Q36" s="132"/>
      <c r="R36" s="132"/>
      <c r="S36" s="132"/>
    </row>
    <row r="37" spans="1:19" x14ac:dyDescent="0.25">
      <c r="A37" s="82">
        <f t="shared" si="3"/>
        <v>28</v>
      </c>
      <c r="B37" s="107"/>
      <c r="C37" s="107"/>
      <c r="D37" s="108"/>
      <c r="E37" s="108"/>
      <c r="F37" s="108"/>
      <c r="G37" s="78"/>
      <c r="H37" s="78"/>
      <c r="I37" s="78" t="str">
        <f t="shared" si="1"/>
        <v/>
      </c>
      <c r="J37" s="78"/>
      <c r="K37" s="103"/>
      <c r="L37" s="103"/>
      <c r="M37" s="103" t="str">
        <f t="shared" si="0"/>
        <v/>
      </c>
      <c r="O37" s="132">
        <f t="shared" si="2"/>
        <v>0</v>
      </c>
      <c r="P37" s="132"/>
      <c r="Q37" s="132"/>
      <c r="R37" s="132"/>
      <c r="S37" s="132"/>
    </row>
    <row r="38" spans="1:19" x14ac:dyDescent="0.25">
      <c r="A38" s="82">
        <f t="shared" si="3"/>
        <v>29</v>
      </c>
      <c r="B38" s="107"/>
      <c r="C38" s="107"/>
      <c r="D38" s="108"/>
      <c r="E38" s="108"/>
      <c r="F38" s="108"/>
      <c r="G38" s="78"/>
      <c r="H38" s="78"/>
      <c r="I38" s="78" t="str">
        <f t="shared" si="1"/>
        <v/>
      </c>
      <c r="J38" s="78"/>
      <c r="K38" s="103"/>
      <c r="L38" s="103"/>
      <c r="M38" s="103" t="str">
        <f t="shared" si="0"/>
        <v/>
      </c>
      <c r="O38" s="132">
        <f t="shared" si="2"/>
        <v>0</v>
      </c>
      <c r="P38" s="132"/>
      <c r="Q38" s="132"/>
      <c r="R38" s="132"/>
      <c r="S38" s="132"/>
    </row>
    <row r="39" spans="1:19" x14ac:dyDescent="0.25">
      <c r="A39" s="82">
        <f t="shared" si="3"/>
        <v>30</v>
      </c>
      <c r="B39" s="107"/>
      <c r="C39" s="107"/>
      <c r="D39" s="108"/>
      <c r="E39" s="108"/>
      <c r="F39" s="108"/>
      <c r="G39" s="78"/>
      <c r="H39" s="78"/>
      <c r="I39" s="78" t="str">
        <f t="shared" si="1"/>
        <v/>
      </c>
      <c r="J39" s="78"/>
      <c r="K39" s="103"/>
      <c r="L39" s="103"/>
      <c r="M39" s="103" t="str">
        <f t="shared" si="0"/>
        <v/>
      </c>
      <c r="O39" s="132">
        <f t="shared" si="2"/>
        <v>0</v>
      </c>
      <c r="P39" s="132"/>
      <c r="Q39" s="132"/>
      <c r="R39" s="132"/>
      <c r="S39" s="132"/>
    </row>
    <row r="40" spans="1:19" x14ac:dyDescent="0.25">
      <c r="A40" s="82">
        <f t="shared" si="3"/>
        <v>31</v>
      </c>
      <c r="B40" s="107"/>
      <c r="C40" s="107"/>
      <c r="D40" s="108"/>
      <c r="E40" s="108"/>
      <c r="F40" s="108"/>
      <c r="G40" s="78"/>
      <c r="H40" s="78"/>
      <c r="I40" s="78" t="str">
        <f t="shared" si="1"/>
        <v/>
      </c>
      <c r="J40" s="78"/>
      <c r="K40" s="103"/>
      <c r="L40" s="103"/>
      <c r="M40" s="103" t="str">
        <f t="shared" si="0"/>
        <v/>
      </c>
      <c r="O40" s="132">
        <f t="shared" si="2"/>
        <v>0</v>
      </c>
      <c r="P40" s="132"/>
      <c r="Q40" s="132"/>
      <c r="R40" s="132"/>
      <c r="S40" s="132"/>
    </row>
    <row r="41" spans="1:19" x14ac:dyDescent="0.25">
      <c r="A41" s="82">
        <f t="shared" si="3"/>
        <v>32</v>
      </c>
      <c r="B41" s="107"/>
      <c r="C41" s="107"/>
      <c r="D41" s="108"/>
      <c r="E41" s="108"/>
      <c r="F41" s="108"/>
      <c r="G41" s="78"/>
      <c r="H41" s="78"/>
      <c r="I41" s="78" t="str">
        <f t="shared" si="1"/>
        <v/>
      </c>
      <c r="J41" s="78"/>
      <c r="K41" s="103"/>
      <c r="L41" s="103"/>
      <c r="M41" s="103" t="str">
        <f t="shared" si="0"/>
        <v/>
      </c>
      <c r="O41" s="132">
        <f t="shared" si="2"/>
        <v>0</v>
      </c>
      <c r="P41" s="132"/>
      <c r="Q41" s="132"/>
      <c r="R41" s="132"/>
      <c r="S41" s="13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63</v>
      </c>
    </row>
    <row r="2" spans="1:2" x14ac:dyDescent="0.25">
      <c r="A2">
        <v>2</v>
      </c>
      <c r="B2" t="s">
        <v>64</v>
      </c>
    </row>
    <row r="3" spans="1:2" x14ac:dyDescent="0.25">
      <c r="A3">
        <v>3</v>
      </c>
      <c r="B3" t="s">
        <v>82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135</vt:i4>
      </vt:variant>
    </vt:vector>
  </HeadingPairs>
  <TitlesOfParts>
    <vt:vector size="146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FCRCCinAccNoHdr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FCRPool1Hdr</vt:lpstr>
      <vt:lpstr>FCRPool1Name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FCRResutlsNameHdr</vt:lpstr>
      <vt:lpstr>PCRPool2Number</vt:lpstr>
      <vt:lpstr>ConsyCheckInSheet!Print_Area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2023-07-31T00:40:47Z</cp:lastPrinted>
  <dcterms:created xsi:type="dcterms:W3CDTF">2014-07-12T17:55:34Z</dcterms:created>
  <dcterms:modified xsi:type="dcterms:W3CDTF">2023-07-31T04:13:17Z</dcterms:modified>
</cp:coreProperties>
</file>