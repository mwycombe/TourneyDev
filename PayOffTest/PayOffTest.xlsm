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PayOffTest\"/>
    </mc:Choice>
  </mc:AlternateContent>
  <xr:revisionPtr revIDLastSave="0" documentId="13_ncr:1_{25CB1F56-6A16-452B-AF47-98E6E3BDEA92}" xr6:coauthVersionLast="47" xr6:coauthVersionMax="47" xr10:uidLastSave="{00000000-0000-0000-0000-000000000000}"/>
  <bookViews>
    <workbookView xWindow="165" yWindow="90" windowWidth="28425" windowHeight="14745" tabRatio="465" xr2:uid="{00000000-000D-0000-FFFF-FFFF00000000}"/>
  </bookViews>
  <sheets>
    <sheet name="PayOffResults" sheetId="2" r:id="rId1"/>
    <sheet name="PayOffTable" sheetId="1" r:id="rId2"/>
    <sheet name="Grad10Results" sheetId="3" r:id="rId3"/>
    <sheet name="Grad20Results" sheetId="5" r:id="rId4"/>
    <sheet name="Grad50Results" sheetId="7" r:id="rId5"/>
    <sheet name="$10Grad" sheetId="4" r:id="rId6"/>
    <sheet name="$20Grad" sheetId="6" r:id="rId7"/>
    <sheet name="%50Grad" sheetId="8" r:id="rId8"/>
  </sheets>
  <definedNames>
    <definedName name="AllPayOffResults">PayOffResults!$B$5:$BH$15,PayOffResults!$A$10,PayOffResults!$A$11,PayOffResults!$A$12</definedName>
    <definedName name="AllResultsFor10">Grad10Results!$A$7:$R$102,Grad10Results!$B$4</definedName>
    <definedName name="AllResultsFor20">Grad20Results!$A$7:$R$103,Grad20Results!$B$4</definedName>
    <definedName name="AllResultsFor50">Grad50Results!$A$7:$R$102,Grad50Results!$B$4</definedName>
    <definedName name="AmountHeader">PayOffResults!$C$9</definedName>
    <definedName name="Clear10Results">Grad10Results!$A$3</definedName>
    <definedName name="EntrantsFor10">Grad10Results!$A$6</definedName>
    <definedName name="EntrantsFor20">Grad20Results!$A$6</definedName>
    <definedName name="EntrantsFor50">Grad50Results!$A$6</definedName>
    <definedName name="EntryFee">PayOffResults!$B$6</definedName>
    <definedName name="EntryHeader">PayOffResults!$A$6</definedName>
    <definedName name="FGrad10Entrants">'$10Grad'!$A$2</definedName>
    <definedName name="FGrad10First">'$10Grad'!$C$2</definedName>
    <definedName name="FGrad10Pool">'$10Grad'!$B$2</definedName>
    <definedName name="FGrad20Entrants">'$20Grad'!$A$2</definedName>
    <definedName name="FGrad20First">'$20Grad'!$C$2</definedName>
    <definedName name="FGrad20Pool">'$20Grad'!$B$2</definedName>
    <definedName name="FGrad50Entrants">'%50Grad'!$A$2</definedName>
    <definedName name="FGrad50First">'%50Grad'!$C$2</definedName>
    <definedName name="FGrad50Pool">'%50Grad'!$B$2</definedName>
    <definedName name="FGradPool10Fee">'$10Grad'!$A$1</definedName>
    <definedName name="FGradPool20Fee">'$20Grad'!$A$1</definedName>
    <definedName name="FGradPool50fee">'%50Grad'!$A$1</definedName>
    <definedName name="Grad10Fee">Grad10Results!$B$4</definedName>
    <definedName name="Grad20Fee">Grad20Results!$B$4</definedName>
    <definedName name="Grad50Fee">Grad50Results!$B$4</definedName>
    <definedName name="PayOffs">PayOffResults!$B:$B</definedName>
    <definedName name="PayOffTableHeader">PayOffResults!$B$9</definedName>
    <definedName name="PayOffTableOrigin">PayOffTable!$B$9</definedName>
    <definedName name="Places">PayOffResults!$A$10</definedName>
    <definedName name="PlacesFor10">Grad10Results!$C$5</definedName>
    <definedName name="PlacesFor20">Grad20Results!$C$5</definedName>
    <definedName name="PlacesFor50">Grad50Results!$C$5</definedName>
    <definedName name="PlacesHeader">PayOffResults!$A$9</definedName>
    <definedName name="Players">PayOffResults!$B$5</definedName>
    <definedName name="PlayersHeader">PayOffResults!$A$5</definedName>
    <definedName name="Pool">PayOffResults!$B$7</definedName>
    <definedName name="PoolFor10">Grad10Results!$B$6</definedName>
    <definedName name="PoolFor20">Grad20Results!$B$6</definedName>
    <definedName name="PoolFor50">Grad50Results!$B$6</definedName>
    <definedName name="PoolHeader">PayOffResults!$A$7</definedName>
    <definedName name="QsHeader">PayOffResults!$A$8</definedName>
    <definedName name="Qualifiers">PayOffResults!$B$8</definedName>
    <definedName name="Rounded">PayOffResults!$D$10</definedName>
    <definedName name="RoundedHeader">PayOffResults!$D$9</definedName>
    <definedName name="StartOfPlaces">PayOffTable!$A$9</definedName>
    <definedName name="StartOfQs">PayOffTable!$B$4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8" l="1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C7" i="8" s="1"/>
  <c r="S7" i="8" s="1"/>
  <c r="B6" i="8"/>
  <c r="B5" i="8"/>
  <c r="B4" i="8"/>
  <c r="B3" i="8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3" i="6"/>
  <c r="C3" i="6" s="1"/>
  <c r="S3" i="6" s="1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C7" i="4" s="1"/>
  <c r="S7" i="4" s="1"/>
  <c r="B6" i="4"/>
  <c r="C6" i="4" s="1"/>
  <c r="S6" i="4" s="1"/>
  <c r="B5" i="4"/>
  <c r="B4" i="4"/>
  <c r="B3" i="4"/>
  <c r="C3" i="4" s="1"/>
  <c r="S3" i="4" s="1"/>
  <c r="S98" i="8"/>
  <c r="S97" i="8"/>
  <c r="S96" i="8"/>
  <c r="S95" i="8"/>
  <c r="S94" i="8"/>
  <c r="S93" i="8"/>
  <c r="S92" i="8"/>
  <c r="S91" i="8"/>
  <c r="S90" i="8"/>
  <c r="S89" i="8"/>
  <c r="S88" i="8"/>
  <c r="S87" i="8"/>
  <c r="S86" i="8"/>
  <c r="S85" i="8"/>
  <c r="S84" i="8"/>
  <c r="S83" i="8"/>
  <c r="S82" i="8"/>
  <c r="S81" i="8"/>
  <c r="S80" i="8"/>
  <c r="S79" i="8"/>
  <c r="S78" i="8"/>
  <c r="S77" i="8"/>
  <c r="S76" i="8"/>
  <c r="S75" i="8"/>
  <c r="S74" i="8"/>
  <c r="S73" i="8"/>
  <c r="S72" i="8"/>
  <c r="S71" i="8"/>
  <c r="S70" i="8"/>
  <c r="S69" i="8"/>
  <c r="S68" i="8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9" i="8"/>
  <c r="S38" i="8"/>
  <c r="S37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C8" i="8"/>
  <c r="S8" i="8" s="1"/>
  <c r="C6" i="8"/>
  <c r="S6" i="8" s="1"/>
  <c r="C5" i="8"/>
  <c r="S5" i="8" s="1"/>
  <c r="C4" i="8"/>
  <c r="S4" i="8" s="1"/>
  <c r="C3" i="8"/>
  <c r="S3" i="8" s="1"/>
  <c r="S98" i="6"/>
  <c r="S97" i="6"/>
  <c r="S96" i="6"/>
  <c r="S95" i="6"/>
  <c r="S94" i="6"/>
  <c r="S93" i="6"/>
  <c r="S92" i="6"/>
  <c r="S91" i="6"/>
  <c r="S90" i="6"/>
  <c r="S89" i="6"/>
  <c r="S88" i="6"/>
  <c r="S87" i="6"/>
  <c r="S86" i="6"/>
  <c r="S85" i="6"/>
  <c r="S84" i="6"/>
  <c r="S83" i="6"/>
  <c r="S82" i="6"/>
  <c r="S81" i="6"/>
  <c r="S80" i="6"/>
  <c r="S79" i="6"/>
  <c r="S78" i="6"/>
  <c r="S77" i="6"/>
  <c r="S76" i="6"/>
  <c r="S75" i="6"/>
  <c r="S74" i="6"/>
  <c r="S73" i="6"/>
  <c r="S72" i="6"/>
  <c r="S71" i="6"/>
  <c r="S70" i="6"/>
  <c r="S69" i="6"/>
  <c r="S68" i="6"/>
  <c r="S67" i="6"/>
  <c r="S66" i="6"/>
  <c r="S65" i="6"/>
  <c r="S64" i="6"/>
  <c r="S63" i="6"/>
  <c r="S62" i="6"/>
  <c r="S61" i="6"/>
  <c r="S60" i="6"/>
  <c r="S59" i="6"/>
  <c r="S58" i="6"/>
  <c r="S57" i="6"/>
  <c r="S56" i="6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41" i="6"/>
  <c r="S40" i="6"/>
  <c r="S39" i="6"/>
  <c r="S38" i="6"/>
  <c r="S37" i="6"/>
  <c r="S36" i="6"/>
  <c r="S35" i="6"/>
  <c r="S34" i="6"/>
  <c r="S33" i="6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C8" i="6"/>
  <c r="S8" i="6" s="1"/>
  <c r="C7" i="6"/>
  <c r="S7" i="6" s="1"/>
  <c r="C6" i="6"/>
  <c r="S6" i="6" s="1"/>
  <c r="C5" i="6"/>
  <c r="S5" i="6" s="1"/>
  <c r="C4" i="6"/>
  <c r="S4" i="6" s="1"/>
  <c r="S98" i="4"/>
  <c r="S97" i="4"/>
  <c r="S96" i="4"/>
  <c r="S95" i="4"/>
  <c r="S94" i="4"/>
  <c r="S93" i="4"/>
  <c r="S92" i="4"/>
  <c r="S91" i="4"/>
  <c r="S90" i="4"/>
  <c r="S89" i="4"/>
  <c r="S88" i="4"/>
  <c r="S87" i="4"/>
  <c r="S86" i="4"/>
  <c r="S85" i="4"/>
  <c r="S84" i="4"/>
  <c r="S83" i="4"/>
  <c r="S82" i="4"/>
  <c r="S81" i="4"/>
  <c r="S80" i="4"/>
  <c r="S79" i="4"/>
  <c r="S78" i="4"/>
  <c r="S77" i="4"/>
  <c r="S76" i="4"/>
  <c r="S75" i="4"/>
  <c r="S74" i="4"/>
  <c r="S73" i="4"/>
  <c r="S72" i="4"/>
  <c r="S71" i="4"/>
  <c r="S70" i="4"/>
  <c r="S69" i="4"/>
  <c r="S68" i="4"/>
  <c r="S67" i="4"/>
  <c r="S66" i="4"/>
  <c r="S65" i="4"/>
  <c r="S64" i="4"/>
  <c r="S63" i="4"/>
  <c r="S62" i="4"/>
  <c r="S61" i="4"/>
  <c r="S60" i="4"/>
  <c r="S59" i="4"/>
  <c r="S58" i="4"/>
  <c r="S57" i="4"/>
  <c r="S56" i="4"/>
  <c r="S55" i="4"/>
  <c r="S54" i="4"/>
  <c r="S53" i="4"/>
  <c r="S52" i="4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C8" i="4"/>
  <c r="S8" i="4" s="1"/>
  <c r="C5" i="4"/>
  <c r="S5" i="4" s="1"/>
  <c r="C4" i="4"/>
  <c r="S4" i="4" s="1"/>
  <c r="AK48" i="1" l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M48" i="1"/>
  <c r="L48" i="1"/>
  <c r="K48" i="1"/>
  <c r="J48" i="1"/>
  <c r="I48" i="1"/>
  <c r="H48" i="1"/>
  <c r="G48" i="1"/>
  <c r="F48" i="1"/>
  <c r="E48" i="1"/>
  <c r="D48" i="1"/>
  <c r="C48" i="1"/>
  <c r="B48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B47" i="1"/>
</calcChain>
</file>

<file path=xl/sharedStrings.xml><?xml version="1.0" encoding="utf-8"?>
<sst xmlns="http://schemas.openxmlformats.org/spreadsheetml/2006/main" count="222" uniqueCount="109">
  <si>
    <t>Players</t>
  </si>
  <si>
    <t>9 - 12</t>
  </si>
  <si>
    <t>13 - 16</t>
  </si>
  <si>
    <t>17 - 20</t>
  </si>
  <si>
    <t>21 - 24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</si>
  <si>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</si>
  <si>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</si>
  <si>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</si>
  <si>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</si>
  <si>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</si>
  <si>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</si>
  <si>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</si>
  <si>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</si>
  <si>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</si>
  <si>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</si>
  <si>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</si>
  <si>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</si>
  <si>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</si>
  <si>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</si>
  <si>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</si>
  <si>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</si>
  <si>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</si>
  <si>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</si>
  <si>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</si>
  <si>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</si>
  <si>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</si>
  <si>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</si>
  <si>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</si>
  <si>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</si>
  <si>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</si>
  <si>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</si>
  <si>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</si>
  <si>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</si>
  <si>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</si>
  <si>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</si>
  <si>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</si>
  <si>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</si>
  <si>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</si>
  <si>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</si>
  <si>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</si>
  <si>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</si>
  <si>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</si>
  <si>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</si>
  <si>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</si>
  <si>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</si>
  <si>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</si>
  <si>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</si>
  <si>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</si>
  <si>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</si>
  <si>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</si>
  <si>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</si>
  <si>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</si>
  <si>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</si>
  <si>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</si>
  <si>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</si>
  <si>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</si>
  <si>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</si>
  <si>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</si>
  <si>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</si>
  <si>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</si>
  <si>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</si>
  <si>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</si>
  <si>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</si>
  <si>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</si>
  <si>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</si>
  <si>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</si>
  <si>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</si>
  <si>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</si>
  <si>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</si>
  <si>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</si>
  <si>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</si>
  <si>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</si>
  <si>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</si>
  <si>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Qualifiers</t>
  </si>
  <si>
    <t>1st Rnd. Byes</t>
  </si>
  <si>
    <t>1st Rnd. Losers</t>
  </si>
  <si>
    <t>Copy of:</t>
  </si>
  <si>
    <t>Todd Malmgren's Sheets</t>
  </si>
  <si>
    <t>Total:</t>
  </si>
  <si>
    <t>Place</t>
  </si>
  <si>
    <t>Places</t>
  </si>
  <si>
    <t>Pool</t>
  </si>
  <si>
    <t>Entry</t>
  </si>
  <si>
    <t>Payoff</t>
  </si>
  <si>
    <t>Rounded</t>
  </si>
  <si>
    <t>Raw</t>
  </si>
  <si>
    <t>GRADUATED SIDE POOL 1 in 6</t>
  </si>
  <si>
    <t>Roland Hall May 2023</t>
  </si>
  <si>
    <t>Edited by Michael Rogers June 2023</t>
  </si>
  <si>
    <t>Entrants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</si>
  <si>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</si>
  <si>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</si>
  <si>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</si>
  <si>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</si>
  <si>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</si>
  <si>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</si>
  <si>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</si>
  <si>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</si>
  <si>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</si>
  <si>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</si>
  <si>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</si>
  <si>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</si>
  <si>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</si>
  <si>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</si>
  <si>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</si>
  <si>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</si>
  <si>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 xml:space="preserve"> Total</t>
  </si>
  <si>
    <t>EntryFee</t>
  </si>
  <si>
    <t>Quals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</si>
</sst>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44" formatCode="_(&quot;$&quot;* #,##0.00_);_(&quot;$&quot;* \(#,##0.00\);_(&quot;$&quot;* &quot;-&quot;??_);_(@_)"/>
    <numFmt numFmtId="164" formatCode="0.0%"/>
    <numFmt numFmtId="165" formatCode="00.00%"/>
    <numFmt numFmtId="166" formatCode="&quot;$&quot;00.00"/>
    <numFmt numFmtId="167" formatCode="&quot;$&quot;#,##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49" fontId="0" fillId="0" borderId="2" xfId="0" applyNumberFormat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right"/>
      <protection locked="0"/>
    </xf>
    <xf numFmtId="10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/>
      <protection locked="0"/>
    </xf>
    <xf numFmtId="0" fontId="0" fillId="0" borderId="3" xfId="0" applyBorder="1" applyAlignment="1" applyProtection="1">
      <alignment horizontal="right"/>
      <protection locked="0"/>
    </xf>
    <xf numFmtId="0" fontId="0" fillId="0" borderId="4" xfId="0" applyBorder="1" applyAlignment="1" applyProtection="1">
      <alignment horizontal="right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164" fontId="0" fillId="0" borderId="0" xfId="0" applyNumberFormat="1" applyProtection="1"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0" fillId="0" borderId="0" xfId="0"/>
    <xf numFmtId="10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10" fontId="0" fillId="0" borderId="0" xfId="0" applyNumberFormat="1" applyProtection="1">
      <protection locked="0"/>
    </xf>
    <xf numFmtId="165" fontId="0" fillId="0" borderId="0" xfId="0" applyNumberFormat="1"/>
    <xf numFmtId="166" fontId="0" fillId="0" borderId="0" xfId="0" applyNumberFormat="1"/>
    <xf numFmtId="1" fontId="0" fillId="0" borderId="0" xfId="0" applyNumberFormat="1"/>
    <xf numFmtId="5" fontId="3" fillId="0" borderId="0" xfId="1" applyNumberFormat="1" applyFont="1"/>
    <xf numFmtId="0" fontId="3" fillId="0" borderId="0" xfId="0" applyFont="1" applyAlignment="1">
      <alignment horizontal="left"/>
    </xf>
    <xf numFmtId="0" fontId="4" fillId="0" borderId="0" xfId="0" applyFont="1"/>
    <xf numFmtId="0" fontId="5" fillId="0" borderId="1" xfId="0" applyFont="1" applyBorder="1"/>
    <xf numFmtId="0" fontId="3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67" fontId="3" fillId="0" borderId="1" xfId="0" applyNumberFormat="1" applyFont="1" applyBorder="1"/>
    <xf numFmtId="0" fontId="3" fillId="0" borderId="1" xfId="0" applyFont="1" applyBorder="1" applyAlignment="1">
      <alignment horizontal="left"/>
    </xf>
    <xf numFmtId="0" fontId="4" fillId="0" borderId="1" xfId="0" applyFont="1" applyBorder="1"/>
    <xf numFmtId="167" fontId="0" fillId="0" borderId="0" xfId="0" applyNumberFormat="1"/>
    <xf numFmtId="167" fontId="3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590551</xdr:colOff>
          <xdr:row>0</xdr:row>
          <xdr:rowOff>171450</xdr:rowOff>
        </xdr:from>
        <xdr:to>
          <xdr:col>8</xdr:col>
          <xdr:colOff>133351</xdr:colOff>
          <xdr:row>3</xdr:row>
          <xdr:rowOff>9525</xdr:rowOff>
        </xdr:to>
        <xdr:sp macro="" textlink="">
          <xdr:nvSpPr>
            <xdr:cNvPr id="2050" name="ScanPayoff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Payoff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9525</xdr:rowOff>
        </xdr:from>
        <xdr:to>
          <xdr:col>4</xdr:col>
          <xdr:colOff>600075</xdr:colOff>
          <xdr:row>2</xdr:row>
          <xdr:rowOff>180975</xdr:rowOff>
        </xdr:to>
        <xdr:sp macro="" textlink="">
          <xdr:nvSpPr>
            <xdr:cNvPr id="2051" name="ClearPayOff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7</xdr:col>
          <xdr:colOff>600075</xdr:colOff>
          <xdr:row>2</xdr:row>
          <xdr:rowOff>171450</xdr:rowOff>
        </xdr:to>
        <xdr:sp macro="" textlink="">
          <xdr:nvSpPr>
            <xdr:cNvPr id="3074" name="Grad10_Click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4</xdr:col>
          <xdr:colOff>600075</xdr:colOff>
          <xdr:row>2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0</xdr:row>
          <xdr:rowOff>180975</xdr:rowOff>
        </xdr:from>
        <xdr:to>
          <xdr:col>8</xdr:col>
          <xdr:colOff>19050</xdr:colOff>
          <xdr:row>2</xdr:row>
          <xdr:rowOff>171450</xdr:rowOff>
        </xdr:to>
        <xdr:sp macro="" textlink="">
          <xdr:nvSpPr>
            <xdr:cNvPr id="6145" name="ButtonGrad20_Click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9525</xdr:rowOff>
        </xdr:from>
        <xdr:to>
          <xdr:col>5</xdr:col>
          <xdr:colOff>0</xdr:colOff>
          <xdr:row>2</xdr:row>
          <xdr:rowOff>171450</xdr:rowOff>
        </xdr:to>
        <xdr:sp macro="" textlink="">
          <xdr:nvSpPr>
            <xdr:cNvPr id="6146" name="Clear20Results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180975</xdr:rowOff>
        </xdr:from>
        <xdr:to>
          <xdr:col>7</xdr:col>
          <xdr:colOff>571500</xdr:colOff>
          <xdr:row>2</xdr:row>
          <xdr:rowOff>171450</xdr:rowOff>
        </xdr:to>
        <xdr:sp macro="" textlink="">
          <xdr:nvSpPr>
            <xdr:cNvPr id="7169" name="ButtonGrad50_Click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19050</xdr:rowOff>
        </xdr:from>
        <xdr:to>
          <xdr:col>5</xdr:col>
          <xdr:colOff>28575</xdr:colOff>
          <xdr:row>3</xdr:row>
          <xdr:rowOff>9525</xdr:rowOff>
        </xdr:to>
        <xdr:sp macro="" textlink="">
          <xdr:nvSpPr>
            <xdr:cNvPr id="7170" name="Clear50Results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5"/>
  <sheetViews>
    <sheetView tabSelected="1" workbookViewId="0">
      <selection activeCell="D4" sqref="D4"/>
    </sheetView>
  </sheetViews>
  <sheetFormatPr defaultRowHeight="15" x14ac:dyDescent="0.25"/>
  <cols>
    <col min="2" max="2" width="11.28515625" customWidth="1"/>
    <col min="4" max="4" width="9.140625" style="21"/>
    <col min="8" max="8" width="9.140625" style="21"/>
    <col min="15" max="15" width="9.140625" style="21"/>
  </cols>
  <sheetData>
    <row r="1" spans="1:60" s="21" customFormat="1" x14ac:dyDescent="0.25"/>
    <row r="2" spans="1:60" s="21" customFormat="1" x14ac:dyDescent="0.25"/>
    <row r="3" spans="1:60" s="21" customFormat="1" x14ac:dyDescent="0.25"/>
    <row r="4" spans="1:60" s="21" customFormat="1" x14ac:dyDescent="0.25"/>
    <row r="5" spans="1:60" s="21" customFormat="1" x14ac:dyDescent="0.25">
      <c r="A5" s="21" t="s">
        <v>0</v>
      </c>
      <c r="B5" s="21">
        <v>9</v>
      </c>
      <c r="F5" s="21">
        <v>10</v>
      </c>
      <c r="J5" s="21">
        <v>11</v>
      </c>
      <c r="N5" s="21">
        <v>12</v>
      </c>
      <c r="R5" s="21">
        <v>13</v>
      </c>
      <c r="V5" s="21">
        <v>14</v>
      </c>
      <c r="Z5" s="21">
        <v>15</v>
      </c>
      <c r="AD5" s="21">
        <v>16</v>
      </c>
      <c r="AH5" s="21">
        <v>17</v>
      </c>
      <c r="AL5" s="21">
        <v>18</v>
      </c>
      <c r="AP5" s="21">
        <v>19</v>
      </c>
      <c r="AT5" s="21">
        <v>20</v>
      </c>
      <c r="AX5" s="21">
        <v>21</v>
      </c>
      <c r="BB5" s="21">
        <v>22</v>
      </c>
      <c r="BF5" s="21">
        <v>23</v>
      </c>
    </row>
    <row r="6" spans="1:60" s="21" customFormat="1" x14ac:dyDescent="0.25">
      <c r="A6" s="21" t="s">
        <v>82</v>
      </c>
      <c r="B6" s="21">
        <v>70</v>
      </c>
      <c r="F6" s="21">
        <v>70</v>
      </c>
      <c r="J6" s="21">
        <v>70</v>
      </c>
      <c r="N6" s="21">
        <v>70</v>
      </c>
      <c r="R6" s="21">
        <v>70</v>
      </c>
      <c r="V6" s="21">
        <v>70</v>
      </c>
      <c r="Z6" s="21">
        <v>70</v>
      </c>
      <c r="AD6" s="21">
        <v>70</v>
      </c>
      <c r="AH6" s="21">
        <v>70</v>
      </c>
      <c r="AL6" s="21">
        <v>70</v>
      </c>
      <c r="AP6" s="21">
        <v>70</v>
      </c>
      <c r="AT6" s="21">
        <v>70</v>
      </c>
      <c r="AX6" s="21">
        <v>70</v>
      </c>
      <c r="BB6" s="21">
        <v>70</v>
      </c>
      <c r="BF6" s="21">
        <v>70</v>
      </c>
    </row>
    <row r="7" spans="1:60" s="21" customFormat="1" x14ac:dyDescent="0.25">
      <c r="A7" s="21" t="s">
        <v>81</v>
      </c>
      <c r="B7" s="21">
        <v>630</v>
      </c>
      <c r="F7" s="21">
        <v>700</v>
      </c>
      <c r="J7" s="21">
        <v>770</v>
      </c>
      <c r="N7" s="21">
        <v>840</v>
      </c>
      <c r="R7" s="21">
        <v>910</v>
      </c>
      <c r="V7" s="21">
        <v>980</v>
      </c>
      <c r="Z7" s="21">
        <v>1050</v>
      </c>
      <c r="AD7" s="21">
        <v>1120</v>
      </c>
      <c r="AH7" s="21">
        <v>1190</v>
      </c>
      <c r="AL7" s="21">
        <v>1260</v>
      </c>
      <c r="AP7" s="21">
        <v>1330</v>
      </c>
      <c r="AT7" s="21">
        <v>1400</v>
      </c>
      <c r="AX7" s="21">
        <v>1470</v>
      </c>
      <c r="BB7" s="21">
        <v>1540</v>
      </c>
      <c r="BF7" s="21">
        <v>1610</v>
      </c>
    </row>
    <row r="8" spans="1:60" s="21" customFormat="1" x14ac:dyDescent="0.25">
      <c r="A8" s="21" t="s">
        <v>108</v>
      </c>
      <c r="B8" s="21">
        <v>3</v>
      </c>
      <c r="F8" s="21">
        <v>3</v>
      </c>
      <c r="J8" s="21">
        <v>3</v>
      </c>
      <c r="N8" s="21">
        <v>3</v>
      </c>
      <c r="R8" s="21">
        <v>4</v>
      </c>
      <c r="V8" s="21">
        <v>4</v>
      </c>
      <c r="Z8" s="21">
        <v>4</v>
      </c>
      <c r="AD8" s="21">
        <v>4</v>
      </c>
      <c r="AH8" s="21">
        <v>5</v>
      </c>
      <c r="AL8" s="21">
        <v>5</v>
      </c>
      <c r="AP8" s="21">
        <v>5</v>
      </c>
      <c r="AT8" s="21">
        <v>5</v>
      </c>
      <c r="AX8" s="21">
        <v>6</v>
      </c>
      <c r="BB8" s="21">
        <v>6</v>
      </c>
      <c r="BF8" s="21">
        <v>6</v>
      </c>
    </row>
    <row r="9" spans="1:60" x14ac:dyDescent="0.25">
      <c r="A9" t="s">
        <v>80</v>
      </c>
      <c r="B9" t="s">
        <v>83</v>
      </c>
      <c r="C9" t="s">
        <v>85</v>
      </c>
      <c r="D9" s="21" t="s">
        <v>84</v>
      </c>
      <c r="E9" t="s">
        <v>80</v>
      </c>
      <c r="F9" t="s">
        <v>83</v>
      </c>
      <c r="G9" t="s">
        <v>85</v>
      </c>
      <c r="H9" s="21" t="s">
        <v>84</v>
      </c>
      <c r="I9" t="s">
        <v>80</v>
      </c>
      <c r="J9" t="s">
        <v>83</v>
      </c>
      <c r="K9" t="s">
        <v>85</v>
      </c>
      <c r="L9" t="s">
        <v>84</v>
      </c>
      <c r="M9" t="s">
        <v>80</v>
      </c>
      <c r="N9" t="s">
        <v>83</v>
      </c>
      <c r="O9" s="21" t="s">
        <v>85</v>
      </c>
      <c r="P9" t="s">
        <v>84</v>
      </c>
      <c r="Q9" t="s">
        <v>80</v>
      </c>
      <c r="R9" t="s">
        <v>83</v>
      </c>
      <c r="S9" t="s">
        <v>85</v>
      </c>
      <c r="T9" t="s">
        <v>84</v>
      </c>
      <c r="U9" t="s">
        <v>80</v>
      </c>
      <c r="V9" t="s">
        <v>83</v>
      </c>
      <c r="W9" t="s">
        <v>85</v>
      </c>
      <c r="X9" t="s">
        <v>84</v>
      </c>
      <c r="Y9" t="s">
        <v>80</v>
      </c>
      <c r="Z9" t="s">
        <v>83</v>
      </c>
      <c r="AA9" t="s">
        <v>85</v>
      </c>
      <c r="AB9" t="s">
        <v>84</v>
      </c>
      <c r="AC9" t="s">
        <v>80</v>
      </c>
      <c r="AD9" t="s">
        <v>83</v>
      </c>
      <c r="AE9" t="s">
        <v>85</v>
      </c>
      <c r="AF9" t="s">
        <v>84</v>
      </c>
      <c r="AG9" t="s">
        <v>80</v>
      </c>
      <c r="AH9" t="s">
        <v>83</v>
      </c>
      <c r="AI9" t="s">
        <v>85</v>
      </c>
      <c r="AJ9" t="s">
        <v>84</v>
      </c>
      <c r="AK9" t="s">
        <v>80</v>
      </c>
      <c r="AL9" t="s">
        <v>83</v>
      </c>
      <c r="AM9" t="s">
        <v>85</v>
      </c>
      <c r="AN9" t="s">
        <v>84</v>
      </c>
      <c r="AO9" t="s">
        <v>80</v>
      </c>
      <c r="AP9" t="s">
        <v>83</v>
      </c>
      <c r="AQ9" t="s">
        <v>85</v>
      </c>
      <c r="AR9" t="s">
        <v>84</v>
      </c>
      <c r="AS9" t="s">
        <v>80</v>
      </c>
      <c r="AT9" t="s">
        <v>83</v>
      </c>
      <c r="AU9" t="s">
        <v>85</v>
      </c>
      <c r="AV9" t="s">
        <v>84</v>
      </c>
      <c r="AW9" t="s">
        <v>80</v>
      </c>
      <c r="AX9" t="s">
        <v>83</v>
      </c>
      <c r="AY9" t="s">
        <v>85</v>
      </c>
      <c r="AZ9" t="s">
        <v>84</v>
      </c>
      <c r="BA9" t="s">
        <v>80</v>
      </c>
      <c r="BB9" t="s">
        <v>83</v>
      </c>
      <c r="BC9" t="s">
        <v>85</v>
      </c>
      <c r="BD9" t="s">
        <v>84</v>
      </c>
      <c r="BE9" t="s">
        <v>80</v>
      </c>
      <c r="BF9" t="s">
        <v>83</v>
      </c>
      <c r="BG9" t="s">
        <v>85</v>
      </c>
      <c r="BH9" t="s">
        <v>84</v>
      </c>
    </row>
    <row r="10" spans="1:60" x14ac:dyDescent="0.25">
      <c r="A10" s="27">
        <v>1</v>
      </c>
      <c r="B10" s="25">
        <v>0.5</v>
      </c>
      <c r="C10" s="26">
        <v>35</v>
      </c>
      <c r="D10" s="26">
        <v>35</v>
      </c>
      <c r="E10" s="27">
        <v>1</v>
      </c>
      <c r="F10" s="25">
        <v>0.5</v>
      </c>
      <c r="G10" s="26">
        <v>35</v>
      </c>
      <c r="H10" s="26">
        <v>35</v>
      </c>
      <c r="I10" s="27">
        <v>1</v>
      </c>
      <c r="J10" s="25">
        <v>0.5</v>
      </c>
      <c r="K10" s="26">
        <v>35</v>
      </c>
      <c r="L10" s="26">
        <v>35</v>
      </c>
      <c r="M10" s="27">
        <v>1</v>
      </c>
      <c r="N10" s="25">
        <v>0.5</v>
      </c>
      <c r="O10" s="26">
        <v>35</v>
      </c>
      <c r="P10" s="26">
        <v>35</v>
      </c>
      <c r="Q10" s="27">
        <v>1</v>
      </c>
      <c r="R10" s="25">
        <v>0.43</v>
      </c>
      <c r="S10" s="26">
        <v>30.099999999999998</v>
      </c>
      <c r="T10" s="26">
        <v>30</v>
      </c>
      <c r="U10" s="27">
        <v>1</v>
      </c>
      <c r="V10" s="25">
        <v>0.43</v>
      </c>
      <c r="W10" s="26">
        <v>30.099999999999998</v>
      </c>
      <c r="X10" s="26">
        <v>30</v>
      </c>
      <c r="Y10" s="27">
        <v>1</v>
      </c>
      <c r="Z10" s="25">
        <v>0.43</v>
      </c>
      <c r="AA10" s="26">
        <v>30.099999999999998</v>
      </c>
      <c r="AB10" s="26">
        <v>30</v>
      </c>
      <c r="AC10" s="27">
        <v>1</v>
      </c>
      <c r="AD10" s="25">
        <v>0.43</v>
      </c>
      <c r="AE10" s="26">
        <v>30.099999999999998</v>
      </c>
      <c r="AF10" s="26">
        <v>30</v>
      </c>
      <c r="AG10" s="27">
        <v>1</v>
      </c>
      <c r="AH10" s="25">
        <v>0.39</v>
      </c>
      <c r="AI10" s="26">
        <v>27.3</v>
      </c>
      <c r="AJ10" s="26">
        <v>25</v>
      </c>
      <c r="AK10" s="27">
        <v>1</v>
      </c>
      <c r="AL10" s="25">
        <v>0.39</v>
      </c>
      <c r="AM10" s="26">
        <v>27.3</v>
      </c>
      <c r="AN10" s="26">
        <v>25</v>
      </c>
      <c r="AO10" s="27">
        <v>1</v>
      </c>
      <c r="AP10" s="25">
        <v>0.39</v>
      </c>
      <c r="AQ10" s="26">
        <v>27.3</v>
      </c>
      <c r="AR10" s="26">
        <v>25</v>
      </c>
      <c r="AS10" s="27">
        <v>1</v>
      </c>
      <c r="AT10" s="25">
        <v>0.39</v>
      </c>
      <c r="AU10" s="26">
        <v>27.3</v>
      </c>
      <c r="AV10" s="26">
        <v>25</v>
      </c>
      <c r="AW10" s="27">
        <v>1</v>
      </c>
      <c r="AX10" s="25">
        <v>0.36899999999999999</v>
      </c>
      <c r="AY10" s="26">
        <v>25.83</v>
      </c>
      <c r="AZ10" s="26">
        <v>25</v>
      </c>
      <c r="BA10" s="27">
        <v>1</v>
      </c>
      <c r="BB10" s="25">
        <v>0.36899999999999999</v>
      </c>
      <c r="BC10" s="26">
        <v>25.83</v>
      </c>
      <c r="BD10" s="26">
        <v>25</v>
      </c>
      <c r="BE10" s="27">
        <v>1</v>
      </c>
      <c r="BF10" s="25">
        <v>0.36899999999999999</v>
      </c>
      <c r="BG10" s="26">
        <v>25.83</v>
      </c>
      <c r="BH10" s="26">
        <v>25</v>
      </c>
    </row>
    <row r="11" spans="1:60" x14ac:dyDescent="0.25">
      <c r="A11" s="27">
        <v>2</v>
      </c>
      <c r="B11" s="25">
        <v>0.3</v>
      </c>
      <c r="C11" s="26">
        <v>21</v>
      </c>
      <c r="D11" s="26">
        <v>20</v>
      </c>
      <c r="E11" s="27">
        <v>2</v>
      </c>
      <c r="F11" s="25">
        <v>0.3</v>
      </c>
      <c r="G11" s="26">
        <v>21</v>
      </c>
      <c r="H11" s="26">
        <v>20</v>
      </c>
      <c r="I11" s="27">
        <v>2</v>
      </c>
      <c r="J11" s="25">
        <v>0.3</v>
      </c>
      <c r="K11" s="26">
        <v>21</v>
      </c>
      <c r="L11" s="26">
        <v>20</v>
      </c>
      <c r="M11" s="27">
        <v>2</v>
      </c>
      <c r="N11" s="25">
        <v>0.3</v>
      </c>
      <c r="O11" s="26">
        <v>21</v>
      </c>
      <c r="P11" s="26">
        <v>20</v>
      </c>
      <c r="Q11" s="27">
        <v>2</v>
      </c>
      <c r="R11" s="25">
        <v>0.26</v>
      </c>
      <c r="S11" s="26">
        <v>18.2</v>
      </c>
      <c r="T11" s="26">
        <v>20</v>
      </c>
      <c r="U11" s="27">
        <v>2</v>
      </c>
      <c r="V11" s="25">
        <v>0.26</v>
      </c>
      <c r="W11" s="26">
        <v>18.2</v>
      </c>
      <c r="X11" s="26">
        <v>20</v>
      </c>
      <c r="Y11" s="27">
        <v>2</v>
      </c>
      <c r="Z11" s="25">
        <v>0.26</v>
      </c>
      <c r="AA11" s="26">
        <v>18.2</v>
      </c>
      <c r="AB11" s="26">
        <v>20</v>
      </c>
      <c r="AC11" s="27">
        <v>2</v>
      </c>
      <c r="AD11" s="25">
        <v>0.26</v>
      </c>
      <c r="AE11" s="26">
        <v>18.2</v>
      </c>
      <c r="AF11" s="26">
        <v>20</v>
      </c>
      <c r="AG11" s="27">
        <v>2</v>
      </c>
      <c r="AH11" s="25">
        <v>0.25</v>
      </c>
      <c r="AI11" s="26">
        <v>17.5</v>
      </c>
      <c r="AJ11" s="26">
        <v>20</v>
      </c>
      <c r="AK11" s="27">
        <v>2</v>
      </c>
      <c r="AL11" s="25">
        <v>0.25</v>
      </c>
      <c r="AM11" s="26">
        <v>17.5</v>
      </c>
      <c r="AN11" s="26">
        <v>20</v>
      </c>
      <c r="AO11" s="27">
        <v>2</v>
      </c>
      <c r="AP11" s="25">
        <v>0.25</v>
      </c>
      <c r="AQ11" s="26">
        <v>17.5</v>
      </c>
      <c r="AR11" s="26">
        <v>20</v>
      </c>
      <c r="AS11" s="27">
        <v>2</v>
      </c>
      <c r="AT11" s="25">
        <v>0.25</v>
      </c>
      <c r="AU11" s="26">
        <v>17.5</v>
      </c>
      <c r="AV11" s="26">
        <v>20</v>
      </c>
      <c r="AW11" s="27">
        <v>2</v>
      </c>
      <c r="AX11" s="25">
        <v>0.24199999999999999</v>
      </c>
      <c r="AY11" s="26">
        <v>16.939999999999998</v>
      </c>
      <c r="AZ11" s="26">
        <v>15</v>
      </c>
      <c r="BA11" s="27">
        <v>2</v>
      </c>
      <c r="BB11" s="25">
        <v>0.24199999999999999</v>
      </c>
      <c r="BC11" s="26">
        <v>16.939999999999998</v>
      </c>
      <c r="BD11" s="26">
        <v>15</v>
      </c>
      <c r="BE11" s="27">
        <v>2</v>
      </c>
      <c r="BF11" s="25">
        <v>0.24199999999999999</v>
      </c>
      <c r="BG11" s="26">
        <v>16.939999999999998</v>
      </c>
      <c r="BH11" s="26">
        <v>15</v>
      </c>
    </row>
    <row r="12" spans="1:60" x14ac:dyDescent="0.25">
      <c r="A12" s="27">
        <v>3</v>
      </c>
      <c r="B12" s="25">
        <v>0.2</v>
      </c>
      <c r="C12" s="26">
        <v>14</v>
      </c>
      <c r="D12" s="26">
        <v>15</v>
      </c>
      <c r="E12" s="27">
        <v>3</v>
      </c>
      <c r="F12" s="25">
        <v>0.2</v>
      </c>
      <c r="G12" s="26">
        <v>14</v>
      </c>
      <c r="H12" s="26">
        <v>15</v>
      </c>
      <c r="I12" s="27">
        <v>3</v>
      </c>
      <c r="J12" s="25">
        <v>0.2</v>
      </c>
      <c r="K12" s="26">
        <v>14</v>
      </c>
      <c r="L12" s="26">
        <v>15</v>
      </c>
      <c r="M12" s="27">
        <v>3</v>
      </c>
      <c r="N12" s="25">
        <v>0.2</v>
      </c>
      <c r="O12" s="26">
        <v>14</v>
      </c>
      <c r="P12" s="26">
        <v>15</v>
      </c>
      <c r="Q12" s="27">
        <v>3</v>
      </c>
      <c r="R12" s="25">
        <v>0.155</v>
      </c>
      <c r="S12" s="26">
        <v>10.85</v>
      </c>
      <c r="T12" s="26">
        <v>10</v>
      </c>
      <c r="U12" s="27">
        <v>3</v>
      </c>
      <c r="V12" s="25">
        <v>0.155</v>
      </c>
      <c r="W12" s="26">
        <v>10.85</v>
      </c>
      <c r="X12" s="26">
        <v>10</v>
      </c>
      <c r="Y12" s="27">
        <v>3</v>
      </c>
      <c r="Z12" s="25">
        <v>0.155</v>
      </c>
      <c r="AA12" s="26">
        <v>10.85</v>
      </c>
      <c r="AB12" s="26">
        <v>10</v>
      </c>
      <c r="AC12" s="27">
        <v>3</v>
      </c>
      <c r="AD12" s="25">
        <v>0.155</v>
      </c>
      <c r="AE12" s="26">
        <v>10.85</v>
      </c>
      <c r="AF12" s="26">
        <v>10</v>
      </c>
      <c r="AG12" s="27">
        <v>3</v>
      </c>
      <c r="AH12" s="25">
        <v>0.14399999999999999</v>
      </c>
      <c r="AI12" s="26">
        <v>10.08</v>
      </c>
      <c r="AJ12" s="26">
        <v>10</v>
      </c>
      <c r="AK12" s="27">
        <v>3</v>
      </c>
      <c r="AL12" s="25">
        <v>0.14399999999999999</v>
      </c>
      <c r="AM12" s="26">
        <v>10.08</v>
      </c>
      <c r="AN12" s="26">
        <v>10</v>
      </c>
      <c r="AO12" s="27">
        <v>3</v>
      </c>
      <c r="AP12" s="25">
        <v>0.14399999999999999</v>
      </c>
      <c r="AQ12" s="26">
        <v>10.08</v>
      </c>
      <c r="AR12" s="26">
        <v>10</v>
      </c>
      <c r="AS12" s="27">
        <v>3</v>
      </c>
      <c r="AT12" s="25">
        <v>0.14399999999999999</v>
      </c>
      <c r="AU12" s="26">
        <v>10.08</v>
      </c>
      <c r="AV12" s="26">
        <v>10</v>
      </c>
      <c r="AW12" s="27">
        <v>3</v>
      </c>
      <c r="AX12" s="25">
        <v>0.1285</v>
      </c>
      <c r="AY12" s="26">
        <v>8.995000000000001</v>
      </c>
      <c r="AZ12" s="26">
        <v>10</v>
      </c>
      <c r="BA12" s="27">
        <v>3</v>
      </c>
      <c r="BB12" s="25">
        <v>0.1285</v>
      </c>
      <c r="BC12" s="26">
        <v>8.995000000000001</v>
      </c>
      <c r="BD12" s="26">
        <v>10</v>
      </c>
      <c r="BE12" s="27">
        <v>3</v>
      </c>
      <c r="BF12" s="25">
        <v>0.1285</v>
      </c>
      <c r="BG12" s="26">
        <v>8.995000000000001</v>
      </c>
      <c r="BH12" s="26">
        <v>10</v>
      </c>
    </row>
    <row r="13" spans="1:60" x14ac:dyDescent="0.25">
      <c r="N13" s="25"/>
      <c r="O13" s="26"/>
      <c r="Q13" s="27">
        <v>4</v>
      </c>
      <c r="R13" s="25">
        <v>0.155</v>
      </c>
      <c r="S13" s="26">
        <v>10.85</v>
      </c>
      <c r="T13" s="26">
        <v>10</v>
      </c>
      <c r="U13" s="27">
        <v>4</v>
      </c>
      <c r="V13" s="25">
        <v>0.155</v>
      </c>
      <c r="W13" s="26">
        <v>10.85</v>
      </c>
      <c r="X13" s="26">
        <v>10</v>
      </c>
      <c r="Y13" s="27">
        <v>4</v>
      </c>
      <c r="Z13" s="25">
        <v>0.155</v>
      </c>
      <c r="AA13" s="26">
        <v>10.85</v>
      </c>
      <c r="AB13" s="26">
        <v>10</v>
      </c>
      <c r="AC13" s="27">
        <v>4</v>
      </c>
      <c r="AD13" s="25">
        <v>0.155</v>
      </c>
      <c r="AE13" s="26">
        <v>10.85</v>
      </c>
      <c r="AF13" s="26">
        <v>10</v>
      </c>
      <c r="AG13" s="27">
        <v>4</v>
      </c>
      <c r="AH13" s="25">
        <v>0.14399999999999999</v>
      </c>
      <c r="AI13" s="26">
        <v>10.08</v>
      </c>
      <c r="AJ13" s="26">
        <v>10</v>
      </c>
      <c r="AK13" s="27">
        <v>4</v>
      </c>
      <c r="AL13" s="25">
        <v>0.14399999999999999</v>
      </c>
      <c r="AM13" s="26">
        <v>10.08</v>
      </c>
      <c r="AN13" s="26">
        <v>10</v>
      </c>
      <c r="AO13" s="27">
        <v>4</v>
      </c>
      <c r="AP13" s="25">
        <v>0.14399999999999999</v>
      </c>
      <c r="AQ13" s="26">
        <v>10.08</v>
      </c>
      <c r="AR13" s="26">
        <v>10</v>
      </c>
      <c r="AS13" s="27">
        <v>4</v>
      </c>
      <c r="AT13" s="25">
        <v>0.14399999999999999</v>
      </c>
      <c r="AU13" s="26">
        <v>10.08</v>
      </c>
      <c r="AV13" s="26">
        <v>10</v>
      </c>
      <c r="AW13" s="27">
        <v>4</v>
      </c>
      <c r="AX13" s="25">
        <v>0.1285</v>
      </c>
      <c r="AY13" s="26">
        <v>8.995000000000001</v>
      </c>
      <c r="AZ13" s="26">
        <v>10</v>
      </c>
      <c r="BA13" s="27">
        <v>4</v>
      </c>
      <c r="BB13" s="25">
        <v>0.1285</v>
      </c>
      <c r="BC13" s="26">
        <v>8.995000000000001</v>
      </c>
      <c r="BD13" s="26">
        <v>10</v>
      </c>
      <c r="BE13" s="27">
        <v>4</v>
      </c>
      <c r="BF13" s="25">
        <v>0.1285</v>
      </c>
      <c r="BG13" s="26">
        <v>8.995000000000001</v>
      </c>
      <c r="BH13" s="26">
        <v>10</v>
      </c>
    </row>
    <row r="14" spans="1:60" x14ac:dyDescent="0.25">
      <c r="AG14" s="27">
        <v>5</v>
      </c>
      <c r="AH14" s="25">
        <v>7.1999999999999995E-2</v>
      </c>
      <c r="AI14" s="26">
        <v>5.04</v>
      </c>
      <c r="AJ14" s="26">
        <v>5</v>
      </c>
      <c r="AK14" s="27">
        <v>5</v>
      </c>
      <c r="AL14" s="25">
        <v>7.1999999999999995E-2</v>
      </c>
      <c r="AM14" s="26">
        <v>5.04</v>
      </c>
      <c r="AN14" s="26">
        <v>5</v>
      </c>
      <c r="AO14" s="27">
        <v>5</v>
      </c>
      <c r="AP14" s="25">
        <v>7.1999999999999995E-2</v>
      </c>
      <c r="AQ14" s="26">
        <v>5.04</v>
      </c>
      <c r="AR14" s="26">
        <v>5</v>
      </c>
      <c r="AS14" s="27">
        <v>5</v>
      </c>
      <c r="AT14" s="25">
        <v>7.1999999999999995E-2</v>
      </c>
      <c r="AU14" s="26">
        <v>5.04</v>
      </c>
      <c r="AV14" s="26">
        <v>5</v>
      </c>
      <c r="AW14" s="27">
        <v>5</v>
      </c>
      <c r="AX14" s="25">
        <v>6.6000000000000003E-2</v>
      </c>
      <c r="AY14" s="26">
        <v>4.62</v>
      </c>
      <c r="AZ14" s="26">
        <v>5</v>
      </c>
      <c r="BA14" s="27">
        <v>5</v>
      </c>
      <c r="BB14" s="25">
        <v>6.6000000000000003E-2</v>
      </c>
      <c r="BC14" s="26">
        <v>4.62</v>
      </c>
      <c r="BD14" s="26">
        <v>5</v>
      </c>
      <c r="BE14" s="27">
        <v>5</v>
      </c>
      <c r="BF14" s="25">
        <v>6.6000000000000003E-2</v>
      </c>
      <c r="BG14" s="26">
        <v>4.62</v>
      </c>
      <c r="BH14" s="26">
        <v>5</v>
      </c>
    </row>
    <row r="15" spans="1:60" x14ac:dyDescent="0.25">
      <c r="AW15" s="27">
        <v>6</v>
      </c>
      <c r="AX15" s="25">
        <v>6.6000000000000003E-2</v>
      </c>
      <c r="AY15" s="26">
        <v>4.62</v>
      </c>
      <c r="AZ15" s="26">
        <v>5</v>
      </c>
      <c r="BA15" s="27">
        <v>6</v>
      </c>
      <c r="BB15" s="25">
        <v>6.6000000000000003E-2</v>
      </c>
      <c r="BC15" s="26">
        <v>4.62</v>
      </c>
      <c r="BD15" s="26">
        <v>5</v>
      </c>
      <c r="BE15" s="27">
        <v>6</v>
      </c>
      <c r="BF15" s="25">
        <v>6.6000000000000003E-2</v>
      </c>
      <c r="BG15" s="26">
        <v>4.62</v>
      </c>
      <c r="BH15" s="26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canPayoff">
              <controlPr defaultSize="0" print="0" autoFill="0" autoPict="0" macro="[0]!ScanPayOff_Click">
                <anchor moveWithCells="1" sizeWithCells="1">
                  <from>
                    <xdr:col>5</xdr:col>
                    <xdr:colOff>590550</xdr:colOff>
                    <xdr:row>0</xdr:row>
                    <xdr:rowOff>171450</xdr:rowOff>
                  </from>
                  <to>
                    <xdr:col>8</xdr:col>
                    <xdr:colOff>133350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learPayOffResults">
              <controlPr defaultSize="0" print="0" autoFill="0" autoPict="0" macro="[0]!ClearPayoff_Click">
                <anchor moveWithCells="1" sizeWithCells="1">
                  <from>
                    <xdr:col>3</xdr:col>
                    <xdr:colOff>28575</xdr:colOff>
                    <xdr:row>1</xdr:row>
                    <xdr:rowOff>9525</xdr:rowOff>
                  </from>
                  <to>
                    <xdr:col>4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267"/>
  <sheetViews>
    <sheetView workbookViewId="0">
      <selection activeCell="B9" sqref="B9"/>
    </sheetView>
  </sheetViews>
  <sheetFormatPr defaultRowHeight="15" x14ac:dyDescent="0.25"/>
  <cols>
    <col min="1" max="1" width="15.5703125" style="1" customWidth="1"/>
    <col min="2" max="16384" width="9.140625" style="1"/>
  </cols>
  <sheetData>
    <row r="1" spans="1:37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37</v>
      </c>
      <c r="B3" s="4" t="s">
        <v>38</v>
      </c>
      <c r="C3" s="4" t="s">
        <v>39</v>
      </c>
      <c r="D3" s="4" t="s">
        <v>40</v>
      </c>
      <c r="E3" s="4" t="s">
        <v>41</v>
      </c>
      <c r="F3" s="4" t="s">
        <v>42</v>
      </c>
      <c r="G3" s="4" t="s">
        <v>43</v>
      </c>
      <c r="H3" s="4" t="s">
        <v>44</v>
      </c>
      <c r="I3" s="4" t="s">
        <v>45</v>
      </c>
      <c r="J3" s="4" t="s">
        <v>46</v>
      </c>
      <c r="K3" s="4" t="s">
        <v>47</v>
      </c>
      <c r="L3" s="4" t="s">
        <v>48</v>
      </c>
      <c r="M3" s="4" t="s">
        <v>49</v>
      </c>
      <c r="N3" s="4" t="s">
        <v>50</v>
      </c>
      <c r="O3" s="4" t="s">
        <v>51</v>
      </c>
      <c r="P3" s="4" t="s">
        <v>52</v>
      </c>
      <c r="Q3" s="4" t="s">
        <v>53</v>
      </c>
      <c r="R3" s="4" t="s">
        <v>54</v>
      </c>
      <c r="S3" s="4" t="s">
        <v>55</v>
      </c>
      <c r="T3" s="4" t="s">
        <v>56</v>
      </c>
      <c r="U3" s="4" t="s">
        <v>57</v>
      </c>
      <c r="V3" s="4" t="s">
        <v>58</v>
      </c>
      <c r="W3" s="4" t="s">
        <v>59</v>
      </c>
      <c r="X3" s="4" t="s">
        <v>60</v>
      </c>
      <c r="Y3" s="4" t="s">
        <v>61</v>
      </c>
      <c r="Z3" s="4" t="s">
        <v>62</v>
      </c>
      <c r="AA3" s="4" t="s">
        <v>63</v>
      </c>
      <c r="AB3" s="4" t="s">
        <v>64</v>
      </c>
      <c r="AC3" s="4" t="s">
        <v>65</v>
      </c>
      <c r="AD3" s="4" t="s">
        <v>66</v>
      </c>
      <c r="AE3" s="4" t="s">
        <v>67</v>
      </c>
      <c r="AF3" s="4" t="s">
        <v>68</v>
      </c>
      <c r="AG3" s="4" t="s">
        <v>69</v>
      </c>
      <c r="AH3" s="4" t="s">
        <v>70</v>
      </c>
      <c r="AI3" s="4" t="s">
        <v>71</v>
      </c>
      <c r="AJ3" s="4" t="s">
        <v>72</v>
      </c>
      <c r="AK3" s="4"/>
    </row>
    <row r="4" spans="1:37" x14ac:dyDescent="0.25">
      <c r="A4" s="5" t="s">
        <v>73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6">
        <v>4</v>
      </c>
      <c r="C5" s="6">
        <v>4</v>
      </c>
      <c r="D5" s="6">
        <v>8</v>
      </c>
      <c r="E5" s="6">
        <v>8</v>
      </c>
      <c r="F5" s="6">
        <v>8</v>
      </c>
      <c r="G5" s="6">
        <v>8</v>
      </c>
      <c r="H5" s="6">
        <v>16</v>
      </c>
      <c r="I5" s="6">
        <v>16</v>
      </c>
      <c r="J5" s="6">
        <v>16</v>
      </c>
      <c r="K5" s="6">
        <v>16</v>
      </c>
      <c r="L5" s="6">
        <v>16</v>
      </c>
      <c r="M5" s="6">
        <v>16</v>
      </c>
      <c r="N5" s="6">
        <v>16</v>
      </c>
      <c r="O5" s="6">
        <v>16</v>
      </c>
      <c r="P5" s="6">
        <v>32</v>
      </c>
      <c r="Q5" s="6">
        <v>32</v>
      </c>
      <c r="R5" s="6">
        <v>32</v>
      </c>
      <c r="S5" s="6">
        <v>32</v>
      </c>
      <c r="T5" s="6">
        <v>32</v>
      </c>
      <c r="U5" s="6">
        <v>32</v>
      </c>
      <c r="V5" s="6">
        <v>32</v>
      </c>
      <c r="W5" s="6">
        <v>32</v>
      </c>
      <c r="X5" s="6">
        <v>32</v>
      </c>
      <c r="Y5" s="6">
        <v>32</v>
      </c>
      <c r="Z5" s="6">
        <v>32</v>
      </c>
      <c r="AA5" s="6">
        <v>32</v>
      </c>
      <c r="AB5" s="6">
        <v>32</v>
      </c>
      <c r="AC5" s="6">
        <v>32</v>
      </c>
      <c r="AD5" s="6">
        <v>32</v>
      </c>
      <c r="AE5" s="6">
        <v>32</v>
      </c>
      <c r="AF5" s="6">
        <v>64</v>
      </c>
      <c r="AG5" s="6">
        <v>64</v>
      </c>
      <c r="AH5" s="6">
        <v>64</v>
      </c>
      <c r="AI5" s="6">
        <v>64</v>
      </c>
      <c r="AJ5" s="6">
        <v>64</v>
      </c>
      <c r="AK5" s="6">
        <v>64</v>
      </c>
    </row>
    <row r="6" spans="1:37" x14ac:dyDescent="0.25">
      <c r="A6" s="2" t="s">
        <v>74</v>
      </c>
      <c r="B6" s="2">
        <v>1</v>
      </c>
      <c r="C6" s="2">
        <v>0</v>
      </c>
      <c r="D6" s="2">
        <v>3</v>
      </c>
      <c r="E6" s="2">
        <v>2</v>
      </c>
      <c r="F6" s="2">
        <v>1</v>
      </c>
      <c r="G6" s="2">
        <v>0</v>
      </c>
      <c r="H6" s="2">
        <v>7</v>
      </c>
      <c r="I6" s="2">
        <v>6</v>
      </c>
      <c r="J6" s="2">
        <v>5</v>
      </c>
      <c r="K6" s="2">
        <v>4</v>
      </c>
      <c r="L6" s="2">
        <v>3</v>
      </c>
      <c r="M6" s="2">
        <v>2</v>
      </c>
      <c r="N6" s="2">
        <v>1</v>
      </c>
      <c r="O6" s="2">
        <v>0</v>
      </c>
      <c r="P6" s="2">
        <v>15</v>
      </c>
      <c r="Q6" s="2">
        <v>14</v>
      </c>
      <c r="R6" s="2">
        <v>13</v>
      </c>
      <c r="S6" s="2">
        <v>12</v>
      </c>
      <c r="T6" s="2">
        <v>11</v>
      </c>
      <c r="U6" s="2">
        <v>10</v>
      </c>
      <c r="V6" s="2">
        <v>9</v>
      </c>
      <c r="W6" s="2">
        <v>8</v>
      </c>
      <c r="X6" s="2">
        <v>7</v>
      </c>
      <c r="Y6" s="2">
        <v>6</v>
      </c>
      <c r="Z6" s="2">
        <v>5</v>
      </c>
      <c r="AA6" s="2">
        <v>4</v>
      </c>
      <c r="AB6" s="2">
        <v>3</v>
      </c>
      <c r="AC6" s="2">
        <v>2</v>
      </c>
      <c r="AD6" s="2">
        <v>1</v>
      </c>
      <c r="AE6" s="2">
        <v>0</v>
      </c>
      <c r="AF6" s="2">
        <v>31</v>
      </c>
      <c r="AG6" s="2">
        <v>30</v>
      </c>
      <c r="AH6" s="2">
        <v>29</v>
      </c>
      <c r="AI6" s="2">
        <v>28</v>
      </c>
      <c r="AJ6" s="2">
        <v>27</v>
      </c>
      <c r="AK6" s="2">
        <v>26</v>
      </c>
    </row>
    <row r="7" spans="1:37" x14ac:dyDescent="0.25">
      <c r="A7" s="5" t="s">
        <v>75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7" t="s">
        <v>79</v>
      </c>
      <c r="B8" s="8"/>
      <c r="C8" s="8"/>
      <c r="D8" s="8"/>
      <c r="E8" s="8"/>
    </row>
    <row r="9" spans="1:37" x14ac:dyDescent="0.25">
      <c r="A9" s="9">
        <v>1</v>
      </c>
      <c r="B9" s="10">
        <v>0.5</v>
      </c>
      <c r="C9" s="10">
        <v>0.43</v>
      </c>
      <c r="D9" s="10">
        <v>0.39</v>
      </c>
      <c r="E9" s="10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2">
        <v>0.14399999999999999</v>
      </c>
      <c r="AI9" s="12">
        <v>0.14099999999999999</v>
      </c>
      <c r="AJ9" s="12">
        <v>0.13600000000000001</v>
      </c>
      <c r="AK9" s="12">
        <v>0.13300000000000001</v>
      </c>
    </row>
    <row r="10" spans="1:37" x14ac:dyDescent="0.25">
      <c r="A10" s="13">
        <v>2</v>
      </c>
      <c r="B10" s="10">
        <v>0.3</v>
      </c>
      <c r="C10" s="10">
        <v>0.26</v>
      </c>
      <c r="D10" s="10">
        <v>0.25</v>
      </c>
      <c r="E10" s="10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2">
        <v>0.1045</v>
      </c>
      <c r="AI10" s="12">
        <v>0.10199999999999999</v>
      </c>
      <c r="AJ10" s="12">
        <v>9.9000000000000005E-2</v>
      </c>
      <c r="AK10" s="12">
        <v>9.6000000000000002E-2</v>
      </c>
    </row>
    <row r="11" spans="1:37" x14ac:dyDescent="0.25">
      <c r="A11" s="13">
        <v>3</v>
      </c>
      <c r="B11" s="10">
        <v>0.2</v>
      </c>
      <c r="C11" s="10">
        <v>0.155</v>
      </c>
      <c r="D11" s="10">
        <v>0.14399999999999999</v>
      </c>
      <c r="E11" s="10">
        <v>0.1285</v>
      </c>
      <c r="F11" s="12">
        <v>0.11749999999999999</v>
      </c>
      <c r="G11" s="12">
        <v>0.114</v>
      </c>
      <c r="H11" s="12">
        <v>0.112</v>
      </c>
      <c r="I11" s="12">
        <v>0.108</v>
      </c>
      <c r="J11" s="12">
        <v>0.10550000000000001</v>
      </c>
      <c r="K11" s="12">
        <v>0.10450000000000001</v>
      </c>
      <c r="L11" s="12">
        <v>0.1</v>
      </c>
      <c r="M11" s="12">
        <v>9.6500000000000002E-2</v>
      </c>
      <c r="N11" s="12">
        <v>9.8000000000000004E-2</v>
      </c>
      <c r="O11" s="12">
        <v>9.6500000000000002E-2</v>
      </c>
      <c r="P11" s="12">
        <v>8.8499999999999995E-2</v>
      </c>
      <c r="Q11" s="12">
        <v>8.5499999999999993E-2</v>
      </c>
      <c r="R11" s="12">
        <v>8.1000000000000003E-2</v>
      </c>
      <c r="S11" s="12">
        <v>7.7499999999999999E-2</v>
      </c>
      <c r="T11" s="12">
        <v>7.8E-2</v>
      </c>
      <c r="U11" s="12">
        <v>7.6999999999999999E-2</v>
      </c>
      <c r="V11" s="12">
        <v>7.6499999999999999E-2</v>
      </c>
      <c r="W11" s="12">
        <v>7.6999999999999999E-2</v>
      </c>
      <c r="X11" s="12">
        <v>7.7499999999999999E-2</v>
      </c>
      <c r="Y11" s="12">
        <v>7.6999999999999999E-2</v>
      </c>
      <c r="Z11" s="12">
        <v>7.85E-2</v>
      </c>
      <c r="AA11" s="12">
        <v>7.6499999999999999E-2</v>
      </c>
      <c r="AB11" s="12">
        <v>7.6499999999999999E-2</v>
      </c>
      <c r="AC11" s="12">
        <v>7.5999999999999998E-2</v>
      </c>
      <c r="AD11" s="12">
        <v>7.8E-2</v>
      </c>
      <c r="AE11" s="12">
        <v>7.6499999999999999E-2</v>
      </c>
      <c r="AF11" s="12">
        <v>6.7250000000000004E-2</v>
      </c>
      <c r="AG11" s="12">
        <v>6.6000000000000003E-2</v>
      </c>
      <c r="AH11" s="12">
        <v>6.25E-2</v>
      </c>
      <c r="AI11" s="12">
        <v>6.0499999999999998E-2</v>
      </c>
      <c r="AJ11" s="12">
        <v>0.06</v>
      </c>
      <c r="AK11" s="12">
        <v>5.8500000000000003E-2</v>
      </c>
    </row>
    <row r="12" spans="1:37" x14ac:dyDescent="0.25">
      <c r="A12" s="14">
        <v>4</v>
      </c>
      <c r="B12" s="10"/>
      <c r="C12" s="10">
        <v>0.155</v>
      </c>
      <c r="D12" s="10">
        <v>0.14399999999999999</v>
      </c>
      <c r="E12" s="10">
        <v>0.1285</v>
      </c>
      <c r="F12" s="12">
        <v>0.11749999999999999</v>
      </c>
      <c r="G12" s="12">
        <v>0.114</v>
      </c>
      <c r="H12" s="12">
        <v>0.112</v>
      </c>
      <c r="I12" s="12">
        <v>0.108</v>
      </c>
      <c r="J12" s="12">
        <v>0.10550000000000001</v>
      </c>
      <c r="K12" s="12">
        <v>0.10450000000000001</v>
      </c>
      <c r="L12" s="12">
        <v>0.1</v>
      </c>
      <c r="M12" s="12">
        <v>9.6500000000000002E-2</v>
      </c>
      <c r="N12" s="12">
        <v>9.8000000000000004E-2</v>
      </c>
      <c r="O12" s="12">
        <v>9.6500000000000002E-2</v>
      </c>
      <c r="P12" s="12">
        <v>8.8499999999999995E-2</v>
      </c>
      <c r="Q12" s="12">
        <v>8.5499999999999993E-2</v>
      </c>
      <c r="R12" s="12">
        <v>8.1000000000000003E-2</v>
      </c>
      <c r="S12" s="12">
        <v>7.7499999999999999E-2</v>
      </c>
      <c r="T12" s="12">
        <v>7.8E-2</v>
      </c>
      <c r="U12" s="12">
        <v>7.6999999999999999E-2</v>
      </c>
      <c r="V12" s="12">
        <v>7.6499999999999999E-2</v>
      </c>
      <c r="W12" s="12">
        <v>7.6999999999999999E-2</v>
      </c>
      <c r="X12" s="12">
        <v>7.7499999999999999E-2</v>
      </c>
      <c r="Y12" s="12">
        <v>7.6999999999999999E-2</v>
      </c>
      <c r="Z12" s="12">
        <v>7.85E-2</v>
      </c>
      <c r="AA12" s="12">
        <v>7.6499999999999999E-2</v>
      </c>
      <c r="AB12" s="12">
        <v>7.6499999999999999E-2</v>
      </c>
      <c r="AC12" s="12">
        <v>7.5999999999999998E-2</v>
      </c>
      <c r="AD12" s="12">
        <v>7.8E-2</v>
      </c>
      <c r="AE12" s="12">
        <v>7.6499999999999999E-2</v>
      </c>
      <c r="AF12" s="12">
        <v>6.7250000000000004E-2</v>
      </c>
      <c r="AG12" s="12">
        <v>6.6000000000000003E-2</v>
      </c>
      <c r="AH12" s="12">
        <v>6.25E-2</v>
      </c>
      <c r="AI12" s="12">
        <v>6.0499999999999998E-2</v>
      </c>
      <c r="AJ12" s="12">
        <v>0.06</v>
      </c>
      <c r="AK12" s="12">
        <v>5.8500000000000003E-2</v>
      </c>
    </row>
    <row r="13" spans="1:37" x14ac:dyDescent="0.25">
      <c r="A13" s="9">
        <v>5</v>
      </c>
      <c r="B13" s="10"/>
      <c r="C13" s="10"/>
      <c r="D13" s="10">
        <v>7.1999999999999995E-2</v>
      </c>
      <c r="E13" s="10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2">
        <v>3.4000000000000002E-2</v>
      </c>
      <c r="AI13" s="12">
        <v>3.3500000000000002E-2</v>
      </c>
      <c r="AJ13" s="12">
        <v>3.3500000000000002E-2</v>
      </c>
      <c r="AK13" s="12">
        <v>3.3000000000000002E-2</v>
      </c>
    </row>
    <row r="14" spans="1:37" x14ac:dyDescent="0.25">
      <c r="A14" s="13">
        <v>6</v>
      </c>
      <c r="B14" s="10"/>
      <c r="C14" s="10"/>
      <c r="D14" s="10"/>
      <c r="E14" s="10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2">
        <v>3.4000000000000002E-2</v>
      </c>
      <c r="AI14" s="12">
        <v>3.3500000000000002E-2</v>
      </c>
      <c r="AJ14" s="12">
        <v>3.3500000000000002E-2</v>
      </c>
      <c r="AK14" s="12">
        <v>3.3000000000000002E-2</v>
      </c>
    </row>
    <row r="15" spans="1:37" x14ac:dyDescent="0.25">
      <c r="A15" s="13">
        <v>7</v>
      </c>
      <c r="B15" s="10"/>
      <c r="C15" s="10"/>
      <c r="D15" s="10"/>
      <c r="E15" s="10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2">
        <v>3.4000000000000002E-2</v>
      </c>
      <c r="AI15" s="12">
        <v>3.3500000000000002E-2</v>
      </c>
      <c r="AJ15" s="12">
        <v>3.3500000000000002E-2</v>
      </c>
      <c r="AK15" s="12">
        <v>3.3000000000000002E-2</v>
      </c>
    </row>
    <row r="16" spans="1:37" x14ac:dyDescent="0.25">
      <c r="A16" s="14">
        <v>8</v>
      </c>
      <c r="B16" s="10"/>
      <c r="C16" s="10"/>
      <c r="D16" s="10"/>
      <c r="E16" s="10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2">
        <v>3.4000000000000002E-2</v>
      </c>
      <c r="AI16" s="12">
        <v>3.3500000000000002E-2</v>
      </c>
      <c r="AJ16" s="12">
        <v>3.3500000000000002E-2</v>
      </c>
      <c r="AK16" s="12">
        <v>3.3000000000000002E-2</v>
      </c>
    </row>
    <row r="17" spans="1:37" x14ac:dyDescent="0.25">
      <c r="A17" s="9">
        <v>9</v>
      </c>
      <c r="B17" s="10"/>
      <c r="C17" s="10"/>
      <c r="D17" s="10"/>
      <c r="E17" s="10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2">
        <v>2.3E-2</v>
      </c>
      <c r="AI17" s="12">
        <v>2.3E-2</v>
      </c>
      <c r="AJ17" s="12">
        <v>2.3E-2</v>
      </c>
      <c r="AK17" s="12">
        <v>2.3E-2</v>
      </c>
    </row>
    <row r="18" spans="1:37" x14ac:dyDescent="0.25">
      <c r="A18" s="13">
        <v>10</v>
      </c>
      <c r="B18" s="10"/>
      <c r="C18" s="1" t="s">
        <v>76</v>
      </c>
      <c r="D18" s="10"/>
      <c r="E18" s="10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2">
        <v>2.3E-2</v>
      </c>
      <c r="AI18" s="12">
        <v>2.3E-2</v>
      </c>
      <c r="AJ18" s="12">
        <v>2.3E-2</v>
      </c>
      <c r="AK18" s="12">
        <v>2.3E-2</v>
      </c>
    </row>
    <row r="19" spans="1:37" x14ac:dyDescent="0.25">
      <c r="A19" s="13">
        <v>11</v>
      </c>
      <c r="B19" s="8"/>
      <c r="C19" s="1" t="s">
        <v>77</v>
      </c>
      <c r="D19" s="8"/>
      <c r="E19" s="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2">
        <v>2.3E-2</v>
      </c>
      <c r="AI19" s="12">
        <v>2.3E-2</v>
      </c>
      <c r="AJ19" s="12">
        <v>2.3E-2</v>
      </c>
      <c r="AK19" s="12">
        <v>2.3E-2</v>
      </c>
    </row>
    <row r="20" spans="1:37" x14ac:dyDescent="0.25">
      <c r="A20" s="14">
        <v>12</v>
      </c>
      <c r="B20" s="8"/>
      <c r="C20" s="8"/>
      <c r="D20" s="8"/>
      <c r="E20" s="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2">
        <v>2.3E-2</v>
      </c>
      <c r="AI20" s="12">
        <v>2.3E-2</v>
      </c>
      <c r="AJ20" s="12">
        <v>2.3E-2</v>
      </c>
      <c r="AK20" s="12">
        <v>2.3E-2</v>
      </c>
    </row>
    <row r="21" spans="1:37" x14ac:dyDescent="0.25">
      <c r="A21" s="9">
        <v>13</v>
      </c>
      <c r="B21" s="8"/>
      <c r="C21" s="8"/>
      <c r="D21" s="8"/>
      <c r="E21" s="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2">
        <v>2.3E-2</v>
      </c>
      <c r="AI21" s="12">
        <v>2.3E-2</v>
      </c>
      <c r="AJ21" s="12">
        <v>2.3E-2</v>
      </c>
      <c r="AK21" s="12">
        <v>2.3E-2</v>
      </c>
    </row>
    <row r="22" spans="1:37" x14ac:dyDescent="0.25">
      <c r="A22" s="13">
        <v>14</v>
      </c>
      <c r="B22" s="8"/>
      <c r="C22" s="8"/>
      <c r="D22" s="8"/>
      <c r="E22" s="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2">
        <v>2.3E-2</v>
      </c>
      <c r="AI22" s="12">
        <v>2.3E-2</v>
      </c>
      <c r="AJ22" s="12">
        <v>2.3E-2</v>
      </c>
      <c r="AK22" s="12">
        <v>2.3E-2</v>
      </c>
    </row>
    <row r="23" spans="1:37" x14ac:dyDescent="0.25">
      <c r="A23" s="13">
        <v>15</v>
      </c>
      <c r="B23" s="8"/>
      <c r="C23" s="8"/>
      <c r="D23" s="8"/>
      <c r="E23" s="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2">
        <v>2.3E-2</v>
      </c>
      <c r="AI23" s="12">
        <v>2.3E-2</v>
      </c>
      <c r="AJ23" s="12">
        <v>2.3E-2</v>
      </c>
      <c r="AK23" s="12">
        <v>2.3E-2</v>
      </c>
    </row>
    <row r="24" spans="1:37" x14ac:dyDescent="0.25">
      <c r="A24" s="14">
        <v>16</v>
      </c>
      <c r="B24" s="8"/>
      <c r="C24" s="8"/>
      <c r="D24" s="8"/>
      <c r="E24" s="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2">
        <v>2.3E-2</v>
      </c>
      <c r="AI24" s="12">
        <v>2.3E-2</v>
      </c>
      <c r="AJ24" s="12">
        <v>2.3E-2</v>
      </c>
      <c r="AK24" s="12">
        <v>2.3E-2</v>
      </c>
    </row>
    <row r="25" spans="1:37" x14ac:dyDescent="0.25">
      <c r="A25" s="9">
        <v>17</v>
      </c>
      <c r="B25" s="8"/>
      <c r="C25" s="8"/>
      <c r="D25" s="8"/>
      <c r="E25" s="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2">
        <v>1.7000000000000001E-2</v>
      </c>
      <c r="AI25" s="12">
        <v>1.7000000000000001E-2</v>
      </c>
      <c r="AJ25" s="12">
        <v>1.7000000000000001E-2</v>
      </c>
      <c r="AK25" s="12">
        <v>1.7000000000000001E-2</v>
      </c>
    </row>
    <row r="26" spans="1:37" x14ac:dyDescent="0.25">
      <c r="A26" s="13">
        <v>18</v>
      </c>
      <c r="B26" s="8"/>
      <c r="C26" s="8"/>
      <c r="D26" s="8"/>
      <c r="E26" s="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2">
        <v>1.7000000000000001E-2</v>
      </c>
      <c r="AI26" s="12">
        <v>1.7000000000000001E-2</v>
      </c>
      <c r="AJ26" s="12">
        <v>1.7000000000000001E-2</v>
      </c>
      <c r="AK26" s="12">
        <v>1.7000000000000001E-2</v>
      </c>
    </row>
    <row r="27" spans="1:37" x14ac:dyDescent="0.25">
      <c r="A27" s="13">
        <v>19</v>
      </c>
      <c r="B27" s="8"/>
      <c r="C27" s="8"/>
      <c r="D27" s="8"/>
      <c r="E27" s="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2">
        <v>1.7000000000000001E-2</v>
      </c>
      <c r="AI27" s="12">
        <v>1.7000000000000001E-2</v>
      </c>
      <c r="AJ27" s="12">
        <v>1.7000000000000001E-2</v>
      </c>
      <c r="AK27" s="12">
        <v>1.7000000000000001E-2</v>
      </c>
    </row>
    <row r="28" spans="1:37" x14ac:dyDescent="0.25">
      <c r="A28" s="14">
        <v>20</v>
      </c>
      <c r="B28" s="8"/>
      <c r="C28" s="8"/>
      <c r="D28" s="8"/>
      <c r="E28" s="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2">
        <v>1.7000000000000001E-2</v>
      </c>
      <c r="AI28" s="12">
        <v>1.7000000000000001E-2</v>
      </c>
      <c r="AJ28" s="12">
        <v>1.7000000000000001E-2</v>
      </c>
      <c r="AK28" s="12">
        <v>1.7000000000000001E-2</v>
      </c>
    </row>
    <row r="29" spans="1:37" x14ac:dyDescent="0.25">
      <c r="A29" s="9">
        <v>21</v>
      </c>
      <c r="B29" s="8"/>
      <c r="C29" s="8"/>
      <c r="D29" s="8"/>
      <c r="E29" s="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2">
        <v>1.7000000000000001E-2</v>
      </c>
      <c r="AI29" s="12">
        <v>1.7000000000000001E-2</v>
      </c>
      <c r="AJ29" s="12">
        <v>1.7000000000000001E-2</v>
      </c>
      <c r="AK29" s="12">
        <v>1.7000000000000001E-2</v>
      </c>
    </row>
    <row r="30" spans="1:37" x14ac:dyDescent="0.25">
      <c r="A30" s="13">
        <v>22</v>
      </c>
      <c r="B30" s="8"/>
      <c r="C30" s="8"/>
      <c r="D30" s="8"/>
      <c r="E30" s="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2">
        <v>1.7000000000000001E-2</v>
      </c>
      <c r="AI30" s="12">
        <v>1.7000000000000001E-2</v>
      </c>
      <c r="AJ30" s="12">
        <v>1.7000000000000001E-2</v>
      </c>
      <c r="AK30" s="12">
        <v>1.7000000000000001E-2</v>
      </c>
    </row>
    <row r="31" spans="1:37" x14ac:dyDescent="0.25">
      <c r="A31" s="13">
        <v>23</v>
      </c>
      <c r="B31" s="8"/>
      <c r="C31" s="8"/>
      <c r="D31" s="8"/>
      <c r="E31" s="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2">
        <v>1.7000000000000001E-2</v>
      </c>
      <c r="AI31" s="12">
        <v>1.7000000000000001E-2</v>
      </c>
      <c r="AJ31" s="12">
        <v>1.7000000000000001E-2</v>
      </c>
      <c r="AK31" s="12">
        <v>1.7000000000000001E-2</v>
      </c>
    </row>
    <row r="32" spans="1:37" x14ac:dyDescent="0.25">
      <c r="A32" s="14">
        <v>24</v>
      </c>
      <c r="B32" s="8"/>
      <c r="C32" s="8"/>
      <c r="D32" s="8"/>
      <c r="E32" s="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2">
        <v>1.7000000000000001E-2</v>
      </c>
      <c r="AI32" s="12">
        <v>1.7000000000000001E-2</v>
      </c>
      <c r="AJ32" s="12">
        <v>1.7000000000000001E-2</v>
      </c>
      <c r="AK32" s="12">
        <v>1.7000000000000001E-2</v>
      </c>
    </row>
    <row r="33" spans="1:37" x14ac:dyDescent="0.25">
      <c r="A33" s="9">
        <v>25</v>
      </c>
      <c r="B33" s="8"/>
      <c r="C33" s="8"/>
      <c r="D33" s="8"/>
      <c r="E33" s="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2">
        <v>1.7000000000000001E-2</v>
      </c>
      <c r="AI33" s="12">
        <v>1.7000000000000001E-2</v>
      </c>
      <c r="AJ33" s="12">
        <v>1.7000000000000001E-2</v>
      </c>
      <c r="AK33" s="12">
        <v>1.7000000000000001E-2</v>
      </c>
    </row>
    <row r="34" spans="1:37" x14ac:dyDescent="0.25">
      <c r="A34" s="13">
        <v>26</v>
      </c>
      <c r="B34" s="8"/>
      <c r="C34" s="8"/>
      <c r="D34" s="8"/>
      <c r="E34" s="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2">
        <v>1.7000000000000001E-2</v>
      </c>
      <c r="AI34" s="12">
        <v>1.7000000000000001E-2</v>
      </c>
      <c r="AJ34" s="12">
        <v>1.7000000000000001E-2</v>
      </c>
      <c r="AK34" s="12">
        <v>1.7000000000000001E-2</v>
      </c>
    </row>
    <row r="35" spans="1:37" x14ac:dyDescent="0.25">
      <c r="A35" s="13">
        <v>27</v>
      </c>
      <c r="B35" s="8"/>
      <c r="C35" s="8"/>
      <c r="D35" s="8"/>
      <c r="E35" s="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2">
        <v>1.7000000000000001E-2</v>
      </c>
      <c r="AI35" s="12">
        <v>1.7000000000000001E-2</v>
      </c>
      <c r="AJ35" s="12">
        <v>1.7000000000000001E-2</v>
      </c>
      <c r="AK35" s="12">
        <v>1.7000000000000001E-2</v>
      </c>
    </row>
    <row r="36" spans="1:37" x14ac:dyDescent="0.25">
      <c r="A36" s="14">
        <v>28</v>
      </c>
      <c r="B36" s="8"/>
      <c r="C36" s="8"/>
      <c r="D36" s="8"/>
      <c r="E36" s="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2">
        <v>1.7000000000000001E-2</v>
      </c>
      <c r="AI36" s="12">
        <v>1.7000000000000001E-2</v>
      </c>
      <c r="AJ36" s="12">
        <v>1.7000000000000001E-2</v>
      </c>
      <c r="AK36" s="12">
        <v>1.7000000000000001E-2</v>
      </c>
    </row>
    <row r="37" spans="1:37" x14ac:dyDescent="0.25">
      <c r="A37" s="9">
        <v>29</v>
      </c>
      <c r="B37" s="8"/>
      <c r="C37" s="8"/>
      <c r="D37" s="8"/>
      <c r="E37" s="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2">
        <v>1.7000000000000001E-2</v>
      </c>
      <c r="AI37" s="12">
        <v>1.7000000000000001E-2</v>
      </c>
      <c r="AJ37" s="12">
        <v>1.7000000000000001E-2</v>
      </c>
      <c r="AK37" s="12">
        <v>1.7000000000000001E-2</v>
      </c>
    </row>
    <row r="38" spans="1:37" x14ac:dyDescent="0.25">
      <c r="A38" s="13">
        <v>30</v>
      </c>
      <c r="B38" s="8"/>
      <c r="C38" s="8"/>
      <c r="D38" s="8"/>
      <c r="E38" s="8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2">
        <v>1.7000000000000001E-2</v>
      </c>
      <c r="AI38" s="12">
        <v>1.7000000000000001E-2</v>
      </c>
      <c r="AJ38" s="12">
        <v>1.7000000000000001E-2</v>
      </c>
      <c r="AK38" s="12">
        <v>1.7000000000000001E-2</v>
      </c>
    </row>
    <row r="39" spans="1:37" x14ac:dyDescent="0.25">
      <c r="A39" s="13">
        <v>31</v>
      </c>
      <c r="B39" s="8"/>
      <c r="C39" s="8"/>
      <c r="D39" s="8"/>
      <c r="E39" s="8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2">
        <v>1.7000000000000001E-2</v>
      </c>
      <c r="AI39" s="12">
        <v>1.7000000000000001E-2</v>
      </c>
      <c r="AJ39" s="12">
        <v>1.7000000000000001E-2</v>
      </c>
      <c r="AK39" s="12">
        <v>1.7000000000000001E-2</v>
      </c>
    </row>
    <row r="40" spans="1:37" x14ac:dyDescent="0.25">
      <c r="A40" s="14">
        <v>32</v>
      </c>
      <c r="B40" s="8"/>
      <c r="C40" s="8"/>
      <c r="D40" s="8"/>
      <c r="E40" s="8"/>
      <c r="AE40" s="11">
        <v>1.2999999999999999E-2</v>
      </c>
      <c r="AF40" s="11">
        <v>1.6E-2</v>
      </c>
      <c r="AG40" s="11">
        <v>1.6E-2</v>
      </c>
      <c r="AH40" s="12">
        <v>1.7000000000000001E-2</v>
      </c>
      <c r="AI40" s="12">
        <v>1.7000000000000001E-2</v>
      </c>
      <c r="AJ40" s="12">
        <v>1.7000000000000001E-2</v>
      </c>
      <c r="AK40" s="12">
        <v>1.7000000000000001E-2</v>
      </c>
    </row>
    <row r="41" spans="1:37" x14ac:dyDescent="0.25">
      <c r="A41" s="9">
        <v>33</v>
      </c>
      <c r="B41" s="8"/>
      <c r="C41" s="8"/>
      <c r="D41" s="8"/>
      <c r="E41" s="8"/>
      <c r="AE41" s="11"/>
      <c r="AF41" s="11">
        <v>1.2500000000000001E-2</v>
      </c>
      <c r="AG41" s="11">
        <v>1.2E-2</v>
      </c>
      <c r="AH41" s="12">
        <v>1.15E-2</v>
      </c>
      <c r="AI41" s="12">
        <v>1.15E-2</v>
      </c>
      <c r="AJ41" s="12">
        <v>1.0999999999999999E-2</v>
      </c>
      <c r="AK41" s="12">
        <v>1.0999999999999999E-2</v>
      </c>
    </row>
    <row r="42" spans="1:37" x14ac:dyDescent="0.25">
      <c r="A42" s="13">
        <v>34</v>
      </c>
      <c r="B42" s="8"/>
      <c r="C42" s="8"/>
      <c r="D42" s="8"/>
      <c r="E42" s="8"/>
      <c r="AE42" s="11"/>
      <c r="AF42" s="11"/>
      <c r="AG42" s="11">
        <v>1.2E-2</v>
      </c>
      <c r="AH42" s="12">
        <v>1.15E-2</v>
      </c>
      <c r="AI42" s="12">
        <v>1.15E-2</v>
      </c>
      <c r="AJ42" s="12">
        <v>1.0999999999999999E-2</v>
      </c>
      <c r="AK42" s="12">
        <v>1.0999999999999999E-2</v>
      </c>
    </row>
    <row r="43" spans="1:37" x14ac:dyDescent="0.25">
      <c r="A43" s="13">
        <v>35</v>
      </c>
      <c r="B43" s="8"/>
      <c r="C43" s="8"/>
      <c r="D43" s="8"/>
      <c r="E43" s="8"/>
      <c r="AE43" s="11"/>
      <c r="AF43" s="11"/>
      <c r="AG43" s="11"/>
      <c r="AH43" s="12">
        <v>1.15E-2</v>
      </c>
      <c r="AI43" s="12">
        <v>1.15E-2</v>
      </c>
      <c r="AJ43" s="12">
        <v>1.0999999999999999E-2</v>
      </c>
      <c r="AK43" s="12">
        <v>1.0999999999999999E-2</v>
      </c>
    </row>
    <row r="44" spans="1:37" x14ac:dyDescent="0.25">
      <c r="A44" s="14">
        <v>36</v>
      </c>
      <c r="B44" s="8"/>
      <c r="C44" s="8"/>
      <c r="D44" s="8"/>
      <c r="E44" s="15"/>
      <c r="AE44" s="11"/>
      <c r="AF44" s="11"/>
      <c r="AG44" s="11"/>
      <c r="AH44" s="12"/>
      <c r="AI44" s="12">
        <v>1.15E-2</v>
      </c>
      <c r="AJ44" s="12">
        <v>1.0999999999999999E-2</v>
      </c>
      <c r="AK44" s="12">
        <v>1.0999999999999999E-2</v>
      </c>
    </row>
    <row r="45" spans="1:37" x14ac:dyDescent="0.25">
      <c r="A45" s="9">
        <v>37</v>
      </c>
      <c r="B45" s="8"/>
      <c r="C45" s="8"/>
      <c r="D45" s="8"/>
      <c r="E45" s="8"/>
      <c r="AE45" s="11"/>
      <c r="AF45" s="11"/>
      <c r="AG45" s="11"/>
      <c r="AH45" s="12"/>
      <c r="AI45" s="12"/>
      <c r="AJ45" s="12">
        <v>1.0999999999999999E-2</v>
      </c>
      <c r="AK45" s="12">
        <v>1.0999999999999999E-2</v>
      </c>
    </row>
    <row r="46" spans="1:37" x14ac:dyDescent="0.25">
      <c r="A46" s="14">
        <v>38</v>
      </c>
      <c r="B46" s="8"/>
      <c r="C46" s="8"/>
      <c r="D46" s="8"/>
      <c r="E46" s="8"/>
      <c r="AE46" s="11"/>
      <c r="AF46" s="11"/>
      <c r="AG46" s="11"/>
      <c r="AH46" s="12"/>
      <c r="AI46" s="12"/>
      <c r="AJ46" s="12"/>
      <c r="AK46" s="12">
        <v>1.0999999999999999E-2</v>
      </c>
    </row>
    <row r="47" spans="1:37" x14ac:dyDescent="0.25">
      <c r="A47" s="16" t="s">
        <v>78</v>
      </c>
      <c r="B47" s="19">
        <f>SUM(B9:B46)</f>
        <v>1</v>
      </c>
      <c r="C47" s="19">
        <f t="shared" ref="C47:AK47" si="0">SUM(C9:C46)</f>
        <v>1</v>
      </c>
      <c r="D47" s="19">
        <f t="shared" si="0"/>
        <v>1</v>
      </c>
      <c r="E47" s="19">
        <f t="shared" si="0"/>
        <v>1.0000000000000002</v>
      </c>
      <c r="F47" s="19">
        <f t="shared" si="0"/>
        <v>1</v>
      </c>
      <c r="G47" s="19">
        <f t="shared" si="0"/>
        <v>1.0000000000000002</v>
      </c>
      <c r="H47" s="19">
        <f t="shared" si="0"/>
        <v>1.0000000000000002</v>
      </c>
      <c r="I47" s="19">
        <f t="shared" si="0"/>
        <v>1.0000000000000002</v>
      </c>
      <c r="J47" s="19">
        <f t="shared" si="0"/>
        <v>1.0000000000000002</v>
      </c>
      <c r="K47" s="19">
        <f t="shared" si="0"/>
        <v>1.0000000000000002</v>
      </c>
      <c r="L47" s="19">
        <f t="shared" si="0"/>
        <v>1.0000000000000002</v>
      </c>
      <c r="M47" s="19">
        <f t="shared" si="0"/>
        <v>1.0000000000000002</v>
      </c>
      <c r="N47" s="19">
        <f t="shared" si="0"/>
        <v>1.0000000000000002</v>
      </c>
      <c r="O47" s="19">
        <f t="shared" si="0"/>
        <v>1.0000000000000002</v>
      </c>
      <c r="P47" s="19">
        <f t="shared" si="0"/>
        <v>1.0000000000000004</v>
      </c>
      <c r="Q47" s="19">
        <f t="shared" si="0"/>
        <v>1.0000000000000004</v>
      </c>
      <c r="R47" s="19">
        <f t="shared" si="0"/>
        <v>1.0000000000000004</v>
      </c>
      <c r="S47" s="19">
        <f t="shared" si="0"/>
        <v>1.0000000000000004</v>
      </c>
      <c r="T47" s="19">
        <f t="shared" si="0"/>
        <v>1.0000000000000004</v>
      </c>
      <c r="U47" s="19">
        <f t="shared" si="0"/>
        <v>1.0000000000000004</v>
      </c>
      <c r="V47" s="19">
        <f t="shared" si="0"/>
        <v>1.0000000000000004</v>
      </c>
      <c r="W47" s="19">
        <f t="shared" si="0"/>
        <v>1.0000000000000004</v>
      </c>
      <c r="X47" s="19">
        <f t="shared" si="0"/>
        <v>1.0000000000000004</v>
      </c>
      <c r="Y47" s="19">
        <f t="shared" si="0"/>
        <v>1.0000000000000004</v>
      </c>
      <c r="Z47" s="19">
        <f t="shared" si="0"/>
        <v>1.0000000000000004</v>
      </c>
      <c r="AA47" s="19">
        <f t="shared" si="0"/>
        <v>1.0000000000000004</v>
      </c>
      <c r="AB47" s="19">
        <f t="shared" si="0"/>
        <v>1.0000000000000004</v>
      </c>
      <c r="AC47" s="19">
        <f t="shared" si="0"/>
        <v>1.0000000000000004</v>
      </c>
      <c r="AD47" s="19">
        <f t="shared" si="0"/>
        <v>1.0000000000000004</v>
      </c>
      <c r="AE47" s="19">
        <f t="shared" si="0"/>
        <v>1.0000000000000004</v>
      </c>
      <c r="AF47" s="19">
        <f t="shared" si="0"/>
        <v>1.0000000000000004</v>
      </c>
      <c r="AG47" s="19">
        <f t="shared" si="0"/>
        <v>1.0000000000000004</v>
      </c>
      <c r="AH47" s="19">
        <f t="shared" si="0"/>
        <v>1.0000000000000004</v>
      </c>
      <c r="AI47" s="19">
        <f t="shared" si="0"/>
        <v>1.0000000000000002</v>
      </c>
      <c r="AJ47" s="19">
        <f t="shared" si="0"/>
        <v>1.0000000000000004</v>
      </c>
      <c r="AK47" s="19">
        <f t="shared" si="0"/>
        <v>1.0000000000000004</v>
      </c>
    </row>
    <row r="48" spans="1:37" x14ac:dyDescent="0.25">
      <c r="A48" s="17"/>
      <c r="B48" s="20">
        <f>(+B11+B12)/2</f>
        <v>0.1</v>
      </c>
      <c r="C48" s="20">
        <f t="shared" ref="C48:AK48" si="1">(+C11+C12)/2</f>
        <v>0.155</v>
      </c>
      <c r="D48" s="20">
        <f t="shared" si="1"/>
        <v>0.14399999999999999</v>
      </c>
      <c r="E48" s="20">
        <f t="shared" si="1"/>
        <v>0.1285</v>
      </c>
      <c r="F48" s="20">
        <f t="shared" si="1"/>
        <v>0.11749999999999999</v>
      </c>
      <c r="G48" s="20">
        <f t="shared" si="1"/>
        <v>0.114</v>
      </c>
      <c r="H48" s="20">
        <f t="shared" si="1"/>
        <v>0.112</v>
      </c>
      <c r="I48" s="20">
        <f t="shared" si="1"/>
        <v>0.108</v>
      </c>
      <c r="J48" s="20">
        <f t="shared" si="1"/>
        <v>0.10550000000000001</v>
      </c>
      <c r="K48" s="20">
        <f t="shared" si="1"/>
        <v>0.10450000000000001</v>
      </c>
      <c r="L48" s="20">
        <f t="shared" si="1"/>
        <v>0.1</v>
      </c>
      <c r="M48" s="20">
        <f t="shared" si="1"/>
        <v>9.6500000000000002E-2</v>
      </c>
      <c r="N48" s="20">
        <f t="shared" si="1"/>
        <v>9.8000000000000004E-2</v>
      </c>
      <c r="O48" s="20">
        <f t="shared" si="1"/>
        <v>9.6500000000000002E-2</v>
      </c>
      <c r="P48" s="20">
        <f t="shared" si="1"/>
        <v>8.8499999999999995E-2</v>
      </c>
      <c r="Q48" s="20">
        <f t="shared" si="1"/>
        <v>8.5499999999999993E-2</v>
      </c>
      <c r="R48" s="20">
        <f t="shared" si="1"/>
        <v>8.1000000000000003E-2</v>
      </c>
      <c r="S48" s="20">
        <f t="shared" si="1"/>
        <v>7.7499999999999999E-2</v>
      </c>
      <c r="T48" s="20">
        <f t="shared" si="1"/>
        <v>7.8E-2</v>
      </c>
      <c r="U48" s="20">
        <f t="shared" si="1"/>
        <v>7.6999999999999999E-2</v>
      </c>
      <c r="V48" s="20">
        <f t="shared" si="1"/>
        <v>7.6499999999999999E-2</v>
      </c>
      <c r="W48" s="20">
        <f t="shared" si="1"/>
        <v>7.6999999999999999E-2</v>
      </c>
      <c r="X48" s="20">
        <f t="shared" si="1"/>
        <v>7.7499999999999999E-2</v>
      </c>
      <c r="Y48" s="20">
        <f t="shared" si="1"/>
        <v>7.6999999999999999E-2</v>
      </c>
      <c r="Z48" s="20">
        <f t="shared" si="1"/>
        <v>7.85E-2</v>
      </c>
      <c r="AA48" s="20">
        <f t="shared" si="1"/>
        <v>7.6499999999999999E-2</v>
      </c>
      <c r="AB48" s="20">
        <f t="shared" si="1"/>
        <v>7.6499999999999999E-2</v>
      </c>
      <c r="AC48" s="20">
        <f t="shared" si="1"/>
        <v>7.5999999999999998E-2</v>
      </c>
      <c r="AD48" s="20">
        <f t="shared" si="1"/>
        <v>7.8E-2</v>
      </c>
      <c r="AE48" s="20">
        <f t="shared" si="1"/>
        <v>7.6499999999999999E-2</v>
      </c>
      <c r="AF48" s="20">
        <f t="shared" si="1"/>
        <v>6.7250000000000004E-2</v>
      </c>
      <c r="AG48" s="20">
        <f t="shared" si="1"/>
        <v>6.6000000000000003E-2</v>
      </c>
      <c r="AH48" s="20">
        <f t="shared" si="1"/>
        <v>6.25E-2</v>
      </c>
      <c r="AI48" s="20">
        <f t="shared" si="1"/>
        <v>6.0499999999999998E-2</v>
      </c>
      <c r="AJ48" s="20">
        <f t="shared" si="1"/>
        <v>0.06</v>
      </c>
      <c r="AK48" s="20">
        <f t="shared" si="1"/>
        <v>5.8500000000000003E-2</v>
      </c>
    </row>
    <row r="49" spans="1:37" x14ac:dyDescent="0.25">
      <c r="A49" s="23"/>
      <c r="B49" s="24">
        <v>0.11749999999999999</v>
      </c>
      <c r="C49" s="24">
        <v>0.11749999999999999</v>
      </c>
      <c r="D49" s="24">
        <v>0.11749999999999999</v>
      </c>
      <c r="E49" s="24">
        <v>0.11749999999999999</v>
      </c>
      <c r="F49" s="24">
        <v>0.11749999999999999</v>
      </c>
      <c r="G49" s="24">
        <v>0.114</v>
      </c>
      <c r="H49" s="24">
        <v>0.112</v>
      </c>
      <c r="I49" s="22">
        <v>0.108</v>
      </c>
      <c r="J49" s="24">
        <v>0.10550000000000001</v>
      </c>
      <c r="K49" s="24">
        <v>0.10450000000000001</v>
      </c>
      <c r="L49" s="24">
        <v>0.1</v>
      </c>
      <c r="M49" s="24">
        <v>9.6500000000000002E-2</v>
      </c>
      <c r="N49" s="24">
        <v>9.8000000000000004E-2</v>
      </c>
      <c r="O49" s="24">
        <v>9.6500000000000002E-2</v>
      </c>
      <c r="P49" s="24">
        <v>8.8499999999999995E-2</v>
      </c>
      <c r="Q49" s="24">
        <v>8.5499999999999993E-2</v>
      </c>
      <c r="R49" s="24">
        <v>8.1000000000000003E-2</v>
      </c>
      <c r="S49" s="24">
        <v>7.7499999999999999E-2</v>
      </c>
      <c r="T49" s="24">
        <v>7.8E-2</v>
      </c>
      <c r="U49" s="24">
        <v>7.6999999999999999E-2</v>
      </c>
      <c r="V49" s="24">
        <v>7.6499999999999999E-2</v>
      </c>
      <c r="W49" s="24">
        <v>7.6999999999999999E-2</v>
      </c>
      <c r="X49" s="24">
        <v>7.7499999999999999E-2</v>
      </c>
      <c r="Y49" s="24">
        <v>7.6999999999999999E-2</v>
      </c>
      <c r="Z49" s="24">
        <v>7.85E-2</v>
      </c>
      <c r="AA49" s="24">
        <v>7.6499999999999999E-2</v>
      </c>
      <c r="AB49" s="24">
        <v>7.6499999999999999E-2</v>
      </c>
      <c r="AC49" s="24">
        <v>7.5999999999999998E-2</v>
      </c>
      <c r="AD49" s="24">
        <v>7.8E-2</v>
      </c>
      <c r="AE49" s="24">
        <v>7.6499999999999999E-2</v>
      </c>
      <c r="AF49" s="24">
        <v>6.7250000000000004E-2</v>
      </c>
      <c r="AG49" s="24">
        <v>6.6000000000000003E-2</v>
      </c>
      <c r="AH49" s="24">
        <v>6.25E-2</v>
      </c>
      <c r="AI49" s="24">
        <v>6.0499999999999998E-2</v>
      </c>
      <c r="AJ49" s="24">
        <v>0.06</v>
      </c>
      <c r="AK49" s="24">
        <v>5.8500000000000003E-2</v>
      </c>
    </row>
    <row r="50" spans="1:37" x14ac:dyDescent="0.25">
      <c r="A50" s="17"/>
      <c r="B50" s="17"/>
      <c r="C50" s="17"/>
      <c r="D50" s="17"/>
      <c r="E50" s="17"/>
    </row>
    <row r="51" spans="1:37" x14ac:dyDescent="0.25">
      <c r="A51" s="17"/>
      <c r="B51" s="18">
        <v>0</v>
      </c>
      <c r="C51" s="18">
        <v>0</v>
      </c>
      <c r="D51" s="18">
        <v>0</v>
      </c>
      <c r="E51" s="18">
        <v>0</v>
      </c>
      <c r="F51" s="18">
        <v>0</v>
      </c>
    </row>
    <row r="52" spans="1:37" x14ac:dyDescent="0.25">
      <c r="A52" s="17"/>
      <c r="B52" s="17"/>
      <c r="C52" s="17"/>
      <c r="D52" s="17"/>
      <c r="E52" s="17"/>
    </row>
    <row r="53" spans="1:37" x14ac:dyDescent="0.25">
      <c r="A53" s="17"/>
      <c r="B53" s="17"/>
      <c r="C53" s="17"/>
      <c r="D53" s="17"/>
      <c r="E53" s="17"/>
    </row>
    <row r="54" spans="1:37" x14ac:dyDescent="0.25">
      <c r="A54" s="17"/>
      <c r="B54" s="17"/>
      <c r="C54" s="17"/>
      <c r="D54" s="17"/>
      <c r="E54" s="17"/>
    </row>
    <row r="55" spans="1:37" x14ac:dyDescent="0.25">
      <c r="A55" s="17"/>
      <c r="B55" s="17"/>
      <c r="C55" s="17"/>
      <c r="D55" s="17"/>
      <c r="E55" s="17"/>
    </row>
    <row r="56" spans="1:37" x14ac:dyDescent="0.25">
      <c r="A56" s="17"/>
      <c r="B56" s="17"/>
      <c r="C56" s="17"/>
      <c r="D56" s="17"/>
      <c r="E56" s="17"/>
    </row>
    <row r="57" spans="1:37" x14ac:dyDescent="0.25">
      <c r="A57" s="17"/>
      <c r="B57" s="17"/>
      <c r="C57" s="17"/>
      <c r="D57" s="17"/>
      <c r="E57" s="17"/>
    </row>
    <row r="58" spans="1:37" x14ac:dyDescent="0.25">
      <c r="A58" s="17"/>
      <c r="B58" s="17"/>
      <c r="C58" s="17"/>
      <c r="D58" s="17"/>
      <c r="E58" s="17"/>
    </row>
    <row r="59" spans="1:37" x14ac:dyDescent="0.25">
      <c r="A59" s="17"/>
      <c r="B59" s="17"/>
      <c r="C59" s="17"/>
      <c r="D59" s="17"/>
      <c r="E59" s="17"/>
    </row>
    <row r="60" spans="1:37" x14ac:dyDescent="0.25">
      <c r="A60" s="17"/>
      <c r="B60" s="17"/>
      <c r="C60" s="17"/>
      <c r="D60" s="17"/>
      <c r="E60" s="17"/>
    </row>
    <row r="61" spans="1:37" x14ac:dyDescent="0.25">
      <c r="A61" s="17"/>
      <c r="B61" s="17"/>
      <c r="C61" s="17"/>
      <c r="D61" s="17"/>
      <c r="E61" s="17"/>
    </row>
    <row r="62" spans="1:37" x14ac:dyDescent="0.25">
      <c r="A62" s="17"/>
      <c r="B62" s="17"/>
      <c r="C62" s="17"/>
      <c r="D62" s="17"/>
      <c r="E62" s="17"/>
    </row>
    <row r="63" spans="1:37" x14ac:dyDescent="0.25">
      <c r="A63" s="17"/>
      <c r="B63" s="17"/>
      <c r="C63" s="17"/>
      <c r="D63" s="17"/>
      <c r="E63" s="17"/>
    </row>
    <row r="64" spans="1:37" x14ac:dyDescent="0.25">
      <c r="A64" s="17"/>
      <c r="B64" s="17"/>
      <c r="C64" s="17"/>
      <c r="D64" s="17"/>
      <c r="E64" s="17"/>
    </row>
    <row r="65" spans="1:5" x14ac:dyDescent="0.25">
      <c r="A65" s="17"/>
      <c r="B65" s="17"/>
      <c r="C65" s="17"/>
      <c r="D65" s="17"/>
      <c r="E65" s="17"/>
    </row>
    <row r="66" spans="1:5" x14ac:dyDescent="0.25">
      <c r="A66" s="17"/>
      <c r="B66" s="17"/>
      <c r="C66" s="17"/>
      <c r="D66" s="17"/>
      <c r="E66" s="17"/>
    </row>
    <row r="67" spans="1:5" x14ac:dyDescent="0.25">
      <c r="A67" s="17"/>
      <c r="B67" s="17"/>
      <c r="C67" s="17"/>
      <c r="D67" s="17"/>
      <c r="E67" s="17"/>
    </row>
    <row r="68" spans="1:5" x14ac:dyDescent="0.25">
      <c r="A68" s="17"/>
      <c r="B68" s="17"/>
      <c r="C68" s="17"/>
      <c r="D68" s="17"/>
      <c r="E68" s="17"/>
    </row>
    <row r="69" spans="1:5" x14ac:dyDescent="0.25">
      <c r="A69" s="17"/>
      <c r="B69" s="17"/>
      <c r="C69" s="17"/>
      <c r="D69" s="17"/>
      <c r="E69" s="17"/>
    </row>
    <row r="70" spans="1:5" x14ac:dyDescent="0.25">
      <c r="A70" s="17"/>
      <c r="B70" s="17"/>
      <c r="C70" s="17"/>
      <c r="D70" s="17"/>
      <c r="E70" s="17"/>
    </row>
    <row r="71" spans="1:5" x14ac:dyDescent="0.25">
      <c r="A71" s="17"/>
      <c r="B71" s="17"/>
      <c r="C71" s="17"/>
      <c r="D71" s="17"/>
      <c r="E71" s="17"/>
    </row>
    <row r="72" spans="1:5" x14ac:dyDescent="0.25">
      <c r="A72" s="17"/>
      <c r="B72" s="17"/>
      <c r="C72" s="17"/>
      <c r="D72" s="17"/>
      <c r="E72" s="17"/>
    </row>
    <row r="73" spans="1:5" x14ac:dyDescent="0.25">
      <c r="A73" s="17"/>
      <c r="B73" s="17"/>
      <c r="C73" s="17"/>
      <c r="D73" s="17"/>
      <c r="E73" s="17"/>
    </row>
    <row r="74" spans="1:5" x14ac:dyDescent="0.25">
      <c r="A74" s="17"/>
      <c r="B74" s="17"/>
      <c r="C74" s="17"/>
      <c r="D74" s="17"/>
      <c r="E74" s="17"/>
    </row>
    <row r="75" spans="1:5" x14ac:dyDescent="0.25">
      <c r="A75" s="17"/>
      <c r="B75" s="17"/>
      <c r="C75" s="17"/>
      <c r="D75" s="17"/>
      <c r="E75" s="17"/>
    </row>
    <row r="76" spans="1:5" x14ac:dyDescent="0.25">
      <c r="A76" s="17"/>
      <c r="B76" s="17"/>
      <c r="C76" s="17"/>
      <c r="D76" s="17"/>
      <c r="E76" s="17"/>
    </row>
    <row r="77" spans="1:5" x14ac:dyDescent="0.25">
      <c r="A77" s="17"/>
      <c r="B77" s="17"/>
      <c r="C77" s="17"/>
      <c r="D77" s="17"/>
      <c r="E77" s="17"/>
    </row>
    <row r="78" spans="1:5" x14ac:dyDescent="0.25">
      <c r="A78" s="17"/>
      <c r="B78" s="17"/>
      <c r="C78" s="17"/>
      <c r="D78" s="17"/>
      <c r="E78" s="17"/>
    </row>
    <row r="79" spans="1:5" x14ac:dyDescent="0.25">
      <c r="A79" s="17"/>
      <c r="B79" s="17"/>
      <c r="C79" s="17"/>
      <c r="D79" s="17"/>
      <c r="E79" s="17"/>
    </row>
    <row r="80" spans="1:5" x14ac:dyDescent="0.25">
      <c r="A80" s="17"/>
      <c r="B80" s="17"/>
      <c r="C80" s="17"/>
      <c r="D80" s="17"/>
      <c r="E80" s="17"/>
    </row>
    <row r="81" spans="1:5" x14ac:dyDescent="0.25">
      <c r="A81" s="17"/>
      <c r="B81" s="17"/>
      <c r="C81" s="17"/>
      <c r="D81" s="17"/>
      <c r="E81" s="17"/>
    </row>
    <row r="82" spans="1:5" x14ac:dyDescent="0.25">
      <c r="A82" s="17"/>
      <c r="B82" s="17"/>
      <c r="C82" s="17"/>
      <c r="D82" s="17"/>
      <c r="E82" s="17"/>
    </row>
    <row r="83" spans="1:5" x14ac:dyDescent="0.25">
      <c r="A83" s="17"/>
      <c r="B83" s="17"/>
      <c r="C83" s="17"/>
      <c r="D83" s="17"/>
      <c r="E83" s="17"/>
    </row>
    <row r="84" spans="1:5" x14ac:dyDescent="0.25">
      <c r="A84" s="17"/>
      <c r="B84" s="17"/>
      <c r="C84" s="17"/>
      <c r="D84" s="17"/>
      <c r="E84" s="17"/>
    </row>
    <row r="85" spans="1:5" x14ac:dyDescent="0.25">
      <c r="A85" s="17"/>
      <c r="B85" s="17"/>
      <c r="C85" s="17"/>
      <c r="D85" s="17"/>
      <c r="E85" s="17"/>
    </row>
    <row r="86" spans="1:5" x14ac:dyDescent="0.25">
      <c r="A86" s="17"/>
      <c r="B86" s="17"/>
      <c r="C86" s="17"/>
      <c r="D86" s="17"/>
      <c r="E86" s="17"/>
    </row>
    <row r="87" spans="1:5" x14ac:dyDescent="0.25">
      <c r="A87" s="17"/>
      <c r="B87" s="17"/>
      <c r="C87" s="17"/>
      <c r="D87" s="17"/>
      <c r="E87" s="17"/>
    </row>
    <row r="88" spans="1:5" x14ac:dyDescent="0.25">
      <c r="A88" s="17"/>
      <c r="B88" s="17"/>
      <c r="C88" s="17"/>
      <c r="D88" s="17"/>
      <c r="E88" s="17"/>
    </row>
    <row r="89" spans="1:5" x14ac:dyDescent="0.25">
      <c r="A89" s="17"/>
      <c r="B89" s="17"/>
      <c r="C89" s="17"/>
      <c r="D89" s="17"/>
      <c r="E89" s="17"/>
    </row>
    <row r="90" spans="1:5" x14ac:dyDescent="0.25">
      <c r="A90" s="17"/>
      <c r="B90" s="17"/>
      <c r="C90" s="17"/>
      <c r="D90" s="17"/>
      <c r="E90" s="17"/>
    </row>
    <row r="91" spans="1:5" x14ac:dyDescent="0.25">
      <c r="A91" s="17"/>
      <c r="B91" s="17"/>
      <c r="C91" s="17"/>
      <c r="D91" s="17"/>
      <c r="E91" s="17"/>
    </row>
    <row r="92" spans="1:5" x14ac:dyDescent="0.25">
      <c r="A92" s="17"/>
      <c r="B92" s="17"/>
      <c r="C92" s="17"/>
      <c r="D92" s="17"/>
      <c r="E92" s="17"/>
    </row>
    <row r="93" spans="1:5" x14ac:dyDescent="0.25">
      <c r="A93" s="17"/>
      <c r="B93" s="17"/>
      <c r="C93" s="17"/>
      <c r="D93" s="17"/>
      <c r="E93" s="17"/>
    </row>
    <row r="94" spans="1:5" x14ac:dyDescent="0.25">
      <c r="A94" s="17"/>
      <c r="B94" s="17"/>
      <c r="C94" s="17"/>
      <c r="D94" s="17"/>
      <c r="E94" s="17"/>
    </row>
    <row r="95" spans="1:5" x14ac:dyDescent="0.25">
      <c r="A95" s="17"/>
      <c r="B95" s="17"/>
      <c r="C95" s="17"/>
      <c r="D95" s="17"/>
      <c r="E95" s="17"/>
    </row>
    <row r="96" spans="1:5" x14ac:dyDescent="0.25">
      <c r="A96" s="17"/>
      <c r="B96" s="17"/>
      <c r="C96" s="17"/>
      <c r="D96" s="17"/>
      <c r="E96" s="17"/>
    </row>
    <row r="97" spans="1:5" x14ac:dyDescent="0.25">
      <c r="A97" s="17"/>
      <c r="B97" s="17"/>
      <c r="C97" s="17"/>
      <c r="D97" s="17"/>
      <c r="E97" s="17"/>
    </row>
    <row r="98" spans="1:5" x14ac:dyDescent="0.25">
      <c r="A98" s="17"/>
      <c r="B98" s="17"/>
      <c r="C98" s="17"/>
      <c r="D98" s="17"/>
      <c r="E98" s="17"/>
    </row>
    <row r="99" spans="1:5" x14ac:dyDescent="0.25">
      <c r="A99" s="17"/>
      <c r="B99" s="17"/>
      <c r="C99" s="17"/>
      <c r="D99" s="17"/>
      <c r="E99" s="17"/>
    </row>
    <row r="100" spans="1:5" x14ac:dyDescent="0.25">
      <c r="A100" s="17"/>
      <c r="B100" s="17"/>
      <c r="C100" s="17"/>
      <c r="D100" s="17"/>
      <c r="E100" s="17"/>
    </row>
    <row r="101" spans="1:5" x14ac:dyDescent="0.25">
      <c r="A101" s="17"/>
      <c r="B101" s="17"/>
      <c r="C101" s="17"/>
      <c r="D101" s="17"/>
      <c r="E101" s="17"/>
    </row>
    <row r="102" spans="1:5" x14ac:dyDescent="0.25">
      <c r="A102" s="17"/>
      <c r="B102" s="17"/>
      <c r="C102" s="17"/>
      <c r="D102" s="17"/>
      <c r="E102" s="17"/>
    </row>
    <row r="103" spans="1:5" x14ac:dyDescent="0.25">
      <c r="A103" s="17"/>
      <c r="B103" s="17"/>
      <c r="C103" s="17"/>
      <c r="D103" s="17"/>
      <c r="E103" s="17"/>
    </row>
    <row r="104" spans="1:5" x14ac:dyDescent="0.25">
      <c r="A104" s="17"/>
      <c r="B104" s="17"/>
      <c r="C104" s="17"/>
      <c r="D104" s="17"/>
      <c r="E104" s="17"/>
    </row>
    <row r="105" spans="1:5" x14ac:dyDescent="0.25">
      <c r="A105" s="17"/>
      <c r="B105" s="17"/>
      <c r="C105" s="17"/>
      <c r="D105" s="17"/>
      <c r="E105" s="17"/>
    </row>
    <row r="106" spans="1:5" x14ac:dyDescent="0.25">
      <c r="A106" s="17"/>
      <c r="B106" s="17"/>
      <c r="C106" s="17"/>
      <c r="D106" s="17"/>
      <c r="E106" s="17"/>
    </row>
    <row r="107" spans="1:5" x14ac:dyDescent="0.25">
      <c r="A107" s="17"/>
      <c r="B107" s="17"/>
      <c r="C107" s="17"/>
      <c r="D107" s="17"/>
      <c r="E107" s="17"/>
    </row>
    <row r="108" spans="1:5" x14ac:dyDescent="0.25">
      <c r="A108" s="17"/>
      <c r="B108" s="17"/>
      <c r="C108" s="17"/>
      <c r="D108" s="17"/>
      <c r="E108" s="17"/>
    </row>
    <row r="109" spans="1:5" x14ac:dyDescent="0.25">
      <c r="A109" s="17"/>
      <c r="B109" s="17"/>
      <c r="C109" s="17"/>
      <c r="D109" s="17"/>
      <c r="E109" s="17"/>
    </row>
    <row r="110" spans="1:5" x14ac:dyDescent="0.25">
      <c r="A110" s="17"/>
      <c r="B110" s="17"/>
      <c r="C110" s="17"/>
      <c r="D110" s="17"/>
      <c r="E110" s="17"/>
    </row>
    <row r="111" spans="1:5" x14ac:dyDescent="0.25">
      <c r="A111" s="17"/>
      <c r="B111" s="17"/>
      <c r="C111" s="17"/>
      <c r="D111" s="17"/>
      <c r="E111" s="17"/>
    </row>
    <row r="112" spans="1:5" x14ac:dyDescent="0.25">
      <c r="A112" s="17"/>
      <c r="B112" s="17"/>
      <c r="C112" s="17"/>
      <c r="D112" s="17"/>
      <c r="E112" s="17"/>
    </row>
    <row r="113" spans="1:5" x14ac:dyDescent="0.25">
      <c r="A113" s="17"/>
      <c r="B113" s="17"/>
      <c r="C113" s="17"/>
      <c r="D113" s="17"/>
      <c r="E113" s="17"/>
    </row>
    <row r="114" spans="1:5" x14ac:dyDescent="0.25">
      <c r="A114" s="17"/>
      <c r="B114" s="17"/>
      <c r="C114" s="17"/>
      <c r="D114" s="17"/>
      <c r="E114" s="17"/>
    </row>
    <row r="115" spans="1:5" x14ac:dyDescent="0.25">
      <c r="A115" s="17"/>
      <c r="B115" s="17"/>
      <c r="C115" s="17"/>
      <c r="D115" s="17"/>
      <c r="E115" s="17"/>
    </row>
    <row r="116" spans="1:5" x14ac:dyDescent="0.25">
      <c r="A116" s="17"/>
      <c r="B116" s="17"/>
      <c r="C116" s="17"/>
      <c r="D116" s="17"/>
      <c r="E116" s="17"/>
    </row>
    <row r="117" spans="1:5" x14ac:dyDescent="0.25">
      <c r="A117" s="17"/>
      <c r="B117" s="17"/>
      <c r="C117" s="17"/>
      <c r="D117" s="17"/>
      <c r="E117" s="17"/>
    </row>
    <row r="118" spans="1:5" x14ac:dyDescent="0.25">
      <c r="A118" s="17"/>
      <c r="B118" s="17"/>
      <c r="C118" s="17"/>
      <c r="D118" s="17"/>
      <c r="E118" s="17"/>
    </row>
    <row r="119" spans="1:5" x14ac:dyDescent="0.25">
      <c r="A119" s="17"/>
      <c r="B119" s="17"/>
      <c r="C119" s="17"/>
      <c r="D119" s="17"/>
      <c r="E119" s="17"/>
    </row>
    <row r="120" spans="1:5" x14ac:dyDescent="0.25">
      <c r="A120" s="17"/>
      <c r="B120" s="17"/>
      <c r="C120" s="17"/>
      <c r="D120" s="17"/>
      <c r="E120" s="17"/>
    </row>
    <row r="121" spans="1:5" x14ac:dyDescent="0.25">
      <c r="A121" s="17"/>
      <c r="B121" s="17"/>
      <c r="C121" s="17"/>
      <c r="D121" s="17"/>
      <c r="E121" s="17"/>
    </row>
    <row r="122" spans="1:5" x14ac:dyDescent="0.25">
      <c r="A122" s="17"/>
      <c r="B122" s="17"/>
      <c r="C122" s="17"/>
      <c r="D122" s="17"/>
      <c r="E122" s="17"/>
    </row>
    <row r="123" spans="1:5" x14ac:dyDescent="0.25">
      <c r="A123" s="17"/>
      <c r="B123" s="17"/>
      <c r="C123" s="17"/>
      <c r="D123" s="17"/>
      <c r="E123" s="17"/>
    </row>
    <row r="124" spans="1:5" x14ac:dyDescent="0.25">
      <c r="A124" s="17"/>
      <c r="B124" s="17"/>
      <c r="C124" s="17"/>
      <c r="D124" s="17"/>
      <c r="E124" s="17"/>
    </row>
    <row r="125" spans="1:5" x14ac:dyDescent="0.25">
      <c r="A125" s="17"/>
      <c r="B125" s="17"/>
      <c r="C125" s="17"/>
      <c r="D125" s="17"/>
      <c r="E125" s="17"/>
    </row>
    <row r="126" spans="1:5" x14ac:dyDescent="0.25">
      <c r="A126" s="17"/>
      <c r="B126" s="17"/>
      <c r="C126" s="17"/>
      <c r="D126" s="17"/>
      <c r="E126" s="17"/>
    </row>
    <row r="127" spans="1:5" x14ac:dyDescent="0.25">
      <c r="A127" s="17"/>
      <c r="B127" s="17"/>
      <c r="C127" s="17"/>
      <c r="D127" s="17"/>
      <c r="E127" s="17"/>
    </row>
    <row r="128" spans="1:5" x14ac:dyDescent="0.25">
      <c r="A128" s="17"/>
      <c r="B128" s="17"/>
      <c r="C128" s="17"/>
      <c r="D128" s="17"/>
      <c r="E128" s="17"/>
    </row>
    <row r="129" spans="1:5" x14ac:dyDescent="0.25">
      <c r="A129" s="17"/>
      <c r="B129" s="17"/>
      <c r="C129" s="17"/>
      <c r="D129" s="17"/>
      <c r="E129" s="17"/>
    </row>
    <row r="130" spans="1:5" x14ac:dyDescent="0.25">
      <c r="A130" s="17"/>
      <c r="B130" s="17"/>
      <c r="C130" s="17"/>
      <c r="D130" s="17"/>
      <c r="E130" s="17"/>
    </row>
    <row r="131" spans="1:5" x14ac:dyDescent="0.25">
      <c r="A131" s="17"/>
      <c r="B131" s="17"/>
      <c r="C131" s="17"/>
      <c r="D131" s="17"/>
      <c r="E131" s="17"/>
    </row>
    <row r="132" spans="1:5" x14ac:dyDescent="0.25">
      <c r="A132" s="17"/>
      <c r="B132" s="17"/>
      <c r="C132" s="17"/>
      <c r="D132" s="17"/>
      <c r="E132" s="17"/>
    </row>
    <row r="133" spans="1:5" x14ac:dyDescent="0.25">
      <c r="A133" s="17"/>
      <c r="B133" s="17"/>
      <c r="C133" s="17"/>
      <c r="D133" s="17"/>
      <c r="E133" s="17"/>
    </row>
    <row r="134" spans="1:5" x14ac:dyDescent="0.25">
      <c r="A134" s="17"/>
      <c r="B134" s="17"/>
      <c r="C134" s="17"/>
      <c r="D134" s="17"/>
      <c r="E134" s="17"/>
    </row>
    <row r="135" spans="1:5" x14ac:dyDescent="0.25">
      <c r="A135" s="17"/>
      <c r="B135" s="17"/>
      <c r="C135" s="17"/>
      <c r="D135" s="17"/>
      <c r="E135" s="17"/>
    </row>
    <row r="136" spans="1:5" x14ac:dyDescent="0.25">
      <c r="A136" s="17"/>
      <c r="B136" s="17"/>
      <c r="C136" s="17"/>
      <c r="D136" s="17"/>
      <c r="E136" s="17"/>
    </row>
    <row r="137" spans="1:5" x14ac:dyDescent="0.25">
      <c r="A137" s="17"/>
      <c r="B137" s="17"/>
      <c r="C137" s="17"/>
      <c r="D137" s="17"/>
      <c r="E137" s="17"/>
    </row>
    <row r="138" spans="1:5" x14ac:dyDescent="0.25">
      <c r="A138" s="17"/>
      <c r="B138" s="17"/>
      <c r="C138" s="17"/>
      <c r="D138" s="17"/>
      <c r="E138" s="17"/>
    </row>
    <row r="139" spans="1:5" x14ac:dyDescent="0.25">
      <c r="A139" s="17"/>
      <c r="B139" s="17"/>
      <c r="C139" s="17"/>
      <c r="D139" s="17"/>
      <c r="E139" s="17"/>
    </row>
    <row r="140" spans="1:5" x14ac:dyDescent="0.25">
      <c r="A140" s="17"/>
      <c r="B140" s="17"/>
      <c r="C140" s="17"/>
      <c r="D140" s="17"/>
      <c r="E140" s="17"/>
    </row>
    <row r="141" spans="1:5" x14ac:dyDescent="0.25">
      <c r="A141" s="17"/>
      <c r="B141" s="17"/>
      <c r="C141" s="17"/>
      <c r="D141" s="17"/>
      <c r="E141" s="17"/>
    </row>
    <row r="142" spans="1:5" x14ac:dyDescent="0.25">
      <c r="A142" s="17"/>
      <c r="B142" s="17"/>
      <c r="C142" s="17"/>
      <c r="D142" s="17"/>
      <c r="E142" s="17"/>
    </row>
    <row r="143" spans="1:5" x14ac:dyDescent="0.25">
      <c r="A143" s="17"/>
      <c r="B143" s="17"/>
      <c r="C143" s="17"/>
      <c r="D143" s="17"/>
      <c r="E143" s="17"/>
    </row>
    <row r="144" spans="1:5" x14ac:dyDescent="0.25">
      <c r="A144" s="17"/>
      <c r="B144" s="17"/>
      <c r="C144" s="17"/>
      <c r="D144" s="17"/>
      <c r="E144" s="17"/>
    </row>
    <row r="145" spans="1:5" x14ac:dyDescent="0.25">
      <c r="A145" s="17"/>
      <c r="B145" s="17"/>
      <c r="C145" s="17"/>
      <c r="D145" s="17"/>
      <c r="E145" s="17"/>
    </row>
    <row r="146" spans="1:5" x14ac:dyDescent="0.25">
      <c r="A146" s="17"/>
      <c r="B146" s="17"/>
      <c r="C146" s="17"/>
      <c r="D146" s="17"/>
      <c r="E146" s="17"/>
    </row>
    <row r="147" spans="1:5" x14ac:dyDescent="0.25">
      <c r="A147" s="17"/>
      <c r="B147" s="17"/>
      <c r="C147" s="17"/>
      <c r="D147" s="17"/>
      <c r="E147" s="17"/>
    </row>
    <row r="148" spans="1:5" x14ac:dyDescent="0.25">
      <c r="A148" s="17"/>
      <c r="B148" s="17"/>
      <c r="C148" s="17"/>
      <c r="D148" s="17"/>
      <c r="E148" s="17"/>
    </row>
    <row r="149" spans="1:5" x14ac:dyDescent="0.25">
      <c r="A149" s="17"/>
      <c r="B149" s="17"/>
      <c r="C149" s="17"/>
      <c r="D149" s="17"/>
      <c r="E149" s="17"/>
    </row>
    <row r="150" spans="1:5" x14ac:dyDescent="0.25">
      <c r="A150" s="17"/>
      <c r="B150" s="17"/>
      <c r="C150" s="17"/>
      <c r="D150" s="17"/>
      <c r="E150" s="17"/>
    </row>
    <row r="151" spans="1:5" x14ac:dyDescent="0.25">
      <c r="A151" s="17"/>
      <c r="B151" s="17"/>
      <c r="C151" s="17"/>
      <c r="D151" s="17"/>
      <c r="E151" s="17"/>
    </row>
    <row r="152" spans="1:5" x14ac:dyDescent="0.25">
      <c r="A152" s="17"/>
      <c r="B152" s="17"/>
      <c r="C152" s="17"/>
      <c r="D152" s="17"/>
      <c r="E152" s="17"/>
    </row>
    <row r="153" spans="1:5" x14ac:dyDescent="0.25">
      <c r="A153" s="17"/>
      <c r="B153" s="17"/>
      <c r="C153" s="17"/>
      <c r="D153" s="17"/>
      <c r="E153" s="17"/>
    </row>
    <row r="154" spans="1:5" x14ac:dyDescent="0.25">
      <c r="A154" s="17"/>
      <c r="B154" s="17"/>
      <c r="C154" s="17"/>
      <c r="D154" s="17"/>
      <c r="E154" s="17"/>
    </row>
    <row r="155" spans="1:5" x14ac:dyDescent="0.25">
      <c r="A155" s="17"/>
      <c r="B155" s="17"/>
      <c r="C155" s="17"/>
      <c r="D155" s="17"/>
      <c r="E155" s="17"/>
    </row>
    <row r="156" spans="1:5" x14ac:dyDescent="0.25">
      <c r="A156" s="17"/>
      <c r="B156" s="17"/>
      <c r="C156" s="17"/>
      <c r="D156" s="17"/>
      <c r="E156" s="17"/>
    </row>
    <row r="157" spans="1:5" x14ac:dyDescent="0.25">
      <c r="A157" s="17"/>
      <c r="B157" s="17"/>
      <c r="C157" s="17"/>
      <c r="D157" s="17"/>
      <c r="E157" s="17"/>
    </row>
    <row r="158" spans="1:5" x14ac:dyDescent="0.25">
      <c r="A158" s="17"/>
      <c r="B158" s="17"/>
      <c r="C158" s="17"/>
      <c r="D158" s="17"/>
      <c r="E158" s="17"/>
    </row>
    <row r="159" spans="1:5" x14ac:dyDescent="0.25">
      <c r="A159" s="17"/>
      <c r="B159" s="17"/>
      <c r="C159" s="17"/>
      <c r="D159" s="17"/>
      <c r="E159" s="17"/>
    </row>
    <row r="160" spans="1:5" x14ac:dyDescent="0.25">
      <c r="A160" s="17"/>
      <c r="B160" s="17"/>
      <c r="C160" s="17"/>
      <c r="D160" s="17"/>
      <c r="E160" s="17"/>
    </row>
    <row r="161" spans="1:5" x14ac:dyDescent="0.25">
      <c r="A161" s="17"/>
      <c r="B161" s="17"/>
      <c r="C161" s="17"/>
      <c r="D161" s="17"/>
      <c r="E161" s="17"/>
    </row>
    <row r="162" spans="1:5" x14ac:dyDescent="0.25">
      <c r="A162" s="17"/>
      <c r="B162" s="17"/>
      <c r="C162" s="17"/>
      <c r="D162" s="17"/>
      <c r="E162" s="17"/>
    </row>
    <row r="163" spans="1:5" x14ac:dyDescent="0.25">
      <c r="A163" s="17"/>
      <c r="B163" s="17"/>
      <c r="C163" s="17"/>
      <c r="D163" s="17"/>
      <c r="E163" s="17"/>
    </row>
    <row r="164" spans="1:5" x14ac:dyDescent="0.25">
      <c r="A164" s="17"/>
      <c r="B164" s="17"/>
      <c r="C164" s="17"/>
      <c r="D164" s="17"/>
      <c r="E164" s="17"/>
    </row>
    <row r="165" spans="1:5" x14ac:dyDescent="0.25">
      <c r="A165" s="17"/>
      <c r="B165" s="17"/>
      <c r="C165" s="17"/>
      <c r="D165" s="17"/>
      <c r="E165" s="17"/>
    </row>
    <row r="166" spans="1:5" x14ac:dyDescent="0.25">
      <c r="A166" s="17"/>
      <c r="B166" s="17"/>
      <c r="C166" s="17"/>
      <c r="D166" s="17"/>
      <c r="E166" s="17"/>
    </row>
    <row r="167" spans="1:5" x14ac:dyDescent="0.25">
      <c r="A167" s="17"/>
      <c r="B167" s="17"/>
      <c r="C167" s="17"/>
      <c r="D167" s="17"/>
      <c r="E167" s="17"/>
    </row>
    <row r="168" spans="1:5" x14ac:dyDescent="0.25">
      <c r="A168" s="17"/>
      <c r="B168" s="17"/>
      <c r="C168" s="17"/>
      <c r="D168" s="17"/>
      <c r="E168" s="17"/>
    </row>
    <row r="169" spans="1:5" x14ac:dyDescent="0.25">
      <c r="A169" s="17"/>
      <c r="B169" s="17"/>
      <c r="C169" s="17"/>
      <c r="D169" s="17"/>
      <c r="E169" s="17"/>
    </row>
    <row r="170" spans="1:5" x14ac:dyDescent="0.25">
      <c r="A170" s="17"/>
      <c r="B170" s="17"/>
      <c r="C170" s="17"/>
      <c r="D170" s="17"/>
      <c r="E170" s="17"/>
    </row>
    <row r="171" spans="1:5" x14ac:dyDescent="0.25">
      <c r="A171" s="17"/>
      <c r="B171" s="17"/>
      <c r="C171" s="17"/>
      <c r="D171" s="17"/>
      <c r="E171" s="17"/>
    </row>
    <row r="172" spans="1:5" x14ac:dyDescent="0.25">
      <c r="A172" s="17"/>
      <c r="B172" s="17"/>
      <c r="C172" s="17"/>
      <c r="D172" s="17"/>
      <c r="E172" s="17"/>
    </row>
    <row r="173" spans="1:5" x14ac:dyDescent="0.25">
      <c r="A173" s="17"/>
      <c r="B173" s="17"/>
      <c r="C173" s="17"/>
      <c r="D173" s="17"/>
      <c r="E173" s="17"/>
    </row>
    <row r="174" spans="1:5" x14ac:dyDescent="0.25">
      <c r="A174" s="17"/>
      <c r="B174" s="17"/>
      <c r="C174" s="17"/>
      <c r="D174" s="17"/>
      <c r="E174" s="17"/>
    </row>
    <row r="175" spans="1:5" x14ac:dyDescent="0.25">
      <c r="A175" s="17"/>
      <c r="B175" s="17"/>
      <c r="C175" s="17"/>
      <c r="D175" s="17"/>
      <c r="E175" s="17"/>
    </row>
    <row r="176" spans="1:5" x14ac:dyDescent="0.25">
      <c r="A176" s="17"/>
      <c r="B176" s="17"/>
      <c r="C176" s="17"/>
      <c r="D176" s="17"/>
      <c r="E176" s="17"/>
    </row>
    <row r="177" spans="1:5" x14ac:dyDescent="0.25">
      <c r="A177" s="17"/>
      <c r="B177" s="17"/>
      <c r="C177" s="17"/>
      <c r="D177" s="17"/>
      <c r="E177" s="17"/>
    </row>
    <row r="178" spans="1:5" x14ac:dyDescent="0.25">
      <c r="A178" s="17"/>
      <c r="B178" s="17"/>
      <c r="C178" s="17"/>
      <c r="D178" s="17"/>
      <c r="E178" s="17"/>
    </row>
    <row r="179" spans="1:5" x14ac:dyDescent="0.25">
      <c r="A179" s="17"/>
      <c r="B179" s="17"/>
      <c r="C179" s="17"/>
      <c r="D179" s="17"/>
      <c r="E179" s="17"/>
    </row>
    <row r="180" spans="1:5" x14ac:dyDescent="0.25">
      <c r="A180" s="17"/>
      <c r="B180" s="17"/>
      <c r="C180" s="17"/>
      <c r="D180" s="17"/>
      <c r="E180" s="17"/>
    </row>
    <row r="181" spans="1:5" x14ac:dyDescent="0.25">
      <c r="A181" s="17"/>
      <c r="B181" s="17"/>
      <c r="C181" s="17"/>
      <c r="D181" s="17"/>
      <c r="E181" s="17"/>
    </row>
    <row r="182" spans="1:5" x14ac:dyDescent="0.25">
      <c r="A182" s="17"/>
      <c r="B182" s="17"/>
      <c r="C182" s="17"/>
      <c r="D182" s="17"/>
      <c r="E182" s="17"/>
    </row>
    <row r="183" spans="1:5" x14ac:dyDescent="0.25">
      <c r="A183" s="17"/>
      <c r="B183" s="17"/>
      <c r="C183" s="17"/>
      <c r="D183" s="17"/>
      <c r="E183" s="17"/>
    </row>
    <row r="184" spans="1:5" x14ac:dyDescent="0.25">
      <c r="A184" s="17"/>
      <c r="B184" s="17"/>
      <c r="C184" s="17"/>
      <c r="D184" s="17"/>
      <c r="E184" s="17"/>
    </row>
    <row r="185" spans="1:5" x14ac:dyDescent="0.25">
      <c r="A185" s="17"/>
      <c r="B185" s="17"/>
      <c r="C185" s="17"/>
      <c r="D185" s="17"/>
      <c r="E185" s="17"/>
    </row>
    <row r="186" spans="1:5" x14ac:dyDescent="0.25">
      <c r="A186" s="17"/>
      <c r="B186" s="17"/>
      <c r="C186" s="17"/>
      <c r="D186" s="17"/>
      <c r="E186" s="17"/>
    </row>
    <row r="187" spans="1:5" x14ac:dyDescent="0.25">
      <c r="A187" s="17"/>
      <c r="B187" s="17"/>
      <c r="C187" s="17"/>
      <c r="D187" s="17"/>
      <c r="E187" s="17"/>
    </row>
    <row r="188" spans="1:5" x14ac:dyDescent="0.25">
      <c r="A188" s="17"/>
      <c r="B188" s="17"/>
      <c r="C188" s="17"/>
      <c r="D188" s="17"/>
      <c r="E188" s="17"/>
    </row>
    <row r="189" spans="1:5" x14ac:dyDescent="0.25">
      <c r="A189" s="17"/>
      <c r="B189" s="17"/>
      <c r="C189" s="17"/>
      <c r="D189" s="17"/>
      <c r="E189" s="17"/>
    </row>
    <row r="190" spans="1:5" x14ac:dyDescent="0.25">
      <c r="A190" s="17"/>
      <c r="B190" s="17"/>
      <c r="C190" s="17"/>
      <c r="D190" s="17"/>
      <c r="E190" s="17"/>
    </row>
    <row r="191" spans="1:5" x14ac:dyDescent="0.25">
      <c r="A191" s="17"/>
      <c r="B191" s="17"/>
      <c r="C191" s="17"/>
      <c r="D191" s="17"/>
      <c r="E191" s="17"/>
    </row>
    <row r="192" spans="1:5" x14ac:dyDescent="0.25">
      <c r="A192" s="17"/>
      <c r="B192" s="17"/>
      <c r="C192" s="17"/>
      <c r="D192" s="17"/>
      <c r="E192" s="17"/>
    </row>
    <row r="193" spans="1:5" x14ac:dyDescent="0.25">
      <c r="A193" s="17"/>
      <c r="B193" s="17"/>
      <c r="C193" s="17"/>
      <c r="D193" s="17"/>
      <c r="E193" s="17"/>
    </row>
    <row r="194" spans="1:5" x14ac:dyDescent="0.25">
      <c r="A194" s="17"/>
      <c r="B194" s="17"/>
      <c r="C194" s="17"/>
      <c r="D194" s="17"/>
      <c r="E194" s="17"/>
    </row>
    <row r="195" spans="1:5" x14ac:dyDescent="0.25">
      <c r="A195" s="17"/>
      <c r="B195" s="17"/>
      <c r="C195" s="17"/>
      <c r="D195" s="17"/>
      <c r="E195" s="17"/>
    </row>
    <row r="196" spans="1:5" x14ac:dyDescent="0.25">
      <c r="A196" s="17"/>
      <c r="B196" s="17"/>
      <c r="C196" s="17"/>
      <c r="D196" s="17"/>
      <c r="E196" s="17"/>
    </row>
    <row r="197" spans="1:5" x14ac:dyDescent="0.25">
      <c r="A197" s="17"/>
      <c r="B197" s="17"/>
      <c r="C197" s="17"/>
      <c r="D197" s="17"/>
      <c r="E197" s="17"/>
    </row>
    <row r="198" spans="1:5" x14ac:dyDescent="0.25">
      <c r="A198" s="17"/>
      <c r="B198" s="17"/>
      <c r="C198" s="17"/>
      <c r="D198" s="17"/>
      <c r="E198" s="17"/>
    </row>
    <row r="199" spans="1:5" x14ac:dyDescent="0.25">
      <c r="A199" s="17"/>
      <c r="B199" s="17"/>
      <c r="C199" s="17"/>
      <c r="D199" s="17"/>
      <c r="E199" s="17"/>
    </row>
    <row r="200" spans="1:5" x14ac:dyDescent="0.25">
      <c r="A200" s="17"/>
      <c r="B200" s="17"/>
      <c r="C200" s="17"/>
      <c r="D200" s="17"/>
      <c r="E200" s="17"/>
    </row>
    <row r="201" spans="1:5" x14ac:dyDescent="0.25">
      <c r="A201" s="17"/>
      <c r="B201" s="17"/>
      <c r="C201" s="17"/>
      <c r="D201" s="17"/>
      <c r="E201" s="17"/>
    </row>
    <row r="202" spans="1:5" x14ac:dyDescent="0.25">
      <c r="A202" s="17"/>
      <c r="B202" s="17"/>
      <c r="C202" s="17"/>
      <c r="D202" s="17"/>
      <c r="E202" s="17"/>
    </row>
    <row r="203" spans="1:5" x14ac:dyDescent="0.25">
      <c r="A203" s="17"/>
      <c r="B203" s="17"/>
      <c r="C203" s="17"/>
      <c r="D203" s="17"/>
      <c r="E203" s="17"/>
    </row>
    <row r="204" spans="1:5" x14ac:dyDescent="0.25">
      <c r="A204" s="17"/>
      <c r="B204" s="17"/>
      <c r="C204" s="17"/>
      <c r="D204" s="17"/>
      <c r="E204" s="17"/>
    </row>
    <row r="205" spans="1:5" x14ac:dyDescent="0.25">
      <c r="A205" s="17"/>
      <c r="B205" s="17"/>
      <c r="C205" s="17"/>
      <c r="D205" s="17"/>
      <c r="E205" s="17"/>
    </row>
    <row r="206" spans="1:5" x14ac:dyDescent="0.25">
      <c r="A206" s="17"/>
      <c r="B206" s="17"/>
      <c r="C206" s="17"/>
      <c r="D206" s="17"/>
      <c r="E206" s="17"/>
    </row>
    <row r="207" spans="1:5" x14ac:dyDescent="0.25">
      <c r="A207" s="17"/>
      <c r="B207" s="17"/>
      <c r="C207" s="17"/>
      <c r="D207" s="17"/>
      <c r="E207" s="17"/>
    </row>
    <row r="208" spans="1:5" x14ac:dyDescent="0.25">
      <c r="A208" s="17"/>
      <c r="B208" s="17"/>
      <c r="C208" s="17"/>
      <c r="D208" s="17"/>
      <c r="E208" s="17"/>
    </row>
    <row r="209" spans="1:5" x14ac:dyDescent="0.25">
      <c r="A209" s="17"/>
      <c r="B209" s="17"/>
      <c r="C209" s="17"/>
      <c r="D209" s="17"/>
      <c r="E209" s="17"/>
    </row>
    <row r="210" spans="1:5" x14ac:dyDescent="0.25">
      <c r="A210" s="17"/>
      <c r="B210" s="17"/>
      <c r="C210" s="17"/>
      <c r="D210" s="17"/>
      <c r="E210" s="17"/>
    </row>
    <row r="211" spans="1:5" x14ac:dyDescent="0.25">
      <c r="A211" s="17"/>
      <c r="B211" s="17"/>
      <c r="C211" s="17"/>
      <c r="D211" s="17"/>
      <c r="E211" s="17"/>
    </row>
    <row r="212" spans="1:5" x14ac:dyDescent="0.25">
      <c r="A212" s="17"/>
      <c r="B212" s="17"/>
      <c r="C212" s="17"/>
      <c r="D212" s="17"/>
      <c r="E212" s="17"/>
    </row>
    <row r="213" spans="1:5" x14ac:dyDescent="0.25">
      <c r="A213" s="17"/>
      <c r="B213" s="17"/>
      <c r="C213" s="17"/>
      <c r="D213" s="17"/>
      <c r="E213" s="17"/>
    </row>
    <row r="214" spans="1:5" x14ac:dyDescent="0.25">
      <c r="A214" s="17"/>
      <c r="B214" s="17"/>
      <c r="C214" s="17"/>
      <c r="D214" s="17"/>
      <c r="E214" s="17"/>
    </row>
    <row r="215" spans="1:5" x14ac:dyDescent="0.25">
      <c r="A215" s="17"/>
      <c r="B215" s="17"/>
      <c r="C215" s="17"/>
      <c r="D215" s="17"/>
      <c r="E215" s="17"/>
    </row>
    <row r="216" spans="1:5" x14ac:dyDescent="0.25">
      <c r="A216" s="17"/>
      <c r="B216" s="17"/>
      <c r="C216" s="17"/>
      <c r="D216" s="17"/>
      <c r="E216" s="17"/>
    </row>
    <row r="217" spans="1:5" x14ac:dyDescent="0.25">
      <c r="A217" s="17"/>
      <c r="B217" s="17"/>
      <c r="C217" s="17"/>
      <c r="D217" s="17"/>
      <c r="E217" s="17"/>
    </row>
    <row r="218" spans="1:5" x14ac:dyDescent="0.25">
      <c r="A218" s="17"/>
      <c r="B218" s="17"/>
      <c r="C218" s="17"/>
      <c r="D218" s="17"/>
      <c r="E218" s="17"/>
    </row>
    <row r="219" spans="1:5" x14ac:dyDescent="0.25">
      <c r="A219" s="17"/>
      <c r="B219" s="17"/>
      <c r="C219" s="17"/>
      <c r="D219" s="17"/>
      <c r="E219" s="17"/>
    </row>
    <row r="220" spans="1:5" x14ac:dyDescent="0.25">
      <c r="A220" s="17"/>
      <c r="B220" s="17"/>
      <c r="C220" s="17"/>
      <c r="D220" s="17"/>
      <c r="E220" s="17"/>
    </row>
    <row r="221" spans="1:5" x14ac:dyDescent="0.25">
      <c r="A221" s="17"/>
      <c r="B221" s="17"/>
      <c r="C221" s="17"/>
      <c r="D221" s="17"/>
      <c r="E221" s="17"/>
    </row>
    <row r="222" spans="1:5" x14ac:dyDescent="0.25">
      <c r="A222" s="17"/>
      <c r="B222" s="17"/>
      <c r="C222" s="17"/>
      <c r="D222" s="17"/>
      <c r="E222" s="17"/>
    </row>
    <row r="223" spans="1:5" x14ac:dyDescent="0.25">
      <c r="A223" s="17"/>
      <c r="B223" s="17"/>
      <c r="C223" s="17"/>
      <c r="D223" s="17"/>
      <c r="E223" s="17"/>
    </row>
    <row r="224" spans="1:5" x14ac:dyDescent="0.25">
      <c r="A224" s="17"/>
      <c r="B224" s="17"/>
      <c r="C224" s="17"/>
      <c r="D224" s="17"/>
      <c r="E224" s="17"/>
    </row>
    <row r="225" spans="1:5" x14ac:dyDescent="0.25">
      <c r="A225" s="17"/>
      <c r="B225" s="17"/>
      <c r="C225" s="17"/>
      <c r="D225" s="17"/>
      <c r="E225" s="17"/>
    </row>
    <row r="226" spans="1:5" x14ac:dyDescent="0.25">
      <c r="A226" s="17"/>
      <c r="B226" s="17"/>
      <c r="C226" s="17"/>
      <c r="D226" s="17"/>
      <c r="E226" s="17"/>
    </row>
    <row r="227" spans="1:5" x14ac:dyDescent="0.25">
      <c r="A227" s="17"/>
      <c r="B227" s="17"/>
      <c r="C227" s="17"/>
      <c r="D227" s="17"/>
      <c r="E227" s="17"/>
    </row>
    <row r="228" spans="1:5" x14ac:dyDescent="0.25">
      <c r="A228" s="17"/>
      <c r="B228" s="17"/>
      <c r="C228" s="17"/>
      <c r="D228" s="17"/>
      <c r="E228" s="17"/>
    </row>
    <row r="229" spans="1:5" x14ac:dyDescent="0.25">
      <c r="A229" s="17"/>
      <c r="B229" s="17"/>
      <c r="C229" s="17"/>
      <c r="D229" s="17"/>
      <c r="E229" s="17"/>
    </row>
    <row r="230" spans="1:5" x14ac:dyDescent="0.25">
      <c r="A230" s="17"/>
      <c r="B230" s="17"/>
      <c r="C230" s="17"/>
      <c r="D230" s="17"/>
      <c r="E230" s="17"/>
    </row>
    <row r="231" spans="1:5" x14ac:dyDescent="0.25">
      <c r="A231" s="17"/>
      <c r="B231" s="17"/>
      <c r="C231" s="17"/>
      <c r="D231" s="17"/>
      <c r="E231" s="17"/>
    </row>
    <row r="232" spans="1:5" x14ac:dyDescent="0.25">
      <c r="A232" s="17"/>
      <c r="B232" s="17"/>
      <c r="C232" s="17"/>
      <c r="D232" s="17"/>
      <c r="E232" s="17"/>
    </row>
    <row r="233" spans="1:5" x14ac:dyDescent="0.25">
      <c r="A233" s="17"/>
      <c r="B233" s="17"/>
      <c r="C233" s="17"/>
      <c r="D233" s="17"/>
      <c r="E233" s="17"/>
    </row>
    <row r="234" spans="1:5" x14ac:dyDescent="0.25">
      <c r="A234" s="17"/>
      <c r="B234" s="17"/>
      <c r="C234" s="17"/>
      <c r="D234" s="17"/>
      <c r="E234" s="17"/>
    </row>
    <row r="235" spans="1:5" x14ac:dyDescent="0.25">
      <c r="A235" s="17"/>
      <c r="B235" s="17"/>
      <c r="C235" s="17"/>
      <c r="D235" s="17"/>
      <c r="E235" s="17"/>
    </row>
    <row r="236" spans="1:5" x14ac:dyDescent="0.25">
      <c r="A236" s="17"/>
      <c r="B236" s="17"/>
      <c r="C236" s="17"/>
      <c r="D236" s="17"/>
      <c r="E236" s="17"/>
    </row>
    <row r="237" spans="1:5" x14ac:dyDescent="0.25">
      <c r="A237" s="17"/>
      <c r="B237" s="17"/>
      <c r="C237" s="17"/>
      <c r="D237" s="17"/>
      <c r="E237" s="17"/>
    </row>
    <row r="238" spans="1:5" x14ac:dyDescent="0.25">
      <c r="A238" s="17"/>
      <c r="B238" s="17"/>
      <c r="C238" s="17"/>
      <c r="D238" s="17"/>
      <c r="E238" s="17"/>
    </row>
    <row r="239" spans="1:5" x14ac:dyDescent="0.25">
      <c r="A239" s="17"/>
      <c r="B239" s="17"/>
      <c r="C239" s="17"/>
      <c r="D239" s="17"/>
      <c r="E239" s="17"/>
    </row>
    <row r="240" spans="1:5" x14ac:dyDescent="0.25">
      <c r="A240" s="17"/>
      <c r="B240" s="17"/>
      <c r="C240" s="17"/>
      <c r="D240" s="17"/>
      <c r="E240" s="17"/>
    </row>
    <row r="241" spans="1:5" x14ac:dyDescent="0.25">
      <c r="A241" s="17"/>
      <c r="B241" s="17"/>
      <c r="C241" s="17"/>
      <c r="D241" s="17"/>
      <c r="E241" s="17"/>
    </row>
    <row r="242" spans="1:5" x14ac:dyDescent="0.25">
      <c r="A242" s="17"/>
      <c r="B242" s="17"/>
      <c r="C242" s="17"/>
      <c r="D242" s="17"/>
      <c r="E242" s="17"/>
    </row>
    <row r="243" spans="1:5" x14ac:dyDescent="0.25">
      <c r="A243" s="17"/>
      <c r="B243" s="17"/>
      <c r="C243" s="17"/>
      <c r="D243" s="17"/>
      <c r="E243" s="17"/>
    </row>
    <row r="244" spans="1:5" x14ac:dyDescent="0.25">
      <c r="A244" s="17"/>
      <c r="B244" s="17"/>
      <c r="C244" s="17"/>
      <c r="D244" s="17"/>
      <c r="E244" s="17"/>
    </row>
    <row r="245" spans="1:5" x14ac:dyDescent="0.25">
      <c r="A245" s="17"/>
      <c r="B245" s="17"/>
      <c r="C245" s="17"/>
      <c r="D245" s="17"/>
      <c r="E245" s="17"/>
    </row>
    <row r="246" spans="1:5" x14ac:dyDescent="0.25">
      <c r="A246" s="17"/>
      <c r="B246" s="17"/>
      <c r="C246" s="17"/>
      <c r="D246" s="17"/>
      <c r="E246" s="17"/>
    </row>
    <row r="247" spans="1:5" x14ac:dyDescent="0.25">
      <c r="A247" s="17"/>
      <c r="B247" s="17"/>
      <c r="C247" s="17"/>
      <c r="D247" s="17"/>
      <c r="E247" s="17"/>
    </row>
    <row r="248" spans="1:5" x14ac:dyDescent="0.25">
      <c r="A248" s="17"/>
      <c r="B248" s="17"/>
      <c r="C248" s="17"/>
      <c r="D248" s="17"/>
      <c r="E248" s="17"/>
    </row>
    <row r="249" spans="1:5" x14ac:dyDescent="0.25">
      <c r="A249" s="17"/>
      <c r="B249" s="17"/>
      <c r="C249" s="17"/>
      <c r="D249" s="17"/>
      <c r="E249" s="17"/>
    </row>
    <row r="250" spans="1:5" x14ac:dyDescent="0.25">
      <c r="A250" s="17"/>
      <c r="B250" s="17"/>
      <c r="C250" s="17"/>
      <c r="D250" s="17"/>
      <c r="E250" s="17"/>
    </row>
    <row r="251" spans="1:5" x14ac:dyDescent="0.25">
      <c r="A251" s="17"/>
      <c r="B251" s="17"/>
      <c r="C251" s="17"/>
      <c r="D251" s="17"/>
      <c r="E251" s="17"/>
    </row>
    <row r="252" spans="1:5" x14ac:dyDescent="0.25">
      <c r="A252" s="17"/>
      <c r="B252" s="17"/>
      <c r="C252" s="17"/>
      <c r="D252" s="17"/>
      <c r="E252" s="17"/>
    </row>
    <row r="253" spans="1:5" x14ac:dyDescent="0.25">
      <c r="A253" s="17"/>
      <c r="B253" s="17"/>
      <c r="C253" s="17"/>
      <c r="D253" s="17"/>
      <c r="E253" s="17"/>
    </row>
    <row r="254" spans="1:5" x14ac:dyDescent="0.25">
      <c r="A254" s="17"/>
      <c r="B254" s="17"/>
      <c r="C254" s="17"/>
      <c r="D254" s="17"/>
      <c r="E254" s="17"/>
    </row>
    <row r="255" spans="1:5" x14ac:dyDescent="0.25">
      <c r="A255" s="17"/>
      <c r="B255" s="17"/>
      <c r="C255" s="17"/>
      <c r="D255" s="17"/>
      <c r="E255" s="17"/>
    </row>
    <row r="256" spans="1:5" x14ac:dyDescent="0.25">
      <c r="A256" s="17"/>
      <c r="B256" s="17"/>
      <c r="C256" s="17"/>
      <c r="D256" s="17"/>
      <c r="E256" s="17"/>
    </row>
    <row r="257" spans="1:5" x14ac:dyDescent="0.25">
      <c r="A257" s="17"/>
      <c r="B257" s="17"/>
      <c r="C257" s="17"/>
      <c r="D257" s="17"/>
      <c r="E257" s="17"/>
    </row>
    <row r="258" spans="1:5" x14ac:dyDescent="0.25">
      <c r="A258" s="17"/>
      <c r="B258" s="17"/>
      <c r="C258" s="17"/>
      <c r="D258" s="17"/>
      <c r="E258" s="17"/>
    </row>
    <row r="259" spans="1:5" x14ac:dyDescent="0.25">
      <c r="A259" s="17"/>
      <c r="B259" s="17"/>
      <c r="C259" s="17"/>
      <c r="D259" s="17"/>
      <c r="E259" s="17"/>
    </row>
    <row r="260" spans="1:5" x14ac:dyDescent="0.25">
      <c r="A260" s="17"/>
      <c r="B260" s="17"/>
      <c r="C260" s="17"/>
      <c r="D260" s="17"/>
      <c r="E260" s="17"/>
    </row>
    <row r="261" spans="1:5" x14ac:dyDescent="0.25">
      <c r="A261" s="17"/>
      <c r="B261" s="17"/>
      <c r="C261" s="17"/>
      <c r="D261" s="17"/>
      <c r="E261" s="17"/>
    </row>
    <row r="262" spans="1:5" x14ac:dyDescent="0.25">
      <c r="A262" s="17"/>
      <c r="B262" s="17"/>
      <c r="C262" s="17"/>
      <c r="D262" s="17"/>
      <c r="E262" s="17"/>
    </row>
    <row r="263" spans="1:5" x14ac:dyDescent="0.25">
      <c r="A263" s="17"/>
      <c r="B263" s="17"/>
      <c r="C263" s="17"/>
      <c r="D263" s="17"/>
      <c r="E263" s="17"/>
    </row>
    <row r="264" spans="1:5" x14ac:dyDescent="0.25">
      <c r="A264" s="17"/>
      <c r="B264" s="17"/>
      <c r="C264" s="17"/>
      <c r="D264" s="17"/>
      <c r="E264" s="17"/>
    </row>
    <row r="265" spans="1:5" x14ac:dyDescent="0.25">
      <c r="A265" s="17"/>
      <c r="B265" s="17"/>
      <c r="C265" s="17"/>
      <c r="D265" s="17"/>
      <c r="E265" s="17"/>
    </row>
    <row r="266" spans="1:5" x14ac:dyDescent="0.25">
      <c r="A266" s="17"/>
      <c r="B266" s="17"/>
      <c r="C266" s="17"/>
      <c r="D266" s="17"/>
      <c r="E266" s="17"/>
    </row>
    <row r="267" spans="1:5" x14ac:dyDescent="0.25">
      <c r="A267" s="17"/>
      <c r="B267" s="17"/>
      <c r="C267" s="17"/>
      <c r="D267" s="17"/>
      <c r="E267" s="17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4:R6"/>
  <sheetViews>
    <sheetView workbookViewId="0">
      <selection activeCell="N2" sqref="N2"/>
    </sheetView>
  </sheetViews>
  <sheetFormatPr defaultRowHeight="15" x14ac:dyDescent="0.25"/>
  <sheetData>
    <row r="4" spans="1:18" x14ac:dyDescent="0.25">
      <c r="A4" t="s">
        <v>107</v>
      </c>
      <c r="B4" s="37"/>
    </row>
    <row r="5" spans="1:18" x14ac:dyDescent="0.25">
      <c r="C5" t="s">
        <v>80</v>
      </c>
    </row>
    <row r="6" spans="1:18" x14ac:dyDescent="0.25">
      <c r="A6" t="s">
        <v>89</v>
      </c>
      <c r="B6" t="s">
        <v>81</v>
      </c>
      <c r="C6">
        <v>1</v>
      </c>
      <c r="D6">
        <v>2</v>
      </c>
      <c r="E6">
        <v>3</v>
      </c>
      <c r="F6">
        <v>4</v>
      </c>
      <c r="G6" s="21">
        <v>5</v>
      </c>
      <c r="H6" s="21">
        <v>6</v>
      </c>
      <c r="I6" s="21">
        <v>7</v>
      </c>
      <c r="J6" s="21">
        <v>8</v>
      </c>
      <c r="K6" s="21">
        <v>9</v>
      </c>
      <c r="L6" s="21">
        <v>10</v>
      </c>
      <c r="M6" s="21">
        <v>11</v>
      </c>
      <c r="N6" s="21">
        <v>12</v>
      </c>
      <c r="O6" s="21">
        <v>13</v>
      </c>
      <c r="P6" s="21">
        <v>14</v>
      </c>
      <c r="Q6" s="21">
        <v>15</v>
      </c>
      <c r="R6" s="21">
        <v>16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Grad10_Click">
              <controlPr defaultSize="0" print="0" autoFill="0" autoPict="0" macro="[0]!Grad10_Click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7</xdr:col>
                    <xdr:colOff>600075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10_Click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4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R102"/>
  <sheetViews>
    <sheetView workbookViewId="0">
      <selection activeCell="D4" sqref="D4"/>
    </sheetView>
  </sheetViews>
  <sheetFormatPr defaultRowHeight="15" x14ac:dyDescent="0.25"/>
  <cols>
    <col min="1" max="16384" width="9.140625" style="21"/>
  </cols>
  <sheetData>
    <row r="4" spans="1:18" x14ac:dyDescent="0.25">
      <c r="A4" s="21" t="s">
        <v>107</v>
      </c>
      <c r="B4" s="37">
        <v>20</v>
      </c>
    </row>
    <row r="5" spans="1:18" x14ac:dyDescent="0.25">
      <c r="C5" s="21" t="s">
        <v>80</v>
      </c>
    </row>
    <row r="6" spans="1:18" x14ac:dyDescent="0.25">
      <c r="A6" s="21" t="s">
        <v>89</v>
      </c>
      <c r="B6" s="21" t="s">
        <v>81</v>
      </c>
      <c r="C6" s="21">
        <v>1</v>
      </c>
      <c r="D6" s="21">
        <v>2</v>
      </c>
      <c r="E6" s="21">
        <v>3</v>
      </c>
      <c r="F6" s="21">
        <v>4</v>
      </c>
      <c r="G6" s="21">
        <v>5</v>
      </c>
      <c r="H6" s="21">
        <v>6</v>
      </c>
      <c r="I6" s="21">
        <v>7</v>
      </c>
      <c r="J6" s="21">
        <v>8</v>
      </c>
      <c r="K6" s="21">
        <v>9</v>
      </c>
      <c r="L6" s="21">
        <v>10</v>
      </c>
      <c r="M6" s="21">
        <v>11</v>
      </c>
      <c r="N6" s="21">
        <v>12</v>
      </c>
      <c r="O6" s="21">
        <v>13</v>
      </c>
      <c r="P6" s="21">
        <v>14</v>
      </c>
      <c r="Q6" s="21">
        <v>15</v>
      </c>
      <c r="R6" s="21">
        <v>16</v>
      </c>
    </row>
    <row r="7" spans="1:18" x14ac:dyDescent="0.25">
      <c r="A7" s="21">
        <v>1</v>
      </c>
      <c r="B7" s="21">
        <v>20</v>
      </c>
      <c r="C7" s="21">
        <v>20</v>
      </c>
    </row>
    <row r="8" spans="1:18" x14ac:dyDescent="0.25">
      <c r="A8" s="21">
        <v>2</v>
      </c>
      <c r="B8" s="21">
        <v>40</v>
      </c>
      <c r="C8" s="21">
        <v>40</v>
      </c>
    </row>
    <row r="9" spans="1:18" x14ac:dyDescent="0.25">
      <c r="A9" s="21">
        <v>3</v>
      </c>
      <c r="B9" s="21">
        <v>60</v>
      </c>
      <c r="C9" s="21">
        <v>60</v>
      </c>
    </row>
    <row r="10" spans="1:18" x14ac:dyDescent="0.25">
      <c r="A10" s="21">
        <v>4</v>
      </c>
      <c r="B10" s="21">
        <v>80</v>
      </c>
      <c r="C10" s="21">
        <v>80</v>
      </c>
    </row>
    <row r="11" spans="1:18" x14ac:dyDescent="0.25">
      <c r="A11" s="21">
        <v>5</v>
      </c>
      <c r="B11" s="21">
        <v>100</v>
      </c>
      <c r="C11" s="21">
        <v>100</v>
      </c>
    </row>
    <row r="12" spans="1:18" x14ac:dyDescent="0.25">
      <c r="A12" s="21">
        <v>6</v>
      </c>
      <c r="B12" s="21">
        <v>120</v>
      </c>
      <c r="C12" s="21">
        <v>120</v>
      </c>
    </row>
    <row r="13" spans="1:18" x14ac:dyDescent="0.25">
      <c r="A13" s="21">
        <v>7</v>
      </c>
      <c r="B13" s="21">
        <v>140</v>
      </c>
      <c r="C13" s="21">
        <v>90</v>
      </c>
      <c r="D13" s="21">
        <v>50</v>
      </c>
    </row>
    <row r="14" spans="1:18" x14ac:dyDescent="0.25">
      <c r="A14" s="21">
        <v>8</v>
      </c>
      <c r="B14" s="21">
        <v>160</v>
      </c>
      <c r="C14" s="21">
        <v>110</v>
      </c>
      <c r="D14" s="21">
        <v>50</v>
      </c>
    </row>
    <row r="15" spans="1:18" x14ac:dyDescent="0.25">
      <c r="A15" s="21">
        <v>9</v>
      </c>
      <c r="B15" s="21">
        <v>180</v>
      </c>
      <c r="C15" s="21">
        <v>120</v>
      </c>
      <c r="D15" s="21">
        <v>60</v>
      </c>
    </row>
    <row r="16" spans="1:18" x14ac:dyDescent="0.25">
      <c r="A16" s="21">
        <v>10</v>
      </c>
      <c r="B16" s="21">
        <v>200</v>
      </c>
      <c r="C16" s="21">
        <v>140</v>
      </c>
      <c r="D16" s="21">
        <v>60</v>
      </c>
    </row>
    <row r="17" spans="1:7" x14ac:dyDescent="0.25">
      <c r="A17" s="21">
        <v>11</v>
      </c>
      <c r="B17" s="21">
        <v>220</v>
      </c>
      <c r="C17" s="21">
        <v>150</v>
      </c>
      <c r="D17" s="21">
        <v>70</v>
      </c>
    </row>
    <row r="18" spans="1:7" x14ac:dyDescent="0.25">
      <c r="A18" s="21">
        <v>12</v>
      </c>
      <c r="B18" s="21">
        <v>240</v>
      </c>
      <c r="C18" s="21">
        <v>160</v>
      </c>
      <c r="D18" s="21">
        <v>80</v>
      </c>
    </row>
    <row r="19" spans="1:7" x14ac:dyDescent="0.25">
      <c r="A19" s="21">
        <v>13</v>
      </c>
      <c r="B19" s="21">
        <v>260</v>
      </c>
      <c r="C19" s="21">
        <v>130</v>
      </c>
      <c r="D19" s="21">
        <v>80</v>
      </c>
      <c r="E19" s="21">
        <v>50</v>
      </c>
    </row>
    <row r="20" spans="1:7" x14ac:dyDescent="0.25">
      <c r="A20" s="21">
        <v>14</v>
      </c>
      <c r="B20" s="21">
        <v>280</v>
      </c>
      <c r="C20" s="21">
        <v>140</v>
      </c>
      <c r="D20" s="21">
        <v>90</v>
      </c>
      <c r="E20" s="21">
        <v>50</v>
      </c>
    </row>
    <row r="21" spans="1:7" x14ac:dyDescent="0.25">
      <c r="A21" s="21">
        <v>15</v>
      </c>
      <c r="B21" s="21">
        <v>300</v>
      </c>
      <c r="C21" s="21">
        <v>150</v>
      </c>
      <c r="D21" s="21">
        <v>100</v>
      </c>
      <c r="E21" s="21">
        <v>50</v>
      </c>
    </row>
    <row r="22" spans="1:7" x14ac:dyDescent="0.25">
      <c r="A22" s="21">
        <v>16</v>
      </c>
      <c r="B22" s="21">
        <v>320</v>
      </c>
      <c r="C22" s="21">
        <v>170</v>
      </c>
      <c r="D22" s="21">
        <v>100</v>
      </c>
      <c r="E22" s="21">
        <v>50</v>
      </c>
    </row>
    <row r="23" spans="1:7" x14ac:dyDescent="0.25">
      <c r="A23" s="21">
        <v>17</v>
      </c>
      <c r="B23" s="21">
        <v>340</v>
      </c>
      <c r="C23" s="21">
        <v>180</v>
      </c>
      <c r="D23" s="21">
        <v>110</v>
      </c>
      <c r="E23" s="21">
        <v>50</v>
      </c>
    </row>
    <row r="24" spans="1:7" x14ac:dyDescent="0.25">
      <c r="A24" s="21">
        <v>18</v>
      </c>
      <c r="B24" s="21">
        <v>360</v>
      </c>
      <c r="C24" s="21">
        <v>180</v>
      </c>
      <c r="D24" s="21">
        <v>120</v>
      </c>
      <c r="E24" s="21">
        <v>60</v>
      </c>
    </row>
    <row r="25" spans="1:7" x14ac:dyDescent="0.25">
      <c r="A25" s="21">
        <v>19</v>
      </c>
      <c r="B25" s="21">
        <v>380</v>
      </c>
      <c r="C25" s="21">
        <v>150</v>
      </c>
      <c r="D25" s="21">
        <v>110</v>
      </c>
      <c r="E25" s="21">
        <v>70</v>
      </c>
      <c r="F25" s="21">
        <v>50</v>
      </c>
    </row>
    <row r="26" spans="1:7" x14ac:dyDescent="0.25">
      <c r="A26" s="21">
        <v>20</v>
      </c>
      <c r="B26" s="21">
        <v>400</v>
      </c>
      <c r="C26" s="21">
        <v>170</v>
      </c>
      <c r="D26" s="21">
        <v>110</v>
      </c>
      <c r="E26" s="21">
        <v>70</v>
      </c>
      <c r="F26" s="21">
        <v>50</v>
      </c>
    </row>
    <row r="27" spans="1:7" x14ac:dyDescent="0.25">
      <c r="A27" s="21">
        <v>21</v>
      </c>
      <c r="B27" s="21">
        <v>420</v>
      </c>
      <c r="C27" s="21">
        <v>170</v>
      </c>
      <c r="D27" s="21">
        <v>120</v>
      </c>
      <c r="E27" s="21">
        <v>80</v>
      </c>
      <c r="F27" s="21">
        <v>50</v>
      </c>
    </row>
    <row r="28" spans="1:7" x14ac:dyDescent="0.25">
      <c r="A28" s="21">
        <v>22</v>
      </c>
      <c r="B28" s="21">
        <v>440</v>
      </c>
      <c r="C28" s="21">
        <v>180</v>
      </c>
      <c r="D28" s="21">
        <v>130</v>
      </c>
      <c r="E28" s="21">
        <v>80</v>
      </c>
      <c r="F28" s="21">
        <v>50</v>
      </c>
    </row>
    <row r="29" spans="1:7" x14ac:dyDescent="0.25">
      <c r="A29" s="21">
        <v>23</v>
      </c>
      <c r="B29" s="21">
        <v>460</v>
      </c>
      <c r="C29" s="21">
        <v>190</v>
      </c>
      <c r="D29" s="21">
        <v>130</v>
      </c>
      <c r="E29" s="21">
        <v>90</v>
      </c>
      <c r="F29" s="21">
        <v>50</v>
      </c>
    </row>
    <row r="30" spans="1:7" x14ac:dyDescent="0.25">
      <c r="A30" s="21">
        <v>24</v>
      </c>
      <c r="B30" s="21">
        <v>480</v>
      </c>
      <c r="C30" s="21">
        <v>200</v>
      </c>
      <c r="D30" s="21">
        <v>140</v>
      </c>
      <c r="E30" s="21">
        <v>90</v>
      </c>
      <c r="F30" s="21">
        <v>50</v>
      </c>
    </row>
    <row r="31" spans="1:7" x14ac:dyDescent="0.25">
      <c r="A31" s="21">
        <v>25</v>
      </c>
      <c r="B31" s="21">
        <v>500</v>
      </c>
      <c r="C31" s="21">
        <v>170</v>
      </c>
      <c r="D31" s="21">
        <v>120</v>
      </c>
      <c r="E31" s="21">
        <v>90</v>
      </c>
      <c r="F31" s="21">
        <v>70</v>
      </c>
      <c r="G31" s="21">
        <v>50</v>
      </c>
    </row>
    <row r="32" spans="1:7" x14ac:dyDescent="0.25">
      <c r="A32" s="21">
        <v>26</v>
      </c>
      <c r="B32" s="21">
        <v>520</v>
      </c>
      <c r="C32" s="21">
        <v>170</v>
      </c>
      <c r="D32" s="21">
        <v>130</v>
      </c>
      <c r="E32" s="21">
        <v>100</v>
      </c>
      <c r="F32" s="21">
        <v>70</v>
      </c>
      <c r="G32" s="21">
        <v>50</v>
      </c>
    </row>
    <row r="33" spans="1:9" x14ac:dyDescent="0.25">
      <c r="A33" s="21">
        <v>27</v>
      </c>
      <c r="B33" s="21">
        <v>540</v>
      </c>
      <c r="C33" s="21">
        <v>180</v>
      </c>
      <c r="D33" s="21">
        <v>140</v>
      </c>
      <c r="E33" s="21">
        <v>100</v>
      </c>
      <c r="F33" s="21">
        <v>70</v>
      </c>
      <c r="G33" s="21">
        <v>50</v>
      </c>
    </row>
    <row r="34" spans="1:9" x14ac:dyDescent="0.25">
      <c r="A34" s="21">
        <v>28</v>
      </c>
      <c r="B34" s="21">
        <v>560</v>
      </c>
      <c r="C34" s="21">
        <v>200</v>
      </c>
      <c r="D34" s="21">
        <v>140</v>
      </c>
      <c r="E34" s="21">
        <v>100</v>
      </c>
      <c r="F34" s="21">
        <v>70</v>
      </c>
      <c r="G34" s="21">
        <v>50</v>
      </c>
    </row>
    <row r="35" spans="1:9" x14ac:dyDescent="0.25">
      <c r="A35" s="21">
        <v>29</v>
      </c>
      <c r="B35" s="21">
        <v>580</v>
      </c>
      <c r="C35" s="21">
        <v>190</v>
      </c>
      <c r="D35" s="21">
        <v>150</v>
      </c>
      <c r="E35" s="21">
        <v>110</v>
      </c>
      <c r="F35" s="21">
        <v>80</v>
      </c>
      <c r="G35" s="21">
        <v>50</v>
      </c>
    </row>
    <row r="36" spans="1:9" x14ac:dyDescent="0.25">
      <c r="A36" s="21">
        <v>30</v>
      </c>
      <c r="B36" s="21">
        <v>600</v>
      </c>
      <c r="C36" s="21">
        <v>200</v>
      </c>
      <c r="D36" s="21">
        <v>150</v>
      </c>
      <c r="E36" s="21">
        <v>110</v>
      </c>
      <c r="F36" s="21">
        <v>80</v>
      </c>
      <c r="G36" s="21">
        <v>60</v>
      </c>
    </row>
    <row r="37" spans="1:9" x14ac:dyDescent="0.25">
      <c r="A37" s="21">
        <v>31</v>
      </c>
      <c r="B37" s="21">
        <v>620</v>
      </c>
      <c r="C37" s="21">
        <v>170</v>
      </c>
      <c r="D37" s="21">
        <v>130</v>
      </c>
      <c r="E37" s="21">
        <v>110</v>
      </c>
      <c r="F37" s="21">
        <v>90</v>
      </c>
      <c r="G37" s="21">
        <v>70</v>
      </c>
      <c r="H37" s="21">
        <v>50</v>
      </c>
    </row>
    <row r="38" spans="1:9" x14ac:dyDescent="0.25">
      <c r="A38" s="21">
        <v>32</v>
      </c>
      <c r="B38" s="21">
        <v>640</v>
      </c>
      <c r="C38" s="21">
        <v>180</v>
      </c>
      <c r="D38" s="21">
        <v>140</v>
      </c>
      <c r="E38" s="21">
        <v>110</v>
      </c>
      <c r="F38" s="21">
        <v>90</v>
      </c>
      <c r="G38" s="21">
        <v>70</v>
      </c>
      <c r="H38" s="21">
        <v>50</v>
      </c>
    </row>
    <row r="39" spans="1:9" x14ac:dyDescent="0.25">
      <c r="A39" s="21">
        <v>33</v>
      </c>
      <c r="B39" s="21">
        <v>660</v>
      </c>
      <c r="C39" s="21">
        <v>180</v>
      </c>
      <c r="D39" s="21">
        <v>150</v>
      </c>
      <c r="E39" s="21">
        <v>120</v>
      </c>
      <c r="F39" s="21">
        <v>90</v>
      </c>
      <c r="G39" s="21">
        <v>70</v>
      </c>
      <c r="H39" s="21">
        <v>50</v>
      </c>
    </row>
    <row r="40" spans="1:9" x14ac:dyDescent="0.25">
      <c r="A40" s="21">
        <v>34</v>
      </c>
      <c r="B40" s="21">
        <v>680</v>
      </c>
      <c r="C40" s="21">
        <v>200</v>
      </c>
      <c r="D40" s="21">
        <v>150</v>
      </c>
      <c r="E40" s="21">
        <v>120</v>
      </c>
      <c r="F40" s="21">
        <v>90</v>
      </c>
      <c r="G40" s="21">
        <v>70</v>
      </c>
      <c r="H40" s="21">
        <v>50</v>
      </c>
    </row>
    <row r="41" spans="1:9" x14ac:dyDescent="0.25">
      <c r="A41" s="21">
        <v>35</v>
      </c>
      <c r="B41" s="21">
        <v>700</v>
      </c>
      <c r="C41" s="21">
        <v>200</v>
      </c>
      <c r="D41" s="21">
        <v>160</v>
      </c>
      <c r="E41" s="21">
        <v>120</v>
      </c>
      <c r="F41" s="21">
        <v>90</v>
      </c>
      <c r="G41" s="21">
        <v>70</v>
      </c>
      <c r="H41" s="21">
        <v>60</v>
      </c>
    </row>
    <row r="42" spans="1:9" x14ac:dyDescent="0.25">
      <c r="A42" s="21">
        <v>36</v>
      </c>
      <c r="B42" s="21">
        <v>720</v>
      </c>
      <c r="C42" s="21">
        <v>200</v>
      </c>
      <c r="D42" s="21">
        <v>160</v>
      </c>
      <c r="E42" s="21">
        <v>130</v>
      </c>
      <c r="F42" s="21">
        <v>100</v>
      </c>
      <c r="G42" s="21">
        <v>70</v>
      </c>
      <c r="H42" s="21">
        <v>60</v>
      </c>
    </row>
    <row r="43" spans="1:9" x14ac:dyDescent="0.25">
      <c r="A43" s="21">
        <v>37</v>
      </c>
      <c r="B43" s="21">
        <v>740</v>
      </c>
      <c r="C43" s="21">
        <v>180</v>
      </c>
      <c r="D43" s="21">
        <v>150</v>
      </c>
      <c r="E43" s="21">
        <v>120</v>
      </c>
      <c r="F43" s="21">
        <v>100</v>
      </c>
      <c r="G43" s="21">
        <v>80</v>
      </c>
      <c r="H43" s="21">
        <v>60</v>
      </c>
      <c r="I43" s="21">
        <v>50</v>
      </c>
    </row>
    <row r="44" spans="1:9" x14ac:dyDescent="0.25">
      <c r="A44" s="21">
        <v>38</v>
      </c>
      <c r="B44" s="21">
        <v>760</v>
      </c>
      <c r="C44" s="21">
        <v>200</v>
      </c>
      <c r="D44" s="21">
        <v>150</v>
      </c>
      <c r="E44" s="21">
        <v>120</v>
      </c>
      <c r="F44" s="21">
        <v>100</v>
      </c>
      <c r="G44" s="21">
        <v>80</v>
      </c>
      <c r="H44" s="21">
        <v>60</v>
      </c>
      <c r="I44" s="21">
        <v>50</v>
      </c>
    </row>
    <row r="45" spans="1:9" x14ac:dyDescent="0.25">
      <c r="A45" s="21">
        <v>39</v>
      </c>
      <c r="B45" s="21">
        <v>780</v>
      </c>
      <c r="C45" s="21">
        <v>200</v>
      </c>
      <c r="D45" s="21">
        <v>160</v>
      </c>
      <c r="E45" s="21">
        <v>130</v>
      </c>
      <c r="F45" s="21">
        <v>100</v>
      </c>
      <c r="G45" s="21">
        <v>80</v>
      </c>
      <c r="H45" s="21">
        <v>60</v>
      </c>
      <c r="I45" s="21">
        <v>50</v>
      </c>
    </row>
    <row r="46" spans="1:9" x14ac:dyDescent="0.25">
      <c r="A46" s="21">
        <v>40</v>
      </c>
      <c r="B46" s="21">
        <v>800</v>
      </c>
      <c r="C46" s="21">
        <v>190</v>
      </c>
      <c r="D46" s="21">
        <v>160</v>
      </c>
      <c r="E46" s="21">
        <v>130</v>
      </c>
      <c r="F46" s="21">
        <v>110</v>
      </c>
      <c r="G46" s="21">
        <v>90</v>
      </c>
      <c r="H46" s="21">
        <v>70</v>
      </c>
      <c r="I46" s="21">
        <v>50</v>
      </c>
    </row>
    <row r="47" spans="1:9" x14ac:dyDescent="0.25">
      <c r="A47" s="21">
        <v>41</v>
      </c>
      <c r="B47" s="21">
        <v>820</v>
      </c>
      <c r="C47" s="21">
        <v>200</v>
      </c>
      <c r="D47" s="21">
        <v>160</v>
      </c>
      <c r="E47" s="21">
        <v>130</v>
      </c>
      <c r="F47" s="21">
        <v>110</v>
      </c>
      <c r="G47" s="21">
        <v>90</v>
      </c>
      <c r="H47" s="21">
        <v>70</v>
      </c>
      <c r="I47" s="21">
        <v>60</v>
      </c>
    </row>
    <row r="48" spans="1:9" x14ac:dyDescent="0.25">
      <c r="A48" s="21">
        <v>42</v>
      </c>
      <c r="B48" s="21">
        <v>840</v>
      </c>
      <c r="C48" s="21">
        <v>200</v>
      </c>
      <c r="D48" s="21">
        <v>170</v>
      </c>
      <c r="E48" s="21">
        <v>140</v>
      </c>
      <c r="F48" s="21">
        <v>110</v>
      </c>
      <c r="G48" s="21">
        <v>90</v>
      </c>
      <c r="H48" s="21">
        <v>70</v>
      </c>
      <c r="I48" s="21">
        <v>60</v>
      </c>
    </row>
    <row r="49" spans="1:12" x14ac:dyDescent="0.25">
      <c r="A49" s="21">
        <v>43</v>
      </c>
      <c r="B49" s="21">
        <v>860</v>
      </c>
      <c r="C49" s="21">
        <v>190</v>
      </c>
      <c r="D49" s="21">
        <v>160</v>
      </c>
      <c r="E49" s="21">
        <v>130</v>
      </c>
      <c r="F49" s="21">
        <v>110</v>
      </c>
      <c r="G49" s="21">
        <v>90</v>
      </c>
      <c r="H49" s="21">
        <v>70</v>
      </c>
      <c r="I49" s="21">
        <v>60</v>
      </c>
      <c r="J49" s="21">
        <v>50</v>
      </c>
    </row>
    <row r="50" spans="1:12" x14ac:dyDescent="0.25">
      <c r="A50" s="21">
        <v>44</v>
      </c>
      <c r="B50" s="21">
        <v>880</v>
      </c>
      <c r="C50" s="21">
        <v>200</v>
      </c>
      <c r="D50" s="21">
        <v>170</v>
      </c>
      <c r="E50" s="21">
        <v>140</v>
      </c>
      <c r="F50" s="21">
        <v>110</v>
      </c>
      <c r="G50" s="21">
        <v>80</v>
      </c>
      <c r="H50" s="21">
        <v>70</v>
      </c>
      <c r="I50" s="21">
        <v>60</v>
      </c>
      <c r="J50" s="21">
        <v>50</v>
      </c>
    </row>
    <row r="51" spans="1:12" x14ac:dyDescent="0.25">
      <c r="A51" s="21">
        <v>45</v>
      </c>
      <c r="B51" s="21">
        <v>900</v>
      </c>
      <c r="C51" s="21">
        <v>190</v>
      </c>
      <c r="D51" s="21">
        <v>160</v>
      </c>
      <c r="E51" s="21">
        <v>140</v>
      </c>
      <c r="F51" s="21">
        <v>120</v>
      </c>
      <c r="G51" s="21">
        <v>100</v>
      </c>
      <c r="H51" s="21">
        <v>80</v>
      </c>
      <c r="I51" s="21">
        <v>60</v>
      </c>
      <c r="J51" s="21">
        <v>50</v>
      </c>
    </row>
    <row r="52" spans="1:12" x14ac:dyDescent="0.25">
      <c r="A52" s="21">
        <v>46</v>
      </c>
      <c r="B52" s="21">
        <v>920</v>
      </c>
      <c r="C52" s="21">
        <v>200</v>
      </c>
      <c r="D52" s="21">
        <v>170</v>
      </c>
      <c r="E52" s="21">
        <v>140</v>
      </c>
      <c r="F52" s="21">
        <v>120</v>
      </c>
      <c r="G52" s="21">
        <v>100</v>
      </c>
      <c r="H52" s="21">
        <v>80</v>
      </c>
      <c r="I52" s="21">
        <v>60</v>
      </c>
      <c r="J52" s="21">
        <v>50</v>
      </c>
    </row>
    <row r="53" spans="1:12" x14ac:dyDescent="0.25">
      <c r="A53" s="21">
        <v>47</v>
      </c>
      <c r="B53" s="21">
        <v>940</v>
      </c>
      <c r="C53" s="21">
        <v>220</v>
      </c>
      <c r="D53" s="21">
        <v>170</v>
      </c>
      <c r="E53" s="21">
        <v>140</v>
      </c>
      <c r="F53" s="21">
        <v>120</v>
      </c>
      <c r="G53" s="21">
        <v>100</v>
      </c>
      <c r="H53" s="21">
        <v>80</v>
      </c>
      <c r="I53" s="21">
        <v>60</v>
      </c>
      <c r="J53" s="21">
        <v>50</v>
      </c>
    </row>
    <row r="54" spans="1:12" x14ac:dyDescent="0.25">
      <c r="A54" s="21">
        <v>48</v>
      </c>
      <c r="B54" s="21">
        <v>960</v>
      </c>
      <c r="C54" s="21">
        <v>190</v>
      </c>
      <c r="D54" s="21">
        <v>170</v>
      </c>
      <c r="E54" s="21">
        <v>150</v>
      </c>
      <c r="F54" s="21">
        <v>130</v>
      </c>
      <c r="G54" s="21">
        <v>110</v>
      </c>
      <c r="H54" s="21">
        <v>90</v>
      </c>
      <c r="I54" s="21">
        <v>70</v>
      </c>
      <c r="J54" s="21">
        <v>50</v>
      </c>
    </row>
    <row r="55" spans="1:12" x14ac:dyDescent="0.25">
      <c r="A55" s="21">
        <v>49</v>
      </c>
      <c r="B55" s="21">
        <v>980</v>
      </c>
      <c r="C55" s="21">
        <v>200</v>
      </c>
      <c r="D55" s="21">
        <v>160</v>
      </c>
      <c r="E55" s="21">
        <v>140</v>
      </c>
      <c r="F55" s="21">
        <v>120</v>
      </c>
      <c r="G55" s="21">
        <v>100</v>
      </c>
      <c r="H55" s="21">
        <v>80</v>
      </c>
      <c r="I55" s="21">
        <v>70</v>
      </c>
      <c r="J55" s="21">
        <v>60</v>
      </c>
      <c r="K55" s="21">
        <v>50</v>
      </c>
    </row>
    <row r="56" spans="1:12" x14ac:dyDescent="0.25">
      <c r="A56" s="21">
        <v>50</v>
      </c>
      <c r="B56" s="21">
        <v>1000</v>
      </c>
      <c r="C56" s="21">
        <v>210</v>
      </c>
      <c r="D56" s="21">
        <v>170</v>
      </c>
      <c r="E56" s="21">
        <v>140</v>
      </c>
      <c r="F56" s="21">
        <v>120</v>
      </c>
      <c r="G56" s="21">
        <v>100</v>
      </c>
      <c r="H56" s="21">
        <v>80</v>
      </c>
      <c r="I56" s="21">
        <v>70</v>
      </c>
      <c r="J56" s="21">
        <v>60</v>
      </c>
      <c r="K56" s="21">
        <v>50</v>
      </c>
    </row>
    <row r="57" spans="1:12" x14ac:dyDescent="0.25">
      <c r="A57" s="21">
        <v>51</v>
      </c>
      <c r="B57" s="21">
        <v>1020</v>
      </c>
      <c r="C57" s="21">
        <v>210</v>
      </c>
      <c r="D57" s="21">
        <v>180</v>
      </c>
      <c r="E57" s="21">
        <v>150</v>
      </c>
      <c r="F57" s="21">
        <v>120</v>
      </c>
      <c r="G57" s="21">
        <v>100</v>
      </c>
      <c r="H57" s="21">
        <v>80</v>
      </c>
      <c r="I57" s="21">
        <v>70</v>
      </c>
      <c r="J57" s="21">
        <v>60</v>
      </c>
      <c r="K57" s="21">
        <v>50</v>
      </c>
    </row>
    <row r="58" spans="1:12" x14ac:dyDescent="0.25">
      <c r="A58" s="21">
        <v>52</v>
      </c>
      <c r="B58" s="21">
        <v>1040</v>
      </c>
      <c r="C58" s="21">
        <v>210</v>
      </c>
      <c r="D58" s="21">
        <v>170</v>
      </c>
      <c r="E58" s="21">
        <v>150</v>
      </c>
      <c r="F58" s="21">
        <v>130</v>
      </c>
      <c r="G58" s="21">
        <v>110</v>
      </c>
      <c r="H58" s="21">
        <v>90</v>
      </c>
      <c r="I58" s="21">
        <v>70</v>
      </c>
      <c r="J58" s="21">
        <v>60</v>
      </c>
      <c r="K58" s="21">
        <v>50</v>
      </c>
    </row>
    <row r="59" spans="1:12" x14ac:dyDescent="0.25">
      <c r="A59" s="21">
        <v>53</v>
      </c>
      <c r="B59" s="21">
        <v>1060</v>
      </c>
      <c r="C59" s="21">
        <v>220</v>
      </c>
      <c r="D59" s="21">
        <v>180</v>
      </c>
      <c r="E59" s="21">
        <v>150</v>
      </c>
      <c r="F59" s="21">
        <v>130</v>
      </c>
      <c r="G59" s="21">
        <v>110</v>
      </c>
      <c r="H59" s="21">
        <v>90</v>
      </c>
      <c r="I59" s="21">
        <v>70</v>
      </c>
      <c r="J59" s="21">
        <v>60</v>
      </c>
      <c r="K59" s="21">
        <v>50</v>
      </c>
    </row>
    <row r="60" spans="1:12" x14ac:dyDescent="0.25">
      <c r="A60" s="21">
        <v>54</v>
      </c>
      <c r="B60" s="21">
        <v>1080</v>
      </c>
      <c r="C60" s="21">
        <v>230</v>
      </c>
      <c r="D60" s="21">
        <v>190</v>
      </c>
      <c r="E60" s="21">
        <v>150</v>
      </c>
      <c r="F60" s="21">
        <v>130</v>
      </c>
      <c r="G60" s="21">
        <v>110</v>
      </c>
      <c r="H60" s="21">
        <v>90</v>
      </c>
      <c r="I60" s="21">
        <v>70</v>
      </c>
      <c r="J60" s="21">
        <v>60</v>
      </c>
      <c r="K60" s="21">
        <v>50</v>
      </c>
    </row>
    <row r="61" spans="1:12" x14ac:dyDescent="0.25">
      <c r="A61" s="21">
        <v>55</v>
      </c>
      <c r="B61" s="21">
        <v>1100</v>
      </c>
      <c r="C61" s="21">
        <v>190</v>
      </c>
      <c r="D61" s="21">
        <v>170</v>
      </c>
      <c r="E61" s="21">
        <v>150</v>
      </c>
      <c r="F61" s="21">
        <v>130</v>
      </c>
      <c r="G61" s="21">
        <v>110</v>
      </c>
      <c r="H61" s="21">
        <v>90</v>
      </c>
      <c r="I61" s="21">
        <v>80</v>
      </c>
      <c r="J61" s="21">
        <v>70</v>
      </c>
      <c r="K61" s="21">
        <v>60</v>
      </c>
      <c r="L61" s="21">
        <v>50</v>
      </c>
    </row>
    <row r="62" spans="1:12" x14ac:dyDescent="0.25">
      <c r="A62" s="21">
        <v>56</v>
      </c>
      <c r="B62" s="21">
        <v>1120</v>
      </c>
      <c r="C62" s="21">
        <v>210</v>
      </c>
      <c r="D62" s="21">
        <v>170</v>
      </c>
      <c r="E62" s="21">
        <v>150</v>
      </c>
      <c r="F62" s="21">
        <v>130</v>
      </c>
      <c r="G62" s="21">
        <v>110</v>
      </c>
      <c r="H62" s="21">
        <v>90</v>
      </c>
      <c r="I62" s="21">
        <v>80</v>
      </c>
      <c r="J62" s="21">
        <v>70</v>
      </c>
      <c r="K62" s="21">
        <v>60</v>
      </c>
      <c r="L62" s="21">
        <v>50</v>
      </c>
    </row>
    <row r="63" spans="1:12" x14ac:dyDescent="0.25">
      <c r="A63" s="21">
        <v>57</v>
      </c>
      <c r="B63" s="21">
        <v>1140</v>
      </c>
      <c r="C63" s="21">
        <v>220</v>
      </c>
      <c r="D63" s="21">
        <v>180</v>
      </c>
      <c r="E63" s="21">
        <v>150</v>
      </c>
      <c r="F63" s="21">
        <v>130</v>
      </c>
      <c r="G63" s="21">
        <v>110</v>
      </c>
      <c r="H63" s="21">
        <v>90</v>
      </c>
      <c r="I63" s="21">
        <v>80</v>
      </c>
      <c r="J63" s="21">
        <v>70</v>
      </c>
      <c r="K63" s="21">
        <v>60</v>
      </c>
      <c r="L63" s="21">
        <v>50</v>
      </c>
    </row>
    <row r="64" spans="1:12" x14ac:dyDescent="0.25">
      <c r="A64" s="21">
        <v>58</v>
      </c>
      <c r="B64" s="21">
        <v>1160</v>
      </c>
      <c r="C64" s="21">
        <v>200</v>
      </c>
      <c r="D64" s="21">
        <v>180</v>
      </c>
      <c r="E64" s="21">
        <v>160</v>
      </c>
      <c r="F64" s="21">
        <v>140</v>
      </c>
      <c r="G64" s="21">
        <v>120</v>
      </c>
      <c r="H64" s="21">
        <v>100</v>
      </c>
      <c r="I64" s="21">
        <v>80</v>
      </c>
      <c r="J64" s="21">
        <v>70</v>
      </c>
      <c r="K64" s="21">
        <v>60</v>
      </c>
      <c r="L64" s="21">
        <v>50</v>
      </c>
    </row>
    <row r="65" spans="1:15" x14ac:dyDescent="0.25">
      <c r="A65" s="21">
        <v>59</v>
      </c>
      <c r="B65" s="21">
        <v>1180</v>
      </c>
      <c r="C65" s="21">
        <v>220</v>
      </c>
      <c r="D65" s="21">
        <v>180</v>
      </c>
      <c r="E65" s="21">
        <v>160</v>
      </c>
      <c r="F65" s="21">
        <v>140</v>
      </c>
      <c r="G65" s="21">
        <v>120</v>
      </c>
      <c r="H65" s="21">
        <v>100</v>
      </c>
      <c r="I65" s="21">
        <v>80</v>
      </c>
      <c r="J65" s="21">
        <v>70</v>
      </c>
      <c r="K65" s="21">
        <v>60</v>
      </c>
      <c r="L65" s="21">
        <v>50</v>
      </c>
    </row>
    <row r="66" spans="1:15" x14ac:dyDescent="0.25">
      <c r="A66" s="21">
        <v>60</v>
      </c>
      <c r="B66" s="21">
        <v>1200</v>
      </c>
      <c r="C66" s="21">
        <v>230</v>
      </c>
      <c r="D66" s="21">
        <v>190</v>
      </c>
      <c r="E66" s="21">
        <v>160</v>
      </c>
      <c r="F66" s="21">
        <v>140</v>
      </c>
      <c r="G66" s="21">
        <v>120</v>
      </c>
      <c r="H66" s="21">
        <v>100</v>
      </c>
      <c r="I66" s="21">
        <v>80</v>
      </c>
      <c r="J66" s="21">
        <v>70</v>
      </c>
      <c r="K66" s="21">
        <v>60</v>
      </c>
      <c r="L66" s="21">
        <v>50</v>
      </c>
    </row>
    <row r="67" spans="1:15" x14ac:dyDescent="0.25">
      <c r="A67" s="21">
        <v>61</v>
      </c>
      <c r="B67" s="21">
        <v>1220</v>
      </c>
      <c r="C67" s="21">
        <v>210</v>
      </c>
      <c r="D67" s="21">
        <v>170</v>
      </c>
      <c r="E67" s="21">
        <v>150</v>
      </c>
      <c r="F67" s="21">
        <v>130</v>
      </c>
      <c r="G67" s="21">
        <v>110</v>
      </c>
      <c r="H67" s="21">
        <v>100</v>
      </c>
      <c r="I67" s="21">
        <v>90</v>
      </c>
      <c r="J67" s="21">
        <v>80</v>
      </c>
      <c r="K67" s="21">
        <v>70</v>
      </c>
      <c r="L67" s="21">
        <v>60</v>
      </c>
      <c r="M67" s="21">
        <v>50</v>
      </c>
    </row>
    <row r="68" spans="1:15" x14ac:dyDescent="0.25">
      <c r="A68" s="21">
        <v>62</v>
      </c>
      <c r="B68" s="21">
        <v>1240</v>
      </c>
      <c r="C68" s="21">
        <v>220</v>
      </c>
      <c r="D68" s="21">
        <v>180</v>
      </c>
      <c r="E68" s="21">
        <v>150</v>
      </c>
      <c r="F68" s="21">
        <v>130</v>
      </c>
      <c r="G68" s="21">
        <v>110</v>
      </c>
      <c r="H68" s="21">
        <v>100</v>
      </c>
      <c r="I68" s="21">
        <v>90</v>
      </c>
      <c r="J68" s="21">
        <v>80</v>
      </c>
      <c r="K68" s="21">
        <v>70</v>
      </c>
      <c r="L68" s="21">
        <v>60</v>
      </c>
      <c r="M68" s="21">
        <v>50</v>
      </c>
    </row>
    <row r="69" spans="1:15" x14ac:dyDescent="0.25">
      <c r="A69" s="21">
        <v>63</v>
      </c>
      <c r="B69" s="21">
        <v>1260</v>
      </c>
      <c r="C69" s="21">
        <v>210</v>
      </c>
      <c r="D69" s="21">
        <v>180</v>
      </c>
      <c r="E69" s="21">
        <v>160</v>
      </c>
      <c r="F69" s="21">
        <v>140</v>
      </c>
      <c r="G69" s="21">
        <v>120</v>
      </c>
      <c r="H69" s="21">
        <v>100</v>
      </c>
      <c r="I69" s="21">
        <v>90</v>
      </c>
      <c r="J69" s="21">
        <v>80</v>
      </c>
      <c r="K69" s="21">
        <v>70</v>
      </c>
      <c r="L69" s="21">
        <v>60</v>
      </c>
      <c r="M69" s="21">
        <v>50</v>
      </c>
    </row>
    <row r="70" spans="1:15" x14ac:dyDescent="0.25">
      <c r="A70" s="21">
        <v>64</v>
      </c>
      <c r="B70" s="21">
        <v>1280</v>
      </c>
      <c r="C70" s="21">
        <v>220</v>
      </c>
      <c r="D70" s="21">
        <v>190</v>
      </c>
      <c r="E70" s="21">
        <v>160</v>
      </c>
      <c r="F70" s="21">
        <v>140</v>
      </c>
      <c r="G70" s="21">
        <v>120</v>
      </c>
      <c r="H70" s="21">
        <v>100</v>
      </c>
      <c r="I70" s="21">
        <v>90</v>
      </c>
      <c r="J70" s="21">
        <v>80</v>
      </c>
      <c r="K70" s="21">
        <v>70</v>
      </c>
      <c r="L70" s="21">
        <v>60</v>
      </c>
      <c r="M70" s="21">
        <v>50</v>
      </c>
    </row>
    <row r="71" spans="1:15" x14ac:dyDescent="0.25">
      <c r="A71" s="21">
        <v>65</v>
      </c>
      <c r="B71" s="21">
        <v>1300</v>
      </c>
      <c r="C71" s="21">
        <v>240</v>
      </c>
      <c r="D71" s="21">
        <v>190</v>
      </c>
      <c r="E71" s="21">
        <v>160</v>
      </c>
      <c r="F71" s="21">
        <v>140</v>
      </c>
      <c r="G71" s="21">
        <v>120</v>
      </c>
      <c r="H71" s="21">
        <v>100</v>
      </c>
      <c r="I71" s="21">
        <v>90</v>
      </c>
      <c r="J71" s="21">
        <v>80</v>
      </c>
      <c r="K71" s="21">
        <v>70</v>
      </c>
      <c r="L71" s="21">
        <v>60</v>
      </c>
      <c r="M71" s="21">
        <v>50</v>
      </c>
    </row>
    <row r="72" spans="1:15" x14ac:dyDescent="0.25">
      <c r="A72" s="21">
        <v>66</v>
      </c>
      <c r="B72" s="21">
        <v>1320</v>
      </c>
      <c r="C72" s="21">
        <v>220</v>
      </c>
      <c r="D72" s="21">
        <v>190</v>
      </c>
      <c r="E72" s="21">
        <v>170</v>
      </c>
      <c r="F72" s="21">
        <v>150</v>
      </c>
      <c r="G72" s="21">
        <v>130</v>
      </c>
      <c r="H72" s="21">
        <v>110</v>
      </c>
      <c r="I72" s="21">
        <v>90</v>
      </c>
      <c r="J72" s="21">
        <v>80</v>
      </c>
      <c r="K72" s="21">
        <v>70</v>
      </c>
      <c r="L72" s="21">
        <v>60</v>
      </c>
      <c r="M72" s="21">
        <v>50</v>
      </c>
    </row>
    <row r="73" spans="1:15" x14ac:dyDescent="0.25">
      <c r="A73" s="21">
        <v>67</v>
      </c>
      <c r="B73" s="21">
        <v>1340</v>
      </c>
      <c r="C73" s="21">
        <v>210</v>
      </c>
      <c r="D73" s="21">
        <v>170</v>
      </c>
      <c r="E73" s="21">
        <v>150</v>
      </c>
      <c r="F73" s="21">
        <v>130</v>
      </c>
      <c r="G73" s="21">
        <v>120</v>
      </c>
      <c r="H73" s="21">
        <v>110</v>
      </c>
      <c r="I73" s="21">
        <v>100</v>
      </c>
      <c r="J73" s="21">
        <v>90</v>
      </c>
      <c r="K73" s="21">
        <v>80</v>
      </c>
      <c r="L73" s="21">
        <v>70</v>
      </c>
      <c r="M73" s="21">
        <v>60</v>
      </c>
      <c r="N73" s="21">
        <v>50</v>
      </c>
    </row>
    <row r="74" spans="1:15" x14ac:dyDescent="0.25">
      <c r="A74" s="21">
        <v>68</v>
      </c>
      <c r="B74" s="21">
        <v>1360</v>
      </c>
      <c r="C74" s="21">
        <v>200</v>
      </c>
      <c r="D74" s="21">
        <v>180</v>
      </c>
      <c r="E74" s="21">
        <v>160</v>
      </c>
      <c r="F74" s="21">
        <v>140</v>
      </c>
      <c r="G74" s="21">
        <v>120</v>
      </c>
      <c r="H74" s="21">
        <v>110</v>
      </c>
      <c r="I74" s="21">
        <v>100</v>
      </c>
      <c r="J74" s="21">
        <v>90</v>
      </c>
      <c r="K74" s="21">
        <v>80</v>
      </c>
      <c r="L74" s="21">
        <v>70</v>
      </c>
      <c r="M74" s="21">
        <v>60</v>
      </c>
      <c r="N74" s="21">
        <v>50</v>
      </c>
    </row>
    <row r="75" spans="1:15" x14ac:dyDescent="0.25">
      <c r="A75" s="21">
        <v>69</v>
      </c>
      <c r="B75" s="21">
        <v>1380</v>
      </c>
      <c r="C75" s="21">
        <v>220</v>
      </c>
      <c r="D75" s="21">
        <v>180</v>
      </c>
      <c r="E75" s="21">
        <v>160</v>
      </c>
      <c r="F75" s="21">
        <v>140</v>
      </c>
      <c r="G75" s="21">
        <v>120</v>
      </c>
      <c r="H75" s="21">
        <v>110</v>
      </c>
      <c r="I75" s="21">
        <v>100</v>
      </c>
      <c r="J75" s="21">
        <v>90</v>
      </c>
      <c r="K75" s="21">
        <v>80</v>
      </c>
      <c r="L75" s="21">
        <v>70</v>
      </c>
      <c r="M75" s="21">
        <v>60</v>
      </c>
      <c r="N75" s="21">
        <v>50</v>
      </c>
    </row>
    <row r="76" spans="1:15" x14ac:dyDescent="0.25">
      <c r="A76" s="21">
        <v>70</v>
      </c>
      <c r="B76" s="21">
        <v>1400</v>
      </c>
      <c r="C76" s="21">
        <v>230</v>
      </c>
      <c r="D76" s="21">
        <v>190</v>
      </c>
      <c r="E76" s="21">
        <v>160</v>
      </c>
      <c r="F76" s="21">
        <v>140</v>
      </c>
      <c r="G76" s="21">
        <v>120</v>
      </c>
      <c r="H76" s="21">
        <v>110</v>
      </c>
      <c r="I76" s="21">
        <v>100</v>
      </c>
      <c r="J76" s="21">
        <v>90</v>
      </c>
      <c r="K76" s="21">
        <v>80</v>
      </c>
      <c r="L76" s="21">
        <v>70</v>
      </c>
      <c r="M76" s="21">
        <v>60</v>
      </c>
      <c r="N76" s="21">
        <v>50</v>
      </c>
    </row>
    <row r="77" spans="1:15" x14ac:dyDescent="0.25">
      <c r="A77" s="21">
        <v>71</v>
      </c>
      <c r="B77" s="21">
        <v>1420</v>
      </c>
      <c r="C77" s="21">
        <v>230</v>
      </c>
      <c r="D77" s="21">
        <v>200</v>
      </c>
      <c r="E77" s="21">
        <v>170</v>
      </c>
      <c r="F77" s="21">
        <v>140</v>
      </c>
      <c r="G77" s="21">
        <v>120</v>
      </c>
      <c r="H77" s="21">
        <v>110</v>
      </c>
      <c r="I77" s="21">
        <v>100</v>
      </c>
      <c r="J77" s="21">
        <v>90</v>
      </c>
      <c r="K77" s="21">
        <v>80</v>
      </c>
      <c r="L77" s="21">
        <v>70</v>
      </c>
      <c r="M77" s="21">
        <v>60</v>
      </c>
      <c r="N77" s="21">
        <v>50</v>
      </c>
    </row>
    <row r="78" spans="1:15" x14ac:dyDescent="0.25">
      <c r="A78" s="21">
        <v>72</v>
      </c>
      <c r="B78" s="21">
        <v>1440</v>
      </c>
      <c r="C78" s="21">
        <v>230</v>
      </c>
      <c r="D78" s="21">
        <v>200</v>
      </c>
      <c r="E78" s="21">
        <v>170</v>
      </c>
      <c r="F78" s="21">
        <v>150</v>
      </c>
      <c r="G78" s="21">
        <v>130</v>
      </c>
      <c r="H78" s="21">
        <v>110</v>
      </c>
      <c r="I78" s="21">
        <v>100</v>
      </c>
      <c r="J78" s="21">
        <v>90</v>
      </c>
      <c r="K78" s="21">
        <v>80</v>
      </c>
      <c r="L78" s="21">
        <v>70</v>
      </c>
      <c r="M78" s="21">
        <v>60</v>
      </c>
      <c r="N78" s="21">
        <v>50</v>
      </c>
    </row>
    <row r="79" spans="1:15" x14ac:dyDescent="0.25">
      <c r="A79" s="21">
        <v>73</v>
      </c>
      <c r="B79" s="21">
        <v>1460</v>
      </c>
      <c r="C79" s="21">
        <v>190</v>
      </c>
      <c r="D79" s="21">
        <v>170</v>
      </c>
      <c r="E79" s="21">
        <v>150</v>
      </c>
      <c r="F79" s="21">
        <v>140</v>
      </c>
      <c r="G79" s="21">
        <v>130</v>
      </c>
      <c r="H79" s="21">
        <v>120</v>
      </c>
      <c r="I79" s="21">
        <v>110</v>
      </c>
      <c r="J79" s="21">
        <v>100</v>
      </c>
      <c r="K79" s="21">
        <v>90</v>
      </c>
      <c r="L79" s="21">
        <v>80</v>
      </c>
      <c r="M79" s="21">
        <v>70</v>
      </c>
      <c r="N79" s="21">
        <v>60</v>
      </c>
      <c r="O79" s="21">
        <v>50</v>
      </c>
    </row>
    <row r="80" spans="1:15" x14ac:dyDescent="0.25">
      <c r="A80" s="21">
        <v>74</v>
      </c>
      <c r="B80" s="21">
        <v>1480</v>
      </c>
      <c r="C80" s="21">
        <v>210</v>
      </c>
      <c r="D80" s="21">
        <v>170</v>
      </c>
      <c r="E80" s="21">
        <v>150</v>
      </c>
      <c r="F80" s="21">
        <v>140</v>
      </c>
      <c r="G80" s="21">
        <v>130</v>
      </c>
      <c r="H80" s="21">
        <v>120</v>
      </c>
      <c r="I80" s="21">
        <v>110</v>
      </c>
      <c r="J80" s="21">
        <v>100</v>
      </c>
      <c r="K80" s="21">
        <v>90</v>
      </c>
      <c r="L80" s="21">
        <v>80</v>
      </c>
      <c r="M80" s="21">
        <v>70</v>
      </c>
      <c r="N80" s="21">
        <v>60</v>
      </c>
      <c r="O80" s="21">
        <v>50</v>
      </c>
    </row>
    <row r="81" spans="1:17" x14ac:dyDescent="0.25">
      <c r="A81" s="21">
        <v>75</v>
      </c>
      <c r="B81" s="21">
        <v>1500</v>
      </c>
      <c r="C81" s="21">
        <v>210</v>
      </c>
      <c r="D81" s="21">
        <v>180</v>
      </c>
      <c r="E81" s="21">
        <v>160</v>
      </c>
      <c r="F81" s="21">
        <v>140</v>
      </c>
      <c r="G81" s="21">
        <v>130</v>
      </c>
      <c r="H81" s="21">
        <v>120</v>
      </c>
      <c r="I81" s="21">
        <v>110</v>
      </c>
      <c r="J81" s="21">
        <v>100</v>
      </c>
      <c r="K81" s="21">
        <v>90</v>
      </c>
      <c r="L81" s="21">
        <v>80</v>
      </c>
      <c r="M81" s="21">
        <v>70</v>
      </c>
      <c r="N81" s="21">
        <v>60</v>
      </c>
      <c r="O81" s="21">
        <v>50</v>
      </c>
    </row>
    <row r="82" spans="1:17" x14ac:dyDescent="0.25">
      <c r="A82" s="21">
        <v>76</v>
      </c>
      <c r="B82" s="21">
        <v>1520</v>
      </c>
      <c r="C82" s="21">
        <v>220</v>
      </c>
      <c r="D82" s="21">
        <v>190</v>
      </c>
      <c r="E82" s="21">
        <v>160</v>
      </c>
      <c r="F82" s="21">
        <v>140</v>
      </c>
      <c r="G82" s="21">
        <v>130</v>
      </c>
      <c r="H82" s="21">
        <v>120</v>
      </c>
      <c r="I82" s="21">
        <v>110</v>
      </c>
      <c r="J82" s="21">
        <v>100</v>
      </c>
      <c r="K82" s="21">
        <v>90</v>
      </c>
      <c r="L82" s="21">
        <v>80</v>
      </c>
      <c r="M82" s="21">
        <v>70</v>
      </c>
      <c r="N82" s="21">
        <v>60</v>
      </c>
      <c r="O82" s="21">
        <v>50</v>
      </c>
    </row>
    <row r="83" spans="1:17" x14ac:dyDescent="0.25">
      <c r="A83" s="21">
        <v>77</v>
      </c>
      <c r="B83" s="21">
        <v>1540</v>
      </c>
      <c r="C83" s="21">
        <v>220</v>
      </c>
      <c r="D83" s="21">
        <v>190</v>
      </c>
      <c r="E83" s="21">
        <v>170</v>
      </c>
      <c r="F83" s="21">
        <v>150</v>
      </c>
      <c r="G83" s="21">
        <v>130</v>
      </c>
      <c r="H83" s="21">
        <v>120</v>
      </c>
      <c r="I83" s="21">
        <v>110</v>
      </c>
      <c r="J83" s="21">
        <v>100</v>
      </c>
      <c r="K83" s="21">
        <v>90</v>
      </c>
      <c r="L83" s="21">
        <v>80</v>
      </c>
      <c r="M83" s="21">
        <v>70</v>
      </c>
      <c r="N83" s="21">
        <v>60</v>
      </c>
      <c r="O83" s="21">
        <v>50</v>
      </c>
    </row>
    <row r="84" spans="1:17" x14ac:dyDescent="0.25">
      <c r="A84" s="21">
        <v>78</v>
      </c>
      <c r="B84" s="21">
        <v>1560</v>
      </c>
      <c r="C84" s="21">
        <v>230</v>
      </c>
      <c r="D84" s="21">
        <v>200</v>
      </c>
      <c r="E84" s="21">
        <v>170</v>
      </c>
      <c r="F84" s="21">
        <v>150</v>
      </c>
      <c r="G84" s="21">
        <v>130</v>
      </c>
      <c r="H84" s="21">
        <v>120</v>
      </c>
      <c r="I84" s="21">
        <v>110</v>
      </c>
      <c r="J84" s="21">
        <v>100</v>
      </c>
      <c r="K84" s="21">
        <v>90</v>
      </c>
      <c r="L84" s="21">
        <v>80</v>
      </c>
      <c r="M84" s="21">
        <v>70</v>
      </c>
      <c r="N84" s="21">
        <v>60</v>
      </c>
      <c r="O84" s="21">
        <v>50</v>
      </c>
    </row>
    <row r="85" spans="1:17" x14ac:dyDescent="0.25">
      <c r="A85" s="21">
        <v>79</v>
      </c>
      <c r="B85" s="21">
        <v>1580</v>
      </c>
      <c r="C85" s="21">
        <v>210</v>
      </c>
      <c r="D85" s="21">
        <v>190</v>
      </c>
      <c r="E85" s="21">
        <v>170</v>
      </c>
      <c r="F85" s="21">
        <v>150</v>
      </c>
      <c r="G85" s="21">
        <v>130</v>
      </c>
      <c r="H85" s="21">
        <v>120</v>
      </c>
      <c r="I85" s="21">
        <v>110</v>
      </c>
      <c r="J85" s="21">
        <v>100</v>
      </c>
      <c r="K85" s="21">
        <v>90</v>
      </c>
      <c r="L85" s="21">
        <v>80</v>
      </c>
      <c r="M85" s="21">
        <v>70</v>
      </c>
      <c r="N85" s="21">
        <v>60</v>
      </c>
      <c r="O85" s="21">
        <v>50</v>
      </c>
      <c r="P85" s="21">
        <v>50</v>
      </c>
    </row>
    <row r="86" spans="1:17" x14ac:dyDescent="0.25">
      <c r="A86" s="21">
        <v>80</v>
      </c>
      <c r="B86" s="21">
        <v>1600</v>
      </c>
      <c r="C86" s="21">
        <v>230</v>
      </c>
      <c r="D86" s="21">
        <v>200</v>
      </c>
      <c r="E86" s="21">
        <v>170</v>
      </c>
      <c r="F86" s="21">
        <v>140</v>
      </c>
      <c r="G86" s="21">
        <v>130</v>
      </c>
      <c r="H86" s="21">
        <v>120</v>
      </c>
      <c r="I86" s="21">
        <v>110</v>
      </c>
      <c r="J86" s="21">
        <v>100</v>
      </c>
      <c r="K86" s="21">
        <v>90</v>
      </c>
      <c r="L86" s="21">
        <v>80</v>
      </c>
      <c r="M86" s="21">
        <v>70</v>
      </c>
      <c r="N86" s="21">
        <v>60</v>
      </c>
      <c r="O86" s="21">
        <v>50</v>
      </c>
      <c r="P86" s="21">
        <v>50</v>
      </c>
    </row>
    <row r="87" spans="1:17" x14ac:dyDescent="0.25">
      <c r="A87" s="21">
        <v>81</v>
      </c>
      <c r="B87" s="21">
        <v>1620</v>
      </c>
      <c r="C87" s="21">
        <v>190</v>
      </c>
      <c r="D87" s="21">
        <v>170</v>
      </c>
      <c r="E87" s="21">
        <v>160</v>
      </c>
      <c r="F87" s="21">
        <v>150</v>
      </c>
      <c r="G87" s="21">
        <v>140</v>
      </c>
      <c r="H87" s="21">
        <v>130</v>
      </c>
      <c r="I87" s="21">
        <v>120</v>
      </c>
      <c r="J87" s="21">
        <v>110</v>
      </c>
      <c r="K87" s="21">
        <v>100</v>
      </c>
      <c r="L87" s="21">
        <v>90</v>
      </c>
      <c r="M87" s="21">
        <v>80</v>
      </c>
      <c r="N87" s="21">
        <v>70</v>
      </c>
      <c r="O87" s="21">
        <v>60</v>
      </c>
      <c r="P87" s="21">
        <v>50</v>
      </c>
    </row>
    <row r="88" spans="1:17" x14ac:dyDescent="0.25">
      <c r="A88" s="21">
        <v>82</v>
      </c>
      <c r="B88" s="21">
        <v>1640</v>
      </c>
      <c r="C88" s="21">
        <v>200</v>
      </c>
      <c r="D88" s="21">
        <v>180</v>
      </c>
      <c r="E88" s="21">
        <v>160</v>
      </c>
      <c r="F88" s="21">
        <v>150</v>
      </c>
      <c r="G88" s="21">
        <v>140</v>
      </c>
      <c r="H88" s="21">
        <v>130</v>
      </c>
      <c r="I88" s="21">
        <v>120</v>
      </c>
      <c r="J88" s="21">
        <v>110</v>
      </c>
      <c r="K88" s="21">
        <v>100</v>
      </c>
      <c r="L88" s="21">
        <v>90</v>
      </c>
      <c r="M88" s="21">
        <v>80</v>
      </c>
      <c r="N88" s="21">
        <v>70</v>
      </c>
      <c r="O88" s="21">
        <v>60</v>
      </c>
      <c r="P88" s="21">
        <v>50</v>
      </c>
    </row>
    <row r="89" spans="1:17" x14ac:dyDescent="0.25">
      <c r="A89" s="21">
        <v>83</v>
      </c>
      <c r="B89" s="21">
        <v>1660</v>
      </c>
      <c r="C89" s="21">
        <v>220</v>
      </c>
      <c r="D89" s="21">
        <v>180</v>
      </c>
      <c r="E89" s="21">
        <v>160</v>
      </c>
      <c r="F89" s="21">
        <v>150</v>
      </c>
      <c r="G89" s="21">
        <v>140</v>
      </c>
      <c r="H89" s="21">
        <v>130</v>
      </c>
      <c r="I89" s="21">
        <v>120</v>
      </c>
      <c r="J89" s="21">
        <v>110</v>
      </c>
      <c r="K89" s="21">
        <v>100</v>
      </c>
      <c r="L89" s="21">
        <v>90</v>
      </c>
      <c r="M89" s="21">
        <v>80</v>
      </c>
      <c r="N89" s="21">
        <v>70</v>
      </c>
      <c r="O89" s="21">
        <v>60</v>
      </c>
      <c r="P89" s="21">
        <v>50</v>
      </c>
    </row>
    <row r="90" spans="1:17" x14ac:dyDescent="0.25">
      <c r="A90" s="21">
        <v>84</v>
      </c>
      <c r="B90" s="21">
        <v>1680</v>
      </c>
      <c r="C90" s="21">
        <v>230</v>
      </c>
      <c r="D90" s="21">
        <v>190</v>
      </c>
      <c r="E90" s="21">
        <v>160</v>
      </c>
      <c r="F90" s="21">
        <v>150</v>
      </c>
      <c r="G90" s="21">
        <v>140</v>
      </c>
      <c r="H90" s="21">
        <v>130</v>
      </c>
      <c r="I90" s="21">
        <v>120</v>
      </c>
      <c r="J90" s="21">
        <v>110</v>
      </c>
      <c r="K90" s="21">
        <v>100</v>
      </c>
      <c r="L90" s="21">
        <v>90</v>
      </c>
      <c r="M90" s="21">
        <v>80</v>
      </c>
      <c r="N90" s="21">
        <v>70</v>
      </c>
      <c r="O90" s="21">
        <v>60</v>
      </c>
      <c r="P90" s="21">
        <v>50</v>
      </c>
    </row>
    <row r="91" spans="1:17" x14ac:dyDescent="0.25">
      <c r="A91" s="21">
        <v>85</v>
      </c>
      <c r="B91" s="21">
        <v>1700</v>
      </c>
      <c r="C91" s="21">
        <v>210</v>
      </c>
      <c r="D91" s="21">
        <v>180</v>
      </c>
      <c r="E91" s="21">
        <v>160</v>
      </c>
      <c r="F91" s="21">
        <v>150</v>
      </c>
      <c r="G91" s="21">
        <v>140</v>
      </c>
      <c r="H91" s="21">
        <v>130</v>
      </c>
      <c r="I91" s="21">
        <v>120</v>
      </c>
      <c r="J91" s="21">
        <v>110</v>
      </c>
      <c r="K91" s="21">
        <v>100</v>
      </c>
      <c r="L91" s="21">
        <v>90</v>
      </c>
      <c r="M91" s="21">
        <v>80</v>
      </c>
      <c r="N91" s="21">
        <v>70</v>
      </c>
      <c r="O91" s="21">
        <v>60</v>
      </c>
      <c r="P91" s="21">
        <v>50</v>
      </c>
      <c r="Q91" s="21">
        <v>50</v>
      </c>
    </row>
    <row r="92" spans="1:17" x14ac:dyDescent="0.25">
      <c r="A92" s="21">
        <v>86</v>
      </c>
      <c r="B92" s="21">
        <v>1720</v>
      </c>
      <c r="C92" s="21">
        <v>220</v>
      </c>
      <c r="D92" s="21">
        <v>190</v>
      </c>
      <c r="E92" s="21">
        <v>160</v>
      </c>
      <c r="F92" s="21">
        <v>150</v>
      </c>
      <c r="G92" s="21">
        <v>140</v>
      </c>
      <c r="H92" s="21">
        <v>130</v>
      </c>
      <c r="I92" s="21">
        <v>120</v>
      </c>
      <c r="J92" s="21">
        <v>110</v>
      </c>
      <c r="K92" s="21">
        <v>100</v>
      </c>
      <c r="L92" s="21">
        <v>90</v>
      </c>
      <c r="M92" s="21">
        <v>80</v>
      </c>
      <c r="N92" s="21">
        <v>70</v>
      </c>
      <c r="O92" s="21">
        <v>60</v>
      </c>
      <c r="P92" s="21">
        <v>50</v>
      </c>
      <c r="Q92" s="21">
        <v>50</v>
      </c>
    </row>
    <row r="93" spans="1:17" x14ac:dyDescent="0.25">
      <c r="A93" s="21">
        <v>87</v>
      </c>
      <c r="B93" s="21">
        <v>1740</v>
      </c>
      <c r="C93" s="21">
        <v>230</v>
      </c>
      <c r="D93" s="21">
        <v>190</v>
      </c>
      <c r="E93" s="21">
        <v>170</v>
      </c>
      <c r="F93" s="21">
        <v>150</v>
      </c>
      <c r="G93" s="21">
        <v>140</v>
      </c>
      <c r="H93" s="21">
        <v>130</v>
      </c>
      <c r="I93" s="21">
        <v>120</v>
      </c>
      <c r="J93" s="21">
        <v>110</v>
      </c>
      <c r="K93" s="21">
        <v>100</v>
      </c>
      <c r="L93" s="21">
        <v>90</v>
      </c>
      <c r="M93" s="21">
        <v>80</v>
      </c>
      <c r="N93" s="21">
        <v>70</v>
      </c>
      <c r="O93" s="21">
        <v>60</v>
      </c>
      <c r="P93" s="21">
        <v>50</v>
      </c>
      <c r="Q93" s="21">
        <v>50</v>
      </c>
    </row>
    <row r="94" spans="1:17" x14ac:dyDescent="0.25">
      <c r="A94" s="21">
        <v>88</v>
      </c>
      <c r="B94" s="21">
        <v>1760</v>
      </c>
      <c r="C94" s="21">
        <v>220</v>
      </c>
      <c r="D94" s="21">
        <v>200</v>
      </c>
      <c r="E94" s="21">
        <v>180</v>
      </c>
      <c r="F94" s="21">
        <v>160</v>
      </c>
      <c r="G94" s="21">
        <v>140</v>
      </c>
      <c r="H94" s="21">
        <v>130</v>
      </c>
      <c r="I94" s="21">
        <v>120</v>
      </c>
      <c r="J94" s="21">
        <v>110</v>
      </c>
      <c r="K94" s="21">
        <v>100</v>
      </c>
      <c r="L94" s="21">
        <v>90</v>
      </c>
      <c r="M94" s="21">
        <v>80</v>
      </c>
      <c r="N94" s="21">
        <v>70</v>
      </c>
      <c r="O94" s="21">
        <v>60</v>
      </c>
      <c r="P94" s="21">
        <v>50</v>
      </c>
      <c r="Q94" s="21">
        <v>50</v>
      </c>
    </row>
    <row r="95" spans="1:17" x14ac:dyDescent="0.25">
      <c r="A95" s="21">
        <v>89</v>
      </c>
      <c r="B95" s="21">
        <v>1780</v>
      </c>
      <c r="C95" s="21">
        <v>240</v>
      </c>
      <c r="D95" s="21">
        <v>200</v>
      </c>
      <c r="E95" s="21">
        <v>180</v>
      </c>
      <c r="F95" s="21">
        <v>160</v>
      </c>
      <c r="G95" s="21">
        <v>140</v>
      </c>
      <c r="H95" s="21">
        <v>130</v>
      </c>
      <c r="I95" s="21">
        <v>120</v>
      </c>
      <c r="J95" s="21">
        <v>110</v>
      </c>
      <c r="K95" s="21">
        <v>100</v>
      </c>
      <c r="L95" s="21">
        <v>90</v>
      </c>
      <c r="M95" s="21">
        <v>80</v>
      </c>
      <c r="N95" s="21">
        <v>70</v>
      </c>
      <c r="O95" s="21">
        <v>60</v>
      </c>
      <c r="P95" s="21">
        <v>50</v>
      </c>
      <c r="Q95" s="21">
        <v>50</v>
      </c>
    </row>
    <row r="96" spans="1:17" x14ac:dyDescent="0.25">
      <c r="A96" s="21">
        <v>90</v>
      </c>
      <c r="B96" s="21">
        <v>1800</v>
      </c>
      <c r="C96" s="21">
        <v>190</v>
      </c>
      <c r="D96" s="21">
        <v>180</v>
      </c>
      <c r="E96" s="21">
        <v>170</v>
      </c>
      <c r="F96" s="21">
        <v>160</v>
      </c>
      <c r="G96" s="21">
        <v>150</v>
      </c>
      <c r="H96" s="21">
        <v>140</v>
      </c>
      <c r="I96" s="21">
        <v>130</v>
      </c>
      <c r="J96" s="21">
        <v>120</v>
      </c>
      <c r="K96" s="21">
        <v>110</v>
      </c>
      <c r="L96" s="21">
        <v>100</v>
      </c>
      <c r="M96" s="21">
        <v>90</v>
      </c>
      <c r="N96" s="21">
        <v>80</v>
      </c>
      <c r="O96" s="21">
        <v>70</v>
      </c>
      <c r="P96" s="21">
        <v>60</v>
      </c>
      <c r="Q96" s="21">
        <v>50</v>
      </c>
    </row>
    <row r="97" spans="1:18" x14ac:dyDescent="0.25">
      <c r="A97" s="21">
        <v>91</v>
      </c>
      <c r="B97" s="21">
        <v>1820</v>
      </c>
      <c r="C97" s="21">
        <v>230</v>
      </c>
      <c r="D97" s="21">
        <v>200</v>
      </c>
      <c r="E97" s="21">
        <v>180</v>
      </c>
      <c r="F97" s="21">
        <v>160</v>
      </c>
      <c r="G97" s="21">
        <v>140</v>
      </c>
      <c r="H97" s="21">
        <v>130</v>
      </c>
      <c r="I97" s="21">
        <v>120</v>
      </c>
      <c r="J97" s="21">
        <v>110</v>
      </c>
      <c r="K97" s="21">
        <v>100</v>
      </c>
      <c r="L97" s="21">
        <v>90</v>
      </c>
      <c r="M97" s="21">
        <v>80</v>
      </c>
      <c r="N97" s="21">
        <v>70</v>
      </c>
      <c r="O97" s="21">
        <v>60</v>
      </c>
      <c r="P97" s="21">
        <v>50</v>
      </c>
      <c r="Q97" s="21">
        <v>50</v>
      </c>
      <c r="R97" s="21">
        <v>50</v>
      </c>
    </row>
    <row r="98" spans="1:18" x14ac:dyDescent="0.25">
      <c r="A98" s="21">
        <v>92</v>
      </c>
      <c r="B98" s="21">
        <v>1840</v>
      </c>
      <c r="C98" s="21">
        <v>240</v>
      </c>
      <c r="D98" s="21">
        <v>210</v>
      </c>
      <c r="E98" s="21">
        <v>180</v>
      </c>
      <c r="F98" s="21">
        <v>160</v>
      </c>
      <c r="G98" s="21">
        <v>140</v>
      </c>
      <c r="H98" s="21">
        <v>130</v>
      </c>
      <c r="I98" s="21">
        <v>120</v>
      </c>
      <c r="J98" s="21">
        <v>110</v>
      </c>
      <c r="K98" s="21">
        <v>100</v>
      </c>
      <c r="L98" s="21">
        <v>90</v>
      </c>
      <c r="M98" s="21">
        <v>80</v>
      </c>
      <c r="N98" s="21">
        <v>70</v>
      </c>
      <c r="O98" s="21">
        <v>60</v>
      </c>
      <c r="P98" s="21">
        <v>50</v>
      </c>
      <c r="Q98" s="21">
        <v>50</v>
      </c>
      <c r="R98" s="21">
        <v>50</v>
      </c>
    </row>
    <row r="99" spans="1:18" x14ac:dyDescent="0.25">
      <c r="A99" s="21">
        <v>93</v>
      </c>
      <c r="B99" s="21">
        <v>1860</v>
      </c>
      <c r="C99" s="21">
        <v>200</v>
      </c>
      <c r="D99" s="21">
        <v>180</v>
      </c>
      <c r="E99" s="21">
        <v>170</v>
      </c>
      <c r="F99" s="21">
        <v>160</v>
      </c>
      <c r="G99" s="21">
        <v>150</v>
      </c>
      <c r="H99" s="21">
        <v>140</v>
      </c>
      <c r="I99" s="21">
        <v>130</v>
      </c>
      <c r="J99" s="21">
        <v>120</v>
      </c>
      <c r="K99" s="21">
        <v>110</v>
      </c>
      <c r="L99" s="21">
        <v>100</v>
      </c>
      <c r="M99" s="21">
        <v>90</v>
      </c>
      <c r="N99" s="21">
        <v>80</v>
      </c>
      <c r="O99" s="21">
        <v>70</v>
      </c>
      <c r="P99" s="21">
        <v>60</v>
      </c>
      <c r="Q99" s="21">
        <v>50</v>
      </c>
      <c r="R99" s="21">
        <v>50</v>
      </c>
    </row>
    <row r="100" spans="1:18" x14ac:dyDescent="0.25">
      <c r="A100" s="21">
        <v>94</v>
      </c>
      <c r="B100" s="21">
        <v>1880</v>
      </c>
      <c r="C100" s="21">
        <v>210</v>
      </c>
      <c r="D100" s="21">
        <v>190</v>
      </c>
      <c r="E100" s="21">
        <v>170</v>
      </c>
      <c r="F100" s="21">
        <v>160</v>
      </c>
      <c r="G100" s="21">
        <v>150</v>
      </c>
      <c r="H100" s="21">
        <v>140</v>
      </c>
      <c r="I100" s="21">
        <v>130</v>
      </c>
      <c r="J100" s="21">
        <v>120</v>
      </c>
      <c r="K100" s="21">
        <v>110</v>
      </c>
      <c r="L100" s="21">
        <v>100</v>
      </c>
      <c r="M100" s="21">
        <v>90</v>
      </c>
      <c r="N100" s="21">
        <v>80</v>
      </c>
      <c r="O100" s="21">
        <v>70</v>
      </c>
      <c r="P100" s="21">
        <v>60</v>
      </c>
      <c r="Q100" s="21">
        <v>50</v>
      </c>
      <c r="R100" s="21">
        <v>50</v>
      </c>
    </row>
    <row r="101" spans="1:18" x14ac:dyDescent="0.25">
      <c r="A101" s="21">
        <v>95</v>
      </c>
      <c r="B101" s="21">
        <v>1900</v>
      </c>
      <c r="C101" s="21">
        <v>230</v>
      </c>
      <c r="D101" s="21">
        <v>190</v>
      </c>
      <c r="E101" s="21">
        <v>170</v>
      </c>
      <c r="F101" s="21">
        <v>160</v>
      </c>
      <c r="G101" s="21">
        <v>150</v>
      </c>
      <c r="H101" s="21">
        <v>140</v>
      </c>
      <c r="I101" s="21">
        <v>130</v>
      </c>
      <c r="J101" s="21">
        <v>120</v>
      </c>
      <c r="K101" s="21">
        <v>110</v>
      </c>
      <c r="L101" s="21">
        <v>100</v>
      </c>
      <c r="M101" s="21">
        <v>90</v>
      </c>
      <c r="N101" s="21">
        <v>80</v>
      </c>
      <c r="O101" s="21">
        <v>70</v>
      </c>
      <c r="P101" s="21">
        <v>60</v>
      </c>
      <c r="Q101" s="21">
        <v>50</v>
      </c>
      <c r="R101" s="21">
        <v>50</v>
      </c>
    </row>
    <row r="102" spans="1:18" x14ac:dyDescent="0.25">
      <c r="A102" s="21">
        <v>96</v>
      </c>
      <c r="B102" s="21">
        <v>1920</v>
      </c>
      <c r="C102" s="21">
        <v>230</v>
      </c>
      <c r="D102" s="21">
        <v>200</v>
      </c>
      <c r="E102" s="21">
        <v>170</v>
      </c>
      <c r="F102" s="21">
        <v>160</v>
      </c>
      <c r="G102" s="21">
        <v>150</v>
      </c>
      <c r="H102" s="21">
        <v>140</v>
      </c>
      <c r="I102" s="21">
        <v>130</v>
      </c>
      <c r="J102" s="21">
        <v>120</v>
      </c>
      <c r="K102" s="21">
        <v>110</v>
      </c>
      <c r="L102" s="21">
        <v>100</v>
      </c>
      <c r="M102" s="21">
        <v>90</v>
      </c>
      <c r="N102" s="21">
        <v>80</v>
      </c>
      <c r="O102" s="21">
        <v>70</v>
      </c>
      <c r="P102" s="21">
        <v>60</v>
      </c>
      <c r="Q102" s="21">
        <v>60</v>
      </c>
      <c r="R102" s="21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Grad20_Click">
              <controlPr defaultSize="0" print="0" autoFill="0" autoPict="0" macro="[0]!Grad20_Click">
                <anchor moveWithCells="1" sizeWithCells="1">
                  <from>
                    <xdr:col>6</xdr:col>
                    <xdr:colOff>28575</xdr:colOff>
                    <xdr:row>0</xdr:row>
                    <xdr:rowOff>180975</xdr:rowOff>
                  </from>
                  <to>
                    <xdr:col>8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lear20Results">
              <controlPr defaultSize="0" print="0" autoFill="0" autoPict="0" macro="[0]!Clear20_Click">
                <anchor moveWithCells="1" sizeWithCells="1">
                  <from>
                    <xdr:col>3</xdr:col>
                    <xdr:colOff>19050</xdr:colOff>
                    <xdr:row>1</xdr:row>
                    <xdr:rowOff>9525</xdr:rowOff>
                  </from>
                  <to>
                    <xdr:col>5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C8CB3-080A-43E6-A9B1-9F07B425DCA3}">
  <sheetPr codeName="Sheet7"/>
  <dimension ref="A4:R6"/>
  <sheetViews>
    <sheetView workbookViewId="0">
      <selection activeCell="B3" sqref="B3"/>
    </sheetView>
  </sheetViews>
  <sheetFormatPr defaultRowHeight="15" x14ac:dyDescent="0.25"/>
  <cols>
    <col min="1" max="16384" width="9.140625" style="21"/>
  </cols>
  <sheetData>
    <row r="4" spans="1:18" x14ac:dyDescent="0.25">
      <c r="A4" s="21" t="s">
        <v>107</v>
      </c>
      <c r="B4" s="37"/>
    </row>
    <row r="5" spans="1:18" x14ac:dyDescent="0.25">
      <c r="C5" s="21" t="s">
        <v>80</v>
      </c>
    </row>
    <row r="6" spans="1:18" x14ac:dyDescent="0.25">
      <c r="A6" s="21" t="s">
        <v>89</v>
      </c>
      <c r="B6" s="21" t="s">
        <v>81</v>
      </c>
      <c r="C6" s="21">
        <v>1</v>
      </c>
      <c r="D6" s="21">
        <v>2</v>
      </c>
      <c r="E6" s="21">
        <v>3</v>
      </c>
      <c r="F6" s="21">
        <v>4</v>
      </c>
      <c r="G6" s="21">
        <v>5</v>
      </c>
      <c r="H6" s="21">
        <v>6</v>
      </c>
      <c r="I6" s="21">
        <v>7</v>
      </c>
      <c r="J6" s="21">
        <v>8</v>
      </c>
      <c r="K6" s="21">
        <v>9</v>
      </c>
      <c r="L6" s="21">
        <v>10</v>
      </c>
      <c r="M6" s="21">
        <v>11</v>
      </c>
      <c r="N6" s="21">
        <v>12</v>
      </c>
      <c r="O6" s="21">
        <v>13</v>
      </c>
      <c r="P6" s="21">
        <v>14</v>
      </c>
      <c r="Q6" s="21">
        <v>15</v>
      </c>
      <c r="R6" s="21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Grad50_Click">
              <controlPr defaultSize="0" print="0" autoFill="0" autoPict="0" macro="[0]!Grad50_Click">
                <anchor moveWithCells="1" sizeWithCells="1">
                  <from>
                    <xdr:col>5</xdr:col>
                    <xdr:colOff>581025</xdr:colOff>
                    <xdr:row>0</xdr:row>
                    <xdr:rowOff>180975</xdr:rowOff>
                  </from>
                  <to>
                    <xdr:col>7</xdr:col>
                    <xdr:colOff>571500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lear50Results">
              <controlPr defaultSize="0" print="0" autoFill="0" autoPict="0" macro="[0]!Clear50_Click">
                <anchor moveWithCells="1" sizeWithCells="1">
                  <from>
                    <xdr:col>3</xdr:col>
                    <xdr:colOff>19050</xdr:colOff>
                    <xdr:row>1</xdr:row>
                    <xdr:rowOff>19050</xdr:rowOff>
                  </from>
                  <to>
                    <xdr:col>5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98"/>
  <sheetViews>
    <sheetView topLeftCell="A25" workbookViewId="0">
      <selection activeCell="C3" sqref="C3"/>
    </sheetView>
  </sheetViews>
  <sheetFormatPr defaultRowHeight="15" x14ac:dyDescent="0.25"/>
  <cols>
    <col min="1" max="1" width="10" bestFit="1" customWidth="1"/>
  </cols>
  <sheetData>
    <row r="1" spans="1:19" ht="21" x14ac:dyDescent="0.35">
      <c r="A1" s="38">
        <v>10</v>
      </c>
      <c r="B1" s="29" t="s">
        <v>86</v>
      </c>
      <c r="C1" s="21"/>
      <c r="D1" s="30"/>
      <c r="E1" s="30"/>
      <c r="F1" s="30"/>
      <c r="G1" s="31" t="s">
        <v>87</v>
      </c>
      <c r="H1" s="30"/>
      <c r="I1" s="30"/>
      <c r="J1" s="31" t="s">
        <v>88</v>
      </c>
      <c r="K1" s="30"/>
      <c r="L1" s="30"/>
      <c r="M1" s="30"/>
      <c r="N1" s="30"/>
      <c r="O1" s="30"/>
      <c r="P1" s="30"/>
      <c r="Q1" s="30"/>
      <c r="R1" s="30"/>
      <c r="S1" s="30"/>
    </row>
    <row r="2" spans="1:19" ht="21" x14ac:dyDescent="0.35">
      <c r="A2" s="32" t="s">
        <v>89</v>
      </c>
      <c r="B2" s="32" t="s">
        <v>81</v>
      </c>
      <c r="C2" s="32" t="s">
        <v>90</v>
      </c>
      <c r="D2" s="32" t="s">
        <v>91</v>
      </c>
      <c r="E2" s="32" t="s">
        <v>92</v>
      </c>
      <c r="F2" s="32" t="s">
        <v>93</v>
      </c>
      <c r="G2" s="32" t="s">
        <v>94</v>
      </c>
      <c r="H2" s="32" t="s">
        <v>95</v>
      </c>
      <c r="I2" s="32" t="s">
        <v>96</v>
      </c>
      <c r="J2" s="32" t="s">
        <v>97</v>
      </c>
      <c r="K2" s="33" t="s">
        <v>98</v>
      </c>
      <c r="L2" s="32" t="s">
        <v>99</v>
      </c>
      <c r="M2" s="32" t="s">
        <v>100</v>
      </c>
      <c r="N2" s="32" t="s">
        <v>101</v>
      </c>
      <c r="O2" s="32" t="s">
        <v>102</v>
      </c>
      <c r="P2" s="32" t="s">
        <v>103</v>
      </c>
      <c r="Q2" s="32" t="s">
        <v>104</v>
      </c>
      <c r="R2" s="32" t="s">
        <v>105</v>
      </c>
      <c r="S2" s="32" t="s">
        <v>106</v>
      </c>
    </row>
    <row r="3" spans="1:19" ht="21" x14ac:dyDescent="0.35">
      <c r="A3" s="32">
        <v>1</v>
      </c>
      <c r="B3" s="32">
        <f t="shared" ref="B3:B34" si="0">A3*FGradPool10Fee</f>
        <v>10</v>
      </c>
      <c r="C3" s="32">
        <f>B3</f>
        <v>10</v>
      </c>
      <c r="D3" s="32"/>
      <c r="E3" s="32"/>
      <c r="F3" s="32"/>
      <c r="G3" s="32"/>
      <c r="H3" s="32"/>
      <c r="I3" s="32"/>
      <c r="J3" s="32"/>
      <c r="K3" s="33"/>
      <c r="L3" s="32"/>
      <c r="M3" s="32"/>
      <c r="N3" s="32"/>
      <c r="O3" s="32"/>
      <c r="P3" s="32"/>
      <c r="Q3" s="32"/>
      <c r="R3" s="32"/>
      <c r="S3" s="32">
        <f t="shared" ref="S3:S66" si="1">SUM(C3:R3)</f>
        <v>10</v>
      </c>
    </row>
    <row r="4" spans="1:19" ht="21" x14ac:dyDescent="0.35">
      <c r="A4" s="32">
        <v>2</v>
      </c>
      <c r="B4" s="32">
        <f t="shared" si="0"/>
        <v>20</v>
      </c>
      <c r="C4" s="32">
        <f t="shared" ref="C4:C8" si="2">B4</f>
        <v>20</v>
      </c>
      <c r="D4" s="32"/>
      <c r="E4" s="32"/>
      <c r="F4" s="32"/>
      <c r="G4" s="32"/>
      <c r="H4" s="32"/>
      <c r="I4" s="32"/>
      <c r="J4" s="32"/>
      <c r="K4" s="33"/>
      <c r="L4" s="32"/>
      <c r="M4" s="32"/>
      <c r="N4" s="32"/>
      <c r="O4" s="32"/>
      <c r="P4" s="32"/>
      <c r="Q4" s="32"/>
      <c r="R4" s="32"/>
      <c r="S4" s="32">
        <f t="shared" si="1"/>
        <v>20</v>
      </c>
    </row>
    <row r="5" spans="1:19" ht="21" x14ac:dyDescent="0.35">
      <c r="A5" s="32">
        <v>3</v>
      </c>
      <c r="B5" s="32">
        <f t="shared" si="0"/>
        <v>30</v>
      </c>
      <c r="C5" s="32">
        <f t="shared" si="2"/>
        <v>30</v>
      </c>
      <c r="D5" s="32"/>
      <c r="E5" s="32"/>
      <c r="F5" s="32"/>
      <c r="G5" s="32"/>
      <c r="H5" s="32"/>
      <c r="I5" s="32"/>
      <c r="J5" s="32"/>
      <c r="K5" s="33"/>
      <c r="L5" s="32"/>
      <c r="M5" s="32"/>
      <c r="N5" s="32"/>
      <c r="O5" s="32"/>
      <c r="P5" s="32"/>
      <c r="Q5" s="32"/>
      <c r="R5" s="32"/>
      <c r="S5" s="32">
        <f t="shared" si="1"/>
        <v>30</v>
      </c>
    </row>
    <row r="6" spans="1:19" ht="21" x14ac:dyDescent="0.35">
      <c r="A6" s="32">
        <v>4</v>
      </c>
      <c r="B6" s="32">
        <f t="shared" si="0"/>
        <v>40</v>
      </c>
      <c r="C6" s="32">
        <f t="shared" si="2"/>
        <v>40</v>
      </c>
      <c r="D6" s="32"/>
      <c r="E6" s="32"/>
      <c r="F6" s="32"/>
      <c r="G6" s="32"/>
      <c r="H6" s="32"/>
      <c r="I6" s="32"/>
      <c r="J6" s="32"/>
      <c r="K6" s="33"/>
      <c r="L6" s="32"/>
      <c r="M6" s="32"/>
      <c r="N6" s="32"/>
      <c r="O6" s="32"/>
      <c r="P6" s="32"/>
      <c r="Q6" s="32"/>
      <c r="R6" s="32"/>
      <c r="S6" s="32">
        <f t="shared" si="1"/>
        <v>40</v>
      </c>
    </row>
    <row r="7" spans="1:19" ht="21" x14ac:dyDescent="0.35">
      <c r="A7" s="32">
        <v>5</v>
      </c>
      <c r="B7" s="32">
        <f t="shared" si="0"/>
        <v>50</v>
      </c>
      <c r="C7" s="32">
        <f t="shared" si="2"/>
        <v>50</v>
      </c>
      <c r="D7" s="32"/>
      <c r="E7" s="32"/>
      <c r="F7" s="32"/>
      <c r="G7" s="32"/>
      <c r="H7" s="32"/>
      <c r="I7" s="32"/>
      <c r="J7" s="32"/>
      <c r="K7" s="33"/>
      <c r="L7" s="32"/>
      <c r="M7" s="32"/>
      <c r="N7" s="32"/>
      <c r="O7" s="32"/>
      <c r="P7" s="32"/>
      <c r="Q7" s="32"/>
      <c r="R7" s="32"/>
      <c r="S7" s="32">
        <f t="shared" si="1"/>
        <v>50</v>
      </c>
    </row>
    <row r="8" spans="1:19" ht="21" x14ac:dyDescent="0.35">
      <c r="A8" s="32">
        <v>6</v>
      </c>
      <c r="B8" s="32">
        <f t="shared" si="0"/>
        <v>60</v>
      </c>
      <c r="C8" s="32">
        <f t="shared" si="2"/>
        <v>60</v>
      </c>
      <c r="D8" s="32"/>
      <c r="E8" s="32"/>
      <c r="F8" s="32"/>
      <c r="G8" s="32"/>
      <c r="H8" s="32"/>
      <c r="I8" s="32"/>
      <c r="J8" s="32"/>
      <c r="K8" s="33"/>
      <c r="L8" s="32"/>
      <c r="M8" s="32"/>
      <c r="N8" s="32"/>
      <c r="O8" s="32"/>
      <c r="P8" s="32"/>
      <c r="Q8" s="32"/>
      <c r="R8" s="32"/>
      <c r="S8" s="32">
        <f t="shared" si="1"/>
        <v>60</v>
      </c>
    </row>
    <row r="9" spans="1:19" ht="21" x14ac:dyDescent="0.35">
      <c r="A9" s="32">
        <v>7</v>
      </c>
      <c r="B9" s="32">
        <f t="shared" si="0"/>
        <v>70</v>
      </c>
      <c r="C9" s="32">
        <v>45</v>
      </c>
      <c r="D9" s="32">
        <v>25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>
        <f t="shared" si="1"/>
        <v>70</v>
      </c>
    </row>
    <row r="10" spans="1:19" ht="21" x14ac:dyDescent="0.35">
      <c r="A10" s="32">
        <v>8</v>
      </c>
      <c r="B10" s="32">
        <f t="shared" si="0"/>
        <v>80</v>
      </c>
      <c r="C10" s="32">
        <v>55</v>
      </c>
      <c r="D10" s="32">
        <v>25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>
        <f t="shared" si="1"/>
        <v>80</v>
      </c>
    </row>
    <row r="11" spans="1:19" ht="21" x14ac:dyDescent="0.35">
      <c r="A11" s="32">
        <v>9</v>
      </c>
      <c r="B11" s="32">
        <f t="shared" si="0"/>
        <v>90</v>
      </c>
      <c r="C11" s="32">
        <v>60</v>
      </c>
      <c r="D11" s="32">
        <v>30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>
        <f t="shared" si="1"/>
        <v>90</v>
      </c>
    </row>
    <row r="12" spans="1:19" ht="21" x14ac:dyDescent="0.35">
      <c r="A12" s="32">
        <v>10</v>
      </c>
      <c r="B12" s="32">
        <f t="shared" si="0"/>
        <v>100</v>
      </c>
      <c r="C12" s="32">
        <v>70</v>
      </c>
      <c r="D12" s="32">
        <v>30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>
        <f t="shared" si="1"/>
        <v>100</v>
      </c>
    </row>
    <row r="13" spans="1:19" ht="21" x14ac:dyDescent="0.35">
      <c r="A13" s="32">
        <v>11</v>
      </c>
      <c r="B13" s="32">
        <f t="shared" si="0"/>
        <v>110</v>
      </c>
      <c r="C13" s="32">
        <v>75</v>
      </c>
      <c r="D13" s="32">
        <v>35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>
        <f t="shared" si="1"/>
        <v>110</v>
      </c>
    </row>
    <row r="14" spans="1:19" ht="21" x14ac:dyDescent="0.35">
      <c r="A14" s="32">
        <v>12</v>
      </c>
      <c r="B14" s="32">
        <f t="shared" si="0"/>
        <v>120</v>
      </c>
      <c r="C14" s="32">
        <v>80</v>
      </c>
      <c r="D14" s="32">
        <v>40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>
        <f t="shared" si="1"/>
        <v>120</v>
      </c>
    </row>
    <row r="15" spans="1:19" ht="21" x14ac:dyDescent="0.35">
      <c r="A15" s="32">
        <v>13</v>
      </c>
      <c r="B15" s="32">
        <f t="shared" si="0"/>
        <v>130</v>
      </c>
      <c r="C15" s="32">
        <v>65</v>
      </c>
      <c r="D15" s="32">
        <v>40</v>
      </c>
      <c r="E15" s="32">
        <v>25</v>
      </c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>
        <f t="shared" si="1"/>
        <v>130</v>
      </c>
    </row>
    <row r="16" spans="1:19" ht="21" x14ac:dyDescent="0.35">
      <c r="A16" s="32">
        <v>14</v>
      </c>
      <c r="B16" s="32">
        <f t="shared" si="0"/>
        <v>140</v>
      </c>
      <c r="C16" s="32">
        <v>70</v>
      </c>
      <c r="D16" s="32">
        <v>45</v>
      </c>
      <c r="E16" s="32">
        <v>25</v>
      </c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>
        <f t="shared" si="1"/>
        <v>140</v>
      </c>
    </row>
    <row r="17" spans="1:19" ht="21" x14ac:dyDescent="0.35">
      <c r="A17" s="32">
        <v>15</v>
      </c>
      <c r="B17" s="32">
        <f t="shared" si="0"/>
        <v>150</v>
      </c>
      <c r="C17" s="32">
        <v>75</v>
      </c>
      <c r="D17" s="32">
        <v>50</v>
      </c>
      <c r="E17" s="32">
        <v>25</v>
      </c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>
        <f t="shared" si="1"/>
        <v>150</v>
      </c>
    </row>
    <row r="18" spans="1:19" ht="21" x14ac:dyDescent="0.35">
      <c r="A18" s="32">
        <v>16</v>
      </c>
      <c r="B18" s="32">
        <f t="shared" si="0"/>
        <v>160</v>
      </c>
      <c r="C18" s="32">
        <v>85</v>
      </c>
      <c r="D18" s="32">
        <v>50</v>
      </c>
      <c r="E18" s="32">
        <v>25</v>
      </c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>
        <f t="shared" si="1"/>
        <v>160</v>
      </c>
    </row>
    <row r="19" spans="1:19" ht="21" x14ac:dyDescent="0.35">
      <c r="A19" s="32">
        <v>17</v>
      </c>
      <c r="B19" s="32">
        <f t="shared" si="0"/>
        <v>170</v>
      </c>
      <c r="C19" s="32">
        <v>90</v>
      </c>
      <c r="D19" s="32">
        <v>55</v>
      </c>
      <c r="E19" s="32">
        <v>25</v>
      </c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>
        <f t="shared" si="1"/>
        <v>170</v>
      </c>
    </row>
    <row r="20" spans="1:19" ht="21" x14ac:dyDescent="0.35">
      <c r="A20" s="32">
        <v>18</v>
      </c>
      <c r="B20" s="32">
        <f t="shared" si="0"/>
        <v>180</v>
      </c>
      <c r="C20" s="32">
        <v>90</v>
      </c>
      <c r="D20" s="32">
        <v>60</v>
      </c>
      <c r="E20" s="32">
        <v>30</v>
      </c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>
        <f t="shared" si="1"/>
        <v>180</v>
      </c>
    </row>
    <row r="21" spans="1:19" ht="21" x14ac:dyDescent="0.35">
      <c r="A21" s="32">
        <v>19</v>
      </c>
      <c r="B21" s="32">
        <f t="shared" si="0"/>
        <v>190</v>
      </c>
      <c r="C21" s="32">
        <v>75</v>
      </c>
      <c r="D21" s="32">
        <v>55</v>
      </c>
      <c r="E21" s="32">
        <v>35</v>
      </c>
      <c r="F21" s="32">
        <v>25</v>
      </c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>
        <f t="shared" si="1"/>
        <v>190</v>
      </c>
    </row>
    <row r="22" spans="1:19" ht="21" x14ac:dyDescent="0.35">
      <c r="A22" s="32">
        <v>20</v>
      </c>
      <c r="B22" s="32">
        <f t="shared" si="0"/>
        <v>200</v>
      </c>
      <c r="C22" s="32">
        <v>85</v>
      </c>
      <c r="D22" s="32">
        <v>55</v>
      </c>
      <c r="E22" s="32">
        <v>35</v>
      </c>
      <c r="F22" s="32">
        <v>25</v>
      </c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>
        <f t="shared" si="1"/>
        <v>200</v>
      </c>
    </row>
    <row r="23" spans="1:19" ht="21" x14ac:dyDescent="0.35">
      <c r="A23" s="32">
        <v>21</v>
      </c>
      <c r="B23" s="32">
        <f t="shared" si="0"/>
        <v>210</v>
      </c>
      <c r="C23" s="32">
        <v>85</v>
      </c>
      <c r="D23" s="32">
        <v>60</v>
      </c>
      <c r="E23" s="32">
        <v>40</v>
      </c>
      <c r="F23" s="32">
        <v>25</v>
      </c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>
        <f t="shared" si="1"/>
        <v>210</v>
      </c>
    </row>
    <row r="24" spans="1:19" ht="21" x14ac:dyDescent="0.35">
      <c r="A24" s="32">
        <v>22</v>
      </c>
      <c r="B24" s="32">
        <f t="shared" si="0"/>
        <v>220</v>
      </c>
      <c r="C24" s="32">
        <v>90</v>
      </c>
      <c r="D24" s="32">
        <v>65</v>
      </c>
      <c r="E24" s="32">
        <v>40</v>
      </c>
      <c r="F24" s="32">
        <v>25</v>
      </c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>
        <f t="shared" si="1"/>
        <v>220</v>
      </c>
    </row>
    <row r="25" spans="1:19" ht="21" x14ac:dyDescent="0.35">
      <c r="A25" s="32">
        <v>23</v>
      </c>
      <c r="B25" s="32">
        <f t="shared" si="0"/>
        <v>230</v>
      </c>
      <c r="C25" s="32">
        <v>95</v>
      </c>
      <c r="D25" s="32">
        <v>65</v>
      </c>
      <c r="E25" s="32">
        <v>45</v>
      </c>
      <c r="F25" s="32">
        <v>25</v>
      </c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>
        <f t="shared" si="1"/>
        <v>230</v>
      </c>
    </row>
    <row r="26" spans="1:19" ht="21" x14ac:dyDescent="0.35">
      <c r="A26" s="32">
        <v>24</v>
      </c>
      <c r="B26" s="32">
        <f t="shared" si="0"/>
        <v>240</v>
      </c>
      <c r="C26" s="32">
        <v>100</v>
      </c>
      <c r="D26" s="32">
        <v>70</v>
      </c>
      <c r="E26" s="32">
        <v>45</v>
      </c>
      <c r="F26" s="32">
        <v>25</v>
      </c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>
        <f t="shared" si="1"/>
        <v>240</v>
      </c>
    </row>
    <row r="27" spans="1:19" ht="21" x14ac:dyDescent="0.35">
      <c r="A27" s="32">
        <v>25</v>
      </c>
      <c r="B27" s="32">
        <f t="shared" si="0"/>
        <v>250</v>
      </c>
      <c r="C27" s="32">
        <v>85</v>
      </c>
      <c r="D27" s="32">
        <v>60</v>
      </c>
      <c r="E27" s="32">
        <v>45</v>
      </c>
      <c r="F27" s="32">
        <v>35</v>
      </c>
      <c r="G27" s="32">
        <v>25</v>
      </c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>
        <f t="shared" si="1"/>
        <v>250</v>
      </c>
    </row>
    <row r="28" spans="1:19" ht="21" x14ac:dyDescent="0.35">
      <c r="A28" s="32">
        <v>26</v>
      </c>
      <c r="B28" s="32">
        <f t="shared" si="0"/>
        <v>260</v>
      </c>
      <c r="C28" s="32">
        <v>85</v>
      </c>
      <c r="D28" s="32">
        <v>65</v>
      </c>
      <c r="E28" s="32">
        <v>50</v>
      </c>
      <c r="F28" s="32">
        <v>35</v>
      </c>
      <c r="G28" s="32">
        <v>25</v>
      </c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>
        <f t="shared" si="1"/>
        <v>260</v>
      </c>
    </row>
    <row r="29" spans="1:19" ht="21" x14ac:dyDescent="0.35">
      <c r="A29" s="32">
        <v>27</v>
      </c>
      <c r="B29" s="32">
        <f t="shared" si="0"/>
        <v>270</v>
      </c>
      <c r="C29" s="32">
        <v>90</v>
      </c>
      <c r="D29" s="32">
        <v>70</v>
      </c>
      <c r="E29" s="32">
        <v>50</v>
      </c>
      <c r="F29" s="32">
        <v>35</v>
      </c>
      <c r="G29" s="32">
        <v>25</v>
      </c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>
        <f t="shared" si="1"/>
        <v>270</v>
      </c>
    </row>
    <row r="30" spans="1:19" ht="21" x14ac:dyDescent="0.35">
      <c r="A30" s="32">
        <v>28</v>
      </c>
      <c r="B30" s="32">
        <f t="shared" si="0"/>
        <v>280</v>
      </c>
      <c r="C30" s="32">
        <v>100</v>
      </c>
      <c r="D30" s="32">
        <v>70</v>
      </c>
      <c r="E30" s="32">
        <v>50</v>
      </c>
      <c r="F30" s="32">
        <v>35</v>
      </c>
      <c r="G30" s="32">
        <v>25</v>
      </c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>
        <f t="shared" si="1"/>
        <v>280</v>
      </c>
    </row>
    <row r="31" spans="1:19" ht="21" x14ac:dyDescent="0.35">
      <c r="A31" s="32">
        <v>29</v>
      </c>
      <c r="B31" s="32">
        <f t="shared" si="0"/>
        <v>290</v>
      </c>
      <c r="C31" s="32">
        <v>95</v>
      </c>
      <c r="D31" s="32">
        <v>75</v>
      </c>
      <c r="E31" s="32">
        <v>55</v>
      </c>
      <c r="F31" s="32">
        <v>40</v>
      </c>
      <c r="G31" s="32">
        <v>25</v>
      </c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>
        <f t="shared" si="1"/>
        <v>290</v>
      </c>
    </row>
    <row r="32" spans="1:19" ht="21" x14ac:dyDescent="0.35">
      <c r="A32" s="32">
        <v>30</v>
      </c>
      <c r="B32" s="32">
        <f t="shared" si="0"/>
        <v>300</v>
      </c>
      <c r="C32" s="32">
        <v>100</v>
      </c>
      <c r="D32" s="32">
        <v>75</v>
      </c>
      <c r="E32" s="32">
        <v>55</v>
      </c>
      <c r="F32" s="32">
        <v>40</v>
      </c>
      <c r="G32" s="32">
        <v>30</v>
      </c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>
        <f t="shared" si="1"/>
        <v>300</v>
      </c>
    </row>
    <row r="33" spans="1:19" ht="21" x14ac:dyDescent="0.35">
      <c r="A33" s="32">
        <v>31</v>
      </c>
      <c r="B33" s="32">
        <f t="shared" si="0"/>
        <v>310</v>
      </c>
      <c r="C33" s="32">
        <v>85</v>
      </c>
      <c r="D33" s="32">
        <v>65</v>
      </c>
      <c r="E33" s="32">
        <v>55</v>
      </c>
      <c r="F33" s="32">
        <v>45</v>
      </c>
      <c r="G33" s="32">
        <v>35</v>
      </c>
      <c r="H33" s="32">
        <v>25</v>
      </c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>
        <f t="shared" si="1"/>
        <v>310</v>
      </c>
    </row>
    <row r="34" spans="1:19" ht="21" x14ac:dyDescent="0.35">
      <c r="A34" s="32">
        <v>32</v>
      </c>
      <c r="B34" s="32">
        <f t="shared" si="0"/>
        <v>320</v>
      </c>
      <c r="C34" s="32">
        <v>90</v>
      </c>
      <c r="D34" s="32">
        <v>70</v>
      </c>
      <c r="E34" s="32">
        <v>55</v>
      </c>
      <c r="F34" s="32">
        <v>45</v>
      </c>
      <c r="G34" s="32">
        <v>35</v>
      </c>
      <c r="H34" s="32">
        <v>25</v>
      </c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>
        <f t="shared" si="1"/>
        <v>320</v>
      </c>
    </row>
    <row r="35" spans="1:19" ht="21" x14ac:dyDescent="0.35">
      <c r="A35" s="32">
        <v>33</v>
      </c>
      <c r="B35" s="32">
        <f t="shared" ref="B35:B66" si="3">A35*FGradPool10Fee</f>
        <v>330</v>
      </c>
      <c r="C35" s="32">
        <v>90</v>
      </c>
      <c r="D35" s="32">
        <v>75</v>
      </c>
      <c r="E35" s="32">
        <v>60</v>
      </c>
      <c r="F35" s="32">
        <v>45</v>
      </c>
      <c r="G35" s="32">
        <v>35</v>
      </c>
      <c r="H35" s="32">
        <v>25</v>
      </c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>
        <f t="shared" si="1"/>
        <v>330</v>
      </c>
    </row>
    <row r="36" spans="1:19" ht="21" x14ac:dyDescent="0.35">
      <c r="A36" s="32">
        <v>34</v>
      </c>
      <c r="B36" s="32">
        <f t="shared" si="3"/>
        <v>340</v>
      </c>
      <c r="C36" s="32">
        <v>100</v>
      </c>
      <c r="D36" s="32">
        <v>75</v>
      </c>
      <c r="E36" s="32">
        <v>60</v>
      </c>
      <c r="F36" s="32">
        <v>45</v>
      </c>
      <c r="G36" s="32">
        <v>35</v>
      </c>
      <c r="H36" s="32">
        <v>25</v>
      </c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>
        <f t="shared" si="1"/>
        <v>340</v>
      </c>
    </row>
    <row r="37" spans="1:19" ht="21" x14ac:dyDescent="0.35">
      <c r="A37" s="32">
        <v>35</v>
      </c>
      <c r="B37" s="32">
        <f t="shared" si="3"/>
        <v>350</v>
      </c>
      <c r="C37" s="32">
        <v>100</v>
      </c>
      <c r="D37" s="32">
        <v>80</v>
      </c>
      <c r="E37" s="32">
        <v>60</v>
      </c>
      <c r="F37" s="32">
        <v>45</v>
      </c>
      <c r="G37" s="32">
        <v>35</v>
      </c>
      <c r="H37" s="32">
        <v>30</v>
      </c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>
        <f t="shared" si="1"/>
        <v>350</v>
      </c>
    </row>
    <row r="38" spans="1:19" ht="21" x14ac:dyDescent="0.35">
      <c r="A38" s="32">
        <v>36</v>
      </c>
      <c r="B38" s="32">
        <f t="shared" si="3"/>
        <v>360</v>
      </c>
      <c r="C38" s="32">
        <v>100</v>
      </c>
      <c r="D38" s="32">
        <v>80</v>
      </c>
      <c r="E38" s="32">
        <v>65</v>
      </c>
      <c r="F38" s="32">
        <v>50</v>
      </c>
      <c r="G38" s="32">
        <v>35</v>
      </c>
      <c r="H38" s="32">
        <v>30</v>
      </c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>
        <f t="shared" si="1"/>
        <v>360</v>
      </c>
    </row>
    <row r="39" spans="1:19" ht="21" x14ac:dyDescent="0.35">
      <c r="A39" s="32">
        <v>37</v>
      </c>
      <c r="B39" s="32">
        <f t="shared" si="3"/>
        <v>370</v>
      </c>
      <c r="C39" s="32">
        <v>90</v>
      </c>
      <c r="D39" s="32">
        <v>75</v>
      </c>
      <c r="E39" s="32">
        <v>60</v>
      </c>
      <c r="F39" s="32">
        <v>50</v>
      </c>
      <c r="G39" s="32">
        <v>40</v>
      </c>
      <c r="H39" s="32">
        <v>30</v>
      </c>
      <c r="I39" s="32">
        <v>25</v>
      </c>
      <c r="J39" s="32"/>
      <c r="K39" s="32"/>
      <c r="L39" s="32"/>
      <c r="M39" s="32"/>
      <c r="N39" s="32"/>
      <c r="O39" s="32"/>
      <c r="P39" s="32"/>
      <c r="Q39" s="32"/>
      <c r="R39" s="32"/>
      <c r="S39" s="32">
        <f t="shared" si="1"/>
        <v>370</v>
      </c>
    </row>
    <row r="40" spans="1:19" ht="21" x14ac:dyDescent="0.35">
      <c r="A40" s="32">
        <v>38</v>
      </c>
      <c r="B40" s="32">
        <f t="shared" si="3"/>
        <v>380</v>
      </c>
      <c r="C40" s="32">
        <v>100</v>
      </c>
      <c r="D40" s="32">
        <v>75</v>
      </c>
      <c r="E40" s="32">
        <v>60</v>
      </c>
      <c r="F40" s="32">
        <v>50</v>
      </c>
      <c r="G40" s="32">
        <v>40</v>
      </c>
      <c r="H40" s="32">
        <v>30</v>
      </c>
      <c r="I40" s="32">
        <v>25</v>
      </c>
      <c r="J40" s="32"/>
      <c r="K40" s="32"/>
      <c r="L40" s="32"/>
      <c r="M40" s="32"/>
      <c r="N40" s="32"/>
      <c r="O40" s="32"/>
      <c r="P40" s="32"/>
      <c r="Q40" s="32"/>
      <c r="R40" s="32"/>
      <c r="S40" s="32">
        <f t="shared" si="1"/>
        <v>380</v>
      </c>
    </row>
    <row r="41" spans="1:19" ht="21" x14ac:dyDescent="0.35">
      <c r="A41" s="32">
        <v>39</v>
      </c>
      <c r="B41" s="32">
        <f t="shared" si="3"/>
        <v>390</v>
      </c>
      <c r="C41" s="32">
        <v>100</v>
      </c>
      <c r="D41" s="32">
        <v>80</v>
      </c>
      <c r="E41" s="32">
        <v>65</v>
      </c>
      <c r="F41" s="32">
        <v>50</v>
      </c>
      <c r="G41" s="32">
        <v>40</v>
      </c>
      <c r="H41" s="32">
        <v>30</v>
      </c>
      <c r="I41" s="32">
        <v>25</v>
      </c>
      <c r="J41" s="32"/>
      <c r="K41" s="32"/>
      <c r="L41" s="32"/>
      <c r="M41" s="32"/>
      <c r="N41" s="32"/>
      <c r="O41" s="32"/>
      <c r="P41" s="32"/>
      <c r="Q41" s="32"/>
      <c r="R41" s="32"/>
      <c r="S41" s="32">
        <f t="shared" si="1"/>
        <v>390</v>
      </c>
    </row>
    <row r="42" spans="1:19" ht="21" x14ac:dyDescent="0.35">
      <c r="A42" s="32">
        <v>40</v>
      </c>
      <c r="B42" s="32">
        <f t="shared" si="3"/>
        <v>400</v>
      </c>
      <c r="C42" s="32">
        <v>95</v>
      </c>
      <c r="D42" s="32">
        <v>80</v>
      </c>
      <c r="E42" s="32">
        <v>65</v>
      </c>
      <c r="F42" s="32">
        <v>55</v>
      </c>
      <c r="G42" s="32">
        <v>45</v>
      </c>
      <c r="H42" s="32">
        <v>35</v>
      </c>
      <c r="I42" s="32">
        <v>25</v>
      </c>
      <c r="J42" s="32"/>
      <c r="K42" s="32"/>
      <c r="L42" s="32"/>
      <c r="M42" s="32"/>
      <c r="N42" s="32"/>
      <c r="O42" s="32"/>
      <c r="P42" s="32"/>
      <c r="Q42" s="32"/>
      <c r="R42" s="32"/>
      <c r="S42" s="32">
        <f t="shared" si="1"/>
        <v>400</v>
      </c>
    </row>
    <row r="43" spans="1:19" ht="21" x14ac:dyDescent="0.35">
      <c r="A43" s="32">
        <v>41</v>
      </c>
      <c r="B43" s="32">
        <f t="shared" si="3"/>
        <v>410</v>
      </c>
      <c r="C43" s="32">
        <v>100</v>
      </c>
      <c r="D43" s="32">
        <v>80</v>
      </c>
      <c r="E43" s="32">
        <v>65</v>
      </c>
      <c r="F43" s="32">
        <v>55</v>
      </c>
      <c r="G43" s="32">
        <v>45</v>
      </c>
      <c r="H43" s="32">
        <v>35</v>
      </c>
      <c r="I43" s="32">
        <v>30</v>
      </c>
      <c r="J43" s="32"/>
      <c r="K43" s="32"/>
      <c r="L43" s="32"/>
      <c r="M43" s="32"/>
      <c r="N43" s="32"/>
      <c r="O43" s="32"/>
      <c r="P43" s="32"/>
      <c r="Q43" s="32"/>
      <c r="R43" s="32"/>
      <c r="S43" s="32">
        <f t="shared" si="1"/>
        <v>410</v>
      </c>
    </row>
    <row r="44" spans="1:19" ht="21" x14ac:dyDescent="0.35">
      <c r="A44" s="32">
        <v>42</v>
      </c>
      <c r="B44" s="32">
        <f t="shared" si="3"/>
        <v>420</v>
      </c>
      <c r="C44" s="32">
        <v>100</v>
      </c>
      <c r="D44" s="32">
        <v>85</v>
      </c>
      <c r="E44" s="32">
        <v>70</v>
      </c>
      <c r="F44" s="32">
        <v>55</v>
      </c>
      <c r="G44" s="32">
        <v>45</v>
      </c>
      <c r="H44" s="32">
        <v>35</v>
      </c>
      <c r="I44" s="32">
        <v>30</v>
      </c>
      <c r="J44" s="32"/>
      <c r="K44" s="32"/>
      <c r="L44" s="32"/>
      <c r="M44" s="32"/>
      <c r="N44" s="32"/>
      <c r="O44" s="32"/>
      <c r="P44" s="32"/>
      <c r="Q44" s="32"/>
      <c r="R44" s="32"/>
      <c r="S44" s="32">
        <f t="shared" si="1"/>
        <v>420</v>
      </c>
    </row>
    <row r="45" spans="1:19" ht="21" x14ac:dyDescent="0.35">
      <c r="A45" s="32">
        <v>43</v>
      </c>
      <c r="B45" s="32">
        <f t="shared" si="3"/>
        <v>430</v>
      </c>
      <c r="C45" s="32">
        <v>95</v>
      </c>
      <c r="D45" s="32">
        <v>80</v>
      </c>
      <c r="E45" s="32">
        <v>65</v>
      </c>
      <c r="F45" s="32">
        <v>55</v>
      </c>
      <c r="G45" s="32">
        <v>45</v>
      </c>
      <c r="H45" s="32">
        <v>35</v>
      </c>
      <c r="I45" s="32">
        <v>30</v>
      </c>
      <c r="J45" s="32">
        <v>25</v>
      </c>
      <c r="K45" s="32"/>
      <c r="L45" s="32"/>
      <c r="M45" s="32"/>
      <c r="N45" s="32"/>
      <c r="O45" s="32"/>
      <c r="P45" s="32"/>
      <c r="Q45" s="32"/>
      <c r="R45" s="32"/>
      <c r="S45" s="32">
        <f t="shared" si="1"/>
        <v>430</v>
      </c>
    </row>
    <row r="46" spans="1:19" ht="21" x14ac:dyDescent="0.35">
      <c r="A46" s="32">
        <v>44</v>
      </c>
      <c r="B46" s="32">
        <f t="shared" si="3"/>
        <v>440</v>
      </c>
      <c r="C46" s="32">
        <v>100</v>
      </c>
      <c r="D46" s="32">
        <v>85</v>
      </c>
      <c r="E46" s="32">
        <v>70</v>
      </c>
      <c r="F46" s="32">
        <v>55</v>
      </c>
      <c r="G46" s="32">
        <v>40</v>
      </c>
      <c r="H46" s="32">
        <v>35</v>
      </c>
      <c r="I46" s="32">
        <v>30</v>
      </c>
      <c r="J46" s="32">
        <v>25</v>
      </c>
      <c r="K46" s="32"/>
      <c r="L46" s="32"/>
      <c r="M46" s="32"/>
      <c r="N46" s="32"/>
      <c r="O46" s="32"/>
      <c r="P46" s="32"/>
      <c r="Q46" s="32"/>
      <c r="R46" s="32"/>
      <c r="S46" s="32">
        <f t="shared" si="1"/>
        <v>440</v>
      </c>
    </row>
    <row r="47" spans="1:19" ht="21" x14ac:dyDescent="0.35">
      <c r="A47" s="32">
        <v>45</v>
      </c>
      <c r="B47" s="32">
        <f t="shared" si="3"/>
        <v>450</v>
      </c>
      <c r="C47" s="32">
        <v>95</v>
      </c>
      <c r="D47" s="32">
        <v>80</v>
      </c>
      <c r="E47" s="32">
        <v>70</v>
      </c>
      <c r="F47" s="32">
        <v>60</v>
      </c>
      <c r="G47" s="32">
        <v>50</v>
      </c>
      <c r="H47" s="32">
        <v>40</v>
      </c>
      <c r="I47" s="32">
        <v>30</v>
      </c>
      <c r="J47" s="32">
        <v>25</v>
      </c>
      <c r="K47" s="32"/>
      <c r="L47" s="32"/>
      <c r="M47" s="32"/>
      <c r="N47" s="32"/>
      <c r="O47" s="32"/>
      <c r="P47" s="32"/>
      <c r="Q47" s="32"/>
      <c r="R47" s="32"/>
      <c r="S47" s="32">
        <f t="shared" si="1"/>
        <v>450</v>
      </c>
    </row>
    <row r="48" spans="1:19" ht="21" x14ac:dyDescent="0.35">
      <c r="A48" s="32">
        <v>46</v>
      </c>
      <c r="B48" s="32">
        <f t="shared" si="3"/>
        <v>460</v>
      </c>
      <c r="C48" s="32">
        <v>100</v>
      </c>
      <c r="D48" s="32">
        <v>85</v>
      </c>
      <c r="E48" s="32">
        <v>70</v>
      </c>
      <c r="F48" s="32">
        <v>60</v>
      </c>
      <c r="G48" s="32">
        <v>50</v>
      </c>
      <c r="H48" s="32">
        <v>40</v>
      </c>
      <c r="I48" s="32">
        <v>30</v>
      </c>
      <c r="J48" s="32">
        <v>25</v>
      </c>
      <c r="K48" s="32"/>
      <c r="L48" s="32"/>
      <c r="M48" s="32"/>
      <c r="N48" s="32"/>
      <c r="O48" s="32"/>
      <c r="P48" s="32"/>
      <c r="Q48" s="32"/>
      <c r="R48" s="32"/>
      <c r="S48" s="32">
        <f t="shared" si="1"/>
        <v>460</v>
      </c>
    </row>
    <row r="49" spans="1:19" ht="21" x14ac:dyDescent="0.35">
      <c r="A49" s="32">
        <v>47</v>
      </c>
      <c r="B49" s="32">
        <f t="shared" si="3"/>
        <v>470</v>
      </c>
      <c r="C49" s="32">
        <v>110</v>
      </c>
      <c r="D49" s="32">
        <v>85</v>
      </c>
      <c r="E49" s="32">
        <v>70</v>
      </c>
      <c r="F49" s="32">
        <v>60</v>
      </c>
      <c r="G49" s="32">
        <v>50</v>
      </c>
      <c r="H49" s="32">
        <v>40</v>
      </c>
      <c r="I49" s="32">
        <v>30</v>
      </c>
      <c r="J49" s="32">
        <v>25</v>
      </c>
      <c r="K49" s="32"/>
      <c r="L49" s="32"/>
      <c r="M49" s="32"/>
      <c r="N49" s="32"/>
      <c r="O49" s="32"/>
      <c r="P49" s="32"/>
      <c r="Q49" s="32"/>
      <c r="R49" s="32"/>
      <c r="S49" s="32">
        <f t="shared" si="1"/>
        <v>470</v>
      </c>
    </row>
    <row r="50" spans="1:19" ht="21" x14ac:dyDescent="0.35">
      <c r="A50" s="32">
        <v>48</v>
      </c>
      <c r="B50" s="32">
        <f t="shared" si="3"/>
        <v>480</v>
      </c>
      <c r="C50" s="32">
        <v>95</v>
      </c>
      <c r="D50" s="32">
        <v>85</v>
      </c>
      <c r="E50" s="32">
        <v>75</v>
      </c>
      <c r="F50" s="32">
        <v>65</v>
      </c>
      <c r="G50" s="32">
        <v>55</v>
      </c>
      <c r="H50" s="32">
        <v>45</v>
      </c>
      <c r="I50" s="32">
        <v>35</v>
      </c>
      <c r="J50" s="32">
        <v>25</v>
      </c>
      <c r="K50" s="32"/>
      <c r="L50" s="32"/>
      <c r="M50" s="32"/>
      <c r="N50" s="32"/>
      <c r="O50" s="32"/>
      <c r="P50" s="32"/>
      <c r="Q50" s="32"/>
      <c r="R50" s="32"/>
      <c r="S50" s="32">
        <f t="shared" si="1"/>
        <v>480</v>
      </c>
    </row>
    <row r="51" spans="1:19" ht="21" x14ac:dyDescent="0.35">
      <c r="A51" s="32">
        <v>49</v>
      </c>
      <c r="B51" s="32">
        <f t="shared" si="3"/>
        <v>490</v>
      </c>
      <c r="C51" s="32">
        <v>100</v>
      </c>
      <c r="D51" s="32">
        <v>80</v>
      </c>
      <c r="E51" s="32">
        <v>70</v>
      </c>
      <c r="F51" s="32">
        <v>60</v>
      </c>
      <c r="G51" s="32">
        <v>50</v>
      </c>
      <c r="H51" s="32">
        <v>40</v>
      </c>
      <c r="I51" s="32">
        <v>35</v>
      </c>
      <c r="J51" s="32">
        <v>30</v>
      </c>
      <c r="K51" s="32">
        <v>25</v>
      </c>
      <c r="L51" s="32"/>
      <c r="M51" s="32"/>
      <c r="N51" s="32"/>
      <c r="O51" s="32"/>
      <c r="P51" s="32"/>
      <c r="Q51" s="32"/>
      <c r="R51" s="32"/>
      <c r="S51" s="32">
        <f t="shared" si="1"/>
        <v>490</v>
      </c>
    </row>
    <row r="52" spans="1:19" ht="21" x14ac:dyDescent="0.35">
      <c r="A52" s="32">
        <v>50</v>
      </c>
      <c r="B52" s="32">
        <f t="shared" si="3"/>
        <v>500</v>
      </c>
      <c r="C52" s="32">
        <v>105</v>
      </c>
      <c r="D52" s="32">
        <v>85</v>
      </c>
      <c r="E52" s="32">
        <v>70</v>
      </c>
      <c r="F52" s="32">
        <v>60</v>
      </c>
      <c r="G52" s="32">
        <v>50</v>
      </c>
      <c r="H52" s="32">
        <v>40</v>
      </c>
      <c r="I52" s="32">
        <v>35</v>
      </c>
      <c r="J52" s="32">
        <v>30</v>
      </c>
      <c r="K52" s="32">
        <v>25</v>
      </c>
      <c r="L52" s="32"/>
      <c r="M52" s="32"/>
      <c r="N52" s="32"/>
      <c r="O52" s="32"/>
      <c r="P52" s="32"/>
      <c r="Q52" s="32"/>
      <c r="R52" s="32"/>
      <c r="S52" s="32">
        <f t="shared" si="1"/>
        <v>500</v>
      </c>
    </row>
    <row r="53" spans="1:19" ht="21" x14ac:dyDescent="0.35">
      <c r="A53" s="32">
        <v>51</v>
      </c>
      <c r="B53" s="32">
        <f t="shared" si="3"/>
        <v>510</v>
      </c>
      <c r="C53" s="32">
        <v>105</v>
      </c>
      <c r="D53" s="32">
        <v>90</v>
      </c>
      <c r="E53" s="32">
        <v>75</v>
      </c>
      <c r="F53" s="32">
        <v>60</v>
      </c>
      <c r="G53" s="32">
        <v>50</v>
      </c>
      <c r="H53" s="32">
        <v>40</v>
      </c>
      <c r="I53" s="32">
        <v>35</v>
      </c>
      <c r="J53" s="32">
        <v>30</v>
      </c>
      <c r="K53" s="32">
        <v>25</v>
      </c>
      <c r="L53" s="32"/>
      <c r="M53" s="32"/>
      <c r="N53" s="32"/>
      <c r="O53" s="32"/>
      <c r="P53" s="32"/>
      <c r="Q53" s="32"/>
      <c r="R53" s="32"/>
      <c r="S53" s="32">
        <f t="shared" si="1"/>
        <v>510</v>
      </c>
    </row>
    <row r="54" spans="1:19" ht="21" x14ac:dyDescent="0.35">
      <c r="A54" s="32">
        <v>52</v>
      </c>
      <c r="B54" s="32">
        <f t="shared" si="3"/>
        <v>520</v>
      </c>
      <c r="C54" s="32">
        <v>105</v>
      </c>
      <c r="D54" s="32">
        <v>85</v>
      </c>
      <c r="E54" s="32">
        <v>75</v>
      </c>
      <c r="F54" s="32">
        <v>65</v>
      </c>
      <c r="G54" s="32">
        <v>55</v>
      </c>
      <c r="H54" s="32">
        <v>45</v>
      </c>
      <c r="I54" s="32">
        <v>35</v>
      </c>
      <c r="J54" s="32">
        <v>30</v>
      </c>
      <c r="K54" s="32">
        <v>25</v>
      </c>
      <c r="L54" s="32"/>
      <c r="M54" s="32"/>
      <c r="N54" s="32"/>
      <c r="O54" s="32"/>
      <c r="P54" s="32"/>
      <c r="Q54" s="32"/>
      <c r="R54" s="32"/>
      <c r="S54" s="32">
        <f t="shared" si="1"/>
        <v>520</v>
      </c>
    </row>
    <row r="55" spans="1:19" ht="21" x14ac:dyDescent="0.35">
      <c r="A55" s="32">
        <v>53</v>
      </c>
      <c r="B55" s="32">
        <f t="shared" si="3"/>
        <v>530</v>
      </c>
      <c r="C55" s="32">
        <v>110</v>
      </c>
      <c r="D55" s="32">
        <v>90</v>
      </c>
      <c r="E55" s="32">
        <v>75</v>
      </c>
      <c r="F55" s="32">
        <v>65</v>
      </c>
      <c r="G55" s="32">
        <v>55</v>
      </c>
      <c r="H55" s="32">
        <v>45</v>
      </c>
      <c r="I55" s="32">
        <v>35</v>
      </c>
      <c r="J55" s="32">
        <v>30</v>
      </c>
      <c r="K55" s="32">
        <v>25</v>
      </c>
      <c r="L55" s="32"/>
      <c r="M55" s="32"/>
      <c r="N55" s="32"/>
      <c r="O55" s="32"/>
      <c r="P55" s="32"/>
      <c r="Q55" s="32"/>
      <c r="R55" s="32"/>
      <c r="S55" s="32">
        <f t="shared" si="1"/>
        <v>530</v>
      </c>
    </row>
    <row r="56" spans="1:19" ht="21" x14ac:dyDescent="0.35">
      <c r="A56" s="32">
        <v>54</v>
      </c>
      <c r="B56" s="32">
        <f t="shared" si="3"/>
        <v>540</v>
      </c>
      <c r="C56" s="32">
        <v>115</v>
      </c>
      <c r="D56" s="32">
        <v>95</v>
      </c>
      <c r="E56" s="32">
        <v>75</v>
      </c>
      <c r="F56" s="32">
        <v>65</v>
      </c>
      <c r="G56" s="32">
        <v>55</v>
      </c>
      <c r="H56" s="32">
        <v>45</v>
      </c>
      <c r="I56" s="32">
        <v>35</v>
      </c>
      <c r="J56" s="32">
        <v>30</v>
      </c>
      <c r="K56" s="32">
        <v>25</v>
      </c>
      <c r="L56" s="32"/>
      <c r="M56" s="32"/>
      <c r="N56" s="32"/>
      <c r="O56" s="32"/>
      <c r="P56" s="32"/>
      <c r="Q56" s="32"/>
      <c r="R56" s="32"/>
      <c r="S56" s="32">
        <f t="shared" si="1"/>
        <v>540</v>
      </c>
    </row>
    <row r="57" spans="1:19" ht="21" x14ac:dyDescent="0.35">
      <c r="A57" s="32">
        <v>55</v>
      </c>
      <c r="B57" s="32">
        <f t="shared" si="3"/>
        <v>550</v>
      </c>
      <c r="C57" s="32">
        <v>95</v>
      </c>
      <c r="D57" s="32">
        <v>85</v>
      </c>
      <c r="E57" s="32">
        <v>75</v>
      </c>
      <c r="F57" s="32">
        <v>65</v>
      </c>
      <c r="G57" s="32">
        <v>55</v>
      </c>
      <c r="H57" s="32">
        <v>45</v>
      </c>
      <c r="I57" s="32">
        <v>40</v>
      </c>
      <c r="J57" s="32">
        <v>35</v>
      </c>
      <c r="K57" s="32">
        <v>30</v>
      </c>
      <c r="L57" s="32">
        <v>25</v>
      </c>
      <c r="M57" s="32"/>
      <c r="N57" s="32"/>
      <c r="O57" s="32"/>
      <c r="P57" s="32"/>
      <c r="Q57" s="32"/>
      <c r="R57" s="32"/>
      <c r="S57" s="32">
        <f t="shared" si="1"/>
        <v>550</v>
      </c>
    </row>
    <row r="58" spans="1:19" ht="21" x14ac:dyDescent="0.35">
      <c r="A58" s="32">
        <v>56</v>
      </c>
      <c r="B58" s="32">
        <f t="shared" si="3"/>
        <v>560</v>
      </c>
      <c r="C58" s="32">
        <v>105</v>
      </c>
      <c r="D58" s="32">
        <v>85</v>
      </c>
      <c r="E58" s="32">
        <v>75</v>
      </c>
      <c r="F58" s="32">
        <v>65</v>
      </c>
      <c r="G58" s="32">
        <v>55</v>
      </c>
      <c r="H58" s="32">
        <v>45</v>
      </c>
      <c r="I58" s="32">
        <v>40</v>
      </c>
      <c r="J58" s="32">
        <v>35</v>
      </c>
      <c r="K58" s="32">
        <v>30</v>
      </c>
      <c r="L58" s="32">
        <v>25</v>
      </c>
      <c r="M58" s="32"/>
      <c r="N58" s="32"/>
      <c r="O58" s="32"/>
      <c r="P58" s="32"/>
      <c r="Q58" s="32"/>
      <c r="R58" s="32"/>
      <c r="S58" s="32">
        <f t="shared" si="1"/>
        <v>560</v>
      </c>
    </row>
    <row r="59" spans="1:19" ht="21" x14ac:dyDescent="0.35">
      <c r="A59" s="32">
        <v>57</v>
      </c>
      <c r="B59" s="32">
        <f t="shared" si="3"/>
        <v>570</v>
      </c>
      <c r="C59" s="32">
        <v>110</v>
      </c>
      <c r="D59" s="32">
        <v>90</v>
      </c>
      <c r="E59" s="32">
        <v>75</v>
      </c>
      <c r="F59" s="32">
        <v>65</v>
      </c>
      <c r="G59" s="32">
        <v>55</v>
      </c>
      <c r="H59" s="32">
        <v>45</v>
      </c>
      <c r="I59" s="32">
        <v>40</v>
      </c>
      <c r="J59" s="32">
        <v>35</v>
      </c>
      <c r="K59" s="32">
        <v>30</v>
      </c>
      <c r="L59" s="32">
        <v>25</v>
      </c>
      <c r="M59" s="32"/>
      <c r="N59" s="32"/>
      <c r="O59" s="32"/>
      <c r="P59" s="32"/>
      <c r="Q59" s="32"/>
      <c r="R59" s="32"/>
      <c r="S59" s="32">
        <f t="shared" si="1"/>
        <v>570</v>
      </c>
    </row>
    <row r="60" spans="1:19" ht="21" x14ac:dyDescent="0.35">
      <c r="A60" s="32">
        <v>58</v>
      </c>
      <c r="B60" s="32">
        <f t="shared" si="3"/>
        <v>580</v>
      </c>
      <c r="C60" s="32">
        <v>100</v>
      </c>
      <c r="D60" s="32">
        <v>90</v>
      </c>
      <c r="E60" s="32">
        <v>80</v>
      </c>
      <c r="F60" s="32">
        <v>70</v>
      </c>
      <c r="G60" s="32">
        <v>60</v>
      </c>
      <c r="H60" s="32">
        <v>50</v>
      </c>
      <c r="I60" s="32">
        <v>40</v>
      </c>
      <c r="J60" s="32">
        <v>35</v>
      </c>
      <c r="K60" s="32">
        <v>30</v>
      </c>
      <c r="L60" s="32">
        <v>25</v>
      </c>
      <c r="M60" s="32"/>
      <c r="N60" s="32"/>
      <c r="O60" s="32"/>
      <c r="P60" s="32"/>
      <c r="Q60" s="32"/>
      <c r="R60" s="32"/>
      <c r="S60" s="32">
        <f t="shared" si="1"/>
        <v>580</v>
      </c>
    </row>
    <row r="61" spans="1:19" ht="21" x14ac:dyDescent="0.35">
      <c r="A61" s="32">
        <v>59</v>
      </c>
      <c r="B61" s="32">
        <f t="shared" si="3"/>
        <v>590</v>
      </c>
      <c r="C61" s="32">
        <v>110</v>
      </c>
      <c r="D61" s="32">
        <v>90</v>
      </c>
      <c r="E61" s="32">
        <v>80</v>
      </c>
      <c r="F61" s="32">
        <v>70</v>
      </c>
      <c r="G61" s="32">
        <v>60</v>
      </c>
      <c r="H61" s="32">
        <v>50</v>
      </c>
      <c r="I61" s="32">
        <v>40</v>
      </c>
      <c r="J61" s="32">
        <v>35</v>
      </c>
      <c r="K61" s="32">
        <v>30</v>
      </c>
      <c r="L61" s="32">
        <v>25</v>
      </c>
      <c r="M61" s="32"/>
      <c r="N61" s="32"/>
      <c r="O61" s="32"/>
      <c r="P61" s="32"/>
      <c r="Q61" s="32"/>
      <c r="R61" s="32"/>
      <c r="S61" s="32">
        <f t="shared" si="1"/>
        <v>590</v>
      </c>
    </row>
    <row r="62" spans="1:19" ht="21" x14ac:dyDescent="0.35">
      <c r="A62" s="32">
        <v>60</v>
      </c>
      <c r="B62" s="32">
        <f t="shared" si="3"/>
        <v>600</v>
      </c>
      <c r="C62" s="32">
        <v>115</v>
      </c>
      <c r="D62" s="32">
        <v>95</v>
      </c>
      <c r="E62" s="32">
        <v>80</v>
      </c>
      <c r="F62" s="32">
        <v>70</v>
      </c>
      <c r="G62" s="32">
        <v>60</v>
      </c>
      <c r="H62" s="32">
        <v>50</v>
      </c>
      <c r="I62" s="32">
        <v>40</v>
      </c>
      <c r="J62" s="32">
        <v>35</v>
      </c>
      <c r="K62" s="32">
        <v>30</v>
      </c>
      <c r="L62" s="32">
        <v>25</v>
      </c>
      <c r="M62" s="32"/>
      <c r="N62" s="32"/>
      <c r="O62" s="32"/>
      <c r="P62" s="32"/>
      <c r="Q62" s="32"/>
      <c r="R62" s="32"/>
      <c r="S62" s="32">
        <f t="shared" si="1"/>
        <v>600</v>
      </c>
    </row>
    <row r="63" spans="1:19" ht="21" x14ac:dyDescent="0.35">
      <c r="A63" s="32">
        <v>61</v>
      </c>
      <c r="B63" s="32">
        <f t="shared" si="3"/>
        <v>610</v>
      </c>
      <c r="C63" s="32">
        <v>105</v>
      </c>
      <c r="D63" s="32">
        <v>85</v>
      </c>
      <c r="E63" s="32">
        <v>75</v>
      </c>
      <c r="F63" s="32">
        <v>65</v>
      </c>
      <c r="G63" s="32">
        <v>55</v>
      </c>
      <c r="H63" s="32">
        <v>50</v>
      </c>
      <c r="I63" s="32">
        <v>45</v>
      </c>
      <c r="J63" s="32">
        <v>40</v>
      </c>
      <c r="K63" s="32">
        <v>35</v>
      </c>
      <c r="L63" s="32">
        <v>30</v>
      </c>
      <c r="M63" s="32">
        <v>25</v>
      </c>
      <c r="N63" s="32"/>
      <c r="O63" s="32"/>
      <c r="P63" s="32"/>
      <c r="Q63" s="32"/>
      <c r="R63" s="32"/>
      <c r="S63" s="32">
        <f t="shared" si="1"/>
        <v>610</v>
      </c>
    </row>
    <row r="64" spans="1:19" ht="21" x14ac:dyDescent="0.35">
      <c r="A64" s="32">
        <v>62</v>
      </c>
      <c r="B64" s="32">
        <f t="shared" si="3"/>
        <v>620</v>
      </c>
      <c r="C64" s="32">
        <v>110</v>
      </c>
      <c r="D64" s="32">
        <v>90</v>
      </c>
      <c r="E64" s="32">
        <v>75</v>
      </c>
      <c r="F64" s="32">
        <v>65</v>
      </c>
      <c r="G64" s="32">
        <v>55</v>
      </c>
      <c r="H64" s="32">
        <v>50</v>
      </c>
      <c r="I64" s="32">
        <v>45</v>
      </c>
      <c r="J64" s="32">
        <v>40</v>
      </c>
      <c r="K64" s="32">
        <v>35</v>
      </c>
      <c r="L64" s="32">
        <v>30</v>
      </c>
      <c r="M64" s="32">
        <v>25</v>
      </c>
      <c r="N64" s="32"/>
      <c r="O64" s="32"/>
      <c r="P64" s="32"/>
      <c r="Q64" s="32"/>
      <c r="R64" s="32"/>
      <c r="S64" s="32">
        <f t="shared" si="1"/>
        <v>620</v>
      </c>
    </row>
    <row r="65" spans="1:19" ht="21" x14ac:dyDescent="0.35">
      <c r="A65" s="32">
        <v>63</v>
      </c>
      <c r="B65" s="32">
        <f t="shared" si="3"/>
        <v>630</v>
      </c>
      <c r="C65" s="32">
        <v>105</v>
      </c>
      <c r="D65" s="32">
        <v>90</v>
      </c>
      <c r="E65" s="32">
        <v>80</v>
      </c>
      <c r="F65" s="32">
        <v>70</v>
      </c>
      <c r="G65" s="32">
        <v>60</v>
      </c>
      <c r="H65" s="32">
        <v>50</v>
      </c>
      <c r="I65" s="32">
        <v>45</v>
      </c>
      <c r="J65" s="32">
        <v>40</v>
      </c>
      <c r="K65" s="32">
        <v>35</v>
      </c>
      <c r="L65" s="32">
        <v>30</v>
      </c>
      <c r="M65" s="32">
        <v>25</v>
      </c>
      <c r="N65" s="32"/>
      <c r="O65" s="32"/>
      <c r="P65" s="32"/>
      <c r="Q65" s="32"/>
      <c r="R65" s="32"/>
      <c r="S65" s="32">
        <f t="shared" si="1"/>
        <v>630</v>
      </c>
    </row>
    <row r="66" spans="1:19" ht="21" x14ac:dyDescent="0.35">
      <c r="A66" s="32">
        <v>64</v>
      </c>
      <c r="B66" s="32">
        <f t="shared" si="3"/>
        <v>640</v>
      </c>
      <c r="C66" s="32">
        <v>110</v>
      </c>
      <c r="D66" s="32">
        <v>95</v>
      </c>
      <c r="E66" s="32">
        <v>80</v>
      </c>
      <c r="F66" s="32">
        <v>70</v>
      </c>
      <c r="G66" s="32">
        <v>60</v>
      </c>
      <c r="H66" s="32">
        <v>50</v>
      </c>
      <c r="I66" s="32">
        <v>45</v>
      </c>
      <c r="J66" s="32">
        <v>40</v>
      </c>
      <c r="K66" s="32">
        <v>35</v>
      </c>
      <c r="L66" s="32">
        <v>30</v>
      </c>
      <c r="M66" s="32">
        <v>25</v>
      </c>
      <c r="N66" s="32"/>
      <c r="O66" s="32"/>
      <c r="P66" s="32"/>
      <c r="Q66" s="32"/>
      <c r="R66" s="32"/>
      <c r="S66" s="32">
        <f t="shared" si="1"/>
        <v>640</v>
      </c>
    </row>
    <row r="67" spans="1:19" ht="21" x14ac:dyDescent="0.35">
      <c r="A67" s="32">
        <v>65</v>
      </c>
      <c r="B67" s="32">
        <f t="shared" ref="B67:B98" si="4">A67*FGradPool10Fee</f>
        <v>650</v>
      </c>
      <c r="C67" s="32">
        <v>120</v>
      </c>
      <c r="D67" s="32">
        <v>95</v>
      </c>
      <c r="E67" s="32">
        <v>80</v>
      </c>
      <c r="F67" s="32">
        <v>70</v>
      </c>
      <c r="G67" s="32">
        <v>60</v>
      </c>
      <c r="H67" s="32">
        <v>50</v>
      </c>
      <c r="I67" s="32">
        <v>45</v>
      </c>
      <c r="J67" s="32">
        <v>40</v>
      </c>
      <c r="K67" s="32">
        <v>35</v>
      </c>
      <c r="L67" s="32">
        <v>30</v>
      </c>
      <c r="M67" s="32">
        <v>25</v>
      </c>
      <c r="N67" s="32"/>
      <c r="O67" s="32"/>
      <c r="P67" s="32"/>
      <c r="Q67" s="32"/>
      <c r="R67" s="32"/>
      <c r="S67" s="32">
        <f t="shared" ref="S67:S98" si="5">SUM(C67:R67)</f>
        <v>650</v>
      </c>
    </row>
    <row r="68" spans="1:19" ht="21" x14ac:dyDescent="0.35">
      <c r="A68" s="32">
        <v>66</v>
      </c>
      <c r="B68" s="32">
        <f t="shared" si="4"/>
        <v>660</v>
      </c>
      <c r="C68" s="32">
        <v>110</v>
      </c>
      <c r="D68" s="32">
        <v>95</v>
      </c>
      <c r="E68" s="32">
        <v>85</v>
      </c>
      <c r="F68" s="32">
        <v>75</v>
      </c>
      <c r="G68" s="32">
        <v>65</v>
      </c>
      <c r="H68" s="32">
        <v>55</v>
      </c>
      <c r="I68" s="32">
        <v>45</v>
      </c>
      <c r="J68" s="32">
        <v>40</v>
      </c>
      <c r="K68" s="32">
        <v>35</v>
      </c>
      <c r="L68" s="32">
        <v>30</v>
      </c>
      <c r="M68" s="32">
        <v>25</v>
      </c>
      <c r="N68" s="32"/>
      <c r="O68" s="32"/>
      <c r="P68" s="32"/>
      <c r="Q68" s="32"/>
      <c r="R68" s="32"/>
      <c r="S68" s="32">
        <f t="shared" si="5"/>
        <v>660</v>
      </c>
    </row>
    <row r="69" spans="1:19" ht="21" x14ac:dyDescent="0.35">
      <c r="A69" s="32">
        <v>67</v>
      </c>
      <c r="B69" s="32">
        <f t="shared" si="4"/>
        <v>670</v>
      </c>
      <c r="C69" s="32">
        <v>105</v>
      </c>
      <c r="D69" s="32">
        <v>85</v>
      </c>
      <c r="E69" s="32">
        <v>75</v>
      </c>
      <c r="F69" s="32">
        <v>65</v>
      </c>
      <c r="G69" s="32">
        <v>60</v>
      </c>
      <c r="H69" s="32">
        <v>55</v>
      </c>
      <c r="I69" s="32">
        <v>50</v>
      </c>
      <c r="J69" s="32">
        <v>45</v>
      </c>
      <c r="K69" s="32">
        <v>40</v>
      </c>
      <c r="L69" s="32">
        <v>35</v>
      </c>
      <c r="M69" s="32">
        <v>30</v>
      </c>
      <c r="N69" s="32">
        <v>25</v>
      </c>
      <c r="O69" s="32"/>
      <c r="P69" s="32"/>
      <c r="Q69" s="32"/>
      <c r="R69" s="32"/>
      <c r="S69" s="32">
        <f t="shared" si="5"/>
        <v>670</v>
      </c>
    </row>
    <row r="70" spans="1:19" ht="21" x14ac:dyDescent="0.35">
      <c r="A70" s="32">
        <v>68</v>
      </c>
      <c r="B70" s="32">
        <f t="shared" si="4"/>
        <v>680</v>
      </c>
      <c r="C70" s="32">
        <v>100</v>
      </c>
      <c r="D70" s="32">
        <v>90</v>
      </c>
      <c r="E70" s="32">
        <v>80</v>
      </c>
      <c r="F70" s="32">
        <v>70</v>
      </c>
      <c r="G70" s="32">
        <v>60</v>
      </c>
      <c r="H70" s="32">
        <v>55</v>
      </c>
      <c r="I70" s="32">
        <v>50</v>
      </c>
      <c r="J70" s="32">
        <v>45</v>
      </c>
      <c r="K70" s="32">
        <v>40</v>
      </c>
      <c r="L70" s="32">
        <v>35</v>
      </c>
      <c r="M70" s="32">
        <v>30</v>
      </c>
      <c r="N70" s="32">
        <v>25</v>
      </c>
      <c r="O70" s="32"/>
      <c r="P70" s="32"/>
      <c r="Q70" s="32"/>
      <c r="R70" s="32"/>
      <c r="S70" s="32">
        <f t="shared" si="5"/>
        <v>680</v>
      </c>
    </row>
    <row r="71" spans="1:19" ht="21" x14ac:dyDescent="0.35">
      <c r="A71" s="32">
        <v>69</v>
      </c>
      <c r="B71" s="32">
        <f t="shared" si="4"/>
        <v>690</v>
      </c>
      <c r="C71" s="32">
        <v>110</v>
      </c>
      <c r="D71" s="32">
        <v>90</v>
      </c>
      <c r="E71" s="32">
        <v>80</v>
      </c>
      <c r="F71" s="32">
        <v>70</v>
      </c>
      <c r="G71" s="32">
        <v>60</v>
      </c>
      <c r="H71" s="32">
        <v>55</v>
      </c>
      <c r="I71" s="32">
        <v>50</v>
      </c>
      <c r="J71" s="32">
        <v>45</v>
      </c>
      <c r="K71" s="32">
        <v>40</v>
      </c>
      <c r="L71" s="32">
        <v>35</v>
      </c>
      <c r="M71" s="32">
        <v>30</v>
      </c>
      <c r="N71" s="32">
        <v>25</v>
      </c>
      <c r="O71" s="32"/>
      <c r="P71" s="32"/>
      <c r="Q71" s="32"/>
      <c r="R71" s="32"/>
      <c r="S71" s="32">
        <f t="shared" si="5"/>
        <v>690</v>
      </c>
    </row>
    <row r="72" spans="1:19" ht="21" x14ac:dyDescent="0.35">
      <c r="A72" s="32">
        <v>70</v>
      </c>
      <c r="B72" s="32">
        <f t="shared" si="4"/>
        <v>700</v>
      </c>
      <c r="C72" s="32">
        <v>115</v>
      </c>
      <c r="D72" s="32">
        <v>95</v>
      </c>
      <c r="E72" s="32">
        <v>80</v>
      </c>
      <c r="F72" s="32">
        <v>70</v>
      </c>
      <c r="G72" s="32">
        <v>60</v>
      </c>
      <c r="H72" s="32">
        <v>55</v>
      </c>
      <c r="I72" s="32">
        <v>50</v>
      </c>
      <c r="J72" s="32">
        <v>45</v>
      </c>
      <c r="K72" s="32">
        <v>40</v>
      </c>
      <c r="L72" s="32">
        <v>35</v>
      </c>
      <c r="M72" s="32">
        <v>30</v>
      </c>
      <c r="N72" s="32">
        <v>25</v>
      </c>
      <c r="O72" s="32"/>
      <c r="P72" s="32"/>
      <c r="Q72" s="32"/>
      <c r="R72" s="32"/>
      <c r="S72" s="32">
        <f t="shared" si="5"/>
        <v>700</v>
      </c>
    </row>
    <row r="73" spans="1:19" ht="21" x14ac:dyDescent="0.35">
      <c r="A73" s="32">
        <v>71</v>
      </c>
      <c r="B73" s="32">
        <f t="shared" si="4"/>
        <v>710</v>
      </c>
      <c r="C73" s="32">
        <v>115</v>
      </c>
      <c r="D73" s="32">
        <v>100</v>
      </c>
      <c r="E73" s="32">
        <v>85</v>
      </c>
      <c r="F73" s="32">
        <v>70</v>
      </c>
      <c r="G73" s="32">
        <v>60</v>
      </c>
      <c r="H73" s="32">
        <v>55</v>
      </c>
      <c r="I73" s="32">
        <v>50</v>
      </c>
      <c r="J73" s="32">
        <v>45</v>
      </c>
      <c r="K73" s="32">
        <v>40</v>
      </c>
      <c r="L73" s="32">
        <v>35</v>
      </c>
      <c r="M73" s="32">
        <v>30</v>
      </c>
      <c r="N73" s="32">
        <v>25</v>
      </c>
      <c r="O73" s="32"/>
      <c r="P73" s="32"/>
      <c r="Q73" s="32"/>
      <c r="R73" s="32"/>
      <c r="S73" s="32">
        <f t="shared" si="5"/>
        <v>710</v>
      </c>
    </row>
    <row r="74" spans="1:19" ht="21" x14ac:dyDescent="0.35">
      <c r="A74" s="32">
        <v>72</v>
      </c>
      <c r="B74" s="32">
        <f t="shared" si="4"/>
        <v>720</v>
      </c>
      <c r="C74" s="32">
        <v>115</v>
      </c>
      <c r="D74" s="32">
        <v>100</v>
      </c>
      <c r="E74" s="32">
        <v>85</v>
      </c>
      <c r="F74" s="32">
        <v>75</v>
      </c>
      <c r="G74" s="32">
        <v>65</v>
      </c>
      <c r="H74" s="32">
        <v>55</v>
      </c>
      <c r="I74" s="32">
        <v>50</v>
      </c>
      <c r="J74" s="32">
        <v>45</v>
      </c>
      <c r="K74" s="32">
        <v>40</v>
      </c>
      <c r="L74" s="32">
        <v>35</v>
      </c>
      <c r="M74" s="32">
        <v>30</v>
      </c>
      <c r="N74" s="32">
        <v>25</v>
      </c>
      <c r="O74" s="32"/>
      <c r="P74" s="32"/>
      <c r="Q74" s="32"/>
      <c r="R74" s="32"/>
      <c r="S74" s="32">
        <f t="shared" si="5"/>
        <v>720</v>
      </c>
    </row>
    <row r="75" spans="1:19" ht="21" x14ac:dyDescent="0.35">
      <c r="A75" s="32">
        <v>73</v>
      </c>
      <c r="B75" s="32">
        <f t="shared" si="4"/>
        <v>730</v>
      </c>
      <c r="C75" s="32">
        <v>95</v>
      </c>
      <c r="D75" s="32">
        <v>85</v>
      </c>
      <c r="E75" s="32">
        <v>75</v>
      </c>
      <c r="F75" s="32">
        <v>70</v>
      </c>
      <c r="G75" s="32">
        <v>65</v>
      </c>
      <c r="H75" s="32">
        <v>60</v>
      </c>
      <c r="I75" s="32">
        <v>55</v>
      </c>
      <c r="J75" s="32">
        <v>50</v>
      </c>
      <c r="K75" s="32">
        <v>45</v>
      </c>
      <c r="L75" s="32">
        <v>40</v>
      </c>
      <c r="M75" s="32">
        <v>35</v>
      </c>
      <c r="N75" s="32">
        <v>30</v>
      </c>
      <c r="O75" s="32">
        <v>25</v>
      </c>
      <c r="P75" s="32"/>
      <c r="Q75" s="32"/>
      <c r="R75" s="32"/>
      <c r="S75" s="32">
        <f t="shared" si="5"/>
        <v>730</v>
      </c>
    </row>
    <row r="76" spans="1:19" ht="21" x14ac:dyDescent="0.35">
      <c r="A76" s="32">
        <v>74</v>
      </c>
      <c r="B76" s="32">
        <f t="shared" si="4"/>
        <v>740</v>
      </c>
      <c r="C76" s="32">
        <v>105</v>
      </c>
      <c r="D76" s="32">
        <v>85</v>
      </c>
      <c r="E76" s="32">
        <v>75</v>
      </c>
      <c r="F76" s="32">
        <v>70</v>
      </c>
      <c r="G76" s="32">
        <v>65</v>
      </c>
      <c r="H76" s="32">
        <v>60</v>
      </c>
      <c r="I76" s="32">
        <v>55</v>
      </c>
      <c r="J76" s="32">
        <v>50</v>
      </c>
      <c r="K76" s="32">
        <v>45</v>
      </c>
      <c r="L76" s="32">
        <v>40</v>
      </c>
      <c r="M76" s="32">
        <v>35</v>
      </c>
      <c r="N76" s="32">
        <v>30</v>
      </c>
      <c r="O76" s="32">
        <v>25</v>
      </c>
      <c r="P76" s="32"/>
      <c r="Q76" s="32"/>
      <c r="R76" s="32"/>
      <c r="S76" s="32">
        <f t="shared" si="5"/>
        <v>740</v>
      </c>
    </row>
    <row r="77" spans="1:19" ht="21" x14ac:dyDescent="0.35">
      <c r="A77" s="32">
        <v>75</v>
      </c>
      <c r="B77" s="32">
        <f t="shared" si="4"/>
        <v>750</v>
      </c>
      <c r="C77" s="32">
        <v>105</v>
      </c>
      <c r="D77" s="32">
        <v>90</v>
      </c>
      <c r="E77" s="32">
        <v>80</v>
      </c>
      <c r="F77" s="32">
        <v>70</v>
      </c>
      <c r="G77" s="32">
        <v>65</v>
      </c>
      <c r="H77" s="32">
        <v>60</v>
      </c>
      <c r="I77" s="32">
        <v>55</v>
      </c>
      <c r="J77" s="32">
        <v>50</v>
      </c>
      <c r="K77" s="32">
        <v>45</v>
      </c>
      <c r="L77" s="32">
        <v>40</v>
      </c>
      <c r="M77" s="32">
        <v>35</v>
      </c>
      <c r="N77" s="32">
        <v>30</v>
      </c>
      <c r="O77" s="32">
        <v>25</v>
      </c>
      <c r="P77" s="32"/>
      <c r="Q77" s="32"/>
      <c r="R77" s="32"/>
      <c r="S77" s="32">
        <f t="shared" si="5"/>
        <v>750</v>
      </c>
    </row>
    <row r="78" spans="1:19" ht="21" x14ac:dyDescent="0.35">
      <c r="A78" s="32">
        <v>76</v>
      </c>
      <c r="B78" s="32">
        <f t="shared" si="4"/>
        <v>760</v>
      </c>
      <c r="C78" s="32">
        <v>110</v>
      </c>
      <c r="D78" s="32">
        <v>95</v>
      </c>
      <c r="E78" s="32">
        <v>80</v>
      </c>
      <c r="F78" s="32">
        <v>70</v>
      </c>
      <c r="G78" s="32">
        <v>65</v>
      </c>
      <c r="H78" s="32">
        <v>60</v>
      </c>
      <c r="I78" s="32">
        <v>55</v>
      </c>
      <c r="J78" s="32">
        <v>50</v>
      </c>
      <c r="K78" s="32">
        <v>45</v>
      </c>
      <c r="L78" s="32">
        <v>40</v>
      </c>
      <c r="M78" s="32">
        <v>35</v>
      </c>
      <c r="N78" s="32">
        <v>30</v>
      </c>
      <c r="O78" s="32">
        <v>25</v>
      </c>
      <c r="P78" s="32"/>
      <c r="Q78" s="32"/>
      <c r="R78" s="32"/>
      <c r="S78" s="32">
        <f t="shared" si="5"/>
        <v>760</v>
      </c>
    </row>
    <row r="79" spans="1:19" ht="21" x14ac:dyDescent="0.35">
      <c r="A79" s="32">
        <v>77</v>
      </c>
      <c r="B79" s="32">
        <f t="shared" si="4"/>
        <v>770</v>
      </c>
      <c r="C79" s="32">
        <v>110</v>
      </c>
      <c r="D79" s="32">
        <v>95</v>
      </c>
      <c r="E79" s="32">
        <v>85</v>
      </c>
      <c r="F79" s="32">
        <v>75</v>
      </c>
      <c r="G79" s="32">
        <v>65</v>
      </c>
      <c r="H79" s="32">
        <v>60</v>
      </c>
      <c r="I79" s="32">
        <v>55</v>
      </c>
      <c r="J79" s="32">
        <v>50</v>
      </c>
      <c r="K79" s="32">
        <v>45</v>
      </c>
      <c r="L79" s="32">
        <v>40</v>
      </c>
      <c r="M79" s="32">
        <v>35</v>
      </c>
      <c r="N79" s="32">
        <v>30</v>
      </c>
      <c r="O79" s="32">
        <v>25</v>
      </c>
      <c r="P79" s="32"/>
      <c r="Q79" s="32"/>
      <c r="R79" s="32"/>
      <c r="S79" s="32">
        <f t="shared" si="5"/>
        <v>770</v>
      </c>
    </row>
    <row r="80" spans="1:19" ht="21" x14ac:dyDescent="0.35">
      <c r="A80" s="32">
        <v>78</v>
      </c>
      <c r="B80" s="32">
        <f t="shared" si="4"/>
        <v>780</v>
      </c>
      <c r="C80" s="32">
        <v>115</v>
      </c>
      <c r="D80" s="32">
        <v>100</v>
      </c>
      <c r="E80" s="32">
        <v>85</v>
      </c>
      <c r="F80" s="32">
        <v>75</v>
      </c>
      <c r="G80" s="32">
        <v>65</v>
      </c>
      <c r="H80" s="32">
        <v>60</v>
      </c>
      <c r="I80" s="32">
        <v>55</v>
      </c>
      <c r="J80" s="32">
        <v>50</v>
      </c>
      <c r="K80" s="32">
        <v>45</v>
      </c>
      <c r="L80" s="32">
        <v>40</v>
      </c>
      <c r="M80" s="32">
        <v>35</v>
      </c>
      <c r="N80" s="32">
        <v>30</v>
      </c>
      <c r="O80" s="32">
        <v>25</v>
      </c>
      <c r="P80" s="32"/>
      <c r="Q80" s="32"/>
      <c r="R80" s="32"/>
      <c r="S80" s="32">
        <f t="shared" si="5"/>
        <v>780</v>
      </c>
    </row>
    <row r="81" spans="1:19" ht="21" x14ac:dyDescent="0.35">
      <c r="A81" s="32">
        <v>79</v>
      </c>
      <c r="B81" s="32">
        <f t="shared" si="4"/>
        <v>790</v>
      </c>
      <c r="C81" s="32">
        <v>105</v>
      </c>
      <c r="D81" s="32">
        <v>95</v>
      </c>
      <c r="E81" s="32">
        <v>85</v>
      </c>
      <c r="F81" s="32">
        <v>75</v>
      </c>
      <c r="G81" s="32">
        <v>65</v>
      </c>
      <c r="H81" s="32">
        <v>60</v>
      </c>
      <c r="I81" s="32">
        <v>55</v>
      </c>
      <c r="J81" s="32">
        <v>50</v>
      </c>
      <c r="K81" s="32">
        <v>45</v>
      </c>
      <c r="L81" s="32">
        <v>40</v>
      </c>
      <c r="M81" s="32">
        <v>35</v>
      </c>
      <c r="N81" s="32">
        <v>30</v>
      </c>
      <c r="O81" s="32">
        <v>25</v>
      </c>
      <c r="P81" s="32">
        <v>25</v>
      </c>
      <c r="Q81" s="32"/>
      <c r="R81" s="32"/>
      <c r="S81" s="32">
        <f t="shared" si="5"/>
        <v>790</v>
      </c>
    </row>
    <row r="82" spans="1:19" ht="21" x14ac:dyDescent="0.35">
      <c r="A82" s="32">
        <v>80</v>
      </c>
      <c r="B82" s="32">
        <f t="shared" si="4"/>
        <v>800</v>
      </c>
      <c r="C82" s="32">
        <v>115</v>
      </c>
      <c r="D82" s="32">
        <v>100</v>
      </c>
      <c r="E82" s="32">
        <v>85</v>
      </c>
      <c r="F82" s="32">
        <v>70</v>
      </c>
      <c r="G82" s="32">
        <v>65</v>
      </c>
      <c r="H82" s="32">
        <v>60</v>
      </c>
      <c r="I82" s="32">
        <v>55</v>
      </c>
      <c r="J82" s="32">
        <v>50</v>
      </c>
      <c r="K82" s="32">
        <v>45</v>
      </c>
      <c r="L82" s="32">
        <v>40</v>
      </c>
      <c r="M82" s="32">
        <v>35</v>
      </c>
      <c r="N82" s="32">
        <v>30</v>
      </c>
      <c r="O82" s="32">
        <v>25</v>
      </c>
      <c r="P82" s="32">
        <v>25</v>
      </c>
      <c r="Q82" s="32"/>
      <c r="R82" s="32"/>
      <c r="S82" s="32">
        <f t="shared" si="5"/>
        <v>800</v>
      </c>
    </row>
    <row r="83" spans="1:19" ht="21" x14ac:dyDescent="0.35">
      <c r="A83" s="32">
        <v>81</v>
      </c>
      <c r="B83" s="32">
        <f t="shared" si="4"/>
        <v>810</v>
      </c>
      <c r="C83" s="32">
        <v>95</v>
      </c>
      <c r="D83" s="32">
        <v>85</v>
      </c>
      <c r="E83" s="32">
        <v>80</v>
      </c>
      <c r="F83" s="32">
        <v>75</v>
      </c>
      <c r="G83" s="32">
        <v>70</v>
      </c>
      <c r="H83" s="32">
        <v>65</v>
      </c>
      <c r="I83" s="32">
        <v>60</v>
      </c>
      <c r="J83" s="32">
        <v>55</v>
      </c>
      <c r="K83" s="32">
        <v>50</v>
      </c>
      <c r="L83" s="32">
        <v>45</v>
      </c>
      <c r="M83" s="32">
        <v>40</v>
      </c>
      <c r="N83" s="32">
        <v>35</v>
      </c>
      <c r="O83" s="32">
        <v>30</v>
      </c>
      <c r="P83" s="32">
        <v>25</v>
      </c>
      <c r="Q83" s="32"/>
      <c r="R83" s="32"/>
      <c r="S83" s="32">
        <f t="shared" si="5"/>
        <v>810</v>
      </c>
    </row>
    <row r="84" spans="1:19" ht="21" x14ac:dyDescent="0.35">
      <c r="A84" s="32">
        <v>82</v>
      </c>
      <c r="B84" s="32">
        <f t="shared" si="4"/>
        <v>820</v>
      </c>
      <c r="C84" s="32">
        <v>100</v>
      </c>
      <c r="D84" s="32">
        <v>90</v>
      </c>
      <c r="E84" s="32">
        <v>80</v>
      </c>
      <c r="F84" s="32">
        <v>75</v>
      </c>
      <c r="G84" s="32">
        <v>70</v>
      </c>
      <c r="H84" s="32">
        <v>65</v>
      </c>
      <c r="I84" s="32">
        <v>60</v>
      </c>
      <c r="J84" s="32">
        <v>55</v>
      </c>
      <c r="K84" s="32">
        <v>50</v>
      </c>
      <c r="L84" s="32">
        <v>45</v>
      </c>
      <c r="M84" s="32">
        <v>40</v>
      </c>
      <c r="N84" s="32">
        <v>35</v>
      </c>
      <c r="O84" s="32">
        <v>30</v>
      </c>
      <c r="P84" s="32">
        <v>25</v>
      </c>
      <c r="Q84" s="32"/>
      <c r="R84" s="32"/>
      <c r="S84" s="32">
        <f t="shared" si="5"/>
        <v>820</v>
      </c>
    </row>
    <row r="85" spans="1:19" ht="21" x14ac:dyDescent="0.35">
      <c r="A85" s="32">
        <v>83</v>
      </c>
      <c r="B85" s="32">
        <f t="shared" si="4"/>
        <v>830</v>
      </c>
      <c r="C85" s="32">
        <v>110</v>
      </c>
      <c r="D85" s="32">
        <v>90</v>
      </c>
      <c r="E85" s="32">
        <v>80</v>
      </c>
      <c r="F85" s="32">
        <v>75</v>
      </c>
      <c r="G85" s="32">
        <v>70</v>
      </c>
      <c r="H85" s="32">
        <v>65</v>
      </c>
      <c r="I85" s="32">
        <v>60</v>
      </c>
      <c r="J85" s="32">
        <v>55</v>
      </c>
      <c r="K85" s="32">
        <v>50</v>
      </c>
      <c r="L85" s="32">
        <v>45</v>
      </c>
      <c r="M85" s="32">
        <v>40</v>
      </c>
      <c r="N85" s="32">
        <v>35</v>
      </c>
      <c r="O85" s="32">
        <v>30</v>
      </c>
      <c r="P85" s="32">
        <v>25</v>
      </c>
      <c r="Q85" s="32"/>
      <c r="R85" s="32"/>
      <c r="S85" s="32">
        <f t="shared" si="5"/>
        <v>830</v>
      </c>
    </row>
    <row r="86" spans="1:19" ht="21" x14ac:dyDescent="0.35">
      <c r="A86" s="32">
        <v>84</v>
      </c>
      <c r="B86" s="32">
        <f t="shared" si="4"/>
        <v>840</v>
      </c>
      <c r="C86" s="32">
        <v>115</v>
      </c>
      <c r="D86" s="32">
        <v>95</v>
      </c>
      <c r="E86" s="32">
        <v>80</v>
      </c>
      <c r="F86" s="32">
        <v>75</v>
      </c>
      <c r="G86" s="32">
        <v>70</v>
      </c>
      <c r="H86" s="32">
        <v>65</v>
      </c>
      <c r="I86" s="32">
        <v>60</v>
      </c>
      <c r="J86" s="32">
        <v>55</v>
      </c>
      <c r="K86" s="32">
        <v>50</v>
      </c>
      <c r="L86" s="32">
        <v>45</v>
      </c>
      <c r="M86" s="32">
        <v>40</v>
      </c>
      <c r="N86" s="32">
        <v>35</v>
      </c>
      <c r="O86" s="32">
        <v>30</v>
      </c>
      <c r="P86" s="32">
        <v>25</v>
      </c>
      <c r="Q86" s="32"/>
      <c r="R86" s="32"/>
      <c r="S86" s="32">
        <f t="shared" si="5"/>
        <v>840</v>
      </c>
    </row>
    <row r="87" spans="1:19" ht="21" x14ac:dyDescent="0.35">
      <c r="A87" s="32">
        <v>85</v>
      </c>
      <c r="B87" s="32">
        <f t="shared" si="4"/>
        <v>850</v>
      </c>
      <c r="C87" s="32">
        <v>105</v>
      </c>
      <c r="D87" s="32">
        <v>90</v>
      </c>
      <c r="E87" s="32">
        <v>80</v>
      </c>
      <c r="F87" s="32">
        <v>75</v>
      </c>
      <c r="G87" s="32">
        <v>70</v>
      </c>
      <c r="H87" s="32">
        <v>65</v>
      </c>
      <c r="I87" s="32">
        <v>60</v>
      </c>
      <c r="J87" s="32">
        <v>55</v>
      </c>
      <c r="K87" s="32">
        <v>50</v>
      </c>
      <c r="L87" s="32">
        <v>45</v>
      </c>
      <c r="M87" s="32">
        <v>40</v>
      </c>
      <c r="N87" s="32">
        <v>35</v>
      </c>
      <c r="O87" s="32">
        <v>30</v>
      </c>
      <c r="P87" s="32">
        <v>25</v>
      </c>
      <c r="Q87" s="32">
        <v>25</v>
      </c>
      <c r="R87" s="32"/>
      <c r="S87" s="32">
        <f t="shared" si="5"/>
        <v>850</v>
      </c>
    </row>
    <row r="88" spans="1:19" ht="21" x14ac:dyDescent="0.35">
      <c r="A88" s="32">
        <v>86</v>
      </c>
      <c r="B88" s="32">
        <f t="shared" si="4"/>
        <v>860</v>
      </c>
      <c r="C88" s="32">
        <v>110</v>
      </c>
      <c r="D88" s="32">
        <v>95</v>
      </c>
      <c r="E88" s="32">
        <v>80</v>
      </c>
      <c r="F88" s="32">
        <v>75</v>
      </c>
      <c r="G88" s="32">
        <v>70</v>
      </c>
      <c r="H88" s="32">
        <v>65</v>
      </c>
      <c r="I88" s="32">
        <v>60</v>
      </c>
      <c r="J88" s="32">
        <v>55</v>
      </c>
      <c r="K88" s="32">
        <v>50</v>
      </c>
      <c r="L88" s="32">
        <v>45</v>
      </c>
      <c r="M88" s="32">
        <v>40</v>
      </c>
      <c r="N88" s="32">
        <v>35</v>
      </c>
      <c r="O88" s="32">
        <v>30</v>
      </c>
      <c r="P88" s="32">
        <v>25</v>
      </c>
      <c r="Q88" s="32">
        <v>25</v>
      </c>
      <c r="R88" s="32"/>
      <c r="S88" s="32">
        <f t="shared" si="5"/>
        <v>860</v>
      </c>
    </row>
    <row r="89" spans="1:19" ht="21" x14ac:dyDescent="0.35">
      <c r="A89" s="32">
        <v>87</v>
      </c>
      <c r="B89" s="32">
        <f t="shared" si="4"/>
        <v>870</v>
      </c>
      <c r="C89" s="32">
        <v>115</v>
      </c>
      <c r="D89" s="32">
        <v>95</v>
      </c>
      <c r="E89" s="32">
        <v>85</v>
      </c>
      <c r="F89" s="32">
        <v>75</v>
      </c>
      <c r="G89" s="32">
        <v>70</v>
      </c>
      <c r="H89" s="32">
        <v>65</v>
      </c>
      <c r="I89" s="32">
        <v>60</v>
      </c>
      <c r="J89" s="32">
        <v>55</v>
      </c>
      <c r="K89" s="32">
        <v>50</v>
      </c>
      <c r="L89" s="32">
        <v>45</v>
      </c>
      <c r="M89" s="32">
        <v>40</v>
      </c>
      <c r="N89" s="32">
        <v>35</v>
      </c>
      <c r="O89" s="32">
        <v>30</v>
      </c>
      <c r="P89" s="32">
        <v>25</v>
      </c>
      <c r="Q89" s="32">
        <v>25</v>
      </c>
      <c r="R89" s="32"/>
      <c r="S89" s="32">
        <f t="shared" si="5"/>
        <v>870</v>
      </c>
    </row>
    <row r="90" spans="1:19" ht="21" x14ac:dyDescent="0.35">
      <c r="A90" s="32">
        <v>88</v>
      </c>
      <c r="B90" s="32">
        <f t="shared" si="4"/>
        <v>880</v>
      </c>
      <c r="C90" s="32">
        <v>110</v>
      </c>
      <c r="D90" s="32">
        <v>100</v>
      </c>
      <c r="E90" s="32">
        <v>90</v>
      </c>
      <c r="F90" s="32">
        <v>80</v>
      </c>
      <c r="G90" s="32">
        <v>70</v>
      </c>
      <c r="H90" s="32">
        <v>65</v>
      </c>
      <c r="I90" s="32">
        <v>60</v>
      </c>
      <c r="J90" s="32">
        <v>55</v>
      </c>
      <c r="K90" s="32">
        <v>50</v>
      </c>
      <c r="L90" s="32">
        <v>45</v>
      </c>
      <c r="M90" s="32">
        <v>40</v>
      </c>
      <c r="N90" s="32">
        <v>35</v>
      </c>
      <c r="O90" s="32">
        <v>30</v>
      </c>
      <c r="P90" s="32">
        <v>25</v>
      </c>
      <c r="Q90" s="32">
        <v>25</v>
      </c>
      <c r="R90" s="32"/>
      <c r="S90" s="32">
        <f t="shared" si="5"/>
        <v>880</v>
      </c>
    </row>
    <row r="91" spans="1:19" ht="21" x14ac:dyDescent="0.35">
      <c r="A91" s="32">
        <v>89</v>
      </c>
      <c r="B91" s="32">
        <f t="shared" si="4"/>
        <v>890</v>
      </c>
      <c r="C91" s="32">
        <v>120</v>
      </c>
      <c r="D91" s="32">
        <v>100</v>
      </c>
      <c r="E91" s="32">
        <v>90</v>
      </c>
      <c r="F91" s="32">
        <v>80</v>
      </c>
      <c r="G91" s="32">
        <v>70</v>
      </c>
      <c r="H91" s="32">
        <v>65</v>
      </c>
      <c r="I91" s="32">
        <v>60</v>
      </c>
      <c r="J91" s="32">
        <v>55</v>
      </c>
      <c r="K91" s="32">
        <v>50</v>
      </c>
      <c r="L91" s="32">
        <v>45</v>
      </c>
      <c r="M91" s="32">
        <v>40</v>
      </c>
      <c r="N91" s="32">
        <v>35</v>
      </c>
      <c r="O91" s="32">
        <v>30</v>
      </c>
      <c r="P91" s="32">
        <v>25</v>
      </c>
      <c r="Q91" s="32">
        <v>25</v>
      </c>
      <c r="R91" s="32"/>
      <c r="S91" s="32">
        <f t="shared" si="5"/>
        <v>890</v>
      </c>
    </row>
    <row r="92" spans="1:19" ht="21" x14ac:dyDescent="0.35">
      <c r="A92" s="32">
        <v>90</v>
      </c>
      <c r="B92" s="32">
        <f t="shared" si="4"/>
        <v>900</v>
      </c>
      <c r="C92" s="32">
        <v>95</v>
      </c>
      <c r="D92" s="32">
        <v>90</v>
      </c>
      <c r="E92" s="32">
        <v>85</v>
      </c>
      <c r="F92" s="32">
        <v>80</v>
      </c>
      <c r="G92" s="32">
        <v>75</v>
      </c>
      <c r="H92" s="32">
        <v>70</v>
      </c>
      <c r="I92" s="32">
        <v>65</v>
      </c>
      <c r="J92" s="32">
        <v>60</v>
      </c>
      <c r="K92" s="32">
        <v>55</v>
      </c>
      <c r="L92" s="32">
        <v>50</v>
      </c>
      <c r="M92" s="32">
        <v>45</v>
      </c>
      <c r="N92" s="32">
        <v>40</v>
      </c>
      <c r="O92" s="32">
        <v>35</v>
      </c>
      <c r="P92" s="32">
        <v>30</v>
      </c>
      <c r="Q92" s="32">
        <v>25</v>
      </c>
      <c r="R92" s="32"/>
      <c r="S92" s="32">
        <f t="shared" si="5"/>
        <v>900</v>
      </c>
    </row>
    <row r="93" spans="1:19" ht="21" x14ac:dyDescent="0.35">
      <c r="A93" s="32">
        <v>91</v>
      </c>
      <c r="B93" s="32">
        <f t="shared" si="4"/>
        <v>910</v>
      </c>
      <c r="C93" s="32">
        <v>115</v>
      </c>
      <c r="D93" s="32">
        <v>100</v>
      </c>
      <c r="E93" s="32">
        <v>90</v>
      </c>
      <c r="F93" s="32">
        <v>80</v>
      </c>
      <c r="G93" s="32">
        <v>70</v>
      </c>
      <c r="H93" s="32">
        <v>65</v>
      </c>
      <c r="I93" s="32">
        <v>60</v>
      </c>
      <c r="J93" s="32">
        <v>55</v>
      </c>
      <c r="K93" s="32">
        <v>50</v>
      </c>
      <c r="L93" s="32">
        <v>45</v>
      </c>
      <c r="M93" s="32">
        <v>40</v>
      </c>
      <c r="N93" s="32">
        <v>35</v>
      </c>
      <c r="O93" s="32">
        <v>30</v>
      </c>
      <c r="P93" s="32">
        <v>25</v>
      </c>
      <c r="Q93" s="32">
        <v>25</v>
      </c>
      <c r="R93" s="32">
        <v>25</v>
      </c>
      <c r="S93" s="32">
        <f t="shared" si="5"/>
        <v>910</v>
      </c>
    </row>
    <row r="94" spans="1:19" ht="21" x14ac:dyDescent="0.35">
      <c r="A94" s="32">
        <v>92</v>
      </c>
      <c r="B94" s="32">
        <f t="shared" si="4"/>
        <v>920</v>
      </c>
      <c r="C94" s="32">
        <v>120</v>
      </c>
      <c r="D94" s="32">
        <v>105</v>
      </c>
      <c r="E94" s="32">
        <v>90</v>
      </c>
      <c r="F94" s="32">
        <v>80</v>
      </c>
      <c r="G94" s="32">
        <v>70</v>
      </c>
      <c r="H94" s="32">
        <v>65</v>
      </c>
      <c r="I94" s="32">
        <v>60</v>
      </c>
      <c r="J94" s="32">
        <v>55</v>
      </c>
      <c r="K94" s="32">
        <v>50</v>
      </c>
      <c r="L94" s="32">
        <v>45</v>
      </c>
      <c r="M94" s="32">
        <v>40</v>
      </c>
      <c r="N94" s="32">
        <v>35</v>
      </c>
      <c r="O94" s="32">
        <v>30</v>
      </c>
      <c r="P94" s="32">
        <v>25</v>
      </c>
      <c r="Q94" s="32">
        <v>25</v>
      </c>
      <c r="R94" s="32">
        <v>25</v>
      </c>
      <c r="S94" s="32">
        <f t="shared" si="5"/>
        <v>920</v>
      </c>
    </row>
    <row r="95" spans="1:19" ht="21" x14ac:dyDescent="0.35">
      <c r="A95" s="32">
        <v>93</v>
      </c>
      <c r="B95" s="32">
        <f t="shared" si="4"/>
        <v>930</v>
      </c>
      <c r="C95" s="32">
        <v>100</v>
      </c>
      <c r="D95" s="32">
        <v>90</v>
      </c>
      <c r="E95" s="32">
        <v>85</v>
      </c>
      <c r="F95" s="32">
        <v>80</v>
      </c>
      <c r="G95" s="32">
        <v>75</v>
      </c>
      <c r="H95" s="32">
        <v>70</v>
      </c>
      <c r="I95" s="32">
        <v>65</v>
      </c>
      <c r="J95" s="32">
        <v>60</v>
      </c>
      <c r="K95" s="32">
        <v>55</v>
      </c>
      <c r="L95" s="32">
        <v>50</v>
      </c>
      <c r="M95" s="32">
        <v>45</v>
      </c>
      <c r="N95" s="32">
        <v>40</v>
      </c>
      <c r="O95" s="32">
        <v>35</v>
      </c>
      <c r="P95" s="32">
        <v>30</v>
      </c>
      <c r="Q95" s="32">
        <v>25</v>
      </c>
      <c r="R95" s="32">
        <v>25</v>
      </c>
      <c r="S95" s="32">
        <f t="shared" si="5"/>
        <v>930</v>
      </c>
    </row>
    <row r="96" spans="1:19" ht="21" x14ac:dyDescent="0.35">
      <c r="A96" s="32">
        <v>94</v>
      </c>
      <c r="B96" s="32">
        <f t="shared" si="4"/>
        <v>940</v>
      </c>
      <c r="C96" s="32">
        <v>105</v>
      </c>
      <c r="D96" s="32">
        <v>95</v>
      </c>
      <c r="E96" s="32">
        <v>85</v>
      </c>
      <c r="F96" s="32">
        <v>80</v>
      </c>
      <c r="G96" s="32">
        <v>75</v>
      </c>
      <c r="H96" s="32">
        <v>70</v>
      </c>
      <c r="I96" s="32">
        <v>65</v>
      </c>
      <c r="J96" s="32">
        <v>60</v>
      </c>
      <c r="K96" s="32">
        <v>55</v>
      </c>
      <c r="L96" s="32">
        <v>50</v>
      </c>
      <c r="M96" s="32">
        <v>45</v>
      </c>
      <c r="N96" s="32">
        <v>40</v>
      </c>
      <c r="O96" s="32">
        <v>35</v>
      </c>
      <c r="P96" s="32">
        <v>30</v>
      </c>
      <c r="Q96" s="32">
        <v>25</v>
      </c>
      <c r="R96" s="32">
        <v>25</v>
      </c>
      <c r="S96" s="32">
        <f t="shared" si="5"/>
        <v>940</v>
      </c>
    </row>
    <row r="97" spans="1:19" ht="21" x14ac:dyDescent="0.35">
      <c r="A97" s="32">
        <v>95</v>
      </c>
      <c r="B97" s="32">
        <f t="shared" si="4"/>
        <v>950</v>
      </c>
      <c r="C97" s="32">
        <v>115</v>
      </c>
      <c r="D97" s="32">
        <v>95</v>
      </c>
      <c r="E97" s="32">
        <v>85</v>
      </c>
      <c r="F97" s="32">
        <v>80</v>
      </c>
      <c r="G97" s="32">
        <v>75</v>
      </c>
      <c r="H97" s="32">
        <v>70</v>
      </c>
      <c r="I97" s="32">
        <v>65</v>
      </c>
      <c r="J97" s="32">
        <v>60</v>
      </c>
      <c r="K97" s="32">
        <v>55</v>
      </c>
      <c r="L97" s="32">
        <v>50</v>
      </c>
      <c r="M97" s="32">
        <v>45</v>
      </c>
      <c r="N97" s="32">
        <v>40</v>
      </c>
      <c r="O97" s="32">
        <v>35</v>
      </c>
      <c r="P97" s="32">
        <v>30</v>
      </c>
      <c r="Q97" s="32">
        <v>25</v>
      </c>
      <c r="R97" s="32">
        <v>25</v>
      </c>
      <c r="S97" s="32">
        <f t="shared" si="5"/>
        <v>950</v>
      </c>
    </row>
    <row r="98" spans="1:19" ht="21" x14ac:dyDescent="0.35">
      <c r="A98" s="32">
        <v>96</v>
      </c>
      <c r="B98" s="32">
        <f t="shared" si="4"/>
        <v>960</v>
      </c>
      <c r="C98" s="32">
        <v>115</v>
      </c>
      <c r="D98" s="32">
        <v>100</v>
      </c>
      <c r="E98" s="32">
        <v>90</v>
      </c>
      <c r="F98" s="32">
        <v>80</v>
      </c>
      <c r="G98" s="32">
        <v>75</v>
      </c>
      <c r="H98" s="32">
        <v>70</v>
      </c>
      <c r="I98" s="32">
        <v>65</v>
      </c>
      <c r="J98" s="32">
        <v>60</v>
      </c>
      <c r="K98" s="32">
        <v>55</v>
      </c>
      <c r="L98" s="32">
        <v>50</v>
      </c>
      <c r="M98" s="32">
        <v>45</v>
      </c>
      <c r="N98" s="32">
        <v>40</v>
      </c>
      <c r="O98" s="32">
        <v>35</v>
      </c>
      <c r="P98" s="32">
        <v>30</v>
      </c>
      <c r="Q98" s="32">
        <v>25</v>
      </c>
      <c r="R98" s="32">
        <v>25</v>
      </c>
      <c r="S98" s="32">
        <f t="shared" si="5"/>
        <v>960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98"/>
  <sheetViews>
    <sheetView workbookViewId="0"/>
  </sheetViews>
  <sheetFormatPr defaultRowHeight="15" x14ac:dyDescent="0.25"/>
  <sheetData>
    <row r="1" spans="1:19" ht="21" x14ac:dyDescent="0.35">
      <c r="A1" s="28">
        <v>20</v>
      </c>
      <c r="B1" s="29" t="s">
        <v>86</v>
      </c>
      <c r="C1" s="21"/>
      <c r="D1" s="30"/>
      <c r="E1" s="30"/>
      <c r="F1" s="30"/>
      <c r="G1" s="31" t="s">
        <v>87</v>
      </c>
      <c r="H1" s="30"/>
      <c r="I1" s="30"/>
      <c r="J1" s="31" t="s">
        <v>88</v>
      </c>
      <c r="K1" s="30"/>
      <c r="L1" s="30"/>
      <c r="M1" s="30"/>
      <c r="N1" s="30"/>
      <c r="O1" s="30"/>
      <c r="P1" s="30"/>
      <c r="Q1" s="30"/>
      <c r="R1" s="30"/>
      <c r="S1" s="30"/>
    </row>
    <row r="2" spans="1:19" ht="21" x14ac:dyDescent="0.35">
      <c r="A2" s="32" t="s">
        <v>89</v>
      </c>
      <c r="B2" s="32" t="s">
        <v>81</v>
      </c>
      <c r="C2" s="32" t="s">
        <v>90</v>
      </c>
      <c r="D2" s="32" t="s">
        <v>91</v>
      </c>
      <c r="E2" s="32" t="s">
        <v>92</v>
      </c>
      <c r="F2" s="32" t="s">
        <v>93</v>
      </c>
      <c r="G2" s="32" t="s">
        <v>94</v>
      </c>
      <c r="H2" s="32" t="s">
        <v>95</v>
      </c>
      <c r="I2" s="32" t="s">
        <v>96</v>
      </c>
      <c r="J2" s="32" t="s">
        <v>97</v>
      </c>
      <c r="K2" s="33" t="s">
        <v>98</v>
      </c>
      <c r="L2" s="32" t="s">
        <v>99</v>
      </c>
      <c r="M2" s="32" t="s">
        <v>100</v>
      </c>
      <c r="N2" s="32" t="s">
        <v>101</v>
      </c>
      <c r="O2" s="32" t="s">
        <v>102</v>
      </c>
      <c r="P2" s="32" t="s">
        <v>103</v>
      </c>
      <c r="Q2" s="32" t="s">
        <v>104</v>
      </c>
      <c r="R2" s="32" t="s">
        <v>105</v>
      </c>
      <c r="S2" s="32" t="s">
        <v>106</v>
      </c>
    </row>
    <row r="3" spans="1:19" ht="21" x14ac:dyDescent="0.35">
      <c r="A3" s="32">
        <v>1</v>
      </c>
      <c r="B3" s="32">
        <f t="shared" ref="B3:B34" si="0">A3*FGradPool20Fee</f>
        <v>20</v>
      </c>
      <c r="C3" s="32">
        <f>B3</f>
        <v>20</v>
      </c>
      <c r="D3" s="32"/>
      <c r="E3" s="32"/>
      <c r="F3" s="32"/>
      <c r="G3" s="32"/>
      <c r="H3" s="32"/>
      <c r="I3" s="32"/>
      <c r="J3" s="32"/>
      <c r="K3" s="33"/>
      <c r="L3" s="32"/>
      <c r="M3" s="32"/>
      <c r="N3" s="32"/>
      <c r="O3" s="32"/>
      <c r="P3" s="32"/>
      <c r="Q3" s="32"/>
      <c r="R3" s="32"/>
      <c r="S3" s="32">
        <f t="shared" ref="S3:S66" si="1">SUM(C3:R3)</f>
        <v>20</v>
      </c>
    </row>
    <row r="4" spans="1:19" ht="21" x14ac:dyDescent="0.35">
      <c r="A4" s="32">
        <v>2</v>
      </c>
      <c r="B4" s="32">
        <f t="shared" si="0"/>
        <v>40</v>
      </c>
      <c r="C4" s="32">
        <f t="shared" ref="C4:C8" si="2">B4</f>
        <v>40</v>
      </c>
      <c r="D4" s="32"/>
      <c r="E4" s="32"/>
      <c r="F4" s="32"/>
      <c r="G4" s="32"/>
      <c r="H4" s="32"/>
      <c r="I4" s="32"/>
      <c r="J4" s="32"/>
      <c r="K4" s="33"/>
      <c r="L4" s="32"/>
      <c r="M4" s="32"/>
      <c r="N4" s="32"/>
      <c r="O4" s="32"/>
      <c r="P4" s="32"/>
      <c r="Q4" s="32"/>
      <c r="R4" s="32"/>
      <c r="S4" s="32">
        <f t="shared" si="1"/>
        <v>40</v>
      </c>
    </row>
    <row r="5" spans="1:19" ht="21" x14ac:dyDescent="0.35">
      <c r="A5" s="32">
        <v>3</v>
      </c>
      <c r="B5" s="32">
        <f t="shared" si="0"/>
        <v>60</v>
      </c>
      <c r="C5" s="32">
        <f t="shared" si="2"/>
        <v>60</v>
      </c>
      <c r="D5" s="32"/>
      <c r="E5" s="32"/>
      <c r="F5" s="32"/>
      <c r="G5" s="32"/>
      <c r="H5" s="32"/>
      <c r="I5" s="32"/>
      <c r="J5" s="32"/>
      <c r="K5" s="33"/>
      <c r="L5" s="32"/>
      <c r="M5" s="32"/>
      <c r="N5" s="32"/>
      <c r="O5" s="32"/>
      <c r="P5" s="32"/>
      <c r="Q5" s="32"/>
      <c r="R5" s="32"/>
      <c r="S5" s="32">
        <f t="shared" si="1"/>
        <v>60</v>
      </c>
    </row>
    <row r="6" spans="1:19" ht="21" x14ac:dyDescent="0.35">
      <c r="A6" s="32">
        <v>4</v>
      </c>
      <c r="B6" s="32">
        <f t="shared" si="0"/>
        <v>80</v>
      </c>
      <c r="C6" s="32">
        <f t="shared" si="2"/>
        <v>80</v>
      </c>
      <c r="D6" s="32"/>
      <c r="E6" s="32"/>
      <c r="F6" s="32"/>
      <c r="G6" s="32"/>
      <c r="H6" s="32"/>
      <c r="I6" s="32"/>
      <c r="J6" s="32"/>
      <c r="K6" s="33"/>
      <c r="L6" s="32"/>
      <c r="M6" s="32"/>
      <c r="N6" s="32"/>
      <c r="O6" s="32"/>
      <c r="P6" s="32"/>
      <c r="Q6" s="32"/>
      <c r="R6" s="32"/>
      <c r="S6" s="32">
        <f t="shared" si="1"/>
        <v>80</v>
      </c>
    </row>
    <row r="7" spans="1:19" ht="21" x14ac:dyDescent="0.35">
      <c r="A7" s="32">
        <v>5</v>
      </c>
      <c r="B7" s="32">
        <f t="shared" si="0"/>
        <v>100</v>
      </c>
      <c r="C7" s="32">
        <f t="shared" si="2"/>
        <v>100</v>
      </c>
      <c r="D7" s="32"/>
      <c r="E7" s="32"/>
      <c r="F7" s="32"/>
      <c r="G7" s="32"/>
      <c r="H7" s="32"/>
      <c r="I7" s="32"/>
      <c r="J7" s="32"/>
      <c r="K7" s="33"/>
      <c r="L7" s="32"/>
      <c r="M7" s="32"/>
      <c r="N7" s="32"/>
      <c r="O7" s="32"/>
      <c r="P7" s="32"/>
      <c r="Q7" s="32"/>
      <c r="R7" s="32"/>
      <c r="S7" s="32">
        <f t="shared" si="1"/>
        <v>100</v>
      </c>
    </row>
    <row r="8" spans="1:19" ht="21" x14ac:dyDescent="0.35">
      <c r="A8" s="32">
        <v>6</v>
      </c>
      <c r="B8" s="32">
        <f t="shared" si="0"/>
        <v>120</v>
      </c>
      <c r="C8" s="32">
        <f t="shared" si="2"/>
        <v>120</v>
      </c>
      <c r="D8" s="32"/>
      <c r="E8" s="32"/>
      <c r="F8" s="32"/>
      <c r="G8" s="32"/>
      <c r="H8" s="32"/>
      <c r="I8" s="32"/>
      <c r="J8" s="32"/>
      <c r="K8" s="33"/>
      <c r="L8" s="32"/>
      <c r="M8" s="32"/>
      <c r="N8" s="32"/>
      <c r="O8" s="32"/>
      <c r="P8" s="32"/>
      <c r="Q8" s="32"/>
      <c r="R8" s="32"/>
      <c r="S8" s="32">
        <f t="shared" si="1"/>
        <v>120</v>
      </c>
    </row>
    <row r="9" spans="1:19" ht="21" x14ac:dyDescent="0.35">
      <c r="A9" s="32">
        <v>7</v>
      </c>
      <c r="B9" s="32">
        <f t="shared" si="0"/>
        <v>140</v>
      </c>
      <c r="C9" s="32">
        <v>90</v>
      </c>
      <c r="D9" s="32">
        <v>50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>
        <f t="shared" si="1"/>
        <v>140</v>
      </c>
    </row>
    <row r="10" spans="1:19" ht="21" x14ac:dyDescent="0.35">
      <c r="A10" s="32">
        <v>8</v>
      </c>
      <c r="B10" s="32">
        <f t="shared" si="0"/>
        <v>160</v>
      </c>
      <c r="C10" s="32">
        <v>110</v>
      </c>
      <c r="D10" s="32">
        <v>50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>
        <f t="shared" si="1"/>
        <v>160</v>
      </c>
    </row>
    <row r="11" spans="1:19" ht="21" x14ac:dyDescent="0.35">
      <c r="A11" s="32">
        <v>9</v>
      </c>
      <c r="B11" s="32">
        <f t="shared" si="0"/>
        <v>180</v>
      </c>
      <c r="C11" s="32">
        <v>120</v>
      </c>
      <c r="D11" s="32">
        <v>60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>
        <f t="shared" si="1"/>
        <v>180</v>
      </c>
    </row>
    <row r="12" spans="1:19" ht="21" x14ac:dyDescent="0.35">
      <c r="A12" s="32">
        <v>10</v>
      </c>
      <c r="B12" s="32">
        <f t="shared" si="0"/>
        <v>200</v>
      </c>
      <c r="C12" s="32">
        <v>140</v>
      </c>
      <c r="D12" s="32">
        <v>60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>
        <f t="shared" si="1"/>
        <v>200</v>
      </c>
    </row>
    <row r="13" spans="1:19" ht="21" x14ac:dyDescent="0.35">
      <c r="A13" s="32">
        <v>11</v>
      </c>
      <c r="B13" s="32">
        <f t="shared" si="0"/>
        <v>220</v>
      </c>
      <c r="C13" s="32">
        <v>150</v>
      </c>
      <c r="D13" s="32">
        <v>70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>
        <f t="shared" si="1"/>
        <v>220</v>
      </c>
    </row>
    <row r="14" spans="1:19" ht="21" x14ac:dyDescent="0.35">
      <c r="A14" s="32">
        <v>12</v>
      </c>
      <c r="B14" s="32">
        <f t="shared" si="0"/>
        <v>240</v>
      </c>
      <c r="C14" s="32">
        <v>160</v>
      </c>
      <c r="D14" s="32">
        <v>80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>
        <f t="shared" si="1"/>
        <v>240</v>
      </c>
    </row>
    <row r="15" spans="1:19" ht="21" x14ac:dyDescent="0.35">
      <c r="A15" s="32">
        <v>13</v>
      </c>
      <c r="B15" s="32">
        <f t="shared" si="0"/>
        <v>260</v>
      </c>
      <c r="C15" s="32">
        <v>130</v>
      </c>
      <c r="D15" s="32">
        <v>80</v>
      </c>
      <c r="E15" s="32">
        <v>50</v>
      </c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>
        <f t="shared" si="1"/>
        <v>260</v>
      </c>
    </row>
    <row r="16" spans="1:19" ht="21" x14ac:dyDescent="0.35">
      <c r="A16" s="32">
        <v>14</v>
      </c>
      <c r="B16" s="32">
        <f t="shared" si="0"/>
        <v>280</v>
      </c>
      <c r="C16" s="32">
        <v>140</v>
      </c>
      <c r="D16" s="32">
        <v>90</v>
      </c>
      <c r="E16" s="32">
        <v>50</v>
      </c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>
        <f t="shared" si="1"/>
        <v>280</v>
      </c>
    </row>
    <row r="17" spans="1:19" ht="21" x14ac:dyDescent="0.35">
      <c r="A17" s="32">
        <v>15</v>
      </c>
      <c r="B17" s="32">
        <f t="shared" si="0"/>
        <v>300</v>
      </c>
      <c r="C17" s="32">
        <v>150</v>
      </c>
      <c r="D17" s="32">
        <v>100</v>
      </c>
      <c r="E17" s="32">
        <v>50</v>
      </c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>
        <f t="shared" si="1"/>
        <v>300</v>
      </c>
    </row>
    <row r="18" spans="1:19" ht="21" x14ac:dyDescent="0.35">
      <c r="A18" s="32">
        <v>16</v>
      </c>
      <c r="B18" s="32">
        <f t="shared" si="0"/>
        <v>320</v>
      </c>
      <c r="C18" s="32">
        <v>170</v>
      </c>
      <c r="D18" s="32">
        <v>100</v>
      </c>
      <c r="E18" s="32">
        <v>50</v>
      </c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>
        <f t="shared" si="1"/>
        <v>320</v>
      </c>
    </row>
    <row r="19" spans="1:19" ht="21" x14ac:dyDescent="0.35">
      <c r="A19" s="32">
        <v>17</v>
      </c>
      <c r="B19" s="32">
        <f t="shared" si="0"/>
        <v>340</v>
      </c>
      <c r="C19" s="32">
        <v>180</v>
      </c>
      <c r="D19" s="32">
        <v>110</v>
      </c>
      <c r="E19" s="32">
        <v>50</v>
      </c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>
        <f t="shared" si="1"/>
        <v>340</v>
      </c>
    </row>
    <row r="20" spans="1:19" ht="21" x14ac:dyDescent="0.35">
      <c r="A20" s="32">
        <v>18</v>
      </c>
      <c r="B20" s="32">
        <f t="shared" si="0"/>
        <v>360</v>
      </c>
      <c r="C20" s="32">
        <v>180</v>
      </c>
      <c r="D20" s="32">
        <v>120</v>
      </c>
      <c r="E20" s="32">
        <v>60</v>
      </c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>
        <f t="shared" si="1"/>
        <v>360</v>
      </c>
    </row>
    <row r="21" spans="1:19" ht="21" x14ac:dyDescent="0.35">
      <c r="A21" s="32">
        <v>19</v>
      </c>
      <c r="B21" s="32">
        <f t="shared" si="0"/>
        <v>380</v>
      </c>
      <c r="C21" s="32">
        <v>150</v>
      </c>
      <c r="D21" s="32">
        <v>110</v>
      </c>
      <c r="E21" s="32">
        <v>70</v>
      </c>
      <c r="F21" s="32">
        <v>50</v>
      </c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>
        <f t="shared" si="1"/>
        <v>380</v>
      </c>
    </row>
    <row r="22" spans="1:19" ht="21" x14ac:dyDescent="0.35">
      <c r="A22" s="32">
        <v>20</v>
      </c>
      <c r="B22" s="32">
        <f t="shared" si="0"/>
        <v>400</v>
      </c>
      <c r="C22" s="32">
        <v>170</v>
      </c>
      <c r="D22" s="32">
        <v>110</v>
      </c>
      <c r="E22" s="32">
        <v>70</v>
      </c>
      <c r="F22" s="32">
        <v>50</v>
      </c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>
        <f t="shared" si="1"/>
        <v>400</v>
      </c>
    </row>
    <row r="23" spans="1:19" ht="21" x14ac:dyDescent="0.35">
      <c r="A23" s="32">
        <v>21</v>
      </c>
      <c r="B23" s="32">
        <f t="shared" si="0"/>
        <v>420</v>
      </c>
      <c r="C23" s="32">
        <v>170</v>
      </c>
      <c r="D23" s="32">
        <v>120</v>
      </c>
      <c r="E23" s="32">
        <v>80</v>
      </c>
      <c r="F23" s="32">
        <v>50</v>
      </c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>
        <f t="shared" si="1"/>
        <v>420</v>
      </c>
    </row>
    <row r="24" spans="1:19" ht="21" x14ac:dyDescent="0.35">
      <c r="A24" s="32">
        <v>22</v>
      </c>
      <c r="B24" s="32">
        <f t="shared" si="0"/>
        <v>440</v>
      </c>
      <c r="C24" s="32">
        <v>180</v>
      </c>
      <c r="D24" s="32">
        <v>130</v>
      </c>
      <c r="E24" s="32">
        <v>80</v>
      </c>
      <c r="F24" s="32">
        <v>50</v>
      </c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>
        <f t="shared" si="1"/>
        <v>440</v>
      </c>
    </row>
    <row r="25" spans="1:19" ht="21" x14ac:dyDescent="0.35">
      <c r="A25" s="32">
        <v>23</v>
      </c>
      <c r="B25" s="32">
        <f t="shared" si="0"/>
        <v>460</v>
      </c>
      <c r="C25" s="32">
        <v>190</v>
      </c>
      <c r="D25" s="32">
        <v>130</v>
      </c>
      <c r="E25" s="32">
        <v>90</v>
      </c>
      <c r="F25" s="32">
        <v>50</v>
      </c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>
        <f t="shared" si="1"/>
        <v>460</v>
      </c>
    </row>
    <row r="26" spans="1:19" ht="21" x14ac:dyDescent="0.35">
      <c r="A26" s="32">
        <v>24</v>
      </c>
      <c r="B26" s="32">
        <f t="shared" si="0"/>
        <v>480</v>
      </c>
      <c r="C26" s="32">
        <v>200</v>
      </c>
      <c r="D26" s="32">
        <v>140</v>
      </c>
      <c r="E26" s="32">
        <v>90</v>
      </c>
      <c r="F26" s="32">
        <v>50</v>
      </c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>
        <f t="shared" si="1"/>
        <v>480</v>
      </c>
    </row>
    <row r="27" spans="1:19" ht="21" x14ac:dyDescent="0.35">
      <c r="A27" s="32">
        <v>25</v>
      </c>
      <c r="B27" s="32">
        <f t="shared" si="0"/>
        <v>500</v>
      </c>
      <c r="C27" s="32">
        <v>170</v>
      </c>
      <c r="D27" s="32">
        <v>120</v>
      </c>
      <c r="E27" s="32">
        <v>90</v>
      </c>
      <c r="F27" s="32">
        <v>70</v>
      </c>
      <c r="G27" s="32">
        <v>50</v>
      </c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>
        <f t="shared" si="1"/>
        <v>500</v>
      </c>
    </row>
    <row r="28" spans="1:19" ht="21" x14ac:dyDescent="0.35">
      <c r="A28" s="32">
        <v>26</v>
      </c>
      <c r="B28" s="32">
        <f t="shared" si="0"/>
        <v>520</v>
      </c>
      <c r="C28" s="32">
        <v>170</v>
      </c>
      <c r="D28" s="32">
        <v>130</v>
      </c>
      <c r="E28" s="32">
        <v>100</v>
      </c>
      <c r="F28" s="32">
        <v>70</v>
      </c>
      <c r="G28" s="32">
        <v>50</v>
      </c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>
        <f t="shared" si="1"/>
        <v>520</v>
      </c>
    </row>
    <row r="29" spans="1:19" ht="21" x14ac:dyDescent="0.35">
      <c r="A29" s="32">
        <v>27</v>
      </c>
      <c r="B29" s="32">
        <f t="shared" si="0"/>
        <v>540</v>
      </c>
      <c r="C29" s="32">
        <v>180</v>
      </c>
      <c r="D29" s="32">
        <v>140</v>
      </c>
      <c r="E29" s="32">
        <v>100</v>
      </c>
      <c r="F29" s="32">
        <v>70</v>
      </c>
      <c r="G29" s="32">
        <v>50</v>
      </c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>
        <f t="shared" si="1"/>
        <v>540</v>
      </c>
    </row>
    <row r="30" spans="1:19" ht="21" x14ac:dyDescent="0.35">
      <c r="A30" s="32">
        <v>28</v>
      </c>
      <c r="B30" s="32">
        <f t="shared" si="0"/>
        <v>560</v>
      </c>
      <c r="C30" s="32">
        <v>200</v>
      </c>
      <c r="D30" s="32">
        <v>140</v>
      </c>
      <c r="E30" s="32">
        <v>100</v>
      </c>
      <c r="F30" s="32">
        <v>70</v>
      </c>
      <c r="G30" s="32">
        <v>50</v>
      </c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>
        <f t="shared" si="1"/>
        <v>560</v>
      </c>
    </row>
    <row r="31" spans="1:19" ht="21" x14ac:dyDescent="0.35">
      <c r="A31" s="32">
        <v>29</v>
      </c>
      <c r="B31" s="32">
        <f t="shared" si="0"/>
        <v>580</v>
      </c>
      <c r="C31" s="32">
        <v>190</v>
      </c>
      <c r="D31" s="32">
        <v>150</v>
      </c>
      <c r="E31" s="32">
        <v>110</v>
      </c>
      <c r="F31" s="32">
        <v>80</v>
      </c>
      <c r="G31" s="32">
        <v>50</v>
      </c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>
        <f t="shared" si="1"/>
        <v>580</v>
      </c>
    </row>
    <row r="32" spans="1:19" ht="21" x14ac:dyDescent="0.35">
      <c r="A32" s="32">
        <v>30</v>
      </c>
      <c r="B32" s="32">
        <f t="shared" si="0"/>
        <v>600</v>
      </c>
      <c r="C32" s="32">
        <v>200</v>
      </c>
      <c r="D32" s="32">
        <v>150</v>
      </c>
      <c r="E32" s="32">
        <v>110</v>
      </c>
      <c r="F32" s="32">
        <v>80</v>
      </c>
      <c r="G32" s="32">
        <v>60</v>
      </c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>
        <f t="shared" si="1"/>
        <v>600</v>
      </c>
    </row>
    <row r="33" spans="1:19" ht="21" x14ac:dyDescent="0.35">
      <c r="A33" s="32">
        <v>31</v>
      </c>
      <c r="B33" s="32">
        <f t="shared" si="0"/>
        <v>620</v>
      </c>
      <c r="C33" s="32">
        <v>170</v>
      </c>
      <c r="D33" s="32">
        <v>130</v>
      </c>
      <c r="E33" s="32">
        <v>110</v>
      </c>
      <c r="F33" s="32">
        <v>90</v>
      </c>
      <c r="G33" s="32">
        <v>70</v>
      </c>
      <c r="H33" s="32">
        <v>50</v>
      </c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>
        <f t="shared" si="1"/>
        <v>620</v>
      </c>
    </row>
    <row r="34" spans="1:19" ht="21" x14ac:dyDescent="0.35">
      <c r="A34" s="32">
        <v>32</v>
      </c>
      <c r="B34" s="32">
        <f t="shared" si="0"/>
        <v>640</v>
      </c>
      <c r="C34" s="32">
        <v>180</v>
      </c>
      <c r="D34" s="32">
        <v>140</v>
      </c>
      <c r="E34" s="32">
        <v>110</v>
      </c>
      <c r="F34" s="32">
        <v>90</v>
      </c>
      <c r="G34" s="32">
        <v>70</v>
      </c>
      <c r="H34" s="32">
        <v>50</v>
      </c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>
        <f t="shared" si="1"/>
        <v>640</v>
      </c>
    </row>
    <row r="35" spans="1:19" ht="21" x14ac:dyDescent="0.35">
      <c r="A35" s="32">
        <v>33</v>
      </c>
      <c r="B35" s="32">
        <f t="shared" ref="B35:B66" si="3">A35*FGradPool20Fee</f>
        <v>660</v>
      </c>
      <c r="C35" s="32">
        <v>180</v>
      </c>
      <c r="D35" s="32">
        <v>150</v>
      </c>
      <c r="E35" s="32">
        <v>120</v>
      </c>
      <c r="F35" s="32">
        <v>90</v>
      </c>
      <c r="G35" s="32">
        <v>70</v>
      </c>
      <c r="H35" s="32">
        <v>50</v>
      </c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>
        <f t="shared" si="1"/>
        <v>660</v>
      </c>
    </row>
    <row r="36" spans="1:19" ht="21" x14ac:dyDescent="0.35">
      <c r="A36" s="32">
        <v>34</v>
      </c>
      <c r="B36" s="32">
        <f t="shared" si="3"/>
        <v>680</v>
      </c>
      <c r="C36" s="32">
        <v>200</v>
      </c>
      <c r="D36" s="32">
        <v>150</v>
      </c>
      <c r="E36" s="32">
        <v>120</v>
      </c>
      <c r="F36" s="32">
        <v>90</v>
      </c>
      <c r="G36" s="32">
        <v>70</v>
      </c>
      <c r="H36" s="32">
        <v>50</v>
      </c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>
        <f t="shared" si="1"/>
        <v>680</v>
      </c>
    </row>
    <row r="37" spans="1:19" ht="21" x14ac:dyDescent="0.35">
      <c r="A37" s="32">
        <v>35</v>
      </c>
      <c r="B37" s="32">
        <f t="shared" si="3"/>
        <v>700</v>
      </c>
      <c r="C37" s="32">
        <v>200</v>
      </c>
      <c r="D37" s="32">
        <v>160</v>
      </c>
      <c r="E37" s="32">
        <v>120</v>
      </c>
      <c r="F37" s="32">
        <v>90</v>
      </c>
      <c r="G37" s="32">
        <v>70</v>
      </c>
      <c r="H37" s="32">
        <v>60</v>
      </c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>
        <f t="shared" si="1"/>
        <v>700</v>
      </c>
    </row>
    <row r="38" spans="1:19" ht="21" x14ac:dyDescent="0.35">
      <c r="A38" s="32">
        <v>36</v>
      </c>
      <c r="B38" s="32">
        <f t="shared" si="3"/>
        <v>720</v>
      </c>
      <c r="C38" s="32">
        <v>200</v>
      </c>
      <c r="D38" s="32">
        <v>160</v>
      </c>
      <c r="E38" s="32">
        <v>130</v>
      </c>
      <c r="F38" s="32">
        <v>100</v>
      </c>
      <c r="G38" s="32">
        <v>70</v>
      </c>
      <c r="H38" s="32">
        <v>60</v>
      </c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>
        <f t="shared" si="1"/>
        <v>720</v>
      </c>
    </row>
    <row r="39" spans="1:19" ht="21" x14ac:dyDescent="0.35">
      <c r="A39" s="32">
        <v>37</v>
      </c>
      <c r="B39" s="32">
        <f t="shared" si="3"/>
        <v>740</v>
      </c>
      <c r="C39" s="32">
        <v>180</v>
      </c>
      <c r="D39" s="32">
        <v>150</v>
      </c>
      <c r="E39" s="32">
        <v>120</v>
      </c>
      <c r="F39" s="32">
        <v>100</v>
      </c>
      <c r="G39" s="32">
        <v>80</v>
      </c>
      <c r="H39" s="32">
        <v>60</v>
      </c>
      <c r="I39" s="32">
        <v>50</v>
      </c>
      <c r="J39" s="32"/>
      <c r="K39" s="32"/>
      <c r="L39" s="32"/>
      <c r="M39" s="32"/>
      <c r="N39" s="32"/>
      <c r="O39" s="32"/>
      <c r="P39" s="32"/>
      <c r="Q39" s="32"/>
      <c r="R39" s="32"/>
      <c r="S39" s="32">
        <f t="shared" si="1"/>
        <v>740</v>
      </c>
    </row>
    <row r="40" spans="1:19" ht="21" x14ac:dyDescent="0.35">
      <c r="A40" s="32">
        <v>38</v>
      </c>
      <c r="B40" s="32">
        <f t="shared" si="3"/>
        <v>760</v>
      </c>
      <c r="C40" s="32">
        <v>200</v>
      </c>
      <c r="D40" s="32">
        <v>150</v>
      </c>
      <c r="E40" s="32">
        <v>120</v>
      </c>
      <c r="F40" s="32">
        <v>100</v>
      </c>
      <c r="G40" s="32">
        <v>80</v>
      </c>
      <c r="H40" s="32">
        <v>60</v>
      </c>
      <c r="I40" s="32">
        <v>50</v>
      </c>
      <c r="J40" s="32"/>
      <c r="K40" s="32"/>
      <c r="L40" s="32"/>
      <c r="M40" s="32"/>
      <c r="N40" s="32"/>
      <c r="O40" s="32"/>
      <c r="P40" s="32"/>
      <c r="Q40" s="32"/>
      <c r="R40" s="32"/>
      <c r="S40" s="32">
        <f t="shared" si="1"/>
        <v>760</v>
      </c>
    </row>
    <row r="41" spans="1:19" ht="21" x14ac:dyDescent="0.35">
      <c r="A41" s="32">
        <v>39</v>
      </c>
      <c r="B41" s="32">
        <f t="shared" si="3"/>
        <v>780</v>
      </c>
      <c r="C41" s="32">
        <v>200</v>
      </c>
      <c r="D41" s="32">
        <v>160</v>
      </c>
      <c r="E41" s="32">
        <v>130</v>
      </c>
      <c r="F41" s="32">
        <v>100</v>
      </c>
      <c r="G41" s="32">
        <v>80</v>
      </c>
      <c r="H41" s="32">
        <v>60</v>
      </c>
      <c r="I41" s="32">
        <v>50</v>
      </c>
      <c r="J41" s="32"/>
      <c r="K41" s="32"/>
      <c r="L41" s="32"/>
      <c r="M41" s="32"/>
      <c r="N41" s="32"/>
      <c r="O41" s="32"/>
      <c r="P41" s="32"/>
      <c r="Q41" s="32"/>
      <c r="R41" s="32"/>
      <c r="S41" s="32">
        <f t="shared" si="1"/>
        <v>780</v>
      </c>
    </row>
    <row r="42" spans="1:19" ht="21" x14ac:dyDescent="0.35">
      <c r="A42" s="32">
        <v>40</v>
      </c>
      <c r="B42" s="32">
        <f t="shared" si="3"/>
        <v>800</v>
      </c>
      <c r="C42" s="32">
        <v>190</v>
      </c>
      <c r="D42" s="32">
        <v>160</v>
      </c>
      <c r="E42" s="32">
        <v>130</v>
      </c>
      <c r="F42" s="32">
        <v>110</v>
      </c>
      <c r="G42" s="32">
        <v>90</v>
      </c>
      <c r="H42" s="32">
        <v>70</v>
      </c>
      <c r="I42" s="32">
        <v>50</v>
      </c>
      <c r="J42" s="32"/>
      <c r="K42" s="32"/>
      <c r="L42" s="32"/>
      <c r="M42" s="32"/>
      <c r="N42" s="32"/>
      <c r="O42" s="32"/>
      <c r="P42" s="32"/>
      <c r="Q42" s="32"/>
      <c r="R42" s="32"/>
      <c r="S42" s="32">
        <f t="shared" si="1"/>
        <v>800</v>
      </c>
    </row>
    <row r="43" spans="1:19" ht="21" x14ac:dyDescent="0.35">
      <c r="A43" s="32">
        <v>41</v>
      </c>
      <c r="B43" s="32">
        <f t="shared" si="3"/>
        <v>820</v>
      </c>
      <c r="C43" s="32">
        <v>200</v>
      </c>
      <c r="D43" s="32">
        <v>160</v>
      </c>
      <c r="E43" s="32">
        <v>130</v>
      </c>
      <c r="F43" s="32">
        <v>110</v>
      </c>
      <c r="G43" s="32">
        <v>90</v>
      </c>
      <c r="H43" s="32">
        <v>70</v>
      </c>
      <c r="I43" s="32">
        <v>60</v>
      </c>
      <c r="J43" s="32"/>
      <c r="K43" s="32"/>
      <c r="L43" s="32"/>
      <c r="M43" s="32"/>
      <c r="N43" s="32"/>
      <c r="O43" s="32"/>
      <c r="P43" s="32"/>
      <c r="Q43" s="32"/>
      <c r="R43" s="32"/>
      <c r="S43" s="32">
        <f t="shared" si="1"/>
        <v>820</v>
      </c>
    </row>
    <row r="44" spans="1:19" ht="21" x14ac:dyDescent="0.35">
      <c r="A44" s="32">
        <v>42</v>
      </c>
      <c r="B44" s="32">
        <f t="shared" si="3"/>
        <v>840</v>
      </c>
      <c r="C44" s="32">
        <v>200</v>
      </c>
      <c r="D44" s="32">
        <v>170</v>
      </c>
      <c r="E44" s="32">
        <v>140</v>
      </c>
      <c r="F44" s="32">
        <v>110</v>
      </c>
      <c r="G44" s="32">
        <v>90</v>
      </c>
      <c r="H44" s="32">
        <v>70</v>
      </c>
      <c r="I44" s="32">
        <v>60</v>
      </c>
      <c r="J44" s="32"/>
      <c r="K44" s="32"/>
      <c r="L44" s="32"/>
      <c r="M44" s="32"/>
      <c r="N44" s="32"/>
      <c r="O44" s="32"/>
      <c r="P44" s="32"/>
      <c r="Q44" s="32"/>
      <c r="R44" s="32"/>
      <c r="S44" s="32">
        <f t="shared" si="1"/>
        <v>840</v>
      </c>
    </row>
    <row r="45" spans="1:19" ht="21" x14ac:dyDescent="0.35">
      <c r="A45" s="32">
        <v>43</v>
      </c>
      <c r="B45" s="32">
        <f t="shared" si="3"/>
        <v>860</v>
      </c>
      <c r="C45" s="32">
        <v>190</v>
      </c>
      <c r="D45" s="32">
        <v>160</v>
      </c>
      <c r="E45" s="32">
        <v>130</v>
      </c>
      <c r="F45" s="32">
        <v>110</v>
      </c>
      <c r="G45" s="32">
        <v>90</v>
      </c>
      <c r="H45" s="32">
        <v>70</v>
      </c>
      <c r="I45" s="32">
        <v>60</v>
      </c>
      <c r="J45" s="32">
        <v>50</v>
      </c>
      <c r="K45" s="32"/>
      <c r="L45" s="32"/>
      <c r="M45" s="32"/>
      <c r="N45" s="32"/>
      <c r="O45" s="32"/>
      <c r="P45" s="32"/>
      <c r="Q45" s="32"/>
      <c r="R45" s="32"/>
      <c r="S45" s="32">
        <f t="shared" si="1"/>
        <v>860</v>
      </c>
    </row>
    <row r="46" spans="1:19" ht="21" x14ac:dyDescent="0.35">
      <c r="A46" s="32">
        <v>44</v>
      </c>
      <c r="B46" s="32">
        <f t="shared" si="3"/>
        <v>880</v>
      </c>
      <c r="C46" s="32">
        <v>200</v>
      </c>
      <c r="D46" s="32">
        <v>170</v>
      </c>
      <c r="E46" s="32">
        <v>140</v>
      </c>
      <c r="F46" s="32">
        <v>110</v>
      </c>
      <c r="G46" s="32">
        <v>80</v>
      </c>
      <c r="H46" s="32">
        <v>70</v>
      </c>
      <c r="I46" s="32">
        <v>60</v>
      </c>
      <c r="J46" s="32">
        <v>50</v>
      </c>
      <c r="K46" s="32"/>
      <c r="L46" s="32"/>
      <c r="M46" s="32"/>
      <c r="N46" s="32"/>
      <c r="O46" s="32"/>
      <c r="P46" s="32"/>
      <c r="Q46" s="32"/>
      <c r="R46" s="32"/>
      <c r="S46" s="32">
        <f t="shared" si="1"/>
        <v>880</v>
      </c>
    </row>
    <row r="47" spans="1:19" ht="21" x14ac:dyDescent="0.35">
      <c r="A47" s="32">
        <v>45</v>
      </c>
      <c r="B47" s="32">
        <f t="shared" si="3"/>
        <v>900</v>
      </c>
      <c r="C47" s="32">
        <v>190</v>
      </c>
      <c r="D47" s="32">
        <v>160</v>
      </c>
      <c r="E47" s="32">
        <v>140</v>
      </c>
      <c r="F47" s="32">
        <v>120</v>
      </c>
      <c r="G47" s="32">
        <v>100</v>
      </c>
      <c r="H47" s="32">
        <v>80</v>
      </c>
      <c r="I47" s="32">
        <v>60</v>
      </c>
      <c r="J47" s="32">
        <v>50</v>
      </c>
      <c r="K47" s="32"/>
      <c r="L47" s="32"/>
      <c r="M47" s="32"/>
      <c r="N47" s="32"/>
      <c r="O47" s="32"/>
      <c r="P47" s="32"/>
      <c r="Q47" s="32"/>
      <c r="R47" s="32"/>
      <c r="S47" s="32">
        <f t="shared" si="1"/>
        <v>900</v>
      </c>
    </row>
    <row r="48" spans="1:19" ht="21" x14ac:dyDescent="0.35">
      <c r="A48" s="32">
        <v>46</v>
      </c>
      <c r="B48" s="32">
        <f t="shared" si="3"/>
        <v>920</v>
      </c>
      <c r="C48" s="32">
        <v>200</v>
      </c>
      <c r="D48" s="32">
        <v>170</v>
      </c>
      <c r="E48" s="32">
        <v>140</v>
      </c>
      <c r="F48" s="32">
        <v>120</v>
      </c>
      <c r="G48" s="32">
        <v>100</v>
      </c>
      <c r="H48" s="32">
        <v>80</v>
      </c>
      <c r="I48" s="32">
        <v>60</v>
      </c>
      <c r="J48" s="32">
        <v>50</v>
      </c>
      <c r="K48" s="32"/>
      <c r="L48" s="32"/>
      <c r="M48" s="32"/>
      <c r="N48" s="32"/>
      <c r="O48" s="32"/>
      <c r="P48" s="32"/>
      <c r="Q48" s="32"/>
      <c r="R48" s="32"/>
      <c r="S48" s="32">
        <f t="shared" si="1"/>
        <v>920</v>
      </c>
    </row>
    <row r="49" spans="1:19" ht="21" x14ac:dyDescent="0.35">
      <c r="A49" s="32">
        <v>47</v>
      </c>
      <c r="B49" s="32">
        <f t="shared" si="3"/>
        <v>940</v>
      </c>
      <c r="C49" s="32">
        <v>220</v>
      </c>
      <c r="D49" s="32">
        <v>170</v>
      </c>
      <c r="E49" s="32">
        <v>140</v>
      </c>
      <c r="F49" s="32">
        <v>120</v>
      </c>
      <c r="G49" s="32">
        <v>100</v>
      </c>
      <c r="H49" s="32">
        <v>80</v>
      </c>
      <c r="I49" s="32">
        <v>60</v>
      </c>
      <c r="J49" s="32">
        <v>50</v>
      </c>
      <c r="K49" s="32"/>
      <c r="L49" s="32"/>
      <c r="M49" s="32"/>
      <c r="N49" s="32"/>
      <c r="O49" s="32"/>
      <c r="P49" s="32"/>
      <c r="Q49" s="32"/>
      <c r="R49" s="32"/>
      <c r="S49" s="32">
        <f t="shared" si="1"/>
        <v>940</v>
      </c>
    </row>
    <row r="50" spans="1:19" ht="21" x14ac:dyDescent="0.35">
      <c r="A50" s="32">
        <v>48</v>
      </c>
      <c r="B50" s="32">
        <f t="shared" si="3"/>
        <v>960</v>
      </c>
      <c r="C50" s="32">
        <v>190</v>
      </c>
      <c r="D50" s="32">
        <v>170</v>
      </c>
      <c r="E50" s="32">
        <v>150</v>
      </c>
      <c r="F50" s="32">
        <v>130</v>
      </c>
      <c r="G50" s="32">
        <v>110</v>
      </c>
      <c r="H50" s="32">
        <v>90</v>
      </c>
      <c r="I50" s="32">
        <v>70</v>
      </c>
      <c r="J50" s="32">
        <v>50</v>
      </c>
      <c r="K50" s="32"/>
      <c r="L50" s="32"/>
      <c r="M50" s="32"/>
      <c r="N50" s="32"/>
      <c r="O50" s="32"/>
      <c r="P50" s="32"/>
      <c r="Q50" s="32"/>
      <c r="R50" s="32"/>
      <c r="S50" s="32">
        <f t="shared" si="1"/>
        <v>960</v>
      </c>
    </row>
    <row r="51" spans="1:19" ht="21" x14ac:dyDescent="0.35">
      <c r="A51" s="32">
        <v>49</v>
      </c>
      <c r="B51" s="32">
        <f t="shared" si="3"/>
        <v>980</v>
      </c>
      <c r="C51" s="32">
        <v>200</v>
      </c>
      <c r="D51" s="32">
        <v>160</v>
      </c>
      <c r="E51" s="32">
        <v>140</v>
      </c>
      <c r="F51" s="32">
        <v>120</v>
      </c>
      <c r="G51" s="32">
        <v>100</v>
      </c>
      <c r="H51" s="32">
        <v>80</v>
      </c>
      <c r="I51" s="32">
        <v>70</v>
      </c>
      <c r="J51" s="32">
        <v>60</v>
      </c>
      <c r="K51" s="32">
        <v>50</v>
      </c>
      <c r="L51" s="32"/>
      <c r="M51" s="32"/>
      <c r="N51" s="32"/>
      <c r="O51" s="32"/>
      <c r="P51" s="32"/>
      <c r="Q51" s="32"/>
      <c r="R51" s="32"/>
      <c r="S51" s="32">
        <f t="shared" si="1"/>
        <v>980</v>
      </c>
    </row>
    <row r="52" spans="1:19" ht="21" x14ac:dyDescent="0.35">
      <c r="A52" s="32">
        <v>50</v>
      </c>
      <c r="B52" s="32">
        <f t="shared" si="3"/>
        <v>1000</v>
      </c>
      <c r="C52" s="32">
        <v>210</v>
      </c>
      <c r="D52" s="32">
        <v>170</v>
      </c>
      <c r="E52" s="32">
        <v>140</v>
      </c>
      <c r="F52" s="32">
        <v>120</v>
      </c>
      <c r="G52" s="32">
        <v>100</v>
      </c>
      <c r="H52" s="32">
        <v>80</v>
      </c>
      <c r="I52" s="32">
        <v>70</v>
      </c>
      <c r="J52" s="32">
        <v>60</v>
      </c>
      <c r="K52" s="32">
        <v>50</v>
      </c>
      <c r="L52" s="32"/>
      <c r="M52" s="32"/>
      <c r="N52" s="32"/>
      <c r="O52" s="32"/>
      <c r="P52" s="32"/>
      <c r="Q52" s="32"/>
      <c r="R52" s="32"/>
      <c r="S52" s="32">
        <f t="shared" si="1"/>
        <v>1000</v>
      </c>
    </row>
    <row r="53" spans="1:19" ht="21" x14ac:dyDescent="0.35">
      <c r="A53" s="32">
        <v>51</v>
      </c>
      <c r="B53" s="32">
        <f t="shared" si="3"/>
        <v>1020</v>
      </c>
      <c r="C53" s="32">
        <v>210</v>
      </c>
      <c r="D53" s="32">
        <v>180</v>
      </c>
      <c r="E53" s="32">
        <v>150</v>
      </c>
      <c r="F53" s="32">
        <v>120</v>
      </c>
      <c r="G53" s="32">
        <v>100</v>
      </c>
      <c r="H53" s="32">
        <v>80</v>
      </c>
      <c r="I53" s="32">
        <v>70</v>
      </c>
      <c r="J53" s="32">
        <v>60</v>
      </c>
      <c r="K53" s="32">
        <v>50</v>
      </c>
      <c r="L53" s="32"/>
      <c r="M53" s="32"/>
      <c r="N53" s="32"/>
      <c r="O53" s="32"/>
      <c r="P53" s="32"/>
      <c r="Q53" s="32"/>
      <c r="R53" s="32"/>
      <c r="S53" s="32">
        <f t="shared" si="1"/>
        <v>1020</v>
      </c>
    </row>
    <row r="54" spans="1:19" ht="21" x14ac:dyDescent="0.35">
      <c r="A54" s="32">
        <v>52</v>
      </c>
      <c r="B54" s="32">
        <f t="shared" si="3"/>
        <v>1040</v>
      </c>
      <c r="C54" s="32">
        <v>210</v>
      </c>
      <c r="D54" s="32">
        <v>170</v>
      </c>
      <c r="E54" s="32">
        <v>150</v>
      </c>
      <c r="F54" s="32">
        <v>130</v>
      </c>
      <c r="G54" s="32">
        <v>110</v>
      </c>
      <c r="H54" s="32">
        <v>90</v>
      </c>
      <c r="I54" s="32">
        <v>70</v>
      </c>
      <c r="J54" s="32">
        <v>60</v>
      </c>
      <c r="K54" s="32">
        <v>50</v>
      </c>
      <c r="L54" s="32"/>
      <c r="M54" s="32"/>
      <c r="N54" s="32"/>
      <c r="O54" s="32"/>
      <c r="P54" s="32"/>
      <c r="Q54" s="32"/>
      <c r="R54" s="32"/>
      <c r="S54" s="32">
        <f t="shared" si="1"/>
        <v>1040</v>
      </c>
    </row>
    <row r="55" spans="1:19" ht="21" x14ac:dyDescent="0.35">
      <c r="A55" s="32">
        <v>53</v>
      </c>
      <c r="B55" s="32">
        <f t="shared" si="3"/>
        <v>1060</v>
      </c>
      <c r="C55" s="32">
        <v>220</v>
      </c>
      <c r="D55" s="32">
        <v>180</v>
      </c>
      <c r="E55" s="32">
        <v>150</v>
      </c>
      <c r="F55" s="32">
        <v>130</v>
      </c>
      <c r="G55" s="32">
        <v>110</v>
      </c>
      <c r="H55" s="32">
        <v>90</v>
      </c>
      <c r="I55" s="32">
        <v>70</v>
      </c>
      <c r="J55" s="32">
        <v>60</v>
      </c>
      <c r="K55" s="32">
        <v>50</v>
      </c>
      <c r="L55" s="32"/>
      <c r="M55" s="32"/>
      <c r="N55" s="32"/>
      <c r="O55" s="32"/>
      <c r="P55" s="32"/>
      <c r="Q55" s="32"/>
      <c r="R55" s="32"/>
      <c r="S55" s="32">
        <f t="shared" si="1"/>
        <v>1060</v>
      </c>
    </row>
    <row r="56" spans="1:19" ht="21" x14ac:dyDescent="0.35">
      <c r="A56" s="32">
        <v>54</v>
      </c>
      <c r="B56" s="32">
        <f t="shared" si="3"/>
        <v>1080</v>
      </c>
      <c r="C56" s="32">
        <v>230</v>
      </c>
      <c r="D56" s="32">
        <v>190</v>
      </c>
      <c r="E56" s="32">
        <v>150</v>
      </c>
      <c r="F56" s="32">
        <v>130</v>
      </c>
      <c r="G56" s="32">
        <v>110</v>
      </c>
      <c r="H56" s="32">
        <v>90</v>
      </c>
      <c r="I56" s="32">
        <v>70</v>
      </c>
      <c r="J56" s="32">
        <v>60</v>
      </c>
      <c r="K56" s="32">
        <v>50</v>
      </c>
      <c r="L56" s="32"/>
      <c r="M56" s="32"/>
      <c r="N56" s="32"/>
      <c r="O56" s="32"/>
      <c r="P56" s="32"/>
      <c r="Q56" s="32"/>
      <c r="R56" s="32"/>
      <c r="S56" s="32">
        <f t="shared" si="1"/>
        <v>1080</v>
      </c>
    </row>
    <row r="57" spans="1:19" ht="21" x14ac:dyDescent="0.35">
      <c r="A57" s="32">
        <v>55</v>
      </c>
      <c r="B57" s="32">
        <f t="shared" si="3"/>
        <v>1100</v>
      </c>
      <c r="C57" s="32">
        <v>190</v>
      </c>
      <c r="D57" s="32">
        <v>170</v>
      </c>
      <c r="E57" s="32">
        <v>150</v>
      </c>
      <c r="F57" s="32">
        <v>130</v>
      </c>
      <c r="G57" s="32">
        <v>110</v>
      </c>
      <c r="H57" s="32">
        <v>90</v>
      </c>
      <c r="I57" s="32">
        <v>80</v>
      </c>
      <c r="J57" s="32">
        <v>70</v>
      </c>
      <c r="K57" s="32">
        <v>60</v>
      </c>
      <c r="L57" s="32">
        <v>50</v>
      </c>
      <c r="M57" s="32"/>
      <c r="N57" s="32"/>
      <c r="O57" s="32"/>
      <c r="P57" s="32"/>
      <c r="Q57" s="32"/>
      <c r="R57" s="32"/>
      <c r="S57" s="32">
        <f t="shared" si="1"/>
        <v>1100</v>
      </c>
    </row>
    <row r="58" spans="1:19" ht="21" x14ac:dyDescent="0.35">
      <c r="A58" s="32">
        <v>56</v>
      </c>
      <c r="B58" s="32">
        <f t="shared" si="3"/>
        <v>1120</v>
      </c>
      <c r="C58" s="32">
        <v>210</v>
      </c>
      <c r="D58" s="32">
        <v>170</v>
      </c>
      <c r="E58" s="32">
        <v>150</v>
      </c>
      <c r="F58" s="32">
        <v>130</v>
      </c>
      <c r="G58" s="32">
        <v>110</v>
      </c>
      <c r="H58" s="32">
        <v>90</v>
      </c>
      <c r="I58" s="32">
        <v>80</v>
      </c>
      <c r="J58" s="32">
        <v>70</v>
      </c>
      <c r="K58" s="32">
        <v>60</v>
      </c>
      <c r="L58" s="32">
        <v>50</v>
      </c>
      <c r="M58" s="32"/>
      <c r="N58" s="32"/>
      <c r="O58" s="32"/>
      <c r="P58" s="32"/>
      <c r="Q58" s="32"/>
      <c r="R58" s="32"/>
      <c r="S58" s="32">
        <f t="shared" si="1"/>
        <v>1120</v>
      </c>
    </row>
    <row r="59" spans="1:19" ht="21" x14ac:dyDescent="0.35">
      <c r="A59" s="32">
        <v>57</v>
      </c>
      <c r="B59" s="32">
        <f t="shared" si="3"/>
        <v>1140</v>
      </c>
      <c r="C59" s="32">
        <v>220</v>
      </c>
      <c r="D59" s="32">
        <v>180</v>
      </c>
      <c r="E59" s="32">
        <v>150</v>
      </c>
      <c r="F59" s="32">
        <v>130</v>
      </c>
      <c r="G59" s="32">
        <v>110</v>
      </c>
      <c r="H59" s="32">
        <v>90</v>
      </c>
      <c r="I59" s="32">
        <v>80</v>
      </c>
      <c r="J59" s="32">
        <v>70</v>
      </c>
      <c r="K59" s="32">
        <v>60</v>
      </c>
      <c r="L59" s="32">
        <v>50</v>
      </c>
      <c r="M59" s="32"/>
      <c r="N59" s="32"/>
      <c r="O59" s="32"/>
      <c r="P59" s="32"/>
      <c r="Q59" s="32"/>
      <c r="R59" s="32"/>
      <c r="S59" s="32">
        <f t="shared" si="1"/>
        <v>1140</v>
      </c>
    </row>
    <row r="60" spans="1:19" ht="21" x14ac:dyDescent="0.35">
      <c r="A60" s="32">
        <v>58</v>
      </c>
      <c r="B60" s="32">
        <f t="shared" si="3"/>
        <v>1160</v>
      </c>
      <c r="C60" s="32">
        <v>200</v>
      </c>
      <c r="D60" s="32">
        <v>180</v>
      </c>
      <c r="E60" s="32">
        <v>160</v>
      </c>
      <c r="F60" s="32">
        <v>140</v>
      </c>
      <c r="G60" s="32">
        <v>120</v>
      </c>
      <c r="H60" s="32">
        <v>100</v>
      </c>
      <c r="I60" s="32">
        <v>80</v>
      </c>
      <c r="J60" s="32">
        <v>70</v>
      </c>
      <c r="K60" s="32">
        <v>60</v>
      </c>
      <c r="L60" s="32">
        <v>50</v>
      </c>
      <c r="M60" s="32"/>
      <c r="N60" s="32"/>
      <c r="O60" s="32"/>
      <c r="P60" s="32"/>
      <c r="Q60" s="32"/>
      <c r="R60" s="32"/>
      <c r="S60" s="32">
        <f t="shared" si="1"/>
        <v>1160</v>
      </c>
    </row>
    <row r="61" spans="1:19" ht="21" x14ac:dyDescent="0.35">
      <c r="A61" s="32">
        <v>59</v>
      </c>
      <c r="B61" s="32">
        <f t="shared" si="3"/>
        <v>1180</v>
      </c>
      <c r="C61" s="32">
        <v>220</v>
      </c>
      <c r="D61" s="32">
        <v>180</v>
      </c>
      <c r="E61" s="32">
        <v>160</v>
      </c>
      <c r="F61" s="32">
        <v>140</v>
      </c>
      <c r="G61" s="32">
        <v>120</v>
      </c>
      <c r="H61" s="32">
        <v>100</v>
      </c>
      <c r="I61" s="32">
        <v>80</v>
      </c>
      <c r="J61" s="32">
        <v>70</v>
      </c>
      <c r="K61" s="32">
        <v>60</v>
      </c>
      <c r="L61" s="32">
        <v>50</v>
      </c>
      <c r="M61" s="32"/>
      <c r="N61" s="32"/>
      <c r="O61" s="32"/>
      <c r="P61" s="32"/>
      <c r="Q61" s="32"/>
      <c r="R61" s="32"/>
      <c r="S61" s="32">
        <f t="shared" si="1"/>
        <v>1180</v>
      </c>
    </row>
    <row r="62" spans="1:19" ht="21" x14ac:dyDescent="0.35">
      <c r="A62" s="32">
        <v>60</v>
      </c>
      <c r="B62" s="32">
        <f t="shared" si="3"/>
        <v>1200</v>
      </c>
      <c r="C62" s="32">
        <v>230</v>
      </c>
      <c r="D62" s="32">
        <v>190</v>
      </c>
      <c r="E62" s="32">
        <v>160</v>
      </c>
      <c r="F62" s="32">
        <v>140</v>
      </c>
      <c r="G62" s="32">
        <v>120</v>
      </c>
      <c r="H62" s="32">
        <v>100</v>
      </c>
      <c r="I62" s="32">
        <v>80</v>
      </c>
      <c r="J62" s="32">
        <v>70</v>
      </c>
      <c r="K62" s="32">
        <v>60</v>
      </c>
      <c r="L62" s="32">
        <v>50</v>
      </c>
      <c r="M62" s="32"/>
      <c r="N62" s="32"/>
      <c r="O62" s="32"/>
      <c r="P62" s="32"/>
      <c r="Q62" s="32"/>
      <c r="R62" s="32"/>
      <c r="S62" s="32">
        <f t="shared" si="1"/>
        <v>1200</v>
      </c>
    </row>
    <row r="63" spans="1:19" ht="21" x14ac:dyDescent="0.35">
      <c r="A63" s="32">
        <v>61</v>
      </c>
      <c r="B63" s="32">
        <f t="shared" si="3"/>
        <v>1220</v>
      </c>
      <c r="C63" s="32">
        <v>210</v>
      </c>
      <c r="D63" s="32">
        <v>170</v>
      </c>
      <c r="E63" s="32">
        <v>150</v>
      </c>
      <c r="F63" s="32">
        <v>130</v>
      </c>
      <c r="G63" s="32">
        <v>110</v>
      </c>
      <c r="H63" s="32">
        <v>100</v>
      </c>
      <c r="I63" s="32">
        <v>90</v>
      </c>
      <c r="J63" s="32">
        <v>80</v>
      </c>
      <c r="K63" s="32">
        <v>70</v>
      </c>
      <c r="L63" s="32">
        <v>60</v>
      </c>
      <c r="M63" s="32">
        <v>50</v>
      </c>
      <c r="N63" s="32"/>
      <c r="O63" s="32"/>
      <c r="P63" s="32"/>
      <c r="Q63" s="32"/>
      <c r="R63" s="32"/>
      <c r="S63" s="32">
        <f t="shared" si="1"/>
        <v>1220</v>
      </c>
    </row>
    <row r="64" spans="1:19" ht="21" x14ac:dyDescent="0.35">
      <c r="A64" s="32">
        <v>62</v>
      </c>
      <c r="B64" s="32">
        <f t="shared" si="3"/>
        <v>1240</v>
      </c>
      <c r="C64" s="32">
        <v>220</v>
      </c>
      <c r="D64" s="32">
        <v>180</v>
      </c>
      <c r="E64" s="32">
        <v>150</v>
      </c>
      <c r="F64" s="32">
        <v>130</v>
      </c>
      <c r="G64" s="32">
        <v>110</v>
      </c>
      <c r="H64" s="32">
        <v>100</v>
      </c>
      <c r="I64" s="32">
        <v>90</v>
      </c>
      <c r="J64" s="32">
        <v>80</v>
      </c>
      <c r="K64" s="32">
        <v>70</v>
      </c>
      <c r="L64" s="32">
        <v>60</v>
      </c>
      <c r="M64" s="32">
        <v>50</v>
      </c>
      <c r="N64" s="32"/>
      <c r="O64" s="32"/>
      <c r="P64" s="32"/>
      <c r="Q64" s="32"/>
      <c r="R64" s="32"/>
      <c r="S64" s="32">
        <f t="shared" si="1"/>
        <v>1240</v>
      </c>
    </row>
    <row r="65" spans="1:19" ht="21" x14ac:dyDescent="0.35">
      <c r="A65" s="32">
        <v>63</v>
      </c>
      <c r="B65" s="32">
        <f t="shared" si="3"/>
        <v>1260</v>
      </c>
      <c r="C65" s="32">
        <v>210</v>
      </c>
      <c r="D65" s="32">
        <v>180</v>
      </c>
      <c r="E65" s="32">
        <v>160</v>
      </c>
      <c r="F65" s="32">
        <v>140</v>
      </c>
      <c r="G65" s="32">
        <v>120</v>
      </c>
      <c r="H65" s="32">
        <v>100</v>
      </c>
      <c r="I65" s="32">
        <v>90</v>
      </c>
      <c r="J65" s="32">
        <v>80</v>
      </c>
      <c r="K65" s="32">
        <v>70</v>
      </c>
      <c r="L65" s="32">
        <v>60</v>
      </c>
      <c r="M65" s="32">
        <v>50</v>
      </c>
      <c r="N65" s="32"/>
      <c r="O65" s="32"/>
      <c r="P65" s="32"/>
      <c r="Q65" s="32"/>
      <c r="R65" s="32"/>
      <c r="S65" s="32">
        <f t="shared" si="1"/>
        <v>1260</v>
      </c>
    </row>
    <row r="66" spans="1:19" ht="21" x14ac:dyDescent="0.35">
      <c r="A66" s="32">
        <v>64</v>
      </c>
      <c r="B66" s="32">
        <f t="shared" si="3"/>
        <v>1280</v>
      </c>
      <c r="C66" s="32">
        <v>220</v>
      </c>
      <c r="D66" s="32">
        <v>190</v>
      </c>
      <c r="E66" s="32">
        <v>160</v>
      </c>
      <c r="F66" s="32">
        <v>140</v>
      </c>
      <c r="G66" s="32">
        <v>120</v>
      </c>
      <c r="H66" s="32">
        <v>100</v>
      </c>
      <c r="I66" s="32">
        <v>90</v>
      </c>
      <c r="J66" s="32">
        <v>80</v>
      </c>
      <c r="K66" s="32">
        <v>70</v>
      </c>
      <c r="L66" s="32">
        <v>60</v>
      </c>
      <c r="M66" s="32">
        <v>50</v>
      </c>
      <c r="N66" s="32"/>
      <c r="O66" s="32"/>
      <c r="P66" s="32"/>
      <c r="Q66" s="32"/>
      <c r="R66" s="32"/>
      <c r="S66" s="32">
        <f t="shared" si="1"/>
        <v>1280</v>
      </c>
    </row>
    <row r="67" spans="1:19" ht="21" x14ac:dyDescent="0.35">
      <c r="A67" s="32">
        <v>65</v>
      </c>
      <c r="B67" s="32">
        <f t="shared" ref="B67:B98" si="4">A67*FGradPool20Fee</f>
        <v>1300</v>
      </c>
      <c r="C67" s="32">
        <v>240</v>
      </c>
      <c r="D67" s="32">
        <v>190</v>
      </c>
      <c r="E67" s="32">
        <v>160</v>
      </c>
      <c r="F67" s="32">
        <v>140</v>
      </c>
      <c r="G67" s="32">
        <v>120</v>
      </c>
      <c r="H67" s="32">
        <v>100</v>
      </c>
      <c r="I67" s="32">
        <v>90</v>
      </c>
      <c r="J67" s="32">
        <v>80</v>
      </c>
      <c r="K67" s="32">
        <v>70</v>
      </c>
      <c r="L67" s="32">
        <v>60</v>
      </c>
      <c r="M67" s="32">
        <v>50</v>
      </c>
      <c r="N67" s="32"/>
      <c r="O67" s="32"/>
      <c r="P67" s="32"/>
      <c r="Q67" s="32"/>
      <c r="R67" s="32"/>
      <c r="S67" s="32">
        <f t="shared" ref="S67:S98" si="5">SUM(C67:R67)</f>
        <v>1300</v>
      </c>
    </row>
    <row r="68" spans="1:19" ht="21" x14ac:dyDescent="0.35">
      <c r="A68" s="32">
        <v>66</v>
      </c>
      <c r="B68" s="32">
        <f t="shared" si="4"/>
        <v>1320</v>
      </c>
      <c r="C68" s="32">
        <v>220</v>
      </c>
      <c r="D68" s="32">
        <v>190</v>
      </c>
      <c r="E68" s="32">
        <v>170</v>
      </c>
      <c r="F68" s="32">
        <v>150</v>
      </c>
      <c r="G68" s="32">
        <v>130</v>
      </c>
      <c r="H68" s="32">
        <v>110</v>
      </c>
      <c r="I68" s="32">
        <v>90</v>
      </c>
      <c r="J68" s="32">
        <v>80</v>
      </c>
      <c r="K68" s="32">
        <v>70</v>
      </c>
      <c r="L68" s="32">
        <v>60</v>
      </c>
      <c r="M68" s="32">
        <v>50</v>
      </c>
      <c r="N68" s="32"/>
      <c r="O68" s="32"/>
      <c r="P68" s="32"/>
      <c r="Q68" s="32"/>
      <c r="R68" s="32"/>
      <c r="S68" s="32">
        <f t="shared" si="5"/>
        <v>1320</v>
      </c>
    </row>
    <row r="69" spans="1:19" ht="21" x14ac:dyDescent="0.35">
      <c r="A69" s="32">
        <v>67</v>
      </c>
      <c r="B69" s="32">
        <f t="shared" si="4"/>
        <v>1340</v>
      </c>
      <c r="C69" s="32">
        <v>210</v>
      </c>
      <c r="D69" s="32">
        <v>170</v>
      </c>
      <c r="E69" s="32">
        <v>150</v>
      </c>
      <c r="F69" s="32">
        <v>130</v>
      </c>
      <c r="G69" s="32">
        <v>120</v>
      </c>
      <c r="H69" s="32">
        <v>110</v>
      </c>
      <c r="I69" s="32">
        <v>100</v>
      </c>
      <c r="J69" s="32">
        <v>90</v>
      </c>
      <c r="K69" s="32">
        <v>80</v>
      </c>
      <c r="L69" s="32">
        <v>70</v>
      </c>
      <c r="M69" s="32">
        <v>60</v>
      </c>
      <c r="N69" s="32">
        <v>50</v>
      </c>
      <c r="O69" s="32"/>
      <c r="P69" s="32"/>
      <c r="Q69" s="32"/>
      <c r="R69" s="32"/>
      <c r="S69" s="32">
        <f t="shared" si="5"/>
        <v>1340</v>
      </c>
    </row>
    <row r="70" spans="1:19" ht="21" x14ac:dyDescent="0.35">
      <c r="A70" s="32">
        <v>68</v>
      </c>
      <c r="B70" s="32">
        <f t="shared" si="4"/>
        <v>1360</v>
      </c>
      <c r="C70" s="32">
        <v>200</v>
      </c>
      <c r="D70" s="32">
        <v>180</v>
      </c>
      <c r="E70" s="32">
        <v>160</v>
      </c>
      <c r="F70" s="32">
        <v>140</v>
      </c>
      <c r="G70" s="32">
        <v>120</v>
      </c>
      <c r="H70" s="32">
        <v>110</v>
      </c>
      <c r="I70" s="32">
        <v>100</v>
      </c>
      <c r="J70" s="32">
        <v>90</v>
      </c>
      <c r="K70" s="32">
        <v>80</v>
      </c>
      <c r="L70" s="32">
        <v>70</v>
      </c>
      <c r="M70" s="32">
        <v>60</v>
      </c>
      <c r="N70" s="32">
        <v>50</v>
      </c>
      <c r="O70" s="32"/>
      <c r="P70" s="32"/>
      <c r="Q70" s="32"/>
      <c r="R70" s="32"/>
      <c r="S70" s="32">
        <f t="shared" si="5"/>
        <v>1360</v>
      </c>
    </row>
    <row r="71" spans="1:19" ht="21" x14ac:dyDescent="0.35">
      <c r="A71" s="32">
        <v>69</v>
      </c>
      <c r="B71" s="32">
        <f t="shared" si="4"/>
        <v>1380</v>
      </c>
      <c r="C71" s="32">
        <v>220</v>
      </c>
      <c r="D71" s="32">
        <v>180</v>
      </c>
      <c r="E71" s="32">
        <v>160</v>
      </c>
      <c r="F71" s="32">
        <v>140</v>
      </c>
      <c r="G71" s="32">
        <v>120</v>
      </c>
      <c r="H71" s="32">
        <v>110</v>
      </c>
      <c r="I71" s="32">
        <v>100</v>
      </c>
      <c r="J71" s="32">
        <v>90</v>
      </c>
      <c r="K71" s="32">
        <v>80</v>
      </c>
      <c r="L71" s="32">
        <v>70</v>
      </c>
      <c r="M71" s="32">
        <v>60</v>
      </c>
      <c r="N71" s="32">
        <v>50</v>
      </c>
      <c r="O71" s="32"/>
      <c r="P71" s="32"/>
      <c r="Q71" s="32"/>
      <c r="R71" s="32"/>
      <c r="S71" s="32">
        <f t="shared" si="5"/>
        <v>1380</v>
      </c>
    </row>
    <row r="72" spans="1:19" ht="21" x14ac:dyDescent="0.35">
      <c r="A72" s="32">
        <v>70</v>
      </c>
      <c r="B72" s="32">
        <f t="shared" si="4"/>
        <v>1400</v>
      </c>
      <c r="C72" s="32">
        <v>230</v>
      </c>
      <c r="D72" s="32">
        <v>190</v>
      </c>
      <c r="E72" s="32">
        <v>160</v>
      </c>
      <c r="F72" s="32">
        <v>140</v>
      </c>
      <c r="G72" s="32">
        <v>120</v>
      </c>
      <c r="H72" s="32">
        <v>110</v>
      </c>
      <c r="I72" s="32">
        <v>100</v>
      </c>
      <c r="J72" s="32">
        <v>90</v>
      </c>
      <c r="K72" s="32">
        <v>80</v>
      </c>
      <c r="L72" s="32">
        <v>70</v>
      </c>
      <c r="M72" s="32">
        <v>60</v>
      </c>
      <c r="N72" s="32">
        <v>50</v>
      </c>
      <c r="O72" s="32"/>
      <c r="P72" s="32"/>
      <c r="Q72" s="32"/>
      <c r="R72" s="32"/>
      <c r="S72" s="32">
        <f t="shared" si="5"/>
        <v>1400</v>
      </c>
    </row>
    <row r="73" spans="1:19" ht="21" x14ac:dyDescent="0.35">
      <c r="A73" s="32">
        <v>71</v>
      </c>
      <c r="B73" s="32">
        <f t="shared" si="4"/>
        <v>1420</v>
      </c>
      <c r="C73" s="32">
        <v>230</v>
      </c>
      <c r="D73" s="32">
        <v>200</v>
      </c>
      <c r="E73" s="32">
        <v>170</v>
      </c>
      <c r="F73" s="32">
        <v>140</v>
      </c>
      <c r="G73" s="32">
        <v>120</v>
      </c>
      <c r="H73" s="32">
        <v>110</v>
      </c>
      <c r="I73" s="32">
        <v>100</v>
      </c>
      <c r="J73" s="32">
        <v>90</v>
      </c>
      <c r="K73" s="32">
        <v>80</v>
      </c>
      <c r="L73" s="32">
        <v>70</v>
      </c>
      <c r="M73" s="32">
        <v>60</v>
      </c>
      <c r="N73" s="32">
        <v>50</v>
      </c>
      <c r="O73" s="32"/>
      <c r="P73" s="32"/>
      <c r="Q73" s="32"/>
      <c r="R73" s="32"/>
      <c r="S73" s="32">
        <f t="shared" si="5"/>
        <v>1420</v>
      </c>
    </row>
    <row r="74" spans="1:19" ht="21" x14ac:dyDescent="0.35">
      <c r="A74" s="32">
        <v>72</v>
      </c>
      <c r="B74" s="32">
        <f t="shared" si="4"/>
        <v>1440</v>
      </c>
      <c r="C74" s="32">
        <v>230</v>
      </c>
      <c r="D74" s="32">
        <v>200</v>
      </c>
      <c r="E74" s="32">
        <v>170</v>
      </c>
      <c r="F74" s="32">
        <v>150</v>
      </c>
      <c r="G74" s="32">
        <v>130</v>
      </c>
      <c r="H74" s="32">
        <v>110</v>
      </c>
      <c r="I74" s="32">
        <v>100</v>
      </c>
      <c r="J74" s="32">
        <v>90</v>
      </c>
      <c r="K74" s="32">
        <v>80</v>
      </c>
      <c r="L74" s="32">
        <v>70</v>
      </c>
      <c r="M74" s="32">
        <v>60</v>
      </c>
      <c r="N74" s="32">
        <v>50</v>
      </c>
      <c r="O74" s="32"/>
      <c r="P74" s="32"/>
      <c r="Q74" s="32"/>
      <c r="R74" s="32"/>
      <c r="S74" s="32">
        <f t="shared" si="5"/>
        <v>1440</v>
      </c>
    </row>
    <row r="75" spans="1:19" ht="21" x14ac:dyDescent="0.35">
      <c r="A75" s="32">
        <v>73</v>
      </c>
      <c r="B75" s="32">
        <f t="shared" si="4"/>
        <v>1460</v>
      </c>
      <c r="C75" s="32">
        <v>190</v>
      </c>
      <c r="D75" s="32">
        <v>170</v>
      </c>
      <c r="E75" s="32">
        <v>150</v>
      </c>
      <c r="F75" s="32">
        <v>140</v>
      </c>
      <c r="G75" s="32">
        <v>130</v>
      </c>
      <c r="H75" s="32">
        <v>120</v>
      </c>
      <c r="I75" s="32">
        <v>110</v>
      </c>
      <c r="J75" s="32">
        <v>100</v>
      </c>
      <c r="K75" s="32">
        <v>90</v>
      </c>
      <c r="L75" s="32">
        <v>80</v>
      </c>
      <c r="M75" s="32">
        <v>70</v>
      </c>
      <c r="N75" s="32">
        <v>60</v>
      </c>
      <c r="O75" s="32">
        <v>50</v>
      </c>
      <c r="P75" s="32"/>
      <c r="Q75" s="32"/>
      <c r="R75" s="32"/>
      <c r="S75" s="32">
        <f t="shared" si="5"/>
        <v>1460</v>
      </c>
    </row>
    <row r="76" spans="1:19" ht="21" x14ac:dyDescent="0.35">
      <c r="A76" s="32">
        <v>74</v>
      </c>
      <c r="B76" s="32">
        <f t="shared" si="4"/>
        <v>1480</v>
      </c>
      <c r="C76" s="32">
        <v>210</v>
      </c>
      <c r="D76" s="32">
        <v>170</v>
      </c>
      <c r="E76" s="32">
        <v>150</v>
      </c>
      <c r="F76" s="32">
        <v>140</v>
      </c>
      <c r="G76" s="32">
        <v>130</v>
      </c>
      <c r="H76" s="32">
        <v>120</v>
      </c>
      <c r="I76" s="32">
        <v>110</v>
      </c>
      <c r="J76" s="32">
        <v>100</v>
      </c>
      <c r="K76" s="32">
        <v>90</v>
      </c>
      <c r="L76" s="32">
        <v>80</v>
      </c>
      <c r="M76" s="32">
        <v>70</v>
      </c>
      <c r="N76" s="32">
        <v>60</v>
      </c>
      <c r="O76" s="32">
        <v>50</v>
      </c>
      <c r="P76" s="32"/>
      <c r="Q76" s="32"/>
      <c r="R76" s="32"/>
      <c r="S76" s="32">
        <f t="shared" si="5"/>
        <v>1480</v>
      </c>
    </row>
    <row r="77" spans="1:19" ht="21" x14ac:dyDescent="0.35">
      <c r="A77" s="32">
        <v>75</v>
      </c>
      <c r="B77" s="32">
        <f t="shared" si="4"/>
        <v>1500</v>
      </c>
      <c r="C77" s="32">
        <v>210</v>
      </c>
      <c r="D77" s="32">
        <v>180</v>
      </c>
      <c r="E77" s="32">
        <v>160</v>
      </c>
      <c r="F77" s="32">
        <v>140</v>
      </c>
      <c r="G77" s="32">
        <v>130</v>
      </c>
      <c r="H77" s="32">
        <v>120</v>
      </c>
      <c r="I77" s="32">
        <v>110</v>
      </c>
      <c r="J77" s="32">
        <v>100</v>
      </c>
      <c r="K77" s="32">
        <v>90</v>
      </c>
      <c r="L77" s="32">
        <v>80</v>
      </c>
      <c r="M77" s="32">
        <v>70</v>
      </c>
      <c r="N77" s="32">
        <v>60</v>
      </c>
      <c r="O77" s="32">
        <v>50</v>
      </c>
      <c r="P77" s="32"/>
      <c r="Q77" s="32"/>
      <c r="R77" s="32"/>
      <c r="S77" s="32">
        <f t="shared" si="5"/>
        <v>1500</v>
      </c>
    </row>
    <row r="78" spans="1:19" ht="21" x14ac:dyDescent="0.35">
      <c r="A78" s="32">
        <v>76</v>
      </c>
      <c r="B78" s="32">
        <f t="shared" si="4"/>
        <v>1520</v>
      </c>
      <c r="C78" s="32">
        <v>220</v>
      </c>
      <c r="D78" s="32">
        <v>190</v>
      </c>
      <c r="E78" s="32">
        <v>160</v>
      </c>
      <c r="F78" s="32">
        <v>140</v>
      </c>
      <c r="G78" s="32">
        <v>130</v>
      </c>
      <c r="H78" s="32">
        <v>120</v>
      </c>
      <c r="I78" s="32">
        <v>110</v>
      </c>
      <c r="J78" s="32">
        <v>100</v>
      </c>
      <c r="K78" s="32">
        <v>90</v>
      </c>
      <c r="L78" s="32">
        <v>80</v>
      </c>
      <c r="M78" s="32">
        <v>70</v>
      </c>
      <c r="N78" s="32">
        <v>60</v>
      </c>
      <c r="O78" s="32">
        <v>50</v>
      </c>
      <c r="P78" s="32"/>
      <c r="Q78" s="32"/>
      <c r="R78" s="32"/>
      <c r="S78" s="32">
        <f t="shared" si="5"/>
        <v>1520</v>
      </c>
    </row>
    <row r="79" spans="1:19" ht="21" x14ac:dyDescent="0.35">
      <c r="A79" s="32">
        <v>77</v>
      </c>
      <c r="B79" s="32">
        <f t="shared" si="4"/>
        <v>1540</v>
      </c>
      <c r="C79" s="32">
        <v>220</v>
      </c>
      <c r="D79" s="32">
        <v>190</v>
      </c>
      <c r="E79" s="32">
        <v>170</v>
      </c>
      <c r="F79" s="32">
        <v>150</v>
      </c>
      <c r="G79" s="32">
        <v>130</v>
      </c>
      <c r="H79" s="32">
        <v>120</v>
      </c>
      <c r="I79" s="32">
        <v>110</v>
      </c>
      <c r="J79" s="32">
        <v>100</v>
      </c>
      <c r="K79" s="32">
        <v>90</v>
      </c>
      <c r="L79" s="32">
        <v>80</v>
      </c>
      <c r="M79" s="32">
        <v>70</v>
      </c>
      <c r="N79" s="32">
        <v>60</v>
      </c>
      <c r="O79" s="32">
        <v>50</v>
      </c>
      <c r="P79" s="32"/>
      <c r="Q79" s="32"/>
      <c r="R79" s="32"/>
      <c r="S79" s="32">
        <f t="shared" si="5"/>
        <v>1540</v>
      </c>
    </row>
    <row r="80" spans="1:19" ht="21" x14ac:dyDescent="0.35">
      <c r="A80" s="32">
        <v>78</v>
      </c>
      <c r="B80" s="32">
        <f t="shared" si="4"/>
        <v>1560</v>
      </c>
      <c r="C80" s="32">
        <v>230</v>
      </c>
      <c r="D80" s="32">
        <v>200</v>
      </c>
      <c r="E80" s="32">
        <v>170</v>
      </c>
      <c r="F80" s="32">
        <v>150</v>
      </c>
      <c r="G80" s="32">
        <v>130</v>
      </c>
      <c r="H80" s="32">
        <v>120</v>
      </c>
      <c r="I80" s="32">
        <v>110</v>
      </c>
      <c r="J80" s="32">
        <v>100</v>
      </c>
      <c r="K80" s="32">
        <v>90</v>
      </c>
      <c r="L80" s="32">
        <v>80</v>
      </c>
      <c r="M80" s="32">
        <v>70</v>
      </c>
      <c r="N80" s="32">
        <v>60</v>
      </c>
      <c r="O80" s="32">
        <v>50</v>
      </c>
      <c r="P80" s="32"/>
      <c r="Q80" s="32"/>
      <c r="R80" s="32"/>
      <c r="S80" s="32">
        <f t="shared" si="5"/>
        <v>1560</v>
      </c>
    </row>
    <row r="81" spans="1:19" ht="21" x14ac:dyDescent="0.35">
      <c r="A81" s="32">
        <v>79</v>
      </c>
      <c r="B81" s="32">
        <f t="shared" si="4"/>
        <v>1580</v>
      </c>
      <c r="C81" s="32">
        <v>210</v>
      </c>
      <c r="D81" s="32">
        <v>190</v>
      </c>
      <c r="E81" s="32">
        <v>170</v>
      </c>
      <c r="F81" s="32">
        <v>150</v>
      </c>
      <c r="G81" s="32">
        <v>130</v>
      </c>
      <c r="H81" s="32">
        <v>120</v>
      </c>
      <c r="I81" s="32">
        <v>110</v>
      </c>
      <c r="J81" s="32">
        <v>100</v>
      </c>
      <c r="K81" s="32">
        <v>90</v>
      </c>
      <c r="L81" s="32">
        <v>80</v>
      </c>
      <c r="M81" s="32">
        <v>70</v>
      </c>
      <c r="N81" s="32">
        <v>60</v>
      </c>
      <c r="O81" s="32">
        <v>50</v>
      </c>
      <c r="P81" s="32">
        <v>50</v>
      </c>
      <c r="Q81" s="32"/>
      <c r="R81" s="32"/>
      <c r="S81" s="32">
        <f t="shared" si="5"/>
        <v>1580</v>
      </c>
    </row>
    <row r="82" spans="1:19" ht="21" x14ac:dyDescent="0.35">
      <c r="A82" s="32">
        <v>80</v>
      </c>
      <c r="B82" s="32">
        <f t="shared" si="4"/>
        <v>1600</v>
      </c>
      <c r="C82" s="32">
        <v>230</v>
      </c>
      <c r="D82" s="32">
        <v>200</v>
      </c>
      <c r="E82" s="32">
        <v>170</v>
      </c>
      <c r="F82" s="32">
        <v>140</v>
      </c>
      <c r="G82" s="32">
        <v>130</v>
      </c>
      <c r="H82" s="32">
        <v>120</v>
      </c>
      <c r="I82" s="32">
        <v>110</v>
      </c>
      <c r="J82" s="32">
        <v>100</v>
      </c>
      <c r="K82" s="32">
        <v>90</v>
      </c>
      <c r="L82" s="32">
        <v>80</v>
      </c>
      <c r="M82" s="32">
        <v>70</v>
      </c>
      <c r="N82" s="32">
        <v>60</v>
      </c>
      <c r="O82" s="32">
        <v>50</v>
      </c>
      <c r="P82" s="32">
        <v>50</v>
      </c>
      <c r="Q82" s="32"/>
      <c r="R82" s="32"/>
      <c r="S82" s="32">
        <f t="shared" si="5"/>
        <v>1600</v>
      </c>
    </row>
    <row r="83" spans="1:19" ht="21" x14ac:dyDescent="0.35">
      <c r="A83" s="32">
        <v>81</v>
      </c>
      <c r="B83" s="32">
        <f t="shared" si="4"/>
        <v>1620</v>
      </c>
      <c r="C83" s="32">
        <v>190</v>
      </c>
      <c r="D83" s="32">
        <v>170</v>
      </c>
      <c r="E83" s="32">
        <v>160</v>
      </c>
      <c r="F83" s="32">
        <v>150</v>
      </c>
      <c r="G83" s="32">
        <v>140</v>
      </c>
      <c r="H83" s="32">
        <v>130</v>
      </c>
      <c r="I83" s="32">
        <v>120</v>
      </c>
      <c r="J83" s="32">
        <v>110</v>
      </c>
      <c r="K83" s="32">
        <v>100</v>
      </c>
      <c r="L83" s="32">
        <v>90</v>
      </c>
      <c r="M83" s="32">
        <v>80</v>
      </c>
      <c r="N83" s="32">
        <v>70</v>
      </c>
      <c r="O83" s="32">
        <v>60</v>
      </c>
      <c r="P83" s="32">
        <v>50</v>
      </c>
      <c r="Q83" s="32"/>
      <c r="R83" s="32"/>
      <c r="S83" s="32">
        <f t="shared" si="5"/>
        <v>1620</v>
      </c>
    </row>
    <row r="84" spans="1:19" ht="21" x14ac:dyDescent="0.35">
      <c r="A84" s="32">
        <v>82</v>
      </c>
      <c r="B84" s="32">
        <f t="shared" si="4"/>
        <v>1640</v>
      </c>
      <c r="C84" s="32">
        <v>200</v>
      </c>
      <c r="D84" s="32">
        <v>180</v>
      </c>
      <c r="E84" s="32">
        <v>160</v>
      </c>
      <c r="F84" s="32">
        <v>150</v>
      </c>
      <c r="G84" s="32">
        <v>140</v>
      </c>
      <c r="H84" s="32">
        <v>130</v>
      </c>
      <c r="I84" s="32">
        <v>120</v>
      </c>
      <c r="J84" s="32">
        <v>110</v>
      </c>
      <c r="K84" s="32">
        <v>100</v>
      </c>
      <c r="L84" s="32">
        <v>90</v>
      </c>
      <c r="M84" s="32">
        <v>80</v>
      </c>
      <c r="N84" s="32">
        <v>70</v>
      </c>
      <c r="O84" s="32">
        <v>60</v>
      </c>
      <c r="P84" s="32">
        <v>50</v>
      </c>
      <c r="Q84" s="32"/>
      <c r="R84" s="32"/>
      <c r="S84" s="32">
        <f t="shared" si="5"/>
        <v>1640</v>
      </c>
    </row>
    <row r="85" spans="1:19" ht="21" x14ac:dyDescent="0.35">
      <c r="A85" s="32">
        <v>83</v>
      </c>
      <c r="B85" s="32">
        <f t="shared" si="4"/>
        <v>1660</v>
      </c>
      <c r="C85" s="32">
        <v>220</v>
      </c>
      <c r="D85" s="32">
        <v>180</v>
      </c>
      <c r="E85" s="32">
        <v>160</v>
      </c>
      <c r="F85" s="32">
        <v>150</v>
      </c>
      <c r="G85" s="32">
        <v>140</v>
      </c>
      <c r="H85" s="32">
        <v>130</v>
      </c>
      <c r="I85" s="32">
        <v>120</v>
      </c>
      <c r="J85" s="32">
        <v>110</v>
      </c>
      <c r="K85" s="32">
        <v>100</v>
      </c>
      <c r="L85" s="32">
        <v>90</v>
      </c>
      <c r="M85" s="32">
        <v>80</v>
      </c>
      <c r="N85" s="32">
        <v>70</v>
      </c>
      <c r="O85" s="32">
        <v>60</v>
      </c>
      <c r="P85" s="32">
        <v>50</v>
      </c>
      <c r="Q85" s="32"/>
      <c r="R85" s="32"/>
      <c r="S85" s="32">
        <f t="shared" si="5"/>
        <v>1660</v>
      </c>
    </row>
    <row r="86" spans="1:19" ht="21" x14ac:dyDescent="0.35">
      <c r="A86" s="32">
        <v>84</v>
      </c>
      <c r="B86" s="32">
        <f t="shared" si="4"/>
        <v>1680</v>
      </c>
      <c r="C86" s="32">
        <v>230</v>
      </c>
      <c r="D86" s="32">
        <v>190</v>
      </c>
      <c r="E86" s="32">
        <v>160</v>
      </c>
      <c r="F86" s="32">
        <v>150</v>
      </c>
      <c r="G86" s="32">
        <v>140</v>
      </c>
      <c r="H86" s="32">
        <v>130</v>
      </c>
      <c r="I86" s="32">
        <v>120</v>
      </c>
      <c r="J86" s="32">
        <v>110</v>
      </c>
      <c r="K86" s="32">
        <v>100</v>
      </c>
      <c r="L86" s="32">
        <v>90</v>
      </c>
      <c r="M86" s="32">
        <v>80</v>
      </c>
      <c r="N86" s="32">
        <v>70</v>
      </c>
      <c r="O86" s="32">
        <v>60</v>
      </c>
      <c r="P86" s="32">
        <v>50</v>
      </c>
      <c r="Q86" s="32"/>
      <c r="R86" s="32"/>
      <c r="S86" s="32">
        <f t="shared" si="5"/>
        <v>1680</v>
      </c>
    </row>
    <row r="87" spans="1:19" ht="21" x14ac:dyDescent="0.35">
      <c r="A87" s="32">
        <v>85</v>
      </c>
      <c r="B87" s="32">
        <f t="shared" si="4"/>
        <v>1700</v>
      </c>
      <c r="C87" s="32">
        <v>210</v>
      </c>
      <c r="D87" s="32">
        <v>180</v>
      </c>
      <c r="E87" s="32">
        <v>160</v>
      </c>
      <c r="F87" s="32">
        <v>150</v>
      </c>
      <c r="G87" s="32">
        <v>140</v>
      </c>
      <c r="H87" s="32">
        <v>130</v>
      </c>
      <c r="I87" s="32">
        <v>120</v>
      </c>
      <c r="J87" s="32">
        <v>110</v>
      </c>
      <c r="K87" s="32">
        <v>100</v>
      </c>
      <c r="L87" s="32">
        <v>90</v>
      </c>
      <c r="M87" s="32">
        <v>80</v>
      </c>
      <c r="N87" s="32">
        <v>70</v>
      </c>
      <c r="O87" s="32">
        <v>60</v>
      </c>
      <c r="P87" s="32">
        <v>50</v>
      </c>
      <c r="Q87" s="32">
        <v>50</v>
      </c>
      <c r="R87" s="32"/>
      <c r="S87" s="32">
        <f t="shared" si="5"/>
        <v>1700</v>
      </c>
    </row>
    <row r="88" spans="1:19" ht="21" x14ac:dyDescent="0.35">
      <c r="A88" s="32">
        <v>86</v>
      </c>
      <c r="B88" s="32">
        <f t="shared" si="4"/>
        <v>1720</v>
      </c>
      <c r="C88" s="32">
        <v>220</v>
      </c>
      <c r="D88" s="32">
        <v>190</v>
      </c>
      <c r="E88" s="32">
        <v>160</v>
      </c>
      <c r="F88" s="32">
        <v>150</v>
      </c>
      <c r="G88" s="32">
        <v>140</v>
      </c>
      <c r="H88" s="32">
        <v>130</v>
      </c>
      <c r="I88" s="32">
        <v>120</v>
      </c>
      <c r="J88" s="32">
        <v>110</v>
      </c>
      <c r="K88" s="32">
        <v>100</v>
      </c>
      <c r="L88" s="32">
        <v>90</v>
      </c>
      <c r="M88" s="32">
        <v>80</v>
      </c>
      <c r="N88" s="32">
        <v>70</v>
      </c>
      <c r="O88" s="32">
        <v>60</v>
      </c>
      <c r="P88" s="32">
        <v>50</v>
      </c>
      <c r="Q88" s="32">
        <v>50</v>
      </c>
      <c r="R88" s="32"/>
      <c r="S88" s="32">
        <f t="shared" si="5"/>
        <v>1720</v>
      </c>
    </row>
    <row r="89" spans="1:19" ht="21" x14ac:dyDescent="0.35">
      <c r="A89" s="32">
        <v>87</v>
      </c>
      <c r="B89" s="32">
        <f t="shared" si="4"/>
        <v>1740</v>
      </c>
      <c r="C89" s="32">
        <v>230</v>
      </c>
      <c r="D89" s="32">
        <v>190</v>
      </c>
      <c r="E89" s="32">
        <v>170</v>
      </c>
      <c r="F89" s="32">
        <v>150</v>
      </c>
      <c r="G89" s="32">
        <v>140</v>
      </c>
      <c r="H89" s="32">
        <v>130</v>
      </c>
      <c r="I89" s="32">
        <v>120</v>
      </c>
      <c r="J89" s="32">
        <v>110</v>
      </c>
      <c r="K89" s="32">
        <v>100</v>
      </c>
      <c r="L89" s="32">
        <v>90</v>
      </c>
      <c r="M89" s="32">
        <v>80</v>
      </c>
      <c r="N89" s="32">
        <v>70</v>
      </c>
      <c r="O89" s="32">
        <v>60</v>
      </c>
      <c r="P89" s="32">
        <v>50</v>
      </c>
      <c r="Q89" s="32">
        <v>50</v>
      </c>
      <c r="R89" s="32"/>
      <c r="S89" s="32">
        <f t="shared" si="5"/>
        <v>1740</v>
      </c>
    </row>
    <row r="90" spans="1:19" ht="21" x14ac:dyDescent="0.35">
      <c r="A90" s="32">
        <v>88</v>
      </c>
      <c r="B90" s="32">
        <f t="shared" si="4"/>
        <v>1760</v>
      </c>
      <c r="C90" s="32">
        <v>220</v>
      </c>
      <c r="D90" s="32">
        <v>200</v>
      </c>
      <c r="E90" s="32">
        <v>180</v>
      </c>
      <c r="F90" s="32">
        <v>160</v>
      </c>
      <c r="G90" s="32">
        <v>140</v>
      </c>
      <c r="H90" s="32">
        <v>130</v>
      </c>
      <c r="I90" s="32">
        <v>120</v>
      </c>
      <c r="J90" s="32">
        <v>110</v>
      </c>
      <c r="K90" s="32">
        <v>100</v>
      </c>
      <c r="L90" s="32">
        <v>90</v>
      </c>
      <c r="M90" s="32">
        <v>80</v>
      </c>
      <c r="N90" s="32">
        <v>70</v>
      </c>
      <c r="O90" s="32">
        <v>60</v>
      </c>
      <c r="P90" s="32">
        <v>50</v>
      </c>
      <c r="Q90" s="32">
        <v>50</v>
      </c>
      <c r="R90" s="32"/>
      <c r="S90" s="32">
        <f t="shared" si="5"/>
        <v>1760</v>
      </c>
    </row>
    <row r="91" spans="1:19" ht="21" x14ac:dyDescent="0.35">
      <c r="A91" s="32">
        <v>89</v>
      </c>
      <c r="B91" s="32">
        <f t="shared" si="4"/>
        <v>1780</v>
      </c>
      <c r="C91" s="32">
        <v>240</v>
      </c>
      <c r="D91" s="32">
        <v>200</v>
      </c>
      <c r="E91" s="32">
        <v>180</v>
      </c>
      <c r="F91" s="32">
        <v>160</v>
      </c>
      <c r="G91" s="32">
        <v>140</v>
      </c>
      <c r="H91" s="32">
        <v>130</v>
      </c>
      <c r="I91" s="32">
        <v>120</v>
      </c>
      <c r="J91" s="32">
        <v>110</v>
      </c>
      <c r="K91" s="32">
        <v>100</v>
      </c>
      <c r="L91" s="32">
        <v>90</v>
      </c>
      <c r="M91" s="32">
        <v>80</v>
      </c>
      <c r="N91" s="32">
        <v>70</v>
      </c>
      <c r="O91" s="32">
        <v>60</v>
      </c>
      <c r="P91" s="32">
        <v>50</v>
      </c>
      <c r="Q91" s="32">
        <v>50</v>
      </c>
      <c r="R91" s="32"/>
      <c r="S91" s="32">
        <f t="shared" si="5"/>
        <v>1780</v>
      </c>
    </row>
    <row r="92" spans="1:19" ht="21" x14ac:dyDescent="0.35">
      <c r="A92" s="32">
        <v>90</v>
      </c>
      <c r="B92" s="32">
        <f t="shared" si="4"/>
        <v>1800</v>
      </c>
      <c r="C92" s="32">
        <v>190</v>
      </c>
      <c r="D92" s="32">
        <v>180</v>
      </c>
      <c r="E92" s="32">
        <v>170</v>
      </c>
      <c r="F92" s="32">
        <v>160</v>
      </c>
      <c r="G92" s="32">
        <v>150</v>
      </c>
      <c r="H92" s="32">
        <v>140</v>
      </c>
      <c r="I92" s="32">
        <v>130</v>
      </c>
      <c r="J92" s="32">
        <v>120</v>
      </c>
      <c r="K92" s="32">
        <v>110</v>
      </c>
      <c r="L92" s="32">
        <v>100</v>
      </c>
      <c r="M92" s="32">
        <v>90</v>
      </c>
      <c r="N92" s="32">
        <v>80</v>
      </c>
      <c r="O92" s="32">
        <v>70</v>
      </c>
      <c r="P92" s="32">
        <v>60</v>
      </c>
      <c r="Q92" s="32">
        <v>50</v>
      </c>
      <c r="R92" s="32"/>
      <c r="S92" s="32">
        <f t="shared" si="5"/>
        <v>1800</v>
      </c>
    </row>
    <row r="93" spans="1:19" ht="21" x14ac:dyDescent="0.35">
      <c r="A93" s="32">
        <v>91</v>
      </c>
      <c r="B93" s="32">
        <f t="shared" si="4"/>
        <v>1820</v>
      </c>
      <c r="C93" s="32">
        <v>230</v>
      </c>
      <c r="D93" s="32">
        <v>200</v>
      </c>
      <c r="E93" s="32">
        <v>180</v>
      </c>
      <c r="F93" s="32">
        <v>160</v>
      </c>
      <c r="G93" s="32">
        <v>140</v>
      </c>
      <c r="H93" s="32">
        <v>130</v>
      </c>
      <c r="I93" s="32">
        <v>120</v>
      </c>
      <c r="J93" s="32">
        <v>110</v>
      </c>
      <c r="K93" s="32">
        <v>100</v>
      </c>
      <c r="L93" s="32">
        <v>90</v>
      </c>
      <c r="M93" s="32">
        <v>80</v>
      </c>
      <c r="N93" s="32">
        <v>70</v>
      </c>
      <c r="O93" s="32">
        <v>60</v>
      </c>
      <c r="P93" s="32">
        <v>50</v>
      </c>
      <c r="Q93" s="32">
        <v>50</v>
      </c>
      <c r="R93" s="32">
        <v>50</v>
      </c>
      <c r="S93" s="32">
        <f t="shared" si="5"/>
        <v>1820</v>
      </c>
    </row>
    <row r="94" spans="1:19" ht="21" x14ac:dyDescent="0.35">
      <c r="A94" s="32">
        <v>92</v>
      </c>
      <c r="B94" s="32">
        <f t="shared" si="4"/>
        <v>1840</v>
      </c>
      <c r="C94" s="32">
        <v>240</v>
      </c>
      <c r="D94" s="32">
        <v>210</v>
      </c>
      <c r="E94" s="32">
        <v>180</v>
      </c>
      <c r="F94" s="32">
        <v>160</v>
      </c>
      <c r="G94" s="32">
        <v>140</v>
      </c>
      <c r="H94" s="32">
        <v>130</v>
      </c>
      <c r="I94" s="32">
        <v>120</v>
      </c>
      <c r="J94" s="32">
        <v>110</v>
      </c>
      <c r="K94" s="32">
        <v>100</v>
      </c>
      <c r="L94" s="32">
        <v>90</v>
      </c>
      <c r="M94" s="32">
        <v>80</v>
      </c>
      <c r="N94" s="32">
        <v>70</v>
      </c>
      <c r="O94" s="32">
        <v>60</v>
      </c>
      <c r="P94" s="32">
        <v>50</v>
      </c>
      <c r="Q94" s="32">
        <v>50</v>
      </c>
      <c r="R94" s="32">
        <v>50</v>
      </c>
      <c r="S94" s="32">
        <f t="shared" si="5"/>
        <v>1840</v>
      </c>
    </row>
    <row r="95" spans="1:19" ht="21" x14ac:dyDescent="0.35">
      <c r="A95" s="32">
        <v>93</v>
      </c>
      <c r="B95" s="32">
        <f t="shared" si="4"/>
        <v>1860</v>
      </c>
      <c r="C95" s="32">
        <v>200</v>
      </c>
      <c r="D95" s="32">
        <v>180</v>
      </c>
      <c r="E95" s="32">
        <v>170</v>
      </c>
      <c r="F95" s="32">
        <v>160</v>
      </c>
      <c r="G95" s="32">
        <v>150</v>
      </c>
      <c r="H95" s="32">
        <v>140</v>
      </c>
      <c r="I95" s="32">
        <v>130</v>
      </c>
      <c r="J95" s="32">
        <v>120</v>
      </c>
      <c r="K95" s="32">
        <v>110</v>
      </c>
      <c r="L95" s="32">
        <v>100</v>
      </c>
      <c r="M95" s="32">
        <v>90</v>
      </c>
      <c r="N95" s="32">
        <v>80</v>
      </c>
      <c r="O95" s="32">
        <v>70</v>
      </c>
      <c r="P95" s="32">
        <v>60</v>
      </c>
      <c r="Q95" s="32">
        <v>50</v>
      </c>
      <c r="R95" s="32">
        <v>50</v>
      </c>
      <c r="S95" s="32">
        <f t="shared" si="5"/>
        <v>1860</v>
      </c>
    </row>
    <row r="96" spans="1:19" ht="21" x14ac:dyDescent="0.35">
      <c r="A96" s="32">
        <v>94</v>
      </c>
      <c r="B96" s="32">
        <f t="shared" si="4"/>
        <v>1880</v>
      </c>
      <c r="C96" s="32">
        <v>210</v>
      </c>
      <c r="D96" s="32">
        <v>190</v>
      </c>
      <c r="E96" s="32">
        <v>170</v>
      </c>
      <c r="F96" s="32">
        <v>160</v>
      </c>
      <c r="G96" s="32">
        <v>150</v>
      </c>
      <c r="H96" s="32">
        <v>140</v>
      </c>
      <c r="I96" s="32">
        <v>130</v>
      </c>
      <c r="J96" s="32">
        <v>120</v>
      </c>
      <c r="K96" s="32">
        <v>110</v>
      </c>
      <c r="L96" s="32">
        <v>100</v>
      </c>
      <c r="M96" s="32">
        <v>90</v>
      </c>
      <c r="N96" s="32">
        <v>80</v>
      </c>
      <c r="O96" s="32">
        <v>70</v>
      </c>
      <c r="P96" s="32">
        <v>60</v>
      </c>
      <c r="Q96" s="32">
        <v>50</v>
      </c>
      <c r="R96" s="32">
        <v>50</v>
      </c>
      <c r="S96" s="32">
        <f t="shared" si="5"/>
        <v>1880</v>
      </c>
    </row>
    <row r="97" spans="1:19" ht="21" x14ac:dyDescent="0.35">
      <c r="A97" s="32">
        <v>95</v>
      </c>
      <c r="B97" s="32">
        <f t="shared" si="4"/>
        <v>1900</v>
      </c>
      <c r="C97" s="32">
        <v>230</v>
      </c>
      <c r="D97" s="32">
        <v>190</v>
      </c>
      <c r="E97" s="32">
        <v>170</v>
      </c>
      <c r="F97" s="32">
        <v>160</v>
      </c>
      <c r="G97" s="32">
        <v>150</v>
      </c>
      <c r="H97" s="32">
        <v>140</v>
      </c>
      <c r="I97" s="32">
        <v>130</v>
      </c>
      <c r="J97" s="32">
        <v>120</v>
      </c>
      <c r="K97" s="32">
        <v>110</v>
      </c>
      <c r="L97" s="32">
        <v>100</v>
      </c>
      <c r="M97" s="32">
        <v>90</v>
      </c>
      <c r="N97" s="32">
        <v>80</v>
      </c>
      <c r="O97" s="32">
        <v>70</v>
      </c>
      <c r="P97" s="32">
        <v>60</v>
      </c>
      <c r="Q97" s="32">
        <v>50</v>
      </c>
      <c r="R97" s="32">
        <v>50</v>
      </c>
      <c r="S97" s="32">
        <f t="shared" si="5"/>
        <v>1900</v>
      </c>
    </row>
    <row r="98" spans="1:19" ht="21" x14ac:dyDescent="0.35">
      <c r="A98" s="32">
        <v>96</v>
      </c>
      <c r="B98" s="32">
        <f t="shared" si="4"/>
        <v>1920</v>
      </c>
      <c r="C98" s="32">
        <v>230</v>
      </c>
      <c r="D98" s="32">
        <v>200</v>
      </c>
      <c r="E98" s="32">
        <v>170</v>
      </c>
      <c r="F98" s="32">
        <v>160</v>
      </c>
      <c r="G98" s="32">
        <v>150</v>
      </c>
      <c r="H98" s="32">
        <v>140</v>
      </c>
      <c r="I98" s="32">
        <v>130</v>
      </c>
      <c r="J98" s="32">
        <v>120</v>
      </c>
      <c r="K98" s="32">
        <v>110</v>
      </c>
      <c r="L98" s="32">
        <v>100</v>
      </c>
      <c r="M98" s="32">
        <v>90</v>
      </c>
      <c r="N98" s="32">
        <v>80</v>
      </c>
      <c r="O98" s="32">
        <v>70</v>
      </c>
      <c r="P98" s="32">
        <v>60</v>
      </c>
      <c r="Q98" s="32">
        <v>60</v>
      </c>
      <c r="R98" s="32">
        <v>50</v>
      </c>
      <c r="S98" s="32">
        <f t="shared" si="5"/>
        <v>1920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94B5-5071-4143-97CB-95EB6857A051}">
  <sheetPr codeName="Sheet8"/>
  <dimension ref="A1:S98"/>
  <sheetViews>
    <sheetView workbookViewId="0"/>
  </sheetViews>
  <sheetFormatPr defaultRowHeight="15" x14ac:dyDescent="0.25"/>
  <sheetData>
    <row r="1" spans="1:19" ht="21" x14ac:dyDescent="0.35">
      <c r="A1" s="34">
        <v>50</v>
      </c>
      <c r="B1" s="35" t="s">
        <v>86</v>
      </c>
      <c r="C1" s="21"/>
      <c r="D1" s="36"/>
      <c r="E1" s="36"/>
      <c r="F1" s="36"/>
      <c r="G1" s="31" t="s">
        <v>87</v>
      </c>
      <c r="H1" s="36"/>
      <c r="I1" s="36"/>
      <c r="J1" s="31" t="s">
        <v>88</v>
      </c>
      <c r="K1" s="36"/>
      <c r="L1" s="36"/>
      <c r="M1" s="36"/>
      <c r="N1" s="36"/>
      <c r="O1" s="36"/>
      <c r="P1" s="36"/>
      <c r="Q1" s="36"/>
      <c r="R1" s="36"/>
      <c r="S1" s="36"/>
    </row>
    <row r="2" spans="1:19" ht="21" x14ac:dyDescent="0.35">
      <c r="A2" s="32" t="s">
        <v>89</v>
      </c>
      <c r="B2" s="32" t="s">
        <v>81</v>
      </c>
      <c r="C2" s="32" t="s">
        <v>90</v>
      </c>
      <c r="D2" s="32" t="s">
        <v>91</v>
      </c>
      <c r="E2" s="32" t="s">
        <v>92</v>
      </c>
      <c r="F2" s="32" t="s">
        <v>93</v>
      </c>
      <c r="G2" s="32" t="s">
        <v>94</v>
      </c>
      <c r="H2" s="32" t="s">
        <v>95</v>
      </c>
      <c r="I2" s="32" t="s">
        <v>96</v>
      </c>
      <c r="J2" s="32" t="s">
        <v>97</v>
      </c>
      <c r="K2" s="32" t="s">
        <v>98</v>
      </c>
      <c r="L2" s="32" t="s">
        <v>99</v>
      </c>
      <c r="M2" s="32" t="s">
        <v>100</v>
      </c>
      <c r="N2" s="32" t="s">
        <v>101</v>
      </c>
      <c r="O2" s="32" t="s">
        <v>102</v>
      </c>
      <c r="P2" s="32" t="s">
        <v>103</v>
      </c>
      <c r="Q2" s="32" t="s">
        <v>104</v>
      </c>
      <c r="R2" s="32" t="s">
        <v>105</v>
      </c>
      <c r="S2" s="32" t="s">
        <v>106</v>
      </c>
    </row>
    <row r="3" spans="1:19" ht="21" x14ac:dyDescent="0.35">
      <c r="A3" s="32">
        <v>1</v>
      </c>
      <c r="B3" s="32">
        <f t="shared" ref="B3:B34" si="0">A3*FGradPool50fee</f>
        <v>50</v>
      </c>
      <c r="C3" s="32">
        <f>B3</f>
        <v>50</v>
      </c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>
        <f t="shared" ref="S3:S66" si="1">SUM(C3:R3)</f>
        <v>50</v>
      </c>
    </row>
    <row r="4" spans="1:19" ht="21" x14ac:dyDescent="0.35">
      <c r="A4" s="32">
        <v>2</v>
      </c>
      <c r="B4" s="32">
        <f t="shared" si="0"/>
        <v>100</v>
      </c>
      <c r="C4" s="32">
        <f t="shared" ref="C4:C8" si="2">B4</f>
        <v>100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>
        <f t="shared" si="1"/>
        <v>100</v>
      </c>
    </row>
    <row r="5" spans="1:19" ht="21" x14ac:dyDescent="0.35">
      <c r="A5" s="32">
        <v>3</v>
      </c>
      <c r="B5" s="32">
        <f t="shared" si="0"/>
        <v>150</v>
      </c>
      <c r="C5" s="32">
        <f t="shared" si="2"/>
        <v>150</v>
      </c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>
        <f t="shared" si="1"/>
        <v>150</v>
      </c>
    </row>
    <row r="6" spans="1:19" ht="21" x14ac:dyDescent="0.35">
      <c r="A6" s="32">
        <v>4</v>
      </c>
      <c r="B6" s="32">
        <f t="shared" si="0"/>
        <v>200</v>
      </c>
      <c r="C6" s="32">
        <f t="shared" si="2"/>
        <v>200</v>
      </c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>
        <f t="shared" si="1"/>
        <v>200</v>
      </c>
    </row>
    <row r="7" spans="1:19" ht="21" x14ac:dyDescent="0.35">
      <c r="A7" s="32">
        <v>5</v>
      </c>
      <c r="B7" s="32">
        <f t="shared" si="0"/>
        <v>250</v>
      </c>
      <c r="C7" s="32">
        <f t="shared" si="2"/>
        <v>250</v>
      </c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>
        <f t="shared" si="1"/>
        <v>250</v>
      </c>
    </row>
    <row r="8" spans="1:19" ht="21" x14ac:dyDescent="0.35">
      <c r="A8" s="32">
        <v>6</v>
      </c>
      <c r="B8" s="32">
        <f t="shared" si="0"/>
        <v>300</v>
      </c>
      <c r="C8" s="32">
        <f t="shared" si="2"/>
        <v>300</v>
      </c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>
        <f t="shared" si="1"/>
        <v>300</v>
      </c>
    </row>
    <row r="9" spans="1:19" ht="21" x14ac:dyDescent="0.35">
      <c r="A9" s="32">
        <v>7</v>
      </c>
      <c r="B9" s="32">
        <f t="shared" si="0"/>
        <v>350</v>
      </c>
      <c r="C9" s="32">
        <v>225</v>
      </c>
      <c r="D9" s="32">
        <v>125</v>
      </c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>
        <f t="shared" si="1"/>
        <v>350</v>
      </c>
    </row>
    <row r="10" spans="1:19" ht="21" x14ac:dyDescent="0.35">
      <c r="A10" s="32">
        <v>8</v>
      </c>
      <c r="B10" s="32">
        <f t="shared" si="0"/>
        <v>400</v>
      </c>
      <c r="C10" s="32">
        <v>275</v>
      </c>
      <c r="D10" s="32">
        <v>125</v>
      </c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>
        <f t="shared" si="1"/>
        <v>400</v>
      </c>
    </row>
    <row r="11" spans="1:19" ht="21" x14ac:dyDescent="0.35">
      <c r="A11" s="32">
        <v>9</v>
      </c>
      <c r="B11" s="32">
        <f t="shared" si="0"/>
        <v>450</v>
      </c>
      <c r="C11" s="32">
        <v>300</v>
      </c>
      <c r="D11" s="32">
        <v>150</v>
      </c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>
        <f t="shared" si="1"/>
        <v>450</v>
      </c>
    </row>
    <row r="12" spans="1:19" ht="21" x14ac:dyDescent="0.35">
      <c r="A12" s="32">
        <v>10</v>
      </c>
      <c r="B12" s="32">
        <f t="shared" si="0"/>
        <v>500</v>
      </c>
      <c r="C12" s="32">
        <v>350</v>
      </c>
      <c r="D12" s="32">
        <v>150</v>
      </c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>
        <f t="shared" si="1"/>
        <v>500</v>
      </c>
    </row>
    <row r="13" spans="1:19" ht="21" x14ac:dyDescent="0.35">
      <c r="A13" s="32">
        <v>11</v>
      </c>
      <c r="B13" s="32">
        <f t="shared" si="0"/>
        <v>550</v>
      </c>
      <c r="C13" s="32">
        <v>375</v>
      </c>
      <c r="D13" s="32">
        <v>175</v>
      </c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>
        <f t="shared" si="1"/>
        <v>550</v>
      </c>
    </row>
    <row r="14" spans="1:19" ht="21" x14ac:dyDescent="0.35">
      <c r="A14" s="32">
        <v>12</v>
      </c>
      <c r="B14" s="32">
        <f t="shared" si="0"/>
        <v>600</v>
      </c>
      <c r="C14" s="32">
        <v>400</v>
      </c>
      <c r="D14" s="32">
        <v>200</v>
      </c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>
        <f t="shared" si="1"/>
        <v>600</v>
      </c>
    </row>
    <row r="15" spans="1:19" ht="21" x14ac:dyDescent="0.35">
      <c r="A15" s="32">
        <v>13</v>
      </c>
      <c r="B15" s="32">
        <f t="shared" si="0"/>
        <v>650</v>
      </c>
      <c r="C15" s="32">
        <v>325</v>
      </c>
      <c r="D15" s="32">
        <v>200</v>
      </c>
      <c r="E15" s="32">
        <v>125</v>
      </c>
      <c r="F15" s="32"/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>
        <f t="shared" si="1"/>
        <v>650</v>
      </c>
    </row>
    <row r="16" spans="1:19" ht="21" x14ac:dyDescent="0.35">
      <c r="A16" s="32">
        <v>14</v>
      </c>
      <c r="B16" s="32">
        <f t="shared" si="0"/>
        <v>700</v>
      </c>
      <c r="C16" s="32">
        <v>350</v>
      </c>
      <c r="D16" s="32">
        <v>225</v>
      </c>
      <c r="E16" s="32">
        <v>125</v>
      </c>
      <c r="F16" s="32"/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32">
        <f t="shared" si="1"/>
        <v>700</v>
      </c>
    </row>
    <row r="17" spans="1:19" ht="21" x14ac:dyDescent="0.35">
      <c r="A17" s="32">
        <v>15</v>
      </c>
      <c r="B17" s="32">
        <f t="shared" si="0"/>
        <v>750</v>
      </c>
      <c r="C17" s="32">
        <v>375</v>
      </c>
      <c r="D17" s="32">
        <v>250</v>
      </c>
      <c r="E17" s="32">
        <v>125</v>
      </c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>
        <f t="shared" si="1"/>
        <v>750</v>
      </c>
    </row>
    <row r="18" spans="1:19" ht="21" x14ac:dyDescent="0.35">
      <c r="A18" s="32">
        <v>16</v>
      </c>
      <c r="B18" s="32">
        <f t="shared" si="0"/>
        <v>800</v>
      </c>
      <c r="C18" s="32">
        <v>425</v>
      </c>
      <c r="D18" s="32">
        <v>250</v>
      </c>
      <c r="E18" s="32">
        <v>125</v>
      </c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>
        <f t="shared" si="1"/>
        <v>800</v>
      </c>
    </row>
    <row r="19" spans="1:19" ht="21" x14ac:dyDescent="0.35">
      <c r="A19" s="32">
        <v>17</v>
      </c>
      <c r="B19" s="32">
        <f t="shared" si="0"/>
        <v>850</v>
      </c>
      <c r="C19" s="32">
        <v>450</v>
      </c>
      <c r="D19" s="32">
        <v>275</v>
      </c>
      <c r="E19" s="32">
        <v>125</v>
      </c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>
        <f t="shared" si="1"/>
        <v>850</v>
      </c>
    </row>
    <row r="20" spans="1:19" ht="21" x14ac:dyDescent="0.35">
      <c r="A20" s="32">
        <v>18</v>
      </c>
      <c r="B20" s="32">
        <f t="shared" si="0"/>
        <v>900</v>
      </c>
      <c r="C20" s="32">
        <v>450</v>
      </c>
      <c r="D20" s="32">
        <v>300</v>
      </c>
      <c r="E20" s="32">
        <v>150</v>
      </c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>
        <f t="shared" si="1"/>
        <v>900</v>
      </c>
    </row>
    <row r="21" spans="1:19" ht="21" x14ac:dyDescent="0.35">
      <c r="A21" s="32">
        <v>19</v>
      </c>
      <c r="B21" s="32">
        <f t="shared" si="0"/>
        <v>950</v>
      </c>
      <c r="C21" s="32">
        <v>375</v>
      </c>
      <c r="D21" s="32">
        <v>275</v>
      </c>
      <c r="E21" s="32">
        <v>175</v>
      </c>
      <c r="F21" s="32">
        <v>125</v>
      </c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>
        <f t="shared" si="1"/>
        <v>950</v>
      </c>
    </row>
    <row r="22" spans="1:19" ht="21" x14ac:dyDescent="0.35">
      <c r="A22" s="32">
        <v>20</v>
      </c>
      <c r="B22" s="32">
        <f t="shared" si="0"/>
        <v>1000</v>
      </c>
      <c r="C22" s="32">
        <v>425</v>
      </c>
      <c r="D22" s="32">
        <v>275</v>
      </c>
      <c r="E22" s="32">
        <v>175</v>
      </c>
      <c r="F22" s="32">
        <v>125</v>
      </c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>
        <f t="shared" si="1"/>
        <v>1000</v>
      </c>
    </row>
    <row r="23" spans="1:19" ht="21" x14ac:dyDescent="0.35">
      <c r="A23" s="32">
        <v>21</v>
      </c>
      <c r="B23" s="32">
        <f t="shared" si="0"/>
        <v>1050</v>
      </c>
      <c r="C23" s="32">
        <v>425</v>
      </c>
      <c r="D23" s="32">
        <v>300</v>
      </c>
      <c r="E23" s="32">
        <v>200</v>
      </c>
      <c r="F23" s="32">
        <v>125</v>
      </c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32">
        <f t="shared" si="1"/>
        <v>1050</v>
      </c>
    </row>
    <row r="24" spans="1:19" ht="21" x14ac:dyDescent="0.35">
      <c r="A24" s="32">
        <v>22</v>
      </c>
      <c r="B24" s="32">
        <f t="shared" si="0"/>
        <v>1100</v>
      </c>
      <c r="C24" s="32">
        <v>450</v>
      </c>
      <c r="D24" s="32">
        <v>325</v>
      </c>
      <c r="E24" s="32">
        <v>200</v>
      </c>
      <c r="F24" s="32">
        <v>125</v>
      </c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>
        <f t="shared" si="1"/>
        <v>1100</v>
      </c>
    </row>
    <row r="25" spans="1:19" ht="21" x14ac:dyDescent="0.35">
      <c r="A25" s="32">
        <v>23</v>
      </c>
      <c r="B25" s="32">
        <f t="shared" si="0"/>
        <v>1150</v>
      </c>
      <c r="C25" s="32">
        <v>475</v>
      </c>
      <c r="D25" s="32">
        <v>325</v>
      </c>
      <c r="E25" s="32">
        <v>225</v>
      </c>
      <c r="F25" s="32">
        <v>125</v>
      </c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>
        <f t="shared" si="1"/>
        <v>1150</v>
      </c>
    </row>
    <row r="26" spans="1:19" ht="21" x14ac:dyDescent="0.35">
      <c r="A26" s="32">
        <v>24</v>
      </c>
      <c r="B26" s="32">
        <f t="shared" si="0"/>
        <v>1200</v>
      </c>
      <c r="C26" s="32">
        <v>500</v>
      </c>
      <c r="D26" s="32">
        <v>350</v>
      </c>
      <c r="E26" s="32">
        <v>225</v>
      </c>
      <c r="F26" s="32">
        <v>125</v>
      </c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>
        <f t="shared" si="1"/>
        <v>1200</v>
      </c>
    </row>
    <row r="27" spans="1:19" ht="21" x14ac:dyDescent="0.35">
      <c r="A27" s="32">
        <v>25</v>
      </c>
      <c r="B27" s="32">
        <f t="shared" si="0"/>
        <v>1250</v>
      </c>
      <c r="C27" s="32">
        <v>425</v>
      </c>
      <c r="D27" s="32">
        <v>300</v>
      </c>
      <c r="E27" s="32">
        <v>225</v>
      </c>
      <c r="F27" s="32">
        <v>175</v>
      </c>
      <c r="G27" s="32">
        <v>125</v>
      </c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>
        <f t="shared" si="1"/>
        <v>1250</v>
      </c>
    </row>
    <row r="28" spans="1:19" ht="21" x14ac:dyDescent="0.35">
      <c r="A28" s="32">
        <v>26</v>
      </c>
      <c r="B28" s="32">
        <f t="shared" si="0"/>
        <v>1300</v>
      </c>
      <c r="C28" s="32">
        <v>425</v>
      </c>
      <c r="D28" s="32">
        <v>325</v>
      </c>
      <c r="E28" s="32">
        <v>250</v>
      </c>
      <c r="F28" s="32">
        <v>175</v>
      </c>
      <c r="G28" s="32">
        <v>125</v>
      </c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>
        <f t="shared" si="1"/>
        <v>1300</v>
      </c>
    </row>
    <row r="29" spans="1:19" ht="21" x14ac:dyDescent="0.35">
      <c r="A29" s="32">
        <v>27</v>
      </c>
      <c r="B29" s="32">
        <f t="shared" si="0"/>
        <v>1350</v>
      </c>
      <c r="C29" s="32">
        <v>450</v>
      </c>
      <c r="D29" s="32">
        <v>350</v>
      </c>
      <c r="E29" s="32">
        <v>250</v>
      </c>
      <c r="F29" s="32">
        <v>175</v>
      </c>
      <c r="G29" s="32">
        <v>125</v>
      </c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>
        <f t="shared" si="1"/>
        <v>1350</v>
      </c>
    </row>
    <row r="30" spans="1:19" ht="21" x14ac:dyDescent="0.35">
      <c r="A30" s="32">
        <v>28</v>
      </c>
      <c r="B30" s="32">
        <f t="shared" si="0"/>
        <v>1400</v>
      </c>
      <c r="C30" s="32">
        <v>500</v>
      </c>
      <c r="D30" s="32">
        <v>350</v>
      </c>
      <c r="E30" s="32">
        <v>250</v>
      </c>
      <c r="F30" s="32">
        <v>175</v>
      </c>
      <c r="G30" s="32">
        <v>125</v>
      </c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>
        <f t="shared" si="1"/>
        <v>1400</v>
      </c>
    </row>
    <row r="31" spans="1:19" ht="21" x14ac:dyDescent="0.35">
      <c r="A31" s="32">
        <v>29</v>
      </c>
      <c r="B31" s="32">
        <f t="shared" si="0"/>
        <v>1450</v>
      </c>
      <c r="C31" s="32">
        <v>475</v>
      </c>
      <c r="D31" s="32">
        <v>375</v>
      </c>
      <c r="E31" s="32">
        <v>275</v>
      </c>
      <c r="F31" s="32">
        <v>200</v>
      </c>
      <c r="G31" s="32">
        <v>125</v>
      </c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>
        <f t="shared" si="1"/>
        <v>1450</v>
      </c>
    </row>
    <row r="32" spans="1:19" ht="21" x14ac:dyDescent="0.35">
      <c r="A32" s="32">
        <v>30</v>
      </c>
      <c r="B32" s="32">
        <f t="shared" si="0"/>
        <v>1500</v>
      </c>
      <c r="C32" s="32">
        <v>500</v>
      </c>
      <c r="D32" s="32">
        <v>375</v>
      </c>
      <c r="E32" s="32">
        <v>275</v>
      </c>
      <c r="F32" s="32">
        <v>200</v>
      </c>
      <c r="G32" s="32">
        <v>150</v>
      </c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>
        <f t="shared" si="1"/>
        <v>1500</v>
      </c>
    </row>
    <row r="33" spans="1:19" ht="21" x14ac:dyDescent="0.35">
      <c r="A33" s="32">
        <v>31</v>
      </c>
      <c r="B33" s="32">
        <f t="shared" si="0"/>
        <v>1550</v>
      </c>
      <c r="C33" s="32">
        <v>425</v>
      </c>
      <c r="D33" s="32">
        <v>325</v>
      </c>
      <c r="E33" s="32">
        <v>275</v>
      </c>
      <c r="F33" s="32">
        <v>225</v>
      </c>
      <c r="G33" s="32">
        <v>175</v>
      </c>
      <c r="H33" s="32">
        <v>125</v>
      </c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>
        <f t="shared" si="1"/>
        <v>1550</v>
      </c>
    </row>
    <row r="34" spans="1:19" ht="21" x14ac:dyDescent="0.35">
      <c r="A34" s="32">
        <v>32</v>
      </c>
      <c r="B34" s="32">
        <f t="shared" si="0"/>
        <v>1600</v>
      </c>
      <c r="C34" s="32">
        <v>450</v>
      </c>
      <c r="D34" s="32">
        <v>350</v>
      </c>
      <c r="E34" s="32">
        <v>275</v>
      </c>
      <c r="F34" s="32">
        <v>225</v>
      </c>
      <c r="G34" s="32">
        <v>175</v>
      </c>
      <c r="H34" s="32">
        <v>125</v>
      </c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>
        <f t="shared" si="1"/>
        <v>1600</v>
      </c>
    </row>
    <row r="35" spans="1:19" ht="21" x14ac:dyDescent="0.35">
      <c r="A35" s="32">
        <v>33</v>
      </c>
      <c r="B35" s="32">
        <f t="shared" ref="B35:B66" si="3">A35*FGradPool50fee</f>
        <v>1650</v>
      </c>
      <c r="C35" s="32">
        <v>450</v>
      </c>
      <c r="D35" s="32">
        <v>375</v>
      </c>
      <c r="E35" s="32">
        <v>300</v>
      </c>
      <c r="F35" s="32">
        <v>225</v>
      </c>
      <c r="G35" s="32">
        <v>175</v>
      </c>
      <c r="H35" s="32">
        <v>125</v>
      </c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>
        <f t="shared" si="1"/>
        <v>1650</v>
      </c>
    </row>
    <row r="36" spans="1:19" ht="21" x14ac:dyDescent="0.35">
      <c r="A36" s="32">
        <v>34</v>
      </c>
      <c r="B36" s="32">
        <f t="shared" si="3"/>
        <v>1700</v>
      </c>
      <c r="C36" s="32">
        <v>500</v>
      </c>
      <c r="D36" s="32">
        <v>375</v>
      </c>
      <c r="E36" s="32">
        <v>300</v>
      </c>
      <c r="F36" s="32">
        <v>225</v>
      </c>
      <c r="G36" s="32">
        <v>175</v>
      </c>
      <c r="H36" s="32">
        <v>125</v>
      </c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>
        <f t="shared" si="1"/>
        <v>1700</v>
      </c>
    </row>
    <row r="37" spans="1:19" ht="21" x14ac:dyDescent="0.35">
      <c r="A37" s="32">
        <v>35</v>
      </c>
      <c r="B37" s="32">
        <f t="shared" si="3"/>
        <v>1750</v>
      </c>
      <c r="C37" s="32">
        <v>500</v>
      </c>
      <c r="D37" s="32">
        <v>400</v>
      </c>
      <c r="E37" s="32">
        <v>300</v>
      </c>
      <c r="F37" s="32">
        <v>225</v>
      </c>
      <c r="G37" s="32">
        <v>175</v>
      </c>
      <c r="H37" s="32">
        <v>150</v>
      </c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>
        <f t="shared" si="1"/>
        <v>1750</v>
      </c>
    </row>
    <row r="38" spans="1:19" ht="21" x14ac:dyDescent="0.35">
      <c r="A38" s="32">
        <v>36</v>
      </c>
      <c r="B38" s="32">
        <f t="shared" si="3"/>
        <v>1800</v>
      </c>
      <c r="C38" s="32">
        <v>500</v>
      </c>
      <c r="D38" s="32">
        <v>400</v>
      </c>
      <c r="E38" s="32">
        <v>325</v>
      </c>
      <c r="F38" s="32">
        <v>250</v>
      </c>
      <c r="G38" s="32">
        <v>175</v>
      </c>
      <c r="H38" s="32">
        <v>150</v>
      </c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>
        <f t="shared" si="1"/>
        <v>1800</v>
      </c>
    </row>
    <row r="39" spans="1:19" ht="21" x14ac:dyDescent="0.35">
      <c r="A39" s="32">
        <v>37</v>
      </c>
      <c r="B39" s="32">
        <f t="shared" si="3"/>
        <v>1850</v>
      </c>
      <c r="C39" s="32">
        <v>450</v>
      </c>
      <c r="D39" s="32">
        <v>375</v>
      </c>
      <c r="E39" s="32">
        <v>300</v>
      </c>
      <c r="F39" s="32">
        <v>250</v>
      </c>
      <c r="G39" s="32">
        <v>200</v>
      </c>
      <c r="H39" s="32">
        <v>150</v>
      </c>
      <c r="I39" s="32">
        <v>125</v>
      </c>
      <c r="J39" s="32"/>
      <c r="K39" s="32"/>
      <c r="L39" s="32"/>
      <c r="M39" s="32"/>
      <c r="N39" s="32"/>
      <c r="O39" s="32"/>
      <c r="P39" s="32"/>
      <c r="Q39" s="32"/>
      <c r="R39" s="32"/>
      <c r="S39" s="32">
        <f t="shared" si="1"/>
        <v>1850</v>
      </c>
    </row>
    <row r="40" spans="1:19" ht="21" x14ac:dyDescent="0.35">
      <c r="A40" s="32">
        <v>38</v>
      </c>
      <c r="B40" s="32">
        <f t="shared" si="3"/>
        <v>1900</v>
      </c>
      <c r="C40" s="32">
        <v>500</v>
      </c>
      <c r="D40" s="32">
        <v>375</v>
      </c>
      <c r="E40" s="32">
        <v>300</v>
      </c>
      <c r="F40" s="32">
        <v>250</v>
      </c>
      <c r="G40" s="32">
        <v>200</v>
      </c>
      <c r="H40" s="32">
        <v>150</v>
      </c>
      <c r="I40" s="32">
        <v>125</v>
      </c>
      <c r="J40" s="32"/>
      <c r="K40" s="32"/>
      <c r="L40" s="32"/>
      <c r="M40" s="32"/>
      <c r="N40" s="32"/>
      <c r="O40" s="32"/>
      <c r="P40" s="32"/>
      <c r="Q40" s="32"/>
      <c r="R40" s="32"/>
      <c r="S40" s="32">
        <f t="shared" si="1"/>
        <v>1900</v>
      </c>
    </row>
    <row r="41" spans="1:19" ht="21" x14ac:dyDescent="0.35">
      <c r="A41" s="32">
        <v>39</v>
      </c>
      <c r="B41" s="32">
        <f t="shared" si="3"/>
        <v>1950</v>
      </c>
      <c r="C41" s="32">
        <v>500</v>
      </c>
      <c r="D41" s="32">
        <v>400</v>
      </c>
      <c r="E41" s="32">
        <v>325</v>
      </c>
      <c r="F41" s="32">
        <v>250</v>
      </c>
      <c r="G41" s="32">
        <v>200</v>
      </c>
      <c r="H41" s="32">
        <v>150</v>
      </c>
      <c r="I41" s="32">
        <v>125</v>
      </c>
      <c r="J41" s="32"/>
      <c r="K41" s="32"/>
      <c r="L41" s="32"/>
      <c r="M41" s="32"/>
      <c r="N41" s="32"/>
      <c r="O41" s="32"/>
      <c r="P41" s="32"/>
      <c r="Q41" s="32"/>
      <c r="R41" s="32"/>
      <c r="S41" s="32">
        <f t="shared" si="1"/>
        <v>1950</v>
      </c>
    </row>
    <row r="42" spans="1:19" ht="21" x14ac:dyDescent="0.35">
      <c r="A42" s="32">
        <v>40</v>
      </c>
      <c r="B42" s="32">
        <f t="shared" si="3"/>
        <v>2000</v>
      </c>
      <c r="C42" s="32">
        <v>475</v>
      </c>
      <c r="D42" s="32">
        <v>400</v>
      </c>
      <c r="E42" s="32">
        <v>325</v>
      </c>
      <c r="F42" s="32">
        <v>275</v>
      </c>
      <c r="G42" s="32">
        <v>225</v>
      </c>
      <c r="H42" s="32">
        <v>175</v>
      </c>
      <c r="I42" s="32">
        <v>125</v>
      </c>
      <c r="J42" s="32"/>
      <c r="K42" s="32"/>
      <c r="L42" s="32"/>
      <c r="M42" s="32"/>
      <c r="N42" s="32"/>
      <c r="O42" s="32"/>
      <c r="P42" s="32"/>
      <c r="Q42" s="32"/>
      <c r="R42" s="32"/>
      <c r="S42" s="32">
        <f t="shared" si="1"/>
        <v>2000</v>
      </c>
    </row>
    <row r="43" spans="1:19" ht="21" x14ac:dyDescent="0.35">
      <c r="A43" s="32">
        <v>41</v>
      </c>
      <c r="B43" s="32">
        <f t="shared" si="3"/>
        <v>2050</v>
      </c>
      <c r="C43" s="32">
        <v>500</v>
      </c>
      <c r="D43" s="32">
        <v>400</v>
      </c>
      <c r="E43" s="32">
        <v>325</v>
      </c>
      <c r="F43" s="32">
        <v>275</v>
      </c>
      <c r="G43" s="32">
        <v>225</v>
      </c>
      <c r="H43" s="32">
        <v>175</v>
      </c>
      <c r="I43" s="32">
        <v>150</v>
      </c>
      <c r="J43" s="32"/>
      <c r="K43" s="32"/>
      <c r="L43" s="32"/>
      <c r="M43" s="32"/>
      <c r="N43" s="32"/>
      <c r="O43" s="32"/>
      <c r="P43" s="32"/>
      <c r="Q43" s="32"/>
      <c r="R43" s="32"/>
      <c r="S43" s="32">
        <f t="shared" si="1"/>
        <v>2050</v>
      </c>
    </row>
    <row r="44" spans="1:19" ht="21" x14ac:dyDescent="0.35">
      <c r="A44" s="32">
        <v>42</v>
      </c>
      <c r="B44" s="32">
        <f t="shared" si="3"/>
        <v>2100</v>
      </c>
      <c r="C44" s="32">
        <v>500</v>
      </c>
      <c r="D44" s="32">
        <v>425</v>
      </c>
      <c r="E44" s="32">
        <v>350</v>
      </c>
      <c r="F44" s="32">
        <v>275</v>
      </c>
      <c r="G44" s="32">
        <v>225</v>
      </c>
      <c r="H44" s="32">
        <v>175</v>
      </c>
      <c r="I44" s="32">
        <v>150</v>
      </c>
      <c r="J44" s="32"/>
      <c r="K44" s="32"/>
      <c r="L44" s="32"/>
      <c r="M44" s="32"/>
      <c r="N44" s="32"/>
      <c r="O44" s="32"/>
      <c r="P44" s="32"/>
      <c r="Q44" s="32"/>
      <c r="R44" s="32"/>
      <c r="S44" s="32">
        <f t="shared" si="1"/>
        <v>2100</v>
      </c>
    </row>
    <row r="45" spans="1:19" ht="21" x14ac:dyDescent="0.35">
      <c r="A45" s="32">
        <v>43</v>
      </c>
      <c r="B45" s="32">
        <f t="shared" si="3"/>
        <v>2150</v>
      </c>
      <c r="C45" s="32">
        <v>475</v>
      </c>
      <c r="D45" s="32">
        <v>400</v>
      </c>
      <c r="E45" s="32">
        <v>325</v>
      </c>
      <c r="F45" s="32">
        <v>275</v>
      </c>
      <c r="G45" s="32">
        <v>225</v>
      </c>
      <c r="H45" s="32">
        <v>175</v>
      </c>
      <c r="I45" s="32">
        <v>150</v>
      </c>
      <c r="J45" s="32">
        <v>125</v>
      </c>
      <c r="K45" s="32"/>
      <c r="L45" s="32"/>
      <c r="M45" s="32"/>
      <c r="N45" s="32"/>
      <c r="O45" s="32"/>
      <c r="P45" s="32"/>
      <c r="Q45" s="32"/>
      <c r="R45" s="32"/>
      <c r="S45" s="32">
        <f t="shared" si="1"/>
        <v>2150</v>
      </c>
    </row>
    <row r="46" spans="1:19" ht="21" x14ac:dyDescent="0.35">
      <c r="A46" s="32">
        <v>44</v>
      </c>
      <c r="B46" s="32">
        <f t="shared" si="3"/>
        <v>2200</v>
      </c>
      <c r="C46" s="32">
        <v>500</v>
      </c>
      <c r="D46" s="32">
        <v>425</v>
      </c>
      <c r="E46" s="32">
        <v>350</v>
      </c>
      <c r="F46" s="32">
        <v>275</v>
      </c>
      <c r="G46" s="32">
        <v>200</v>
      </c>
      <c r="H46" s="32">
        <v>175</v>
      </c>
      <c r="I46" s="32">
        <v>150</v>
      </c>
      <c r="J46" s="32">
        <v>125</v>
      </c>
      <c r="K46" s="32"/>
      <c r="L46" s="32"/>
      <c r="M46" s="32"/>
      <c r="N46" s="32"/>
      <c r="O46" s="32"/>
      <c r="P46" s="32"/>
      <c r="Q46" s="32"/>
      <c r="R46" s="32"/>
      <c r="S46" s="32">
        <f t="shared" si="1"/>
        <v>2200</v>
      </c>
    </row>
    <row r="47" spans="1:19" ht="21" x14ac:dyDescent="0.35">
      <c r="A47" s="32">
        <v>45</v>
      </c>
      <c r="B47" s="32">
        <f t="shared" si="3"/>
        <v>2250</v>
      </c>
      <c r="C47" s="32">
        <v>475</v>
      </c>
      <c r="D47" s="32">
        <v>400</v>
      </c>
      <c r="E47" s="32">
        <v>350</v>
      </c>
      <c r="F47" s="32">
        <v>300</v>
      </c>
      <c r="G47" s="32">
        <v>250</v>
      </c>
      <c r="H47" s="32">
        <v>200</v>
      </c>
      <c r="I47" s="32">
        <v>150</v>
      </c>
      <c r="J47" s="32">
        <v>125</v>
      </c>
      <c r="K47" s="32"/>
      <c r="L47" s="32"/>
      <c r="M47" s="32"/>
      <c r="N47" s="32"/>
      <c r="O47" s="32"/>
      <c r="P47" s="32"/>
      <c r="Q47" s="32"/>
      <c r="R47" s="32"/>
      <c r="S47" s="32">
        <f t="shared" si="1"/>
        <v>2250</v>
      </c>
    </row>
    <row r="48" spans="1:19" ht="21" x14ac:dyDescent="0.35">
      <c r="A48" s="32">
        <v>46</v>
      </c>
      <c r="B48" s="32">
        <f t="shared" si="3"/>
        <v>2300</v>
      </c>
      <c r="C48" s="32">
        <v>500</v>
      </c>
      <c r="D48" s="32">
        <v>425</v>
      </c>
      <c r="E48" s="32">
        <v>350</v>
      </c>
      <c r="F48" s="32">
        <v>300</v>
      </c>
      <c r="G48" s="32">
        <v>250</v>
      </c>
      <c r="H48" s="32">
        <v>200</v>
      </c>
      <c r="I48" s="32">
        <v>150</v>
      </c>
      <c r="J48" s="32">
        <v>125</v>
      </c>
      <c r="K48" s="32"/>
      <c r="L48" s="32"/>
      <c r="M48" s="32"/>
      <c r="N48" s="32"/>
      <c r="O48" s="32"/>
      <c r="P48" s="32"/>
      <c r="Q48" s="32"/>
      <c r="R48" s="32"/>
      <c r="S48" s="32">
        <f t="shared" si="1"/>
        <v>2300</v>
      </c>
    </row>
    <row r="49" spans="1:19" ht="21" x14ac:dyDescent="0.35">
      <c r="A49" s="32">
        <v>47</v>
      </c>
      <c r="B49" s="32">
        <f t="shared" si="3"/>
        <v>2350</v>
      </c>
      <c r="C49" s="32">
        <v>550</v>
      </c>
      <c r="D49" s="32">
        <v>425</v>
      </c>
      <c r="E49" s="32">
        <v>350</v>
      </c>
      <c r="F49" s="32">
        <v>300</v>
      </c>
      <c r="G49" s="32">
        <v>250</v>
      </c>
      <c r="H49" s="32">
        <v>200</v>
      </c>
      <c r="I49" s="32">
        <v>150</v>
      </c>
      <c r="J49" s="32">
        <v>125</v>
      </c>
      <c r="K49" s="32"/>
      <c r="L49" s="32"/>
      <c r="M49" s="32"/>
      <c r="N49" s="32"/>
      <c r="O49" s="32"/>
      <c r="P49" s="32"/>
      <c r="Q49" s="32"/>
      <c r="R49" s="32"/>
      <c r="S49" s="32">
        <f t="shared" si="1"/>
        <v>2350</v>
      </c>
    </row>
    <row r="50" spans="1:19" ht="21" x14ac:dyDescent="0.35">
      <c r="A50" s="32">
        <v>48</v>
      </c>
      <c r="B50" s="32">
        <f t="shared" si="3"/>
        <v>2400</v>
      </c>
      <c r="C50" s="32">
        <v>475</v>
      </c>
      <c r="D50" s="32">
        <v>425</v>
      </c>
      <c r="E50" s="32">
        <v>375</v>
      </c>
      <c r="F50" s="32">
        <v>325</v>
      </c>
      <c r="G50" s="32">
        <v>275</v>
      </c>
      <c r="H50" s="32">
        <v>225</v>
      </c>
      <c r="I50" s="32">
        <v>175</v>
      </c>
      <c r="J50" s="32">
        <v>125</v>
      </c>
      <c r="K50" s="32"/>
      <c r="L50" s="32"/>
      <c r="M50" s="32"/>
      <c r="N50" s="32"/>
      <c r="O50" s="32"/>
      <c r="P50" s="32"/>
      <c r="Q50" s="32"/>
      <c r="R50" s="32"/>
      <c r="S50" s="32">
        <f t="shared" si="1"/>
        <v>2400</v>
      </c>
    </row>
    <row r="51" spans="1:19" ht="21" x14ac:dyDescent="0.35">
      <c r="A51" s="32">
        <v>49</v>
      </c>
      <c r="B51" s="32">
        <f t="shared" si="3"/>
        <v>2450</v>
      </c>
      <c r="C51" s="32">
        <v>500</v>
      </c>
      <c r="D51" s="32">
        <v>400</v>
      </c>
      <c r="E51" s="32">
        <v>350</v>
      </c>
      <c r="F51" s="32">
        <v>300</v>
      </c>
      <c r="G51" s="32">
        <v>250</v>
      </c>
      <c r="H51" s="32">
        <v>200</v>
      </c>
      <c r="I51" s="32">
        <v>175</v>
      </c>
      <c r="J51" s="32">
        <v>150</v>
      </c>
      <c r="K51" s="32">
        <v>125</v>
      </c>
      <c r="L51" s="32"/>
      <c r="M51" s="32"/>
      <c r="N51" s="32"/>
      <c r="O51" s="32"/>
      <c r="P51" s="32"/>
      <c r="Q51" s="32"/>
      <c r="R51" s="32"/>
      <c r="S51" s="32">
        <f t="shared" si="1"/>
        <v>2450</v>
      </c>
    </row>
    <row r="52" spans="1:19" ht="21" x14ac:dyDescent="0.35">
      <c r="A52" s="32">
        <v>50</v>
      </c>
      <c r="B52" s="32">
        <f t="shared" si="3"/>
        <v>2500</v>
      </c>
      <c r="C52" s="32">
        <v>525</v>
      </c>
      <c r="D52" s="32">
        <v>425</v>
      </c>
      <c r="E52" s="32">
        <v>350</v>
      </c>
      <c r="F52" s="32">
        <v>300</v>
      </c>
      <c r="G52" s="32">
        <v>250</v>
      </c>
      <c r="H52" s="32">
        <v>200</v>
      </c>
      <c r="I52" s="32">
        <v>175</v>
      </c>
      <c r="J52" s="32">
        <v>150</v>
      </c>
      <c r="K52" s="32">
        <v>125</v>
      </c>
      <c r="L52" s="32"/>
      <c r="M52" s="32"/>
      <c r="N52" s="32"/>
      <c r="O52" s="32"/>
      <c r="P52" s="32"/>
      <c r="Q52" s="32"/>
      <c r="R52" s="32"/>
      <c r="S52" s="32">
        <f t="shared" si="1"/>
        <v>2500</v>
      </c>
    </row>
    <row r="53" spans="1:19" ht="21" x14ac:dyDescent="0.35">
      <c r="A53" s="32">
        <v>51</v>
      </c>
      <c r="B53" s="32">
        <f t="shared" si="3"/>
        <v>2550</v>
      </c>
      <c r="C53" s="32">
        <v>525</v>
      </c>
      <c r="D53" s="32">
        <v>450</v>
      </c>
      <c r="E53" s="32">
        <v>375</v>
      </c>
      <c r="F53" s="32">
        <v>300</v>
      </c>
      <c r="G53" s="32">
        <v>250</v>
      </c>
      <c r="H53" s="32">
        <v>200</v>
      </c>
      <c r="I53" s="32">
        <v>175</v>
      </c>
      <c r="J53" s="32">
        <v>150</v>
      </c>
      <c r="K53" s="32">
        <v>125</v>
      </c>
      <c r="L53" s="32"/>
      <c r="M53" s="32"/>
      <c r="N53" s="32"/>
      <c r="O53" s="32"/>
      <c r="P53" s="32"/>
      <c r="Q53" s="32"/>
      <c r="R53" s="32"/>
      <c r="S53" s="32">
        <f t="shared" si="1"/>
        <v>2550</v>
      </c>
    </row>
    <row r="54" spans="1:19" ht="21" x14ac:dyDescent="0.35">
      <c r="A54" s="32">
        <v>52</v>
      </c>
      <c r="B54" s="32">
        <f t="shared" si="3"/>
        <v>2600</v>
      </c>
      <c r="C54" s="32">
        <v>525</v>
      </c>
      <c r="D54" s="32">
        <v>425</v>
      </c>
      <c r="E54" s="32">
        <v>375</v>
      </c>
      <c r="F54" s="32">
        <v>325</v>
      </c>
      <c r="G54" s="32">
        <v>275</v>
      </c>
      <c r="H54" s="32">
        <v>225</v>
      </c>
      <c r="I54" s="32">
        <v>175</v>
      </c>
      <c r="J54" s="32">
        <v>150</v>
      </c>
      <c r="K54" s="32">
        <v>125</v>
      </c>
      <c r="L54" s="32"/>
      <c r="M54" s="32"/>
      <c r="N54" s="32"/>
      <c r="O54" s="32"/>
      <c r="P54" s="32"/>
      <c r="Q54" s="32"/>
      <c r="R54" s="32"/>
      <c r="S54" s="32">
        <f t="shared" si="1"/>
        <v>2600</v>
      </c>
    </row>
    <row r="55" spans="1:19" ht="21" x14ac:dyDescent="0.35">
      <c r="A55" s="32">
        <v>53</v>
      </c>
      <c r="B55" s="32">
        <f t="shared" si="3"/>
        <v>2650</v>
      </c>
      <c r="C55" s="32">
        <v>550</v>
      </c>
      <c r="D55" s="32">
        <v>450</v>
      </c>
      <c r="E55" s="32">
        <v>375</v>
      </c>
      <c r="F55" s="32">
        <v>325</v>
      </c>
      <c r="G55" s="32">
        <v>275</v>
      </c>
      <c r="H55" s="32">
        <v>225</v>
      </c>
      <c r="I55" s="32">
        <v>175</v>
      </c>
      <c r="J55" s="32">
        <v>150</v>
      </c>
      <c r="K55" s="32">
        <v>125</v>
      </c>
      <c r="L55" s="32"/>
      <c r="M55" s="32"/>
      <c r="N55" s="32"/>
      <c r="O55" s="32"/>
      <c r="P55" s="32"/>
      <c r="Q55" s="32"/>
      <c r="R55" s="32"/>
      <c r="S55" s="32">
        <f t="shared" si="1"/>
        <v>2650</v>
      </c>
    </row>
    <row r="56" spans="1:19" ht="21" x14ac:dyDescent="0.35">
      <c r="A56" s="32">
        <v>54</v>
      </c>
      <c r="B56" s="32">
        <f t="shared" si="3"/>
        <v>2700</v>
      </c>
      <c r="C56" s="32">
        <v>575</v>
      </c>
      <c r="D56" s="32">
        <v>475</v>
      </c>
      <c r="E56" s="32">
        <v>375</v>
      </c>
      <c r="F56" s="32">
        <v>325</v>
      </c>
      <c r="G56" s="32">
        <v>275</v>
      </c>
      <c r="H56" s="32">
        <v>225</v>
      </c>
      <c r="I56" s="32">
        <v>175</v>
      </c>
      <c r="J56" s="32">
        <v>150</v>
      </c>
      <c r="K56" s="32">
        <v>125</v>
      </c>
      <c r="L56" s="32"/>
      <c r="M56" s="32"/>
      <c r="N56" s="32"/>
      <c r="O56" s="32"/>
      <c r="P56" s="32"/>
      <c r="Q56" s="32"/>
      <c r="R56" s="32"/>
      <c r="S56" s="32">
        <f t="shared" si="1"/>
        <v>2700</v>
      </c>
    </row>
    <row r="57" spans="1:19" ht="21" x14ac:dyDescent="0.35">
      <c r="A57" s="32">
        <v>55</v>
      </c>
      <c r="B57" s="32">
        <f t="shared" si="3"/>
        <v>2750</v>
      </c>
      <c r="C57" s="32">
        <v>475</v>
      </c>
      <c r="D57" s="32">
        <v>425</v>
      </c>
      <c r="E57" s="32">
        <v>375</v>
      </c>
      <c r="F57" s="32">
        <v>325</v>
      </c>
      <c r="G57" s="32">
        <v>275</v>
      </c>
      <c r="H57" s="32">
        <v>225</v>
      </c>
      <c r="I57" s="32">
        <v>200</v>
      </c>
      <c r="J57" s="32">
        <v>175</v>
      </c>
      <c r="K57" s="32">
        <v>150</v>
      </c>
      <c r="L57" s="32">
        <v>125</v>
      </c>
      <c r="M57" s="32"/>
      <c r="N57" s="32"/>
      <c r="O57" s="32"/>
      <c r="P57" s="32"/>
      <c r="Q57" s="32"/>
      <c r="R57" s="32"/>
      <c r="S57" s="32">
        <f t="shared" si="1"/>
        <v>2750</v>
      </c>
    </row>
    <row r="58" spans="1:19" ht="21" x14ac:dyDescent="0.35">
      <c r="A58" s="32">
        <v>56</v>
      </c>
      <c r="B58" s="32">
        <f t="shared" si="3"/>
        <v>2800</v>
      </c>
      <c r="C58" s="32">
        <v>525</v>
      </c>
      <c r="D58" s="32">
        <v>425</v>
      </c>
      <c r="E58" s="32">
        <v>375</v>
      </c>
      <c r="F58" s="32">
        <v>325</v>
      </c>
      <c r="G58" s="32">
        <v>275</v>
      </c>
      <c r="H58" s="32">
        <v>225</v>
      </c>
      <c r="I58" s="32">
        <v>200</v>
      </c>
      <c r="J58" s="32">
        <v>175</v>
      </c>
      <c r="K58" s="32">
        <v>150</v>
      </c>
      <c r="L58" s="32">
        <v>125</v>
      </c>
      <c r="M58" s="32"/>
      <c r="N58" s="32"/>
      <c r="O58" s="32"/>
      <c r="P58" s="32"/>
      <c r="Q58" s="32"/>
      <c r="R58" s="32"/>
      <c r="S58" s="32">
        <f t="shared" si="1"/>
        <v>2800</v>
      </c>
    </row>
    <row r="59" spans="1:19" ht="21" x14ac:dyDescent="0.35">
      <c r="A59" s="32">
        <v>57</v>
      </c>
      <c r="B59" s="32">
        <f t="shared" si="3"/>
        <v>2850</v>
      </c>
      <c r="C59" s="32">
        <v>550</v>
      </c>
      <c r="D59" s="32">
        <v>450</v>
      </c>
      <c r="E59" s="32">
        <v>375</v>
      </c>
      <c r="F59" s="32">
        <v>325</v>
      </c>
      <c r="G59" s="32">
        <v>275</v>
      </c>
      <c r="H59" s="32">
        <v>225</v>
      </c>
      <c r="I59" s="32">
        <v>200</v>
      </c>
      <c r="J59" s="32">
        <v>175</v>
      </c>
      <c r="K59" s="32">
        <v>150</v>
      </c>
      <c r="L59" s="32">
        <v>125</v>
      </c>
      <c r="M59" s="32"/>
      <c r="N59" s="32"/>
      <c r="O59" s="32"/>
      <c r="P59" s="32"/>
      <c r="Q59" s="32"/>
      <c r="R59" s="32"/>
      <c r="S59" s="32">
        <f t="shared" si="1"/>
        <v>2850</v>
      </c>
    </row>
    <row r="60" spans="1:19" ht="21" x14ac:dyDescent="0.35">
      <c r="A60" s="32">
        <v>58</v>
      </c>
      <c r="B60" s="32">
        <f t="shared" si="3"/>
        <v>2900</v>
      </c>
      <c r="C60" s="32">
        <v>500</v>
      </c>
      <c r="D60" s="32">
        <v>450</v>
      </c>
      <c r="E60" s="32">
        <v>400</v>
      </c>
      <c r="F60" s="32">
        <v>350</v>
      </c>
      <c r="G60" s="32">
        <v>300</v>
      </c>
      <c r="H60" s="32">
        <v>250</v>
      </c>
      <c r="I60" s="32">
        <v>200</v>
      </c>
      <c r="J60" s="32">
        <v>175</v>
      </c>
      <c r="K60" s="32">
        <v>150</v>
      </c>
      <c r="L60" s="32">
        <v>125</v>
      </c>
      <c r="M60" s="32"/>
      <c r="N60" s="32"/>
      <c r="O60" s="32"/>
      <c r="P60" s="32"/>
      <c r="Q60" s="32"/>
      <c r="R60" s="32"/>
      <c r="S60" s="32">
        <f t="shared" si="1"/>
        <v>2900</v>
      </c>
    </row>
    <row r="61" spans="1:19" ht="21" x14ac:dyDescent="0.35">
      <c r="A61" s="32">
        <v>59</v>
      </c>
      <c r="B61" s="32">
        <f t="shared" si="3"/>
        <v>2950</v>
      </c>
      <c r="C61" s="32">
        <v>550</v>
      </c>
      <c r="D61" s="32">
        <v>450</v>
      </c>
      <c r="E61" s="32">
        <v>400</v>
      </c>
      <c r="F61" s="32">
        <v>350</v>
      </c>
      <c r="G61" s="32">
        <v>300</v>
      </c>
      <c r="H61" s="32">
        <v>250</v>
      </c>
      <c r="I61" s="32">
        <v>200</v>
      </c>
      <c r="J61" s="32">
        <v>175</v>
      </c>
      <c r="K61" s="32">
        <v>150</v>
      </c>
      <c r="L61" s="32">
        <v>125</v>
      </c>
      <c r="M61" s="32"/>
      <c r="N61" s="32"/>
      <c r="O61" s="32"/>
      <c r="P61" s="32"/>
      <c r="Q61" s="32"/>
      <c r="R61" s="32"/>
      <c r="S61" s="32">
        <f t="shared" si="1"/>
        <v>2950</v>
      </c>
    </row>
    <row r="62" spans="1:19" ht="21" x14ac:dyDescent="0.35">
      <c r="A62" s="32">
        <v>60</v>
      </c>
      <c r="B62" s="32">
        <f t="shared" si="3"/>
        <v>3000</v>
      </c>
      <c r="C62" s="32">
        <v>575</v>
      </c>
      <c r="D62" s="32">
        <v>475</v>
      </c>
      <c r="E62" s="32">
        <v>400</v>
      </c>
      <c r="F62" s="32">
        <v>350</v>
      </c>
      <c r="G62" s="32">
        <v>300</v>
      </c>
      <c r="H62" s="32">
        <v>250</v>
      </c>
      <c r="I62" s="32">
        <v>200</v>
      </c>
      <c r="J62" s="32">
        <v>175</v>
      </c>
      <c r="K62" s="32">
        <v>150</v>
      </c>
      <c r="L62" s="32">
        <v>125</v>
      </c>
      <c r="M62" s="32"/>
      <c r="N62" s="32"/>
      <c r="O62" s="32"/>
      <c r="P62" s="32"/>
      <c r="Q62" s="32"/>
      <c r="R62" s="32"/>
      <c r="S62" s="32">
        <f t="shared" si="1"/>
        <v>3000</v>
      </c>
    </row>
    <row r="63" spans="1:19" ht="21" x14ac:dyDescent="0.35">
      <c r="A63" s="32">
        <v>61</v>
      </c>
      <c r="B63" s="32">
        <f t="shared" si="3"/>
        <v>3050</v>
      </c>
      <c r="C63" s="32">
        <v>525</v>
      </c>
      <c r="D63" s="32">
        <v>425</v>
      </c>
      <c r="E63" s="32">
        <v>375</v>
      </c>
      <c r="F63" s="32">
        <v>325</v>
      </c>
      <c r="G63" s="32">
        <v>275</v>
      </c>
      <c r="H63" s="32">
        <v>250</v>
      </c>
      <c r="I63" s="32">
        <v>225</v>
      </c>
      <c r="J63" s="32">
        <v>200</v>
      </c>
      <c r="K63" s="32">
        <v>175</v>
      </c>
      <c r="L63" s="32">
        <v>150</v>
      </c>
      <c r="M63" s="32">
        <v>125</v>
      </c>
      <c r="N63" s="32"/>
      <c r="O63" s="32"/>
      <c r="P63" s="32"/>
      <c r="Q63" s="32"/>
      <c r="R63" s="32"/>
      <c r="S63" s="32">
        <f t="shared" si="1"/>
        <v>3050</v>
      </c>
    </row>
    <row r="64" spans="1:19" ht="21" x14ac:dyDescent="0.35">
      <c r="A64" s="32">
        <v>62</v>
      </c>
      <c r="B64" s="32">
        <f t="shared" si="3"/>
        <v>3100</v>
      </c>
      <c r="C64" s="32">
        <v>550</v>
      </c>
      <c r="D64" s="32">
        <v>450</v>
      </c>
      <c r="E64" s="32">
        <v>375</v>
      </c>
      <c r="F64" s="32">
        <v>325</v>
      </c>
      <c r="G64" s="32">
        <v>275</v>
      </c>
      <c r="H64" s="32">
        <v>250</v>
      </c>
      <c r="I64" s="32">
        <v>225</v>
      </c>
      <c r="J64" s="32">
        <v>200</v>
      </c>
      <c r="K64" s="32">
        <v>175</v>
      </c>
      <c r="L64" s="32">
        <v>150</v>
      </c>
      <c r="M64" s="32">
        <v>125</v>
      </c>
      <c r="N64" s="32"/>
      <c r="O64" s="32"/>
      <c r="P64" s="32"/>
      <c r="Q64" s="32"/>
      <c r="R64" s="32"/>
      <c r="S64" s="32">
        <f t="shared" si="1"/>
        <v>3100</v>
      </c>
    </row>
    <row r="65" spans="1:19" ht="21" x14ac:dyDescent="0.35">
      <c r="A65" s="32">
        <v>63</v>
      </c>
      <c r="B65" s="32">
        <f t="shared" si="3"/>
        <v>3150</v>
      </c>
      <c r="C65" s="32">
        <v>525</v>
      </c>
      <c r="D65" s="32">
        <v>450</v>
      </c>
      <c r="E65" s="32">
        <v>400</v>
      </c>
      <c r="F65" s="32">
        <v>350</v>
      </c>
      <c r="G65" s="32">
        <v>300</v>
      </c>
      <c r="H65" s="32">
        <v>250</v>
      </c>
      <c r="I65" s="32">
        <v>225</v>
      </c>
      <c r="J65" s="32">
        <v>200</v>
      </c>
      <c r="K65" s="32">
        <v>175</v>
      </c>
      <c r="L65" s="32">
        <v>150</v>
      </c>
      <c r="M65" s="32">
        <v>125</v>
      </c>
      <c r="N65" s="32"/>
      <c r="O65" s="32"/>
      <c r="P65" s="32"/>
      <c r="Q65" s="32"/>
      <c r="R65" s="32"/>
      <c r="S65" s="32">
        <f t="shared" si="1"/>
        <v>3150</v>
      </c>
    </row>
    <row r="66" spans="1:19" ht="21" x14ac:dyDescent="0.35">
      <c r="A66" s="32">
        <v>64</v>
      </c>
      <c r="B66" s="32">
        <f t="shared" si="3"/>
        <v>3200</v>
      </c>
      <c r="C66" s="32">
        <v>550</v>
      </c>
      <c r="D66" s="32">
        <v>475</v>
      </c>
      <c r="E66" s="32">
        <v>400</v>
      </c>
      <c r="F66" s="32">
        <v>350</v>
      </c>
      <c r="G66" s="32">
        <v>300</v>
      </c>
      <c r="H66" s="32">
        <v>250</v>
      </c>
      <c r="I66" s="32">
        <v>225</v>
      </c>
      <c r="J66" s="32">
        <v>200</v>
      </c>
      <c r="K66" s="32">
        <v>175</v>
      </c>
      <c r="L66" s="32">
        <v>150</v>
      </c>
      <c r="M66" s="32">
        <v>125</v>
      </c>
      <c r="N66" s="32"/>
      <c r="O66" s="32"/>
      <c r="P66" s="32"/>
      <c r="Q66" s="32"/>
      <c r="R66" s="32"/>
      <c r="S66" s="32">
        <f t="shared" si="1"/>
        <v>3200</v>
      </c>
    </row>
    <row r="67" spans="1:19" ht="21" x14ac:dyDescent="0.35">
      <c r="A67" s="32">
        <v>65</v>
      </c>
      <c r="B67" s="32">
        <f t="shared" ref="B67:B98" si="4">A67*FGradPool50fee</f>
        <v>3250</v>
      </c>
      <c r="C67" s="32">
        <v>600</v>
      </c>
      <c r="D67" s="32">
        <v>475</v>
      </c>
      <c r="E67" s="32">
        <v>400</v>
      </c>
      <c r="F67" s="32">
        <v>350</v>
      </c>
      <c r="G67" s="32">
        <v>300</v>
      </c>
      <c r="H67" s="32">
        <v>250</v>
      </c>
      <c r="I67" s="32">
        <v>225</v>
      </c>
      <c r="J67" s="32">
        <v>200</v>
      </c>
      <c r="K67" s="32">
        <v>175</v>
      </c>
      <c r="L67" s="32">
        <v>150</v>
      </c>
      <c r="M67" s="32">
        <v>125</v>
      </c>
      <c r="N67" s="32"/>
      <c r="O67" s="32"/>
      <c r="P67" s="32"/>
      <c r="Q67" s="32"/>
      <c r="R67" s="32"/>
      <c r="S67" s="32">
        <f t="shared" ref="S67:S98" si="5">SUM(C67:R67)</f>
        <v>3250</v>
      </c>
    </row>
    <row r="68" spans="1:19" ht="21" x14ac:dyDescent="0.35">
      <c r="A68" s="32">
        <v>66</v>
      </c>
      <c r="B68" s="32">
        <f t="shared" si="4"/>
        <v>3300</v>
      </c>
      <c r="C68" s="32">
        <v>550</v>
      </c>
      <c r="D68" s="32">
        <v>475</v>
      </c>
      <c r="E68" s="32">
        <v>425</v>
      </c>
      <c r="F68" s="32">
        <v>375</v>
      </c>
      <c r="G68" s="32">
        <v>325</v>
      </c>
      <c r="H68" s="32">
        <v>275</v>
      </c>
      <c r="I68" s="32">
        <v>225</v>
      </c>
      <c r="J68" s="32">
        <v>200</v>
      </c>
      <c r="K68" s="32">
        <v>175</v>
      </c>
      <c r="L68" s="32">
        <v>150</v>
      </c>
      <c r="M68" s="32">
        <v>125</v>
      </c>
      <c r="N68" s="32"/>
      <c r="O68" s="32"/>
      <c r="P68" s="32"/>
      <c r="Q68" s="32"/>
      <c r="R68" s="32"/>
      <c r="S68" s="32">
        <f t="shared" si="5"/>
        <v>3300</v>
      </c>
    </row>
    <row r="69" spans="1:19" ht="21" x14ac:dyDescent="0.35">
      <c r="A69" s="32">
        <v>67</v>
      </c>
      <c r="B69" s="32">
        <f t="shared" si="4"/>
        <v>3350</v>
      </c>
      <c r="C69" s="32">
        <v>525</v>
      </c>
      <c r="D69" s="32">
        <v>425</v>
      </c>
      <c r="E69" s="32">
        <v>375</v>
      </c>
      <c r="F69" s="32">
        <v>325</v>
      </c>
      <c r="G69" s="32">
        <v>300</v>
      </c>
      <c r="H69" s="32">
        <v>275</v>
      </c>
      <c r="I69" s="32">
        <v>250</v>
      </c>
      <c r="J69" s="32">
        <v>225</v>
      </c>
      <c r="K69" s="32">
        <v>200</v>
      </c>
      <c r="L69" s="32">
        <v>175</v>
      </c>
      <c r="M69" s="32">
        <v>150</v>
      </c>
      <c r="N69" s="32">
        <v>125</v>
      </c>
      <c r="O69" s="32"/>
      <c r="P69" s="32"/>
      <c r="Q69" s="32"/>
      <c r="R69" s="32"/>
      <c r="S69" s="32">
        <f t="shared" si="5"/>
        <v>3350</v>
      </c>
    </row>
    <row r="70" spans="1:19" ht="21" x14ac:dyDescent="0.35">
      <c r="A70" s="32">
        <v>68</v>
      </c>
      <c r="B70" s="32">
        <f t="shared" si="4"/>
        <v>3400</v>
      </c>
      <c r="C70" s="32">
        <v>500</v>
      </c>
      <c r="D70" s="32">
        <v>450</v>
      </c>
      <c r="E70" s="32">
        <v>400</v>
      </c>
      <c r="F70" s="32">
        <v>350</v>
      </c>
      <c r="G70" s="32">
        <v>300</v>
      </c>
      <c r="H70" s="32">
        <v>275</v>
      </c>
      <c r="I70" s="32">
        <v>250</v>
      </c>
      <c r="J70" s="32">
        <v>225</v>
      </c>
      <c r="K70" s="32">
        <v>200</v>
      </c>
      <c r="L70" s="32">
        <v>175</v>
      </c>
      <c r="M70" s="32">
        <v>150</v>
      </c>
      <c r="N70" s="32">
        <v>125</v>
      </c>
      <c r="O70" s="32"/>
      <c r="P70" s="32"/>
      <c r="Q70" s="32"/>
      <c r="R70" s="32"/>
      <c r="S70" s="32">
        <f t="shared" si="5"/>
        <v>3400</v>
      </c>
    </row>
    <row r="71" spans="1:19" ht="21" x14ac:dyDescent="0.35">
      <c r="A71" s="32">
        <v>69</v>
      </c>
      <c r="B71" s="32">
        <f t="shared" si="4"/>
        <v>3450</v>
      </c>
      <c r="C71" s="32">
        <v>550</v>
      </c>
      <c r="D71" s="32">
        <v>450</v>
      </c>
      <c r="E71" s="32">
        <v>400</v>
      </c>
      <c r="F71" s="32">
        <v>350</v>
      </c>
      <c r="G71" s="32">
        <v>300</v>
      </c>
      <c r="H71" s="32">
        <v>275</v>
      </c>
      <c r="I71" s="32">
        <v>250</v>
      </c>
      <c r="J71" s="32">
        <v>225</v>
      </c>
      <c r="K71" s="32">
        <v>200</v>
      </c>
      <c r="L71" s="32">
        <v>175</v>
      </c>
      <c r="M71" s="32">
        <v>150</v>
      </c>
      <c r="N71" s="32">
        <v>125</v>
      </c>
      <c r="O71" s="32"/>
      <c r="P71" s="32"/>
      <c r="Q71" s="32"/>
      <c r="R71" s="32"/>
      <c r="S71" s="32">
        <f t="shared" si="5"/>
        <v>3450</v>
      </c>
    </row>
    <row r="72" spans="1:19" ht="21" x14ac:dyDescent="0.35">
      <c r="A72" s="32">
        <v>70</v>
      </c>
      <c r="B72" s="32">
        <f t="shared" si="4"/>
        <v>3500</v>
      </c>
      <c r="C72" s="32">
        <v>575</v>
      </c>
      <c r="D72" s="32">
        <v>475</v>
      </c>
      <c r="E72" s="32">
        <v>400</v>
      </c>
      <c r="F72" s="32">
        <v>350</v>
      </c>
      <c r="G72" s="32">
        <v>300</v>
      </c>
      <c r="H72" s="32">
        <v>275</v>
      </c>
      <c r="I72" s="32">
        <v>250</v>
      </c>
      <c r="J72" s="32">
        <v>225</v>
      </c>
      <c r="K72" s="32">
        <v>200</v>
      </c>
      <c r="L72" s="32">
        <v>175</v>
      </c>
      <c r="M72" s="32">
        <v>150</v>
      </c>
      <c r="N72" s="32">
        <v>125</v>
      </c>
      <c r="O72" s="32"/>
      <c r="P72" s="32"/>
      <c r="Q72" s="32"/>
      <c r="R72" s="32"/>
      <c r="S72" s="32">
        <f t="shared" si="5"/>
        <v>3500</v>
      </c>
    </row>
    <row r="73" spans="1:19" ht="21" x14ac:dyDescent="0.35">
      <c r="A73" s="32">
        <v>71</v>
      </c>
      <c r="B73" s="32">
        <f t="shared" si="4"/>
        <v>3550</v>
      </c>
      <c r="C73" s="32">
        <v>575</v>
      </c>
      <c r="D73" s="32">
        <v>500</v>
      </c>
      <c r="E73" s="32">
        <v>425</v>
      </c>
      <c r="F73" s="32">
        <v>350</v>
      </c>
      <c r="G73" s="32">
        <v>300</v>
      </c>
      <c r="H73" s="32">
        <v>275</v>
      </c>
      <c r="I73" s="32">
        <v>250</v>
      </c>
      <c r="J73" s="32">
        <v>225</v>
      </c>
      <c r="K73" s="32">
        <v>200</v>
      </c>
      <c r="L73" s="32">
        <v>175</v>
      </c>
      <c r="M73" s="32">
        <v>150</v>
      </c>
      <c r="N73" s="32">
        <v>125</v>
      </c>
      <c r="O73" s="32"/>
      <c r="P73" s="32"/>
      <c r="Q73" s="32"/>
      <c r="R73" s="32"/>
      <c r="S73" s="32">
        <f t="shared" si="5"/>
        <v>3550</v>
      </c>
    </row>
    <row r="74" spans="1:19" ht="21" x14ac:dyDescent="0.35">
      <c r="A74" s="32">
        <v>72</v>
      </c>
      <c r="B74" s="32">
        <f t="shared" si="4"/>
        <v>3600</v>
      </c>
      <c r="C74" s="32">
        <v>575</v>
      </c>
      <c r="D74" s="32">
        <v>500</v>
      </c>
      <c r="E74" s="32">
        <v>425</v>
      </c>
      <c r="F74" s="32">
        <v>375</v>
      </c>
      <c r="G74" s="32">
        <v>325</v>
      </c>
      <c r="H74" s="32">
        <v>275</v>
      </c>
      <c r="I74" s="32">
        <v>250</v>
      </c>
      <c r="J74" s="32">
        <v>225</v>
      </c>
      <c r="K74" s="32">
        <v>200</v>
      </c>
      <c r="L74" s="32">
        <v>175</v>
      </c>
      <c r="M74" s="32">
        <v>150</v>
      </c>
      <c r="N74" s="32">
        <v>125</v>
      </c>
      <c r="O74" s="32"/>
      <c r="P74" s="32"/>
      <c r="Q74" s="32"/>
      <c r="R74" s="32"/>
      <c r="S74" s="32">
        <f t="shared" si="5"/>
        <v>3600</v>
      </c>
    </row>
    <row r="75" spans="1:19" ht="21" x14ac:dyDescent="0.35">
      <c r="A75" s="32">
        <v>73</v>
      </c>
      <c r="B75" s="32">
        <f t="shared" si="4"/>
        <v>3650</v>
      </c>
      <c r="C75" s="32">
        <v>475</v>
      </c>
      <c r="D75" s="32">
        <v>425</v>
      </c>
      <c r="E75" s="32">
        <v>375</v>
      </c>
      <c r="F75" s="32">
        <v>350</v>
      </c>
      <c r="G75" s="32">
        <v>325</v>
      </c>
      <c r="H75" s="32">
        <v>300</v>
      </c>
      <c r="I75" s="32">
        <v>275</v>
      </c>
      <c r="J75" s="32">
        <v>250</v>
      </c>
      <c r="K75" s="32">
        <v>225</v>
      </c>
      <c r="L75" s="32">
        <v>200</v>
      </c>
      <c r="M75" s="32">
        <v>175</v>
      </c>
      <c r="N75" s="32">
        <v>150</v>
      </c>
      <c r="O75" s="32">
        <v>125</v>
      </c>
      <c r="P75" s="32"/>
      <c r="Q75" s="32"/>
      <c r="R75" s="32"/>
      <c r="S75" s="32">
        <f t="shared" si="5"/>
        <v>3650</v>
      </c>
    </row>
    <row r="76" spans="1:19" ht="21" x14ac:dyDescent="0.35">
      <c r="A76" s="32">
        <v>74</v>
      </c>
      <c r="B76" s="32">
        <f t="shared" si="4"/>
        <v>3700</v>
      </c>
      <c r="C76" s="32">
        <v>525</v>
      </c>
      <c r="D76" s="32">
        <v>425</v>
      </c>
      <c r="E76" s="32">
        <v>375</v>
      </c>
      <c r="F76" s="32">
        <v>350</v>
      </c>
      <c r="G76" s="32">
        <v>325</v>
      </c>
      <c r="H76" s="32">
        <v>300</v>
      </c>
      <c r="I76" s="32">
        <v>275</v>
      </c>
      <c r="J76" s="32">
        <v>250</v>
      </c>
      <c r="K76" s="32">
        <v>225</v>
      </c>
      <c r="L76" s="32">
        <v>200</v>
      </c>
      <c r="M76" s="32">
        <v>175</v>
      </c>
      <c r="N76" s="32">
        <v>150</v>
      </c>
      <c r="O76" s="32">
        <v>125</v>
      </c>
      <c r="P76" s="32"/>
      <c r="Q76" s="32"/>
      <c r="R76" s="32"/>
      <c r="S76" s="32">
        <f t="shared" si="5"/>
        <v>3700</v>
      </c>
    </row>
    <row r="77" spans="1:19" ht="21" x14ac:dyDescent="0.35">
      <c r="A77" s="32">
        <v>75</v>
      </c>
      <c r="B77" s="32">
        <f t="shared" si="4"/>
        <v>3750</v>
      </c>
      <c r="C77" s="32">
        <v>525</v>
      </c>
      <c r="D77" s="32">
        <v>450</v>
      </c>
      <c r="E77" s="32">
        <v>400</v>
      </c>
      <c r="F77" s="32">
        <v>350</v>
      </c>
      <c r="G77" s="32">
        <v>325</v>
      </c>
      <c r="H77" s="32">
        <v>300</v>
      </c>
      <c r="I77" s="32">
        <v>275</v>
      </c>
      <c r="J77" s="32">
        <v>250</v>
      </c>
      <c r="K77" s="32">
        <v>225</v>
      </c>
      <c r="L77" s="32">
        <v>200</v>
      </c>
      <c r="M77" s="32">
        <v>175</v>
      </c>
      <c r="N77" s="32">
        <v>150</v>
      </c>
      <c r="O77" s="32">
        <v>125</v>
      </c>
      <c r="P77" s="32"/>
      <c r="Q77" s="32"/>
      <c r="R77" s="32"/>
      <c r="S77" s="32">
        <f t="shared" si="5"/>
        <v>3750</v>
      </c>
    </row>
    <row r="78" spans="1:19" ht="21" x14ac:dyDescent="0.35">
      <c r="A78" s="32">
        <v>76</v>
      </c>
      <c r="B78" s="32">
        <f t="shared" si="4"/>
        <v>3800</v>
      </c>
      <c r="C78" s="32">
        <v>550</v>
      </c>
      <c r="D78" s="32">
        <v>475</v>
      </c>
      <c r="E78" s="32">
        <v>400</v>
      </c>
      <c r="F78" s="32">
        <v>350</v>
      </c>
      <c r="G78" s="32">
        <v>325</v>
      </c>
      <c r="H78" s="32">
        <v>300</v>
      </c>
      <c r="I78" s="32">
        <v>275</v>
      </c>
      <c r="J78" s="32">
        <v>250</v>
      </c>
      <c r="K78" s="32">
        <v>225</v>
      </c>
      <c r="L78" s="32">
        <v>200</v>
      </c>
      <c r="M78" s="32">
        <v>175</v>
      </c>
      <c r="N78" s="32">
        <v>150</v>
      </c>
      <c r="O78" s="32">
        <v>125</v>
      </c>
      <c r="P78" s="32"/>
      <c r="Q78" s="32"/>
      <c r="R78" s="32"/>
      <c r="S78" s="32">
        <f t="shared" si="5"/>
        <v>3800</v>
      </c>
    </row>
    <row r="79" spans="1:19" ht="21" x14ac:dyDescent="0.35">
      <c r="A79" s="32">
        <v>77</v>
      </c>
      <c r="B79" s="32">
        <f t="shared" si="4"/>
        <v>3850</v>
      </c>
      <c r="C79" s="32">
        <v>550</v>
      </c>
      <c r="D79" s="32">
        <v>475</v>
      </c>
      <c r="E79" s="32">
        <v>425</v>
      </c>
      <c r="F79" s="32">
        <v>375</v>
      </c>
      <c r="G79" s="32">
        <v>325</v>
      </c>
      <c r="H79" s="32">
        <v>300</v>
      </c>
      <c r="I79" s="32">
        <v>275</v>
      </c>
      <c r="J79" s="32">
        <v>250</v>
      </c>
      <c r="K79" s="32">
        <v>225</v>
      </c>
      <c r="L79" s="32">
        <v>200</v>
      </c>
      <c r="M79" s="32">
        <v>175</v>
      </c>
      <c r="N79" s="32">
        <v>150</v>
      </c>
      <c r="O79" s="32">
        <v>125</v>
      </c>
      <c r="P79" s="32"/>
      <c r="Q79" s="32"/>
      <c r="R79" s="32"/>
      <c r="S79" s="32">
        <f t="shared" si="5"/>
        <v>3850</v>
      </c>
    </row>
    <row r="80" spans="1:19" ht="21" x14ac:dyDescent="0.35">
      <c r="A80" s="32">
        <v>78</v>
      </c>
      <c r="B80" s="32">
        <f t="shared" si="4"/>
        <v>3900</v>
      </c>
      <c r="C80" s="32">
        <v>575</v>
      </c>
      <c r="D80" s="32">
        <v>500</v>
      </c>
      <c r="E80" s="32">
        <v>425</v>
      </c>
      <c r="F80" s="32">
        <v>375</v>
      </c>
      <c r="G80" s="32">
        <v>325</v>
      </c>
      <c r="H80" s="32">
        <v>300</v>
      </c>
      <c r="I80" s="32">
        <v>275</v>
      </c>
      <c r="J80" s="32">
        <v>250</v>
      </c>
      <c r="K80" s="32">
        <v>225</v>
      </c>
      <c r="L80" s="32">
        <v>200</v>
      </c>
      <c r="M80" s="32">
        <v>175</v>
      </c>
      <c r="N80" s="32">
        <v>150</v>
      </c>
      <c r="O80" s="32">
        <v>125</v>
      </c>
      <c r="P80" s="32"/>
      <c r="Q80" s="32"/>
      <c r="R80" s="32"/>
      <c r="S80" s="32">
        <f t="shared" si="5"/>
        <v>3900</v>
      </c>
    </row>
    <row r="81" spans="1:19" ht="21" x14ac:dyDescent="0.35">
      <c r="A81" s="32">
        <v>79</v>
      </c>
      <c r="B81" s="32">
        <f t="shared" si="4"/>
        <v>3950</v>
      </c>
      <c r="C81" s="32">
        <v>525</v>
      </c>
      <c r="D81" s="32">
        <v>475</v>
      </c>
      <c r="E81" s="32">
        <v>425</v>
      </c>
      <c r="F81" s="32">
        <v>375</v>
      </c>
      <c r="G81" s="32">
        <v>325</v>
      </c>
      <c r="H81" s="32">
        <v>300</v>
      </c>
      <c r="I81" s="32">
        <v>275</v>
      </c>
      <c r="J81" s="32">
        <v>250</v>
      </c>
      <c r="K81" s="32">
        <v>225</v>
      </c>
      <c r="L81" s="32">
        <v>200</v>
      </c>
      <c r="M81" s="32">
        <v>175</v>
      </c>
      <c r="N81" s="32">
        <v>150</v>
      </c>
      <c r="O81" s="32">
        <v>125</v>
      </c>
      <c r="P81" s="32">
        <v>125</v>
      </c>
      <c r="Q81" s="32"/>
      <c r="R81" s="32"/>
      <c r="S81" s="32">
        <f t="shared" si="5"/>
        <v>3950</v>
      </c>
    </row>
    <row r="82" spans="1:19" ht="21" x14ac:dyDescent="0.35">
      <c r="A82" s="32">
        <v>80</v>
      </c>
      <c r="B82" s="32">
        <f t="shared" si="4"/>
        <v>4000</v>
      </c>
      <c r="C82" s="32">
        <v>575</v>
      </c>
      <c r="D82" s="32">
        <v>500</v>
      </c>
      <c r="E82" s="32">
        <v>425</v>
      </c>
      <c r="F82" s="32">
        <v>350</v>
      </c>
      <c r="G82" s="32">
        <v>325</v>
      </c>
      <c r="H82" s="32">
        <v>300</v>
      </c>
      <c r="I82" s="32">
        <v>275</v>
      </c>
      <c r="J82" s="32">
        <v>250</v>
      </c>
      <c r="K82" s="32">
        <v>225</v>
      </c>
      <c r="L82" s="32">
        <v>200</v>
      </c>
      <c r="M82" s="32">
        <v>175</v>
      </c>
      <c r="N82" s="32">
        <v>150</v>
      </c>
      <c r="O82" s="32">
        <v>125</v>
      </c>
      <c r="P82" s="32">
        <v>125</v>
      </c>
      <c r="Q82" s="32"/>
      <c r="R82" s="32"/>
      <c r="S82" s="32">
        <f t="shared" si="5"/>
        <v>4000</v>
      </c>
    </row>
    <row r="83" spans="1:19" ht="21" x14ac:dyDescent="0.35">
      <c r="A83" s="32">
        <v>81</v>
      </c>
      <c r="B83" s="32">
        <f t="shared" si="4"/>
        <v>4050</v>
      </c>
      <c r="C83" s="32">
        <v>475</v>
      </c>
      <c r="D83" s="32">
        <v>425</v>
      </c>
      <c r="E83" s="32">
        <v>400</v>
      </c>
      <c r="F83" s="32">
        <v>375</v>
      </c>
      <c r="G83" s="32">
        <v>350</v>
      </c>
      <c r="H83" s="32">
        <v>325</v>
      </c>
      <c r="I83" s="32">
        <v>300</v>
      </c>
      <c r="J83" s="32">
        <v>275</v>
      </c>
      <c r="K83" s="32">
        <v>250</v>
      </c>
      <c r="L83" s="32">
        <v>225</v>
      </c>
      <c r="M83" s="32">
        <v>200</v>
      </c>
      <c r="N83" s="32">
        <v>175</v>
      </c>
      <c r="O83" s="32">
        <v>150</v>
      </c>
      <c r="P83" s="32">
        <v>125</v>
      </c>
      <c r="Q83" s="32"/>
      <c r="R83" s="32"/>
      <c r="S83" s="32">
        <f t="shared" si="5"/>
        <v>4050</v>
      </c>
    </row>
    <row r="84" spans="1:19" ht="21" x14ac:dyDescent="0.35">
      <c r="A84" s="32">
        <v>82</v>
      </c>
      <c r="B84" s="32">
        <f t="shared" si="4"/>
        <v>4100</v>
      </c>
      <c r="C84" s="32">
        <v>500</v>
      </c>
      <c r="D84" s="32">
        <v>450</v>
      </c>
      <c r="E84" s="32">
        <v>400</v>
      </c>
      <c r="F84" s="32">
        <v>375</v>
      </c>
      <c r="G84" s="32">
        <v>350</v>
      </c>
      <c r="H84" s="32">
        <v>325</v>
      </c>
      <c r="I84" s="32">
        <v>300</v>
      </c>
      <c r="J84" s="32">
        <v>275</v>
      </c>
      <c r="K84" s="32">
        <v>250</v>
      </c>
      <c r="L84" s="32">
        <v>225</v>
      </c>
      <c r="M84" s="32">
        <v>200</v>
      </c>
      <c r="N84" s="32">
        <v>175</v>
      </c>
      <c r="O84" s="32">
        <v>150</v>
      </c>
      <c r="P84" s="32">
        <v>125</v>
      </c>
      <c r="Q84" s="32"/>
      <c r="R84" s="32"/>
      <c r="S84" s="32">
        <f t="shared" si="5"/>
        <v>4100</v>
      </c>
    </row>
    <row r="85" spans="1:19" ht="21" x14ac:dyDescent="0.35">
      <c r="A85" s="32">
        <v>83</v>
      </c>
      <c r="B85" s="32">
        <f t="shared" si="4"/>
        <v>4150</v>
      </c>
      <c r="C85" s="32">
        <v>550</v>
      </c>
      <c r="D85" s="32">
        <v>450</v>
      </c>
      <c r="E85" s="32">
        <v>400</v>
      </c>
      <c r="F85" s="32">
        <v>375</v>
      </c>
      <c r="G85" s="32">
        <v>350</v>
      </c>
      <c r="H85" s="32">
        <v>325</v>
      </c>
      <c r="I85" s="32">
        <v>300</v>
      </c>
      <c r="J85" s="32">
        <v>275</v>
      </c>
      <c r="K85" s="32">
        <v>250</v>
      </c>
      <c r="L85" s="32">
        <v>225</v>
      </c>
      <c r="M85" s="32">
        <v>200</v>
      </c>
      <c r="N85" s="32">
        <v>175</v>
      </c>
      <c r="O85" s="32">
        <v>150</v>
      </c>
      <c r="P85" s="32">
        <v>125</v>
      </c>
      <c r="Q85" s="32"/>
      <c r="R85" s="32"/>
      <c r="S85" s="32">
        <f t="shared" si="5"/>
        <v>4150</v>
      </c>
    </row>
    <row r="86" spans="1:19" ht="21" x14ac:dyDescent="0.35">
      <c r="A86" s="32">
        <v>84</v>
      </c>
      <c r="B86" s="32">
        <f t="shared" si="4"/>
        <v>4200</v>
      </c>
      <c r="C86" s="32">
        <v>575</v>
      </c>
      <c r="D86" s="32">
        <v>475</v>
      </c>
      <c r="E86" s="32">
        <v>400</v>
      </c>
      <c r="F86" s="32">
        <v>375</v>
      </c>
      <c r="G86" s="32">
        <v>350</v>
      </c>
      <c r="H86" s="32">
        <v>325</v>
      </c>
      <c r="I86" s="32">
        <v>300</v>
      </c>
      <c r="J86" s="32">
        <v>275</v>
      </c>
      <c r="K86" s="32">
        <v>250</v>
      </c>
      <c r="L86" s="32">
        <v>225</v>
      </c>
      <c r="M86" s="32">
        <v>200</v>
      </c>
      <c r="N86" s="32">
        <v>175</v>
      </c>
      <c r="O86" s="32">
        <v>150</v>
      </c>
      <c r="P86" s="32">
        <v>125</v>
      </c>
      <c r="Q86" s="32"/>
      <c r="R86" s="32"/>
      <c r="S86" s="32">
        <f t="shared" si="5"/>
        <v>4200</v>
      </c>
    </row>
    <row r="87" spans="1:19" ht="21" x14ac:dyDescent="0.35">
      <c r="A87" s="32">
        <v>85</v>
      </c>
      <c r="B87" s="32">
        <f t="shared" si="4"/>
        <v>4250</v>
      </c>
      <c r="C87" s="32">
        <v>525</v>
      </c>
      <c r="D87" s="32">
        <v>450</v>
      </c>
      <c r="E87" s="32">
        <v>400</v>
      </c>
      <c r="F87" s="32">
        <v>375</v>
      </c>
      <c r="G87" s="32">
        <v>350</v>
      </c>
      <c r="H87" s="32">
        <v>325</v>
      </c>
      <c r="I87" s="32">
        <v>300</v>
      </c>
      <c r="J87" s="32">
        <v>275</v>
      </c>
      <c r="K87" s="32">
        <v>250</v>
      </c>
      <c r="L87" s="32">
        <v>225</v>
      </c>
      <c r="M87" s="32">
        <v>200</v>
      </c>
      <c r="N87" s="32">
        <v>175</v>
      </c>
      <c r="O87" s="32">
        <v>150</v>
      </c>
      <c r="P87" s="32">
        <v>125</v>
      </c>
      <c r="Q87" s="32">
        <v>125</v>
      </c>
      <c r="R87" s="32"/>
      <c r="S87" s="32">
        <f t="shared" si="5"/>
        <v>4250</v>
      </c>
    </row>
    <row r="88" spans="1:19" ht="21" x14ac:dyDescent="0.35">
      <c r="A88" s="32">
        <v>86</v>
      </c>
      <c r="B88" s="32">
        <f t="shared" si="4"/>
        <v>4300</v>
      </c>
      <c r="C88" s="32">
        <v>550</v>
      </c>
      <c r="D88" s="32">
        <v>475</v>
      </c>
      <c r="E88" s="32">
        <v>400</v>
      </c>
      <c r="F88" s="32">
        <v>375</v>
      </c>
      <c r="G88" s="32">
        <v>350</v>
      </c>
      <c r="H88" s="32">
        <v>325</v>
      </c>
      <c r="I88" s="32">
        <v>300</v>
      </c>
      <c r="J88" s="32">
        <v>275</v>
      </c>
      <c r="K88" s="32">
        <v>250</v>
      </c>
      <c r="L88" s="32">
        <v>225</v>
      </c>
      <c r="M88" s="32">
        <v>200</v>
      </c>
      <c r="N88" s="32">
        <v>175</v>
      </c>
      <c r="O88" s="32">
        <v>150</v>
      </c>
      <c r="P88" s="32">
        <v>125</v>
      </c>
      <c r="Q88" s="32">
        <v>125</v>
      </c>
      <c r="R88" s="32"/>
      <c r="S88" s="32">
        <f t="shared" si="5"/>
        <v>4300</v>
      </c>
    </row>
    <row r="89" spans="1:19" ht="21" x14ac:dyDescent="0.35">
      <c r="A89" s="32">
        <v>87</v>
      </c>
      <c r="B89" s="32">
        <f t="shared" si="4"/>
        <v>4350</v>
      </c>
      <c r="C89" s="32">
        <v>575</v>
      </c>
      <c r="D89" s="32">
        <v>475</v>
      </c>
      <c r="E89" s="32">
        <v>425</v>
      </c>
      <c r="F89" s="32">
        <v>375</v>
      </c>
      <c r="G89" s="32">
        <v>350</v>
      </c>
      <c r="H89" s="32">
        <v>325</v>
      </c>
      <c r="I89" s="32">
        <v>300</v>
      </c>
      <c r="J89" s="32">
        <v>275</v>
      </c>
      <c r="K89" s="32">
        <v>250</v>
      </c>
      <c r="L89" s="32">
        <v>225</v>
      </c>
      <c r="M89" s="32">
        <v>200</v>
      </c>
      <c r="N89" s="32">
        <v>175</v>
      </c>
      <c r="O89" s="32">
        <v>150</v>
      </c>
      <c r="P89" s="32">
        <v>125</v>
      </c>
      <c r="Q89" s="32">
        <v>125</v>
      </c>
      <c r="R89" s="32"/>
      <c r="S89" s="32">
        <f t="shared" si="5"/>
        <v>4350</v>
      </c>
    </row>
    <row r="90" spans="1:19" ht="21" x14ac:dyDescent="0.35">
      <c r="A90" s="32">
        <v>88</v>
      </c>
      <c r="B90" s="32">
        <f t="shared" si="4"/>
        <v>4400</v>
      </c>
      <c r="C90" s="32">
        <v>550</v>
      </c>
      <c r="D90" s="32">
        <v>500</v>
      </c>
      <c r="E90" s="32">
        <v>450</v>
      </c>
      <c r="F90" s="32">
        <v>400</v>
      </c>
      <c r="G90" s="32">
        <v>350</v>
      </c>
      <c r="H90" s="32">
        <v>325</v>
      </c>
      <c r="I90" s="32">
        <v>300</v>
      </c>
      <c r="J90" s="32">
        <v>275</v>
      </c>
      <c r="K90" s="32">
        <v>250</v>
      </c>
      <c r="L90" s="32">
        <v>225</v>
      </c>
      <c r="M90" s="32">
        <v>200</v>
      </c>
      <c r="N90" s="32">
        <v>175</v>
      </c>
      <c r="O90" s="32">
        <v>150</v>
      </c>
      <c r="P90" s="32">
        <v>125</v>
      </c>
      <c r="Q90" s="32">
        <v>125</v>
      </c>
      <c r="R90" s="32"/>
      <c r="S90" s="32">
        <f t="shared" si="5"/>
        <v>4400</v>
      </c>
    </row>
    <row r="91" spans="1:19" ht="21" x14ac:dyDescent="0.35">
      <c r="A91" s="32">
        <v>89</v>
      </c>
      <c r="B91" s="32">
        <f t="shared" si="4"/>
        <v>4450</v>
      </c>
      <c r="C91" s="32">
        <v>600</v>
      </c>
      <c r="D91" s="32">
        <v>500</v>
      </c>
      <c r="E91" s="32">
        <v>450</v>
      </c>
      <c r="F91" s="32">
        <v>400</v>
      </c>
      <c r="G91" s="32">
        <v>350</v>
      </c>
      <c r="H91" s="32">
        <v>325</v>
      </c>
      <c r="I91" s="32">
        <v>300</v>
      </c>
      <c r="J91" s="32">
        <v>275</v>
      </c>
      <c r="K91" s="32">
        <v>250</v>
      </c>
      <c r="L91" s="32">
        <v>225</v>
      </c>
      <c r="M91" s="32">
        <v>200</v>
      </c>
      <c r="N91" s="32">
        <v>175</v>
      </c>
      <c r="O91" s="32">
        <v>150</v>
      </c>
      <c r="P91" s="32">
        <v>125</v>
      </c>
      <c r="Q91" s="32">
        <v>125</v>
      </c>
      <c r="R91" s="32"/>
      <c r="S91" s="32">
        <f t="shared" si="5"/>
        <v>4450</v>
      </c>
    </row>
    <row r="92" spans="1:19" ht="21" x14ac:dyDescent="0.35">
      <c r="A92" s="32">
        <v>90</v>
      </c>
      <c r="B92" s="32">
        <f t="shared" si="4"/>
        <v>4500</v>
      </c>
      <c r="C92" s="32">
        <v>475</v>
      </c>
      <c r="D92" s="32">
        <v>450</v>
      </c>
      <c r="E92" s="32">
        <v>425</v>
      </c>
      <c r="F92" s="32">
        <v>400</v>
      </c>
      <c r="G92" s="32">
        <v>375</v>
      </c>
      <c r="H92" s="32">
        <v>350</v>
      </c>
      <c r="I92" s="32">
        <v>325</v>
      </c>
      <c r="J92" s="32">
        <v>300</v>
      </c>
      <c r="K92" s="32">
        <v>275</v>
      </c>
      <c r="L92" s="32">
        <v>250</v>
      </c>
      <c r="M92" s="32">
        <v>225</v>
      </c>
      <c r="N92" s="32">
        <v>200</v>
      </c>
      <c r="O92" s="32">
        <v>175</v>
      </c>
      <c r="P92" s="32">
        <v>150</v>
      </c>
      <c r="Q92" s="32">
        <v>125</v>
      </c>
      <c r="R92" s="32"/>
      <c r="S92" s="32">
        <f t="shared" si="5"/>
        <v>4500</v>
      </c>
    </row>
    <row r="93" spans="1:19" ht="21" x14ac:dyDescent="0.35">
      <c r="A93" s="32">
        <v>91</v>
      </c>
      <c r="B93" s="32">
        <f t="shared" si="4"/>
        <v>4550</v>
      </c>
      <c r="C93" s="32">
        <v>575</v>
      </c>
      <c r="D93" s="32">
        <v>500</v>
      </c>
      <c r="E93" s="32">
        <v>450</v>
      </c>
      <c r="F93" s="32">
        <v>400</v>
      </c>
      <c r="G93" s="32">
        <v>350</v>
      </c>
      <c r="H93" s="32">
        <v>325</v>
      </c>
      <c r="I93" s="32">
        <v>300</v>
      </c>
      <c r="J93" s="32">
        <v>275</v>
      </c>
      <c r="K93" s="32">
        <v>250</v>
      </c>
      <c r="L93" s="32">
        <v>225</v>
      </c>
      <c r="M93" s="32">
        <v>200</v>
      </c>
      <c r="N93" s="32">
        <v>175</v>
      </c>
      <c r="O93" s="32">
        <v>150</v>
      </c>
      <c r="P93" s="32">
        <v>125</v>
      </c>
      <c r="Q93" s="32">
        <v>125</v>
      </c>
      <c r="R93" s="32">
        <v>125</v>
      </c>
      <c r="S93" s="32">
        <f t="shared" si="5"/>
        <v>4550</v>
      </c>
    </row>
    <row r="94" spans="1:19" ht="21" x14ac:dyDescent="0.35">
      <c r="A94" s="32">
        <v>92</v>
      </c>
      <c r="B94" s="32">
        <f t="shared" si="4"/>
        <v>4600</v>
      </c>
      <c r="C94" s="32">
        <v>600</v>
      </c>
      <c r="D94" s="32">
        <v>525</v>
      </c>
      <c r="E94" s="32">
        <v>450</v>
      </c>
      <c r="F94" s="32">
        <v>400</v>
      </c>
      <c r="G94" s="32">
        <v>350</v>
      </c>
      <c r="H94" s="32">
        <v>325</v>
      </c>
      <c r="I94" s="32">
        <v>300</v>
      </c>
      <c r="J94" s="32">
        <v>275</v>
      </c>
      <c r="K94" s="32">
        <v>250</v>
      </c>
      <c r="L94" s="32">
        <v>225</v>
      </c>
      <c r="M94" s="32">
        <v>200</v>
      </c>
      <c r="N94" s="32">
        <v>175</v>
      </c>
      <c r="O94" s="32">
        <v>150</v>
      </c>
      <c r="P94" s="32">
        <v>125</v>
      </c>
      <c r="Q94" s="32">
        <v>125</v>
      </c>
      <c r="R94" s="32">
        <v>125</v>
      </c>
      <c r="S94" s="32">
        <f t="shared" si="5"/>
        <v>4600</v>
      </c>
    </row>
    <row r="95" spans="1:19" ht="21" x14ac:dyDescent="0.35">
      <c r="A95" s="32">
        <v>93</v>
      </c>
      <c r="B95" s="32">
        <f t="shared" si="4"/>
        <v>4650</v>
      </c>
      <c r="C95" s="32">
        <v>500</v>
      </c>
      <c r="D95" s="32">
        <v>450</v>
      </c>
      <c r="E95" s="32">
        <v>425</v>
      </c>
      <c r="F95" s="32">
        <v>400</v>
      </c>
      <c r="G95" s="32">
        <v>375</v>
      </c>
      <c r="H95" s="32">
        <v>350</v>
      </c>
      <c r="I95" s="32">
        <v>325</v>
      </c>
      <c r="J95" s="32">
        <v>300</v>
      </c>
      <c r="K95" s="32">
        <v>275</v>
      </c>
      <c r="L95" s="32">
        <v>250</v>
      </c>
      <c r="M95" s="32">
        <v>225</v>
      </c>
      <c r="N95" s="32">
        <v>200</v>
      </c>
      <c r="O95" s="32">
        <v>175</v>
      </c>
      <c r="P95" s="32">
        <v>150</v>
      </c>
      <c r="Q95" s="32">
        <v>125</v>
      </c>
      <c r="R95" s="32">
        <v>125</v>
      </c>
      <c r="S95" s="32">
        <f t="shared" si="5"/>
        <v>4650</v>
      </c>
    </row>
    <row r="96" spans="1:19" ht="21" x14ac:dyDescent="0.35">
      <c r="A96" s="32">
        <v>94</v>
      </c>
      <c r="B96" s="32">
        <f t="shared" si="4"/>
        <v>4700</v>
      </c>
      <c r="C96" s="32">
        <v>525</v>
      </c>
      <c r="D96" s="32">
        <v>475</v>
      </c>
      <c r="E96" s="32">
        <v>425</v>
      </c>
      <c r="F96" s="32">
        <v>400</v>
      </c>
      <c r="G96" s="32">
        <v>375</v>
      </c>
      <c r="H96" s="32">
        <v>350</v>
      </c>
      <c r="I96" s="32">
        <v>325</v>
      </c>
      <c r="J96" s="32">
        <v>300</v>
      </c>
      <c r="K96" s="32">
        <v>275</v>
      </c>
      <c r="L96" s="32">
        <v>250</v>
      </c>
      <c r="M96" s="32">
        <v>225</v>
      </c>
      <c r="N96" s="32">
        <v>200</v>
      </c>
      <c r="O96" s="32">
        <v>175</v>
      </c>
      <c r="P96" s="32">
        <v>150</v>
      </c>
      <c r="Q96" s="32">
        <v>125</v>
      </c>
      <c r="R96" s="32">
        <v>125</v>
      </c>
      <c r="S96" s="32">
        <f t="shared" si="5"/>
        <v>4700</v>
      </c>
    </row>
    <row r="97" spans="1:19" ht="21" x14ac:dyDescent="0.35">
      <c r="A97" s="32">
        <v>95</v>
      </c>
      <c r="B97" s="32">
        <f t="shared" si="4"/>
        <v>4750</v>
      </c>
      <c r="C97" s="32">
        <v>575</v>
      </c>
      <c r="D97" s="32">
        <v>475</v>
      </c>
      <c r="E97" s="32">
        <v>425</v>
      </c>
      <c r="F97" s="32">
        <v>400</v>
      </c>
      <c r="G97" s="32">
        <v>375</v>
      </c>
      <c r="H97" s="32">
        <v>350</v>
      </c>
      <c r="I97" s="32">
        <v>325</v>
      </c>
      <c r="J97" s="32">
        <v>300</v>
      </c>
      <c r="K97" s="32">
        <v>275</v>
      </c>
      <c r="L97" s="32">
        <v>250</v>
      </c>
      <c r="M97" s="32">
        <v>225</v>
      </c>
      <c r="N97" s="32">
        <v>200</v>
      </c>
      <c r="O97" s="32">
        <v>175</v>
      </c>
      <c r="P97" s="32">
        <v>150</v>
      </c>
      <c r="Q97" s="32">
        <v>125</v>
      </c>
      <c r="R97" s="32">
        <v>125</v>
      </c>
      <c r="S97" s="32">
        <f t="shared" si="5"/>
        <v>4750</v>
      </c>
    </row>
    <row r="98" spans="1:19" ht="21" x14ac:dyDescent="0.35">
      <c r="A98" s="32">
        <v>96</v>
      </c>
      <c r="B98" s="32">
        <f t="shared" si="4"/>
        <v>4800</v>
      </c>
      <c r="C98" s="32">
        <v>575</v>
      </c>
      <c r="D98" s="32">
        <v>500</v>
      </c>
      <c r="E98" s="32">
        <v>450</v>
      </c>
      <c r="F98" s="32">
        <v>400</v>
      </c>
      <c r="G98" s="32">
        <v>375</v>
      </c>
      <c r="H98" s="32">
        <v>350</v>
      </c>
      <c r="I98" s="32">
        <v>325</v>
      </c>
      <c r="J98" s="32">
        <v>300</v>
      </c>
      <c r="K98" s="32">
        <v>275</v>
      </c>
      <c r="L98" s="32">
        <v>250</v>
      </c>
      <c r="M98" s="32">
        <v>225</v>
      </c>
      <c r="N98" s="32">
        <v>200</v>
      </c>
      <c r="O98" s="32">
        <v>175</v>
      </c>
      <c r="P98" s="32">
        <v>150</v>
      </c>
      <c r="Q98" s="32">
        <v>125</v>
      </c>
      <c r="R98" s="32">
        <v>125</v>
      </c>
      <c r="S98" s="32">
        <f t="shared" si="5"/>
        <v>4800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47</vt:i4>
      </vt:variant>
    </vt:vector>
  </HeadingPairs>
  <TitlesOfParts>
    <vt:vector size="55" baseType="lpstr">
      <vt:lpstr>PayOffResults</vt:lpstr>
      <vt:lpstr>PayOffTable</vt:lpstr>
      <vt:lpstr>Grad10Results</vt:lpstr>
      <vt:lpstr>Grad20Results</vt:lpstr>
      <vt:lpstr>Grad50Results</vt:lpstr>
      <vt:lpstr>$10Grad</vt:lpstr>
      <vt:lpstr>$20Grad</vt:lpstr>
      <vt:lpstr>%50Grad</vt:lpstr>
      <vt:lpstr>AllPayOffResults</vt:lpstr>
      <vt:lpstr>AllResultsFor10</vt:lpstr>
      <vt:lpstr>AllResultsFor20</vt:lpstr>
      <vt:lpstr>AllResultsFor50</vt:lpstr>
      <vt:lpstr>AmountHeader</vt:lpstr>
      <vt:lpstr>Clear10Results</vt:lpstr>
      <vt:lpstr>EntrantsFor10</vt:lpstr>
      <vt:lpstr>EntrantsFor20</vt:lpstr>
      <vt:lpstr>EntrantsFor50</vt:lpstr>
      <vt:lpstr>EntryFee</vt:lpstr>
      <vt:lpstr>EntryHeader</vt:lpstr>
      <vt:lpstr>FGrad10Entrants</vt:lpstr>
      <vt:lpstr>FGrad10First</vt:lpstr>
      <vt:lpstr>FGrad10Pool</vt:lpstr>
      <vt:lpstr>FGrad20Entrants</vt:lpstr>
      <vt:lpstr>FGrad20First</vt:lpstr>
      <vt:lpstr>FGrad20Pool</vt:lpstr>
      <vt:lpstr>FGrad50Entrants</vt:lpstr>
      <vt:lpstr>FGrad50First</vt:lpstr>
      <vt:lpstr>FGrad50Pool</vt:lpstr>
      <vt:lpstr>FGradPool10Fee</vt:lpstr>
      <vt:lpstr>FGradPool20Fee</vt:lpstr>
      <vt:lpstr>FGradPool50fee</vt:lpstr>
      <vt:lpstr>Grad10Fee</vt:lpstr>
      <vt:lpstr>Grad20Fee</vt:lpstr>
      <vt:lpstr>Grad50Fee</vt:lpstr>
      <vt:lpstr>PayOffs</vt:lpstr>
      <vt:lpstr>PayOffTableHeader</vt:lpstr>
      <vt:lpstr>PayOffTableOrigin</vt:lpstr>
      <vt:lpstr>Places</vt:lpstr>
      <vt:lpstr>PlacesFor10</vt:lpstr>
      <vt:lpstr>PlacesFor20</vt:lpstr>
      <vt:lpstr>PlacesFor50</vt:lpstr>
      <vt:lpstr>PlacesHeader</vt:lpstr>
      <vt:lpstr>Players</vt:lpstr>
      <vt:lpstr>PlayersHeader</vt:lpstr>
      <vt:lpstr>Pool</vt:lpstr>
      <vt:lpstr>PoolFor10</vt:lpstr>
      <vt:lpstr>PoolFor20</vt:lpstr>
      <vt:lpstr>PoolFor50</vt:lpstr>
      <vt:lpstr>PoolHeader</vt:lpstr>
      <vt:lpstr>QsHeader</vt:lpstr>
      <vt:lpstr>Qualifiers</vt:lpstr>
      <vt:lpstr>Rounded</vt:lpstr>
      <vt:lpstr>RoundedHeader</vt:lpstr>
      <vt:lpstr>StartOfPlaces</vt:lpstr>
      <vt:lpstr>StartOfQs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mlr94549</dc:creator>
  <cp:lastModifiedBy>MWycombe</cp:lastModifiedBy>
  <dcterms:created xsi:type="dcterms:W3CDTF">2023-07-03T03:29:16Z</dcterms:created>
  <dcterms:modified xsi:type="dcterms:W3CDTF">2023-07-04T23:18:30Z</dcterms:modified>
</cp:coreProperties>
</file>