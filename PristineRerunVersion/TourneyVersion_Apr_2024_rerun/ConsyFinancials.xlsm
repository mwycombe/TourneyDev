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5E6F7078-B5C1-4FA5-B50E-354F4642ECE1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A19" i="1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E28" i="1" l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D27" i="1" l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<sst xmlns="http://schemas.openxmlformats.org/spreadsheetml/2006/main" count="238" uniqueCount="147">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</sst>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64" fontId="6" fillId="0" borderId="0" xfId="0" applyNumberFormat="1" applyFont="1" applyAlignment="1" applyProtection="1">
      <alignment horizontal="center"/>
      <protection locked="0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opLeftCell="A4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0" t="s">
        <v>142</v>
      </c>
      <c r="C1" s="141"/>
      <c r="D1" s="142"/>
    </row>
    <row r="3" spans="1:15" ht="35.25" customHeight="1" x14ac:dyDescent="0.3">
      <c r="A3" s="23"/>
      <c r="B3" s="144" t="s">
        <v>131</v>
      </c>
      <c r="C3" s="144"/>
      <c r="D3" s="144"/>
      <c r="E3" s="144"/>
      <c r="F3" s="47"/>
      <c r="H3" s="24"/>
      <c r="K3" s="42">
        <v>24</v>
      </c>
      <c r="L3" t="s">
        <v>91</v>
      </c>
    </row>
    <row r="4" spans="1:15" ht="20.25" customHeight="1" x14ac:dyDescent="0.25">
      <c r="A4" s="147" t="s">
        <v>105</v>
      </c>
      <c r="B4" s="147"/>
      <c r="C4" s="145"/>
      <c r="D4" s="145"/>
      <c r="E4" s="145"/>
      <c r="F4" s="145"/>
      <c r="G4" s="145"/>
      <c r="H4" s="145"/>
      <c r="I4" s="114"/>
      <c r="J4" s="114"/>
      <c r="K4" s="102"/>
      <c r="L4" s="102"/>
      <c r="M4" s="102"/>
      <c r="N4" s="102"/>
      <c r="O4" s="102"/>
    </row>
    <row r="5" spans="1:15" ht="15.75" x14ac:dyDescent="0.25">
      <c r="A5" s="146" t="s">
        <v>114</v>
      </c>
      <c r="B5" s="146"/>
      <c r="C5" s="124"/>
      <c r="D5" s="115"/>
      <c r="E5" s="115"/>
      <c r="F5" s="115"/>
      <c r="G5" s="115"/>
      <c r="H5" s="115"/>
      <c r="I5" s="114"/>
      <c r="J5" s="116"/>
      <c r="K5" s="102"/>
      <c r="L5" s="102"/>
      <c r="M5" s="102"/>
      <c r="N5" s="102"/>
      <c r="O5" s="102"/>
    </row>
    <row r="6" spans="1:15" ht="18.75" x14ac:dyDescent="0.3">
      <c r="A6" s="147" t="s">
        <v>106</v>
      </c>
      <c r="B6" s="147"/>
      <c r="C6" s="111"/>
      <c r="D6" s="114"/>
      <c r="E6" s="114"/>
      <c r="F6" s="114"/>
      <c r="G6" s="114"/>
      <c r="H6" s="114"/>
      <c r="I6" s="117"/>
      <c r="J6" s="116"/>
      <c r="K6" s="102"/>
      <c r="L6" s="102"/>
      <c r="M6" s="102"/>
      <c r="N6" s="102"/>
      <c r="O6" s="102"/>
    </row>
    <row r="7" spans="1:15" ht="18.75" x14ac:dyDescent="0.3">
      <c r="A7" s="147" t="s">
        <v>107</v>
      </c>
      <c r="B7" s="147"/>
      <c r="C7" s="112"/>
      <c r="D7" s="118"/>
      <c r="E7" s="119"/>
      <c r="F7" s="120"/>
      <c r="G7" s="114"/>
      <c r="H7" s="114"/>
      <c r="I7" s="114"/>
      <c r="J7" s="116"/>
      <c r="K7" s="102"/>
      <c r="L7" s="102"/>
      <c r="M7" s="102"/>
      <c r="N7" s="102"/>
      <c r="O7" s="102"/>
    </row>
    <row r="8" spans="1:15" ht="18.75" x14ac:dyDescent="0.3">
      <c r="A8" s="149" t="s">
        <v>108</v>
      </c>
      <c r="B8" s="149"/>
      <c r="C8" s="112"/>
      <c r="D8" s="114"/>
      <c r="E8" s="114"/>
      <c r="F8" s="120"/>
      <c r="G8" s="114"/>
      <c r="H8" s="114"/>
      <c r="I8" s="114"/>
      <c r="J8" s="116"/>
      <c r="K8" s="102"/>
      <c r="L8" s="102"/>
      <c r="M8" s="102"/>
      <c r="N8" s="102"/>
      <c r="O8" s="102"/>
    </row>
    <row r="9" spans="1:15" ht="21.75" customHeight="1" x14ac:dyDescent="0.25">
      <c r="A9" s="148" t="s">
        <v>121</v>
      </c>
      <c r="B9" s="148"/>
      <c r="C9" s="113"/>
      <c r="D9" s="121"/>
      <c r="E9" s="121"/>
      <c r="F9" s="121"/>
      <c r="G9" s="121"/>
      <c r="H9" s="125"/>
      <c r="I9" s="125"/>
      <c r="J9" s="125"/>
      <c r="N9" s="103"/>
      <c r="O9" s="67"/>
    </row>
    <row r="10" spans="1:15" ht="21.75" customHeight="1" x14ac:dyDescent="0.3">
      <c r="A10" s="150" t="s">
        <v>119</v>
      </c>
      <c r="B10" s="150"/>
      <c r="C10" s="150"/>
      <c r="D10" s="112"/>
    </row>
    <row r="11" spans="1:15" ht="18.75" x14ac:dyDescent="0.3">
      <c r="A11" s="150" t="s">
        <v>120</v>
      </c>
      <c r="B11" s="150"/>
      <c r="C11" s="150"/>
      <c r="D11" s="112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2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30">
        <f>FCFSummaryTourneyName</f>
        <v>0</v>
      </c>
      <c r="C15" s="129"/>
      <c r="D15" s="129"/>
      <c r="E15" s="129"/>
      <c r="F15" s="127">
        <f>FCFSummaryTourneyDate</f>
        <v>0</v>
      </c>
      <c r="H15" s="128"/>
    </row>
    <row r="16" spans="1:15" x14ac:dyDescent="0.25">
      <c r="A16" s="65">
        <f>FCFSummaryPlayerCount</f>
        <v>0</v>
      </c>
      <c r="B16" s="161" t="s">
        <v>118</v>
      </c>
      <c r="C16" s="162"/>
      <c r="E16" s="25"/>
      <c r="G16" s="44"/>
    </row>
    <row r="17" spans="1:14" x14ac:dyDescent="0.25">
      <c r="A17" s="45">
        <f>FCFSummaryPlayerCount*FCFSummaryEntryFee</f>
        <v>0</v>
      </c>
      <c r="B17" s="158" t="s">
        <v>1</v>
      </c>
      <c r="C17" s="158"/>
      <c r="E17" s="28"/>
      <c r="F17" s="68"/>
    </row>
    <row r="18" spans="1:14" x14ac:dyDescent="0.25">
      <c r="A18" s="45">
        <f>-FCFSummaryPlayerCount*FCFSummaryAccFee</f>
        <v>0</v>
      </c>
      <c r="B18" s="158" t="s">
        <v>95</v>
      </c>
      <c r="C18" s="158"/>
      <c r="E18" s="69"/>
      <c r="F18"/>
    </row>
    <row r="19" spans="1:14" x14ac:dyDescent="0.25">
      <c r="A19" s="45">
        <f>-FCFBenefitsTotal</f>
        <v>-82</v>
      </c>
      <c r="B19" s="159" t="s">
        <v>3</v>
      </c>
      <c r="C19" s="159"/>
      <c r="F19"/>
    </row>
    <row r="20" spans="1:14" ht="15" customHeight="1" x14ac:dyDescent="0.25">
      <c r="A20" s="45">
        <f>(FCFExpensesTotal+FCFSummaryDonation)</f>
        <v>0</v>
      </c>
      <c r="B20" s="160" t="s">
        <v>146</v>
      </c>
      <c r="C20" s="160"/>
      <c r="D20" s="131"/>
      <c r="E20" s="163"/>
      <c r="F20" s="163"/>
      <c r="G20" s="134"/>
      <c r="H20" s="135"/>
      <c r="J20" s="24"/>
    </row>
    <row r="21" spans="1:14" ht="15" customHeight="1" x14ac:dyDescent="0.25">
      <c r="A21" s="136">
        <f>SUM(A17:A20)</f>
        <v>-82</v>
      </c>
      <c r="B21" s="168" t="s">
        <v>145</v>
      </c>
      <c r="C21" s="168"/>
      <c r="E21" s="132" t="s">
        <v>110</v>
      </c>
      <c r="F21" s="133"/>
      <c r="G21" s="164" t="s">
        <v>79</v>
      </c>
      <c r="H21" s="166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65"/>
      <c r="H22" s="167"/>
    </row>
    <row r="23" spans="1:14" x14ac:dyDescent="0.25">
      <c r="B23" s="155" t="s">
        <v>104</v>
      </c>
      <c r="C23" s="155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53" t="str">
        <f>IF(G23&gt;F23,"***Actual Expenses More Than Total Allowed***","")</f>
        <v/>
      </c>
      <c r="E24" s="153"/>
      <c r="F24" s="153"/>
      <c r="G24" s="153"/>
      <c r="H24" s="153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0</v>
      </c>
      <c r="B25" s="156" t="s">
        <v>82</v>
      </c>
      <c r="C25" s="157"/>
      <c r="F25" s="50" t="str">
        <f>IF(LEFT($B$3,1)="M","Main Tourney", "Consolation Tourney")</f>
        <v>Consolation Tourney</v>
      </c>
    </row>
    <row r="26" spans="1:14" ht="18.75" x14ac:dyDescent="0.3">
      <c r="B26" s="122" t="s">
        <v>140</v>
      </c>
      <c r="C26" s="24"/>
      <c r="D26" s="48" t="s">
        <v>141</v>
      </c>
      <c r="E26" s="51" t="s">
        <v>83</v>
      </c>
      <c r="H26" s="52"/>
    </row>
    <row r="27" spans="1:14" ht="18.75" x14ac:dyDescent="0.3">
      <c r="B27" s="123">
        <f>FCFSummaryAvailablePool</f>
        <v>-82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-82</v>
      </c>
      <c r="F27" s="54"/>
      <c r="H27" s="55"/>
      <c r="J27" s="55"/>
    </row>
    <row r="28" spans="1:14" ht="18.75" x14ac:dyDescent="0.3">
      <c r="B28"/>
      <c r="C28" s="25"/>
      <c r="E28" s="56">
        <f>SUM(E31:E207)</f>
        <v>0</v>
      </c>
      <c r="F28" s="43" t="s">
        <v>84</v>
      </c>
    </row>
    <row r="29" spans="1:14" x14ac:dyDescent="0.25">
      <c r="A29" s="151" t="s">
        <v>92</v>
      </c>
      <c r="B29" s="143" t="s">
        <v>85</v>
      </c>
      <c r="C29" s="152" t="s">
        <v>86</v>
      </c>
      <c r="D29" s="154" t="s">
        <v>87</v>
      </c>
      <c r="E29" s="152" t="s">
        <v>88</v>
      </c>
      <c r="F29" s="152" t="s">
        <v>89</v>
      </c>
      <c r="G29" s="152" t="s">
        <v>90</v>
      </c>
    </row>
    <row r="30" spans="1:14" x14ac:dyDescent="0.25">
      <c r="A30" s="151"/>
      <c r="B30" s="143"/>
      <c r="C30" s="152"/>
      <c r="D30" s="154"/>
      <c r="E30" s="152"/>
      <c r="F30" s="152"/>
      <c r="G30" s="152"/>
    </row>
    <row r="31" spans="1:14" x14ac:dyDescent="0.25">
      <c r="A31" s="21">
        <v>1</v>
      </c>
      <c r="B31" s="10">
        <v>0.35499999999999998</v>
      </c>
      <c r="C31" s="29"/>
      <c r="D31" s="99"/>
      <c r="E31" s="126"/>
      <c r="F31" s="99"/>
      <c r="G31" s="22"/>
      <c r="H31" s="22"/>
      <c r="J31" s="10"/>
      <c r="N31" s="34"/>
    </row>
    <row r="32" spans="1:14" x14ac:dyDescent="0.25">
      <c r="A32" s="21">
        <v>2</v>
      </c>
      <c r="B32" s="10">
        <v>0.23</v>
      </c>
      <c r="C32" s="29"/>
      <c r="D32" s="99"/>
      <c r="E32" s="126"/>
      <c r="F32" s="99"/>
      <c r="G32" s="22"/>
      <c r="H32" s="22"/>
      <c r="J32" s="10"/>
    </row>
    <row r="33" spans="1:10" x14ac:dyDescent="0.25">
      <c r="A33" s="21">
        <v>3</v>
      </c>
      <c r="B33" s="13">
        <v>0.11749999999999999</v>
      </c>
      <c r="C33" s="29"/>
      <c r="D33" s="99"/>
      <c r="E33" s="126"/>
      <c r="F33" s="99"/>
      <c r="G33" s="22"/>
      <c r="H33" s="22"/>
      <c r="J33" s="13"/>
    </row>
    <row r="34" spans="1:10" x14ac:dyDescent="0.25">
      <c r="A34" s="21">
        <v>4</v>
      </c>
      <c r="B34" s="13">
        <v>0.11749999999999999</v>
      </c>
      <c r="C34" s="29"/>
      <c r="D34" s="99"/>
      <c r="E34" s="126"/>
      <c r="F34" s="99"/>
      <c r="G34" s="22"/>
      <c r="H34" s="22"/>
      <c r="J34" s="13"/>
    </row>
    <row r="35" spans="1:10" x14ac:dyDescent="0.25">
      <c r="A35" s="21">
        <v>5</v>
      </c>
      <c r="B35" s="10">
        <v>0.06</v>
      </c>
      <c r="C35" s="29"/>
      <c r="D35" s="99"/>
      <c r="E35" s="126"/>
      <c r="F35" s="99"/>
      <c r="G35" s="22"/>
      <c r="H35" s="22"/>
      <c r="J35" s="10"/>
    </row>
    <row r="36" spans="1:10" x14ac:dyDescent="0.25">
      <c r="A36" s="21">
        <v>6</v>
      </c>
      <c r="B36" s="10">
        <v>0.06</v>
      </c>
      <c r="C36" s="29"/>
      <c r="D36" s="99"/>
      <c r="E36" s="126"/>
      <c r="F36" s="99"/>
      <c r="G36" s="22"/>
      <c r="H36" s="22"/>
      <c r="J36" s="10"/>
    </row>
    <row r="37" spans="1:10" x14ac:dyDescent="0.25">
      <c r="A37" s="21">
        <v>7</v>
      </c>
      <c r="B37" s="10">
        <v>0.06</v>
      </c>
      <c r="C37" s="29"/>
      <c r="D37" s="99"/>
      <c r="E37" s="126"/>
      <c r="F37" s="99"/>
      <c r="G37" s="22"/>
      <c r="H37" s="22"/>
      <c r="J37" s="10"/>
    </row>
    <row r="38" spans="1:10" x14ac:dyDescent="0.25">
      <c r="A38" s="21"/>
      <c r="B38" s="10"/>
      <c r="C38" s="29"/>
      <c r="D38" s="99"/>
      <c r="E38" s="126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26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26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26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26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26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26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26"/>
      <c r="F45" s="99"/>
      <c r="G45" s="22"/>
      <c r="H45" s="22"/>
    </row>
    <row r="46" spans="1:10" x14ac:dyDescent="0.25">
      <c r="A46" s="21"/>
      <c r="B46" s="10"/>
      <c r="C46" s="29"/>
      <c r="D46" s="99"/>
      <c r="E46" s="126"/>
      <c r="F46" s="99"/>
      <c r="G46" s="22"/>
      <c r="H46" s="22"/>
    </row>
    <row r="47" spans="1:10" x14ac:dyDescent="0.25">
      <c r="A47" s="21"/>
      <c r="B47" s="10"/>
      <c r="C47" s="29"/>
      <c r="D47" s="99"/>
      <c r="E47" s="126"/>
      <c r="F47" s="99"/>
      <c r="G47" s="22"/>
      <c r="H47" s="22"/>
    </row>
    <row r="48" spans="1:10" x14ac:dyDescent="0.25">
      <c r="A48" s="21"/>
      <c r="B48" s="10"/>
      <c r="C48" s="29"/>
      <c r="D48" s="99"/>
      <c r="E48" s="126"/>
      <c r="F48" s="99"/>
      <c r="G48" s="22"/>
      <c r="H48" s="22"/>
    </row>
    <row r="49" spans="1:8" x14ac:dyDescent="0.25">
      <c r="A49" s="21"/>
      <c r="B49" s="10"/>
      <c r="C49" s="29"/>
      <c r="D49" s="99"/>
      <c r="E49" s="126"/>
      <c r="F49" s="99"/>
      <c r="G49" s="22"/>
      <c r="H49" s="22"/>
    </row>
    <row r="50" spans="1:8" x14ac:dyDescent="0.25">
      <c r="A50" s="21"/>
      <c r="B50" s="10"/>
      <c r="C50" s="29"/>
      <c r="D50" s="99"/>
      <c r="E50" s="126"/>
      <c r="F50" s="99"/>
      <c r="G50" s="22"/>
      <c r="H50" s="22"/>
    </row>
    <row r="51" spans="1:8" x14ac:dyDescent="0.25">
      <c r="A51" s="21"/>
      <c r="B51" s="10"/>
      <c r="C51" s="29"/>
      <c r="D51" s="99"/>
      <c r="E51" s="126"/>
      <c r="F51" s="99"/>
      <c r="G51" s="22"/>
      <c r="H51" s="22"/>
    </row>
    <row r="52" spans="1:8" x14ac:dyDescent="0.25">
      <c r="A52" s="21"/>
      <c r="B52" s="10"/>
      <c r="C52" s="29"/>
      <c r="D52" s="99"/>
      <c r="E52" s="126"/>
      <c r="F52" s="99"/>
      <c r="G52" s="22"/>
      <c r="H52" s="22"/>
    </row>
    <row r="53" spans="1:8" x14ac:dyDescent="0.25">
      <c r="A53" s="21"/>
      <c r="B53" s="10"/>
      <c r="C53" s="29"/>
      <c r="D53" s="99"/>
      <c r="E53" s="126"/>
      <c r="F53" s="99"/>
      <c r="G53" s="22"/>
      <c r="H53" s="22"/>
    </row>
    <row r="54" spans="1:8" x14ac:dyDescent="0.25">
      <c r="A54" s="21"/>
      <c r="B54" s="10"/>
      <c r="C54" s="29"/>
      <c r="D54" s="99"/>
      <c r="E54" s="126"/>
      <c r="F54" s="99"/>
      <c r="G54" s="22"/>
      <c r="H54" s="22"/>
    </row>
    <row r="55" spans="1:8" x14ac:dyDescent="0.25">
      <c r="A55" s="21"/>
      <c r="B55" s="10"/>
      <c r="C55" s="29"/>
      <c r="D55" s="99"/>
      <c r="E55" s="126"/>
      <c r="F55" s="99"/>
      <c r="G55" s="22"/>
      <c r="H55" s="22"/>
    </row>
    <row r="56" spans="1:8" x14ac:dyDescent="0.25">
      <c r="A56" s="21"/>
      <c r="B56" s="10"/>
      <c r="C56" s="29"/>
      <c r="D56" s="99"/>
      <c r="E56" s="126"/>
      <c r="F56" s="99"/>
      <c r="G56" s="22"/>
      <c r="H56" s="22"/>
    </row>
    <row r="57" spans="1:8" x14ac:dyDescent="0.25">
      <c r="A57" s="21"/>
      <c r="B57" s="10"/>
      <c r="C57" s="29"/>
      <c r="D57" s="99"/>
      <c r="E57" s="126"/>
      <c r="F57" s="99"/>
      <c r="G57" s="22"/>
      <c r="H57" s="22"/>
    </row>
    <row r="58" spans="1:8" x14ac:dyDescent="0.25">
      <c r="A58" s="21"/>
      <c r="B58" s="10"/>
      <c r="C58" s="29"/>
      <c r="D58" s="99"/>
      <c r="E58" s="126"/>
      <c r="F58" s="99"/>
      <c r="G58" s="22"/>
      <c r="H58" s="22"/>
    </row>
    <row r="59" spans="1:8" x14ac:dyDescent="0.25">
      <c r="A59" s="21"/>
      <c r="B59" s="10"/>
      <c r="C59" s="29"/>
      <c r="D59" s="99"/>
      <c r="E59" s="126"/>
      <c r="F59" s="99"/>
      <c r="G59" s="22"/>
      <c r="H59" s="22"/>
    </row>
    <row r="60" spans="1:8" x14ac:dyDescent="0.25">
      <c r="A60" s="21"/>
      <c r="B60" s="10"/>
      <c r="C60" s="29"/>
      <c r="D60" s="99"/>
      <c r="E60" s="126"/>
      <c r="F60" s="99"/>
      <c r="G60" s="22"/>
      <c r="H60" s="22"/>
    </row>
    <row r="61" spans="1:8" x14ac:dyDescent="0.25">
      <c r="A61" s="21"/>
      <c r="B61" s="10"/>
      <c r="C61" s="29"/>
      <c r="D61" s="99"/>
      <c r="E61" s="126"/>
      <c r="F61" s="99"/>
      <c r="G61" s="22"/>
      <c r="H61" s="22"/>
    </row>
    <row r="62" spans="1:8" x14ac:dyDescent="0.25">
      <c r="A62" s="21"/>
      <c r="B62" s="10"/>
      <c r="C62" s="29"/>
      <c r="D62" s="99"/>
      <c r="E62" s="100"/>
      <c r="F62" s="99"/>
      <c r="G62" s="22"/>
      <c r="H62" s="22"/>
    </row>
    <row r="63" spans="1:8" x14ac:dyDescent="0.25">
      <c r="A63" s="21"/>
      <c r="B63" s="10"/>
      <c r="C63" s="29"/>
      <c r="D63" s="99"/>
      <c r="E63" s="100"/>
      <c r="F63" s="99"/>
      <c r="G63" s="22"/>
      <c r="H63" s="22"/>
    </row>
    <row r="64" spans="1:8" x14ac:dyDescent="0.25">
      <c r="A64" s="21"/>
      <c r="B64" s="13"/>
      <c r="C64" s="29"/>
      <c r="D64" s="99"/>
      <c r="E64" s="100"/>
      <c r="F64" s="99"/>
      <c r="G64" s="22"/>
      <c r="H64" s="22"/>
    </row>
    <row r="65" spans="1:8" x14ac:dyDescent="0.25">
      <c r="A65" s="21"/>
      <c r="B65" s="13"/>
      <c r="C65" s="29"/>
      <c r="D65" s="99"/>
      <c r="E65" s="100"/>
      <c r="F65" s="99"/>
      <c r="G65" s="22"/>
      <c r="H65" s="22"/>
    </row>
    <row r="66" spans="1:8" x14ac:dyDescent="0.25">
      <c r="A66" s="21"/>
      <c r="B66" s="13"/>
      <c r="C66" s="29"/>
      <c r="D66" s="99"/>
      <c r="E66" s="100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1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73"/>
      <c r="E8" s="173"/>
      <c r="F8" s="173"/>
    </row>
    <row r="9" spans="1:7" x14ac:dyDescent="0.25">
      <c r="A9"/>
      <c r="B9" s="33"/>
      <c r="C9" s="16"/>
      <c r="D9" s="16"/>
      <c r="E9" s="16"/>
    </row>
    <row r="10" spans="1:7" ht="15.75" x14ac:dyDescent="0.25">
      <c r="A10" s="172" t="s">
        <v>2</v>
      </c>
      <c r="B10" s="172"/>
      <c r="C10" s="172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74" t="s">
        <v>75</v>
      </c>
      <c r="D12" s="174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1" t="s">
        <v>78</v>
      </c>
      <c r="D14" s="171"/>
      <c r="E14" s="40" t="s">
        <v>94</v>
      </c>
      <c r="F14" s="41" t="s">
        <v>109</v>
      </c>
      <c r="G14" s="104" t="s">
        <v>123</v>
      </c>
    </row>
    <row r="15" spans="1:7" x14ac:dyDescent="0.25">
      <c r="A15" s="78"/>
      <c r="B15" s="79"/>
      <c r="C15" s="169"/>
      <c r="D15" s="170"/>
      <c r="E15" s="80"/>
      <c r="F15" s="80"/>
      <c r="G15" s="104"/>
    </row>
    <row r="16" spans="1:7" x14ac:dyDescent="0.25">
      <c r="A16" s="81"/>
      <c r="B16" s="82"/>
      <c r="C16" s="169"/>
      <c r="D16" s="170"/>
      <c r="E16" s="83"/>
      <c r="F16" s="83"/>
      <c r="G16" s="104"/>
    </row>
    <row r="17" spans="1:7" x14ac:dyDescent="0.25">
      <c r="A17" s="78"/>
      <c r="B17" s="79"/>
      <c r="C17" s="169"/>
      <c r="D17" s="170"/>
      <c r="E17" s="80"/>
      <c r="F17" s="80"/>
      <c r="G17" s="104"/>
    </row>
    <row r="18" spans="1:7" x14ac:dyDescent="0.25">
      <c r="A18" s="78"/>
      <c r="B18" s="79"/>
      <c r="C18" s="169"/>
      <c r="D18" s="170"/>
      <c r="E18" s="80"/>
      <c r="F18" s="80"/>
      <c r="G18" s="104"/>
    </row>
    <row r="19" spans="1:7" x14ac:dyDescent="0.25">
      <c r="A19" s="78"/>
      <c r="B19" s="79"/>
      <c r="C19" s="169"/>
      <c r="D19" s="170"/>
      <c r="E19" s="80"/>
      <c r="F19" s="80"/>
      <c r="G19" s="104"/>
    </row>
    <row r="20" spans="1:7" x14ac:dyDescent="0.25">
      <c r="A20" s="78"/>
      <c r="B20" s="79"/>
      <c r="C20" s="169"/>
      <c r="D20" s="170"/>
      <c r="E20" s="80"/>
      <c r="F20" s="80"/>
      <c r="G20" s="104"/>
    </row>
    <row r="21" spans="1:7" x14ac:dyDescent="0.25">
      <c r="A21" s="78"/>
      <c r="B21" s="79"/>
      <c r="C21" s="169"/>
      <c r="D21" s="170"/>
      <c r="E21" s="80"/>
      <c r="F21" s="80"/>
      <c r="G21" s="104"/>
    </row>
    <row r="22" spans="1:7" x14ac:dyDescent="0.25">
      <c r="A22" s="78"/>
      <c r="B22" s="79"/>
      <c r="C22" s="169"/>
      <c r="D22" s="170"/>
      <c r="E22" s="80"/>
      <c r="F22" s="80"/>
      <c r="G22" s="104"/>
    </row>
    <row r="23" spans="1:7" x14ac:dyDescent="0.25">
      <c r="A23" s="78"/>
      <c r="B23" s="79"/>
      <c r="C23" s="169"/>
      <c r="D23" s="170"/>
      <c r="E23" s="80"/>
      <c r="F23" s="80"/>
      <c r="G23" s="104"/>
    </row>
    <row r="24" spans="1:7" x14ac:dyDescent="0.25">
      <c r="A24" s="78"/>
      <c r="B24" s="79"/>
      <c r="C24" s="169"/>
      <c r="D24" s="170"/>
      <c r="E24" s="80"/>
      <c r="F24" s="80"/>
      <c r="G24" s="104"/>
    </row>
    <row r="25" spans="1:7" x14ac:dyDescent="0.25">
      <c r="A25" s="78"/>
      <c r="B25" s="79"/>
      <c r="C25" s="169"/>
      <c r="D25" s="170"/>
      <c r="E25" s="80"/>
      <c r="F25" s="80"/>
      <c r="G25" s="104"/>
    </row>
    <row r="26" spans="1:7" x14ac:dyDescent="0.25">
      <c r="A26" s="78"/>
      <c r="B26" s="79"/>
      <c r="C26" s="169"/>
      <c r="D26" s="170"/>
      <c r="E26" s="80"/>
      <c r="F26" s="80"/>
      <c r="G26" s="104"/>
    </row>
    <row r="27" spans="1:7" x14ac:dyDescent="0.25">
      <c r="A27" s="78"/>
      <c r="B27" s="79"/>
      <c r="C27" s="169"/>
      <c r="D27" s="170"/>
      <c r="E27" s="80"/>
      <c r="F27" s="80"/>
      <c r="G27" s="104"/>
    </row>
    <row r="28" spans="1:7" x14ac:dyDescent="0.25">
      <c r="A28" s="78"/>
      <c r="B28" s="79"/>
      <c r="C28" s="169"/>
      <c r="D28" s="170"/>
      <c r="E28" s="80"/>
      <c r="F28" s="80"/>
      <c r="G28" s="104"/>
    </row>
    <row r="29" spans="1:7" x14ac:dyDescent="0.25">
      <c r="A29" s="78"/>
      <c r="B29" s="79"/>
      <c r="C29" s="169"/>
      <c r="D29" s="170"/>
      <c r="E29" s="80"/>
      <c r="F29" s="80"/>
      <c r="G29" s="104"/>
    </row>
    <row r="30" spans="1:7" x14ac:dyDescent="0.25">
      <c r="A30" s="81"/>
      <c r="B30" s="82"/>
      <c r="C30" s="169"/>
      <c r="D30" s="170"/>
      <c r="E30" s="83"/>
      <c r="F30" s="83"/>
      <c r="G30" s="104"/>
    </row>
    <row r="31" spans="1:7" x14ac:dyDescent="0.25">
      <c r="A31" s="78"/>
      <c r="B31" s="79"/>
      <c r="C31" s="169"/>
      <c r="D31" s="170"/>
      <c r="E31" s="80"/>
      <c r="F31" s="80"/>
      <c r="G31" s="104"/>
    </row>
    <row r="32" spans="1:7" x14ac:dyDescent="0.25">
      <c r="A32" s="78"/>
      <c r="B32" s="79"/>
      <c r="C32" s="169"/>
      <c r="D32" s="170"/>
      <c r="E32" s="80"/>
      <c r="F32" s="80"/>
      <c r="G32" s="104"/>
    </row>
    <row r="33" spans="1:7" x14ac:dyDescent="0.25">
      <c r="A33" s="78"/>
      <c r="B33" s="79"/>
      <c r="C33" s="169"/>
      <c r="D33" s="170"/>
      <c r="E33" s="80"/>
      <c r="F33" s="80"/>
      <c r="G33" s="104"/>
    </row>
    <row r="34" spans="1:7" x14ac:dyDescent="0.25">
      <c r="A34" s="78"/>
      <c r="B34" s="79"/>
      <c r="C34" s="169"/>
      <c r="D34" s="170"/>
      <c r="E34" s="80"/>
      <c r="F34" s="80"/>
      <c r="G34" s="104"/>
    </row>
    <row r="35" spans="1:7" x14ac:dyDescent="0.25">
      <c r="A35" s="78"/>
      <c r="B35" s="79"/>
      <c r="C35" s="169"/>
      <c r="D35" s="170"/>
      <c r="E35" s="80"/>
      <c r="F35" s="80"/>
      <c r="G35" s="104"/>
    </row>
    <row r="36" spans="1:7" x14ac:dyDescent="0.25">
      <c r="A36" s="78"/>
      <c r="B36" s="79"/>
      <c r="C36" s="169"/>
      <c r="D36" s="170"/>
      <c r="E36" s="80"/>
      <c r="F36" s="80"/>
      <c r="G36" s="104"/>
    </row>
    <row r="37" spans="1:7" x14ac:dyDescent="0.25">
      <c r="A37" s="78"/>
      <c r="B37" s="79"/>
      <c r="C37" s="169"/>
      <c r="D37" s="170"/>
      <c r="E37" s="80"/>
      <c r="F37" s="80"/>
      <c r="G37" s="104"/>
    </row>
    <row r="38" spans="1:7" x14ac:dyDescent="0.25">
      <c r="A38" s="78"/>
      <c r="B38" s="79"/>
      <c r="C38" s="169"/>
      <c r="D38" s="170"/>
      <c r="E38" s="80"/>
      <c r="F38" s="80"/>
      <c r="G38" s="104"/>
    </row>
    <row r="39" spans="1:7" x14ac:dyDescent="0.25">
      <c r="A39" s="78"/>
      <c r="B39" s="79"/>
      <c r="C39" s="169"/>
      <c r="D39" s="170"/>
      <c r="E39" s="80"/>
      <c r="F39" s="80"/>
      <c r="G39" s="104"/>
    </row>
    <row r="40" spans="1:7" x14ac:dyDescent="0.25">
      <c r="A40" s="78"/>
      <c r="B40" s="79"/>
      <c r="C40" s="169"/>
      <c r="D40" s="170"/>
      <c r="E40" s="80"/>
      <c r="F40" s="80"/>
      <c r="G40" s="104"/>
    </row>
    <row r="41" spans="1:7" x14ac:dyDescent="0.25">
      <c r="A41" s="78"/>
      <c r="B41" s="79"/>
      <c r="C41" s="169"/>
      <c r="D41" s="170"/>
      <c r="E41" s="80"/>
      <c r="F41" s="80"/>
      <c r="G41" s="104"/>
    </row>
    <row r="42" spans="1:7" x14ac:dyDescent="0.25">
      <c r="A42" s="78"/>
      <c r="B42" s="79"/>
      <c r="C42" s="169"/>
      <c r="D42" s="170"/>
      <c r="E42" s="80"/>
      <c r="F42" s="80"/>
      <c r="G42" s="104"/>
    </row>
    <row r="43" spans="1:7" x14ac:dyDescent="0.25">
      <c r="A43" s="78"/>
      <c r="B43" s="79"/>
      <c r="C43" s="169"/>
      <c r="D43" s="170"/>
      <c r="E43" s="80"/>
      <c r="F43" s="80"/>
      <c r="G43" s="104"/>
    </row>
    <row r="44" spans="1:7" x14ac:dyDescent="0.25">
      <c r="A44" s="78"/>
      <c r="B44" s="79"/>
      <c r="C44" s="169"/>
      <c r="D44" s="170"/>
      <c r="E44" s="80"/>
      <c r="F44" s="80"/>
      <c r="G44" s="104"/>
    </row>
    <row r="45" spans="1:7" x14ac:dyDescent="0.25">
      <c r="A45" s="78"/>
      <c r="B45" s="79"/>
      <c r="C45" s="169"/>
      <c r="D45" s="170"/>
      <c r="E45" s="80"/>
      <c r="F45" s="80"/>
      <c r="G45" s="104"/>
    </row>
    <row r="46" spans="1:7" x14ac:dyDescent="0.25">
      <c r="A46" s="78"/>
      <c r="B46" s="79"/>
      <c r="C46" s="169"/>
      <c r="D46" s="170"/>
      <c r="E46" s="80"/>
      <c r="F46" s="80"/>
      <c r="G46" s="104"/>
    </row>
    <row r="47" spans="1:7" x14ac:dyDescent="0.25">
      <c r="A47" s="78"/>
      <c r="B47" s="79"/>
      <c r="C47" s="169"/>
      <c r="D47" s="170"/>
      <c r="E47" s="80"/>
      <c r="F47" s="80"/>
      <c r="G47" s="104"/>
    </row>
    <row r="48" spans="1:7" x14ac:dyDescent="0.25">
      <c r="A48" s="78"/>
      <c r="B48" s="79"/>
      <c r="C48" s="169"/>
      <c r="D48" s="170"/>
      <c r="E48" s="80"/>
      <c r="F48" s="80"/>
      <c r="G48" s="104"/>
    </row>
    <row r="49" spans="1:7" x14ac:dyDescent="0.25">
      <c r="A49" s="78"/>
      <c r="B49" s="79"/>
      <c r="C49" s="169"/>
      <c r="D49" s="170"/>
      <c r="E49" s="80"/>
      <c r="F49" s="80"/>
      <c r="G49" s="104"/>
    </row>
    <row r="50" spans="1:7" x14ac:dyDescent="0.25">
      <c r="A50" s="78"/>
      <c r="B50" s="79"/>
      <c r="C50" s="169"/>
      <c r="D50" s="170"/>
      <c r="E50" s="80"/>
      <c r="F50" s="80"/>
      <c r="G50" s="104"/>
    </row>
    <row r="51" spans="1:7" x14ac:dyDescent="0.25">
      <c r="A51" s="78"/>
      <c r="B51" s="79"/>
      <c r="C51" s="169"/>
      <c r="D51" s="170"/>
      <c r="E51" s="80"/>
      <c r="F51" s="80"/>
      <c r="G51" s="104"/>
    </row>
    <row r="52" spans="1:7" x14ac:dyDescent="0.25">
      <c r="A52" s="78"/>
      <c r="B52" s="79"/>
      <c r="C52" s="169"/>
      <c r="D52" s="170"/>
      <c r="E52" s="80"/>
      <c r="F52" s="80"/>
      <c r="G52" s="104"/>
    </row>
    <row r="53" spans="1:7" x14ac:dyDescent="0.25">
      <c r="A53" s="78"/>
      <c r="B53" s="79"/>
      <c r="C53" s="169"/>
      <c r="D53" s="170"/>
      <c r="E53" s="80"/>
      <c r="F53" s="80"/>
      <c r="G53" s="104"/>
    </row>
    <row r="54" spans="1:7" x14ac:dyDescent="0.25">
      <c r="A54" s="78"/>
      <c r="B54" s="79"/>
      <c r="C54" s="169"/>
      <c r="D54" s="170"/>
      <c r="E54" s="80"/>
      <c r="F54" s="80"/>
      <c r="G54" s="104"/>
    </row>
    <row r="55" spans="1:7" x14ac:dyDescent="0.25">
      <c r="A55" s="78"/>
      <c r="B55" s="79"/>
      <c r="C55" s="169"/>
      <c r="D55" s="170"/>
      <c r="E55" s="80"/>
      <c r="F55" s="80"/>
      <c r="G55" s="104"/>
    </row>
    <row r="56" spans="1:7" x14ac:dyDescent="0.25">
      <c r="A56" s="78"/>
      <c r="B56" s="79"/>
      <c r="C56" s="169"/>
      <c r="D56" s="170"/>
      <c r="E56" s="80"/>
      <c r="F56" s="80"/>
      <c r="G56" s="104"/>
    </row>
    <row r="57" spans="1:7" x14ac:dyDescent="0.25">
      <c r="A57" s="78"/>
      <c r="B57" s="79"/>
      <c r="C57" s="169"/>
      <c r="D57" s="170"/>
      <c r="E57" s="80"/>
      <c r="F57" s="80"/>
      <c r="G57" s="104"/>
    </row>
    <row r="58" spans="1:7" x14ac:dyDescent="0.25">
      <c r="A58" s="78"/>
      <c r="B58" s="79"/>
      <c r="C58" s="175"/>
      <c r="D58" s="175"/>
      <c r="E58" s="80"/>
      <c r="F58" s="80"/>
      <c r="G58" s="104"/>
    </row>
    <row r="59" spans="1:7" x14ac:dyDescent="0.25">
      <c r="A59" s="78"/>
      <c r="B59" s="79"/>
      <c r="C59" s="175"/>
      <c r="D59" s="175"/>
      <c r="E59" s="80"/>
      <c r="F59" s="80"/>
      <c r="G59" s="104"/>
    </row>
    <row r="60" spans="1:7" x14ac:dyDescent="0.25">
      <c r="A60" s="106"/>
      <c r="B60" s="107"/>
      <c r="C60" s="176"/>
      <c r="D60" s="176"/>
      <c r="E60" s="108"/>
      <c r="F60" s="108"/>
    </row>
    <row r="61" spans="1:7" x14ac:dyDescent="0.25">
      <c r="A61" s="106"/>
      <c r="B61" s="107"/>
      <c r="C61" s="176"/>
      <c r="D61" s="176"/>
      <c r="E61" s="108"/>
      <c r="F61" s="108"/>
    </row>
    <row r="62" spans="1:7" x14ac:dyDescent="0.25">
      <c r="A62" s="106"/>
      <c r="B62" s="107"/>
      <c r="C62" s="176"/>
      <c r="D62" s="176"/>
      <c r="E62" s="108"/>
      <c r="F62" s="108"/>
    </row>
    <row r="63" spans="1:7" x14ac:dyDescent="0.25">
      <c r="A63" s="106"/>
      <c r="B63" s="107"/>
      <c r="C63" s="176"/>
      <c r="D63" s="176"/>
      <c r="E63" s="108"/>
      <c r="F63" s="108"/>
    </row>
    <row r="64" spans="1:7" x14ac:dyDescent="0.25">
      <c r="A64" s="106"/>
      <c r="B64" s="107"/>
      <c r="C64" s="176"/>
      <c r="D64" s="176"/>
      <c r="E64" s="108"/>
      <c r="F64" s="108"/>
    </row>
    <row r="65" spans="1:6" x14ac:dyDescent="0.25">
      <c r="A65" s="106"/>
      <c r="B65" s="107"/>
      <c r="C65" s="176"/>
      <c r="D65" s="176"/>
      <c r="E65" s="108"/>
      <c r="F65" s="108"/>
    </row>
    <row r="66" spans="1:6" x14ac:dyDescent="0.25">
      <c r="A66" s="106"/>
      <c r="B66" s="107"/>
      <c r="C66" s="176"/>
      <c r="D66" s="176"/>
      <c r="E66" s="108"/>
      <c r="F66" s="108"/>
    </row>
    <row r="67" spans="1:6" x14ac:dyDescent="0.25">
      <c r="A67" s="106"/>
      <c r="B67" s="107"/>
      <c r="C67" s="176"/>
      <c r="D67" s="176"/>
      <c r="E67" s="108"/>
      <c r="F67" s="108"/>
    </row>
    <row r="68" spans="1:6" x14ac:dyDescent="0.25">
      <c r="A68" s="106"/>
      <c r="B68" s="107"/>
      <c r="C68" s="176"/>
      <c r="D68" s="176"/>
      <c r="E68" s="108"/>
      <c r="F68" s="108"/>
    </row>
    <row r="69" spans="1:6" x14ac:dyDescent="0.25">
      <c r="A69" s="106"/>
      <c r="B69" s="107"/>
      <c r="C69" s="176"/>
      <c r="D69" s="176"/>
      <c r="E69" s="108"/>
      <c r="F69" s="108"/>
    </row>
    <row r="70" spans="1:6" x14ac:dyDescent="0.25">
      <c r="A70" s="106"/>
      <c r="B70" s="107"/>
      <c r="C70" s="176"/>
      <c r="D70" s="176"/>
      <c r="E70" s="108"/>
      <c r="F70" s="108"/>
    </row>
    <row r="71" spans="1:6" x14ac:dyDescent="0.25">
      <c r="A71" s="106"/>
      <c r="B71" s="107"/>
      <c r="C71" s="176"/>
      <c r="D71" s="176"/>
      <c r="E71" s="108"/>
      <c r="F71" s="108"/>
    </row>
    <row r="72" spans="1:6" x14ac:dyDescent="0.25">
      <c r="A72" s="106"/>
      <c r="B72" s="107"/>
      <c r="C72" s="176"/>
      <c r="D72" s="176"/>
      <c r="E72" s="108"/>
      <c r="F72" s="108"/>
    </row>
    <row r="73" spans="1:6" x14ac:dyDescent="0.25">
      <c r="A73" s="106"/>
      <c r="B73" s="107"/>
      <c r="C73" s="176"/>
      <c r="D73" s="176"/>
      <c r="E73" s="108"/>
      <c r="F73" s="108"/>
    </row>
    <row r="74" spans="1:6" x14ac:dyDescent="0.25">
      <c r="A74" s="106"/>
      <c r="B74" s="107"/>
      <c r="C74" s="176"/>
      <c r="D74" s="176"/>
      <c r="E74" s="108"/>
      <c r="F74" s="108"/>
    </row>
    <row r="75" spans="1:6" x14ac:dyDescent="0.25">
      <c r="A75" s="106"/>
      <c r="B75" s="107"/>
      <c r="C75" s="176"/>
      <c r="D75" s="176"/>
      <c r="E75" s="108"/>
      <c r="F75" s="108"/>
    </row>
    <row r="76" spans="1:6" x14ac:dyDescent="0.25">
      <c r="A76" s="106"/>
      <c r="B76" s="107"/>
      <c r="C76" s="176"/>
      <c r="D76" s="176"/>
      <c r="E76" s="108"/>
      <c r="F76" s="108"/>
    </row>
    <row r="77" spans="1:6" x14ac:dyDescent="0.25">
      <c r="A77" s="106"/>
      <c r="B77" s="107"/>
      <c r="C77" s="176"/>
      <c r="D77" s="176"/>
      <c r="E77" s="108"/>
      <c r="F77" s="108"/>
    </row>
    <row r="78" spans="1:6" x14ac:dyDescent="0.25">
      <c r="A78" s="106"/>
      <c r="B78" s="107"/>
      <c r="C78" s="176"/>
      <c r="D78" s="176"/>
      <c r="E78" s="108"/>
      <c r="F78" s="108"/>
    </row>
    <row r="79" spans="1:6" x14ac:dyDescent="0.25">
      <c r="A79" s="106"/>
      <c r="B79" s="107"/>
      <c r="C79" s="176"/>
      <c r="D79" s="176"/>
      <c r="E79" s="108"/>
      <c r="F79" s="108"/>
    </row>
    <row r="80" spans="1:6" x14ac:dyDescent="0.25">
      <c r="A80" s="106"/>
      <c r="B80" s="107"/>
      <c r="C80" s="176"/>
      <c r="D80" s="176"/>
      <c r="E80" s="108"/>
      <c r="F80" s="108"/>
    </row>
    <row r="81" spans="1:6" x14ac:dyDescent="0.25">
      <c r="A81" s="106"/>
      <c r="B81" s="107"/>
      <c r="C81" s="176"/>
      <c r="D81" s="176"/>
      <c r="E81" s="108"/>
      <c r="F81" s="108"/>
    </row>
    <row r="82" spans="1:6" x14ac:dyDescent="0.25">
      <c r="A82" s="106"/>
      <c r="B82" s="107"/>
      <c r="C82" s="176"/>
      <c r="D82" s="176"/>
      <c r="E82" s="108"/>
      <c r="F82" s="108"/>
    </row>
    <row r="83" spans="1:6" x14ac:dyDescent="0.25">
      <c r="A83" s="106"/>
      <c r="B83" s="107"/>
      <c r="C83" s="176"/>
      <c r="D83" s="176"/>
      <c r="E83" s="108"/>
      <c r="F83" s="108"/>
    </row>
    <row r="84" spans="1:6" x14ac:dyDescent="0.25">
      <c r="A84" s="106"/>
      <c r="B84" s="107"/>
      <c r="C84" s="176"/>
      <c r="D84" s="176"/>
      <c r="E84" s="108"/>
      <c r="F84" s="108"/>
    </row>
    <row r="85" spans="1:6" x14ac:dyDescent="0.25">
      <c r="A85" s="106"/>
      <c r="B85" s="107"/>
      <c r="C85" s="176"/>
      <c r="D85" s="176"/>
      <c r="E85" s="108"/>
      <c r="F85" s="108"/>
    </row>
    <row r="86" spans="1:6" x14ac:dyDescent="0.25">
      <c r="A86" s="106"/>
      <c r="B86" s="107"/>
      <c r="C86" s="176"/>
      <c r="D86" s="176"/>
      <c r="E86" s="108"/>
      <c r="F86" s="108"/>
    </row>
    <row r="87" spans="1:6" x14ac:dyDescent="0.25">
      <c r="A87" s="106"/>
      <c r="B87" s="107"/>
      <c r="C87" s="176"/>
      <c r="D87" s="176"/>
      <c r="E87" s="108"/>
      <c r="F87" s="108"/>
    </row>
    <row r="88" spans="1:6" x14ac:dyDescent="0.25">
      <c r="A88" s="106"/>
      <c r="B88" s="107"/>
      <c r="C88" s="176"/>
      <c r="D88" s="176"/>
      <c r="E88" s="108"/>
      <c r="F88" s="108"/>
    </row>
    <row r="89" spans="1:6" x14ac:dyDescent="0.25">
      <c r="A89" s="106"/>
      <c r="B89" s="107"/>
      <c r="C89" s="176"/>
      <c r="D89" s="176"/>
      <c r="E89" s="108"/>
      <c r="F89" s="108"/>
    </row>
    <row r="90" spans="1:6" x14ac:dyDescent="0.25">
      <c r="A90" s="106"/>
      <c r="B90" s="107"/>
      <c r="C90" s="176"/>
      <c r="D90" s="176"/>
      <c r="E90" s="108"/>
      <c r="F90" s="108"/>
    </row>
    <row r="91" spans="1:6" x14ac:dyDescent="0.25">
      <c r="A91" s="106"/>
      <c r="B91" s="107"/>
      <c r="C91" s="176"/>
      <c r="D91" s="176"/>
      <c r="E91" s="108"/>
      <c r="F91" s="108"/>
    </row>
    <row r="92" spans="1:6" x14ac:dyDescent="0.25">
      <c r="A92" s="106"/>
      <c r="B92" s="107"/>
      <c r="C92" s="176"/>
      <c r="D92" s="176"/>
      <c r="E92" s="108"/>
      <c r="F92" s="108"/>
    </row>
    <row r="93" spans="1:6" x14ac:dyDescent="0.25">
      <c r="A93" s="106"/>
      <c r="B93" s="107"/>
      <c r="C93" s="176"/>
      <c r="D93" s="176"/>
      <c r="E93" s="108"/>
      <c r="F93" s="108"/>
    </row>
    <row r="94" spans="1:6" x14ac:dyDescent="0.25">
      <c r="A94" s="106"/>
      <c r="B94" s="107"/>
      <c r="C94" s="176"/>
      <c r="D94" s="176"/>
      <c r="E94" s="108"/>
      <c r="F94" s="108"/>
    </row>
    <row r="95" spans="1:6" x14ac:dyDescent="0.25">
      <c r="A95" s="106"/>
      <c r="B95" s="107"/>
      <c r="C95" s="176"/>
      <c r="D95" s="176"/>
      <c r="E95" s="108"/>
      <c r="F95" s="108"/>
    </row>
    <row r="96" spans="1:6" x14ac:dyDescent="0.25">
      <c r="A96" s="106"/>
      <c r="B96" s="107"/>
      <c r="C96" s="176"/>
      <c r="D96" s="176"/>
      <c r="E96" s="108"/>
      <c r="F96" s="108"/>
    </row>
    <row r="97" spans="1:6" x14ac:dyDescent="0.25">
      <c r="A97" s="106"/>
      <c r="B97" s="107"/>
      <c r="C97" s="176"/>
      <c r="D97" s="176"/>
      <c r="E97" s="108"/>
      <c r="F97" s="108"/>
    </row>
    <row r="98" spans="1:6" x14ac:dyDescent="0.25">
      <c r="A98" s="106"/>
      <c r="B98" s="107"/>
      <c r="C98" s="176"/>
      <c r="D98" s="176"/>
      <c r="E98" s="108"/>
      <c r="F98" s="108"/>
    </row>
    <row r="99" spans="1:6" x14ac:dyDescent="0.25">
      <c r="A99" s="106"/>
      <c r="B99" s="107"/>
      <c r="C99" s="176"/>
      <c r="D99" s="176"/>
      <c r="E99" s="108"/>
      <c r="F99" s="108"/>
    </row>
    <row r="100" spans="1:6" x14ac:dyDescent="0.25">
      <c r="A100" s="106"/>
      <c r="B100" s="107"/>
      <c r="C100" s="176"/>
      <c r="D100" s="176"/>
      <c r="E100" s="108"/>
      <c r="F100" s="108"/>
    </row>
    <row r="101" spans="1:6" x14ac:dyDescent="0.25">
      <c r="A101" s="106"/>
      <c r="B101" s="107"/>
      <c r="C101" s="176"/>
      <c r="D101" s="176"/>
      <c r="E101" s="108"/>
      <c r="F101" s="108"/>
    </row>
    <row r="102" spans="1:6" x14ac:dyDescent="0.25">
      <c r="A102" s="106"/>
      <c r="B102" s="107"/>
      <c r="C102" s="176"/>
      <c r="D102" s="176"/>
      <c r="E102" s="108"/>
      <c r="F102" s="108"/>
    </row>
    <row r="103" spans="1:6" x14ac:dyDescent="0.25">
      <c r="A103" s="106"/>
      <c r="B103" s="107"/>
      <c r="C103" s="176"/>
      <c r="D103" s="176"/>
      <c r="E103" s="108"/>
      <c r="F103" s="108"/>
    </row>
    <row r="104" spans="1:6" x14ac:dyDescent="0.25">
      <c r="A104" s="106"/>
      <c r="B104" s="107"/>
      <c r="C104" s="176"/>
      <c r="D104" s="176"/>
      <c r="E104" s="108"/>
      <c r="F104" s="108"/>
    </row>
    <row r="105" spans="1:6" x14ac:dyDescent="0.25">
      <c r="A105" s="106"/>
      <c r="B105" s="107"/>
      <c r="C105" s="176"/>
      <c r="D105" s="176"/>
      <c r="E105" s="108"/>
      <c r="F105" s="108"/>
    </row>
    <row r="106" spans="1:6" x14ac:dyDescent="0.25">
      <c r="A106" s="106"/>
      <c r="B106" s="107"/>
      <c r="C106" s="176"/>
      <c r="D106" s="176"/>
      <c r="E106" s="108"/>
      <c r="F106" s="108"/>
    </row>
    <row r="107" spans="1:6" x14ac:dyDescent="0.25">
      <c r="A107" s="106"/>
      <c r="B107" s="107"/>
      <c r="C107" s="176"/>
      <c r="D107" s="176"/>
      <c r="E107" s="108"/>
      <c r="F107" s="108"/>
    </row>
    <row r="108" spans="1:6" x14ac:dyDescent="0.25">
      <c r="A108" s="106"/>
      <c r="B108" s="107"/>
      <c r="C108" s="176"/>
      <c r="D108" s="176"/>
      <c r="E108" s="108"/>
      <c r="F108" s="108"/>
    </row>
    <row r="109" spans="1:6" x14ac:dyDescent="0.25">
      <c r="A109" s="106"/>
      <c r="B109" s="107"/>
      <c r="C109" s="176"/>
      <c r="D109" s="176"/>
      <c r="E109" s="108"/>
      <c r="F109" s="108"/>
    </row>
    <row r="110" spans="1:6" x14ac:dyDescent="0.25">
      <c r="A110" s="106"/>
      <c r="B110" s="107"/>
      <c r="C110" s="176"/>
      <c r="D110" s="176"/>
      <c r="E110" s="108"/>
      <c r="F110" s="108"/>
    </row>
    <row r="111" spans="1:6" x14ac:dyDescent="0.25">
      <c r="A111" s="106"/>
      <c r="B111" s="107"/>
      <c r="C111" s="176"/>
      <c r="D111" s="176"/>
      <c r="E111" s="108"/>
      <c r="F111" s="108"/>
    </row>
    <row r="112" spans="1:6" x14ac:dyDescent="0.25">
      <c r="A112" s="106"/>
      <c r="B112" s="107"/>
      <c r="C112" s="176"/>
      <c r="D112" s="176"/>
      <c r="E112" s="108"/>
      <c r="F112" s="108"/>
    </row>
    <row r="113" spans="1:6" x14ac:dyDescent="0.25">
      <c r="A113" s="106"/>
      <c r="B113" s="107"/>
      <c r="C113" s="176"/>
      <c r="D113" s="176"/>
      <c r="E113" s="108"/>
      <c r="F113" s="108"/>
    </row>
    <row r="114" spans="1:6" x14ac:dyDescent="0.25">
      <c r="A114" s="106"/>
      <c r="B114" s="107"/>
      <c r="C114" s="176"/>
      <c r="D114" s="176"/>
      <c r="E114" s="108"/>
      <c r="F114" s="108"/>
    </row>
    <row r="115" spans="1:6" x14ac:dyDescent="0.25">
      <c r="A115" s="106"/>
      <c r="B115" s="107"/>
      <c r="C115" s="176"/>
      <c r="D115" s="176"/>
      <c r="E115" s="108"/>
      <c r="F115" s="108"/>
    </row>
    <row r="116" spans="1:6" x14ac:dyDescent="0.25">
      <c r="A116" s="106"/>
      <c r="B116" s="107"/>
      <c r="C116" s="176"/>
      <c r="D116" s="176"/>
      <c r="E116" s="108"/>
      <c r="F116" s="108"/>
    </row>
    <row r="117" spans="1:6" x14ac:dyDescent="0.25">
      <c r="A117" s="106"/>
      <c r="B117" s="107"/>
      <c r="C117" s="176"/>
      <c r="D117" s="176"/>
      <c r="E117" s="108"/>
      <c r="F117" s="108"/>
    </row>
    <row r="118" spans="1:6" x14ac:dyDescent="0.25">
      <c r="A118" s="106"/>
      <c r="B118" s="107"/>
      <c r="C118" s="176"/>
      <c r="D118" s="176"/>
      <c r="E118" s="108"/>
      <c r="F118" s="108"/>
    </row>
    <row r="119" spans="1:6" x14ac:dyDescent="0.25">
      <c r="A119" s="106"/>
      <c r="B119" s="107"/>
      <c r="C119" s="176"/>
      <c r="D119" s="176"/>
      <c r="E119" s="108"/>
      <c r="F119" s="108"/>
    </row>
    <row r="120" spans="1:6" x14ac:dyDescent="0.25">
      <c r="A120" s="106"/>
      <c r="B120" s="107"/>
      <c r="C120" s="176"/>
      <c r="D120" s="176"/>
      <c r="E120" s="108"/>
      <c r="F120" s="108"/>
    </row>
    <row r="121" spans="1:6" x14ac:dyDescent="0.25">
      <c r="A121" s="106"/>
      <c r="B121" s="107"/>
      <c r="C121" s="176"/>
      <c r="D121" s="176"/>
      <c r="E121" s="108"/>
      <c r="F121" s="108"/>
    </row>
    <row r="122" spans="1:6" x14ac:dyDescent="0.25">
      <c r="A122" s="106"/>
      <c r="B122" s="107"/>
      <c r="C122" s="176"/>
      <c r="D122" s="176"/>
      <c r="E122" s="108"/>
      <c r="F122" s="108"/>
    </row>
    <row r="123" spans="1:6" x14ac:dyDescent="0.25">
      <c r="A123" s="106"/>
      <c r="B123" s="107"/>
      <c r="C123" s="176"/>
      <c r="D123" s="176"/>
      <c r="E123" s="108"/>
      <c r="F123" s="108"/>
    </row>
    <row r="124" spans="1:6" x14ac:dyDescent="0.25">
      <c r="A124" s="106"/>
      <c r="B124" s="107"/>
      <c r="C124" s="176"/>
      <c r="D124" s="176"/>
      <c r="E124" s="108"/>
      <c r="F124" s="108"/>
    </row>
    <row r="125" spans="1:6" x14ac:dyDescent="0.25">
      <c r="A125" s="106"/>
      <c r="B125" s="107"/>
      <c r="C125" s="176"/>
      <c r="D125" s="176"/>
      <c r="E125" s="108"/>
      <c r="F125" s="108"/>
    </row>
    <row r="126" spans="1:6" x14ac:dyDescent="0.25">
      <c r="A126" s="106"/>
      <c r="B126" s="107"/>
      <c r="C126" s="176"/>
      <c r="D126" s="176"/>
      <c r="E126" s="108"/>
      <c r="F126" s="108"/>
    </row>
    <row r="127" spans="1:6" x14ac:dyDescent="0.25">
      <c r="A127" s="106"/>
      <c r="B127" s="107"/>
      <c r="C127" s="176"/>
      <c r="D127" s="176"/>
      <c r="E127" s="108"/>
      <c r="F127" s="108"/>
    </row>
    <row r="128" spans="1:6" x14ac:dyDescent="0.25">
      <c r="A128" s="106"/>
      <c r="B128" s="107"/>
      <c r="C128" s="176"/>
      <c r="D128" s="176"/>
      <c r="E128" s="108"/>
      <c r="F128" s="108"/>
    </row>
    <row r="129" spans="1:6" x14ac:dyDescent="0.25">
      <c r="A129" s="106"/>
      <c r="B129" s="107"/>
      <c r="C129" s="176"/>
      <c r="D129" s="176"/>
      <c r="E129" s="108"/>
      <c r="F129" s="108"/>
    </row>
    <row r="130" spans="1:6" x14ac:dyDescent="0.25">
      <c r="A130" s="106"/>
      <c r="B130" s="107"/>
      <c r="C130" s="176"/>
      <c r="D130" s="176"/>
      <c r="E130" s="108"/>
      <c r="F130" s="108"/>
    </row>
    <row r="131" spans="1:6" x14ac:dyDescent="0.25">
      <c r="A131" s="106"/>
      <c r="B131" s="107"/>
      <c r="C131" s="176"/>
      <c r="D131" s="176"/>
      <c r="E131" s="108"/>
      <c r="F131" s="108"/>
    </row>
    <row r="132" spans="1:6" x14ac:dyDescent="0.25">
      <c r="A132" s="106"/>
      <c r="B132" s="107"/>
      <c r="C132" s="176"/>
      <c r="D132" s="176"/>
      <c r="E132" s="108"/>
      <c r="F132" s="108"/>
    </row>
    <row r="133" spans="1:6" x14ac:dyDescent="0.25">
      <c r="A133" s="106"/>
      <c r="B133" s="107"/>
      <c r="C133" s="176"/>
      <c r="D133" s="176"/>
      <c r="E133" s="108"/>
      <c r="F133" s="108"/>
    </row>
    <row r="134" spans="1:6" x14ac:dyDescent="0.25">
      <c r="A134" s="106"/>
      <c r="B134" s="107"/>
      <c r="C134" s="176"/>
      <c r="D134" s="176"/>
      <c r="E134" s="108"/>
      <c r="F134" s="108"/>
    </row>
    <row r="135" spans="1:6" x14ac:dyDescent="0.25">
      <c r="A135" s="106"/>
      <c r="B135" s="107"/>
      <c r="C135" s="176"/>
      <c r="D135" s="176"/>
      <c r="E135" s="108"/>
      <c r="F135" s="108"/>
    </row>
    <row r="136" spans="1:6" x14ac:dyDescent="0.25">
      <c r="A136" s="106"/>
      <c r="B136" s="107"/>
      <c r="C136" s="176"/>
      <c r="D136" s="176"/>
      <c r="E136" s="108"/>
      <c r="F136" s="108"/>
    </row>
    <row r="137" spans="1:6" x14ac:dyDescent="0.25">
      <c r="A137" s="106"/>
      <c r="B137" s="107"/>
      <c r="C137" s="176"/>
      <c r="D137" s="176"/>
      <c r="E137" s="108"/>
      <c r="F137" s="108"/>
    </row>
    <row r="138" spans="1:6" x14ac:dyDescent="0.25">
      <c r="A138" s="106"/>
      <c r="B138" s="107"/>
      <c r="C138" s="176"/>
      <c r="D138" s="176"/>
      <c r="E138" s="108"/>
      <c r="F138" s="108"/>
    </row>
    <row r="139" spans="1:6" x14ac:dyDescent="0.25">
      <c r="A139" s="106"/>
      <c r="B139" s="107"/>
      <c r="C139" s="176"/>
      <c r="D139" s="176"/>
      <c r="E139" s="108"/>
      <c r="F139" s="108"/>
    </row>
    <row r="140" spans="1:6" x14ac:dyDescent="0.25">
      <c r="A140" s="106"/>
      <c r="B140" s="107"/>
      <c r="C140" s="176"/>
      <c r="D140" s="176"/>
      <c r="E140" s="108"/>
      <c r="F140" s="108"/>
    </row>
    <row r="141" spans="1:6" x14ac:dyDescent="0.25">
      <c r="A141" s="106"/>
      <c r="B141" s="107"/>
      <c r="C141" s="176"/>
      <c r="D141" s="176"/>
      <c r="E141" s="108"/>
      <c r="F141" s="108"/>
    </row>
    <row r="142" spans="1:6" x14ac:dyDescent="0.25">
      <c r="A142" s="106"/>
      <c r="B142" s="107"/>
      <c r="C142" s="176"/>
      <c r="D142" s="176"/>
      <c r="E142" s="108"/>
      <c r="F142" s="108"/>
    </row>
    <row r="143" spans="1:6" x14ac:dyDescent="0.25">
      <c r="A143" s="106"/>
      <c r="B143" s="107"/>
      <c r="C143" s="176"/>
      <c r="D143" s="176"/>
      <c r="E143" s="108"/>
      <c r="F143" s="108"/>
    </row>
    <row r="144" spans="1:6" x14ac:dyDescent="0.25">
      <c r="A144" s="106"/>
      <c r="B144" s="107"/>
      <c r="C144" s="176"/>
      <c r="D144" s="176"/>
      <c r="E144" s="108"/>
      <c r="F144" s="108"/>
    </row>
    <row r="145" spans="1:6" x14ac:dyDescent="0.25">
      <c r="A145" s="106"/>
      <c r="B145" s="107"/>
      <c r="C145" s="176"/>
      <c r="D145" s="176"/>
      <c r="E145" s="108"/>
      <c r="F145" s="108"/>
    </row>
    <row r="146" spans="1:6" x14ac:dyDescent="0.25">
      <c r="A146" s="106"/>
      <c r="B146" s="107"/>
      <c r="C146" s="176"/>
      <c r="D146" s="176"/>
      <c r="E146" s="108"/>
      <c r="F146" s="108"/>
    </row>
    <row r="147" spans="1:6" x14ac:dyDescent="0.25">
      <c r="A147" s="106"/>
      <c r="B147" s="107"/>
      <c r="C147" s="176"/>
      <c r="D147" s="176"/>
      <c r="E147" s="108"/>
      <c r="F147" s="108"/>
    </row>
    <row r="148" spans="1:6" x14ac:dyDescent="0.25">
      <c r="A148" s="106"/>
      <c r="B148" s="107"/>
      <c r="C148" s="176"/>
      <c r="D148" s="176"/>
      <c r="E148" s="108"/>
      <c r="F148" s="108"/>
    </row>
    <row r="149" spans="1:6" x14ac:dyDescent="0.25">
      <c r="A149" s="106"/>
      <c r="B149" s="107"/>
      <c r="C149" s="176"/>
      <c r="D149" s="176"/>
      <c r="E149" s="108"/>
      <c r="F149" s="108"/>
    </row>
    <row r="150" spans="1:6" x14ac:dyDescent="0.25">
      <c r="A150" s="106"/>
      <c r="B150" s="107"/>
      <c r="C150" s="176"/>
      <c r="D150" s="176"/>
      <c r="E150" s="108"/>
      <c r="F150" s="108"/>
    </row>
    <row r="151" spans="1:6" x14ac:dyDescent="0.25">
      <c r="A151" s="106"/>
      <c r="B151" s="107"/>
      <c r="C151" s="176"/>
      <c r="D151" s="176"/>
      <c r="E151" s="108"/>
      <c r="F151" s="108"/>
    </row>
    <row r="152" spans="1:6" x14ac:dyDescent="0.25">
      <c r="A152" s="106"/>
      <c r="B152" s="107"/>
      <c r="C152" s="176"/>
      <c r="D152" s="176"/>
      <c r="E152" s="108"/>
      <c r="F152" s="108"/>
    </row>
    <row r="153" spans="1:6" x14ac:dyDescent="0.25">
      <c r="A153" s="106"/>
      <c r="B153" s="107"/>
      <c r="C153" s="176"/>
      <c r="D153" s="176"/>
      <c r="E153" s="108"/>
      <c r="F153" s="108"/>
    </row>
    <row r="154" spans="1:6" x14ac:dyDescent="0.25">
      <c r="A154" s="106"/>
      <c r="B154" s="107"/>
      <c r="C154" s="176"/>
      <c r="D154" s="176"/>
      <c r="E154" s="108"/>
      <c r="F154" s="108"/>
    </row>
    <row r="155" spans="1:6" x14ac:dyDescent="0.25">
      <c r="A155" s="106"/>
      <c r="B155" s="107"/>
      <c r="C155" s="176"/>
      <c r="D155" s="176"/>
      <c r="E155" s="108"/>
      <c r="F155" s="108"/>
    </row>
    <row r="156" spans="1:6" x14ac:dyDescent="0.25">
      <c r="A156" s="106"/>
      <c r="B156" s="107"/>
      <c r="C156" s="176"/>
      <c r="D156" s="176"/>
      <c r="E156" s="108"/>
      <c r="F156" s="108"/>
    </row>
    <row r="157" spans="1:6" x14ac:dyDescent="0.25">
      <c r="A157" s="106"/>
      <c r="B157" s="107"/>
      <c r="C157" s="176"/>
      <c r="D157" s="176"/>
      <c r="E157" s="108"/>
      <c r="F157" s="108"/>
    </row>
    <row r="158" spans="1:6" x14ac:dyDescent="0.25">
      <c r="A158" s="106"/>
      <c r="B158" s="107"/>
      <c r="C158" s="176"/>
      <c r="D158" s="176"/>
      <c r="E158" s="108"/>
      <c r="F158" s="108"/>
    </row>
    <row r="159" spans="1:6" x14ac:dyDescent="0.25">
      <c r="A159" s="106"/>
      <c r="B159" s="107"/>
      <c r="C159" s="176"/>
      <c r="D159" s="176"/>
      <c r="E159" s="108"/>
      <c r="F159" s="108"/>
    </row>
    <row r="160" spans="1:6" x14ac:dyDescent="0.25">
      <c r="A160" s="106"/>
      <c r="B160" s="107"/>
      <c r="C160" s="176"/>
      <c r="D160" s="176"/>
      <c r="E160" s="108"/>
      <c r="F160" s="108"/>
    </row>
    <row r="161" spans="1:6" x14ac:dyDescent="0.25">
      <c r="A161" s="106"/>
      <c r="B161" s="107"/>
      <c r="C161" s="176"/>
      <c r="D161" s="176"/>
      <c r="E161" s="108"/>
      <c r="F161" s="108"/>
    </row>
    <row r="162" spans="1:6" x14ac:dyDescent="0.25">
      <c r="A162" s="106"/>
      <c r="B162" s="107"/>
      <c r="C162" s="176"/>
      <c r="D162" s="176"/>
      <c r="E162" s="108"/>
      <c r="F162" s="108"/>
    </row>
    <row r="163" spans="1:6" x14ac:dyDescent="0.25">
      <c r="A163" s="106"/>
      <c r="B163" s="107"/>
      <c r="C163" s="176"/>
      <c r="D163" s="176"/>
      <c r="E163" s="108"/>
      <c r="F163" s="108"/>
    </row>
    <row r="164" spans="1:6" x14ac:dyDescent="0.25">
      <c r="A164" s="106"/>
      <c r="B164" s="107"/>
      <c r="C164" s="176"/>
      <c r="D164" s="176"/>
      <c r="E164" s="108"/>
      <c r="F164" s="108"/>
    </row>
    <row r="165" spans="1:6" x14ac:dyDescent="0.25">
      <c r="A165" s="106"/>
      <c r="B165" s="107"/>
      <c r="C165" s="176"/>
      <c r="D165" s="176"/>
      <c r="E165" s="108"/>
      <c r="F165" s="108"/>
    </row>
    <row r="166" spans="1:6" x14ac:dyDescent="0.25">
      <c r="A166" s="106"/>
      <c r="B166" s="107"/>
      <c r="C166" s="176"/>
      <c r="D166" s="176"/>
      <c r="E166" s="108"/>
      <c r="F166" s="108"/>
    </row>
    <row r="167" spans="1:6" x14ac:dyDescent="0.25">
      <c r="A167" s="106"/>
      <c r="B167" s="107"/>
      <c r="C167" s="176"/>
      <c r="D167" s="176"/>
      <c r="E167" s="108"/>
      <c r="F167" s="108"/>
    </row>
    <row r="168" spans="1:6" x14ac:dyDescent="0.25">
      <c r="A168" s="106"/>
      <c r="B168" s="107"/>
      <c r="C168" s="176"/>
      <c r="D168" s="176"/>
      <c r="E168" s="108"/>
      <c r="F168" s="108"/>
    </row>
    <row r="169" spans="1:6" x14ac:dyDescent="0.25">
      <c r="A169" s="106"/>
      <c r="B169" s="107"/>
      <c r="C169" s="176"/>
      <c r="D169" s="176"/>
      <c r="E169" s="108"/>
      <c r="F169" s="108"/>
    </row>
    <row r="170" spans="1:6" x14ac:dyDescent="0.25">
      <c r="A170" s="106"/>
      <c r="B170" s="107"/>
      <c r="C170" s="176"/>
      <c r="D170" s="176"/>
      <c r="E170" s="108"/>
      <c r="F170" s="108"/>
    </row>
    <row r="171" spans="1:6" x14ac:dyDescent="0.25">
      <c r="A171" s="106"/>
      <c r="B171" s="107"/>
      <c r="C171" s="176"/>
      <c r="D171" s="176"/>
      <c r="E171" s="108"/>
      <c r="F171" s="108"/>
    </row>
    <row r="172" spans="1:6" x14ac:dyDescent="0.25">
      <c r="A172" s="106"/>
      <c r="B172" s="107"/>
      <c r="C172" s="176"/>
      <c r="D172" s="176"/>
      <c r="E172" s="108"/>
      <c r="F172" s="108"/>
    </row>
    <row r="173" spans="1:6" x14ac:dyDescent="0.25">
      <c r="A173" s="106"/>
      <c r="B173" s="107"/>
      <c r="C173" s="176"/>
      <c r="D173" s="176"/>
      <c r="E173" s="108"/>
      <c r="F173" s="108"/>
    </row>
    <row r="174" spans="1:6" x14ac:dyDescent="0.25">
      <c r="A174" s="106"/>
      <c r="B174" s="107"/>
      <c r="C174" s="176"/>
      <c r="D174" s="176"/>
      <c r="E174" s="108"/>
      <c r="F174" s="108"/>
    </row>
    <row r="175" spans="1:6" x14ac:dyDescent="0.25">
      <c r="A175" s="106"/>
      <c r="B175" s="107"/>
      <c r="C175" s="176"/>
      <c r="D175" s="176"/>
      <c r="E175" s="108"/>
      <c r="F175" s="108"/>
    </row>
    <row r="176" spans="1:6" x14ac:dyDescent="0.25">
      <c r="A176" s="106"/>
      <c r="B176" s="107"/>
      <c r="C176" s="176"/>
      <c r="D176" s="176"/>
      <c r="E176" s="108"/>
      <c r="F176" s="108"/>
    </row>
    <row r="177" spans="1:6" x14ac:dyDescent="0.25">
      <c r="A177" s="106"/>
      <c r="B177" s="107"/>
      <c r="C177" s="176"/>
      <c r="D177" s="176"/>
      <c r="E177" s="108"/>
      <c r="F177" s="108"/>
    </row>
    <row r="178" spans="1:6" x14ac:dyDescent="0.25">
      <c r="A178" s="106"/>
      <c r="B178" s="107"/>
      <c r="C178" s="176"/>
      <c r="D178" s="176"/>
      <c r="E178" s="108"/>
      <c r="F178" s="108"/>
    </row>
    <row r="179" spans="1:6" x14ac:dyDescent="0.25">
      <c r="A179" s="106"/>
      <c r="B179" s="107"/>
      <c r="C179" s="176"/>
      <c r="D179" s="176"/>
      <c r="E179" s="108"/>
      <c r="F179" s="108"/>
    </row>
    <row r="180" spans="1:6" x14ac:dyDescent="0.25">
      <c r="A180" s="106"/>
      <c r="B180" s="107"/>
      <c r="C180" s="176"/>
      <c r="D180" s="176"/>
      <c r="E180" s="108"/>
      <c r="F180" s="108"/>
    </row>
    <row r="181" spans="1:6" x14ac:dyDescent="0.25">
      <c r="A181" s="106"/>
      <c r="B181" s="107"/>
      <c r="C181" s="176"/>
      <c r="D181" s="176"/>
      <c r="E181" s="108"/>
      <c r="F181" s="108"/>
    </row>
    <row r="182" spans="1:6" x14ac:dyDescent="0.25">
      <c r="A182" s="106"/>
      <c r="B182" s="107"/>
      <c r="C182" s="176"/>
      <c r="D182" s="176"/>
      <c r="E182" s="108"/>
      <c r="F182" s="108"/>
    </row>
    <row r="183" spans="1:6" x14ac:dyDescent="0.25">
      <c r="A183" s="106"/>
      <c r="B183" s="107"/>
      <c r="C183" s="176"/>
      <c r="D183" s="176"/>
      <c r="E183" s="108"/>
      <c r="F183" s="108"/>
    </row>
    <row r="184" spans="1:6" x14ac:dyDescent="0.25">
      <c r="A184" s="106"/>
      <c r="B184" s="107"/>
      <c r="C184" s="176"/>
      <c r="D184" s="176"/>
      <c r="E184" s="108"/>
      <c r="F184" s="108"/>
    </row>
    <row r="185" spans="1:6" x14ac:dyDescent="0.25">
      <c r="A185" s="106"/>
      <c r="B185" s="107"/>
      <c r="C185" s="176"/>
      <c r="D185" s="176"/>
      <c r="E185" s="108"/>
      <c r="F185" s="108"/>
    </row>
    <row r="186" spans="1:6" x14ac:dyDescent="0.25">
      <c r="A186" s="106"/>
      <c r="B186" s="107"/>
      <c r="C186" s="176"/>
      <c r="D186" s="176"/>
      <c r="E186" s="108"/>
      <c r="F186" s="108"/>
    </row>
    <row r="187" spans="1:6" x14ac:dyDescent="0.25">
      <c r="A187" s="106"/>
      <c r="B187" s="107"/>
      <c r="C187" s="176"/>
      <c r="D187" s="176"/>
      <c r="E187" s="108"/>
      <c r="F187" s="108"/>
    </row>
    <row r="188" spans="1:6" x14ac:dyDescent="0.25">
      <c r="A188" s="106"/>
      <c r="B188" s="107"/>
      <c r="C188" s="176"/>
      <c r="D188" s="176"/>
      <c r="E188" s="108"/>
      <c r="F188" s="108"/>
    </row>
    <row r="189" spans="1:6" x14ac:dyDescent="0.25">
      <c r="A189" s="106"/>
      <c r="B189" s="107"/>
      <c r="C189" s="176"/>
      <c r="D189" s="176"/>
      <c r="E189" s="108"/>
      <c r="F189" s="108"/>
    </row>
    <row r="190" spans="1:6" x14ac:dyDescent="0.25">
      <c r="A190" s="106"/>
      <c r="B190" s="107"/>
      <c r="C190" s="176"/>
      <c r="D190" s="176"/>
      <c r="E190" s="108"/>
      <c r="F190" s="108"/>
    </row>
    <row r="191" spans="1:6" x14ac:dyDescent="0.25">
      <c r="A191" s="106"/>
      <c r="B191" s="107"/>
      <c r="C191" s="176"/>
      <c r="D191" s="176"/>
      <c r="E191" s="108"/>
      <c r="F191" s="108"/>
    </row>
    <row r="192" spans="1:6" x14ac:dyDescent="0.25">
      <c r="A192" s="106"/>
      <c r="B192" s="107"/>
      <c r="C192" s="176"/>
      <c r="D192" s="176"/>
      <c r="E192" s="108"/>
      <c r="F192" s="108"/>
    </row>
    <row r="193" spans="1:6" x14ac:dyDescent="0.25">
      <c r="A193" s="106"/>
      <c r="B193" s="107"/>
      <c r="C193" s="176"/>
      <c r="D193" s="176"/>
      <c r="E193" s="108"/>
      <c r="F193" s="108"/>
    </row>
    <row r="194" spans="1:6" x14ac:dyDescent="0.25">
      <c r="A194" s="106"/>
      <c r="B194" s="107"/>
      <c r="C194" s="176"/>
      <c r="D194" s="176"/>
      <c r="E194" s="108"/>
      <c r="F194" s="108"/>
    </row>
    <row r="195" spans="1:6" x14ac:dyDescent="0.25">
      <c r="A195" s="106"/>
      <c r="B195" s="107"/>
      <c r="C195" s="176"/>
      <c r="D195" s="176"/>
      <c r="E195" s="108"/>
      <c r="F195" s="108"/>
    </row>
    <row r="196" spans="1:6" x14ac:dyDescent="0.25">
      <c r="A196" s="106"/>
      <c r="B196" s="107"/>
      <c r="C196" s="176"/>
      <c r="D196" s="176"/>
      <c r="E196" s="108"/>
      <c r="F196" s="108"/>
    </row>
    <row r="197" spans="1:6" x14ac:dyDescent="0.25">
      <c r="A197" s="106"/>
      <c r="B197" s="107"/>
      <c r="C197" s="176"/>
      <c r="D197" s="176"/>
      <c r="E197" s="108"/>
      <c r="F197" s="108"/>
    </row>
    <row r="198" spans="1:6" x14ac:dyDescent="0.25">
      <c r="A198" s="106"/>
      <c r="B198" s="107"/>
      <c r="C198" s="176"/>
      <c r="D198" s="176"/>
      <c r="E198" s="108"/>
      <c r="F198" s="108"/>
    </row>
    <row r="199" spans="1:6" x14ac:dyDescent="0.25">
      <c r="A199" s="106"/>
      <c r="B199" s="107"/>
      <c r="C199" s="176"/>
      <c r="D199" s="176"/>
      <c r="E199" s="108"/>
      <c r="F199" s="108"/>
    </row>
    <row r="200" spans="1:6" x14ac:dyDescent="0.25">
      <c r="A200" s="106"/>
      <c r="B200" s="107"/>
      <c r="C200" s="176"/>
      <c r="D200" s="176"/>
      <c r="E200" s="108"/>
      <c r="F200" s="108"/>
    </row>
    <row r="201" spans="1:6" x14ac:dyDescent="0.25">
      <c r="A201" s="109"/>
      <c r="B201" s="110"/>
      <c r="C201" s="177"/>
      <c r="D201" s="177"/>
      <c r="E201" s="108"/>
      <c r="F201" s="108"/>
    </row>
    <row r="202" spans="1:6" x14ac:dyDescent="0.25">
      <c r="A202" s="109"/>
      <c r="B202" s="110"/>
      <c r="C202" s="177"/>
      <c r="D202" s="177"/>
      <c r="E202" s="108"/>
      <c r="F202" s="108"/>
    </row>
    <row r="203" spans="1:6" x14ac:dyDescent="0.25">
      <c r="A203" s="109"/>
      <c r="B203" s="110"/>
      <c r="C203" s="177"/>
      <c r="D203" s="177"/>
      <c r="E203" s="108"/>
      <c r="F203" s="108"/>
    </row>
    <row r="204" spans="1:6" x14ac:dyDescent="0.25">
      <c r="A204" s="109"/>
      <c r="B204" s="110"/>
      <c r="C204" s="177"/>
      <c r="D204" s="177"/>
      <c r="E204" s="108"/>
      <c r="F204" s="108"/>
    </row>
    <row r="205" spans="1:6" x14ac:dyDescent="0.25">
      <c r="A205" s="109"/>
      <c r="B205" s="110"/>
      <c r="C205" s="177"/>
      <c r="D205" s="177"/>
      <c r="E205" s="108"/>
      <c r="F205" s="108"/>
    </row>
    <row r="206" spans="1:6" x14ac:dyDescent="0.25">
      <c r="B206" s="34"/>
      <c r="C206" s="178"/>
      <c r="D206" s="178"/>
    </row>
    <row r="207" spans="1:6" x14ac:dyDescent="0.25">
      <c r="B207" s="34"/>
      <c r="C207" s="178"/>
      <c r="D207" s="178"/>
    </row>
    <row r="208" spans="1:6" x14ac:dyDescent="0.25">
      <c r="B208" s="34"/>
      <c r="C208" s="178"/>
      <c r="D208" s="178"/>
    </row>
    <row r="209" spans="2:4" x14ac:dyDescent="0.25">
      <c r="B209" s="34"/>
      <c r="C209" s="178"/>
      <c r="D209" s="178"/>
    </row>
    <row r="210" spans="2:4" x14ac:dyDescent="0.25">
      <c r="B210" s="34"/>
      <c r="C210" s="178"/>
      <c r="D210" s="178"/>
    </row>
    <row r="211" spans="2:4" x14ac:dyDescent="0.25">
      <c r="B211" s="34"/>
      <c r="C211" s="178"/>
      <c r="D211" s="178"/>
    </row>
    <row r="212" spans="2:4" x14ac:dyDescent="0.25">
      <c r="B212" s="34"/>
      <c r="C212" s="178"/>
      <c r="D212" s="178"/>
    </row>
    <row r="213" spans="2:4" x14ac:dyDescent="0.25">
      <c r="B213" s="34"/>
      <c r="C213" s="178"/>
      <c r="D213" s="178"/>
    </row>
    <row r="214" spans="2:4" x14ac:dyDescent="0.25">
      <c r="B214" s="34"/>
      <c r="C214" s="178"/>
      <c r="D214" s="178"/>
    </row>
    <row r="215" spans="2:4" x14ac:dyDescent="0.25">
      <c r="B215" s="34"/>
      <c r="C215" s="178"/>
      <c r="D215" s="178"/>
    </row>
    <row r="216" spans="2:4" x14ac:dyDescent="0.25">
      <c r="B216" s="34"/>
      <c r="C216" s="178"/>
      <c r="D216" s="178"/>
    </row>
    <row r="217" spans="2:4" x14ac:dyDescent="0.25">
      <c r="B217" s="34"/>
      <c r="C217" s="178"/>
      <c r="D217" s="178"/>
    </row>
    <row r="218" spans="2:4" x14ac:dyDescent="0.25">
      <c r="B218" s="34"/>
      <c r="C218" s="178"/>
      <c r="D218" s="178"/>
    </row>
    <row r="219" spans="2:4" x14ac:dyDescent="0.25">
      <c r="B219" s="34"/>
      <c r="C219" s="178"/>
      <c r="D219" s="178"/>
    </row>
    <row r="220" spans="2:4" x14ac:dyDescent="0.25">
      <c r="B220" s="34"/>
      <c r="C220" s="178"/>
      <c r="D220" s="178"/>
    </row>
    <row r="221" spans="2:4" x14ac:dyDescent="0.25">
      <c r="B221" s="34"/>
      <c r="C221" s="178"/>
      <c r="D221" s="178"/>
    </row>
    <row r="222" spans="2:4" x14ac:dyDescent="0.25">
      <c r="B222" s="34"/>
      <c r="C222" s="178"/>
      <c r="D222" s="178"/>
    </row>
    <row r="223" spans="2:4" x14ac:dyDescent="0.25">
      <c r="B223" s="34"/>
      <c r="C223" s="178"/>
      <c r="D223" s="178"/>
    </row>
    <row r="224" spans="2:4" x14ac:dyDescent="0.25">
      <c r="B224" s="34"/>
      <c r="C224" s="178"/>
      <c r="D224" s="178"/>
    </row>
    <row r="225" spans="2:4" x14ac:dyDescent="0.25">
      <c r="B225" s="34"/>
      <c r="C225" s="178"/>
      <c r="D225" s="178"/>
    </row>
    <row r="226" spans="2:4" x14ac:dyDescent="0.25">
      <c r="B226" s="34"/>
      <c r="C226" s="178"/>
      <c r="D226" s="178"/>
    </row>
    <row r="227" spans="2:4" x14ac:dyDescent="0.25">
      <c r="B227" s="34"/>
      <c r="C227" s="178"/>
      <c r="D227" s="178"/>
    </row>
    <row r="228" spans="2:4" x14ac:dyDescent="0.25">
      <c r="B228" s="34"/>
      <c r="C228" s="178"/>
      <c r="D228" s="178"/>
    </row>
    <row r="229" spans="2:4" x14ac:dyDescent="0.25">
      <c r="B229" s="34"/>
      <c r="C229" s="178"/>
      <c r="D229" s="178"/>
    </row>
    <row r="230" spans="2:4" x14ac:dyDescent="0.25">
      <c r="B230" s="34"/>
      <c r="C230" s="178"/>
      <c r="D230" s="178"/>
    </row>
    <row r="231" spans="2:4" x14ac:dyDescent="0.25">
      <c r="B231" s="34"/>
      <c r="C231" s="178"/>
      <c r="D231" s="178"/>
    </row>
    <row r="232" spans="2:4" x14ac:dyDescent="0.25">
      <c r="B232" s="34"/>
      <c r="C232" s="178"/>
      <c r="D232" s="178"/>
    </row>
    <row r="233" spans="2:4" x14ac:dyDescent="0.25">
      <c r="B233" s="34"/>
      <c r="C233" s="178"/>
      <c r="D233" s="178"/>
    </row>
    <row r="234" spans="2:4" x14ac:dyDescent="0.25">
      <c r="B234" s="34"/>
      <c r="C234" s="178"/>
      <c r="D234" s="178"/>
    </row>
    <row r="235" spans="2:4" x14ac:dyDescent="0.25">
      <c r="B235" s="34"/>
      <c r="C235" s="178"/>
      <c r="D235" s="178"/>
    </row>
    <row r="236" spans="2:4" x14ac:dyDescent="0.25">
      <c r="B236" s="34"/>
      <c r="C236" s="178"/>
      <c r="D236" s="178"/>
    </row>
    <row r="237" spans="2:4" x14ac:dyDescent="0.25">
      <c r="B237" s="34"/>
      <c r="C237" s="178"/>
      <c r="D237" s="178"/>
    </row>
    <row r="238" spans="2:4" x14ac:dyDescent="0.25">
      <c r="B238" s="34"/>
      <c r="C238" s="178"/>
      <c r="D238" s="178"/>
    </row>
    <row r="239" spans="2:4" x14ac:dyDescent="0.25">
      <c r="B239" s="34"/>
      <c r="C239" s="178"/>
      <c r="D239" s="178"/>
    </row>
    <row r="240" spans="2:4" x14ac:dyDescent="0.25">
      <c r="B240" s="34"/>
      <c r="C240" s="178"/>
      <c r="D240" s="178"/>
    </row>
    <row r="241" spans="2:4" x14ac:dyDescent="0.25">
      <c r="B241" s="34"/>
      <c r="C241" s="178"/>
      <c r="D241" s="178"/>
    </row>
    <row r="242" spans="2:4" x14ac:dyDescent="0.25">
      <c r="B242" s="34"/>
      <c r="C242" s="178"/>
      <c r="D242" s="178"/>
    </row>
    <row r="243" spans="2:4" x14ac:dyDescent="0.25">
      <c r="B243" s="34"/>
      <c r="C243" s="178"/>
      <c r="D243" s="178"/>
    </row>
    <row r="244" spans="2:4" x14ac:dyDescent="0.25">
      <c r="B244" s="34"/>
      <c r="C244" s="178"/>
      <c r="D244" s="178"/>
    </row>
    <row r="245" spans="2:4" x14ac:dyDescent="0.25">
      <c r="B245" s="34"/>
      <c r="C245" s="178"/>
      <c r="D245" s="178"/>
    </row>
    <row r="246" spans="2:4" x14ac:dyDescent="0.25">
      <c r="B246" s="34"/>
      <c r="C246" s="178"/>
      <c r="D246" s="178"/>
    </row>
    <row r="247" spans="2:4" x14ac:dyDescent="0.25">
      <c r="B247" s="34"/>
      <c r="C247" s="178"/>
      <c r="D247" s="178"/>
    </row>
    <row r="248" spans="2:4" x14ac:dyDescent="0.25">
      <c r="B248" s="34"/>
      <c r="C248" s="178"/>
      <c r="D248" s="178"/>
    </row>
    <row r="249" spans="2:4" x14ac:dyDescent="0.25">
      <c r="B249" s="34"/>
      <c r="C249" s="178"/>
      <c r="D249" s="178"/>
    </row>
    <row r="250" spans="2:4" x14ac:dyDescent="0.25">
      <c r="B250" s="34"/>
      <c r="C250" s="178"/>
      <c r="D250" s="178"/>
    </row>
    <row r="251" spans="2:4" x14ac:dyDescent="0.25">
      <c r="B251" s="34"/>
      <c r="C251" s="178"/>
      <c r="D251" s="178"/>
    </row>
    <row r="252" spans="2:4" x14ac:dyDescent="0.25">
      <c r="B252" s="34"/>
      <c r="C252" s="178"/>
      <c r="D252" s="178"/>
    </row>
    <row r="253" spans="2:4" x14ac:dyDescent="0.25">
      <c r="B253" s="34"/>
      <c r="C253" s="178"/>
      <c r="D253" s="178"/>
    </row>
    <row r="254" spans="2:4" x14ac:dyDescent="0.25">
      <c r="B254" s="34"/>
      <c r="C254" s="178"/>
      <c r="D254" s="178"/>
    </row>
    <row r="255" spans="2:4" x14ac:dyDescent="0.25">
      <c r="B255" s="34"/>
      <c r="C255" s="178"/>
      <c r="D255" s="178"/>
    </row>
    <row r="256" spans="2:4" x14ac:dyDescent="0.25">
      <c r="B256" s="34"/>
      <c r="C256" s="178"/>
      <c r="D256" s="178"/>
    </row>
    <row r="257" spans="2:4" x14ac:dyDescent="0.25">
      <c r="B257" s="34"/>
      <c r="C257" s="178"/>
      <c r="D257" s="178"/>
    </row>
    <row r="258" spans="2:4" x14ac:dyDescent="0.25">
      <c r="B258" s="34"/>
      <c r="C258" s="178"/>
      <c r="D258" s="178"/>
    </row>
    <row r="259" spans="2:4" x14ac:dyDescent="0.25">
      <c r="B259" s="34"/>
      <c r="C259" s="178"/>
      <c r="D259" s="178"/>
    </row>
    <row r="260" spans="2:4" x14ac:dyDescent="0.25">
      <c r="B260" s="34"/>
      <c r="C260" s="178"/>
      <c r="D260" s="178"/>
    </row>
    <row r="261" spans="2:4" x14ac:dyDescent="0.25">
      <c r="B261" s="34"/>
      <c r="C261" s="178"/>
      <c r="D261" s="178"/>
    </row>
    <row r="262" spans="2:4" x14ac:dyDescent="0.25">
      <c r="B262" s="34"/>
      <c r="C262" s="178"/>
      <c r="D262" s="178"/>
    </row>
    <row r="263" spans="2:4" x14ac:dyDescent="0.25">
      <c r="B263" s="34"/>
      <c r="C263" s="178"/>
      <c r="D263" s="178"/>
    </row>
    <row r="264" spans="2:4" x14ac:dyDescent="0.25">
      <c r="B264" s="34"/>
      <c r="C264" s="178"/>
      <c r="D264" s="178"/>
    </row>
    <row r="265" spans="2:4" x14ac:dyDescent="0.25">
      <c r="B265" s="34"/>
      <c r="C265" s="178"/>
      <c r="D265" s="178"/>
    </row>
    <row r="266" spans="2:4" x14ac:dyDescent="0.25">
      <c r="B266" s="34"/>
      <c r="C266" s="178"/>
      <c r="D266" s="178"/>
    </row>
    <row r="267" spans="2:4" x14ac:dyDescent="0.25">
      <c r="B267" s="34"/>
      <c r="C267" s="178"/>
      <c r="D267" s="178"/>
    </row>
    <row r="268" spans="2:4" x14ac:dyDescent="0.25">
      <c r="B268" s="34"/>
      <c r="C268" s="178"/>
      <c r="D268" s="178"/>
    </row>
    <row r="269" spans="2:4" x14ac:dyDescent="0.25">
      <c r="B269" s="34"/>
      <c r="C269" s="178"/>
      <c r="D269" s="178"/>
    </row>
    <row r="270" spans="2:4" x14ac:dyDescent="0.25">
      <c r="B270" s="34"/>
      <c r="C270" s="178"/>
      <c r="D270" s="178"/>
    </row>
    <row r="271" spans="2:4" x14ac:dyDescent="0.25">
      <c r="B271" s="34"/>
      <c r="C271" s="178"/>
      <c r="D271" s="178"/>
    </row>
    <row r="272" spans="2:4" x14ac:dyDescent="0.25">
      <c r="B272" s="34"/>
      <c r="C272" s="178"/>
      <c r="D272" s="178"/>
    </row>
    <row r="273" spans="2:4" x14ac:dyDescent="0.25">
      <c r="B273" s="34"/>
      <c r="C273" s="178"/>
      <c r="D273" s="178"/>
    </row>
    <row r="274" spans="2:4" x14ac:dyDescent="0.25">
      <c r="B274" s="34"/>
      <c r="C274" s="178"/>
      <c r="D274" s="178"/>
    </row>
    <row r="275" spans="2:4" x14ac:dyDescent="0.25">
      <c r="B275" s="34"/>
      <c r="C275" s="178"/>
      <c r="D275" s="178"/>
    </row>
    <row r="276" spans="2:4" x14ac:dyDescent="0.25">
      <c r="B276" s="34"/>
      <c r="C276" s="178"/>
      <c r="D276" s="178"/>
    </row>
    <row r="277" spans="2:4" x14ac:dyDescent="0.25">
      <c r="B277" s="34"/>
      <c r="C277" s="178"/>
      <c r="D277" s="178"/>
    </row>
    <row r="278" spans="2:4" x14ac:dyDescent="0.25">
      <c r="B278" s="34"/>
      <c r="C278" s="178"/>
      <c r="D278" s="178"/>
    </row>
    <row r="279" spans="2:4" x14ac:dyDescent="0.25">
      <c r="B279" s="34"/>
      <c r="C279" s="178"/>
      <c r="D279" s="178"/>
    </row>
    <row r="280" spans="2:4" x14ac:dyDescent="0.25">
      <c r="B280" s="34"/>
      <c r="C280" s="178"/>
      <c r="D280" s="178"/>
    </row>
    <row r="281" spans="2:4" x14ac:dyDescent="0.25">
      <c r="B281" s="34"/>
      <c r="C281" s="178"/>
      <c r="D281" s="178"/>
    </row>
    <row r="282" spans="2:4" x14ac:dyDescent="0.25">
      <c r="B282" s="34"/>
      <c r="C282" s="178"/>
      <c r="D282" s="178"/>
    </row>
    <row r="283" spans="2:4" x14ac:dyDescent="0.25">
      <c r="B283" s="34"/>
      <c r="C283" s="178"/>
      <c r="D283" s="178"/>
    </row>
    <row r="284" spans="2:4" x14ac:dyDescent="0.25">
      <c r="B284" s="34"/>
      <c r="C284" s="178"/>
      <c r="D284" s="178"/>
    </row>
    <row r="285" spans="2:4" x14ac:dyDescent="0.25">
      <c r="B285" s="34"/>
      <c r="C285" s="178"/>
      <c r="D285" s="178"/>
    </row>
    <row r="286" spans="2:4" x14ac:dyDescent="0.25">
      <c r="B286" s="34"/>
      <c r="C286" s="178"/>
      <c r="D286" s="178"/>
    </row>
    <row r="287" spans="2:4" x14ac:dyDescent="0.25">
      <c r="B287" s="34"/>
      <c r="C287" s="178"/>
      <c r="D287" s="178"/>
    </row>
    <row r="288" spans="2:4" x14ac:dyDescent="0.25">
      <c r="B288" s="34"/>
      <c r="C288" s="178"/>
      <c r="D288" s="178"/>
    </row>
    <row r="289" spans="2:4" x14ac:dyDescent="0.25">
      <c r="B289" s="34"/>
      <c r="C289" s="178"/>
      <c r="D289" s="178"/>
    </row>
    <row r="290" spans="2:4" x14ac:dyDescent="0.25">
      <c r="B290" s="34"/>
      <c r="C290" s="178"/>
      <c r="D290" s="178"/>
    </row>
    <row r="291" spans="2:4" x14ac:dyDescent="0.25">
      <c r="B291" s="34"/>
      <c r="C291" s="178"/>
      <c r="D291" s="178"/>
    </row>
    <row r="292" spans="2:4" x14ac:dyDescent="0.25">
      <c r="B292" s="34"/>
      <c r="C292" s="178"/>
      <c r="D292" s="178"/>
    </row>
    <row r="293" spans="2:4" x14ac:dyDescent="0.25">
      <c r="B293" s="34"/>
      <c r="C293" s="178"/>
      <c r="D293" s="178"/>
    </row>
    <row r="294" spans="2:4" x14ac:dyDescent="0.25">
      <c r="B294" s="34"/>
      <c r="C294" s="178"/>
      <c r="D294" s="178"/>
    </row>
    <row r="295" spans="2:4" x14ac:dyDescent="0.25">
      <c r="B295" s="34"/>
      <c r="C295" s="178"/>
      <c r="D295" s="178"/>
    </row>
    <row r="296" spans="2:4" x14ac:dyDescent="0.25">
      <c r="B296" s="34"/>
      <c r="C296" s="178"/>
      <c r="D296" s="178"/>
    </row>
    <row r="297" spans="2:4" x14ac:dyDescent="0.25">
      <c r="B297" s="34"/>
      <c r="C297" s="178"/>
      <c r="D297" s="178"/>
    </row>
    <row r="298" spans="2:4" x14ac:dyDescent="0.25">
      <c r="B298" s="34"/>
      <c r="C298" s="178"/>
      <c r="D298" s="178"/>
    </row>
    <row r="299" spans="2:4" x14ac:dyDescent="0.25">
      <c r="B299" s="34"/>
      <c r="C299" s="178"/>
      <c r="D299" s="178"/>
    </row>
    <row r="300" spans="2:4" x14ac:dyDescent="0.25">
      <c r="B300" s="34"/>
      <c r="C300" s="178"/>
      <c r="D300" s="178"/>
    </row>
    <row r="301" spans="2:4" x14ac:dyDescent="0.25">
      <c r="B301" s="34"/>
      <c r="C301" s="178"/>
      <c r="D301" s="178"/>
    </row>
    <row r="302" spans="2:4" x14ac:dyDescent="0.25">
      <c r="B302" s="34"/>
      <c r="C302" s="178"/>
      <c r="D302" s="178"/>
    </row>
    <row r="303" spans="2:4" x14ac:dyDescent="0.25">
      <c r="B303" s="34"/>
      <c r="C303" s="178"/>
      <c r="D303" s="178"/>
    </row>
    <row r="304" spans="2:4" x14ac:dyDescent="0.25">
      <c r="B304" s="34"/>
      <c r="C304" s="178"/>
      <c r="D304" s="178"/>
    </row>
    <row r="305" spans="2:4" x14ac:dyDescent="0.25">
      <c r="B305" s="34"/>
      <c r="C305" s="178"/>
      <c r="D305" s="178"/>
    </row>
    <row r="306" spans="2:4" x14ac:dyDescent="0.25">
      <c r="B306" s="34"/>
      <c r="C306" s="178"/>
      <c r="D306" s="178"/>
    </row>
    <row r="307" spans="2:4" x14ac:dyDescent="0.25">
      <c r="B307" s="34"/>
      <c r="C307" s="178"/>
      <c r="D307" s="178"/>
    </row>
    <row r="308" spans="2:4" x14ac:dyDescent="0.25">
      <c r="B308" s="34"/>
      <c r="C308" s="178"/>
      <c r="D308" s="178"/>
    </row>
    <row r="309" spans="2:4" x14ac:dyDescent="0.25">
      <c r="B309" s="34"/>
      <c r="C309" s="178"/>
      <c r="D309" s="178"/>
    </row>
    <row r="310" spans="2:4" x14ac:dyDescent="0.25">
      <c r="B310" s="34"/>
      <c r="C310" s="178"/>
      <c r="D310" s="178"/>
    </row>
    <row r="311" spans="2:4" x14ac:dyDescent="0.25">
      <c r="B311" s="34"/>
      <c r="C311" s="178"/>
      <c r="D311" s="178"/>
    </row>
    <row r="312" spans="2:4" x14ac:dyDescent="0.25">
      <c r="B312" s="34"/>
      <c r="C312" s="178"/>
      <c r="D312" s="178"/>
    </row>
    <row r="313" spans="2:4" x14ac:dyDescent="0.25">
      <c r="B313" s="34"/>
      <c r="C313" s="178"/>
      <c r="D313" s="178"/>
    </row>
    <row r="314" spans="2:4" x14ac:dyDescent="0.25">
      <c r="B314" s="34"/>
      <c r="C314" s="178"/>
      <c r="D314" s="178"/>
    </row>
    <row r="315" spans="2:4" x14ac:dyDescent="0.25">
      <c r="B315" s="34"/>
      <c r="C315" s="178"/>
      <c r="D315" s="178"/>
    </row>
    <row r="316" spans="2:4" x14ac:dyDescent="0.25">
      <c r="B316" s="34"/>
      <c r="C316" s="178"/>
      <c r="D316" s="178"/>
    </row>
    <row r="317" spans="2:4" x14ac:dyDescent="0.25">
      <c r="B317" s="34"/>
      <c r="C317" s="178"/>
      <c r="D317" s="178"/>
    </row>
    <row r="318" spans="2:4" x14ac:dyDescent="0.25">
      <c r="B318" s="34"/>
      <c r="C318" s="178"/>
      <c r="D318" s="178"/>
    </row>
    <row r="319" spans="2:4" x14ac:dyDescent="0.25">
      <c r="B319" s="34"/>
      <c r="C319" s="178"/>
      <c r="D319" s="178"/>
    </row>
    <row r="320" spans="2:4" x14ac:dyDescent="0.25">
      <c r="B320" s="34"/>
      <c r="C320" s="178"/>
      <c r="D320" s="178"/>
    </row>
    <row r="321" spans="2:4" x14ac:dyDescent="0.25">
      <c r="B321" s="34"/>
      <c r="C321" s="178"/>
      <c r="D321" s="178"/>
    </row>
    <row r="322" spans="2:4" x14ac:dyDescent="0.25">
      <c r="B322" s="34"/>
      <c r="C322" s="178"/>
      <c r="D322" s="178"/>
    </row>
    <row r="323" spans="2:4" x14ac:dyDescent="0.25">
      <c r="B323" s="34"/>
      <c r="C323" s="178"/>
      <c r="D323" s="178"/>
    </row>
    <row r="324" spans="2:4" x14ac:dyDescent="0.25">
      <c r="B324" s="34"/>
      <c r="C324" s="178"/>
      <c r="D324" s="178"/>
    </row>
    <row r="325" spans="2:4" x14ac:dyDescent="0.25">
      <c r="B325" s="34"/>
      <c r="C325" s="178"/>
      <c r="D325" s="178"/>
    </row>
    <row r="326" spans="2:4" x14ac:dyDescent="0.25">
      <c r="B326" s="34"/>
      <c r="C326" s="178"/>
      <c r="D326" s="178"/>
    </row>
    <row r="327" spans="2:4" x14ac:dyDescent="0.25">
      <c r="B327" s="34"/>
      <c r="C327" s="178"/>
      <c r="D327" s="178"/>
    </row>
    <row r="328" spans="2:4" x14ac:dyDescent="0.25">
      <c r="B328" s="34"/>
      <c r="C328" s="178"/>
      <c r="D328" s="178"/>
    </row>
    <row r="329" spans="2:4" x14ac:dyDescent="0.25">
      <c r="B329" s="34"/>
      <c r="C329" s="178"/>
      <c r="D329" s="178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79"/>
      <c r="E2" s="173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0" t="s">
        <v>143</v>
      </c>
      <c r="C4" s="180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5"/>
      <c r="K7" s="105"/>
      <c r="L7" s="105"/>
      <c r="M7" s="105"/>
      <c r="N7" s="105"/>
      <c r="O7" s="105"/>
    </row>
    <row r="8" spans="1:20" x14ac:dyDescent="0.25">
      <c r="A8" s="14">
        <f>FCFBenefitsTotal</f>
        <v>82</v>
      </c>
      <c r="B8" s="36" t="s">
        <v>127</v>
      </c>
      <c r="E8"/>
      <c r="J8" s="105"/>
      <c r="K8" s="105"/>
      <c r="L8" s="105"/>
      <c r="M8" s="105"/>
      <c r="N8" s="105"/>
      <c r="O8" s="105"/>
    </row>
    <row r="9" spans="1:20" x14ac:dyDescent="0.25">
      <c r="A9" s="27"/>
      <c r="B9" s="15"/>
      <c r="C9" s="15"/>
      <c r="E9" s="2" t="s">
        <v>124</v>
      </c>
      <c r="J9" s="105"/>
      <c r="K9" s="105"/>
      <c r="L9" s="105"/>
      <c r="M9" s="105"/>
      <c r="N9" s="105"/>
      <c r="O9" s="105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/>
      <c r="E11" s="85" t="s">
        <v>139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7"/>
  <sheetViews>
    <sheetView tabSelected="1" workbookViewId="0">
      <selection activeCell="E5" sqref="E5"/>
    </sheetView>
  </sheetViews>
  <sheetFormatPr defaultColWidth="24.140625" defaultRowHeight="31.5" x14ac:dyDescent="0.5"/>
  <cols>
    <col min="1" max="1" width="39.7109375" style="57" customWidth="1"/>
    <col min="2" max="2" width="4.7109375" style="57" customWidth="1"/>
    <col min="3" max="3" width="45.28515625" style="58" customWidth="1"/>
    <col min="5" max="5" width="24.140625" style="58"/>
    <col min="6" max="16384" width="24.140625" style="57"/>
  </cols>
  <sheetData>
    <row r="1" spans="1:3" ht="54.75" customHeight="1" x14ac:dyDescent="0.9">
      <c r="A1" s="181" t="s">
        <v>133</v>
      </c>
      <c r="B1" s="181"/>
      <c r="C1" s="181"/>
    </row>
    <row r="2" spans="1:3" ht="36" customHeight="1" x14ac:dyDescent="0.9">
      <c r="A2" s="59"/>
      <c r="B2" s="59"/>
      <c r="C2" s="60"/>
    </row>
    <row r="3" spans="1:3" ht="61.5" x14ac:dyDescent="0.9">
      <c r="A3" s="181"/>
      <c r="B3" s="181"/>
      <c r="C3" s="181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144</v>
      </c>
    </row>
    <row r="6" spans="1:3" ht="61.5" x14ac:dyDescent="0.9">
      <c r="A6" s="62"/>
      <c r="B6" s="63" t="s">
        <v>117</v>
      </c>
      <c r="C6" s="61"/>
    </row>
    <row r="7" spans="1:3" ht="61.5" x14ac:dyDescent="0.9">
      <c r="A7" s="62"/>
      <c r="B7" s="63" t="s">
        <v>117</v>
      </c>
      <c r="C7" s="61"/>
    </row>
    <row r="8" spans="1:3" ht="61.5" x14ac:dyDescent="0.9">
      <c r="A8" s="62"/>
      <c r="B8" s="63" t="s">
        <v>117</v>
      </c>
      <c r="C8" s="61"/>
    </row>
    <row r="9" spans="1:3" ht="61.5" x14ac:dyDescent="0.9">
      <c r="A9" s="62"/>
      <c r="B9" s="63" t="s">
        <v>117</v>
      </c>
      <c r="C9" s="61"/>
    </row>
    <row r="10" spans="1:3" ht="61.5" x14ac:dyDescent="0.9">
      <c r="A10" s="62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5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7"/>
      <c r="B29" s="137"/>
      <c r="C29" s="138"/>
      <c r="D29" s="139"/>
      <c r="E29" s="138"/>
      <c r="F29" s="137"/>
      <c r="G29" s="137"/>
    </row>
    <row r="30" spans="1:7" x14ac:dyDescent="0.5">
      <c r="A30" s="137"/>
      <c r="B30" s="137"/>
      <c r="C30" s="138"/>
      <c r="D30" s="139"/>
      <c r="E30" s="138"/>
      <c r="F30" s="137"/>
      <c r="G30" s="137"/>
    </row>
    <row r="31" spans="1:7" x14ac:dyDescent="0.5">
      <c r="A31" s="137"/>
      <c r="B31" s="137"/>
      <c r="C31" s="138"/>
      <c r="D31" s="139"/>
      <c r="E31" s="138"/>
      <c r="F31" s="137"/>
      <c r="G31" s="137"/>
    </row>
    <row r="32" spans="1:7" x14ac:dyDescent="0.5">
      <c r="A32" s="137"/>
      <c r="B32" s="137"/>
      <c r="C32" s="138"/>
      <c r="D32" s="139"/>
      <c r="E32" s="138"/>
      <c r="F32" s="137"/>
      <c r="G32" s="137"/>
    </row>
    <row r="33" spans="1:7" x14ac:dyDescent="0.5">
      <c r="A33" s="137"/>
      <c r="B33" s="137"/>
      <c r="C33" s="138"/>
      <c r="D33" s="139"/>
      <c r="E33" s="138"/>
      <c r="F33" s="137"/>
      <c r="G33" s="137"/>
    </row>
    <row r="34" spans="1:7" x14ac:dyDescent="0.5">
      <c r="A34" s="137"/>
      <c r="B34" s="137"/>
      <c r="C34" s="138"/>
      <c r="D34" s="139"/>
      <c r="E34" s="138"/>
      <c r="F34" s="137"/>
      <c r="G34" s="137"/>
    </row>
    <row r="35" spans="1:7" x14ac:dyDescent="0.5">
      <c r="A35" s="137"/>
      <c r="B35" s="137"/>
      <c r="C35" s="138"/>
      <c r="D35" s="139"/>
      <c r="E35" s="138"/>
      <c r="F35" s="137"/>
      <c r="G35" s="137"/>
    </row>
    <row r="36" spans="1:7" x14ac:dyDescent="0.5">
      <c r="A36" s="137"/>
      <c r="B36" s="137"/>
      <c r="C36" s="138"/>
      <c r="D36" s="139"/>
      <c r="E36" s="138"/>
      <c r="F36" s="137"/>
      <c r="G36" s="137"/>
    </row>
    <row r="37" spans="1:7" x14ac:dyDescent="0.5">
      <c r="A37" s="137"/>
      <c r="B37" s="137"/>
      <c r="C37" s="138"/>
      <c r="D37" s="139"/>
      <c r="E37" s="138"/>
      <c r="F37" s="137"/>
      <c r="G37" s="137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2" t="s">
        <v>128</v>
      </c>
      <c r="B1" s="182"/>
      <c r="C1" s="182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2024-04-08T19:34:18Z</cp:lastPrinted>
  <dcterms:created xsi:type="dcterms:W3CDTF">2014-06-07T17:42:48Z</dcterms:created>
  <dcterms:modified xsi:type="dcterms:W3CDTF">2025-03-11T18:00:21Z</dcterms:modified>
</cp:coreProperties>
</file>