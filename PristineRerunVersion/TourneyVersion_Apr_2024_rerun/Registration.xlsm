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PristineRerunVersion\TourneyVersion_Apr_2024_rerun\"/>
    </mc:Choice>
  </mc:AlternateContent>
  <xr:revisionPtr revIDLastSave="0" documentId="13_ncr:1_{6F914C6D-46BC-433D-8DE3-6A5A4BA1BD70}" xr6:coauthVersionLast="47" xr6:coauthVersionMax="47" xr10:uidLastSave="{00000000-0000-0000-0000-000000000000}"/>
  <bookViews>
    <workbookView xWindow="-28920" yWindow="-120" windowWidth="29040" windowHeight="15720" tabRatio="753" activeTab="3" xr2:uid="{00000000-000D-0000-FFFF-FFFF00000000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Name">Entries!$C$12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2" i="1" l="1"/>
  <c r="S12" i="1"/>
  <c r="R13" i="1"/>
  <c r="S13" i="1"/>
  <c r="R14" i="1"/>
  <c r="S14" i="1"/>
  <c r="R15" i="1"/>
  <c r="S15" i="1"/>
  <c r="R16" i="1"/>
  <c r="S16" i="1"/>
  <c r="R17" i="1"/>
  <c r="S17" i="1"/>
  <c r="R18" i="1"/>
  <c r="S18" i="1"/>
  <c r="R19" i="1"/>
  <c r="S19" i="1"/>
  <c r="R20" i="1"/>
  <c r="S20" i="1"/>
  <c r="R21" i="1"/>
  <c r="S21" i="1"/>
  <c r="R22" i="1"/>
  <c r="S22" i="1"/>
  <c r="R23" i="1"/>
  <c r="S23" i="1"/>
  <c r="R24" i="1"/>
  <c r="S24" i="1"/>
  <c r="R25" i="1"/>
  <c r="S25" i="1"/>
  <c r="R26" i="1"/>
  <c r="S26" i="1"/>
  <c r="R27" i="1"/>
  <c r="S27" i="1"/>
  <c r="R28" i="1"/>
  <c r="S28" i="1"/>
  <c r="R29" i="1"/>
  <c r="S29" i="1"/>
  <c r="R30" i="1"/>
  <c r="S30" i="1"/>
  <c r="R31" i="1"/>
  <c r="S31" i="1"/>
  <c r="R32" i="1"/>
  <c r="S32" i="1"/>
  <c r="R33" i="1"/>
  <c r="S33" i="1"/>
  <c r="R34" i="1"/>
  <c r="S34" i="1"/>
  <c r="R35" i="1"/>
  <c r="S35" i="1"/>
  <c r="R36" i="1"/>
  <c r="S36" i="1"/>
  <c r="R37" i="1"/>
  <c r="S37" i="1"/>
  <c r="R38" i="1"/>
  <c r="S38" i="1"/>
  <c r="R39" i="1"/>
  <c r="S39" i="1"/>
  <c r="R40" i="1"/>
  <c r="S40" i="1"/>
  <c r="R41" i="1"/>
  <c r="S41" i="1"/>
  <c r="R42" i="1"/>
  <c r="S42" i="1"/>
  <c r="R43" i="1"/>
  <c r="S43" i="1"/>
  <c r="R44" i="1"/>
  <c r="S44" i="1"/>
  <c r="R45" i="1"/>
  <c r="S45" i="1"/>
  <c r="R46" i="1"/>
  <c r="S46" i="1"/>
  <c r="R47" i="1"/>
  <c r="S47" i="1"/>
  <c r="R48" i="1"/>
  <c r="S48" i="1"/>
  <c r="R49" i="1"/>
  <c r="S49" i="1"/>
  <c r="R50" i="1"/>
  <c r="S50" i="1"/>
  <c r="R51" i="1"/>
  <c r="S51" i="1"/>
  <c r="R52" i="1"/>
  <c r="S52" i="1"/>
  <c r="R53" i="1"/>
  <c r="S53" i="1"/>
  <c r="R54" i="1"/>
  <c r="S54" i="1"/>
  <c r="R55" i="1"/>
  <c r="S55" i="1"/>
  <c r="R56" i="1"/>
  <c r="S56" i="1"/>
  <c r="R57" i="1"/>
  <c r="S57" i="1"/>
  <c r="R58" i="1"/>
  <c r="S58" i="1"/>
  <c r="R59" i="1"/>
  <c r="S59" i="1"/>
  <c r="R60" i="1"/>
  <c r="S60" i="1"/>
  <c r="R61" i="1"/>
  <c r="S61" i="1"/>
  <c r="R62" i="1"/>
  <c r="S62" i="1"/>
  <c r="R63" i="1"/>
  <c r="S63" i="1"/>
  <c r="R64" i="1"/>
  <c r="S64" i="1"/>
  <c r="R65" i="1"/>
  <c r="S65" i="1"/>
  <c r="R66" i="1"/>
  <c r="S66" i="1"/>
  <c r="R67" i="1"/>
  <c r="S67" i="1"/>
  <c r="R68" i="1"/>
  <c r="S68" i="1"/>
  <c r="R69" i="1"/>
  <c r="S69" i="1"/>
  <c r="R70" i="1"/>
  <c r="S70" i="1"/>
  <c r="R71" i="1"/>
  <c r="S71" i="1"/>
  <c r="R72" i="1"/>
  <c r="S72" i="1"/>
  <c r="R73" i="1"/>
  <c r="S73" i="1"/>
  <c r="R74" i="1"/>
  <c r="S74" i="1"/>
  <c r="R75" i="1"/>
  <c r="S75" i="1"/>
  <c r="R76" i="1"/>
  <c r="S76" i="1"/>
  <c r="R77" i="1"/>
  <c r="S77" i="1"/>
  <c r="R78" i="1"/>
  <c r="S78" i="1"/>
  <c r="R79" i="1"/>
  <c r="S79" i="1"/>
  <c r="R80" i="1"/>
  <c r="S80" i="1"/>
  <c r="R81" i="1"/>
  <c r="S81" i="1"/>
  <c r="R82" i="1"/>
  <c r="S82" i="1"/>
  <c r="R83" i="1"/>
  <c r="S83" i="1"/>
  <c r="R84" i="1"/>
  <c r="S84" i="1"/>
  <c r="R85" i="1"/>
  <c r="S85" i="1"/>
  <c r="R86" i="1"/>
  <c r="S86" i="1"/>
  <c r="R87" i="1"/>
  <c r="S87" i="1"/>
  <c r="R88" i="1"/>
  <c r="S88" i="1"/>
  <c r="R89" i="1"/>
  <c r="S89" i="1"/>
  <c r="R90" i="1"/>
  <c r="S90" i="1"/>
  <c r="R91" i="1"/>
  <c r="S91" i="1"/>
  <c r="R92" i="1"/>
  <c r="S92" i="1"/>
  <c r="R93" i="1"/>
  <c r="S93" i="1"/>
  <c r="R94" i="1"/>
  <c r="S94" i="1"/>
  <c r="R95" i="1"/>
  <c r="S95" i="1"/>
  <c r="R96" i="1"/>
  <c r="S96" i="1"/>
  <c r="R97" i="1"/>
  <c r="S97" i="1"/>
  <c r="R98" i="1"/>
  <c r="S98" i="1"/>
  <c r="R99" i="1"/>
  <c r="S99" i="1"/>
  <c r="R100" i="1"/>
  <c r="S100" i="1"/>
  <c r="R101" i="1"/>
  <c r="S101" i="1"/>
  <c r="R102" i="1"/>
  <c r="S102" i="1"/>
  <c r="R103" i="1"/>
  <c r="S103" i="1"/>
  <c r="R104" i="1"/>
  <c r="S104" i="1"/>
  <c r="R105" i="1"/>
  <c r="S105" i="1"/>
  <c r="R106" i="1"/>
  <c r="S106" i="1"/>
  <c r="R107" i="1"/>
  <c r="S107" i="1"/>
  <c r="R108" i="1"/>
  <c r="S108" i="1"/>
  <c r="R109" i="1"/>
  <c r="S109" i="1"/>
  <c r="R110" i="1"/>
  <c r="S110" i="1"/>
  <c r="R111" i="1"/>
  <c r="S111" i="1"/>
  <c r="R112" i="1"/>
  <c r="S112" i="1"/>
  <c r="R113" i="1"/>
  <c r="S113" i="1"/>
  <c r="R114" i="1"/>
  <c r="S114" i="1"/>
  <c r="R115" i="1"/>
  <c r="S115" i="1"/>
  <c r="R116" i="1"/>
  <c r="S116" i="1"/>
  <c r="R117" i="1"/>
  <c r="S117" i="1"/>
  <c r="R118" i="1"/>
  <c r="S118" i="1"/>
  <c r="R119" i="1"/>
  <c r="S119" i="1"/>
  <c r="R120" i="1"/>
  <c r="S120" i="1"/>
  <c r="R121" i="1"/>
  <c r="S121" i="1"/>
  <c r="R122" i="1"/>
  <c r="S122" i="1"/>
  <c r="R123" i="1"/>
  <c r="S123" i="1"/>
  <c r="R124" i="1"/>
  <c r="S124" i="1"/>
  <c r="R125" i="1"/>
  <c r="S125" i="1"/>
  <c r="R126" i="1"/>
  <c r="S126" i="1"/>
  <c r="R127" i="1"/>
  <c r="S127" i="1"/>
  <c r="R128" i="1"/>
  <c r="S128" i="1"/>
  <c r="R129" i="1"/>
  <c r="S129" i="1"/>
  <c r="R130" i="1"/>
  <c r="S130" i="1"/>
  <c r="R131" i="1"/>
  <c r="S131" i="1"/>
  <c r="R132" i="1"/>
  <c r="S132" i="1"/>
  <c r="R133" i="1"/>
  <c r="S133" i="1"/>
  <c r="R134" i="1"/>
  <c r="S134" i="1"/>
  <c r="R135" i="1"/>
  <c r="S135" i="1"/>
  <c r="R136" i="1"/>
  <c r="S136" i="1"/>
  <c r="R137" i="1"/>
  <c r="S137" i="1"/>
  <c r="R138" i="1"/>
  <c r="S138" i="1"/>
  <c r="R139" i="1"/>
  <c r="S139" i="1"/>
  <c r="R140" i="1"/>
  <c r="S140" i="1"/>
  <c r="R141" i="1"/>
  <c r="S141" i="1"/>
  <c r="R142" i="1"/>
  <c r="S142" i="1"/>
  <c r="R143" i="1"/>
  <c r="S143" i="1"/>
  <c r="R144" i="1"/>
  <c r="S144" i="1"/>
  <c r="R145" i="1"/>
  <c r="S145" i="1"/>
  <c r="R146" i="1"/>
  <c r="S146" i="1"/>
  <c r="R147" i="1"/>
  <c r="S147" i="1"/>
  <c r="R148" i="1"/>
  <c r="S148" i="1"/>
  <c r="R149" i="1"/>
  <c r="S149" i="1"/>
  <c r="R150" i="1"/>
  <c r="S150" i="1"/>
  <c r="R151" i="1"/>
  <c r="S151" i="1"/>
  <c r="R152" i="1"/>
  <c r="S152" i="1"/>
  <c r="R153" i="1"/>
  <c r="S153" i="1"/>
  <c r="R154" i="1"/>
  <c r="S154" i="1"/>
  <c r="R155" i="1"/>
  <c r="S155" i="1"/>
  <c r="R156" i="1"/>
  <c r="S156" i="1"/>
  <c r="R157" i="1"/>
  <c r="S157" i="1"/>
  <c r="R158" i="1"/>
  <c r="S158" i="1"/>
  <c r="R159" i="1"/>
  <c r="S159" i="1"/>
  <c r="R160" i="1"/>
  <c r="S160" i="1"/>
  <c r="R161" i="1"/>
  <c r="S161" i="1"/>
  <c r="R162" i="1"/>
  <c r="S162" i="1"/>
  <c r="R163" i="1"/>
  <c r="S163" i="1"/>
  <c r="R164" i="1"/>
  <c r="S164" i="1"/>
  <c r="R165" i="1"/>
  <c r="S165" i="1"/>
  <c r="R166" i="1"/>
  <c r="S166" i="1"/>
  <c r="R167" i="1"/>
  <c r="S167" i="1"/>
  <c r="R168" i="1"/>
  <c r="S168" i="1"/>
  <c r="R169" i="1"/>
  <c r="S169" i="1"/>
  <c r="R170" i="1"/>
  <c r="S170" i="1"/>
  <c r="R171" i="1"/>
  <c r="S171" i="1"/>
  <c r="R172" i="1"/>
  <c r="S172" i="1"/>
  <c r="R173" i="1"/>
  <c r="S173" i="1"/>
  <c r="R174" i="1"/>
  <c r="S174" i="1"/>
  <c r="R175" i="1"/>
  <c r="S175" i="1"/>
  <c r="R176" i="1"/>
  <c r="S176" i="1"/>
  <c r="R177" i="1"/>
  <c r="S177" i="1"/>
  <c r="R178" i="1"/>
  <c r="S178" i="1"/>
  <c r="R179" i="1"/>
  <c r="S179" i="1"/>
  <c r="R180" i="1"/>
  <c r="S180" i="1"/>
  <c r="R181" i="1"/>
  <c r="S181" i="1"/>
  <c r="R182" i="1"/>
  <c r="S182" i="1"/>
  <c r="R183" i="1"/>
  <c r="S183" i="1"/>
  <c r="R184" i="1"/>
  <c r="S184" i="1"/>
  <c r="R185" i="1"/>
  <c r="S185" i="1"/>
  <c r="R186" i="1"/>
  <c r="S186" i="1"/>
  <c r="R187" i="1"/>
  <c r="S187" i="1"/>
  <c r="R188" i="1"/>
  <c r="S188" i="1"/>
  <c r="R189" i="1"/>
  <c r="S189" i="1"/>
  <c r="R190" i="1"/>
  <c r="S190" i="1"/>
  <c r="R191" i="1"/>
  <c r="S191" i="1"/>
  <c r="R192" i="1"/>
  <c r="S192" i="1"/>
  <c r="R193" i="1"/>
  <c r="S193" i="1"/>
  <c r="R194" i="1"/>
  <c r="S194" i="1"/>
  <c r="R195" i="1"/>
  <c r="S195" i="1"/>
  <c r="R196" i="1"/>
  <c r="S196" i="1"/>
  <c r="R197" i="1"/>
  <c r="S197" i="1"/>
  <c r="R198" i="1"/>
  <c r="S198" i="1"/>
  <c r="R199" i="1"/>
  <c r="S199" i="1"/>
  <c r="R200" i="1"/>
  <c r="S200" i="1"/>
  <c r="R201" i="1"/>
  <c r="S201" i="1"/>
  <c r="T411" i="1" l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O221" i="1" s="1"/>
  <c r="T220" i="1"/>
  <c r="O220" i="1" s="1"/>
  <c r="T219" i="1"/>
  <c r="O219" i="1" s="1"/>
  <c r="T218" i="1"/>
  <c r="O218" i="1" s="1"/>
  <c r="T217" i="1"/>
  <c r="O217" i="1" s="1"/>
  <c r="T216" i="1"/>
  <c r="O216" i="1" s="1"/>
  <c r="T215" i="1"/>
  <c r="O215" i="1" s="1"/>
  <c r="T214" i="1"/>
  <c r="O214" i="1" s="1"/>
  <c r="T213" i="1"/>
  <c r="O213" i="1" s="1"/>
  <c r="T212" i="1"/>
  <c r="O212" i="1" s="1"/>
  <c r="T211" i="1"/>
  <c r="O211" i="1" s="1"/>
  <c r="T210" i="1"/>
  <c r="O210" i="1" s="1"/>
  <c r="T209" i="1"/>
  <c r="O209" i="1" s="1"/>
  <c r="T208" i="1"/>
  <c r="O208" i="1" s="1"/>
  <c r="T207" i="1"/>
  <c r="O207" i="1" s="1"/>
  <c r="T206" i="1"/>
  <c r="O206" i="1" s="1"/>
  <c r="T205" i="1"/>
  <c r="O205" i="1" s="1"/>
  <c r="T204" i="1"/>
  <c r="O204" i="1" s="1"/>
  <c r="T203" i="1"/>
  <c r="O203" i="1" s="1"/>
  <c r="T202" i="1"/>
  <c r="O202" i="1" s="1"/>
  <c r="T201" i="1"/>
  <c r="O201" i="1" s="1"/>
  <c r="T200" i="1"/>
  <c r="O200" i="1" s="1"/>
  <c r="T199" i="1"/>
  <c r="O199" i="1" s="1"/>
  <c r="T198" i="1"/>
  <c r="O198" i="1" s="1"/>
  <c r="T197" i="1"/>
  <c r="O197" i="1" s="1"/>
  <c r="T196" i="1"/>
  <c r="O196" i="1" s="1"/>
  <c r="T195" i="1"/>
  <c r="O195" i="1" s="1"/>
  <c r="T194" i="1"/>
  <c r="O194" i="1" s="1"/>
  <c r="T193" i="1"/>
  <c r="O193" i="1" s="1"/>
  <c r="T192" i="1"/>
  <c r="O192" i="1" s="1"/>
  <c r="T191" i="1"/>
  <c r="O191" i="1" s="1"/>
  <c r="T190" i="1"/>
  <c r="O190" i="1" s="1"/>
  <c r="T189" i="1"/>
  <c r="O189" i="1" s="1"/>
  <c r="T188" i="1"/>
  <c r="O188" i="1" s="1"/>
  <c r="T187" i="1"/>
  <c r="O187" i="1" s="1"/>
  <c r="T186" i="1"/>
  <c r="O186" i="1" s="1"/>
  <c r="T185" i="1"/>
  <c r="O185" i="1" s="1"/>
  <c r="T184" i="1"/>
  <c r="O184" i="1" s="1"/>
  <c r="T183" i="1"/>
  <c r="O183" i="1" s="1"/>
  <c r="T182" i="1"/>
  <c r="O182" i="1" s="1"/>
  <c r="T181" i="1"/>
  <c r="O181" i="1" s="1"/>
  <c r="T180" i="1"/>
  <c r="O180" i="1" s="1"/>
  <c r="T179" i="1"/>
  <c r="O179" i="1" s="1"/>
  <c r="T67" i="1"/>
  <c r="O67" i="1" s="1"/>
  <c r="T178" i="1"/>
  <c r="O178" i="1" s="1"/>
  <c r="T177" i="1"/>
  <c r="O177" i="1" s="1"/>
  <c r="T176" i="1"/>
  <c r="O176" i="1" s="1"/>
  <c r="T66" i="1"/>
  <c r="O66" i="1" s="1"/>
  <c r="T65" i="1"/>
  <c r="O65" i="1" s="1"/>
  <c r="T64" i="1"/>
  <c r="O64" i="1" s="1"/>
  <c r="T175" i="1"/>
  <c r="O175" i="1" s="1"/>
  <c r="T63" i="1"/>
  <c r="O63" i="1" s="1"/>
  <c r="T174" i="1"/>
  <c r="O174" i="1" s="1"/>
  <c r="T62" i="1"/>
  <c r="O62" i="1" s="1"/>
  <c r="T173" i="1"/>
  <c r="O173" i="1" s="1"/>
  <c r="T172" i="1"/>
  <c r="O172" i="1" s="1"/>
  <c r="T171" i="1"/>
  <c r="O171" i="1" s="1"/>
  <c r="T61" i="1"/>
  <c r="O61" i="1" s="1"/>
  <c r="T170" i="1"/>
  <c r="O170" i="1" s="1"/>
  <c r="T60" i="1"/>
  <c r="O60" i="1" s="1"/>
  <c r="T169" i="1"/>
  <c r="O169" i="1" s="1"/>
  <c r="T59" i="1"/>
  <c r="O59" i="1" s="1"/>
  <c r="T168" i="1"/>
  <c r="O168" i="1" s="1"/>
  <c r="T167" i="1"/>
  <c r="O167" i="1" s="1"/>
  <c r="T58" i="1"/>
  <c r="O58" i="1" s="1"/>
  <c r="T57" i="1"/>
  <c r="O57" i="1" s="1"/>
  <c r="T166" i="1"/>
  <c r="O166" i="1" s="1"/>
  <c r="T56" i="1"/>
  <c r="O56" i="1" s="1"/>
  <c r="T165" i="1"/>
  <c r="O165" i="1" s="1"/>
  <c r="T55" i="1"/>
  <c r="O55" i="1" s="1"/>
  <c r="T164" i="1"/>
  <c r="O164" i="1" s="1"/>
  <c r="T163" i="1"/>
  <c r="O163" i="1" s="1"/>
  <c r="T162" i="1"/>
  <c r="O162" i="1" s="1"/>
  <c r="T161" i="1"/>
  <c r="O161" i="1" s="1"/>
  <c r="T54" i="1"/>
  <c r="O54" i="1" s="1"/>
  <c r="T53" i="1"/>
  <c r="O53" i="1" s="1"/>
  <c r="T160" i="1"/>
  <c r="O160" i="1" s="1"/>
  <c r="T159" i="1"/>
  <c r="O159" i="1" s="1"/>
  <c r="T158" i="1"/>
  <c r="O158" i="1" s="1"/>
  <c r="T157" i="1"/>
  <c r="O157" i="1" s="1"/>
  <c r="T156" i="1"/>
  <c r="O156" i="1" s="1"/>
  <c r="T155" i="1"/>
  <c r="O155" i="1" s="1"/>
  <c r="T154" i="1"/>
  <c r="O154" i="1" s="1"/>
  <c r="T153" i="1"/>
  <c r="O153" i="1" s="1"/>
  <c r="T52" i="1"/>
  <c r="O52" i="1" s="1"/>
  <c r="T152" i="1"/>
  <c r="O152" i="1" s="1"/>
  <c r="T51" i="1"/>
  <c r="O51" i="1" s="1"/>
  <c r="T50" i="1"/>
  <c r="O50" i="1" s="1"/>
  <c r="T151" i="1"/>
  <c r="O151" i="1" s="1"/>
  <c r="T150" i="1"/>
  <c r="O150" i="1" s="1"/>
  <c r="T49" i="1"/>
  <c r="O49" i="1" s="1"/>
  <c r="T149" i="1"/>
  <c r="O149" i="1" s="1"/>
  <c r="T148" i="1"/>
  <c r="O148" i="1" s="1"/>
  <c r="T147" i="1"/>
  <c r="O147" i="1" s="1"/>
  <c r="T48" i="1"/>
  <c r="O48" i="1" s="1"/>
  <c r="T146" i="1"/>
  <c r="O146" i="1" s="1"/>
  <c r="T145" i="1"/>
  <c r="O145" i="1" s="1"/>
  <c r="T47" i="1"/>
  <c r="O47" i="1" s="1"/>
  <c r="T46" i="1"/>
  <c r="O46" i="1" s="1"/>
  <c r="T144" i="1"/>
  <c r="O144" i="1" s="1"/>
  <c r="T143" i="1"/>
  <c r="O143" i="1" s="1"/>
  <c r="T142" i="1"/>
  <c r="O142" i="1" s="1"/>
  <c r="T141" i="1"/>
  <c r="O141" i="1" s="1"/>
  <c r="T140" i="1"/>
  <c r="O140" i="1" s="1"/>
  <c r="T139" i="1"/>
  <c r="O139" i="1" s="1"/>
  <c r="T138" i="1"/>
  <c r="O138" i="1" s="1"/>
  <c r="T137" i="1"/>
  <c r="O137" i="1" s="1"/>
  <c r="T45" i="1"/>
  <c r="O45" i="1" s="1"/>
  <c r="T136" i="1"/>
  <c r="O136" i="1" s="1"/>
  <c r="T135" i="1"/>
  <c r="O135" i="1" s="1"/>
  <c r="T44" i="1"/>
  <c r="O44" i="1" s="1"/>
  <c r="T134" i="1"/>
  <c r="O134" i="1" s="1"/>
  <c r="T133" i="1"/>
  <c r="O133" i="1" s="1"/>
  <c r="T132" i="1"/>
  <c r="O132" i="1" s="1"/>
  <c r="T43" i="1"/>
  <c r="O43" i="1" s="1"/>
  <c r="T131" i="1"/>
  <c r="O131" i="1" s="1"/>
  <c r="T42" i="1"/>
  <c r="O42" i="1" s="1"/>
  <c r="T41" i="1"/>
  <c r="O41" i="1" s="1"/>
  <c r="T40" i="1"/>
  <c r="O40" i="1" s="1"/>
  <c r="T130" i="1"/>
  <c r="O130" i="1" s="1"/>
  <c r="T129" i="1"/>
  <c r="O129" i="1" s="1"/>
  <c r="T128" i="1"/>
  <c r="O128" i="1" s="1"/>
  <c r="T39" i="1"/>
  <c r="O39" i="1" s="1"/>
  <c r="T127" i="1"/>
  <c r="O127" i="1" s="1"/>
  <c r="T126" i="1"/>
  <c r="O126" i="1" s="1"/>
  <c r="T125" i="1"/>
  <c r="O125" i="1" s="1"/>
  <c r="T124" i="1"/>
  <c r="O124" i="1" s="1"/>
  <c r="T123" i="1"/>
  <c r="O123" i="1" s="1"/>
  <c r="T122" i="1"/>
  <c r="O122" i="1" s="1"/>
  <c r="T38" i="1"/>
  <c r="O38" i="1" s="1"/>
  <c r="T121" i="1"/>
  <c r="O121" i="1" s="1"/>
  <c r="T120" i="1"/>
  <c r="O120" i="1" s="1"/>
  <c r="T119" i="1"/>
  <c r="O119" i="1" s="1"/>
  <c r="T37" i="1"/>
  <c r="O37" i="1" s="1"/>
  <c r="T118" i="1"/>
  <c r="O118" i="1" s="1"/>
  <c r="T117" i="1"/>
  <c r="O117" i="1" s="1"/>
  <c r="T116" i="1"/>
  <c r="O116" i="1" s="1"/>
  <c r="T36" i="1"/>
  <c r="O36" i="1" s="1"/>
  <c r="T35" i="1"/>
  <c r="O35" i="1" s="1"/>
  <c r="T115" i="1"/>
  <c r="O115" i="1" s="1"/>
  <c r="T34" i="1"/>
  <c r="O34" i="1" s="1"/>
  <c r="T114" i="1"/>
  <c r="O114" i="1" s="1"/>
  <c r="T33" i="1"/>
  <c r="O33" i="1" s="1"/>
  <c r="T32" i="1"/>
  <c r="O32" i="1" s="1"/>
  <c r="T113" i="1"/>
  <c r="O113" i="1" s="1"/>
  <c r="T112" i="1"/>
  <c r="O112" i="1" s="1"/>
  <c r="T31" i="1"/>
  <c r="O31" i="1" s="1"/>
  <c r="T30" i="1"/>
  <c r="O30" i="1" s="1"/>
  <c r="T111" i="1"/>
  <c r="O111" i="1" s="1"/>
  <c r="T110" i="1"/>
  <c r="O110" i="1" s="1"/>
  <c r="T29" i="1"/>
  <c r="O29" i="1" s="1"/>
  <c r="T28" i="1"/>
  <c r="O28" i="1" s="1"/>
  <c r="T109" i="1"/>
  <c r="O109" i="1" s="1"/>
  <c r="T27" i="1"/>
  <c r="O27" i="1" s="1"/>
  <c r="T108" i="1"/>
  <c r="O108" i="1" s="1"/>
  <c r="T107" i="1"/>
  <c r="O107" i="1" s="1"/>
  <c r="T106" i="1"/>
  <c r="O106" i="1" s="1"/>
  <c r="T105" i="1"/>
  <c r="O105" i="1" s="1"/>
  <c r="T104" i="1"/>
  <c r="O104" i="1" s="1"/>
  <c r="T103" i="1"/>
  <c r="O103" i="1" s="1"/>
  <c r="T26" i="1"/>
  <c r="O26" i="1" s="1"/>
  <c r="T102" i="1"/>
  <c r="O102" i="1" s="1"/>
  <c r="T25" i="1"/>
  <c r="O25" i="1" s="1"/>
  <c r="T101" i="1"/>
  <c r="O101" i="1" s="1"/>
  <c r="T24" i="1"/>
  <c r="O24" i="1" s="1"/>
  <c r="T100" i="1"/>
  <c r="O100" i="1" s="1"/>
  <c r="T23" i="1"/>
  <c r="O23" i="1" s="1"/>
  <c r="T22" i="1"/>
  <c r="O22" i="1" s="1"/>
  <c r="T99" i="1"/>
  <c r="O99" i="1" s="1"/>
  <c r="T98" i="1"/>
  <c r="O98" i="1" s="1"/>
  <c r="T97" i="1"/>
  <c r="O97" i="1" s="1"/>
  <c r="T96" i="1"/>
  <c r="O96" i="1" s="1"/>
  <c r="T95" i="1"/>
  <c r="O95" i="1" s="1"/>
  <c r="T21" i="1"/>
  <c r="O21" i="1" s="1"/>
  <c r="T94" i="1"/>
  <c r="O94" i="1" s="1"/>
  <c r="T20" i="1"/>
  <c r="O20" i="1" s="1"/>
  <c r="T93" i="1"/>
  <c r="O93" i="1" s="1"/>
  <c r="T92" i="1"/>
  <c r="O92" i="1" s="1"/>
  <c r="T91" i="1"/>
  <c r="O91" i="1" s="1"/>
  <c r="T19" i="1"/>
  <c r="O19" i="1" s="1"/>
  <c r="T90" i="1"/>
  <c r="O90" i="1" s="1"/>
  <c r="T89" i="1"/>
  <c r="O89" i="1" s="1"/>
  <c r="T18" i="1"/>
  <c r="O18" i="1" s="1"/>
  <c r="T88" i="1"/>
  <c r="O88" i="1" s="1"/>
  <c r="T87" i="1"/>
  <c r="O87" i="1" s="1"/>
  <c r="T86" i="1"/>
  <c r="O86" i="1" s="1"/>
  <c r="T17" i="1"/>
  <c r="O17" i="1" s="1"/>
  <c r="T85" i="1"/>
  <c r="O85" i="1" s="1"/>
  <c r="T84" i="1"/>
  <c r="O84" i="1" s="1"/>
  <c r="T83" i="1"/>
  <c r="O83" i="1" s="1"/>
  <c r="T82" i="1"/>
  <c r="O82" i="1" s="1"/>
  <c r="T81" i="1"/>
  <c r="O81" i="1" s="1"/>
  <c r="T80" i="1"/>
  <c r="O80" i="1" s="1"/>
  <c r="T79" i="1"/>
  <c r="O79" i="1" s="1"/>
  <c r="T78" i="1"/>
  <c r="O78" i="1" s="1"/>
  <c r="T77" i="1"/>
  <c r="O77" i="1" s="1"/>
  <c r="T16" i="1"/>
  <c r="O16" i="1" s="1"/>
  <c r="T15" i="1"/>
  <c r="O15" i="1" s="1"/>
  <c r="T76" i="1"/>
  <c r="O76" i="1" s="1"/>
  <c r="T75" i="1"/>
  <c r="O75" i="1" s="1"/>
  <c r="T74" i="1"/>
  <c r="O74" i="1" s="1"/>
  <c r="T14" i="1"/>
  <c r="O14" i="1" s="1"/>
  <c r="T13" i="1"/>
  <c r="O13" i="1" s="1"/>
  <c r="T73" i="1"/>
  <c r="O73" i="1" s="1"/>
  <c r="T72" i="1"/>
  <c r="O72" i="1" s="1"/>
  <c r="T71" i="1"/>
  <c r="O71" i="1" s="1"/>
  <c r="T12" i="1"/>
  <c r="O12" i="1" s="1"/>
  <c r="T70" i="1"/>
  <c r="O70" i="1" s="1"/>
  <c r="T69" i="1"/>
  <c r="O69" i="1" s="1"/>
  <c r="T68" i="1"/>
  <c r="O68" i="1" s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L10" i="1"/>
  <c r="S10" i="1" l="1"/>
  <c r="O10" i="1"/>
  <c r="U10" i="1"/>
  <c r="T10" i="1"/>
  <c r="N10" i="1"/>
  <c r="M10" i="1"/>
  <c r="K10" i="1"/>
  <c r="J10" i="1"/>
  <c r="I10" i="1"/>
  <c r="H10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R10" i="1" l="1"/>
  <c r="B10" i="1"/>
</calcChain>
</file>

<file path=xl/sharedStrings.xml><?xml version="1.0" encoding="utf-8"?>
<sst xmlns="http://schemas.openxmlformats.org/spreadsheetml/2006/main" count="1495" uniqueCount="711">
  <si>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</si>
  <si>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</si>
  <si>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</si>
  <si>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</si>
  <si>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</si>
  <si>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</si>
  <si>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</si>
  <si>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</si>
  <si>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</si>
  <si>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</si>
  <si>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</si>
  <si>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</si>
  <si>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</si>
  <si>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</si>
  <si>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</si>
  <si>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</si>
  <si>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</si>
  <si>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</si>
  <si>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</si>
  <si>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</si>
  <si>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</si>
  <si>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</si>
  <si>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</si>
  <si>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</si>
  <si>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</si>
  <si>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</si>
  <si>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</si>
  <si>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</si>
  <si>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</si>
  <si>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</si>
  <si>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</si>
  <si>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</si>
  <si>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</si>
  <si>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</si>
  <si>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</si>
  <si>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</si>
  <si>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</si>
  <si>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</si>
  <si>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</si>
  <si>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</si>
  <si>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</si>
  <si>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</si>
  <si>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</si>
  <si>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</si>
  <si>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</si>
  <si>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</si>
  <si>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</si>
  <si>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</si>
  <si>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</si>
  <si>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</si>
  <si>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</si>
  <si>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</si>
  <si>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</si>
  <si>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</si>
  <si>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</si>
  <si>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</si>
  <si>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</si>
  <si>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</si>
  <si>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</si>
  <si>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</si>
  <si>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</si>
  <si>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</si>
  <si>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</si>
  <si>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</si>
  <si>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</si>
  <si>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</si>
  <si>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</si>
  <si>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</si>
  <si>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</si>
  <si>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</si>
  <si>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</si>
  <si>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</si>
  <si>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</si>
  <si>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</si>
  <si>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</si>
  <si>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</si>
  <si>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</si>
  <si>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</si>
  <si>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</si>
  <si>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</si>
  <si>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</si>
  <si>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</si>
  <si>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</si>
  <si>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</si>
  <si>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</si>
  <si>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</si>
  <si>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</si>
  <si>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</si>
  <si>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</si>
  <si>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</si>
  <si>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</si>
  <si>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</si>
  <si>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</si>
  <si>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</si>
  <si>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</si>
  <si>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</si>
  <si>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</si>
  <si>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</si>
  <si>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</si>
  <si>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</si>
  <si>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</si>
  <si>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</si>
  <si>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</si>
  <si>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</si>
  <si>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</si>
  <si>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</si>
  <si>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</si>
  <si>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</si>
  <si>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</si>
  <si>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</si>
  <si>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</si>
  <si>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</si>
  <si>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</si>
  <si>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</si>
  <si>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</si>
  <si>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</si>
  <si>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</si>
  <si>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</si>
  <si>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</si>
  <si>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</si>
  <si>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</si>
  <si>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</si>
  <si>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</si>
  <si>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</si>
  <si>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</si>
  <si>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</si>
  <si>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</si>
  <si>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</si>
  <si>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</si>
  <si>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</si>
  <si>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</si>
  <si>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</si>
  <si>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</si>
  <si>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</si>
  <si>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</si>
  <si>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</si>
  <si>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</si>
  <si>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</si>
  <si>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</si>
  <si>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</si>
  <si>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</si>
  <si>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</si>
  <si>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</si>
  <si>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</si>
  <si>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</si>
  <si>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</si>
  <si>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</si>
  <si>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</si>
  <si>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</si>
  <si>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</si>
  <si>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</si>
  <si>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</si>
  <si>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</si>
  <si>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</si>
  <si>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</si>
  <si>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</si>
  <si>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</si>
  <si>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</si>
  <si>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</si>
  <si>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</si>
  <si>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</si>
  <si>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</si>
  <si>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</si>
  <si>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</si>
  <si>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</si>
  <si>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</si>
  <si>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</si>
  <si>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</si>
  <si>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</si>
  <si>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</si>
  <si>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</si>
  <si>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</si>
  <si>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</si>
  <si>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</si>
  <si>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</si>
  <si>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</si>
  <si>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</si>
  <si>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</si>
  <si>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</si>
  <si>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</si>
  <si>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</si>
  <si>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</si>
  <si>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</si>
  <si>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</si>
  <si>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</si>
  <si>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</si>
  <si>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</si>
  <si>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</si>
  <si>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</si>
  <si>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</si>
  <si>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</si>
  <si>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</si>
  <si>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</si>
  <si>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</si>
  <si>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</si>
  <si>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</si>
  <si>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</si>
  <si>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</si>
  <si>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</si>
  <si>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</si>
  <si>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</si>
  <si>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</si>
  <si>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</si>
  <si>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</si>
  <si>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</si>
  <si>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</si>
  <si>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</si>
  <si>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</si>
  <si>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</si>
  <si>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</si>
  <si>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</si>
  <si>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</si>
  <si>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</si>
  <si>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</si>
  <si>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</si>
  <si>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</si>
  <si>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</si>
  <si>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</si>
  <si>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</si>
  <si>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</si>
  <si>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</si>
  <si>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</si>
  <si>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</si>
  <si>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</si>
  <si>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</si>
  <si>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</si>
  <si>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</si>
  <si>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</si>
  <si>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</si>
  <si>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</si>
  <si>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</si>
  <si>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</si>
  <si>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</si>
  <si>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</si>
  <si>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</si>
  <si>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</si>
  <si>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</si>
  <si>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</si>
  <si>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</si>
  <si>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</si>
  <si>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</si>
  <si>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</si>
  <si>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</si>
  <si>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</si>
  <si>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</si>
  <si>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</si>
  <si>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</si>
  <si>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</si>
  <si>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</si>
  <si>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</si>
  <si>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</si>
  <si>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</si>
  <si>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</si>
  <si>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</si>
  <si>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</si>
  <si>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</si>
  <si>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</si>
  <si>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</si>
  <si>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</si>
  <si>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</si>
  <si>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</si>
  <si>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</si>
  <si>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</si>
  <si>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</si>
  <si>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</si>
  <si>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</si>
  <si>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</si>
  <si>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</si>
  <si>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</si>
  <si>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</si>
  <si>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</si>
  <si>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</si>
  <si>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</si>
  <si>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</si>
  <si>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</si>
  <si>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</si>
  <si>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</si>
  <si>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</si>
  <si>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</si>
  <si>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</si>
  <si>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</si>
  <si>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</si>
  <si>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</si>
  <si>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</si>
  <si>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</si>
  <si>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</si>
  <si>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</si>
  <si>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</si>
  <si>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</si>
  <si>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</si>
  <si>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</si>
  <si>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</si>
  <si>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</si>
  <si>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</si>
  <si>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</si>
  <si>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</si>
  <si>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</si>
  <si>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</si>
  <si>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</si>
  <si>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</si>
  <si>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</si>
  <si>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</si>
  <si>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</si>
  <si>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</si>
  <si>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</si>
  <si>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</si>
  <si>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</si>
  <si>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</si>
  <si>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</si>
  <si>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</si>
  <si>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</si>
  <si>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</si>
  <si>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</si>
  <si>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</si>
  <si>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</si>
  <si>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</si>
  <si>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</si>
  <si>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</si>
  <si>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</si>
  <si>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</si>
  <si>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</si>
  <si>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</si>
  <si>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</si>
  <si>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</si>
  <si>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</si>
  <si>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</si>
  <si>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</si>
  <si>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</si>
  <si>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</si>
  <si>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</si>
  <si>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</si>
  <si>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</si>
  <si>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</si>
  <si>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</si>
  <si>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</si>
  <si>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</si>
  <si>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</si>
  <si>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</si>
  <si>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</si>
  <si>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</si>
  <si>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</si>
  <si>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</si>
  <si>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</si>
  <si>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</si>
  <si>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</si>
  <si>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</si>
  <si>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</si>
  <si>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</si>
  <si>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</si>
  <si>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</si>
  <si>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</si>
  <si>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</si>
  <si>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</si>
  <si>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</si>
  <si>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</si>
  <si>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</si>
  <si>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</si>
  <si>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</si>
  <si>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</si>
  <si>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</si>
  <si>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</si>
  <si>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</si>
  <si>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</si>
  <si>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</si>
  <si>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</si>
  <si>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</si>
  <si>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</si>
  <si>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</si>
  <si>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</si>
  <si>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</si>
  <si>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</si>
  <si>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</si>
  <si>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</si>
  <si>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</si>
  <si>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</si>
  <si>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</si>
  <si>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</si>
  <si>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</si>
  <si>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</si>
  <si>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</si>
  <si>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</si>
  <si>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</si>
  <si>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</si>
  <si>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</si>
  <si>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</si>
  <si>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</si>
  <si>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</si>
  <si>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</si>
  <si>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</si>
  <si>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</si>
  <si>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</si>
  <si>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</si>
  <si>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</si>
  <si>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</si>
  <si>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</si>
  <si>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</si>
  <si>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</si>
  <si>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</si>
  <si>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</si>
  <si>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</si>
  <si>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</si>
  <si>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</si>
  <si>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</si>
  <si>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</si>
  <si>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</si>
  <si>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</si>
  <si>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</si>
  <si>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</si>
  <si>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</si>
  <si>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</si>
  <si>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</si>
  <si>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</si>
  <si>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</si>
  <si>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</si>
  <si>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</si>
  <si>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</si>
  <si>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</si>
  <si>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</si>
  <si>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</si>
  <si>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</si>
  <si>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</si>
  <si>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</si>
  <si>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</si>
  <si>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</si>
  <si>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</si>
  <si>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</si>
  <si>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</si>
  <si>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</si>
  <si>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</si>
  <si>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</si>
  <si>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</si>
  <si>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</si>
  <si>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</si>
  <si>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</si>
  <si>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</si>
  <si>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</si>
  <si>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</si>
  <si>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</si>
  <si>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</si>
  <si>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</si>
  <si>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</si>
  <si>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</si>
  <si>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</si>
  <si>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</si>
  <si>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</si>
  <si>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</si>
  <si>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</si>
  <si>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</si>
  <si>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</si>
  <si>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</si>
  <si>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</si>
  <si>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</si>
  <si>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</si>
  <si>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</si>
  <si>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</si>
  <si>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</si>
  <si>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</si>
  <si>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</si>
  <si>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</si>
  <si>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</si>
  <si>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</si>
  <si>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</si>
  <si>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</si>
  <si>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</si>
  <si>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</si>
  <si>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</si>
  <si>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</si>
  <si>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</si>
  <si>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</si>
  <si>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</si>
  <si>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</si>
  <si>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</si>
  <si>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</si>
  <si>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</si>
  <si>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</si>
  <si>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</si>
  <si>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</si>
  <si>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</si>
  <si>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</si>
  <si>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</si>
  <si>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</si>
  <si>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</si>
  <si>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</si>
  <si>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</si>
  <si>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</si>
  <si>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</si>
  <si>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</si>
  <si>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</si>
  <si>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</si>
  <si>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</si>
  <si>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</si>
  <si>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</si>
  <si>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</si>
  <si>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</si>
  <si>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</si>
  <si>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</si>
  <si>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</si>
  <si>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</si>
  <si>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</si>
  <si>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</si>
  <si>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</si>
  <si>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</si>
  <si>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</si>
  <si>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</si>
  <si>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</si>
  <si>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</si>
  <si>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</si>
  <si>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</si>
  <si>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</si>
  <si>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</si>
  <si>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</si>
  <si>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</si>
  <si>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</si>
  <si>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</si>
  <si>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</si>
  <si>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</si>
  <si>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</si>
  <si>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</si>
  <si>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</si>
  <si>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</si>
  <si>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</si>
  <si>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</si>
  <si>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</si>
  <si>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</si>
  <si>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</si>
  <si>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</si>
  <si>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</si>
  <si>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</si>
  <si>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</si>
  <si>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</si>
  <si>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</si>
  <si>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</si>
  <si>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</si>
  <si>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</si>
  <si>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</si>
  <si>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</si>
  <si>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</si>
  <si>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</si>
  <si>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</si>
  <si>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</si>
  <si>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</si>
  <si>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</si>
  <si>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</si>
  <si>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</si>
  <si>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</si>
  <si>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</si>
  <si>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</si>
  <si>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</si>
  <si>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</si>
  <si>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</si>
  <si>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</si>
  <si>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</si>
  <si>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</si>
  <si>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</si>
  <si>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</si>
  <si>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</si>
  <si>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</si>
  <si>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</si>
  <si>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</si>
  <si>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</si>
  <si>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</si>
  <si>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</si>
  <si>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</si>
  <si>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</si>
  <si>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</si>
  <si>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</si>
  <si>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</si>
  <si>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</si>
  <si>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</si>
  <si>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</si>
  <si>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</si>
  <si>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</si>
  <si>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</si>
  <si>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</si>
  <si>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</si>
  <si>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</si>
  <si>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</si>
  <si>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</si>
  <si>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</si>
  <si>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</si>
  <si>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</si>
  <si>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</si>
  <si>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</si>
  <si>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</si>
  <si>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</si>
  <si>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</si>
  <si>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</si>
  <si>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</si>
  <si>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</si>
  <si>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</si>
  <si>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</si>
  <si>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</si>
  <si>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</si>
  <si>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</si>
  <si>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</si>
  <si>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</si>
  <si>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</si>
  <si>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</si>
  <si>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</si>
  <si>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</si>
  <si>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</si>
  <si>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</si>
  <si>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</si>
  <si>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</si>
  <si>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</si>
  <si>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</si>
  <si>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</si>
  <si>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</si>
  <si>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</si>
  <si>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</si>
  <si>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</si>
  <si>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</si>
  <si>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</si>
  <si>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</si>
  <si>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</si>
  <si>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</si>
  <si>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</si>
  <si>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</si>
  <si>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</si>
  <si>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</si>
  <si>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</si>
  <si>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</si>
  <si>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</si>
  <si>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</si>
  <si>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</si>
  <si>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</si>
  <si>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</si>
  <si>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</si>
  <si>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</si>
  <si>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</si>
  <si>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</si>
  <si>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</si>
  <si>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</si>
  <si>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</si>
  <si>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</si>
  <si>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</si>
  <si>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</si>
  <si>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</si>
  <si>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</si>
  <si>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</si>
  <si>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</si>
  <si>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</si>
  <si>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</si>
  <si>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</si>
  <si>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Oroville, CA</t>
  </si>
  <si>
    <t>CA-7198</t>
  </si>
  <si>
    <t>Branson, Connor</t>
  </si>
  <si>
    <t>CA-7265</t>
  </si>
  <si>
    <t>Dalton, Sue</t>
  </si>
  <si>
    <t xml:space="preserve">Napa, Ca 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</si>
  <si>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</si>
  <si>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</si>
  <si>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</si>
  <si>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</si>
  <si>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</si>
  <si>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</si>
  <si>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</si>
  <si>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</si>
  <si>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</si>
  <si>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</si>
  <si>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</si>
  <si>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</si>
  <si>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</si>
  <si>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</si>
  <si>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</si>
  <si>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</si>
  <si>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</si>
  <si>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</si>
  <si>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</si>
  <si>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</si>
  <si>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</si>
  <si>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bobbytlewise@gmail.com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</si>
  <si>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</si>
  <si>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</si>
  <si>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</si>
  <si>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</si>
  <si>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</si>
  <si>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</si>
  <si>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</si>
  <si>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</si>
  <si>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</si>
  <si>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</si>
  <si>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</si>
  <si>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</si>
  <si>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</si>
  <si>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</si>
  <si>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</si>
  <si>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</si>
  <si>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</si>
  <si>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</si>
  <si>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</si>
  <si>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</si>
  <si>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</si>
  <si>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</si>
  <si>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</si>
  <si>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</si>
  <si>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</si>
  <si>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</si>
  <si>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EQ</t>
  </si>
  <si>
    <t>1:6</t>
  </si>
  <si>
    <t>Black, Michelle</t>
  </si>
  <si>
    <t>CA-8008</t>
  </si>
  <si>
    <t>Napa Wine Country Open</t>
  </si>
  <si>
    <t>The Moose Lodge</t>
  </si>
  <si>
    <t>Napa, Ca 94558</t>
  </si>
  <si>
    <t>Roland Hall</t>
  </si>
  <si>
    <t>Yvonne Bowers</t>
  </si>
  <si>
    <t>Michael Rogers</t>
  </si>
  <si>
    <t>707.738.0799</t>
  </si>
  <si>
    <t>510.504.6905</t>
  </si>
  <si>
    <t>roland26h@yahoo.com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</si>
</sst>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b/>
      <sz val="11"/>
      <color rgb="FFFFFFFF"/>
      <name val="Calibri"/>
      <family val="2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35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1" fontId="2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" fontId="11" fillId="0" borderId="3" xfId="0" applyNumberFormat="1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5" fillId="0" borderId="0" xfId="0" applyFont="1" applyProtection="1">
      <protection locked="0"/>
    </xf>
    <xf numFmtId="49" fontId="7" fillId="0" borderId="0" xfId="0" applyNumberFormat="1" applyFont="1" applyProtection="1">
      <protection locked="0"/>
    </xf>
    <xf numFmtId="0" fontId="0" fillId="0" borderId="7" xfId="0" applyBorder="1"/>
    <xf numFmtId="0" fontId="0" fillId="0" borderId="3" xfId="0" applyBorder="1" applyAlignment="1" applyProtection="1">
      <alignment horizontal="center"/>
      <protection locked="0"/>
    </xf>
    <xf numFmtId="0" fontId="0" fillId="0" borderId="7" xfId="0" applyBorder="1" applyAlignment="1">
      <alignment horizontal="center"/>
    </xf>
    <xf numFmtId="0" fontId="9" fillId="0" borderId="3" xfId="2" applyBorder="1" applyAlignment="1" applyProtection="1"/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16" fontId="0" fillId="0" borderId="3" xfId="0" applyNumberFormat="1" applyBorder="1" applyAlignment="1" applyProtection="1">
      <alignment horizontal="center"/>
      <protection locked="0"/>
    </xf>
    <xf numFmtId="20" fontId="2" fillId="0" borderId="3" xfId="0" quotePrefix="1" applyNumberFormat="1" applyFont="1" applyBorder="1" applyAlignment="1">
      <alignment horizontal="center" wrapText="1"/>
    </xf>
    <xf numFmtId="0" fontId="2" fillId="0" borderId="3" xfId="0" quotePrefix="1" applyFont="1" applyBorder="1" applyAlignment="1">
      <alignment horizontal="center" wrapText="1"/>
    </xf>
    <xf numFmtId="167" fontId="5" fillId="0" borderId="3" xfId="0" applyNumberFormat="1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5" fillId="0" borderId="3" xfId="0" applyFont="1" applyBorder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14" fontId="0" fillId="0" borderId="20" xfId="0" applyNumberFormat="1" applyBorder="1" applyProtection="1">
      <protection locked="0"/>
    </xf>
    <xf numFmtId="0" fontId="26" fillId="0" borderId="0" xfId="0" applyFont="1" applyAlignment="1" applyProtection="1">
      <alignment horizontal="left"/>
      <protection locked="0"/>
    </xf>
    <xf numFmtId="0" fontId="26" fillId="0" borderId="0" xfId="0" applyFont="1"/>
    <xf numFmtId="0" fontId="5" fillId="0" borderId="7" xfId="0" applyFont="1" applyBorder="1"/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tyott2000@yahoo.com" TargetMode="External"/><Relationship Id="rId18" Type="http://schemas.openxmlformats.org/officeDocument/2006/relationships/hyperlink" Target="mailto:al.silva711@yahoo.com" TargetMode="External"/><Relationship Id="rId26" Type="http://schemas.openxmlformats.org/officeDocument/2006/relationships/hyperlink" Target="mailto:s.hastie95610@gmail.com" TargetMode="External"/><Relationship Id="rId39" Type="http://schemas.openxmlformats.org/officeDocument/2006/relationships/ctrlProp" Target="../ctrlProps/ctrlProp12.xml"/><Relationship Id="rId21" Type="http://schemas.openxmlformats.org/officeDocument/2006/relationships/hyperlink" Target="mailto:andrew@kramerthecat.com" TargetMode="External"/><Relationship Id="rId34" Type="http://schemas.openxmlformats.org/officeDocument/2006/relationships/hyperlink" Target="mailto:ryan.haley21@gmail.com" TargetMode="External"/><Relationship Id="rId42" Type="http://schemas.openxmlformats.org/officeDocument/2006/relationships/ctrlProp" Target="../ctrlProps/ctrlProp15.xml"/><Relationship Id="rId47" Type="http://schemas.openxmlformats.org/officeDocument/2006/relationships/ctrlProp" Target="../ctrlProps/ctrlProp20.xml"/><Relationship Id="rId50" Type="http://schemas.openxmlformats.org/officeDocument/2006/relationships/ctrlProp" Target="../ctrlProps/ctrlProp23.xml"/><Relationship Id="rId55" Type="http://schemas.openxmlformats.org/officeDocument/2006/relationships/ctrlProp" Target="../ctrlProps/ctrlProp28.xml"/><Relationship Id="rId7" Type="http://schemas.openxmlformats.org/officeDocument/2006/relationships/hyperlink" Target="mailto:joseph.pelland@gmail.com" TargetMode="External"/><Relationship Id="rId2" Type="http://schemas.openxmlformats.org/officeDocument/2006/relationships/hyperlink" Target="mailto:steve.tuscher@gmail.com" TargetMode="External"/><Relationship Id="rId16" Type="http://schemas.openxmlformats.org/officeDocument/2006/relationships/hyperlink" Target="mailto:barcyt@hotmail.com" TargetMode="External"/><Relationship Id="rId29" Type="http://schemas.openxmlformats.org/officeDocument/2006/relationships/hyperlink" Target="mailto:jeanetteD761@gmail.com" TargetMode="External"/><Relationship Id="rId11" Type="http://schemas.openxmlformats.org/officeDocument/2006/relationships/hyperlink" Target="mailto:ntmartel@outlook.com" TargetMode="External"/><Relationship Id="rId24" Type="http://schemas.openxmlformats.org/officeDocument/2006/relationships/hyperlink" Target="mailto:jakkaboli@gmail.com" TargetMode="External"/><Relationship Id="rId32" Type="http://schemas.openxmlformats.org/officeDocument/2006/relationships/hyperlink" Target="mailto:azelton@outlook.com" TargetMode="External"/><Relationship Id="rId37" Type="http://schemas.openxmlformats.org/officeDocument/2006/relationships/vmlDrawing" Target="../drawings/vmlDrawing4.vml"/><Relationship Id="rId40" Type="http://schemas.openxmlformats.org/officeDocument/2006/relationships/ctrlProp" Target="../ctrlProps/ctrlProp13.xml"/><Relationship Id="rId45" Type="http://schemas.openxmlformats.org/officeDocument/2006/relationships/ctrlProp" Target="../ctrlProps/ctrlProp18.xml"/><Relationship Id="rId53" Type="http://schemas.openxmlformats.org/officeDocument/2006/relationships/ctrlProp" Target="../ctrlProps/ctrlProp26.xml"/><Relationship Id="rId58" Type="http://schemas.openxmlformats.org/officeDocument/2006/relationships/ctrlProp" Target="../ctrlProps/ctrlProp31.xml"/><Relationship Id="rId5" Type="http://schemas.openxmlformats.org/officeDocument/2006/relationships/hyperlink" Target="mailto:sylvurhfox@comcast.net" TargetMode="External"/><Relationship Id="rId61" Type="http://schemas.openxmlformats.org/officeDocument/2006/relationships/ctrlProp" Target="../ctrlProps/ctrlProp34.xml"/><Relationship Id="rId19" Type="http://schemas.openxmlformats.org/officeDocument/2006/relationships/hyperlink" Target="mailto:bschlabes@gmail.com" TargetMode="External"/><Relationship Id="rId14" Type="http://schemas.openxmlformats.org/officeDocument/2006/relationships/hyperlink" Target="mailto:bigcalfan4@hotmail.com" TargetMode="External"/><Relationship Id="rId22" Type="http://schemas.openxmlformats.org/officeDocument/2006/relationships/hyperlink" Target="mailto:mkimsal57@yahoo.com" TargetMode="External"/><Relationship Id="rId27" Type="http://schemas.openxmlformats.org/officeDocument/2006/relationships/hyperlink" Target="mailto:ellie.miller.hall@gmail.com" TargetMode="External"/><Relationship Id="rId30" Type="http://schemas.openxmlformats.org/officeDocument/2006/relationships/hyperlink" Target="mailto:yvonne@yvonnebowers.com" TargetMode="External"/><Relationship Id="rId35" Type="http://schemas.openxmlformats.org/officeDocument/2006/relationships/printerSettings" Target="../printerSettings/printerSettings3.bin"/><Relationship Id="rId43" Type="http://schemas.openxmlformats.org/officeDocument/2006/relationships/ctrlProp" Target="../ctrlProps/ctrlProp16.xml"/><Relationship Id="rId48" Type="http://schemas.openxmlformats.org/officeDocument/2006/relationships/ctrlProp" Target="../ctrlProps/ctrlProp21.xml"/><Relationship Id="rId56" Type="http://schemas.openxmlformats.org/officeDocument/2006/relationships/ctrlProp" Target="../ctrlProps/ctrlProp29.xml"/><Relationship Id="rId8" Type="http://schemas.openxmlformats.org/officeDocument/2006/relationships/hyperlink" Target="mailto:jimhef@comcast.net" TargetMode="External"/><Relationship Id="rId51" Type="http://schemas.openxmlformats.org/officeDocument/2006/relationships/ctrlProp" Target="../ctrlProps/ctrlProp24.xml"/><Relationship Id="rId3" Type="http://schemas.openxmlformats.org/officeDocument/2006/relationships/hyperlink" Target="mailto:sefmick1466@gmail.com" TargetMode="External"/><Relationship Id="rId12" Type="http://schemas.openxmlformats.org/officeDocument/2006/relationships/hyperlink" Target="mailto:dnhaley1@outlook.com" TargetMode="External"/><Relationship Id="rId17" Type="http://schemas.openxmlformats.org/officeDocument/2006/relationships/hyperlink" Target="mailto:maggy416@yahoo.com" TargetMode="External"/><Relationship Id="rId25" Type="http://schemas.openxmlformats.org/officeDocument/2006/relationships/hyperlink" Target="mailto:terryhi@yahoo.com" TargetMode="External"/><Relationship Id="rId33" Type="http://schemas.openxmlformats.org/officeDocument/2006/relationships/hyperlink" Target="mailto:dsspero@comcast.net" TargetMode="External"/><Relationship Id="rId38" Type="http://schemas.openxmlformats.org/officeDocument/2006/relationships/ctrlProp" Target="../ctrlProps/ctrlProp11.xml"/><Relationship Id="rId46" Type="http://schemas.openxmlformats.org/officeDocument/2006/relationships/ctrlProp" Target="../ctrlProps/ctrlProp19.xml"/><Relationship Id="rId59" Type="http://schemas.openxmlformats.org/officeDocument/2006/relationships/ctrlProp" Target="../ctrlProps/ctrlProp32.xml"/><Relationship Id="rId20" Type="http://schemas.openxmlformats.org/officeDocument/2006/relationships/hyperlink" Target="mailto:mlr94549@yahoo.com" TargetMode="External"/><Relationship Id="rId41" Type="http://schemas.openxmlformats.org/officeDocument/2006/relationships/ctrlProp" Target="../ctrlProps/ctrlProp14.xml"/><Relationship Id="rId54" Type="http://schemas.openxmlformats.org/officeDocument/2006/relationships/ctrlProp" Target="../ctrlProps/ctrlProp27.xml"/><Relationship Id="rId62" Type="http://schemas.openxmlformats.org/officeDocument/2006/relationships/ctrlProp" Target="../ctrlProps/ctrlProp35.xml"/><Relationship Id="rId1" Type="http://schemas.openxmlformats.org/officeDocument/2006/relationships/hyperlink" Target="mailto:fziari@yahoo.com" TargetMode="External"/><Relationship Id="rId6" Type="http://schemas.openxmlformats.org/officeDocument/2006/relationships/hyperlink" Target="mailto:terisaur@sbcglobal.net" TargetMode="External"/><Relationship Id="rId15" Type="http://schemas.openxmlformats.org/officeDocument/2006/relationships/hyperlink" Target="mailto:jim@pfpros.com" TargetMode="External"/><Relationship Id="rId23" Type="http://schemas.openxmlformats.org/officeDocument/2006/relationships/hyperlink" Target="mailto:stankatzman917@gmail.com" TargetMode="External"/><Relationship Id="rId28" Type="http://schemas.openxmlformats.org/officeDocument/2006/relationships/hyperlink" Target="mailto:fritschen57@gmail.com" TargetMode="External"/><Relationship Id="rId36" Type="http://schemas.openxmlformats.org/officeDocument/2006/relationships/drawing" Target="../drawings/drawing4.xml"/><Relationship Id="rId49" Type="http://schemas.openxmlformats.org/officeDocument/2006/relationships/ctrlProp" Target="../ctrlProps/ctrlProp22.xml"/><Relationship Id="rId57" Type="http://schemas.openxmlformats.org/officeDocument/2006/relationships/ctrlProp" Target="../ctrlProps/ctrlProp30.xml"/><Relationship Id="rId10" Type="http://schemas.openxmlformats.org/officeDocument/2006/relationships/hyperlink" Target="mailto:numbercruncher@live.com" TargetMode="External"/><Relationship Id="rId31" Type="http://schemas.openxmlformats.org/officeDocument/2006/relationships/hyperlink" Target="mailto:scott@madwills.com" TargetMode="External"/><Relationship Id="rId44" Type="http://schemas.openxmlformats.org/officeDocument/2006/relationships/ctrlProp" Target="../ctrlProps/ctrlProp17.xml"/><Relationship Id="rId52" Type="http://schemas.openxmlformats.org/officeDocument/2006/relationships/ctrlProp" Target="../ctrlProps/ctrlProp25.xml"/><Relationship Id="rId60" Type="http://schemas.openxmlformats.org/officeDocument/2006/relationships/ctrlProp" Target="../ctrlProps/ctrlProp33.xml"/><Relationship Id="rId4" Type="http://schemas.openxmlformats.org/officeDocument/2006/relationships/hyperlink" Target="mailto:tomfherman@gmail.com" TargetMode="External"/><Relationship Id="rId9" Type="http://schemas.openxmlformats.org/officeDocument/2006/relationships/hyperlink" Target="mailto:bobbytlewise@gmail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G15" sqref="G15:H15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71" t="s">
        <v>608</v>
      </c>
      <c r="C1" s="118" t="s">
        <v>609</v>
      </c>
      <c r="D1" s="119"/>
      <c r="E1" s="120"/>
      <c r="F1" s="72"/>
      <c r="G1" s="85"/>
      <c r="H1" s="72"/>
    </row>
    <row r="2" spans="1:8" ht="15.75" thickBot="1" x14ac:dyDescent="0.3"/>
    <row r="3" spans="1:8" ht="16.5" thickBot="1" x14ac:dyDescent="0.3">
      <c r="A3" s="73" t="s">
        <v>417</v>
      </c>
      <c r="C3" s="121" t="s">
        <v>702</v>
      </c>
      <c r="D3" s="122"/>
      <c r="E3" s="122"/>
      <c r="F3" s="122"/>
      <c r="G3" s="123"/>
    </row>
    <row r="4" spans="1:8" ht="15.75" thickBot="1" x14ac:dyDescent="0.3"/>
    <row r="5" spans="1:8" ht="16.5" thickBot="1" x14ac:dyDescent="0.3">
      <c r="A5" s="73" t="s">
        <v>610</v>
      </c>
      <c r="C5" s="121" t="s">
        <v>703</v>
      </c>
      <c r="D5" s="122"/>
      <c r="E5" s="122"/>
      <c r="F5" s="122"/>
      <c r="G5" s="123"/>
    </row>
    <row r="6" spans="1:8" ht="15.75" thickBot="1" x14ac:dyDescent="0.3">
      <c r="H6" s="74"/>
    </row>
    <row r="7" spans="1:8" ht="16.5" thickBot="1" x14ac:dyDescent="0.3">
      <c r="A7" s="73" t="s">
        <v>611</v>
      </c>
      <c r="C7" s="121" t="s">
        <v>704</v>
      </c>
      <c r="D7" s="122"/>
      <c r="E7" s="122"/>
      <c r="F7" s="122"/>
      <c r="G7" s="123"/>
    </row>
    <row r="8" spans="1:8" ht="15.75" thickBot="1" x14ac:dyDescent="0.3"/>
    <row r="9" spans="1:8" ht="16.5" thickBot="1" x14ac:dyDescent="0.3">
      <c r="A9" s="73" t="s">
        <v>421</v>
      </c>
      <c r="C9" s="112">
        <v>45402</v>
      </c>
    </row>
    <row r="10" spans="1:8" ht="15.75" thickBot="1" x14ac:dyDescent="0.3"/>
    <row r="11" spans="1:8" ht="16.5" thickBot="1" x14ac:dyDescent="0.3">
      <c r="A11" s="73" t="s">
        <v>612</v>
      </c>
      <c r="C11" s="116" t="s">
        <v>705</v>
      </c>
      <c r="D11" s="117"/>
      <c r="E11" s="116" t="s">
        <v>706</v>
      </c>
      <c r="F11" s="117"/>
      <c r="G11" s="116" t="s">
        <v>707</v>
      </c>
      <c r="H11" s="117"/>
    </row>
    <row r="12" spans="1:8" ht="16.5" thickBot="1" x14ac:dyDescent="0.3">
      <c r="A12" s="73"/>
      <c r="C12" s="53"/>
      <c r="D12" s="53"/>
      <c r="E12" s="53"/>
      <c r="F12" s="53"/>
      <c r="G12" s="53"/>
      <c r="H12" s="53"/>
    </row>
    <row r="13" spans="1:8" ht="16.5" thickBot="1" x14ac:dyDescent="0.3">
      <c r="A13" s="73" t="s">
        <v>428</v>
      </c>
      <c r="C13" s="116" t="s">
        <v>708</v>
      </c>
      <c r="D13" s="117"/>
      <c r="E13" s="116"/>
      <c r="F13" s="117"/>
      <c r="G13" s="116" t="s">
        <v>709</v>
      </c>
      <c r="H13" s="117"/>
    </row>
    <row r="14" spans="1:8" ht="16.5" thickBot="1" x14ac:dyDescent="0.3">
      <c r="A14" s="73"/>
      <c r="C14" s="53"/>
      <c r="D14" s="53"/>
      <c r="E14" s="53"/>
      <c r="F14" s="53"/>
      <c r="G14" s="53"/>
      <c r="H14" s="53"/>
    </row>
    <row r="15" spans="1:8" ht="16.5" customHeight="1" thickBot="1" x14ac:dyDescent="0.3">
      <c r="A15" s="73" t="s">
        <v>613</v>
      </c>
      <c r="C15" s="116" t="s">
        <v>710</v>
      </c>
      <c r="D15" s="117"/>
      <c r="E15" s="116"/>
      <c r="F15" s="117"/>
      <c r="G15" s="116"/>
      <c r="H15" s="117"/>
    </row>
  </sheetData>
  <sheetProtection sheet="1" objects="1" scenarios="1" selectLockedCells="1"/>
  <mergeCells count="13">
    <mergeCell ref="C1:E1"/>
    <mergeCell ref="C3:G3"/>
    <mergeCell ref="C5:G5"/>
    <mergeCell ref="C7:G7"/>
    <mergeCell ref="C11:D11"/>
    <mergeCell ref="E11:F11"/>
    <mergeCell ref="G11:H11"/>
    <mergeCell ref="C13:D13"/>
    <mergeCell ref="E13:F13"/>
    <mergeCell ref="G13:H13"/>
    <mergeCell ref="C15:D15"/>
    <mergeCell ref="E15:F15"/>
    <mergeCell ref="G15:H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workbookViewId="0">
      <selection activeCell="B26" sqref="B26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71" t="s">
        <v>614</v>
      </c>
    </row>
    <row r="2" spans="1:7" ht="19.5" thickBot="1" x14ac:dyDescent="0.35">
      <c r="C2" s="124" t="s">
        <v>609</v>
      </c>
      <c r="D2" s="125"/>
      <c r="E2" s="125"/>
      <c r="F2" s="125"/>
      <c r="G2" s="126"/>
    </row>
    <row r="3" spans="1:7" ht="18.75" x14ac:dyDescent="0.3">
      <c r="C3" s="75"/>
      <c r="D3" s="75"/>
      <c r="E3" s="75"/>
      <c r="F3" s="75"/>
      <c r="G3" s="75"/>
    </row>
    <row r="4" spans="1:7" x14ac:dyDescent="0.25">
      <c r="A4" s="4" t="s">
        <v>615</v>
      </c>
      <c r="B4" s="127"/>
      <c r="C4" s="127"/>
      <c r="D4" s="127"/>
      <c r="E4" s="127"/>
      <c r="F4" s="127"/>
    </row>
    <row r="5" spans="1:7" x14ac:dyDescent="0.25">
      <c r="A5" s="4" t="s">
        <v>616</v>
      </c>
      <c r="B5" s="128"/>
      <c r="C5" s="128"/>
      <c r="D5" s="128"/>
      <c r="E5" s="128"/>
      <c r="F5" s="128"/>
    </row>
    <row r="6" spans="1:7" x14ac:dyDescent="0.25">
      <c r="A6" s="4" t="s">
        <v>617</v>
      </c>
      <c r="B6" s="128"/>
      <c r="C6" s="128"/>
      <c r="D6" s="128"/>
      <c r="E6" s="128"/>
      <c r="F6" s="128"/>
    </row>
    <row r="7" spans="1:7" x14ac:dyDescent="0.25">
      <c r="A7" s="4" t="s">
        <v>618</v>
      </c>
      <c r="B7" s="82"/>
      <c r="C7" s="76"/>
      <c r="D7" s="76"/>
      <c r="E7" s="76"/>
      <c r="F7" s="76"/>
    </row>
    <row r="9" spans="1:7" ht="15.75" thickBot="1" x14ac:dyDescent="0.3">
      <c r="A9" s="4"/>
      <c r="B9" s="77"/>
    </row>
    <row r="10" spans="1:7" ht="15.75" thickBot="1" x14ac:dyDescent="0.3">
      <c r="A10" s="4" t="s">
        <v>619</v>
      </c>
      <c r="B10" s="86"/>
      <c r="C10" s="4" t="s">
        <v>620</v>
      </c>
      <c r="D10" s="86"/>
    </row>
    <row r="11" spans="1:7" ht="15.75" thickBot="1" x14ac:dyDescent="0.3"/>
    <row r="12" spans="1:7" ht="15.75" thickBot="1" x14ac:dyDescent="0.3">
      <c r="A12" s="4" t="s">
        <v>621</v>
      </c>
      <c r="B12" s="86"/>
    </row>
    <row r="13" spans="1:7" ht="15.75" thickBot="1" x14ac:dyDescent="0.3"/>
    <row r="14" spans="1:7" ht="15.75" thickBot="1" x14ac:dyDescent="0.3">
      <c r="A14" s="4" t="s">
        <v>622</v>
      </c>
      <c r="B14" s="86"/>
    </row>
    <row r="15" spans="1:7" x14ac:dyDescent="0.25">
      <c r="C15" s="129" t="s">
        <v>623</v>
      </c>
      <c r="D15" s="129"/>
      <c r="E15" s="129"/>
      <c r="F15" s="129"/>
    </row>
    <row r="16" spans="1:7" ht="16.5" thickBot="1" x14ac:dyDescent="0.3">
      <c r="A16" s="4" t="s">
        <v>624</v>
      </c>
      <c r="B16" s="4"/>
      <c r="C16" s="98">
        <v>1</v>
      </c>
      <c r="D16" s="98">
        <v>2</v>
      </c>
      <c r="E16" s="98">
        <v>3</v>
      </c>
      <c r="F16" s="98">
        <v>4</v>
      </c>
    </row>
    <row r="17" spans="1:8" ht="15.75" thickBot="1" x14ac:dyDescent="0.3">
      <c r="B17" s="78" t="s">
        <v>625</v>
      </c>
      <c r="C17" s="87"/>
      <c r="D17" s="87"/>
      <c r="E17" s="87"/>
      <c r="F17" s="87"/>
      <c r="H17" s="79" t="s">
        <v>626</v>
      </c>
    </row>
    <row r="18" spans="1:8" ht="15.75" thickBot="1" x14ac:dyDescent="0.3">
      <c r="B18" s="78" t="s">
        <v>620</v>
      </c>
      <c r="C18" s="110"/>
      <c r="D18" s="110"/>
      <c r="E18" s="110"/>
      <c r="F18" s="110"/>
      <c r="H18" s="79" t="s">
        <v>627</v>
      </c>
    </row>
    <row r="21" spans="1:8" x14ac:dyDescent="0.25">
      <c r="A21" s="80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111"/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6"/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disablePrompts="1"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25"/>
  <sheetViews>
    <sheetView workbookViewId="0">
      <selection activeCell="C18" sqref="C18:F18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71" t="s">
        <v>634</v>
      </c>
    </row>
    <row r="2" spans="1:7" ht="19.5" thickBot="1" x14ac:dyDescent="0.35">
      <c r="C2" s="130" t="s">
        <v>609</v>
      </c>
      <c r="D2" s="131"/>
      <c r="E2" s="131"/>
      <c r="F2" s="131"/>
      <c r="G2" s="132"/>
    </row>
    <row r="3" spans="1:7" ht="18.75" x14ac:dyDescent="0.3">
      <c r="C3" s="75"/>
      <c r="D3" s="75"/>
      <c r="E3" s="75"/>
      <c r="F3" s="75"/>
      <c r="G3" s="75"/>
    </row>
    <row r="4" spans="1:7" x14ac:dyDescent="0.25">
      <c r="A4" s="4" t="s">
        <v>615</v>
      </c>
      <c r="B4" s="127"/>
      <c r="C4" s="127"/>
      <c r="D4" s="127"/>
      <c r="E4" s="127"/>
      <c r="F4" s="127"/>
    </row>
    <row r="5" spans="1:7" x14ac:dyDescent="0.25">
      <c r="A5" s="4" t="s">
        <v>616</v>
      </c>
      <c r="B5" s="81"/>
      <c r="C5" s="81"/>
      <c r="D5" s="81"/>
      <c r="E5" s="81"/>
      <c r="F5" s="81"/>
    </row>
    <row r="6" spans="1:7" x14ac:dyDescent="0.25">
      <c r="A6" s="4" t="s">
        <v>617</v>
      </c>
      <c r="B6" s="81"/>
    </row>
    <row r="7" spans="1:7" x14ac:dyDescent="0.25">
      <c r="A7" s="4" t="s">
        <v>618</v>
      </c>
      <c r="B7" s="82"/>
      <c r="C7" s="81"/>
      <c r="D7" s="81"/>
      <c r="E7" s="81"/>
      <c r="F7" s="81"/>
    </row>
    <row r="9" spans="1:7" ht="15.75" thickBot="1" x14ac:dyDescent="0.3">
      <c r="A9" s="4"/>
      <c r="B9" s="77"/>
    </row>
    <row r="10" spans="1:7" ht="15.75" thickBot="1" x14ac:dyDescent="0.3">
      <c r="A10" s="4" t="s">
        <v>619</v>
      </c>
      <c r="B10" s="86"/>
      <c r="C10" s="4" t="s">
        <v>620</v>
      </c>
      <c r="D10" s="86"/>
    </row>
    <row r="11" spans="1:7" ht="15.75" thickBot="1" x14ac:dyDescent="0.3">
      <c r="A11" s="4"/>
      <c r="B11" s="77"/>
    </row>
    <row r="12" spans="1:7" ht="15.75" thickBot="1" x14ac:dyDescent="0.3">
      <c r="A12" s="4" t="s">
        <v>635</v>
      </c>
      <c r="B12" s="86"/>
    </row>
    <row r="13" spans="1:7" ht="15.75" thickBot="1" x14ac:dyDescent="0.3"/>
    <row r="14" spans="1:7" ht="15.75" thickBot="1" x14ac:dyDescent="0.3">
      <c r="A14" s="4" t="s">
        <v>622</v>
      </c>
      <c r="B14" s="86"/>
    </row>
    <row r="15" spans="1:7" x14ac:dyDescent="0.25">
      <c r="C15" s="129" t="s">
        <v>636</v>
      </c>
      <c r="D15" s="129"/>
      <c r="E15" s="129"/>
      <c r="F15" s="129"/>
    </row>
    <row r="16" spans="1:7" ht="15.75" thickBot="1" x14ac:dyDescent="0.3">
      <c r="A16" s="4" t="s">
        <v>624</v>
      </c>
      <c r="B16" s="4"/>
      <c r="C16" s="76">
        <v>1</v>
      </c>
      <c r="D16" s="76">
        <v>2</v>
      </c>
      <c r="E16" s="76">
        <v>3</v>
      </c>
      <c r="F16" s="76">
        <v>4</v>
      </c>
    </row>
    <row r="17" spans="1:8" ht="15.75" thickBot="1" x14ac:dyDescent="0.3">
      <c r="B17" s="78" t="s">
        <v>625</v>
      </c>
      <c r="C17" s="87"/>
      <c r="D17" s="87"/>
      <c r="E17" s="87"/>
      <c r="F17" s="87"/>
      <c r="H17" s="79" t="s">
        <v>626</v>
      </c>
    </row>
    <row r="18" spans="1:8" ht="15.75" thickBot="1" x14ac:dyDescent="0.3">
      <c r="B18" s="78" t="s">
        <v>620</v>
      </c>
      <c r="C18" s="87"/>
      <c r="D18" s="87"/>
      <c r="E18" s="87"/>
      <c r="F18" s="87"/>
      <c r="H18" s="79" t="s">
        <v>627</v>
      </c>
    </row>
    <row r="21" spans="1:8" x14ac:dyDescent="0.25">
      <c r="A21" s="80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6"/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6"/>
      <c r="D25" s="83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00000000-0002-0000-0200-000000000000}">
      <formula1>"10, 20, 50"</formula1>
    </dataValidation>
    <dataValidation type="list" allowBlank="1" showInputMessage="1" showErrorMessage="1" sqref="C17:F17" xr:uid="{00000000-0002-0000-0200-000001000000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U411"/>
  <sheetViews>
    <sheetView showZeros="0" tabSelected="1" workbookViewId="0">
      <selection activeCell="B12" sqref="B12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2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</cols>
  <sheetData>
    <row r="1" spans="1:21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1" ht="15.75" x14ac:dyDescent="0.25">
      <c r="A2" s="23"/>
      <c r="B2" s="16"/>
      <c r="C2" s="16"/>
      <c r="D2" s="19"/>
      <c r="E2" s="17"/>
      <c r="F2" s="17"/>
      <c r="G2" s="17"/>
      <c r="H2" s="107" t="s">
        <v>417</v>
      </c>
      <c r="I2" s="107"/>
      <c r="J2" s="16"/>
      <c r="K2" s="133" t="s">
        <v>702</v>
      </c>
      <c r="L2" s="133"/>
      <c r="M2" s="133"/>
      <c r="N2" s="133"/>
      <c r="O2" s="16"/>
      <c r="P2" s="19"/>
      <c r="Q2" s="21"/>
      <c r="R2" s="16"/>
      <c r="S2" s="21"/>
      <c r="T2" s="22"/>
      <c r="U2" s="22"/>
    </row>
    <row r="3" spans="1:21" ht="15.75" x14ac:dyDescent="0.25">
      <c r="A3" s="24" t="s">
        <v>418</v>
      </c>
      <c r="D3" s="16"/>
      <c r="E3" s="17"/>
      <c r="F3" s="17"/>
      <c r="G3" s="17"/>
      <c r="H3" s="107" t="s">
        <v>419</v>
      </c>
      <c r="I3" s="107"/>
      <c r="J3" s="16"/>
      <c r="K3" s="133" t="s">
        <v>703</v>
      </c>
      <c r="L3" s="133"/>
      <c r="M3" s="133"/>
      <c r="N3" s="133"/>
      <c r="O3" s="16"/>
      <c r="P3" s="19"/>
      <c r="Q3" s="21"/>
      <c r="R3" s="16"/>
      <c r="S3" s="21"/>
      <c r="T3" s="22"/>
      <c r="U3" s="22"/>
    </row>
    <row r="4" spans="1:21" ht="15.75" x14ac:dyDescent="0.25">
      <c r="A4" s="23"/>
      <c r="B4" s="16"/>
      <c r="C4" s="16"/>
      <c r="D4" s="16"/>
      <c r="E4" s="17"/>
      <c r="F4" s="17"/>
      <c r="G4" s="17"/>
      <c r="H4" s="107" t="s">
        <v>420</v>
      </c>
      <c r="I4" s="107"/>
      <c r="J4" s="16"/>
      <c r="K4" s="133" t="s">
        <v>704</v>
      </c>
      <c r="L4" s="133"/>
      <c r="M4" s="133"/>
      <c r="N4" s="133"/>
      <c r="O4" s="16"/>
      <c r="P4" s="19"/>
      <c r="Q4" s="21"/>
      <c r="R4" s="16"/>
      <c r="S4" s="21"/>
      <c r="T4" s="22"/>
      <c r="U4" s="22"/>
    </row>
    <row r="5" spans="1:21" ht="15.75" x14ac:dyDescent="0.25">
      <c r="A5" s="23"/>
      <c r="B5" s="16"/>
      <c r="C5" s="16"/>
      <c r="D5" s="16"/>
      <c r="E5" s="17"/>
      <c r="F5" s="17"/>
      <c r="G5" s="17"/>
      <c r="H5" s="107" t="s">
        <v>421</v>
      </c>
      <c r="I5" s="107"/>
      <c r="J5" s="16"/>
      <c r="K5" s="134">
        <v>45402</v>
      </c>
      <c r="L5" s="134"/>
      <c r="M5" s="108"/>
      <c r="N5" s="108"/>
      <c r="O5" s="16"/>
      <c r="P5" s="19"/>
      <c r="Q5" s="21"/>
      <c r="R5" s="16"/>
      <c r="S5" s="21"/>
      <c r="T5" s="22"/>
      <c r="U5" s="22"/>
    </row>
    <row r="6" spans="1:21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1" x14ac:dyDescent="0.25">
      <c r="A7" s="16"/>
      <c r="B7" s="16"/>
      <c r="C7" s="19"/>
      <c r="D7" s="19"/>
      <c r="E7" s="17"/>
      <c r="F7" s="17"/>
      <c r="G7" s="17"/>
      <c r="H7" s="27"/>
      <c r="I7" s="16"/>
      <c r="J7" s="113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1" x14ac:dyDescent="0.25">
      <c r="A8" s="16"/>
      <c r="B8" s="16"/>
      <c r="C8" s="19"/>
      <c r="D8" s="19"/>
      <c r="E8" s="17"/>
      <c r="F8" s="17"/>
      <c r="G8" s="17"/>
      <c r="H8" s="16"/>
      <c r="I8" s="16"/>
      <c r="J8" s="114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1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1" x14ac:dyDescent="0.25">
      <c r="A10" s="29"/>
      <c r="B10" s="106">
        <f>COUNTIF(B12:B322,"&lt;&gt;" &amp; "")</f>
        <v>0</v>
      </c>
      <c r="C10" s="31"/>
      <c r="D10" s="31"/>
      <c r="E10" s="17"/>
      <c r="F10" s="17"/>
      <c r="G10" s="17"/>
      <c r="H10" s="106">
        <f>COUNTIF(H12:H411,"&lt;&gt;" &amp; "")</f>
        <v>0</v>
      </c>
      <c r="I10" s="106">
        <f t="shared" ref="I10:N10" si="0">COUNTIF(I12:I411,"&lt;&gt;" &amp; "")</f>
        <v>0</v>
      </c>
      <c r="J10" s="106">
        <f t="shared" si="0"/>
        <v>0</v>
      </c>
      <c r="K10" s="106">
        <f t="shared" si="0"/>
        <v>0</v>
      </c>
      <c r="L10" s="106">
        <f t="shared" si="0"/>
        <v>0</v>
      </c>
      <c r="M10" s="106">
        <f t="shared" si="0"/>
        <v>0</v>
      </c>
      <c r="N10" s="106">
        <f t="shared" si="0"/>
        <v>0</v>
      </c>
      <c r="O10" s="105">
        <f>SUM(O12:O411)</f>
        <v>0</v>
      </c>
      <c r="P10" s="32"/>
      <c r="Q10" s="25"/>
      <c r="R10" s="33">
        <f>SUM(R12:R411)</f>
        <v>0</v>
      </c>
      <c r="S10" s="33">
        <f>SUM(S12:S411)</f>
        <v>0</v>
      </c>
      <c r="T10" s="33">
        <f>SUM(T12:T411)</f>
        <v>0</v>
      </c>
      <c r="U10" s="30">
        <f>COUNTIF(U12:U411,"&lt;&gt;" &amp; "")</f>
        <v>0</v>
      </c>
    </row>
    <row r="11" spans="1:21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39" t="s">
        <v>428</v>
      </c>
      <c r="G11" s="39" t="s">
        <v>429</v>
      </c>
      <c r="H11" s="40" t="s">
        <v>698</v>
      </c>
      <c r="I11" s="103" t="s">
        <v>699</v>
      </c>
      <c r="J11" s="104" t="s">
        <v>699</v>
      </c>
      <c r="K11" s="104" t="s">
        <v>699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</row>
    <row r="12" spans="1:21" x14ac:dyDescent="0.25">
      <c r="A12" s="46">
        <f t="shared" ref="A12:A75" si="1">ROW() - ROW(FRegEntriesEnteredHdr)</f>
        <v>1</v>
      </c>
      <c r="B12" s="47"/>
      <c r="C12" s="5" t="s">
        <v>4</v>
      </c>
      <c r="D12" s="5" t="s">
        <v>5</v>
      </c>
      <c r="E12" s="6" t="s">
        <v>6</v>
      </c>
      <c r="F12" s="48"/>
      <c r="G12" s="12" t="s">
        <v>444</v>
      </c>
      <c r="H12" s="49"/>
      <c r="I12" s="47"/>
      <c r="J12" s="47"/>
      <c r="K12" s="47"/>
      <c r="L12" s="47"/>
      <c r="M12" s="47"/>
      <c r="N12" s="47"/>
      <c r="O12" s="99">
        <f t="shared" ref="O12:O43" si="2">T12*N12</f>
        <v>0</v>
      </c>
      <c r="P12" s="47"/>
      <c r="Q12" s="47"/>
      <c r="R12" s="100" t="str">
        <f t="shared" ref="R12:R43" si="3">IF(OR(P12="c",P12="C"),+T12,"")</f>
        <v/>
      </c>
      <c r="S12" s="100" t="str">
        <f t="shared" ref="S12:S43" si="4">IF(OR(P12="$",N12=1),+T12,"")</f>
        <v/>
      </c>
      <c r="T12" s="101">
        <f t="shared" ref="T12:T43" si="5">B12*FRegMainSetUpEntryFee + H12*FRegMainSetUpPool1Fee + I12*FRegMainSetUpPool2Fee + J12*FRegMainSetUpPool3Fee + K12*FRegMainSetUpPool4Fee</f>
        <v>0</v>
      </c>
      <c r="U12" s="52"/>
    </row>
    <row r="13" spans="1:21" x14ac:dyDescent="0.25">
      <c r="A13" s="46">
        <f t="shared" si="1"/>
        <v>2</v>
      </c>
      <c r="B13" s="47"/>
      <c r="C13" s="7" t="s">
        <v>7</v>
      </c>
      <c r="D13" s="7" t="s">
        <v>8</v>
      </c>
      <c r="E13" s="8" t="s">
        <v>9</v>
      </c>
      <c r="F13" s="53" t="s">
        <v>445</v>
      </c>
      <c r="G13" s="12" t="s">
        <v>446</v>
      </c>
      <c r="H13" s="49"/>
      <c r="I13" s="47"/>
      <c r="J13" s="47"/>
      <c r="K13" s="47"/>
      <c r="L13" s="47"/>
      <c r="M13" s="47"/>
      <c r="N13" s="47"/>
      <c r="O13" s="99">
        <f t="shared" si="2"/>
        <v>0</v>
      </c>
      <c r="P13" s="47"/>
      <c r="Q13" s="47"/>
      <c r="R13" s="100" t="str">
        <f t="shared" si="3"/>
        <v/>
      </c>
      <c r="S13" s="100" t="str">
        <f t="shared" si="4"/>
        <v/>
      </c>
      <c r="T13" s="101">
        <f t="shared" si="5"/>
        <v>0</v>
      </c>
      <c r="U13" s="52"/>
    </row>
    <row r="14" spans="1:21" x14ac:dyDescent="0.25">
      <c r="A14" s="46">
        <f t="shared" si="1"/>
        <v>3</v>
      </c>
      <c r="B14" s="54"/>
      <c r="C14" s="5" t="s">
        <v>10</v>
      </c>
      <c r="D14" s="5" t="s">
        <v>11</v>
      </c>
      <c r="E14" s="6" t="s">
        <v>12</v>
      </c>
      <c r="F14" s="48"/>
      <c r="G14" s="5" t="s">
        <v>447</v>
      </c>
      <c r="H14" s="54"/>
      <c r="I14" s="54"/>
      <c r="J14" s="54"/>
      <c r="K14" s="55"/>
      <c r="L14" s="55"/>
      <c r="M14" s="55"/>
      <c r="N14" s="55"/>
      <c r="O14" s="99">
        <f t="shared" si="2"/>
        <v>0</v>
      </c>
      <c r="P14" s="95"/>
      <c r="Q14" s="95"/>
      <c r="R14" s="100" t="str">
        <f t="shared" si="3"/>
        <v/>
      </c>
      <c r="S14" s="100" t="str">
        <f t="shared" si="4"/>
        <v/>
      </c>
      <c r="T14" s="101">
        <f t="shared" si="5"/>
        <v>0</v>
      </c>
      <c r="U14" s="50"/>
    </row>
    <row r="15" spans="1:21" x14ac:dyDescent="0.25">
      <c r="A15" s="46">
        <f t="shared" si="1"/>
        <v>4</v>
      </c>
      <c r="B15" s="47"/>
      <c r="C15" s="5" t="s">
        <v>16</v>
      </c>
      <c r="D15" s="5" t="s">
        <v>17</v>
      </c>
      <c r="E15" s="6" t="s">
        <v>18</v>
      </c>
      <c r="F15" s="48">
        <v>9098875893</v>
      </c>
      <c r="G15" s="59" t="s">
        <v>448</v>
      </c>
      <c r="H15" s="49"/>
      <c r="I15" s="47"/>
      <c r="J15" s="47"/>
      <c r="K15" s="47"/>
      <c r="L15" s="47"/>
      <c r="M15" s="47"/>
      <c r="N15" s="47"/>
      <c r="O15" s="99">
        <f t="shared" si="2"/>
        <v>0</v>
      </c>
      <c r="P15" s="47"/>
      <c r="Q15" s="47"/>
      <c r="R15" s="100" t="str">
        <f t="shared" si="3"/>
        <v/>
      </c>
      <c r="S15" s="100" t="str">
        <f t="shared" si="4"/>
        <v/>
      </c>
      <c r="T15" s="101">
        <f t="shared" si="5"/>
        <v>0</v>
      </c>
      <c r="U15" s="52"/>
    </row>
    <row r="16" spans="1:21" x14ac:dyDescent="0.25">
      <c r="A16" s="46">
        <f t="shared" si="1"/>
        <v>5</v>
      </c>
      <c r="B16" s="47"/>
      <c r="C16" s="5" t="s">
        <v>19</v>
      </c>
      <c r="D16" s="5" t="s">
        <v>20</v>
      </c>
      <c r="E16" s="6" t="s">
        <v>21</v>
      </c>
      <c r="F16" s="48"/>
      <c r="G16" s="12" t="s">
        <v>449</v>
      </c>
      <c r="H16" s="49"/>
      <c r="I16" s="47"/>
      <c r="J16" s="47"/>
      <c r="K16" s="47"/>
      <c r="L16" s="47"/>
      <c r="M16" s="47"/>
      <c r="N16" s="47"/>
      <c r="O16" s="99">
        <f t="shared" si="2"/>
        <v>0</v>
      </c>
      <c r="P16" s="47"/>
      <c r="Q16" s="47"/>
      <c r="R16" s="100" t="str">
        <f t="shared" si="3"/>
        <v/>
      </c>
      <c r="S16" s="100" t="str">
        <f t="shared" si="4"/>
        <v/>
      </c>
      <c r="T16" s="101">
        <f t="shared" si="5"/>
        <v>0</v>
      </c>
      <c r="U16" s="52"/>
    </row>
    <row r="17" spans="1:21" x14ac:dyDescent="0.25">
      <c r="A17" s="46">
        <f t="shared" si="1"/>
        <v>6</v>
      </c>
      <c r="B17" s="47"/>
      <c r="C17" s="7" t="s">
        <v>22</v>
      </c>
      <c r="D17" s="7" t="s">
        <v>20</v>
      </c>
      <c r="E17" s="8" t="s">
        <v>23</v>
      </c>
      <c r="F17" s="60">
        <v>9168138609</v>
      </c>
      <c r="G17" s="12" t="s">
        <v>450</v>
      </c>
      <c r="H17" s="49"/>
      <c r="I17" s="47"/>
      <c r="J17" s="47"/>
      <c r="K17" s="47"/>
      <c r="L17" s="47"/>
      <c r="M17" s="47"/>
      <c r="N17" s="47"/>
      <c r="O17" s="99">
        <f t="shared" si="2"/>
        <v>0</v>
      </c>
      <c r="P17" s="47"/>
      <c r="Q17" s="47"/>
      <c r="R17" s="100" t="str">
        <f t="shared" si="3"/>
        <v/>
      </c>
      <c r="S17" s="100" t="str">
        <f t="shared" si="4"/>
        <v/>
      </c>
      <c r="T17" s="101">
        <f t="shared" si="5"/>
        <v>0</v>
      </c>
      <c r="U17" s="50"/>
    </row>
    <row r="18" spans="1:21" x14ac:dyDescent="0.25">
      <c r="A18" s="46">
        <f t="shared" si="1"/>
        <v>7</v>
      </c>
      <c r="B18" s="47"/>
      <c r="C18" s="5" t="s">
        <v>24</v>
      </c>
      <c r="D18" s="5" t="s">
        <v>25</v>
      </c>
      <c r="E18" s="6" t="s">
        <v>26</v>
      </c>
      <c r="F18" s="48">
        <v>5302775321</v>
      </c>
      <c r="G18" s="59" t="s">
        <v>451</v>
      </c>
      <c r="H18" s="49"/>
      <c r="I18" s="47"/>
      <c r="J18" s="47"/>
      <c r="K18" s="47"/>
      <c r="L18" s="47"/>
      <c r="M18" s="47"/>
      <c r="N18" s="47"/>
      <c r="O18" s="99">
        <f t="shared" si="2"/>
        <v>0</v>
      </c>
      <c r="P18" s="47"/>
      <c r="Q18" s="47"/>
      <c r="R18" s="100" t="str">
        <f t="shared" si="3"/>
        <v/>
      </c>
      <c r="S18" s="100" t="str">
        <f t="shared" si="4"/>
        <v/>
      </c>
      <c r="T18" s="101">
        <f t="shared" si="5"/>
        <v>0</v>
      </c>
      <c r="U18" s="52"/>
    </row>
    <row r="19" spans="1:21" x14ac:dyDescent="0.25">
      <c r="A19" s="46">
        <f t="shared" si="1"/>
        <v>8</v>
      </c>
      <c r="B19" s="47"/>
      <c r="C19" s="15" t="s">
        <v>700</v>
      </c>
      <c r="D19" s="109"/>
      <c r="E19" s="30" t="s">
        <v>701</v>
      </c>
      <c r="F19" s="115"/>
      <c r="G19" s="109"/>
      <c r="H19" s="49"/>
      <c r="I19" s="47"/>
      <c r="J19" s="47"/>
      <c r="K19" s="47"/>
      <c r="L19" s="47"/>
      <c r="M19" s="47"/>
      <c r="N19" s="47"/>
      <c r="O19" s="99">
        <f t="shared" si="2"/>
        <v>0</v>
      </c>
      <c r="P19" s="47"/>
      <c r="Q19" s="47"/>
      <c r="R19" s="100" t="str">
        <f t="shared" si="3"/>
        <v/>
      </c>
      <c r="S19" s="100" t="str">
        <f t="shared" si="4"/>
        <v/>
      </c>
      <c r="T19" s="101">
        <f t="shared" si="5"/>
        <v>0</v>
      </c>
      <c r="U19" s="52"/>
    </row>
    <row r="20" spans="1:21" x14ac:dyDescent="0.25">
      <c r="A20" s="46">
        <f t="shared" si="1"/>
        <v>9</v>
      </c>
      <c r="B20" s="47"/>
      <c r="C20" s="15" t="s">
        <v>640</v>
      </c>
      <c r="D20" s="15" t="s">
        <v>641</v>
      </c>
      <c r="E20" s="10" t="s">
        <v>642</v>
      </c>
      <c r="F20" s="94"/>
      <c r="G20" s="15"/>
      <c r="H20" s="49"/>
      <c r="I20" s="49"/>
      <c r="J20" s="49"/>
      <c r="K20" s="49"/>
      <c r="L20" s="47"/>
      <c r="M20" s="47"/>
      <c r="N20" s="47"/>
      <c r="O20" s="99">
        <f t="shared" si="2"/>
        <v>0</v>
      </c>
      <c r="P20" s="47"/>
      <c r="Q20" s="95"/>
      <c r="R20" s="100" t="str">
        <f t="shared" si="3"/>
        <v/>
      </c>
      <c r="S20" s="100" t="str">
        <f t="shared" si="4"/>
        <v/>
      </c>
      <c r="T20" s="101">
        <f t="shared" si="5"/>
        <v>0</v>
      </c>
      <c r="U20" s="52"/>
    </row>
    <row r="21" spans="1:21" x14ac:dyDescent="0.25">
      <c r="A21" s="46">
        <f t="shared" si="1"/>
        <v>10</v>
      </c>
      <c r="B21" s="47"/>
      <c r="C21" s="5" t="s">
        <v>27</v>
      </c>
      <c r="D21" s="5" t="s">
        <v>28</v>
      </c>
      <c r="E21" s="6" t="s">
        <v>29</v>
      </c>
      <c r="F21" s="61"/>
      <c r="G21" s="12" t="s">
        <v>452</v>
      </c>
      <c r="H21" s="49"/>
      <c r="I21" s="47"/>
      <c r="J21" s="47"/>
      <c r="K21" s="47"/>
      <c r="L21" s="47"/>
      <c r="M21" s="47"/>
      <c r="N21" s="47"/>
      <c r="O21" s="99">
        <f t="shared" si="2"/>
        <v>0</v>
      </c>
      <c r="P21" s="47"/>
      <c r="Q21" s="47"/>
      <c r="R21" s="100" t="str">
        <f t="shared" si="3"/>
        <v/>
      </c>
      <c r="S21" s="100" t="str">
        <f t="shared" si="4"/>
        <v/>
      </c>
      <c r="T21" s="101">
        <f t="shared" si="5"/>
        <v>0</v>
      </c>
      <c r="U21" s="50"/>
    </row>
    <row r="22" spans="1:21" x14ac:dyDescent="0.25">
      <c r="A22" s="46">
        <f t="shared" si="1"/>
        <v>11</v>
      </c>
      <c r="B22" s="54"/>
      <c r="C22" s="5" t="s">
        <v>30</v>
      </c>
      <c r="D22" s="5" t="s">
        <v>20</v>
      </c>
      <c r="E22" s="6" t="s">
        <v>31</v>
      </c>
      <c r="F22" s="61">
        <v>9162036636</v>
      </c>
      <c r="G22" s="12" t="s">
        <v>453</v>
      </c>
      <c r="H22" s="54"/>
      <c r="I22" s="54"/>
      <c r="J22" s="54"/>
      <c r="K22" s="55"/>
      <c r="L22" s="55"/>
      <c r="M22" s="55"/>
      <c r="N22" s="55"/>
      <c r="O22" s="99">
        <f t="shared" si="2"/>
        <v>0</v>
      </c>
      <c r="P22" s="95"/>
      <c r="Q22" s="95"/>
      <c r="R22" s="100" t="str">
        <f t="shared" si="3"/>
        <v/>
      </c>
      <c r="S22" s="100" t="str">
        <f t="shared" si="4"/>
        <v/>
      </c>
      <c r="T22" s="101">
        <f t="shared" si="5"/>
        <v>0</v>
      </c>
      <c r="U22" s="50"/>
    </row>
    <row r="23" spans="1:21" x14ac:dyDescent="0.25">
      <c r="A23" s="46">
        <f t="shared" si="1"/>
        <v>12</v>
      </c>
      <c r="B23" s="54"/>
      <c r="C23" s="7" t="s">
        <v>32</v>
      </c>
      <c r="D23" s="7" t="s">
        <v>33</v>
      </c>
      <c r="E23" s="8" t="s">
        <v>34</v>
      </c>
      <c r="F23" s="62">
        <v>7078430109</v>
      </c>
      <c r="G23" s="59" t="s">
        <v>454</v>
      </c>
      <c r="H23" s="54"/>
      <c r="I23" s="54"/>
      <c r="J23" s="54"/>
      <c r="K23" s="55"/>
      <c r="L23" s="55"/>
      <c r="M23" s="55"/>
      <c r="N23" s="55"/>
      <c r="O23" s="99">
        <f t="shared" si="2"/>
        <v>0</v>
      </c>
      <c r="P23" s="95"/>
      <c r="Q23" s="95"/>
      <c r="R23" s="100" t="str">
        <f t="shared" si="3"/>
        <v/>
      </c>
      <c r="S23" s="100" t="str">
        <f t="shared" si="4"/>
        <v/>
      </c>
      <c r="T23" s="101">
        <f t="shared" si="5"/>
        <v>0</v>
      </c>
      <c r="U23" s="52"/>
    </row>
    <row r="24" spans="1:21" x14ac:dyDescent="0.25">
      <c r="A24" s="46">
        <f t="shared" si="1"/>
        <v>13</v>
      </c>
      <c r="B24" s="47"/>
      <c r="C24" s="5" t="s">
        <v>35</v>
      </c>
      <c r="D24" s="5" t="s">
        <v>36</v>
      </c>
      <c r="E24" s="6" t="s">
        <v>37</v>
      </c>
      <c r="F24" s="63">
        <v>8054892161</v>
      </c>
      <c r="G24" s="15" t="s">
        <v>455</v>
      </c>
      <c r="H24" s="49"/>
      <c r="I24" s="47"/>
      <c r="J24" s="47"/>
      <c r="K24" s="47"/>
      <c r="L24" s="47"/>
      <c r="M24" s="47"/>
      <c r="N24" s="47"/>
      <c r="O24" s="99">
        <f t="shared" si="2"/>
        <v>0</v>
      </c>
      <c r="P24" s="47"/>
      <c r="Q24" s="47"/>
      <c r="R24" s="100" t="str">
        <f t="shared" si="3"/>
        <v/>
      </c>
      <c r="S24" s="100" t="str">
        <f t="shared" si="4"/>
        <v/>
      </c>
      <c r="T24" s="101">
        <f t="shared" si="5"/>
        <v>0</v>
      </c>
      <c r="U24" s="52"/>
    </row>
    <row r="25" spans="1:21" x14ac:dyDescent="0.25">
      <c r="A25" s="46">
        <f t="shared" si="1"/>
        <v>14</v>
      </c>
      <c r="B25" s="47"/>
      <c r="C25" s="70" t="s">
        <v>643</v>
      </c>
      <c r="D25" s="70" t="s">
        <v>644</v>
      </c>
      <c r="E25" s="95" t="s">
        <v>645</v>
      </c>
      <c r="F25" s="94"/>
      <c r="G25" s="15"/>
      <c r="H25" s="49"/>
      <c r="I25" s="47"/>
      <c r="J25" s="47"/>
      <c r="K25" s="47"/>
      <c r="L25" s="47"/>
      <c r="M25" s="47"/>
      <c r="N25" s="47"/>
      <c r="O25" s="99">
        <f t="shared" si="2"/>
        <v>0</v>
      </c>
      <c r="P25" s="47"/>
      <c r="Q25" s="47"/>
      <c r="R25" s="100" t="str">
        <f t="shared" si="3"/>
        <v/>
      </c>
      <c r="S25" s="100" t="str">
        <f t="shared" si="4"/>
        <v/>
      </c>
      <c r="T25" s="101">
        <f t="shared" si="5"/>
        <v>0</v>
      </c>
      <c r="U25" s="52"/>
    </row>
    <row r="26" spans="1:21" x14ac:dyDescent="0.25">
      <c r="A26" s="46">
        <f t="shared" si="1"/>
        <v>15</v>
      </c>
      <c r="B26" s="54"/>
      <c r="C26" s="5" t="s">
        <v>38</v>
      </c>
      <c r="D26" s="5" t="s">
        <v>39</v>
      </c>
      <c r="E26" s="6" t="s">
        <v>40</v>
      </c>
      <c r="F26" s="61">
        <v>9167055602</v>
      </c>
      <c r="G26" s="12" t="s">
        <v>456</v>
      </c>
      <c r="H26" s="54"/>
      <c r="I26" s="54"/>
      <c r="J26" s="54"/>
      <c r="K26" s="55"/>
      <c r="L26" s="55"/>
      <c r="M26" s="55"/>
      <c r="N26" s="55"/>
      <c r="O26" s="99">
        <f t="shared" si="2"/>
        <v>0</v>
      </c>
      <c r="P26" s="95"/>
      <c r="Q26" s="95"/>
      <c r="R26" s="100" t="str">
        <f t="shared" si="3"/>
        <v/>
      </c>
      <c r="S26" s="100" t="str">
        <f t="shared" si="4"/>
        <v/>
      </c>
      <c r="T26" s="101">
        <f t="shared" si="5"/>
        <v>0</v>
      </c>
      <c r="U26" s="52"/>
    </row>
    <row r="27" spans="1:21" x14ac:dyDescent="0.25">
      <c r="A27" s="46">
        <f t="shared" si="1"/>
        <v>16</v>
      </c>
      <c r="B27" s="47"/>
      <c r="C27" s="15" t="s">
        <v>646</v>
      </c>
      <c r="D27" s="15" t="s">
        <v>39</v>
      </c>
      <c r="E27" s="10" t="s">
        <v>647</v>
      </c>
      <c r="F27" s="94"/>
      <c r="G27" s="15"/>
      <c r="H27" s="49"/>
      <c r="I27" s="47"/>
      <c r="J27" s="47"/>
      <c r="K27" s="47"/>
      <c r="L27" s="47"/>
      <c r="M27" s="47"/>
      <c r="N27" s="47"/>
      <c r="O27" s="99">
        <f t="shared" si="2"/>
        <v>0</v>
      </c>
      <c r="P27" s="47"/>
      <c r="Q27" s="47"/>
      <c r="R27" s="100" t="str">
        <f t="shared" si="3"/>
        <v/>
      </c>
      <c r="S27" s="100" t="str">
        <f t="shared" si="4"/>
        <v/>
      </c>
      <c r="T27" s="101">
        <f t="shared" si="5"/>
        <v>0</v>
      </c>
      <c r="U27" s="52"/>
    </row>
    <row r="28" spans="1:21" x14ac:dyDescent="0.25">
      <c r="A28" s="46">
        <f t="shared" si="1"/>
        <v>17</v>
      </c>
      <c r="B28" s="54"/>
      <c r="C28" s="5" t="s">
        <v>41</v>
      </c>
      <c r="D28" s="5" t="s">
        <v>42</v>
      </c>
      <c r="E28" s="6" t="s">
        <v>43</v>
      </c>
      <c r="F28" s="96" t="s">
        <v>457</v>
      </c>
      <c r="G28" s="15" t="s">
        <v>458</v>
      </c>
      <c r="H28" s="54"/>
      <c r="I28" s="54"/>
      <c r="J28" s="54"/>
      <c r="K28" s="55"/>
      <c r="L28" s="55"/>
      <c r="M28" s="55"/>
      <c r="N28" s="55"/>
      <c r="O28" s="99">
        <f t="shared" si="2"/>
        <v>0</v>
      </c>
      <c r="P28" s="95"/>
      <c r="Q28" s="95"/>
      <c r="R28" s="100" t="str">
        <f t="shared" si="3"/>
        <v/>
      </c>
      <c r="S28" s="100" t="str">
        <f t="shared" si="4"/>
        <v/>
      </c>
      <c r="T28" s="101">
        <f t="shared" si="5"/>
        <v>0</v>
      </c>
      <c r="U28" s="52"/>
    </row>
    <row r="29" spans="1:21" x14ac:dyDescent="0.25">
      <c r="A29" s="46">
        <f t="shared" si="1"/>
        <v>18</v>
      </c>
      <c r="B29" s="47"/>
      <c r="C29" s="7" t="s">
        <v>44</v>
      </c>
      <c r="D29" s="7" t="s">
        <v>45</v>
      </c>
      <c r="E29" s="8" t="s">
        <v>46</v>
      </c>
      <c r="F29" s="62" t="s">
        <v>459</v>
      </c>
      <c r="G29" s="12" t="s">
        <v>460</v>
      </c>
      <c r="H29" s="49"/>
      <c r="I29" s="47"/>
      <c r="J29" s="47"/>
      <c r="K29" s="47"/>
      <c r="L29" s="47"/>
      <c r="M29" s="47"/>
      <c r="N29" s="47"/>
      <c r="O29" s="99">
        <f t="shared" si="2"/>
        <v>0</v>
      </c>
      <c r="P29" s="47"/>
      <c r="Q29" s="47"/>
      <c r="R29" s="100" t="str">
        <f t="shared" si="3"/>
        <v/>
      </c>
      <c r="S29" s="100" t="str">
        <f t="shared" si="4"/>
        <v/>
      </c>
      <c r="T29" s="101">
        <f t="shared" si="5"/>
        <v>0</v>
      </c>
      <c r="U29" s="52"/>
    </row>
    <row r="30" spans="1:21" x14ac:dyDescent="0.25">
      <c r="A30" s="46">
        <f t="shared" si="1"/>
        <v>19</v>
      </c>
      <c r="B30" s="54"/>
      <c r="C30" s="7" t="s">
        <v>47</v>
      </c>
      <c r="D30" s="7" t="s">
        <v>45</v>
      </c>
      <c r="E30" s="8" t="s">
        <v>48</v>
      </c>
      <c r="F30" s="62" t="s">
        <v>459</v>
      </c>
      <c r="G30" s="12" t="s">
        <v>460</v>
      </c>
      <c r="H30" s="55"/>
      <c r="I30" s="55"/>
      <c r="J30" s="55"/>
      <c r="K30" s="55"/>
      <c r="L30" s="55"/>
      <c r="M30" s="55"/>
      <c r="N30" s="55"/>
      <c r="O30" s="99">
        <f t="shared" si="2"/>
        <v>0</v>
      </c>
      <c r="P30" s="95"/>
      <c r="Q30" s="95"/>
      <c r="R30" s="100" t="str">
        <f t="shared" si="3"/>
        <v/>
      </c>
      <c r="S30" s="100" t="str">
        <f t="shared" si="4"/>
        <v/>
      </c>
      <c r="T30" s="101">
        <f t="shared" si="5"/>
        <v>0</v>
      </c>
      <c r="U30" s="52"/>
    </row>
    <row r="31" spans="1:21" x14ac:dyDescent="0.25">
      <c r="A31" s="46">
        <f t="shared" si="1"/>
        <v>20</v>
      </c>
      <c r="B31" s="54"/>
      <c r="C31" s="5" t="s">
        <v>49</v>
      </c>
      <c r="D31" s="5" t="s">
        <v>50</v>
      </c>
      <c r="E31" s="6" t="s">
        <v>51</v>
      </c>
      <c r="F31" s="61"/>
      <c r="G31" s="12" t="s">
        <v>461</v>
      </c>
      <c r="H31" s="54"/>
      <c r="I31" s="54"/>
      <c r="J31" s="54"/>
      <c r="K31" s="55"/>
      <c r="L31" s="55"/>
      <c r="M31" s="55"/>
      <c r="N31" s="55"/>
      <c r="O31" s="99">
        <f t="shared" si="2"/>
        <v>0</v>
      </c>
      <c r="P31" s="95"/>
      <c r="Q31" s="95"/>
      <c r="R31" s="100" t="str">
        <f t="shared" si="3"/>
        <v/>
      </c>
      <c r="S31" s="100" t="str">
        <f t="shared" si="4"/>
        <v/>
      </c>
      <c r="T31" s="101">
        <f t="shared" si="5"/>
        <v>0</v>
      </c>
      <c r="U31" s="52"/>
    </row>
    <row r="32" spans="1:21" x14ac:dyDescent="0.25">
      <c r="A32" s="46">
        <f t="shared" si="1"/>
        <v>21</v>
      </c>
      <c r="B32" s="47"/>
      <c r="C32" s="5" t="s">
        <v>52</v>
      </c>
      <c r="D32" s="7" t="s">
        <v>45</v>
      </c>
      <c r="E32" s="6" t="s">
        <v>53</v>
      </c>
      <c r="F32" s="61" t="s">
        <v>462</v>
      </c>
      <c r="G32" s="12" t="s">
        <v>463</v>
      </c>
      <c r="H32" s="49"/>
      <c r="I32" s="47"/>
      <c r="J32" s="47"/>
      <c r="K32" s="47"/>
      <c r="L32" s="47"/>
      <c r="M32" s="47"/>
      <c r="N32" s="47"/>
      <c r="O32" s="99">
        <f t="shared" si="2"/>
        <v>0</v>
      </c>
      <c r="P32" s="47"/>
      <c r="Q32" s="47"/>
      <c r="R32" s="100" t="str">
        <f t="shared" si="3"/>
        <v/>
      </c>
      <c r="S32" s="100" t="str">
        <f t="shared" si="4"/>
        <v/>
      </c>
      <c r="T32" s="101">
        <f t="shared" si="5"/>
        <v>0</v>
      </c>
      <c r="U32" s="52"/>
    </row>
    <row r="33" spans="1:21" x14ac:dyDescent="0.25">
      <c r="A33" s="46">
        <f t="shared" si="1"/>
        <v>22</v>
      </c>
      <c r="B33" s="47"/>
      <c r="C33" s="5" t="s">
        <v>54</v>
      </c>
      <c r="D33" s="5" t="s">
        <v>55</v>
      </c>
      <c r="E33" s="6" t="s">
        <v>56</v>
      </c>
      <c r="F33" s="48"/>
      <c r="G33" s="12" t="s">
        <v>464</v>
      </c>
      <c r="H33" s="49"/>
      <c r="I33" s="47"/>
      <c r="J33" s="47"/>
      <c r="K33" s="47"/>
      <c r="L33" s="47"/>
      <c r="M33" s="47"/>
      <c r="N33" s="47"/>
      <c r="O33" s="99">
        <f t="shared" si="2"/>
        <v>0</v>
      </c>
      <c r="P33" s="47"/>
      <c r="Q33" s="47"/>
      <c r="R33" s="100" t="str">
        <f t="shared" si="3"/>
        <v/>
      </c>
      <c r="S33" s="100" t="str">
        <f t="shared" si="4"/>
        <v/>
      </c>
      <c r="T33" s="101">
        <f t="shared" si="5"/>
        <v>0</v>
      </c>
      <c r="U33" s="52"/>
    </row>
    <row r="34" spans="1:21" x14ac:dyDescent="0.25">
      <c r="A34" s="46">
        <f t="shared" si="1"/>
        <v>23</v>
      </c>
      <c r="B34" s="54"/>
      <c r="C34" s="5" t="s">
        <v>57</v>
      </c>
      <c r="D34" s="5" t="s">
        <v>58</v>
      </c>
      <c r="E34" s="6" t="s">
        <v>59</v>
      </c>
      <c r="F34" s="48"/>
      <c r="G34" s="12" t="s">
        <v>465</v>
      </c>
      <c r="H34" s="54"/>
      <c r="I34" s="54"/>
      <c r="J34" s="54"/>
      <c r="K34" s="55"/>
      <c r="L34" s="55"/>
      <c r="M34" s="55"/>
      <c r="N34" s="55"/>
      <c r="O34" s="99">
        <f t="shared" si="2"/>
        <v>0</v>
      </c>
      <c r="P34" s="95"/>
      <c r="Q34" s="95"/>
      <c r="R34" s="100" t="str">
        <f t="shared" si="3"/>
        <v/>
      </c>
      <c r="S34" s="100" t="str">
        <f t="shared" si="4"/>
        <v/>
      </c>
      <c r="T34" s="101">
        <f t="shared" si="5"/>
        <v>0</v>
      </c>
      <c r="U34" s="50"/>
    </row>
    <row r="35" spans="1:21" x14ac:dyDescent="0.25">
      <c r="A35" s="46">
        <f t="shared" si="1"/>
        <v>24</v>
      </c>
      <c r="B35" s="47"/>
      <c r="C35" s="7" t="s">
        <v>60</v>
      </c>
      <c r="D35" s="7" t="s">
        <v>61</v>
      </c>
      <c r="E35" s="8" t="s">
        <v>62</v>
      </c>
      <c r="F35" s="57">
        <v>9253213485</v>
      </c>
      <c r="G35" s="12" t="s">
        <v>466</v>
      </c>
      <c r="H35" s="49"/>
      <c r="I35" s="47"/>
      <c r="J35" s="47"/>
      <c r="K35" s="47"/>
      <c r="L35" s="47"/>
      <c r="M35" s="47"/>
      <c r="N35" s="47"/>
      <c r="O35" s="99">
        <f t="shared" si="2"/>
        <v>0</v>
      </c>
      <c r="P35" s="47"/>
      <c r="Q35" s="47"/>
      <c r="R35" s="100" t="str">
        <f t="shared" si="3"/>
        <v/>
      </c>
      <c r="S35" s="100" t="str">
        <f t="shared" si="4"/>
        <v/>
      </c>
      <c r="T35" s="101">
        <f t="shared" si="5"/>
        <v>0</v>
      </c>
      <c r="U35" s="52"/>
    </row>
    <row r="36" spans="1:21" x14ac:dyDescent="0.25">
      <c r="A36" s="46">
        <f t="shared" si="1"/>
        <v>25</v>
      </c>
      <c r="B36" s="47"/>
      <c r="C36" s="5" t="s">
        <v>63</v>
      </c>
      <c r="D36" s="5" t="s">
        <v>64</v>
      </c>
      <c r="E36" s="6" t="s">
        <v>65</v>
      </c>
      <c r="F36" s="48"/>
      <c r="G36" s="12"/>
      <c r="H36" s="49"/>
      <c r="I36" s="47"/>
      <c r="J36" s="47"/>
      <c r="K36" s="47"/>
      <c r="L36" s="47"/>
      <c r="M36" s="47"/>
      <c r="N36" s="47"/>
      <c r="O36" s="99">
        <f t="shared" si="2"/>
        <v>0</v>
      </c>
      <c r="P36" s="47"/>
      <c r="Q36" s="47"/>
      <c r="R36" s="100" t="str">
        <f t="shared" si="3"/>
        <v/>
      </c>
      <c r="S36" s="100" t="str">
        <f t="shared" si="4"/>
        <v/>
      </c>
      <c r="T36" s="101">
        <f t="shared" si="5"/>
        <v>0</v>
      </c>
      <c r="U36" s="56"/>
    </row>
    <row r="37" spans="1:21" x14ac:dyDescent="0.25">
      <c r="A37" s="46">
        <f t="shared" si="1"/>
        <v>26</v>
      </c>
      <c r="B37" s="47"/>
      <c r="C37" s="5" t="s">
        <v>66</v>
      </c>
      <c r="D37" s="5" t="s">
        <v>67</v>
      </c>
      <c r="E37" s="6" t="s">
        <v>68</v>
      </c>
      <c r="F37" s="48"/>
      <c r="G37" s="12"/>
      <c r="H37" s="49"/>
      <c r="I37" s="47"/>
      <c r="J37" s="47"/>
      <c r="K37" s="47"/>
      <c r="L37" s="47"/>
      <c r="M37" s="47"/>
      <c r="N37" s="47"/>
      <c r="O37" s="99">
        <f t="shared" si="2"/>
        <v>0</v>
      </c>
      <c r="P37" s="47"/>
      <c r="Q37" s="47"/>
      <c r="R37" s="100" t="str">
        <f t="shared" si="3"/>
        <v/>
      </c>
      <c r="S37" s="100" t="str">
        <f t="shared" si="4"/>
        <v/>
      </c>
      <c r="T37" s="101">
        <f t="shared" si="5"/>
        <v>0</v>
      </c>
      <c r="U37" s="52"/>
    </row>
    <row r="38" spans="1:21" x14ac:dyDescent="0.25">
      <c r="A38" s="46">
        <f t="shared" si="1"/>
        <v>27</v>
      </c>
      <c r="B38" s="47"/>
      <c r="C38" s="5" t="s">
        <v>69</v>
      </c>
      <c r="D38" s="5" t="s">
        <v>67</v>
      </c>
      <c r="E38" s="6" t="s">
        <v>70</v>
      </c>
      <c r="F38" s="48"/>
      <c r="G38" s="59" t="s">
        <v>467</v>
      </c>
      <c r="H38" s="49"/>
      <c r="I38" s="47"/>
      <c r="J38" s="47"/>
      <c r="K38" s="47"/>
      <c r="L38" s="47"/>
      <c r="M38" s="47"/>
      <c r="N38" s="47"/>
      <c r="O38" s="99">
        <f t="shared" si="2"/>
        <v>0</v>
      </c>
      <c r="P38" s="47"/>
      <c r="Q38" s="95"/>
      <c r="R38" s="100" t="str">
        <f t="shared" si="3"/>
        <v/>
      </c>
      <c r="S38" s="100" t="str">
        <f t="shared" si="4"/>
        <v/>
      </c>
      <c r="T38" s="101">
        <f t="shared" si="5"/>
        <v>0</v>
      </c>
      <c r="U38" s="52"/>
    </row>
    <row r="39" spans="1:21" x14ac:dyDescent="0.25">
      <c r="A39" s="46">
        <f t="shared" si="1"/>
        <v>28</v>
      </c>
      <c r="B39" s="54"/>
      <c r="C39" s="7" t="s">
        <v>71</v>
      </c>
      <c r="D39" s="7" t="s">
        <v>72</v>
      </c>
      <c r="E39" s="8" t="s">
        <v>73</v>
      </c>
      <c r="F39" s="57">
        <v>9705539123</v>
      </c>
      <c r="G39" s="12" t="s">
        <v>468</v>
      </c>
      <c r="H39" s="54"/>
      <c r="I39" s="54"/>
      <c r="J39" s="54"/>
      <c r="K39" s="55"/>
      <c r="L39" s="55"/>
      <c r="M39" s="55"/>
      <c r="N39" s="55"/>
      <c r="O39" s="99">
        <f t="shared" si="2"/>
        <v>0</v>
      </c>
      <c r="P39" s="95"/>
      <c r="Q39" s="95"/>
      <c r="R39" s="100" t="str">
        <f t="shared" si="3"/>
        <v/>
      </c>
      <c r="S39" s="100" t="str">
        <f t="shared" si="4"/>
        <v/>
      </c>
      <c r="T39" s="101">
        <f t="shared" si="5"/>
        <v>0</v>
      </c>
      <c r="U39" s="52"/>
    </row>
    <row r="40" spans="1:21" x14ac:dyDescent="0.25">
      <c r="A40" s="46">
        <f t="shared" si="1"/>
        <v>29</v>
      </c>
      <c r="B40" s="54"/>
      <c r="C40" s="7" t="s">
        <v>74</v>
      </c>
      <c r="D40" s="7" t="s">
        <v>75</v>
      </c>
      <c r="E40" s="8" t="s">
        <v>76</v>
      </c>
      <c r="F40" s="57"/>
      <c r="G40" s="12" t="s">
        <v>469</v>
      </c>
      <c r="H40" s="54"/>
      <c r="I40" s="54"/>
      <c r="J40" s="54"/>
      <c r="K40" s="55"/>
      <c r="L40" s="55"/>
      <c r="M40" s="55"/>
      <c r="N40" s="55"/>
      <c r="O40" s="99">
        <f t="shared" si="2"/>
        <v>0</v>
      </c>
      <c r="P40" s="95"/>
      <c r="Q40" s="95"/>
      <c r="R40" s="100" t="str">
        <f t="shared" si="3"/>
        <v/>
      </c>
      <c r="S40" s="100" t="str">
        <f t="shared" si="4"/>
        <v/>
      </c>
      <c r="T40" s="101">
        <f t="shared" si="5"/>
        <v>0</v>
      </c>
      <c r="U40" s="52"/>
    </row>
    <row r="41" spans="1:21" ht="15.75" x14ac:dyDescent="0.25">
      <c r="A41" s="46">
        <f t="shared" si="1"/>
        <v>30</v>
      </c>
      <c r="B41" s="54"/>
      <c r="C41" s="7" t="s">
        <v>77</v>
      </c>
      <c r="D41" s="7" t="s">
        <v>78</v>
      </c>
      <c r="E41" s="9" t="s">
        <v>79</v>
      </c>
      <c r="F41" s="10" t="s">
        <v>470</v>
      </c>
      <c r="G41" s="15" t="s">
        <v>471</v>
      </c>
      <c r="H41" s="54"/>
      <c r="I41" s="54"/>
      <c r="J41" s="54"/>
      <c r="K41" s="55"/>
      <c r="L41" s="55"/>
      <c r="M41" s="55"/>
      <c r="N41" s="55"/>
      <c r="O41" s="99">
        <f t="shared" si="2"/>
        <v>0</v>
      </c>
      <c r="P41" s="95"/>
      <c r="Q41" s="95"/>
      <c r="R41" s="100" t="str">
        <f t="shared" si="3"/>
        <v/>
      </c>
      <c r="S41" s="100" t="str">
        <f t="shared" si="4"/>
        <v/>
      </c>
      <c r="T41" s="101">
        <f t="shared" si="5"/>
        <v>0</v>
      </c>
      <c r="U41" s="50"/>
    </row>
    <row r="42" spans="1:21" x14ac:dyDescent="0.25">
      <c r="A42" s="46">
        <f t="shared" si="1"/>
        <v>31</v>
      </c>
      <c r="B42" s="47"/>
      <c r="C42" s="15" t="s">
        <v>648</v>
      </c>
      <c r="D42" s="15" t="s">
        <v>649</v>
      </c>
      <c r="E42" s="10" t="s">
        <v>650</v>
      </c>
      <c r="F42" s="15"/>
      <c r="G42" s="15"/>
      <c r="H42" s="49"/>
      <c r="I42" s="47"/>
      <c r="J42" s="47"/>
      <c r="K42" s="47"/>
      <c r="L42" s="47"/>
      <c r="M42" s="47"/>
      <c r="N42" s="47"/>
      <c r="O42" s="99">
        <f t="shared" si="2"/>
        <v>0</v>
      </c>
      <c r="P42" s="47"/>
      <c r="Q42" s="47"/>
      <c r="R42" s="100" t="str">
        <f t="shared" si="3"/>
        <v/>
      </c>
      <c r="S42" s="100" t="str">
        <f t="shared" si="4"/>
        <v/>
      </c>
      <c r="T42" s="101">
        <f t="shared" si="5"/>
        <v>0</v>
      </c>
      <c r="U42" s="52"/>
    </row>
    <row r="43" spans="1:21" x14ac:dyDescent="0.25">
      <c r="A43" s="46">
        <f t="shared" si="1"/>
        <v>32</v>
      </c>
      <c r="B43" s="47"/>
      <c r="C43" s="15" t="s">
        <v>648</v>
      </c>
      <c r="D43" s="15" t="s">
        <v>45</v>
      </c>
      <c r="E43" s="10" t="s">
        <v>650</v>
      </c>
      <c r="F43" s="15"/>
      <c r="G43" s="97" t="s">
        <v>651</v>
      </c>
      <c r="H43" s="49"/>
      <c r="I43" s="47"/>
      <c r="J43" s="47"/>
      <c r="K43" s="47"/>
      <c r="L43" s="47"/>
      <c r="M43" s="47"/>
      <c r="N43" s="47"/>
      <c r="O43" s="99">
        <f t="shared" si="2"/>
        <v>0</v>
      </c>
      <c r="P43" s="47"/>
      <c r="Q43" s="47"/>
      <c r="R43" s="100" t="str">
        <f t="shared" si="3"/>
        <v/>
      </c>
      <c r="S43" s="100" t="str">
        <f t="shared" si="4"/>
        <v/>
      </c>
      <c r="T43" s="101">
        <f t="shared" si="5"/>
        <v>0</v>
      </c>
      <c r="U43" s="52"/>
    </row>
    <row r="44" spans="1:21" x14ac:dyDescent="0.25">
      <c r="A44" s="46">
        <f t="shared" si="1"/>
        <v>33</v>
      </c>
      <c r="B44" s="54"/>
      <c r="C44" s="5" t="s">
        <v>80</v>
      </c>
      <c r="D44" s="5" t="s">
        <v>81</v>
      </c>
      <c r="E44" s="6" t="s">
        <v>82</v>
      </c>
      <c r="F44" s="48"/>
      <c r="G44" s="12" t="s">
        <v>472</v>
      </c>
      <c r="H44" s="54"/>
      <c r="I44" s="54"/>
      <c r="J44" s="54"/>
      <c r="K44" s="55"/>
      <c r="L44" s="55"/>
      <c r="M44" s="55"/>
      <c r="N44" s="55"/>
      <c r="O44" s="99">
        <f t="shared" ref="O44:O75" si="6">T44*N44</f>
        <v>0</v>
      </c>
      <c r="P44" s="95"/>
      <c r="Q44" s="95"/>
      <c r="R44" s="100" t="str">
        <f t="shared" ref="R44:R75" si="7">IF(OR(P44="c",P44="C"),+T44,"")</f>
        <v/>
      </c>
      <c r="S44" s="100" t="str">
        <f t="shared" ref="S44:S75" si="8">IF(OR(P44="$",N44=1),+T44,"")</f>
        <v/>
      </c>
      <c r="T44" s="101">
        <f t="shared" ref="T44:T75" si="9">B44*FRegMainSetUpEntryFee + H44*FRegMainSetUpPool1Fee + I44*FRegMainSetUpPool2Fee + J44*FRegMainSetUpPool3Fee + K44*FRegMainSetUpPool4Fee</f>
        <v>0</v>
      </c>
      <c r="U44" s="50"/>
    </row>
    <row r="45" spans="1:21" x14ac:dyDescent="0.25">
      <c r="A45" s="46">
        <f t="shared" si="1"/>
        <v>34</v>
      </c>
      <c r="B45" s="47"/>
      <c r="C45" s="7" t="s">
        <v>83</v>
      </c>
      <c r="D45" s="7" t="s">
        <v>84</v>
      </c>
      <c r="E45" s="8" t="s">
        <v>85</v>
      </c>
      <c r="F45" s="57"/>
      <c r="G45" s="12" t="s">
        <v>473</v>
      </c>
      <c r="H45" s="49"/>
      <c r="I45" s="47"/>
      <c r="J45" s="47"/>
      <c r="K45" s="47"/>
      <c r="L45" s="47"/>
      <c r="M45" s="47"/>
      <c r="N45" s="47"/>
      <c r="O45" s="99">
        <f t="shared" si="6"/>
        <v>0</v>
      </c>
      <c r="P45" s="47"/>
      <c r="Q45" s="95"/>
      <c r="R45" s="100" t="str">
        <f t="shared" si="7"/>
        <v/>
      </c>
      <c r="S45" s="100" t="str">
        <f t="shared" si="8"/>
        <v/>
      </c>
      <c r="T45" s="101">
        <f t="shared" si="9"/>
        <v>0</v>
      </c>
      <c r="U45" s="52"/>
    </row>
    <row r="46" spans="1:21" x14ac:dyDescent="0.25">
      <c r="A46" s="46">
        <f t="shared" si="1"/>
        <v>35</v>
      </c>
      <c r="B46" s="47"/>
      <c r="C46" s="7" t="s">
        <v>86</v>
      </c>
      <c r="D46" s="7" t="s">
        <v>64</v>
      </c>
      <c r="E46" s="8" t="s">
        <v>87</v>
      </c>
      <c r="F46" s="57">
        <v>7073175740</v>
      </c>
      <c r="G46" s="59" t="s">
        <v>474</v>
      </c>
      <c r="H46" s="49"/>
      <c r="I46" s="47"/>
      <c r="J46" s="47"/>
      <c r="K46" s="47"/>
      <c r="L46" s="47"/>
      <c r="M46" s="47"/>
      <c r="N46" s="47"/>
      <c r="O46" s="99">
        <f t="shared" si="6"/>
        <v>0</v>
      </c>
      <c r="P46" s="47"/>
      <c r="Q46" s="47"/>
      <c r="R46" s="100" t="str">
        <f t="shared" si="7"/>
        <v/>
      </c>
      <c r="S46" s="100" t="str">
        <f t="shared" si="8"/>
        <v/>
      </c>
      <c r="T46" s="101">
        <f t="shared" si="9"/>
        <v>0</v>
      </c>
      <c r="U46" s="50"/>
    </row>
    <row r="47" spans="1:21" x14ac:dyDescent="0.25">
      <c r="A47" s="46">
        <f t="shared" si="1"/>
        <v>36</v>
      </c>
      <c r="B47" s="47"/>
      <c r="C47" s="5" t="s">
        <v>88</v>
      </c>
      <c r="D47" s="5" t="s">
        <v>84</v>
      </c>
      <c r="E47" s="6" t="s">
        <v>89</v>
      </c>
      <c r="F47" s="48"/>
      <c r="G47" s="12" t="s">
        <v>475</v>
      </c>
      <c r="H47" s="49"/>
      <c r="I47" s="47"/>
      <c r="J47" s="47"/>
      <c r="K47" s="47"/>
      <c r="L47" s="47"/>
      <c r="M47" s="47"/>
      <c r="N47" s="47"/>
      <c r="O47" s="99">
        <f t="shared" si="6"/>
        <v>0</v>
      </c>
      <c r="P47" s="47"/>
      <c r="Q47" s="95"/>
      <c r="R47" s="100" t="str">
        <f t="shared" si="7"/>
        <v/>
      </c>
      <c r="S47" s="100" t="str">
        <f t="shared" si="8"/>
        <v/>
      </c>
      <c r="T47" s="101">
        <f t="shared" si="9"/>
        <v>0</v>
      </c>
      <c r="U47" s="50"/>
    </row>
    <row r="48" spans="1:21" x14ac:dyDescent="0.25">
      <c r="A48" s="46">
        <f t="shared" si="1"/>
        <v>37</v>
      </c>
      <c r="B48" s="47"/>
      <c r="C48" s="15" t="s">
        <v>652</v>
      </c>
      <c r="D48" s="15" t="s">
        <v>5</v>
      </c>
      <c r="E48" s="10" t="s">
        <v>653</v>
      </c>
      <c r="G48" s="15"/>
      <c r="H48" s="49"/>
      <c r="I48" s="47"/>
      <c r="J48" s="47"/>
      <c r="K48" s="47"/>
      <c r="L48" s="47"/>
      <c r="M48" s="47"/>
      <c r="N48" s="47"/>
      <c r="O48" s="99">
        <f t="shared" si="6"/>
        <v>0</v>
      </c>
      <c r="P48" s="47"/>
      <c r="Q48" s="95"/>
      <c r="R48" s="100" t="str">
        <f t="shared" si="7"/>
        <v/>
      </c>
      <c r="S48" s="100" t="str">
        <f t="shared" si="8"/>
        <v/>
      </c>
      <c r="T48" s="101">
        <f t="shared" si="9"/>
        <v>0</v>
      </c>
      <c r="U48" s="50"/>
    </row>
    <row r="49" spans="1:21" x14ac:dyDescent="0.25">
      <c r="A49" s="46">
        <f t="shared" si="1"/>
        <v>38</v>
      </c>
      <c r="B49" s="54"/>
      <c r="C49" s="7" t="s">
        <v>93</v>
      </c>
      <c r="D49" s="7" t="s">
        <v>94</v>
      </c>
      <c r="E49" s="8" t="s">
        <v>95</v>
      </c>
      <c r="F49" s="57"/>
      <c r="G49" s="12" t="s">
        <v>478</v>
      </c>
      <c r="H49" s="54"/>
      <c r="I49" s="54"/>
      <c r="J49" s="54"/>
      <c r="K49" s="55"/>
      <c r="L49" s="55"/>
      <c r="M49" s="55"/>
      <c r="N49" s="55"/>
      <c r="O49" s="99">
        <f t="shared" si="6"/>
        <v>0</v>
      </c>
      <c r="P49" s="95"/>
      <c r="Q49" s="95"/>
      <c r="R49" s="100" t="str">
        <f t="shared" si="7"/>
        <v/>
      </c>
      <c r="S49" s="100" t="str">
        <f t="shared" si="8"/>
        <v/>
      </c>
      <c r="T49" s="101">
        <f t="shared" si="9"/>
        <v>0</v>
      </c>
      <c r="U49" s="52"/>
    </row>
    <row r="50" spans="1:21" x14ac:dyDescent="0.25">
      <c r="A50" s="46">
        <f t="shared" si="1"/>
        <v>39</v>
      </c>
      <c r="B50" s="47"/>
      <c r="C50" s="5" t="s">
        <v>96</v>
      </c>
      <c r="D50" s="5" t="s">
        <v>97</v>
      </c>
      <c r="E50" s="6" t="s">
        <v>98</v>
      </c>
      <c r="F50" s="48"/>
      <c r="G50" s="12" t="s">
        <v>479</v>
      </c>
      <c r="H50" s="49"/>
      <c r="I50" s="47"/>
      <c r="J50" s="47"/>
      <c r="K50" s="47"/>
      <c r="L50" s="47"/>
      <c r="M50" s="47"/>
      <c r="N50" s="47"/>
      <c r="O50" s="99">
        <f t="shared" si="6"/>
        <v>0</v>
      </c>
      <c r="P50" s="47"/>
      <c r="Q50" s="47"/>
      <c r="R50" s="100" t="str">
        <f t="shared" si="7"/>
        <v/>
      </c>
      <c r="S50" s="100" t="str">
        <f t="shared" si="8"/>
        <v/>
      </c>
      <c r="T50" s="101">
        <f t="shared" si="9"/>
        <v>0</v>
      </c>
      <c r="U50" s="50"/>
    </row>
    <row r="51" spans="1:21" x14ac:dyDescent="0.25">
      <c r="A51" s="46">
        <f t="shared" si="1"/>
        <v>40</v>
      </c>
      <c r="B51" s="47"/>
      <c r="C51" s="7" t="s">
        <v>99</v>
      </c>
      <c r="D51" s="7" t="s">
        <v>100</v>
      </c>
      <c r="E51" s="8" t="s">
        <v>101</v>
      </c>
      <c r="F51" s="57"/>
      <c r="G51" s="12" t="s">
        <v>480</v>
      </c>
      <c r="H51" s="49"/>
      <c r="I51" s="47"/>
      <c r="J51" s="47"/>
      <c r="K51" s="47"/>
      <c r="L51" s="47"/>
      <c r="M51" s="47"/>
      <c r="N51" s="47"/>
      <c r="O51" s="99">
        <f t="shared" si="6"/>
        <v>0</v>
      </c>
      <c r="P51" s="47"/>
      <c r="Q51" s="47"/>
      <c r="R51" s="100" t="str">
        <f t="shared" si="7"/>
        <v/>
      </c>
      <c r="S51" s="100" t="str">
        <f t="shared" si="8"/>
        <v/>
      </c>
      <c r="T51" s="101">
        <f t="shared" si="9"/>
        <v>0</v>
      </c>
      <c r="U51" s="52"/>
    </row>
    <row r="52" spans="1:21" x14ac:dyDescent="0.25">
      <c r="A52" s="46">
        <f t="shared" si="1"/>
        <v>41</v>
      </c>
      <c r="B52" s="54"/>
      <c r="C52" s="5" t="s">
        <v>102</v>
      </c>
      <c r="D52" s="5" t="s">
        <v>103</v>
      </c>
      <c r="E52" s="6" t="s">
        <v>104</v>
      </c>
      <c r="F52" s="48">
        <v>9165213208</v>
      </c>
      <c r="G52" s="12" t="s">
        <v>481</v>
      </c>
      <c r="H52" s="54"/>
      <c r="I52" s="54"/>
      <c r="J52" s="54"/>
      <c r="K52" s="55"/>
      <c r="L52" s="55"/>
      <c r="M52" s="55"/>
      <c r="N52" s="55"/>
      <c r="O52" s="99">
        <f t="shared" si="6"/>
        <v>0</v>
      </c>
      <c r="P52" s="95"/>
      <c r="Q52" s="95"/>
      <c r="R52" s="100" t="str">
        <f t="shared" si="7"/>
        <v/>
      </c>
      <c r="S52" s="100" t="str">
        <f t="shared" si="8"/>
        <v/>
      </c>
      <c r="T52" s="101">
        <f t="shared" si="9"/>
        <v>0</v>
      </c>
      <c r="U52" s="52"/>
    </row>
    <row r="53" spans="1:21" x14ac:dyDescent="0.25">
      <c r="A53" s="46">
        <f t="shared" si="1"/>
        <v>42</v>
      </c>
      <c r="B53" s="54"/>
      <c r="C53" s="5" t="s">
        <v>105</v>
      </c>
      <c r="D53" s="5" t="s">
        <v>106</v>
      </c>
      <c r="E53" s="6" t="s">
        <v>107</v>
      </c>
      <c r="F53" s="48"/>
      <c r="G53" s="12" t="s">
        <v>482</v>
      </c>
      <c r="H53" s="54"/>
      <c r="I53" s="54"/>
      <c r="J53" s="54"/>
      <c r="K53" s="55"/>
      <c r="L53" s="55"/>
      <c r="M53" s="55"/>
      <c r="N53" s="55"/>
      <c r="O53" s="99">
        <f t="shared" si="6"/>
        <v>0</v>
      </c>
      <c r="P53" s="95"/>
      <c r="Q53" s="95"/>
      <c r="R53" s="100" t="str">
        <f t="shared" si="7"/>
        <v/>
      </c>
      <c r="S53" s="100" t="str">
        <f t="shared" si="8"/>
        <v/>
      </c>
      <c r="T53" s="101">
        <f t="shared" si="9"/>
        <v>0</v>
      </c>
      <c r="U53" s="52"/>
    </row>
    <row r="54" spans="1:21" x14ac:dyDescent="0.25">
      <c r="A54" s="46">
        <f t="shared" si="1"/>
        <v>43</v>
      </c>
      <c r="B54" s="54"/>
      <c r="C54" s="7" t="s">
        <v>108</v>
      </c>
      <c r="D54" s="7" t="s">
        <v>72</v>
      </c>
      <c r="E54" s="8" t="s">
        <v>109</v>
      </c>
      <c r="F54" s="10" t="s">
        <v>483</v>
      </c>
      <c r="G54" s="12" t="s">
        <v>484</v>
      </c>
      <c r="H54" s="54"/>
      <c r="I54" s="54"/>
      <c r="J54" s="54"/>
      <c r="K54" s="55"/>
      <c r="L54" s="55"/>
      <c r="M54" s="55"/>
      <c r="N54" s="55"/>
      <c r="O54" s="99">
        <f t="shared" si="6"/>
        <v>0</v>
      </c>
      <c r="P54" s="95"/>
      <c r="Q54" s="95"/>
      <c r="R54" s="100" t="str">
        <f t="shared" si="7"/>
        <v/>
      </c>
      <c r="S54" s="100" t="str">
        <f t="shared" si="8"/>
        <v/>
      </c>
      <c r="T54" s="101">
        <f t="shared" si="9"/>
        <v>0</v>
      </c>
      <c r="U54" s="52"/>
    </row>
    <row r="55" spans="1:21" x14ac:dyDescent="0.25">
      <c r="A55" s="46">
        <f t="shared" si="1"/>
        <v>44</v>
      </c>
      <c r="B55" s="54"/>
      <c r="C55" s="7" t="s">
        <v>110</v>
      </c>
      <c r="D55" s="7" t="s">
        <v>20</v>
      </c>
      <c r="E55" s="8" t="s">
        <v>111</v>
      </c>
      <c r="F55" s="53" t="s">
        <v>485</v>
      </c>
      <c r="G55" s="12" t="s">
        <v>486</v>
      </c>
      <c r="H55" s="54"/>
      <c r="I55" s="54"/>
      <c r="J55" s="54"/>
      <c r="K55" s="55"/>
      <c r="L55" s="55"/>
      <c r="M55" s="55"/>
      <c r="N55" s="55"/>
      <c r="O55" s="99">
        <f t="shared" si="6"/>
        <v>0</v>
      </c>
      <c r="P55" s="95"/>
      <c r="Q55" s="102"/>
      <c r="R55" s="100" t="str">
        <f t="shared" si="7"/>
        <v/>
      </c>
      <c r="S55" s="100" t="str">
        <f t="shared" si="8"/>
        <v/>
      </c>
      <c r="T55" s="101">
        <f t="shared" si="9"/>
        <v>0</v>
      </c>
      <c r="U55" s="52"/>
    </row>
    <row r="56" spans="1:21" x14ac:dyDescent="0.25">
      <c r="A56" s="46">
        <f t="shared" si="1"/>
        <v>45</v>
      </c>
      <c r="B56" s="54"/>
      <c r="C56" s="5" t="s">
        <v>112</v>
      </c>
      <c r="D56" s="5" t="s">
        <v>55</v>
      </c>
      <c r="E56" s="6" t="s">
        <v>113</v>
      </c>
      <c r="F56" s="48"/>
      <c r="G56" s="12" t="s">
        <v>487</v>
      </c>
      <c r="H56" s="54"/>
      <c r="I56" s="54"/>
      <c r="J56" s="54"/>
      <c r="K56" s="55"/>
      <c r="L56" s="55"/>
      <c r="M56" s="55"/>
      <c r="N56" s="55"/>
      <c r="O56" s="99">
        <f t="shared" si="6"/>
        <v>0</v>
      </c>
      <c r="P56" s="95"/>
      <c r="Q56" s="95"/>
      <c r="R56" s="100" t="str">
        <f t="shared" si="7"/>
        <v/>
      </c>
      <c r="S56" s="100" t="str">
        <f t="shared" si="8"/>
        <v/>
      </c>
      <c r="T56" s="101">
        <f t="shared" si="9"/>
        <v>0</v>
      </c>
      <c r="U56" s="50"/>
    </row>
    <row r="57" spans="1:21" x14ac:dyDescent="0.25">
      <c r="A57" s="46">
        <f t="shared" si="1"/>
        <v>46</v>
      </c>
      <c r="B57" s="47"/>
      <c r="C57" s="7" t="s">
        <v>114</v>
      </c>
      <c r="D57" s="7" t="s">
        <v>72</v>
      </c>
      <c r="E57" s="8" t="s">
        <v>115</v>
      </c>
      <c r="F57" s="57" t="s">
        <v>488</v>
      </c>
      <c r="G57" s="12" t="s">
        <v>468</v>
      </c>
      <c r="H57" s="49"/>
      <c r="I57" s="47"/>
      <c r="J57" s="47"/>
      <c r="K57" s="47"/>
      <c r="L57" s="47"/>
      <c r="M57" s="47"/>
      <c r="N57" s="47"/>
      <c r="O57" s="99">
        <f t="shared" si="6"/>
        <v>0</v>
      </c>
      <c r="P57" s="47"/>
      <c r="Q57" s="47"/>
      <c r="R57" s="100" t="str">
        <f t="shared" si="7"/>
        <v/>
      </c>
      <c r="S57" s="100" t="str">
        <f t="shared" si="8"/>
        <v/>
      </c>
      <c r="T57" s="101">
        <f t="shared" si="9"/>
        <v>0</v>
      </c>
      <c r="U57" s="52"/>
    </row>
    <row r="58" spans="1:21" x14ac:dyDescent="0.25">
      <c r="A58" s="46">
        <f t="shared" si="1"/>
        <v>47</v>
      </c>
      <c r="B58" s="54"/>
      <c r="C58" s="5" t="s">
        <v>116</v>
      </c>
      <c r="D58" s="5" t="s">
        <v>117</v>
      </c>
      <c r="E58" s="6" t="s">
        <v>118</v>
      </c>
      <c r="F58" s="63"/>
      <c r="G58" s="12"/>
      <c r="H58" s="55"/>
      <c r="I58" s="55"/>
      <c r="J58" s="55"/>
      <c r="K58" s="55"/>
      <c r="L58" s="55"/>
      <c r="M58" s="55"/>
      <c r="N58" s="55"/>
      <c r="O58" s="99">
        <f t="shared" si="6"/>
        <v>0</v>
      </c>
      <c r="P58" s="95"/>
      <c r="Q58" s="95"/>
      <c r="R58" s="100" t="str">
        <f t="shared" si="7"/>
        <v/>
      </c>
      <c r="S58" s="100" t="str">
        <f t="shared" si="8"/>
        <v/>
      </c>
      <c r="T58" s="101">
        <f t="shared" si="9"/>
        <v>0</v>
      </c>
      <c r="U58" s="52"/>
    </row>
    <row r="59" spans="1:21" x14ac:dyDescent="0.25">
      <c r="A59" s="46">
        <f t="shared" si="1"/>
        <v>48</v>
      </c>
      <c r="B59" s="47"/>
      <c r="C59" s="5" t="s">
        <v>119</v>
      </c>
      <c r="D59" s="5" t="s">
        <v>72</v>
      </c>
      <c r="E59" s="6" t="s">
        <v>120</v>
      </c>
      <c r="F59" s="63">
        <v>7078499317</v>
      </c>
      <c r="G59" s="12" t="s">
        <v>489</v>
      </c>
      <c r="H59" s="49"/>
      <c r="I59" s="47"/>
      <c r="J59" s="47"/>
      <c r="K59" s="47"/>
      <c r="L59" s="47"/>
      <c r="M59" s="47"/>
      <c r="N59" s="47"/>
      <c r="O59" s="99">
        <f t="shared" si="6"/>
        <v>0</v>
      </c>
      <c r="P59" s="47"/>
      <c r="Q59" s="47"/>
      <c r="R59" s="100" t="str">
        <f t="shared" si="7"/>
        <v/>
      </c>
      <c r="S59" s="100" t="str">
        <f t="shared" si="8"/>
        <v/>
      </c>
      <c r="T59" s="101">
        <f t="shared" si="9"/>
        <v>0</v>
      </c>
      <c r="U59" s="52"/>
    </row>
    <row r="60" spans="1:21" x14ac:dyDescent="0.25">
      <c r="A60" s="46">
        <f t="shared" si="1"/>
        <v>49</v>
      </c>
      <c r="B60" s="54"/>
      <c r="C60" s="5" t="s">
        <v>121</v>
      </c>
      <c r="D60" s="5" t="s">
        <v>122</v>
      </c>
      <c r="E60" s="6" t="s">
        <v>123</v>
      </c>
      <c r="F60" s="48"/>
      <c r="G60" s="12" t="s">
        <v>490</v>
      </c>
      <c r="H60" s="55"/>
      <c r="I60" s="55"/>
      <c r="J60" s="55"/>
      <c r="K60" s="55"/>
      <c r="L60" s="55"/>
      <c r="M60" s="55"/>
      <c r="N60" s="55"/>
      <c r="O60" s="99">
        <f t="shared" si="6"/>
        <v>0</v>
      </c>
      <c r="P60" s="95"/>
      <c r="Q60" s="95"/>
      <c r="R60" s="100" t="str">
        <f t="shared" si="7"/>
        <v/>
      </c>
      <c r="S60" s="100" t="str">
        <f t="shared" si="8"/>
        <v/>
      </c>
      <c r="T60" s="101">
        <f t="shared" si="9"/>
        <v>0</v>
      </c>
      <c r="U60" s="50"/>
    </row>
    <row r="61" spans="1:21" x14ac:dyDescent="0.25">
      <c r="A61" s="46">
        <f t="shared" si="1"/>
        <v>50</v>
      </c>
      <c r="B61" s="47"/>
      <c r="C61" s="5" t="s">
        <v>124</v>
      </c>
      <c r="D61" s="5" t="s">
        <v>72</v>
      </c>
      <c r="E61" s="6" t="s">
        <v>125</v>
      </c>
      <c r="F61" s="48">
        <v>7073225806</v>
      </c>
      <c r="G61" s="59" t="s">
        <v>491</v>
      </c>
      <c r="H61" s="49"/>
      <c r="I61" s="47"/>
      <c r="J61" s="47"/>
      <c r="K61" s="47"/>
      <c r="L61" s="47"/>
      <c r="M61" s="47"/>
      <c r="N61" s="47"/>
      <c r="O61" s="99">
        <f t="shared" si="6"/>
        <v>0</v>
      </c>
      <c r="P61" s="47"/>
      <c r="Q61" s="47"/>
      <c r="R61" s="100" t="str">
        <f t="shared" si="7"/>
        <v/>
      </c>
      <c r="S61" s="100" t="str">
        <f t="shared" si="8"/>
        <v/>
      </c>
      <c r="T61" s="101">
        <f t="shared" si="9"/>
        <v>0</v>
      </c>
      <c r="U61" s="52"/>
    </row>
    <row r="62" spans="1:21" x14ac:dyDescent="0.25">
      <c r="A62" s="46">
        <f t="shared" si="1"/>
        <v>51</v>
      </c>
      <c r="B62" s="47"/>
      <c r="C62" s="7" t="s">
        <v>126</v>
      </c>
      <c r="D62" s="7" t="s">
        <v>127</v>
      </c>
      <c r="E62" s="90" t="s">
        <v>128</v>
      </c>
      <c r="F62" s="10" t="s">
        <v>492</v>
      </c>
      <c r="G62" s="12" t="s">
        <v>493</v>
      </c>
      <c r="H62" s="54"/>
      <c r="I62" s="54"/>
      <c r="J62" s="54"/>
      <c r="K62" s="55"/>
      <c r="L62" s="55"/>
      <c r="M62" s="55"/>
      <c r="N62" s="55"/>
      <c r="O62" s="99">
        <f t="shared" si="6"/>
        <v>0</v>
      </c>
      <c r="P62" s="95"/>
      <c r="Q62" s="47"/>
      <c r="R62" s="100" t="str">
        <f t="shared" si="7"/>
        <v/>
      </c>
      <c r="S62" s="100" t="str">
        <f t="shared" si="8"/>
        <v/>
      </c>
      <c r="T62" s="101">
        <f t="shared" si="9"/>
        <v>0</v>
      </c>
      <c r="U62" s="50"/>
    </row>
    <row r="63" spans="1:21" x14ac:dyDescent="0.25">
      <c r="A63" s="46">
        <f t="shared" si="1"/>
        <v>52</v>
      </c>
      <c r="B63" s="54"/>
      <c r="C63" s="5" t="s">
        <v>129</v>
      </c>
      <c r="D63" s="5" t="s">
        <v>130</v>
      </c>
      <c r="E63" s="6" t="s">
        <v>131</v>
      </c>
      <c r="F63" s="48"/>
      <c r="G63" s="12" t="s">
        <v>494</v>
      </c>
      <c r="H63" s="54"/>
      <c r="I63" s="54"/>
      <c r="J63" s="54"/>
      <c r="K63" s="55"/>
      <c r="L63" s="55"/>
      <c r="M63" s="55"/>
      <c r="N63" s="55"/>
      <c r="O63" s="99">
        <f t="shared" si="6"/>
        <v>0</v>
      </c>
      <c r="P63" s="95"/>
      <c r="Q63" s="95"/>
      <c r="R63" s="100" t="str">
        <f t="shared" si="7"/>
        <v/>
      </c>
      <c r="S63" s="100" t="str">
        <f t="shared" si="8"/>
        <v/>
      </c>
      <c r="T63" s="101">
        <f t="shared" si="9"/>
        <v>0</v>
      </c>
      <c r="U63" s="52"/>
    </row>
    <row r="64" spans="1:21" x14ac:dyDescent="0.25">
      <c r="A64" s="46">
        <f t="shared" si="1"/>
        <v>53</v>
      </c>
      <c r="B64" s="47"/>
      <c r="C64" s="15" t="s">
        <v>654</v>
      </c>
      <c r="D64" s="15" t="s">
        <v>45</v>
      </c>
      <c r="E64" s="10" t="s">
        <v>655</v>
      </c>
      <c r="F64" s="15"/>
      <c r="G64" s="15"/>
      <c r="H64" s="49"/>
      <c r="I64" s="47"/>
      <c r="J64" s="47"/>
      <c r="K64" s="47"/>
      <c r="L64" s="47"/>
      <c r="M64" s="47"/>
      <c r="N64" s="47"/>
      <c r="O64" s="99">
        <f t="shared" si="6"/>
        <v>0</v>
      </c>
      <c r="P64" s="47"/>
      <c r="Q64" s="47"/>
      <c r="R64" s="100" t="str">
        <f t="shared" si="7"/>
        <v/>
      </c>
      <c r="S64" s="100" t="str">
        <f t="shared" si="8"/>
        <v/>
      </c>
      <c r="T64" s="101">
        <f t="shared" si="9"/>
        <v>0</v>
      </c>
      <c r="U64" s="50"/>
    </row>
    <row r="65" spans="1:21" x14ac:dyDescent="0.25">
      <c r="A65" s="46">
        <f t="shared" si="1"/>
        <v>54</v>
      </c>
      <c r="B65" s="47"/>
      <c r="C65" s="5" t="s">
        <v>132</v>
      </c>
      <c r="D65" s="5" t="s">
        <v>84</v>
      </c>
      <c r="E65" s="6" t="s">
        <v>133</v>
      </c>
      <c r="F65" s="48"/>
      <c r="G65" s="12"/>
      <c r="H65" s="49"/>
      <c r="I65" s="47"/>
      <c r="J65" s="47"/>
      <c r="K65" s="47"/>
      <c r="L65" s="47"/>
      <c r="M65" s="47"/>
      <c r="N65" s="47"/>
      <c r="O65" s="99">
        <f t="shared" si="6"/>
        <v>0</v>
      </c>
      <c r="P65" s="47"/>
      <c r="Q65" s="47"/>
      <c r="R65" s="100" t="str">
        <f t="shared" si="7"/>
        <v/>
      </c>
      <c r="S65" s="100" t="str">
        <f t="shared" si="8"/>
        <v/>
      </c>
      <c r="T65" s="101">
        <f t="shared" si="9"/>
        <v>0</v>
      </c>
      <c r="U65" s="52"/>
    </row>
    <row r="66" spans="1:21" x14ac:dyDescent="0.25">
      <c r="A66" s="46">
        <f t="shared" si="1"/>
        <v>55</v>
      </c>
      <c r="B66" s="47"/>
      <c r="C66" s="5" t="s">
        <v>134</v>
      </c>
      <c r="D66" s="5" t="s">
        <v>135</v>
      </c>
      <c r="E66" s="6" t="s">
        <v>136</v>
      </c>
      <c r="F66" s="48">
        <v>4152058885</v>
      </c>
      <c r="G66" s="59" t="s">
        <v>495</v>
      </c>
      <c r="H66" s="49"/>
      <c r="I66" s="47"/>
      <c r="J66" s="47"/>
      <c r="K66" s="47"/>
      <c r="L66" s="47"/>
      <c r="M66" s="47"/>
      <c r="N66" s="47"/>
      <c r="O66" s="99">
        <f t="shared" si="6"/>
        <v>0</v>
      </c>
      <c r="P66" s="47"/>
      <c r="Q66" s="47"/>
      <c r="R66" s="100" t="str">
        <f t="shared" si="7"/>
        <v/>
      </c>
      <c r="S66" s="100" t="str">
        <f t="shared" si="8"/>
        <v/>
      </c>
      <c r="T66" s="101">
        <f t="shared" si="9"/>
        <v>0</v>
      </c>
      <c r="U66" s="52"/>
    </row>
    <row r="67" spans="1:21" x14ac:dyDescent="0.25">
      <c r="A67" s="46">
        <f t="shared" si="1"/>
        <v>56</v>
      </c>
      <c r="B67" s="47"/>
      <c r="C67" s="5" t="s">
        <v>137</v>
      </c>
      <c r="D67" s="5" t="s">
        <v>138</v>
      </c>
      <c r="E67" s="6" t="s">
        <v>139</v>
      </c>
      <c r="F67" s="48">
        <v>4152052574</v>
      </c>
      <c r="G67" s="59" t="s">
        <v>496</v>
      </c>
      <c r="H67" s="49"/>
      <c r="I67" s="47"/>
      <c r="J67" s="47"/>
      <c r="K67" s="47"/>
      <c r="L67" s="47"/>
      <c r="M67" s="47"/>
      <c r="N67" s="47"/>
      <c r="O67" s="99">
        <f t="shared" si="6"/>
        <v>0</v>
      </c>
      <c r="P67" s="47"/>
      <c r="Q67" s="47"/>
      <c r="R67" s="100" t="str">
        <f t="shared" si="7"/>
        <v/>
      </c>
      <c r="S67" s="100" t="str">
        <f t="shared" si="8"/>
        <v/>
      </c>
      <c r="T67" s="101">
        <f t="shared" si="9"/>
        <v>0</v>
      </c>
      <c r="U67" s="52"/>
    </row>
    <row r="68" spans="1:21" x14ac:dyDescent="0.25">
      <c r="A68" s="46">
        <f t="shared" si="1"/>
        <v>57</v>
      </c>
      <c r="B68" s="47"/>
      <c r="C68" s="15" t="s">
        <v>656</v>
      </c>
      <c r="D68" s="15" t="s">
        <v>45</v>
      </c>
      <c r="E68" s="10" t="s">
        <v>657</v>
      </c>
      <c r="F68" s="15"/>
      <c r="G68" s="15"/>
      <c r="H68" s="49"/>
      <c r="I68" s="47"/>
      <c r="J68" s="47"/>
      <c r="K68" s="47"/>
      <c r="L68" s="47"/>
      <c r="M68" s="47"/>
      <c r="N68" s="47"/>
      <c r="O68" s="99">
        <f t="shared" si="6"/>
        <v>0</v>
      </c>
      <c r="P68" s="47"/>
      <c r="Q68" s="47"/>
      <c r="R68" s="100" t="str">
        <f t="shared" si="7"/>
        <v/>
      </c>
      <c r="S68" s="100" t="str">
        <f t="shared" si="8"/>
        <v/>
      </c>
      <c r="T68" s="101">
        <f t="shared" si="9"/>
        <v>0</v>
      </c>
      <c r="U68" s="52"/>
    </row>
    <row r="69" spans="1:21" x14ac:dyDescent="0.25">
      <c r="A69" s="46">
        <f t="shared" si="1"/>
        <v>58</v>
      </c>
      <c r="B69" s="47"/>
      <c r="C69" s="5" t="s">
        <v>140</v>
      </c>
      <c r="D69" s="5" t="s">
        <v>138</v>
      </c>
      <c r="E69" s="10" t="s">
        <v>141</v>
      </c>
      <c r="F69" s="63"/>
      <c r="G69" s="12"/>
      <c r="H69" s="49"/>
      <c r="I69" s="47"/>
      <c r="J69" s="47"/>
      <c r="K69" s="47"/>
      <c r="L69" s="47"/>
      <c r="M69" s="47"/>
      <c r="N69" s="47"/>
      <c r="O69" s="99">
        <f t="shared" si="6"/>
        <v>0</v>
      </c>
      <c r="P69" s="47"/>
      <c r="Q69" s="47"/>
      <c r="R69" s="100" t="str">
        <f t="shared" si="7"/>
        <v/>
      </c>
      <c r="S69" s="100" t="str">
        <f t="shared" si="8"/>
        <v/>
      </c>
      <c r="T69" s="101">
        <f t="shared" si="9"/>
        <v>0</v>
      </c>
      <c r="U69" s="52"/>
    </row>
    <row r="70" spans="1:21" x14ac:dyDescent="0.25">
      <c r="A70" s="46">
        <f t="shared" si="1"/>
        <v>59</v>
      </c>
      <c r="B70" s="47"/>
      <c r="C70" s="5" t="s">
        <v>142</v>
      </c>
      <c r="D70" s="7" t="s">
        <v>45</v>
      </c>
      <c r="E70" s="6" t="s">
        <v>143</v>
      </c>
      <c r="F70" s="48" t="s">
        <v>497</v>
      </c>
      <c r="G70" s="12" t="s">
        <v>498</v>
      </c>
      <c r="H70" s="49"/>
      <c r="I70" s="47"/>
      <c r="J70" s="47"/>
      <c r="K70" s="47"/>
      <c r="L70" s="47"/>
      <c r="M70" s="47"/>
      <c r="N70" s="47"/>
      <c r="O70" s="99">
        <f t="shared" si="6"/>
        <v>0</v>
      </c>
      <c r="P70" s="47"/>
      <c r="Q70" s="47"/>
      <c r="R70" s="100" t="str">
        <f t="shared" si="7"/>
        <v/>
      </c>
      <c r="S70" s="100" t="str">
        <f t="shared" si="8"/>
        <v/>
      </c>
      <c r="T70" s="101">
        <f t="shared" si="9"/>
        <v>0</v>
      </c>
      <c r="U70" s="56"/>
    </row>
    <row r="71" spans="1:21" x14ac:dyDescent="0.25">
      <c r="A71" s="46">
        <f t="shared" si="1"/>
        <v>60</v>
      </c>
      <c r="B71" s="47"/>
      <c r="C71" s="15" t="s">
        <v>658</v>
      </c>
      <c r="D71" s="15" t="s">
        <v>409</v>
      </c>
      <c r="E71" s="10" t="s">
        <v>659</v>
      </c>
      <c r="F71" s="15"/>
      <c r="G71" s="15"/>
      <c r="H71" s="49"/>
      <c r="I71" s="47"/>
      <c r="J71" s="47"/>
      <c r="K71" s="47"/>
      <c r="L71" s="47"/>
      <c r="M71" s="47"/>
      <c r="N71" s="47"/>
      <c r="O71" s="99">
        <f t="shared" si="6"/>
        <v>0</v>
      </c>
      <c r="P71" s="47"/>
      <c r="Q71" s="47"/>
      <c r="R71" s="100" t="str">
        <f t="shared" si="7"/>
        <v/>
      </c>
      <c r="S71" s="100" t="str">
        <f t="shared" si="8"/>
        <v/>
      </c>
      <c r="T71" s="101">
        <f t="shared" si="9"/>
        <v>0</v>
      </c>
      <c r="U71" s="52"/>
    </row>
    <row r="72" spans="1:21" x14ac:dyDescent="0.25">
      <c r="A72" s="46">
        <f t="shared" si="1"/>
        <v>61</v>
      </c>
      <c r="B72" s="54"/>
      <c r="C72" s="5" t="s">
        <v>144</v>
      </c>
      <c r="D72" s="5" t="s">
        <v>145</v>
      </c>
      <c r="E72" s="6" t="s">
        <v>146</v>
      </c>
      <c r="F72" s="48"/>
      <c r="G72" s="12" t="s">
        <v>499</v>
      </c>
      <c r="H72" s="54"/>
      <c r="I72" s="54"/>
      <c r="J72" s="54"/>
      <c r="K72" s="55"/>
      <c r="L72" s="55"/>
      <c r="M72" s="55"/>
      <c r="N72" s="55"/>
      <c r="O72" s="99">
        <f t="shared" si="6"/>
        <v>0</v>
      </c>
      <c r="P72" s="95"/>
      <c r="Q72" s="95"/>
      <c r="R72" s="100" t="str">
        <f t="shared" si="7"/>
        <v/>
      </c>
      <c r="S72" s="100" t="str">
        <f t="shared" si="8"/>
        <v/>
      </c>
      <c r="T72" s="101">
        <f t="shared" si="9"/>
        <v>0</v>
      </c>
      <c r="U72" s="52"/>
    </row>
    <row r="73" spans="1:21" x14ac:dyDescent="0.25">
      <c r="A73" s="46">
        <f t="shared" si="1"/>
        <v>62</v>
      </c>
      <c r="B73" s="54"/>
      <c r="C73" s="7" t="s">
        <v>147</v>
      </c>
      <c r="D73" s="7" t="s">
        <v>148</v>
      </c>
      <c r="E73" s="8" t="s">
        <v>149</v>
      </c>
      <c r="F73" s="57">
        <v>9166997163</v>
      </c>
      <c r="G73" s="59" t="s">
        <v>500</v>
      </c>
      <c r="H73" s="54"/>
      <c r="I73" s="54"/>
      <c r="J73" s="54"/>
      <c r="K73" s="55"/>
      <c r="L73" s="55"/>
      <c r="M73" s="55"/>
      <c r="N73" s="55"/>
      <c r="O73" s="99">
        <f t="shared" si="6"/>
        <v>0</v>
      </c>
      <c r="P73" s="95"/>
      <c r="Q73" s="95"/>
      <c r="R73" s="100" t="str">
        <f t="shared" si="7"/>
        <v/>
      </c>
      <c r="S73" s="100" t="str">
        <f t="shared" si="8"/>
        <v/>
      </c>
      <c r="T73" s="101">
        <f t="shared" si="9"/>
        <v>0</v>
      </c>
      <c r="U73" s="52"/>
    </row>
    <row r="74" spans="1:21" x14ac:dyDescent="0.25">
      <c r="A74" s="46">
        <f t="shared" si="1"/>
        <v>63</v>
      </c>
      <c r="B74" s="47"/>
      <c r="C74" s="15" t="s">
        <v>660</v>
      </c>
      <c r="D74" s="15" t="s">
        <v>191</v>
      </c>
      <c r="E74" s="10" t="s">
        <v>661</v>
      </c>
      <c r="F74" s="15"/>
      <c r="G74" s="59" t="s">
        <v>662</v>
      </c>
      <c r="H74" s="49"/>
      <c r="I74" s="47"/>
      <c r="J74" s="47"/>
      <c r="K74" s="47"/>
      <c r="L74" s="47"/>
      <c r="M74" s="47"/>
      <c r="N74" s="47"/>
      <c r="O74" s="99">
        <f t="shared" si="6"/>
        <v>0</v>
      </c>
      <c r="P74" s="47"/>
      <c r="Q74" s="47"/>
      <c r="R74" s="100" t="str">
        <f t="shared" si="7"/>
        <v/>
      </c>
      <c r="S74" s="100" t="str">
        <f t="shared" si="8"/>
        <v/>
      </c>
      <c r="T74" s="101">
        <f t="shared" si="9"/>
        <v>0</v>
      </c>
      <c r="U74" s="52"/>
    </row>
    <row r="75" spans="1:21" x14ac:dyDescent="0.25">
      <c r="A75" s="46">
        <f t="shared" si="1"/>
        <v>64</v>
      </c>
      <c r="B75" s="47"/>
      <c r="C75" s="15" t="s">
        <v>663</v>
      </c>
      <c r="D75" s="15" t="s">
        <v>33</v>
      </c>
      <c r="E75" s="10" t="s">
        <v>664</v>
      </c>
      <c r="F75" s="15"/>
      <c r="G75" s="59" t="s">
        <v>665</v>
      </c>
      <c r="H75" s="49"/>
      <c r="I75" s="47"/>
      <c r="J75" s="47"/>
      <c r="K75" s="47"/>
      <c r="L75" s="47"/>
      <c r="M75" s="47"/>
      <c r="N75" s="47"/>
      <c r="O75" s="99">
        <f t="shared" si="6"/>
        <v>0</v>
      </c>
      <c r="P75" s="47"/>
      <c r="Q75" s="47"/>
      <c r="R75" s="100" t="str">
        <f t="shared" si="7"/>
        <v/>
      </c>
      <c r="S75" s="100" t="str">
        <f t="shared" si="8"/>
        <v/>
      </c>
      <c r="T75" s="101">
        <f t="shared" si="9"/>
        <v>0</v>
      </c>
      <c r="U75" s="50"/>
    </row>
    <row r="76" spans="1:21" x14ac:dyDescent="0.25">
      <c r="A76" s="46">
        <f t="shared" ref="A76:A139" si="10">ROW() - ROW(FRegEntriesEnteredHdr)</f>
        <v>65</v>
      </c>
      <c r="B76" s="54"/>
      <c r="C76" s="12" t="s">
        <v>150</v>
      </c>
      <c r="D76" s="7" t="s">
        <v>151</v>
      </c>
      <c r="E76" s="8" t="s">
        <v>152</v>
      </c>
      <c r="F76" s="57">
        <v>5104613953</v>
      </c>
      <c r="G76" s="59" t="s">
        <v>501</v>
      </c>
      <c r="H76" s="49"/>
      <c r="I76" s="47"/>
      <c r="J76" s="47"/>
      <c r="K76" s="47"/>
      <c r="L76" s="47"/>
      <c r="M76" s="47"/>
      <c r="N76" s="47"/>
      <c r="O76" s="99">
        <f t="shared" ref="O76:O107" si="11">T76*N76</f>
        <v>0</v>
      </c>
      <c r="P76" s="47"/>
      <c r="Q76" s="47"/>
      <c r="R76" s="100" t="str">
        <f t="shared" ref="R76:R107" si="12">IF(OR(P76="c",P76="C"),+T76,"")</f>
        <v/>
      </c>
      <c r="S76" s="100" t="str">
        <f t="shared" ref="S76:S107" si="13">IF(OR(P76="$",N76=1),+T76,"")</f>
        <v/>
      </c>
      <c r="T76" s="101">
        <f t="shared" ref="T76:T107" si="14">B76*FRegMainSetUpEntryFee + H76*FRegMainSetUpPool1Fee + I76*FRegMainSetUpPool2Fee + J76*FRegMainSetUpPool3Fee + K76*FRegMainSetUpPool4Fee</f>
        <v>0</v>
      </c>
      <c r="U76" s="50"/>
    </row>
    <row r="77" spans="1:21" x14ac:dyDescent="0.25">
      <c r="A77" s="46">
        <f t="shared" si="10"/>
        <v>66</v>
      </c>
      <c r="B77" s="47"/>
      <c r="C77" s="5" t="s">
        <v>155</v>
      </c>
      <c r="D77" s="5" t="s">
        <v>156</v>
      </c>
      <c r="E77" s="6" t="s">
        <v>157</v>
      </c>
      <c r="F77" s="48"/>
      <c r="G77" s="12" t="s">
        <v>503</v>
      </c>
      <c r="H77" s="49"/>
      <c r="I77" s="47"/>
      <c r="J77" s="47"/>
      <c r="K77" s="47"/>
      <c r="L77" s="47"/>
      <c r="M77" s="47"/>
      <c r="N77" s="47"/>
      <c r="O77" s="99">
        <f t="shared" si="11"/>
        <v>0</v>
      </c>
      <c r="P77" s="47"/>
      <c r="Q77" s="47"/>
      <c r="R77" s="100" t="str">
        <f t="shared" si="12"/>
        <v/>
      </c>
      <c r="S77" s="100" t="str">
        <f t="shared" si="13"/>
        <v/>
      </c>
      <c r="T77" s="101">
        <f t="shared" si="14"/>
        <v>0</v>
      </c>
      <c r="U77" s="50"/>
    </row>
    <row r="78" spans="1:21" x14ac:dyDescent="0.25">
      <c r="A78" s="46">
        <f t="shared" si="10"/>
        <v>67</v>
      </c>
      <c r="B78" s="47"/>
      <c r="C78" s="7" t="s">
        <v>158</v>
      </c>
      <c r="D78" s="7" t="s">
        <v>159</v>
      </c>
      <c r="E78" s="8" t="s">
        <v>160</v>
      </c>
      <c r="F78" s="53" t="s">
        <v>504</v>
      </c>
      <c r="G78" s="12" t="s">
        <v>468</v>
      </c>
      <c r="H78" s="49"/>
      <c r="I78" s="47"/>
      <c r="J78" s="47"/>
      <c r="K78" s="47"/>
      <c r="L78" s="47"/>
      <c r="M78" s="47"/>
      <c r="N78" s="47"/>
      <c r="O78" s="99">
        <f t="shared" si="11"/>
        <v>0</v>
      </c>
      <c r="P78" s="47"/>
      <c r="Q78" s="47"/>
      <c r="R78" s="100" t="str">
        <f t="shared" si="12"/>
        <v/>
      </c>
      <c r="S78" s="100" t="str">
        <f t="shared" si="13"/>
        <v/>
      </c>
      <c r="T78" s="101">
        <f t="shared" si="14"/>
        <v>0</v>
      </c>
      <c r="U78" s="52"/>
    </row>
    <row r="79" spans="1:21" x14ac:dyDescent="0.25">
      <c r="A79" s="46">
        <f t="shared" si="10"/>
        <v>68</v>
      </c>
      <c r="B79" s="47"/>
      <c r="C79" s="5" t="s">
        <v>161</v>
      </c>
      <c r="D79" s="5" t="s">
        <v>91</v>
      </c>
      <c r="E79" s="6" t="s">
        <v>162</v>
      </c>
      <c r="F79" s="48"/>
      <c r="G79" s="12" t="s">
        <v>505</v>
      </c>
      <c r="H79" s="49"/>
      <c r="I79" s="47"/>
      <c r="J79" s="47"/>
      <c r="K79" s="47"/>
      <c r="L79" s="47"/>
      <c r="M79" s="47"/>
      <c r="N79" s="47"/>
      <c r="O79" s="99">
        <f t="shared" si="11"/>
        <v>0</v>
      </c>
      <c r="P79" s="47"/>
      <c r="Q79" s="47"/>
      <c r="R79" s="100" t="str">
        <f t="shared" si="12"/>
        <v/>
      </c>
      <c r="S79" s="100" t="str">
        <f t="shared" si="13"/>
        <v/>
      </c>
      <c r="T79" s="101">
        <f t="shared" si="14"/>
        <v>0</v>
      </c>
      <c r="U79" s="50"/>
    </row>
    <row r="80" spans="1:21" x14ac:dyDescent="0.25">
      <c r="A80" s="46">
        <f t="shared" si="10"/>
        <v>69</v>
      </c>
      <c r="B80" s="47"/>
      <c r="C80" s="5" t="s">
        <v>163</v>
      </c>
      <c r="D80" s="5" t="s">
        <v>164</v>
      </c>
      <c r="E80" s="6" t="s">
        <v>165</v>
      </c>
      <c r="F80" s="48"/>
      <c r="G80" s="12" t="s">
        <v>506</v>
      </c>
      <c r="H80" s="49"/>
      <c r="I80" s="47"/>
      <c r="J80" s="47"/>
      <c r="K80" s="47"/>
      <c r="L80" s="47"/>
      <c r="M80" s="47"/>
      <c r="N80" s="47"/>
      <c r="O80" s="99">
        <f t="shared" si="11"/>
        <v>0</v>
      </c>
      <c r="P80" s="47"/>
      <c r="Q80" s="47"/>
      <c r="R80" s="100" t="str">
        <f t="shared" si="12"/>
        <v/>
      </c>
      <c r="S80" s="100" t="str">
        <f t="shared" si="13"/>
        <v/>
      </c>
      <c r="T80" s="101">
        <f t="shared" si="14"/>
        <v>0</v>
      </c>
      <c r="U80" s="52"/>
    </row>
    <row r="81" spans="1:21" x14ac:dyDescent="0.25">
      <c r="A81" s="46">
        <f t="shared" si="10"/>
        <v>70</v>
      </c>
      <c r="B81" s="54"/>
      <c r="C81" s="5" t="s">
        <v>166</v>
      </c>
      <c r="D81" s="5" t="s">
        <v>167</v>
      </c>
      <c r="E81" s="6" t="s">
        <v>168</v>
      </c>
      <c r="F81" s="63">
        <v>9253604907</v>
      </c>
      <c r="G81" s="12" t="s">
        <v>507</v>
      </c>
      <c r="H81" s="49"/>
      <c r="I81" s="47"/>
      <c r="J81" s="47"/>
      <c r="K81" s="47"/>
      <c r="L81" s="47"/>
      <c r="M81" s="47"/>
      <c r="N81" s="47"/>
      <c r="O81" s="99">
        <f t="shared" si="11"/>
        <v>0</v>
      </c>
      <c r="P81" s="95"/>
      <c r="Q81" s="95"/>
      <c r="R81" s="100" t="str">
        <f t="shared" si="12"/>
        <v/>
      </c>
      <c r="S81" s="100" t="str">
        <f t="shared" si="13"/>
        <v/>
      </c>
      <c r="T81" s="101">
        <f t="shared" si="14"/>
        <v>0</v>
      </c>
      <c r="U81" s="50"/>
    </row>
    <row r="82" spans="1:21" x14ac:dyDescent="0.25">
      <c r="A82" s="46">
        <f t="shared" si="10"/>
        <v>71</v>
      </c>
      <c r="B82" s="47"/>
      <c r="C82" s="7" t="s">
        <v>169</v>
      </c>
      <c r="D82" s="7" t="s">
        <v>170</v>
      </c>
      <c r="E82" s="8" t="s">
        <v>171</v>
      </c>
      <c r="F82" s="48"/>
      <c r="G82" s="12" t="s">
        <v>508</v>
      </c>
      <c r="H82" s="49"/>
      <c r="I82" s="47"/>
      <c r="J82" s="47"/>
      <c r="K82" s="47"/>
      <c r="L82" s="47"/>
      <c r="M82" s="47"/>
      <c r="N82" s="47"/>
      <c r="O82" s="99">
        <f t="shared" si="11"/>
        <v>0</v>
      </c>
      <c r="P82" s="47"/>
      <c r="Q82" s="47"/>
      <c r="R82" s="100" t="str">
        <f t="shared" si="12"/>
        <v/>
      </c>
      <c r="S82" s="100" t="str">
        <f t="shared" si="13"/>
        <v/>
      </c>
      <c r="T82" s="101">
        <f t="shared" si="14"/>
        <v>0</v>
      </c>
      <c r="U82" s="56"/>
    </row>
    <row r="83" spans="1:21" x14ac:dyDescent="0.25">
      <c r="A83" s="46">
        <f t="shared" si="10"/>
        <v>72</v>
      </c>
      <c r="B83" s="47"/>
      <c r="C83" s="5" t="s">
        <v>172</v>
      </c>
      <c r="D83" s="5" t="s">
        <v>173</v>
      </c>
      <c r="E83" s="6" t="s">
        <v>174</v>
      </c>
      <c r="F83" s="48">
        <v>5305180274</v>
      </c>
      <c r="G83" s="12" t="s">
        <v>509</v>
      </c>
      <c r="H83" s="49"/>
      <c r="I83" s="47"/>
      <c r="J83" s="47"/>
      <c r="K83" s="47"/>
      <c r="L83" s="47"/>
      <c r="M83" s="47"/>
      <c r="N83" s="47"/>
      <c r="O83" s="99">
        <f t="shared" si="11"/>
        <v>0</v>
      </c>
      <c r="P83" s="47"/>
      <c r="Q83" s="47"/>
      <c r="R83" s="100" t="str">
        <f t="shared" si="12"/>
        <v/>
      </c>
      <c r="S83" s="100" t="str">
        <f t="shared" si="13"/>
        <v/>
      </c>
      <c r="T83" s="101">
        <f t="shared" si="14"/>
        <v>0</v>
      </c>
      <c r="U83" s="52"/>
    </row>
    <row r="84" spans="1:21" x14ac:dyDescent="0.25">
      <c r="A84" s="46">
        <f t="shared" si="10"/>
        <v>73</v>
      </c>
      <c r="B84" s="47"/>
      <c r="C84" s="5" t="s">
        <v>175</v>
      </c>
      <c r="D84" s="5" t="s">
        <v>72</v>
      </c>
      <c r="E84" s="6" t="s">
        <v>176</v>
      </c>
      <c r="F84" s="48"/>
      <c r="G84" s="12"/>
      <c r="H84" s="49"/>
      <c r="I84" s="47"/>
      <c r="J84" s="47"/>
      <c r="K84" s="47"/>
      <c r="L84" s="47"/>
      <c r="M84" s="47"/>
      <c r="N84" s="47"/>
      <c r="O84" s="99">
        <f t="shared" si="11"/>
        <v>0</v>
      </c>
      <c r="P84" s="47"/>
      <c r="Q84" s="47"/>
      <c r="R84" s="100" t="str">
        <f t="shared" si="12"/>
        <v/>
      </c>
      <c r="S84" s="100" t="str">
        <f t="shared" si="13"/>
        <v/>
      </c>
      <c r="T84" s="101">
        <f t="shared" si="14"/>
        <v>0</v>
      </c>
      <c r="U84" s="52"/>
    </row>
    <row r="85" spans="1:21" x14ac:dyDescent="0.25">
      <c r="A85" s="46">
        <f t="shared" si="10"/>
        <v>74</v>
      </c>
      <c r="B85" s="47"/>
      <c r="C85" s="5" t="s">
        <v>177</v>
      </c>
      <c r="D85" s="5" t="s">
        <v>156</v>
      </c>
      <c r="E85" s="6" t="s">
        <v>178</v>
      </c>
      <c r="F85" s="48"/>
      <c r="G85" s="12" t="s">
        <v>510</v>
      </c>
      <c r="H85" s="49"/>
      <c r="I85" s="47"/>
      <c r="J85" s="47"/>
      <c r="K85" s="47"/>
      <c r="L85" s="47"/>
      <c r="M85" s="47"/>
      <c r="N85" s="47"/>
      <c r="O85" s="99">
        <f t="shared" si="11"/>
        <v>0</v>
      </c>
      <c r="P85" s="47"/>
      <c r="Q85" s="47"/>
      <c r="R85" s="100" t="str">
        <f t="shared" si="12"/>
        <v/>
      </c>
      <c r="S85" s="100" t="str">
        <f t="shared" si="13"/>
        <v/>
      </c>
      <c r="T85" s="101">
        <f t="shared" si="14"/>
        <v>0</v>
      </c>
      <c r="U85" s="50"/>
    </row>
    <row r="86" spans="1:21" x14ac:dyDescent="0.25">
      <c r="A86" s="46">
        <f t="shared" si="10"/>
        <v>75</v>
      </c>
      <c r="B86" s="47"/>
      <c r="C86" s="7" t="s">
        <v>179</v>
      </c>
      <c r="D86" s="7" t="s">
        <v>180</v>
      </c>
      <c r="E86" s="8" t="s">
        <v>181</v>
      </c>
      <c r="F86" s="57"/>
      <c r="G86" s="12" t="s">
        <v>511</v>
      </c>
      <c r="H86" s="49"/>
      <c r="I86" s="47"/>
      <c r="J86" s="47"/>
      <c r="K86" s="47"/>
      <c r="L86" s="47"/>
      <c r="M86" s="47"/>
      <c r="N86" s="47"/>
      <c r="O86" s="99">
        <f t="shared" si="11"/>
        <v>0</v>
      </c>
      <c r="P86" s="47"/>
      <c r="Q86" s="47"/>
      <c r="R86" s="100" t="str">
        <f t="shared" si="12"/>
        <v/>
      </c>
      <c r="S86" s="100" t="str">
        <f t="shared" si="13"/>
        <v/>
      </c>
      <c r="T86" s="101">
        <f t="shared" si="14"/>
        <v>0</v>
      </c>
      <c r="U86" s="52"/>
    </row>
    <row r="87" spans="1:21" x14ac:dyDescent="0.25">
      <c r="A87" s="46">
        <f t="shared" si="10"/>
        <v>76</v>
      </c>
      <c r="B87" s="54"/>
      <c r="C87" s="5" t="s">
        <v>182</v>
      </c>
      <c r="D87" s="5" t="s">
        <v>20</v>
      </c>
      <c r="E87" s="6" t="s">
        <v>183</v>
      </c>
      <c r="F87" s="48"/>
      <c r="G87" s="12" t="s">
        <v>512</v>
      </c>
      <c r="H87" s="54"/>
      <c r="I87" s="54"/>
      <c r="J87" s="54"/>
      <c r="K87" s="55"/>
      <c r="L87" s="55"/>
      <c r="M87" s="55"/>
      <c r="N87" s="55"/>
      <c r="O87" s="99">
        <f t="shared" si="11"/>
        <v>0</v>
      </c>
      <c r="P87" s="95"/>
      <c r="Q87" s="95"/>
      <c r="R87" s="100" t="str">
        <f t="shared" si="12"/>
        <v/>
      </c>
      <c r="S87" s="100" t="str">
        <f t="shared" si="13"/>
        <v/>
      </c>
      <c r="T87" s="101">
        <f t="shared" si="14"/>
        <v>0</v>
      </c>
      <c r="U87" s="52"/>
    </row>
    <row r="88" spans="1:21" x14ac:dyDescent="0.25">
      <c r="A88" s="46">
        <f t="shared" si="10"/>
        <v>77</v>
      </c>
      <c r="B88" s="54"/>
      <c r="C88" s="5" t="s">
        <v>184</v>
      </c>
      <c r="D88" s="5" t="s">
        <v>185</v>
      </c>
      <c r="E88" s="6" t="s">
        <v>186</v>
      </c>
      <c r="F88" s="15" t="s">
        <v>513</v>
      </c>
      <c r="G88" s="12" t="s">
        <v>468</v>
      </c>
      <c r="H88" s="54"/>
      <c r="I88" s="54"/>
      <c r="J88" s="54"/>
      <c r="K88" s="55"/>
      <c r="L88" s="55"/>
      <c r="M88" s="55"/>
      <c r="N88" s="55"/>
      <c r="O88" s="99">
        <f t="shared" si="11"/>
        <v>0</v>
      </c>
      <c r="P88" s="95"/>
      <c r="Q88" s="95"/>
      <c r="R88" s="100" t="str">
        <f t="shared" si="12"/>
        <v/>
      </c>
      <c r="S88" s="100" t="str">
        <f t="shared" si="13"/>
        <v/>
      </c>
      <c r="T88" s="101">
        <f t="shared" si="14"/>
        <v>0</v>
      </c>
      <c r="U88" s="52"/>
    </row>
    <row r="89" spans="1:21" x14ac:dyDescent="0.25">
      <c r="A89" s="46">
        <f t="shared" si="10"/>
        <v>78</v>
      </c>
      <c r="B89" s="54"/>
      <c r="C89" s="5" t="s">
        <v>187</v>
      </c>
      <c r="D89" s="5" t="s">
        <v>188</v>
      </c>
      <c r="E89" s="6" t="s">
        <v>189</v>
      </c>
      <c r="F89" s="48"/>
      <c r="G89" s="12" t="s">
        <v>514</v>
      </c>
      <c r="H89" s="54"/>
      <c r="I89" s="54"/>
      <c r="J89" s="54"/>
      <c r="K89" s="55"/>
      <c r="L89" s="55"/>
      <c r="M89" s="55"/>
      <c r="N89" s="55"/>
      <c r="O89" s="99">
        <f t="shared" si="11"/>
        <v>0</v>
      </c>
      <c r="P89" s="95"/>
      <c r="Q89" s="95"/>
      <c r="R89" s="100" t="str">
        <f t="shared" si="12"/>
        <v/>
      </c>
      <c r="S89" s="100" t="str">
        <f t="shared" si="13"/>
        <v/>
      </c>
      <c r="T89" s="101">
        <f t="shared" si="14"/>
        <v>0</v>
      </c>
      <c r="U89" s="50"/>
    </row>
    <row r="90" spans="1:21" x14ac:dyDescent="0.25">
      <c r="A90" s="46">
        <f t="shared" si="10"/>
        <v>79</v>
      </c>
      <c r="B90" s="47"/>
      <c r="C90" s="5" t="s">
        <v>190</v>
      </c>
      <c r="D90" s="5" t="s">
        <v>191</v>
      </c>
      <c r="E90" s="6" t="s">
        <v>192</v>
      </c>
      <c r="F90" s="48"/>
      <c r="G90" s="12" t="s">
        <v>515</v>
      </c>
      <c r="H90" s="49"/>
      <c r="I90" s="47"/>
      <c r="J90" s="47"/>
      <c r="K90" s="47"/>
      <c r="L90" s="47"/>
      <c r="M90" s="47"/>
      <c r="N90" s="47"/>
      <c r="O90" s="99">
        <f t="shared" si="11"/>
        <v>0</v>
      </c>
      <c r="P90" s="47"/>
      <c r="Q90" s="47"/>
      <c r="R90" s="100" t="str">
        <f t="shared" si="12"/>
        <v/>
      </c>
      <c r="S90" s="100" t="str">
        <f t="shared" si="13"/>
        <v/>
      </c>
      <c r="T90" s="101">
        <f t="shared" si="14"/>
        <v>0</v>
      </c>
      <c r="U90" s="50"/>
    </row>
    <row r="91" spans="1:21" x14ac:dyDescent="0.25">
      <c r="A91" s="46">
        <f t="shared" si="10"/>
        <v>80</v>
      </c>
      <c r="B91" s="47"/>
      <c r="C91" s="5" t="s">
        <v>193</v>
      </c>
      <c r="D91" s="5" t="s">
        <v>194</v>
      </c>
      <c r="E91" s="6" t="s">
        <v>195</v>
      </c>
      <c r="F91" s="10" t="s">
        <v>516</v>
      </c>
      <c r="G91" s="59" t="s">
        <v>517</v>
      </c>
      <c r="H91" s="49"/>
      <c r="I91" s="47"/>
      <c r="J91" s="47"/>
      <c r="K91" s="47"/>
      <c r="L91" s="47"/>
      <c r="M91" s="47"/>
      <c r="N91" s="47"/>
      <c r="O91" s="99">
        <f t="shared" si="11"/>
        <v>0</v>
      </c>
      <c r="P91" s="47"/>
      <c r="Q91" s="47"/>
      <c r="R91" s="100" t="str">
        <f t="shared" si="12"/>
        <v/>
      </c>
      <c r="S91" s="100" t="str">
        <f t="shared" si="13"/>
        <v/>
      </c>
      <c r="T91" s="101">
        <f t="shared" si="14"/>
        <v>0</v>
      </c>
      <c r="U91" s="52"/>
    </row>
    <row r="92" spans="1:21" x14ac:dyDescent="0.25">
      <c r="A92" s="46">
        <f t="shared" si="10"/>
        <v>81</v>
      </c>
      <c r="B92" s="47"/>
      <c r="C92" s="7" t="s">
        <v>196</v>
      </c>
      <c r="D92" s="7" t="s">
        <v>64</v>
      </c>
      <c r="E92" s="8" t="s">
        <v>197</v>
      </c>
      <c r="F92" s="57">
        <v>4084722020</v>
      </c>
      <c r="G92" s="59" t="s">
        <v>518</v>
      </c>
      <c r="H92" s="49"/>
      <c r="I92" s="47"/>
      <c r="J92" s="47"/>
      <c r="K92" s="47"/>
      <c r="L92" s="47"/>
      <c r="M92" s="47"/>
      <c r="N92" s="47"/>
      <c r="O92" s="99">
        <f t="shared" si="11"/>
        <v>0</v>
      </c>
      <c r="P92" s="47"/>
      <c r="Q92" s="47"/>
      <c r="R92" s="100" t="str">
        <f t="shared" si="12"/>
        <v/>
      </c>
      <c r="S92" s="100" t="str">
        <f t="shared" si="13"/>
        <v/>
      </c>
      <c r="T92" s="101">
        <f t="shared" si="14"/>
        <v>0</v>
      </c>
      <c r="U92" s="50"/>
    </row>
    <row r="93" spans="1:21" x14ac:dyDescent="0.25">
      <c r="A93" s="46">
        <f t="shared" si="10"/>
        <v>82</v>
      </c>
      <c r="B93" s="47"/>
      <c r="C93" s="7" t="s">
        <v>198</v>
      </c>
      <c r="D93" s="7" t="s">
        <v>199</v>
      </c>
      <c r="E93" s="8" t="s">
        <v>200</v>
      </c>
      <c r="F93" s="57"/>
      <c r="G93" s="12"/>
      <c r="H93" s="49"/>
      <c r="I93" s="47"/>
      <c r="J93" s="47"/>
      <c r="K93" s="47"/>
      <c r="L93" s="47"/>
      <c r="M93" s="47"/>
      <c r="N93" s="47"/>
      <c r="O93" s="99">
        <f t="shared" si="11"/>
        <v>0</v>
      </c>
      <c r="P93" s="47"/>
      <c r="Q93" s="47"/>
      <c r="R93" s="100" t="str">
        <f t="shared" si="12"/>
        <v/>
      </c>
      <c r="S93" s="100" t="str">
        <f t="shared" si="13"/>
        <v/>
      </c>
      <c r="T93" s="101">
        <f t="shared" si="14"/>
        <v>0</v>
      </c>
      <c r="U93" s="52"/>
    </row>
    <row r="94" spans="1:21" x14ac:dyDescent="0.25">
      <c r="A94" s="46">
        <f t="shared" si="10"/>
        <v>83</v>
      </c>
      <c r="B94" s="47"/>
      <c r="C94" s="5" t="s">
        <v>201</v>
      </c>
      <c r="D94" s="5" t="s">
        <v>202</v>
      </c>
      <c r="E94" s="6" t="s">
        <v>203</v>
      </c>
      <c r="F94" s="48"/>
      <c r="G94" s="12" t="s">
        <v>519</v>
      </c>
      <c r="H94" s="49"/>
      <c r="I94" s="47"/>
      <c r="J94" s="47"/>
      <c r="K94" s="47"/>
      <c r="L94" s="47"/>
      <c r="M94" s="47"/>
      <c r="N94" s="47"/>
      <c r="O94" s="99">
        <f t="shared" si="11"/>
        <v>0</v>
      </c>
      <c r="P94" s="47"/>
      <c r="Q94" s="47"/>
      <c r="R94" s="100" t="str">
        <f t="shared" si="12"/>
        <v/>
      </c>
      <c r="S94" s="100" t="str">
        <f t="shared" si="13"/>
        <v/>
      </c>
      <c r="T94" s="101">
        <f t="shared" si="14"/>
        <v>0</v>
      </c>
      <c r="U94" s="52"/>
    </row>
    <row r="95" spans="1:21" x14ac:dyDescent="0.25">
      <c r="A95" s="46">
        <f t="shared" si="10"/>
        <v>84</v>
      </c>
      <c r="B95" s="47"/>
      <c r="C95" s="7" t="s">
        <v>204</v>
      </c>
      <c r="D95" s="7" t="s">
        <v>205</v>
      </c>
      <c r="E95" s="8" t="s">
        <v>206</v>
      </c>
      <c r="F95" s="57"/>
      <c r="G95" s="12" t="s">
        <v>520</v>
      </c>
      <c r="H95" s="49"/>
      <c r="I95" s="47"/>
      <c r="J95" s="47"/>
      <c r="K95" s="47"/>
      <c r="L95" s="47"/>
      <c r="M95" s="47"/>
      <c r="N95" s="47"/>
      <c r="O95" s="99">
        <f t="shared" si="11"/>
        <v>0</v>
      </c>
      <c r="P95" s="47"/>
      <c r="Q95" s="47"/>
      <c r="R95" s="100" t="str">
        <f t="shared" si="12"/>
        <v/>
      </c>
      <c r="S95" s="100" t="str">
        <f t="shared" si="13"/>
        <v/>
      </c>
      <c r="T95" s="101">
        <f t="shared" si="14"/>
        <v>0</v>
      </c>
      <c r="U95" s="50"/>
    </row>
    <row r="96" spans="1:21" x14ac:dyDescent="0.25">
      <c r="A96" s="46">
        <f t="shared" si="10"/>
        <v>85</v>
      </c>
      <c r="B96" s="54"/>
      <c r="C96" s="5" t="s">
        <v>207</v>
      </c>
      <c r="D96" s="5" t="s">
        <v>208</v>
      </c>
      <c r="E96" s="6" t="s">
        <v>209</v>
      </c>
      <c r="F96" s="48">
        <v>9254579513</v>
      </c>
      <c r="G96" s="59" t="s">
        <v>521</v>
      </c>
      <c r="H96" s="55"/>
      <c r="I96" s="55"/>
      <c r="J96" s="55"/>
      <c r="K96" s="55"/>
      <c r="L96" s="55"/>
      <c r="M96" s="55"/>
      <c r="N96" s="55"/>
      <c r="O96" s="99">
        <f t="shared" si="11"/>
        <v>0</v>
      </c>
      <c r="P96" s="95"/>
      <c r="Q96" s="95"/>
      <c r="R96" s="100" t="str">
        <f t="shared" si="12"/>
        <v/>
      </c>
      <c r="S96" s="100" t="str">
        <f t="shared" si="13"/>
        <v/>
      </c>
      <c r="T96" s="101">
        <f t="shared" si="14"/>
        <v>0</v>
      </c>
      <c r="U96" s="52"/>
    </row>
    <row r="97" spans="1:21" x14ac:dyDescent="0.25">
      <c r="A97" s="46">
        <f t="shared" si="10"/>
        <v>86</v>
      </c>
      <c r="B97" s="47"/>
      <c r="C97" s="7" t="s">
        <v>210</v>
      </c>
      <c r="D97" s="7" t="s">
        <v>211</v>
      </c>
      <c r="E97" s="8" t="s">
        <v>212</v>
      </c>
      <c r="F97" s="57"/>
      <c r="G97" s="12"/>
      <c r="H97" s="49"/>
      <c r="I97" s="47"/>
      <c r="J97" s="47"/>
      <c r="K97" s="47"/>
      <c r="L97" s="47"/>
      <c r="M97" s="47"/>
      <c r="N97" s="47"/>
      <c r="O97" s="99">
        <f t="shared" si="11"/>
        <v>0</v>
      </c>
      <c r="P97" s="47"/>
      <c r="Q97" s="47"/>
      <c r="R97" s="100" t="str">
        <f t="shared" si="12"/>
        <v/>
      </c>
      <c r="S97" s="100" t="str">
        <f t="shared" si="13"/>
        <v/>
      </c>
      <c r="T97" s="101">
        <f t="shared" si="14"/>
        <v>0</v>
      </c>
      <c r="U97" s="52"/>
    </row>
    <row r="98" spans="1:21" x14ac:dyDescent="0.25">
      <c r="A98" s="46">
        <f t="shared" si="10"/>
        <v>87</v>
      </c>
      <c r="B98" s="54"/>
      <c r="C98" s="5" t="s">
        <v>213</v>
      </c>
      <c r="D98" s="5" t="s">
        <v>214</v>
      </c>
      <c r="E98" s="6" t="s">
        <v>215</v>
      </c>
      <c r="F98" s="48"/>
      <c r="G98" s="12" t="s">
        <v>522</v>
      </c>
      <c r="H98" s="54"/>
      <c r="I98" s="54"/>
      <c r="J98" s="54"/>
      <c r="K98" s="55"/>
      <c r="L98" s="55"/>
      <c r="M98" s="55"/>
      <c r="N98" s="55"/>
      <c r="O98" s="99">
        <f t="shared" si="11"/>
        <v>0</v>
      </c>
      <c r="P98" s="95"/>
      <c r="Q98" s="95"/>
      <c r="R98" s="100" t="str">
        <f t="shared" si="12"/>
        <v/>
      </c>
      <c r="S98" s="100" t="str">
        <f t="shared" si="13"/>
        <v/>
      </c>
      <c r="T98" s="101">
        <f t="shared" si="14"/>
        <v>0</v>
      </c>
      <c r="U98" s="50"/>
    </row>
    <row r="99" spans="1:21" x14ac:dyDescent="0.25">
      <c r="A99" s="46">
        <f t="shared" si="10"/>
        <v>88</v>
      </c>
      <c r="B99" s="54"/>
      <c r="C99" s="15" t="s">
        <v>666</v>
      </c>
      <c r="D99" s="15" t="s">
        <v>39</v>
      </c>
      <c r="E99" s="10" t="s">
        <v>667</v>
      </c>
      <c r="F99" s="15"/>
      <c r="G99" s="12" t="s">
        <v>523</v>
      </c>
      <c r="H99" s="54"/>
      <c r="I99" s="54"/>
      <c r="J99" s="54"/>
      <c r="K99" s="55"/>
      <c r="L99" s="55"/>
      <c r="M99" s="55"/>
      <c r="N99" s="55"/>
      <c r="O99" s="99">
        <f t="shared" si="11"/>
        <v>0</v>
      </c>
      <c r="P99" s="95"/>
      <c r="Q99" s="95"/>
      <c r="R99" s="100" t="str">
        <f t="shared" si="12"/>
        <v/>
      </c>
      <c r="S99" s="100" t="str">
        <f t="shared" si="13"/>
        <v/>
      </c>
      <c r="T99" s="101">
        <f t="shared" si="14"/>
        <v>0</v>
      </c>
      <c r="U99" s="50"/>
    </row>
    <row r="100" spans="1:21" x14ac:dyDescent="0.25">
      <c r="A100" s="46">
        <f t="shared" si="10"/>
        <v>89</v>
      </c>
      <c r="B100" s="54"/>
      <c r="C100" s="5" t="s">
        <v>216</v>
      </c>
      <c r="D100" s="5" t="s">
        <v>217</v>
      </c>
      <c r="E100" s="6" t="s">
        <v>218</v>
      </c>
      <c r="F100" s="48"/>
      <c r="G100" s="12" t="s">
        <v>523</v>
      </c>
      <c r="H100" s="54"/>
      <c r="I100" s="54"/>
      <c r="J100" s="54"/>
      <c r="K100" s="55"/>
      <c r="L100" s="55"/>
      <c r="M100" s="55"/>
      <c r="N100" s="55"/>
      <c r="O100" s="99">
        <f t="shared" si="11"/>
        <v>0</v>
      </c>
      <c r="P100" s="95"/>
      <c r="Q100" s="95"/>
      <c r="R100" s="100" t="str">
        <f t="shared" si="12"/>
        <v/>
      </c>
      <c r="S100" s="100" t="str">
        <f t="shared" si="13"/>
        <v/>
      </c>
      <c r="T100" s="101">
        <f t="shared" si="14"/>
        <v>0</v>
      </c>
      <c r="U100" s="50"/>
    </row>
    <row r="101" spans="1:21" x14ac:dyDescent="0.25">
      <c r="A101" s="46">
        <f t="shared" si="10"/>
        <v>90</v>
      </c>
      <c r="B101" s="47"/>
      <c r="C101" s="7" t="s">
        <v>219</v>
      </c>
      <c r="D101" s="7" t="s">
        <v>220</v>
      </c>
      <c r="E101" s="8" t="s">
        <v>221</v>
      </c>
      <c r="F101" s="57"/>
      <c r="G101" s="12" t="s">
        <v>524</v>
      </c>
      <c r="H101" s="49"/>
      <c r="I101" s="47"/>
      <c r="J101" s="47"/>
      <c r="K101" s="47"/>
      <c r="L101" s="47"/>
      <c r="M101" s="47"/>
      <c r="N101" s="47"/>
      <c r="O101" s="99">
        <f t="shared" si="11"/>
        <v>0</v>
      </c>
      <c r="P101" s="47"/>
      <c r="Q101" s="47"/>
      <c r="R101" s="100" t="str">
        <f t="shared" si="12"/>
        <v/>
      </c>
      <c r="S101" s="100" t="str">
        <f t="shared" si="13"/>
        <v/>
      </c>
      <c r="T101" s="101">
        <f t="shared" si="14"/>
        <v>0</v>
      </c>
      <c r="U101" s="50"/>
    </row>
    <row r="102" spans="1:21" x14ac:dyDescent="0.25">
      <c r="A102" s="46">
        <f t="shared" si="10"/>
        <v>91</v>
      </c>
      <c r="B102" s="54"/>
      <c r="C102" s="5" t="s">
        <v>222</v>
      </c>
      <c r="D102" s="5" t="s">
        <v>223</v>
      </c>
      <c r="E102" s="6" t="s">
        <v>224</v>
      </c>
      <c r="F102" s="48"/>
      <c r="G102" s="12"/>
      <c r="H102" s="54"/>
      <c r="I102" s="54"/>
      <c r="J102" s="54"/>
      <c r="K102" s="55"/>
      <c r="L102" s="55"/>
      <c r="M102" s="55"/>
      <c r="N102" s="55"/>
      <c r="O102" s="99">
        <f t="shared" si="11"/>
        <v>0</v>
      </c>
      <c r="P102" s="95"/>
      <c r="Q102" s="95"/>
      <c r="R102" s="100" t="str">
        <f t="shared" si="12"/>
        <v/>
      </c>
      <c r="S102" s="100" t="str">
        <f t="shared" si="13"/>
        <v/>
      </c>
      <c r="T102" s="101">
        <f t="shared" si="14"/>
        <v>0</v>
      </c>
      <c r="U102" s="50"/>
    </row>
    <row r="103" spans="1:21" x14ac:dyDescent="0.25">
      <c r="A103" s="46">
        <f t="shared" si="10"/>
        <v>92</v>
      </c>
      <c r="B103" s="47"/>
      <c r="C103" s="5" t="s">
        <v>225</v>
      </c>
      <c r="D103" s="5" t="s">
        <v>226</v>
      </c>
      <c r="E103" s="6" t="s">
        <v>227</v>
      </c>
      <c r="F103" s="48">
        <v>5106819675</v>
      </c>
      <c r="G103" s="59" t="s">
        <v>525</v>
      </c>
      <c r="H103" s="49"/>
      <c r="I103" s="47"/>
      <c r="J103" s="47"/>
      <c r="K103" s="47"/>
      <c r="L103" s="47"/>
      <c r="M103" s="47"/>
      <c r="N103" s="47"/>
      <c r="O103" s="99">
        <f t="shared" si="11"/>
        <v>0</v>
      </c>
      <c r="P103" s="47"/>
      <c r="Q103" s="47"/>
      <c r="R103" s="100" t="str">
        <f t="shared" si="12"/>
        <v/>
      </c>
      <c r="S103" s="100" t="str">
        <f t="shared" si="13"/>
        <v/>
      </c>
      <c r="T103" s="101">
        <f t="shared" si="14"/>
        <v>0</v>
      </c>
      <c r="U103" s="52"/>
    </row>
    <row r="104" spans="1:21" x14ac:dyDescent="0.25">
      <c r="A104" s="46">
        <f t="shared" si="10"/>
        <v>93</v>
      </c>
      <c r="B104" s="54"/>
      <c r="C104" s="5" t="s">
        <v>228</v>
      </c>
      <c r="D104" s="5" t="s">
        <v>229</v>
      </c>
      <c r="E104" s="6" t="s">
        <v>230</v>
      </c>
      <c r="F104" s="63"/>
      <c r="G104" s="12" t="s">
        <v>526</v>
      </c>
      <c r="H104" s="54"/>
      <c r="I104" s="54"/>
      <c r="J104" s="54"/>
      <c r="K104" s="55"/>
      <c r="L104" s="55"/>
      <c r="M104" s="55"/>
      <c r="N104" s="55"/>
      <c r="O104" s="99">
        <f t="shared" si="11"/>
        <v>0</v>
      </c>
      <c r="P104" s="95"/>
      <c r="Q104" s="95"/>
      <c r="R104" s="100" t="str">
        <f t="shared" si="12"/>
        <v/>
      </c>
      <c r="S104" s="100" t="str">
        <f t="shared" si="13"/>
        <v/>
      </c>
      <c r="T104" s="101">
        <f t="shared" si="14"/>
        <v>0</v>
      </c>
      <c r="U104" s="50"/>
    </row>
    <row r="105" spans="1:21" x14ac:dyDescent="0.25">
      <c r="A105" s="46">
        <f t="shared" si="10"/>
        <v>94</v>
      </c>
      <c r="B105" s="47"/>
      <c r="C105" s="7" t="s">
        <v>231</v>
      </c>
      <c r="D105" s="12" t="s">
        <v>232</v>
      </c>
      <c r="E105" s="8" t="s">
        <v>233</v>
      </c>
      <c r="F105" s="61"/>
      <c r="G105" s="12" t="s">
        <v>527</v>
      </c>
      <c r="H105" s="49"/>
      <c r="I105" s="47"/>
      <c r="J105" s="47"/>
      <c r="K105" s="47"/>
      <c r="L105" s="47"/>
      <c r="M105" s="47"/>
      <c r="N105" s="47"/>
      <c r="O105" s="99">
        <f t="shared" si="11"/>
        <v>0</v>
      </c>
      <c r="P105" s="47"/>
      <c r="Q105" s="47"/>
      <c r="R105" s="100" t="str">
        <f t="shared" si="12"/>
        <v/>
      </c>
      <c r="S105" s="100" t="str">
        <f t="shared" si="13"/>
        <v/>
      </c>
      <c r="T105" s="101">
        <f t="shared" si="14"/>
        <v>0</v>
      </c>
      <c r="U105" s="52"/>
    </row>
    <row r="106" spans="1:21" x14ac:dyDescent="0.25">
      <c r="A106" s="46">
        <f t="shared" si="10"/>
        <v>95</v>
      </c>
      <c r="B106" s="47"/>
      <c r="C106" s="7" t="s">
        <v>234</v>
      </c>
      <c r="D106" s="7" t="s">
        <v>235</v>
      </c>
      <c r="E106" s="8" t="s">
        <v>236</v>
      </c>
      <c r="F106" s="57"/>
      <c r="G106" s="12" t="s">
        <v>528</v>
      </c>
      <c r="H106" s="49"/>
      <c r="I106" s="47"/>
      <c r="J106" s="47"/>
      <c r="K106" s="47"/>
      <c r="L106" s="47"/>
      <c r="M106" s="47"/>
      <c r="N106" s="47"/>
      <c r="O106" s="99">
        <f t="shared" si="11"/>
        <v>0</v>
      </c>
      <c r="P106" s="47"/>
      <c r="Q106" s="47"/>
      <c r="R106" s="100" t="str">
        <f t="shared" si="12"/>
        <v/>
      </c>
      <c r="S106" s="100" t="str">
        <f t="shared" si="13"/>
        <v/>
      </c>
      <c r="T106" s="101">
        <f t="shared" si="14"/>
        <v>0</v>
      </c>
      <c r="U106" s="52"/>
    </row>
    <row r="107" spans="1:21" x14ac:dyDescent="0.25">
      <c r="A107" s="46">
        <f t="shared" si="10"/>
        <v>96</v>
      </c>
      <c r="B107" s="54"/>
      <c r="C107" s="15" t="s">
        <v>668</v>
      </c>
      <c r="D107" s="15" t="s">
        <v>669</v>
      </c>
      <c r="E107" s="10" t="s">
        <v>670</v>
      </c>
      <c r="F107" s="15"/>
      <c r="G107" s="97" t="s">
        <v>671</v>
      </c>
      <c r="H107" s="49"/>
      <c r="I107" s="47"/>
      <c r="J107" s="47"/>
      <c r="K107" s="47"/>
      <c r="L107" s="47"/>
      <c r="M107" s="47"/>
      <c r="N107" s="47"/>
      <c r="O107" s="99">
        <f t="shared" si="11"/>
        <v>0</v>
      </c>
      <c r="P107" s="47"/>
      <c r="Q107" s="95"/>
      <c r="R107" s="100" t="str">
        <f t="shared" si="12"/>
        <v/>
      </c>
      <c r="S107" s="100" t="str">
        <f t="shared" si="13"/>
        <v/>
      </c>
      <c r="T107" s="101">
        <f t="shared" si="14"/>
        <v>0</v>
      </c>
      <c r="U107" s="52"/>
    </row>
    <row r="108" spans="1:21" x14ac:dyDescent="0.25">
      <c r="A108" s="46">
        <f t="shared" si="10"/>
        <v>97</v>
      </c>
      <c r="B108" s="54"/>
      <c r="C108" s="7" t="s">
        <v>237</v>
      </c>
      <c r="D108" s="7" t="s">
        <v>194</v>
      </c>
      <c r="E108" s="8" t="s">
        <v>238</v>
      </c>
      <c r="F108" s="57"/>
      <c r="G108" s="12" t="s">
        <v>529</v>
      </c>
      <c r="H108" s="54"/>
      <c r="I108" s="54"/>
      <c r="J108" s="54"/>
      <c r="K108" s="55"/>
      <c r="L108" s="55"/>
      <c r="M108" s="55"/>
      <c r="N108" s="55"/>
      <c r="O108" s="99">
        <f t="shared" ref="O108:O139" si="15">T108*N108</f>
        <v>0</v>
      </c>
      <c r="P108" s="95"/>
      <c r="Q108" s="95"/>
      <c r="R108" s="100" t="str">
        <f t="shared" ref="R108:R139" si="16">IF(OR(P108="c",P108="C"),+T108,"")</f>
        <v/>
      </c>
      <c r="S108" s="100" t="str">
        <f t="shared" ref="S108:S139" si="17">IF(OR(P108="$",N108=1),+T108,"")</f>
        <v/>
      </c>
      <c r="T108" s="101">
        <f t="shared" ref="T108:T139" si="18">B108*FRegMainSetUpEntryFee + H108*FRegMainSetUpPool1Fee + I108*FRegMainSetUpPool2Fee + J108*FRegMainSetUpPool3Fee + K108*FRegMainSetUpPool4Fee</f>
        <v>0</v>
      </c>
      <c r="U108" s="52"/>
    </row>
    <row r="109" spans="1:21" x14ac:dyDescent="0.25">
      <c r="A109" s="46">
        <f t="shared" si="10"/>
        <v>98</v>
      </c>
      <c r="B109" s="47"/>
      <c r="C109" s="5" t="s">
        <v>239</v>
      </c>
      <c r="D109" s="5" t="s">
        <v>240</v>
      </c>
      <c r="E109" s="6" t="s">
        <v>241</v>
      </c>
      <c r="F109" s="48"/>
      <c r="G109" s="12" t="s">
        <v>530</v>
      </c>
      <c r="H109" s="49"/>
      <c r="I109" s="47"/>
      <c r="J109" s="47"/>
      <c r="K109" s="47"/>
      <c r="L109" s="47"/>
      <c r="M109" s="47"/>
      <c r="N109" s="47"/>
      <c r="O109" s="99">
        <f t="shared" si="15"/>
        <v>0</v>
      </c>
      <c r="P109" s="47"/>
      <c r="Q109" s="95"/>
      <c r="R109" s="100" t="str">
        <f t="shared" si="16"/>
        <v/>
      </c>
      <c r="S109" s="100" t="str">
        <f t="shared" si="17"/>
        <v/>
      </c>
      <c r="T109" s="101">
        <f t="shared" si="18"/>
        <v>0</v>
      </c>
      <c r="U109" s="52"/>
    </row>
    <row r="110" spans="1:21" x14ac:dyDescent="0.25">
      <c r="A110" s="46">
        <f t="shared" si="10"/>
        <v>99</v>
      </c>
      <c r="B110" s="47"/>
      <c r="C110" s="5" t="s">
        <v>242</v>
      </c>
      <c r="D110" s="5" t="s">
        <v>130</v>
      </c>
      <c r="E110" s="6" t="s">
        <v>243</v>
      </c>
      <c r="F110" s="48"/>
      <c r="G110" s="12"/>
      <c r="H110" s="49"/>
      <c r="I110" s="47"/>
      <c r="J110" s="47"/>
      <c r="K110" s="47"/>
      <c r="L110" s="47"/>
      <c r="M110" s="47"/>
      <c r="N110" s="47"/>
      <c r="O110" s="99">
        <f t="shared" si="15"/>
        <v>0</v>
      </c>
      <c r="P110" s="47"/>
      <c r="Q110" s="95"/>
      <c r="R110" s="100" t="str">
        <f t="shared" si="16"/>
        <v/>
      </c>
      <c r="S110" s="100" t="str">
        <f t="shared" si="17"/>
        <v/>
      </c>
      <c r="T110" s="101">
        <f t="shared" si="18"/>
        <v>0</v>
      </c>
      <c r="U110" s="50"/>
    </row>
    <row r="111" spans="1:21" x14ac:dyDescent="0.25">
      <c r="A111" s="46">
        <f t="shared" si="10"/>
        <v>100</v>
      </c>
      <c r="B111" s="47"/>
      <c r="C111" s="15" t="s">
        <v>672</v>
      </c>
      <c r="D111" s="15" t="s">
        <v>159</v>
      </c>
      <c r="E111" s="10" t="s">
        <v>673</v>
      </c>
      <c r="F111" s="15"/>
      <c r="G111" s="97" t="s">
        <v>674</v>
      </c>
      <c r="H111" s="49"/>
      <c r="I111" s="47"/>
      <c r="J111" s="47"/>
      <c r="K111" s="47"/>
      <c r="L111" s="47"/>
      <c r="M111" s="47"/>
      <c r="N111" s="47"/>
      <c r="O111" s="99">
        <f t="shared" si="15"/>
        <v>0</v>
      </c>
      <c r="P111" s="47"/>
      <c r="Q111" s="47"/>
      <c r="R111" s="100" t="str">
        <f t="shared" si="16"/>
        <v/>
      </c>
      <c r="S111" s="100" t="str">
        <f t="shared" si="17"/>
        <v/>
      </c>
      <c r="T111" s="101">
        <f t="shared" si="18"/>
        <v>0</v>
      </c>
      <c r="U111" s="50"/>
    </row>
    <row r="112" spans="1:21" x14ac:dyDescent="0.25">
      <c r="A112" s="46">
        <f t="shared" si="10"/>
        <v>101</v>
      </c>
      <c r="B112" s="47"/>
      <c r="C112" s="5" t="s">
        <v>244</v>
      </c>
      <c r="D112" s="5" t="s">
        <v>245</v>
      </c>
      <c r="E112" s="6" t="s">
        <v>246</v>
      </c>
      <c r="F112" s="48"/>
      <c r="G112" s="12" t="s">
        <v>531</v>
      </c>
      <c r="H112" s="49"/>
      <c r="I112" s="47"/>
      <c r="J112" s="47"/>
      <c r="K112" s="47"/>
      <c r="L112" s="47"/>
      <c r="M112" s="47"/>
      <c r="N112" s="47"/>
      <c r="O112" s="99">
        <f t="shared" si="15"/>
        <v>0</v>
      </c>
      <c r="P112" s="47"/>
      <c r="Q112" s="47"/>
      <c r="R112" s="100" t="str">
        <f t="shared" si="16"/>
        <v/>
      </c>
      <c r="S112" s="100" t="str">
        <f t="shared" si="17"/>
        <v/>
      </c>
      <c r="T112" s="101">
        <f t="shared" si="18"/>
        <v>0</v>
      </c>
      <c r="U112" s="52"/>
    </row>
    <row r="113" spans="1:21" x14ac:dyDescent="0.25">
      <c r="A113" s="46">
        <f t="shared" si="10"/>
        <v>102</v>
      </c>
      <c r="B113" s="54"/>
      <c r="C113" s="7" t="s">
        <v>247</v>
      </c>
      <c r="D113" s="7" t="s">
        <v>185</v>
      </c>
      <c r="E113" s="8" t="s">
        <v>248</v>
      </c>
      <c r="F113" s="57"/>
      <c r="G113" s="12" t="s">
        <v>532</v>
      </c>
      <c r="H113" s="49"/>
      <c r="I113" s="47"/>
      <c r="J113" s="47"/>
      <c r="K113" s="47"/>
      <c r="L113" s="47"/>
      <c r="M113" s="47"/>
      <c r="N113" s="47"/>
      <c r="O113" s="99">
        <f t="shared" si="15"/>
        <v>0</v>
      </c>
      <c r="P113" s="47"/>
      <c r="Q113" s="47"/>
      <c r="R113" s="100" t="str">
        <f t="shared" si="16"/>
        <v/>
      </c>
      <c r="S113" s="100" t="str">
        <f t="shared" si="17"/>
        <v/>
      </c>
      <c r="T113" s="101">
        <f t="shared" si="18"/>
        <v>0</v>
      </c>
      <c r="U113" s="52"/>
    </row>
    <row r="114" spans="1:21" x14ac:dyDescent="0.25">
      <c r="A114" s="46">
        <f t="shared" si="10"/>
        <v>103</v>
      </c>
      <c r="B114" s="54"/>
      <c r="C114" s="7" t="s">
        <v>249</v>
      </c>
      <c r="D114" s="7" t="s">
        <v>250</v>
      </c>
      <c r="E114" s="8" t="s">
        <v>251</v>
      </c>
      <c r="F114" s="48"/>
      <c r="G114" s="12" t="s">
        <v>533</v>
      </c>
      <c r="H114" s="54"/>
      <c r="I114" s="54"/>
      <c r="J114" s="54"/>
      <c r="K114" s="55"/>
      <c r="L114" s="55"/>
      <c r="M114" s="55"/>
      <c r="N114" s="55"/>
      <c r="O114" s="99">
        <f t="shared" si="15"/>
        <v>0</v>
      </c>
      <c r="P114" s="95"/>
      <c r="Q114" s="95"/>
      <c r="R114" s="100" t="str">
        <f t="shared" si="16"/>
        <v/>
      </c>
      <c r="S114" s="100" t="str">
        <f t="shared" si="17"/>
        <v/>
      </c>
      <c r="T114" s="101">
        <f t="shared" si="18"/>
        <v>0</v>
      </c>
      <c r="U114" s="52"/>
    </row>
    <row r="115" spans="1:21" x14ac:dyDescent="0.25">
      <c r="A115" s="46">
        <f t="shared" si="10"/>
        <v>104</v>
      </c>
      <c r="B115" s="54"/>
      <c r="C115" s="5" t="s">
        <v>252</v>
      </c>
      <c r="D115" s="5" t="s">
        <v>42</v>
      </c>
      <c r="E115" s="6" t="s">
        <v>253</v>
      </c>
      <c r="F115" s="48"/>
      <c r="G115" s="12" t="s">
        <v>534</v>
      </c>
      <c r="H115" s="54"/>
      <c r="I115" s="54"/>
      <c r="J115" s="54"/>
      <c r="K115" s="55"/>
      <c r="L115" s="55"/>
      <c r="M115" s="55"/>
      <c r="N115" s="55"/>
      <c r="O115" s="99">
        <f t="shared" si="15"/>
        <v>0</v>
      </c>
      <c r="P115" s="95"/>
      <c r="Q115" s="95"/>
      <c r="R115" s="100" t="str">
        <f t="shared" si="16"/>
        <v/>
      </c>
      <c r="S115" s="100" t="str">
        <f t="shared" si="17"/>
        <v/>
      </c>
      <c r="T115" s="101">
        <f t="shared" si="18"/>
        <v>0</v>
      </c>
      <c r="U115" s="52"/>
    </row>
    <row r="116" spans="1:21" x14ac:dyDescent="0.25">
      <c r="A116" s="46">
        <f t="shared" si="10"/>
        <v>105</v>
      </c>
      <c r="B116" s="47"/>
      <c r="C116" s="5" t="s">
        <v>254</v>
      </c>
      <c r="D116" s="5" t="s">
        <v>255</v>
      </c>
      <c r="E116" s="6" t="s">
        <v>256</v>
      </c>
      <c r="F116" s="53" t="s">
        <v>535</v>
      </c>
      <c r="G116" s="59" t="s">
        <v>536</v>
      </c>
      <c r="H116" s="49"/>
      <c r="I116" s="47"/>
      <c r="J116" s="47"/>
      <c r="K116" s="47"/>
      <c r="L116" s="47"/>
      <c r="M116" s="47"/>
      <c r="N116" s="47"/>
      <c r="O116" s="99">
        <f t="shared" si="15"/>
        <v>0</v>
      </c>
      <c r="P116" s="47"/>
      <c r="Q116" s="47"/>
      <c r="R116" s="100" t="str">
        <f t="shared" si="16"/>
        <v/>
      </c>
      <c r="S116" s="100" t="str">
        <f t="shared" si="17"/>
        <v/>
      </c>
      <c r="T116" s="101">
        <f t="shared" si="18"/>
        <v>0</v>
      </c>
      <c r="U116" s="52"/>
    </row>
    <row r="117" spans="1:21" x14ac:dyDescent="0.25">
      <c r="A117" s="46">
        <f t="shared" si="10"/>
        <v>106</v>
      </c>
      <c r="B117" s="54"/>
      <c r="C117" s="5" t="s">
        <v>257</v>
      </c>
      <c r="D117" s="13" t="s">
        <v>255</v>
      </c>
      <c r="E117" s="6" t="s">
        <v>258</v>
      </c>
      <c r="F117" s="10" t="s">
        <v>535</v>
      </c>
      <c r="G117" s="59" t="s">
        <v>537</v>
      </c>
      <c r="H117" s="54"/>
      <c r="I117" s="54"/>
      <c r="J117" s="54"/>
      <c r="K117" s="55"/>
      <c r="L117" s="55"/>
      <c r="M117" s="55"/>
      <c r="N117" s="55"/>
      <c r="O117" s="99">
        <f t="shared" si="15"/>
        <v>0</v>
      </c>
      <c r="P117" s="95"/>
      <c r="Q117" s="95"/>
      <c r="R117" s="100" t="str">
        <f t="shared" si="16"/>
        <v/>
      </c>
      <c r="S117" s="100" t="str">
        <f t="shared" si="17"/>
        <v/>
      </c>
      <c r="T117" s="101">
        <f t="shared" si="18"/>
        <v>0</v>
      </c>
      <c r="U117" s="52"/>
    </row>
    <row r="118" spans="1:21" x14ac:dyDescent="0.25">
      <c r="A118" s="46">
        <f t="shared" si="10"/>
        <v>107</v>
      </c>
      <c r="B118" s="47"/>
      <c r="C118" s="5" t="s">
        <v>259</v>
      </c>
      <c r="D118" s="5" t="s">
        <v>75</v>
      </c>
      <c r="E118" s="6" t="s">
        <v>260</v>
      </c>
      <c r="F118" s="48"/>
      <c r="G118" s="12" t="s">
        <v>538</v>
      </c>
      <c r="H118" s="49"/>
      <c r="I118" s="47"/>
      <c r="J118" s="47"/>
      <c r="K118" s="47"/>
      <c r="L118" s="47"/>
      <c r="M118" s="47"/>
      <c r="N118" s="47"/>
      <c r="O118" s="99">
        <f t="shared" si="15"/>
        <v>0</v>
      </c>
      <c r="P118" s="47"/>
      <c r="Q118" s="47"/>
      <c r="R118" s="100" t="str">
        <f t="shared" si="16"/>
        <v/>
      </c>
      <c r="S118" s="100" t="str">
        <f t="shared" si="17"/>
        <v/>
      </c>
      <c r="T118" s="101">
        <f t="shared" si="18"/>
        <v>0</v>
      </c>
      <c r="U118" s="50"/>
    </row>
    <row r="119" spans="1:21" x14ac:dyDescent="0.25">
      <c r="A119" s="46">
        <f t="shared" si="10"/>
        <v>108</v>
      </c>
      <c r="B119" s="47"/>
      <c r="C119" s="5" t="s">
        <v>261</v>
      </c>
      <c r="D119" s="5" t="s">
        <v>262</v>
      </c>
      <c r="E119" s="6" t="s">
        <v>263</v>
      </c>
      <c r="F119" s="10" t="s">
        <v>539</v>
      </c>
      <c r="G119" s="15" t="s">
        <v>540</v>
      </c>
      <c r="H119" s="49"/>
      <c r="I119" s="47"/>
      <c r="J119" s="47"/>
      <c r="K119" s="47"/>
      <c r="L119" s="47"/>
      <c r="M119" s="47"/>
      <c r="N119" s="47"/>
      <c r="O119" s="99">
        <f t="shared" si="15"/>
        <v>0</v>
      </c>
      <c r="P119" s="47"/>
      <c r="Q119" s="47"/>
      <c r="R119" s="100" t="str">
        <f t="shared" si="16"/>
        <v/>
      </c>
      <c r="S119" s="100" t="str">
        <f t="shared" si="17"/>
        <v/>
      </c>
      <c r="T119" s="101">
        <f t="shared" si="18"/>
        <v>0</v>
      </c>
      <c r="U119" s="56"/>
    </row>
    <row r="120" spans="1:21" x14ac:dyDescent="0.25">
      <c r="A120" s="46">
        <f t="shared" si="10"/>
        <v>109</v>
      </c>
      <c r="B120" s="47"/>
      <c r="C120" s="5" t="s">
        <v>264</v>
      </c>
      <c r="D120" s="5" t="s">
        <v>45</v>
      </c>
      <c r="E120" s="6" t="s">
        <v>265</v>
      </c>
      <c r="F120" s="48" t="s">
        <v>541</v>
      </c>
      <c r="G120" s="15" t="s">
        <v>542</v>
      </c>
      <c r="H120" s="49"/>
      <c r="I120" s="47"/>
      <c r="J120" s="47"/>
      <c r="K120" s="47"/>
      <c r="L120" s="47"/>
      <c r="M120" s="47"/>
      <c r="N120" s="47"/>
      <c r="O120" s="99">
        <f t="shared" si="15"/>
        <v>0</v>
      </c>
      <c r="P120" s="47"/>
      <c r="Q120" s="47"/>
      <c r="R120" s="100" t="str">
        <f t="shared" si="16"/>
        <v/>
      </c>
      <c r="S120" s="100" t="str">
        <f t="shared" si="17"/>
        <v/>
      </c>
      <c r="T120" s="101">
        <f t="shared" si="18"/>
        <v>0</v>
      </c>
      <c r="U120" s="52"/>
    </row>
    <row r="121" spans="1:21" x14ac:dyDescent="0.25">
      <c r="A121" s="46">
        <f t="shared" si="10"/>
        <v>110</v>
      </c>
      <c r="B121" s="47"/>
      <c r="C121" s="7" t="s">
        <v>266</v>
      </c>
      <c r="D121" s="7" t="s">
        <v>267</v>
      </c>
      <c r="E121" s="8" t="s">
        <v>268</v>
      </c>
      <c r="F121" s="60"/>
      <c r="G121" s="12"/>
      <c r="H121" s="49"/>
      <c r="I121" s="47"/>
      <c r="J121" s="47"/>
      <c r="K121" s="47"/>
      <c r="L121" s="47"/>
      <c r="M121" s="47"/>
      <c r="N121" s="47"/>
      <c r="O121" s="99">
        <f t="shared" si="15"/>
        <v>0</v>
      </c>
      <c r="P121" s="47"/>
      <c r="Q121" s="47"/>
      <c r="R121" s="100" t="str">
        <f t="shared" si="16"/>
        <v/>
      </c>
      <c r="S121" s="100" t="str">
        <f t="shared" si="17"/>
        <v/>
      </c>
      <c r="T121" s="101">
        <f t="shared" si="18"/>
        <v>0</v>
      </c>
      <c r="U121" s="52"/>
    </row>
    <row r="122" spans="1:21" x14ac:dyDescent="0.25">
      <c r="A122" s="46">
        <f t="shared" si="10"/>
        <v>111</v>
      </c>
      <c r="B122" s="47"/>
      <c r="C122" s="5" t="s">
        <v>269</v>
      </c>
      <c r="D122" s="5" t="s">
        <v>270</v>
      </c>
      <c r="E122" s="6" t="s">
        <v>271</v>
      </c>
      <c r="F122" s="48"/>
      <c r="G122" s="12" t="s">
        <v>543</v>
      </c>
      <c r="H122" s="49"/>
      <c r="I122" s="47"/>
      <c r="J122" s="47"/>
      <c r="K122" s="47"/>
      <c r="L122" s="47"/>
      <c r="M122" s="47"/>
      <c r="N122" s="47"/>
      <c r="O122" s="99">
        <f t="shared" si="15"/>
        <v>0</v>
      </c>
      <c r="P122" s="47"/>
      <c r="Q122" s="47"/>
      <c r="R122" s="100" t="str">
        <f t="shared" si="16"/>
        <v/>
      </c>
      <c r="S122" s="100" t="str">
        <f t="shared" si="17"/>
        <v/>
      </c>
      <c r="T122" s="101">
        <f t="shared" si="18"/>
        <v>0</v>
      </c>
      <c r="U122" s="52"/>
    </row>
    <row r="123" spans="1:21" x14ac:dyDescent="0.25">
      <c r="A123" s="46">
        <f t="shared" si="10"/>
        <v>112</v>
      </c>
      <c r="B123" s="54"/>
      <c r="C123" s="15" t="s">
        <v>675</v>
      </c>
      <c r="D123" s="15" t="s">
        <v>350</v>
      </c>
      <c r="E123" s="10" t="s">
        <v>676</v>
      </c>
      <c r="F123" s="15"/>
      <c r="G123" s="15"/>
      <c r="H123" s="49"/>
      <c r="I123" s="47"/>
      <c r="J123" s="47"/>
      <c r="K123" s="47"/>
      <c r="L123" s="47"/>
      <c r="M123" s="47"/>
      <c r="N123" s="47"/>
      <c r="O123" s="99">
        <f t="shared" si="15"/>
        <v>0</v>
      </c>
      <c r="P123" s="47"/>
      <c r="Q123" s="47"/>
      <c r="R123" s="100" t="str">
        <f t="shared" si="16"/>
        <v/>
      </c>
      <c r="S123" s="100" t="str">
        <f t="shared" si="17"/>
        <v/>
      </c>
      <c r="T123" s="101">
        <f t="shared" si="18"/>
        <v>0</v>
      </c>
      <c r="U123" s="52"/>
    </row>
    <row r="124" spans="1:21" x14ac:dyDescent="0.25">
      <c r="A124" s="46">
        <f t="shared" si="10"/>
        <v>113</v>
      </c>
      <c r="B124" s="47"/>
      <c r="C124" s="7" t="s">
        <v>272</v>
      </c>
      <c r="D124" s="7" t="s">
        <v>45</v>
      </c>
      <c r="E124" s="8" t="s">
        <v>273</v>
      </c>
      <c r="F124" s="57">
        <v>7072242345</v>
      </c>
      <c r="G124" s="12" t="s">
        <v>544</v>
      </c>
      <c r="H124" s="49"/>
      <c r="I124" s="47"/>
      <c r="J124" s="47"/>
      <c r="K124" s="47"/>
      <c r="L124" s="47"/>
      <c r="M124" s="47"/>
      <c r="N124" s="47"/>
      <c r="O124" s="99">
        <f t="shared" si="15"/>
        <v>0</v>
      </c>
      <c r="P124" s="47"/>
      <c r="Q124" s="47"/>
      <c r="R124" s="100" t="str">
        <f t="shared" si="16"/>
        <v/>
      </c>
      <c r="S124" s="100" t="str">
        <f t="shared" si="17"/>
        <v/>
      </c>
      <c r="T124" s="101">
        <f t="shared" si="18"/>
        <v>0</v>
      </c>
      <c r="U124" s="52"/>
    </row>
    <row r="125" spans="1:21" x14ac:dyDescent="0.25">
      <c r="A125" s="46">
        <f t="shared" si="10"/>
        <v>114</v>
      </c>
      <c r="B125" s="47"/>
      <c r="C125" s="5" t="s">
        <v>274</v>
      </c>
      <c r="D125" s="5" t="s">
        <v>275</v>
      </c>
      <c r="E125" s="6" t="s">
        <v>276</v>
      </c>
      <c r="F125" s="48"/>
      <c r="G125" s="12" t="s">
        <v>545</v>
      </c>
      <c r="H125" s="49"/>
      <c r="I125" s="49"/>
      <c r="J125" s="49"/>
      <c r="K125" s="49"/>
      <c r="L125" s="47"/>
      <c r="M125" s="47"/>
      <c r="N125" s="47"/>
      <c r="O125" s="99">
        <f t="shared" si="15"/>
        <v>0</v>
      </c>
      <c r="P125" s="47"/>
      <c r="Q125" s="47"/>
      <c r="R125" s="100" t="str">
        <f t="shared" si="16"/>
        <v/>
      </c>
      <c r="S125" s="100" t="str">
        <f t="shared" si="17"/>
        <v/>
      </c>
      <c r="T125" s="101">
        <f t="shared" si="18"/>
        <v>0</v>
      </c>
      <c r="U125" s="50"/>
    </row>
    <row r="126" spans="1:21" x14ac:dyDescent="0.25">
      <c r="A126" s="46">
        <f t="shared" si="10"/>
        <v>115</v>
      </c>
      <c r="B126" s="47"/>
      <c r="C126" s="7" t="s">
        <v>277</v>
      </c>
      <c r="D126" s="7" t="s">
        <v>194</v>
      </c>
      <c r="E126" s="8" t="s">
        <v>278</v>
      </c>
      <c r="F126" s="57"/>
      <c r="G126" s="12" t="s">
        <v>546</v>
      </c>
      <c r="H126" s="49"/>
      <c r="I126" s="47"/>
      <c r="J126" s="47"/>
      <c r="K126" s="47"/>
      <c r="L126" s="47"/>
      <c r="M126" s="47"/>
      <c r="N126" s="47"/>
      <c r="O126" s="99">
        <f t="shared" si="15"/>
        <v>0</v>
      </c>
      <c r="P126" s="47"/>
      <c r="Q126" s="47"/>
      <c r="R126" s="100" t="str">
        <f t="shared" si="16"/>
        <v/>
      </c>
      <c r="S126" s="100" t="str">
        <f t="shared" si="17"/>
        <v/>
      </c>
      <c r="T126" s="101">
        <f t="shared" si="18"/>
        <v>0</v>
      </c>
      <c r="U126" s="52"/>
    </row>
    <row r="127" spans="1:21" x14ac:dyDescent="0.25">
      <c r="A127" s="46">
        <f t="shared" si="10"/>
        <v>116</v>
      </c>
      <c r="B127" s="54"/>
      <c r="C127" s="15" t="s">
        <v>677</v>
      </c>
      <c r="D127" s="15" t="s">
        <v>159</v>
      </c>
      <c r="E127" s="10" t="s">
        <v>678</v>
      </c>
      <c r="F127" s="15"/>
      <c r="G127" s="97" t="s">
        <v>679</v>
      </c>
      <c r="H127" s="54"/>
      <c r="I127" s="54"/>
      <c r="J127" s="54"/>
      <c r="K127" s="55"/>
      <c r="L127" s="55"/>
      <c r="M127" s="55"/>
      <c r="N127" s="55"/>
      <c r="O127" s="99">
        <f t="shared" si="15"/>
        <v>0</v>
      </c>
      <c r="P127" s="95"/>
      <c r="Q127" s="95"/>
      <c r="R127" s="100" t="str">
        <f t="shared" si="16"/>
        <v/>
      </c>
      <c r="S127" s="100" t="str">
        <f t="shared" si="17"/>
        <v/>
      </c>
      <c r="T127" s="101">
        <f t="shared" si="18"/>
        <v>0</v>
      </c>
      <c r="U127" s="50"/>
    </row>
    <row r="128" spans="1:21" x14ac:dyDescent="0.25">
      <c r="A128" s="46">
        <f t="shared" si="10"/>
        <v>117</v>
      </c>
      <c r="B128" s="47"/>
      <c r="C128" s="5" t="s">
        <v>279</v>
      </c>
      <c r="D128" s="5" t="s">
        <v>8</v>
      </c>
      <c r="E128" s="6" t="s">
        <v>280</v>
      </c>
      <c r="F128" s="48"/>
      <c r="G128" s="12" t="s">
        <v>547</v>
      </c>
      <c r="H128" s="49"/>
      <c r="I128" s="47"/>
      <c r="J128" s="47"/>
      <c r="K128" s="47"/>
      <c r="L128" s="47"/>
      <c r="M128" s="47"/>
      <c r="N128" s="47"/>
      <c r="O128" s="99">
        <f t="shared" si="15"/>
        <v>0</v>
      </c>
      <c r="P128" s="47"/>
      <c r="Q128" s="95"/>
      <c r="R128" s="100" t="str">
        <f t="shared" si="16"/>
        <v/>
      </c>
      <c r="S128" s="100" t="str">
        <f t="shared" si="17"/>
        <v/>
      </c>
      <c r="T128" s="101">
        <f t="shared" si="18"/>
        <v>0</v>
      </c>
      <c r="U128" s="56"/>
    </row>
    <row r="129" spans="1:21" x14ac:dyDescent="0.25">
      <c r="A129" s="46">
        <f t="shared" si="10"/>
        <v>118</v>
      </c>
      <c r="B129" s="54"/>
      <c r="C129" s="5" t="s">
        <v>281</v>
      </c>
      <c r="D129" s="5" t="s">
        <v>282</v>
      </c>
      <c r="E129" s="6"/>
      <c r="F129" s="63"/>
      <c r="G129" s="12" t="s">
        <v>548</v>
      </c>
      <c r="H129" s="54"/>
      <c r="I129" s="54"/>
      <c r="J129" s="54"/>
      <c r="K129" s="55"/>
      <c r="L129" s="55"/>
      <c r="M129" s="55"/>
      <c r="N129" s="55"/>
      <c r="O129" s="99">
        <f t="shared" si="15"/>
        <v>0</v>
      </c>
      <c r="P129" s="95"/>
      <c r="Q129" s="95"/>
      <c r="R129" s="100" t="str">
        <f t="shared" si="16"/>
        <v/>
      </c>
      <c r="S129" s="100" t="str">
        <f t="shared" si="17"/>
        <v/>
      </c>
      <c r="T129" s="101">
        <f t="shared" si="18"/>
        <v>0</v>
      </c>
      <c r="U129" s="52"/>
    </row>
    <row r="130" spans="1:21" x14ac:dyDescent="0.25">
      <c r="A130" s="46">
        <f t="shared" si="10"/>
        <v>119</v>
      </c>
      <c r="B130" s="47"/>
      <c r="C130" s="7" t="s">
        <v>283</v>
      </c>
      <c r="D130" s="7" t="s">
        <v>81</v>
      </c>
      <c r="E130" s="8" t="s">
        <v>284</v>
      </c>
      <c r="F130" s="57"/>
      <c r="G130" s="12" t="s">
        <v>549</v>
      </c>
      <c r="H130" s="49"/>
      <c r="I130" s="47"/>
      <c r="J130" s="47"/>
      <c r="K130" s="47"/>
      <c r="L130" s="47"/>
      <c r="M130" s="47"/>
      <c r="N130" s="47"/>
      <c r="O130" s="99">
        <f t="shared" si="15"/>
        <v>0</v>
      </c>
      <c r="P130" s="47"/>
      <c r="Q130" s="95"/>
      <c r="R130" s="100" t="str">
        <f t="shared" si="16"/>
        <v/>
      </c>
      <c r="S130" s="100" t="str">
        <f t="shared" si="17"/>
        <v/>
      </c>
      <c r="T130" s="101">
        <f t="shared" si="18"/>
        <v>0</v>
      </c>
      <c r="U130" s="50"/>
    </row>
    <row r="131" spans="1:21" x14ac:dyDescent="0.25">
      <c r="A131" s="46">
        <f t="shared" si="10"/>
        <v>120</v>
      </c>
      <c r="B131" s="47"/>
      <c r="C131" s="5" t="s">
        <v>285</v>
      </c>
      <c r="D131" s="5" t="s">
        <v>191</v>
      </c>
      <c r="E131" s="6" t="s">
        <v>286</v>
      </c>
      <c r="F131" s="48"/>
      <c r="G131" s="12" t="s">
        <v>550</v>
      </c>
      <c r="H131" s="49"/>
      <c r="I131" s="47"/>
      <c r="J131" s="47"/>
      <c r="K131" s="47"/>
      <c r="L131" s="47"/>
      <c r="M131" s="47"/>
      <c r="N131" s="47"/>
      <c r="O131" s="99">
        <f t="shared" si="15"/>
        <v>0</v>
      </c>
      <c r="P131" s="47"/>
      <c r="Q131" s="47"/>
      <c r="R131" s="100" t="str">
        <f t="shared" si="16"/>
        <v/>
      </c>
      <c r="S131" s="100" t="str">
        <f t="shared" si="17"/>
        <v/>
      </c>
      <c r="T131" s="101">
        <f t="shared" si="18"/>
        <v>0</v>
      </c>
      <c r="U131" s="52"/>
    </row>
    <row r="132" spans="1:21" x14ac:dyDescent="0.25">
      <c r="A132" s="46">
        <f t="shared" si="10"/>
        <v>121</v>
      </c>
      <c r="B132" s="47"/>
      <c r="C132" s="5" t="s">
        <v>287</v>
      </c>
      <c r="D132" s="5" t="s">
        <v>156</v>
      </c>
      <c r="E132" s="6" t="s">
        <v>288</v>
      </c>
      <c r="F132" s="48"/>
      <c r="G132" s="12" t="s">
        <v>551</v>
      </c>
      <c r="H132" s="49"/>
      <c r="I132" s="47"/>
      <c r="J132" s="47"/>
      <c r="K132" s="47"/>
      <c r="L132" s="47"/>
      <c r="M132" s="47"/>
      <c r="N132" s="47"/>
      <c r="O132" s="99">
        <f t="shared" si="15"/>
        <v>0</v>
      </c>
      <c r="P132" s="47"/>
      <c r="Q132" s="47"/>
      <c r="R132" s="100" t="str">
        <f t="shared" si="16"/>
        <v/>
      </c>
      <c r="S132" s="100" t="str">
        <f t="shared" si="17"/>
        <v/>
      </c>
      <c r="T132" s="101">
        <f t="shared" si="18"/>
        <v>0</v>
      </c>
      <c r="U132" s="50"/>
    </row>
    <row r="133" spans="1:21" x14ac:dyDescent="0.25">
      <c r="A133" s="46">
        <f t="shared" si="10"/>
        <v>122</v>
      </c>
      <c r="B133" s="47"/>
      <c r="C133" s="7" t="s">
        <v>289</v>
      </c>
      <c r="D133" s="7" t="s">
        <v>45</v>
      </c>
      <c r="E133" s="8" t="s">
        <v>290</v>
      </c>
      <c r="F133" s="10" t="s">
        <v>552</v>
      </c>
      <c r="G133" s="12" t="s">
        <v>553</v>
      </c>
      <c r="H133" s="49"/>
      <c r="I133" s="47"/>
      <c r="J133" s="47"/>
      <c r="K133" s="47"/>
      <c r="L133" s="47"/>
      <c r="M133" s="47"/>
      <c r="N133" s="47"/>
      <c r="O133" s="99">
        <f t="shared" si="15"/>
        <v>0</v>
      </c>
      <c r="P133" s="47"/>
      <c r="Q133" s="47"/>
      <c r="R133" s="100" t="str">
        <f t="shared" si="16"/>
        <v/>
      </c>
      <c r="S133" s="100" t="str">
        <f t="shared" si="17"/>
        <v/>
      </c>
      <c r="T133" s="101">
        <f t="shared" si="18"/>
        <v>0</v>
      </c>
      <c r="U133" s="52"/>
    </row>
    <row r="134" spans="1:21" x14ac:dyDescent="0.25">
      <c r="A134" s="46">
        <f t="shared" si="10"/>
        <v>123</v>
      </c>
      <c r="B134" s="54"/>
      <c r="C134" s="15" t="s">
        <v>680</v>
      </c>
      <c r="D134" s="15" t="s">
        <v>681</v>
      </c>
      <c r="E134" s="10" t="s">
        <v>664</v>
      </c>
      <c r="F134" s="15"/>
      <c r="G134" s="59" t="s">
        <v>682</v>
      </c>
      <c r="H134" s="54"/>
      <c r="I134" s="54"/>
      <c r="J134" s="54"/>
      <c r="K134" s="55"/>
      <c r="L134" s="54"/>
      <c r="M134" s="54"/>
      <c r="N134" s="55"/>
      <c r="O134" s="99">
        <f t="shared" si="15"/>
        <v>0</v>
      </c>
      <c r="P134" s="95"/>
      <c r="Q134" s="95"/>
      <c r="R134" s="100" t="str">
        <f t="shared" si="16"/>
        <v/>
      </c>
      <c r="S134" s="100" t="str">
        <f t="shared" si="17"/>
        <v/>
      </c>
      <c r="T134" s="101">
        <f t="shared" si="18"/>
        <v>0</v>
      </c>
      <c r="U134" s="52"/>
    </row>
    <row r="135" spans="1:21" x14ac:dyDescent="0.25">
      <c r="A135" s="46">
        <f t="shared" si="10"/>
        <v>124</v>
      </c>
      <c r="B135" s="54"/>
      <c r="C135" s="5" t="s">
        <v>291</v>
      </c>
      <c r="D135" s="5" t="s">
        <v>255</v>
      </c>
      <c r="E135" s="6"/>
      <c r="F135" s="48"/>
      <c r="G135" s="12" t="s">
        <v>554</v>
      </c>
      <c r="H135" s="54"/>
      <c r="I135" s="54"/>
      <c r="J135" s="54"/>
      <c r="K135" s="55"/>
      <c r="L135" s="55"/>
      <c r="M135" s="55"/>
      <c r="N135" s="55"/>
      <c r="O135" s="99">
        <f t="shared" si="15"/>
        <v>0</v>
      </c>
      <c r="P135" s="95"/>
      <c r="Q135" s="95"/>
      <c r="R135" s="100" t="str">
        <f t="shared" si="16"/>
        <v/>
      </c>
      <c r="S135" s="100" t="str">
        <f t="shared" si="17"/>
        <v/>
      </c>
      <c r="T135" s="101">
        <f t="shared" si="18"/>
        <v>0</v>
      </c>
      <c r="U135" s="52"/>
    </row>
    <row r="136" spans="1:21" x14ac:dyDescent="0.25">
      <c r="A136" s="46">
        <f t="shared" si="10"/>
        <v>125</v>
      </c>
      <c r="B136" s="47"/>
      <c r="C136" s="7" t="s">
        <v>292</v>
      </c>
      <c r="D136" s="7" t="s">
        <v>293</v>
      </c>
      <c r="E136" s="8" t="s">
        <v>294</v>
      </c>
      <c r="F136" s="57"/>
      <c r="G136" s="12" t="s">
        <v>555</v>
      </c>
      <c r="H136" s="49"/>
      <c r="I136" s="47"/>
      <c r="J136" s="47"/>
      <c r="K136" s="47"/>
      <c r="L136" s="47"/>
      <c r="M136" s="47"/>
      <c r="N136" s="47"/>
      <c r="O136" s="99">
        <f t="shared" si="15"/>
        <v>0</v>
      </c>
      <c r="P136" s="47"/>
      <c r="Q136" s="47"/>
      <c r="R136" s="100" t="str">
        <f t="shared" si="16"/>
        <v/>
      </c>
      <c r="S136" s="100" t="str">
        <f t="shared" si="17"/>
        <v/>
      </c>
      <c r="T136" s="101">
        <f t="shared" si="18"/>
        <v>0</v>
      </c>
      <c r="U136" s="52"/>
    </row>
    <row r="137" spans="1:21" x14ac:dyDescent="0.25">
      <c r="A137" s="46">
        <f t="shared" si="10"/>
        <v>126</v>
      </c>
      <c r="B137" s="54"/>
      <c r="C137" s="5" t="s">
        <v>295</v>
      </c>
      <c r="D137" s="5" t="s">
        <v>127</v>
      </c>
      <c r="E137" s="6" t="s">
        <v>296</v>
      </c>
      <c r="F137" s="48">
        <v>8057047967</v>
      </c>
      <c r="G137" s="12"/>
      <c r="H137" s="54"/>
      <c r="I137" s="54"/>
      <c r="J137" s="54"/>
      <c r="K137" s="55"/>
      <c r="L137" s="55"/>
      <c r="M137" s="55"/>
      <c r="N137" s="55"/>
      <c r="O137" s="99">
        <f t="shared" si="15"/>
        <v>0</v>
      </c>
      <c r="P137" s="95"/>
      <c r="Q137" s="95"/>
      <c r="R137" s="100" t="str">
        <f t="shared" si="16"/>
        <v/>
      </c>
      <c r="S137" s="100" t="str">
        <f t="shared" si="17"/>
        <v/>
      </c>
      <c r="T137" s="101">
        <f t="shared" si="18"/>
        <v>0</v>
      </c>
      <c r="U137" s="50"/>
    </row>
    <row r="138" spans="1:21" x14ac:dyDescent="0.25">
      <c r="A138" s="46">
        <f t="shared" si="10"/>
        <v>127</v>
      </c>
      <c r="B138" s="54"/>
      <c r="C138" s="7" t="s">
        <v>297</v>
      </c>
      <c r="D138" s="7" t="s">
        <v>61</v>
      </c>
      <c r="E138" s="8" t="s">
        <v>298</v>
      </c>
      <c r="F138" s="57"/>
      <c r="G138" s="12" t="s">
        <v>556</v>
      </c>
      <c r="H138" s="54"/>
      <c r="I138" s="54"/>
      <c r="J138" s="54"/>
      <c r="K138" s="55"/>
      <c r="L138" s="55"/>
      <c r="M138" s="55"/>
      <c r="N138" s="55"/>
      <c r="O138" s="99">
        <f t="shared" si="15"/>
        <v>0</v>
      </c>
      <c r="P138" s="95"/>
      <c r="Q138" s="95"/>
      <c r="R138" s="100" t="str">
        <f t="shared" si="16"/>
        <v/>
      </c>
      <c r="S138" s="100" t="str">
        <f t="shared" si="17"/>
        <v/>
      </c>
      <c r="T138" s="101">
        <f t="shared" si="18"/>
        <v>0</v>
      </c>
      <c r="U138" s="52"/>
    </row>
    <row r="139" spans="1:21" x14ac:dyDescent="0.25">
      <c r="A139" s="46">
        <f t="shared" si="10"/>
        <v>128</v>
      </c>
      <c r="B139" s="47"/>
      <c r="C139" s="5" t="s">
        <v>299</v>
      </c>
      <c r="D139" s="5" t="s">
        <v>300</v>
      </c>
      <c r="E139" s="6" t="s">
        <v>301</v>
      </c>
      <c r="F139" s="48"/>
      <c r="G139" s="12"/>
      <c r="H139" s="49"/>
      <c r="I139" s="47"/>
      <c r="J139" s="47"/>
      <c r="K139" s="47"/>
      <c r="L139" s="47"/>
      <c r="M139" s="47"/>
      <c r="N139" s="47"/>
      <c r="O139" s="99">
        <f t="shared" si="15"/>
        <v>0</v>
      </c>
      <c r="P139" s="47"/>
      <c r="Q139" s="47"/>
      <c r="R139" s="100" t="str">
        <f t="shared" si="16"/>
        <v/>
      </c>
      <c r="S139" s="100" t="str">
        <f t="shared" si="17"/>
        <v/>
      </c>
      <c r="T139" s="101">
        <f t="shared" si="18"/>
        <v>0</v>
      </c>
      <c r="U139" s="50"/>
    </row>
    <row r="140" spans="1:21" x14ac:dyDescent="0.25">
      <c r="A140" s="46">
        <f t="shared" ref="A140:A203" si="19">ROW() - ROW(FRegEntriesEnteredHdr)</f>
        <v>129</v>
      </c>
      <c r="B140" s="47"/>
      <c r="C140" s="7" t="s">
        <v>302</v>
      </c>
      <c r="D140" s="7" t="s">
        <v>72</v>
      </c>
      <c r="E140" s="8" t="s">
        <v>303</v>
      </c>
      <c r="F140" s="57"/>
      <c r="G140" s="12" t="s">
        <v>557</v>
      </c>
      <c r="H140" s="49"/>
      <c r="I140" s="47"/>
      <c r="J140" s="47"/>
      <c r="K140" s="47"/>
      <c r="L140" s="47"/>
      <c r="M140" s="47"/>
      <c r="N140" s="47"/>
      <c r="O140" s="99">
        <f t="shared" ref="O140:O171" si="20">T140*N140</f>
        <v>0</v>
      </c>
      <c r="P140" s="47"/>
      <c r="Q140" s="47"/>
      <c r="R140" s="100" t="str">
        <f t="shared" ref="R140:R171" si="21">IF(OR(P140="c",P140="C"),+T140,"")</f>
        <v/>
      </c>
      <c r="S140" s="100" t="str">
        <f t="shared" ref="S140:S171" si="22">IF(OR(P140="$",N140=1),+T140,"")</f>
        <v/>
      </c>
      <c r="T140" s="101">
        <f t="shared" ref="T140:T171" si="23">B140*FRegMainSetUpEntryFee + H140*FRegMainSetUpPool1Fee + I140*FRegMainSetUpPool2Fee + J140*FRegMainSetUpPool3Fee + K140*FRegMainSetUpPool4Fee</f>
        <v>0</v>
      </c>
      <c r="U140" s="52"/>
    </row>
    <row r="141" spans="1:21" x14ac:dyDescent="0.25">
      <c r="A141" s="46">
        <f t="shared" si="19"/>
        <v>130</v>
      </c>
      <c r="B141" s="54"/>
      <c r="C141" s="5" t="s">
        <v>304</v>
      </c>
      <c r="D141" s="5" t="s">
        <v>305</v>
      </c>
      <c r="E141" s="6" t="s">
        <v>306</v>
      </c>
      <c r="F141" s="48"/>
      <c r="G141" s="12" t="s">
        <v>558</v>
      </c>
      <c r="H141" s="54"/>
      <c r="I141" s="54"/>
      <c r="J141" s="54"/>
      <c r="K141" s="55"/>
      <c r="L141" s="55"/>
      <c r="M141" s="55"/>
      <c r="N141" s="55"/>
      <c r="O141" s="99">
        <f t="shared" si="20"/>
        <v>0</v>
      </c>
      <c r="P141" s="95"/>
      <c r="Q141" s="95"/>
      <c r="R141" s="100" t="str">
        <f t="shared" si="21"/>
        <v/>
      </c>
      <c r="S141" s="100" t="str">
        <f t="shared" si="22"/>
        <v/>
      </c>
      <c r="T141" s="101">
        <f t="shared" si="23"/>
        <v>0</v>
      </c>
      <c r="U141" s="52"/>
    </row>
    <row r="142" spans="1:21" x14ac:dyDescent="0.25">
      <c r="A142" s="46">
        <f t="shared" si="19"/>
        <v>131</v>
      </c>
      <c r="B142" s="47"/>
      <c r="C142" s="5" t="s">
        <v>307</v>
      </c>
      <c r="D142" s="5" t="s">
        <v>39</v>
      </c>
      <c r="E142" s="6" t="s">
        <v>308</v>
      </c>
      <c r="F142" s="48"/>
      <c r="G142" s="12" t="s">
        <v>559</v>
      </c>
      <c r="H142" s="49"/>
      <c r="I142" s="47"/>
      <c r="J142" s="47"/>
      <c r="K142" s="47"/>
      <c r="L142" s="47"/>
      <c r="M142" s="47"/>
      <c r="N142" s="47"/>
      <c r="O142" s="99">
        <f t="shared" si="20"/>
        <v>0</v>
      </c>
      <c r="P142" s="47"/>
      <c r="Q142" s="95"/>
      <c r="R142" s="100" t="str">
        <f t="shared" si="21"/>
        <v/>
      </c>
      <c r="S142" s="100" t="str">
        <f t="shared" si="22"/>
        <v/>
      </c>
      <c r="T142" s="101">
        <f t="shared" si="23"/>
        <v>0</v>
      </c>
      <c r="U142" s="52"/>
    </row>
    <row r="143" spans="1:21" x14ac:dyDescent="0.25">
      <c r="A143" s="46">
        <f t="shared" si="19"/>
        <v>132</v>
      </c>
      <c r="B143" s="47"/>
      <c r="C143" s="5" t="s">
        <v>309</v>
      </c>
      <c r="D143" s="5" t="s">
        <v>72</v>
      </c>
      <c r="E143" s="6" t="s">
        <v>310</v>
      </c>
      <c r="F143" s="63"/>
      <c r="G143" s="12" t="s">
        <v>560</v>
      </c>
      <c r="H143" s="49"/>
      <c r="I143" s="47"/>
      <c r="J143" s="47"/>
      <c r="K143" s="47"/>
      <c r="L143" s="47"/>
      <c r="M143" s="47"/>
      <c r="N143" s="47"/>
      <c r="O143" s="99">
        <f t="shared" si="20"/>
        <v>0</v>
      </c>
      <c r="P143" s="47"/>
      <c r="Q143" s="47"/>
      <c r="R143" s="100" t="str">
        <f t="shared" si="21"/>
        <v/>
      </c>
      <c r="S143" s="100" t="str">
        <f t="shared" si="22"/>
        <v/>
      </c>
      <c r="T143" s="101">
        <f t="shared" si="23"/>
        <v>0</v>
      </c>
      <c r="U143" s="52"/>
    </row>
    <row r="144" spans="1:21" x14ac:dyDescent="0.25">
      <c r="A144" s="46">
        <f t="shared" si="19"/>
        <v>133</v>
      </c>
      <c r="B144" s="47"/>
      <c r="C144" s="5" t="s">
        <v>311</v>
      </c>
      <c r="D144" s="5" t="s">
        <v>84</v>
      </c>
      <c r="E144" s="6" t="s">
        <v>312</v>
      </c>
      <c r="F144" s="48"/>
      <c r="G144" s="12" t="s">
        <v>561</v>
      </c>
      <c r="H144" s="49"/>
      <c r="I144" s="47"/>
      <c r="J144" s="47"/>
      <c r="K144" s="47"/>
      <c r="L144" s="47"/>
      <c r="M144" s="47"/>
      <c r="N144" s="47"/>
      <c r="O144" s="99">
        <f t="shared" si="20"/>
        <v>0</v>
      </c>
      <c r="P144" s="47"/>
      <c r="Q144" s="47"/>
      <c r="R144" s="100" t="str">
        <f t="shared" si="21"/>
        <v/>
      </c>
      <c r="S144" s="100" t="str">
        <f t="shared" si="22"/>
        <v/>
      </c>
      <c r="T144" s="101">
        <f t="shared" si="23"/>
        <v>0</v>
      </c>
      <c r="U144" s="52"/>
    </row>
    <row r="145" spans="1:21" x14ac:dyDescent="0.25">
      <c r="A145" s="46">
        <f t="shared" si="19"/>
        <v>134</v>
      </c>
      <c r="B145" s="54"/>
      <c r="C145" s="5" t="s">
        <v>313</v>
      </c>
      <c r="D145" s="5" t="s">
        <v>314</v>
      </c>
      <c r="E145" s="6" t="s">
        <v>315</v>
      </c>
      <c r="F145" s="48"/>
      <c r="G145" s="12"/>
      <c r="H145" s="54"/>
      <c r="I145" s="54"/>
      <c r="J145" s="54"/>
      <c r="K145" s="55"/>
      <c r="L145" s="55"/>
      <c r="M145" s="55"/>
      <c r="N145" s="55"/>
      <c r="O145" s="99">
        <f t="shared" si="20"/>
        <v>0</v>
      </c>
      <c r="P145" s="95"/>
      <c r="Q145" s="95"/>
      <c r="R145" s="100" t="str">
        <f t="shared" si="21"/>
        <v/>
      </c>
      <c r="S145" s="100" t="str">
        <f t="shared" si="22"/>
        <v/>
      </c>
      <c r="T145" s="101">
        <f t="shared" si="23"/>
        <v>0</v>
      </c>
      <c r="U145" s="52"/>
    </row>
    <row r="146" spans="1:21" x14ac:dyDescent="0.25">
      <c r="A146" s="46">
        <f t="shared" si="19"/>
        <v>135</v>
      </c>
      <c r="B146" s="54"/>
      <c r="C146" s="15" t="s">
        <v>683</v>
      </c>
      <c r="D146" s="15" t="s">
        <v>91</v>
      </c>
      <c r="E146" s="10" t="s">
        <v>684</v>
      </c>
      <c r="F146" s="15"/>
      <c r="G146" s="15"/>
      <c r="H146" s="49"/>
      <c r="I146" s="47"/>
      <c r="J146" s="47"/>
      <c r="K146" s="47"/>
      <c r="L146" s="47"/>
      <c r="M146" s="47"/>
      <c r="N146" s="47"/>
      <c r="O146" s="99">
        <f t="shared" si="20"/>
        <v>0</v>
      </c>
      <c r="P146" s="47"/>
      <c r="Q146" s="47"/>
      <c r="R146" s="100" t="str">
        <f t="shared" si="21"/>
        <v/>
      </c>
      <c r="S146" s="100" t="str">
        <f t="shared" si="22"/>
        <v/>
      </c>
      <c r="T146" s="101">
        <f t="shared" si="23"/>
        <v>0</v>
      </c>
      <c r="U146" s="52"/>
    </row>
    <row r="147" spans="1:21" x14ac:dyDescent="0.25">
      <c r="A147" s="46">
        <f t="shared" si="19"/>
        <v>136</v>
      </c>
      <c r="B147" s="54"/>
      <c r="C147" s="7" t="s">
        <v>316</v>
      </c>
      <c r="D147" s="7" t="s">
        <v>45</v>
      </c>
      <c r="E147" s="8" t="s">
        <v>317</v>
      </c>
      <c r="F147" s="57">
        <v>5105046905</v>
      </c>
      <c r="G147" s="59" t="s">
        <v>562</v>
      </c>
      <c r="H147" s="54"/>
      <c r="I147" s="54"/>
      <c r="J147" s="54"/>
      <c r="K147" s="55"/>
      <c r="L147" s="55"/>
      <c r="M147" s="55"/>
      <c r="N147" s="55"/>
      <c r="O147" s="99">
        <f t="shared" si="20"/>
        <v>0</v>
      </c>
      <c r="P147" s="95"/>
      <c r="Q147" s="95"/>
      <c r="R147" s="100" t="str">
        <f t="shared" si="21"/>
        <v/>
      </c>
      <c r="S147" s="100" t="str">
        <f t="shared" si="22"/>
        <v/>
      </c>
      <c r="T147" s="101">
        <f t="shared" si="23"/>
        <v>0</v>
      </c>
      <c r="U147" s="52"/>
    </row>
    <row r="148" spans="1:21" x14ac:dyDescent="0.25">
      <c r="A148" s="46">
        <f t="shared" si="19"/>
        <v>137</v>
      </c>
      <c r="B148" s="47"/>
      <c r="C148" s="5" t="s">
        <v>318</v>
      </c>
      <c r="D148" s="5" t="s">
        <v>148</v>
      </c>
      <c r="E148" s="6" t="s">
        <v>319</v>
      </c>
      <c r="F148" s="10" t="s">
        <v>563</v>
      </c>
      <c r="G148" s="12" t="s">
        <v>564</v>
      </c>
      <c r="H148" s="49"/>
      <c r="I148" s="49"/>
      <c r="J148" s="49"/>
      <c r="K148" s="49"/>
      <c r="L148" s="47"/>
      <c r="M148" s="47"/>
      <c r="N148" s="47"/>
      <c r="O148" s="99">
        <f t="shared" si="20"/>
        <v>0</v>
      </c>
      <c r="P148" s="47"/>
      <c r="Q148" s="95"/>
      <c r="R148" s="100" t="str">
        <f t="shared" si="21"/>
        <v/>
      </c>
      <c r="S148" s="100" t="str">
        <f t="shared" si="22"/>
        <v/>
      </c>
      <c r="T148" s="101">
        <f t="shared" si="23"/>
        <v>0</v>
      </c>
      <c r="U148" s="50"/>
    </row>
    <row r="149" spans="1:21" x14ac:dyDescent="0.25">
      <c r="A149" s="46">
        <f t="shared" si="19"/>
        <v>138</v>
      </c>
      <c r="B149" s="47"/>
      <c r="C149" s="7" t="s">
        <v>320</v>
      </c>
      <c r="D149" s="7" t="s">
        <v>321</v>
      </c>
      <c r="E149" s="8" t="s">
        <v>322</v>
      </c>
      <c r="F149" s="57">
        <v>9167697400</v>
      </c>
      <c r="G149" s="12" t="s">
        <v>565</v>
      </c>
      <c r="H149" s="49"/>
      <c r="I149" s="47"/>
      <c r="J149" s="47"/>
      <c r="K149" s="47"/>
      <c r="L149" s="47"/>
      <c r="M149" s="47"/>
      <c r="N149" s="47"/>
      <c r="O149" s="99">
        <f t="shared" si="20"/>
        <v>0</v>
      </c>
      <c r="P149" s="47"/>
      <c r="Q149" s="47"/>
      <c r="R149" s="100" t="str">
        <f t="shared" si="21"/>
        <v/>
      </c>
      <c r="S149" s="100" t="str">
        <f t="shared" si="22"/>
        <v/>
      </c>
      <c r="T149" s="101">
        <f t="shared" si="23"/>
        <v>0</v>
      </c>
      <c r="U149" s="52"/>
    </row>
    <row r="150" spans="1:21" x14ac:dyDescent="0.25">
      <c r="A150" s="46">
        <f t="shared" si="19"/>
        <v>139</v>
      </c>
      <c r="B150" s="47"/>
      <c r="C150" s="7" t="s">
        <v>323</v>
      </c>
      <c r="D150" s="7" t="s">
        <v>235</v>
      </c>
      <c r="E150" s="8" t="s">
        <v>324</v>
      </c>
      <c r="F150" s="60"/>
      <c r="G150" s="12" t="s">
        <v>566</v>
      </c>
      <c r="H150" s="49"/>
      <c r="I150" s="47"/>
      <c r="J150" s="47"/>
      <c r="K150" s="47"/>
      <c r="L150" s="47"/>
      <c r="M150" s="47"/>
      <c r="N150" s="47"/>
      <c r="O150" s="99">
        <f t="shared" si="20"/>
        <v>0</v>
      </c>
      <c r="P150" s="47"/>
      <c r="Q150" s="47"/>
      <c r="R150" s="100" t="str">
        <f t="shared" si="21"/>
        <v/>
      </c>
      <c r="S150" s="100" t="str">
        <f t="shared" si="22"/>
        <v/>
      </c>
      <c r="T150" s="101">
        <f t="shared" si="23"/>
        <v>0</v>
      </c>
      <c r="U150" s="52"/>
    </row>
    <row r="151" spans="1:21" x14ac:dyDescent="0.25">
      <c r="A151" s="46">
        <f t="shared" si="19"/>
        <v>140</v>
      </c>
      <c r="B151" s="54"/>
      <c r="C151" s="7" t="s">
        <v>325</v>
      </c>
      <c r="D151" s="7" t="s">
        <v>326</v>
      </c>
      <c r="E151" s="8" t="s">
        <v>327</v>
      </c>
      <c r="F151" s="57"/>
      <c r="G151" s="12" t="s">
        <v>567</v>
      </c>
      <c r="H151" s="54"/>
      <c r="I151" s="54"/>
      <c r="J151" s="54"/>
      <c r="K151" s="55"/>
      <c r="L151" s="55"/>
      <c r="M151" s="55"/>
      <c r="N151" s="55"/>
      <c r="O151" s="99">
        <f t="shared" si="20"/>
        <v>0</v>
      </c>
      <c r="P151" s="95"/>
      <c r="Q151" s="95"/>
      <c r="R151" s="100" t="str">
        <f t="shared" si="21"/>
        <v/>
      </c>
      <c r="S151" s="100" t="str">
        <f t="shared" si="22"/>
        <v/>
      </c>
      <c r="T151" s="101">
        <f t="shared" si="23"/>
        <v>0</v>
      </c>
      <c r="U151" s="52"/>
    </row>
    <row r="152" spans="1:21" x14ac:dyDescent="0.25">
      <c r="A152" s="46">
        <f t="shared" si="19"/>
        <v>141</v>
      </c>
      <c r="B152" s="47"/>
      <c r="C152" s="5" t="s">
        <v>328</v>
      </c>
      <c r="D152" s="5" t="s">
        <v>329</v>
      </c>
      <c r="E152" s="6" t="s">
        <v>330</v>
      </c>
      <c r="F152" s="48">
        <v>5302194729</v>
      </c>
      <c r="G152" s="59" t="s">
        <v>568</v>
      </c>
      <c r="H152" s="49"/>
      <c r="I152" s="49"/>
      <c r="J152" s="49"/>
      <c r="K152" s="49"/>
      <c r="L152" s="47"/>
      <c r="M152" s="47"/>
      <c r="N152" s="47"/>
      <c r="O152" s="99">
        <f t="shared" si="20"/>
        <v>0</v>
      </c>
      <c r="P152" s="47"/>
      <c r="Q152" s="95"/>
      <c r="R152" s="100" t="str">
        <f t="shared" si="21"/>
        <v/>
      </c>
      <c r="S152" s="100" t="str">
        <f t="shared" si="22"/>
        <v/>
      </c>
      <c r="T152" s="101">
        <f t="shared" si="23"/>
        <v>0</v>
      </c>
      <c r="U152" s="52"/>
    </row>
    <row r="153" spans="1:21" x14ac:dyDescent="0.25">
      <c r="A153" s="46">
        <f t="shared" si="19"/>
        <v>142</v>
      </c>
      <c r="B153" s="47"/>
      <c r="C153" s="5" t="s">
        <v>331</v>
      </c>
      <c r="D153" s="5" t="s">
        <v>332</v>
      </c>
      <c r="E153" s="6" t="s">
        <v>333</v>
      </c>
      <c r="F153" s="48"/>
      <c r="G153" s="12" t="s">
        <v>569</v>
      </c>
      <c r="H153" s="49"/>
      <c r="I153" s="47"/>
      <c r="J153" s="47"/>
      <c r="K153" s="47"/>
      <c r="L153" s="47"/>
      <c r="M153" s="47"/>
      <c r="N153" s="47"/>
      <c r="O153" s="99">
        <f t="shared" si="20"/>
        <v>0</v>
      </c>
      <c r="P153" s="47"/>
      <c r="Q153" s="47"/>
      <c r="R153" s="100" t="str">
        <f t="shared" si="21"/>
        <v/>
      </c>
      <c r="S153" s="100" t="str">
        <f t="shared" si="22"/>
        <v/>
      </c>
      <c r="T153" s="101">
        <f t="shared" si="23"/>
        <v>0</v>
      </c>
      <c r="U153" s="50"/>
    </row>
    <row r="154" spans="1:21" x14ac:dyDescent="0.25">
      <c r="A154" s="46">
        <f t="shared" si="19"/>
        <v>143</v>
      </c>
      <c r="B154" s="54"/>
      <c r="C154" s="15" t="s">
        <v>685</v>
      </c>
      <c r="D154" s="15" t="s">
        <v>81</v>
      </c>
      <c r="E154" s="10" t="s">
        <v>686</v>
      </c>
      <c r="F154" s="15"/>
      <c r="G154" s="59" t="s">
        <v>687</v>
      </c>
      <c r="H154" s="49"/>
      <c r="I154" s="47"/>
      <c r="J154" s="47"/>
      <c r="K154" s="47"/>
      <c r="L154" s="47"/>
      <c r="M154" s="47"/>
      <c r="N154" s="47"/>
      <c r="O154" s="99">
        <f t="shared" si="20"/>
        <v>0</v>
      </c>
      <c r="P154" s="47"/>
      <c r="Q154" s="47"/>
      <c r="R154" s="100" t="str">
        <f t="shared" si="21"/>
        <v/>
      </c>
      <c r="S154" s="100" t="str">
        <f t="shared" si="22"/>
        <v/>
      </c>
      <c r="T154" s="101">
        <f t="shared" si="23"/>
        <v>0</v>
      </c>
      <c r="U154" s="52"/>
    </row>
    <row r="155" spans="1:21" x14ac:dyDescent="0.25">
      <c r="A155" s="46">
        <f t="shared" si="19"/>
        <v>144</v>
      </c>
      <c r="B155" s="47"/>
      <c r="C155" s="5" t="s">
        <v>334</v>
      </c>
      <c r="D155" s="5" t="s">
        <v>33</v>
      </c>
      <c r="E155" s="6" t="s">
        <v>335</v>
      </c>
      <c r="F155" s="48"/>
      <c r="G155" s="12"/>
      <c r="H155" s="49"/>
      <c r="I155" s="49"/>
      <c r="J155" s="49"/>
      <c r="K155" s="49"/>
      <c r="L155" s="47"/>
      <c r="M155" s="47"/>
      <c r="N155" s="47"/>
      <c r="O155" s="99">
        <f t="shared" si="20"/>
        <v>0</v>
      </c>
      <c r="P155" s="47"/>
      <c r="Q155" s="47"/>
      <c r="R155" s="100" t="str">
        <f t="shared" si="21"/>
        <v/>
      </c>
      <c r="S155" s="100" t="str">
        <f t="shared" si="22"/>
        <v/>
      </c>
      <c r="T155" s="101">
        <f t="shared" si="23"/>
        <v>0</v>
      </c>
      <c r="U155" s="52"/>
    </row>
    <row r="156" spans="1:21" x14ac:dyDescent="0.25">
      <c r="A156" s="46">
        <f t="shared" si="19"/>
        <v>145</v>
      </c>
      <c r="B156" s="47"/>
      <c r="C156" s="5" t="s">
        <v>336</v>
      </c>
      <c r="D156" s="5" t="s">
        <v>67</v>
      </c>
      <c r="E156" s="6" t="s">
        <v>337</v>
      </c>
      <c r="F156" s="48">
        <v>7075991826</v>
      </c>
      <c r="G156" s="12" t="s">
        <v>570</v>
      </c>
      <c r="H156" s="49"/>
      <c r="I156" s="47"/>
      <c r="J156" s="47"/>
      <c r="K156" s="47"/>
      <c r="L156" s="47"/>
      <c r="M156" s="47"/>
      <c r="N156" s="47"/>
      <c r="O156" s="99">
        <f t="shared" si="20"/>
        <v>0</v>
      </c>
      <c r="P156" s="47"/>
      <c r="Q156" s="47"/>
      <c r="R156" s="100" t="str">
        <f t="shared" si="21"/>
        <v/>
      </c>
      <c r="S156" s="100" t="str">
        <f t="shared" si="22"/>
        <v/>
      </c>
      <c r="T156" s="101">
        <f t="shared" si="23"/>
        <v>0</v>
      </c>
      <c r="U156" s="50"/>
    </row>
    <row r="157" spans="1:21" x14ac:dyDescent="0.25">
      <c r="A157" s="46">
        <f t="shared" si="19"/>
        <v>146</v>
      </c>
      <c r="B157" s="47"/>
      <c r="C157" s="7" t="s">
        <v>338</v>
      </c>
      <c r="D157" s="7" t="s">
        <v>67</v>
      </c>
      <c r="E157" s="8" t="s">
        <v>339</v>
      </c>
      <c r="F157" s="57">
        <v>7075994605</v>
      </c>
      <c r="G157" s="15" t="s">
        <v>571</v>
      </c>
      <c r="H157" s="49"/>
      <c r="I157" s="47"/>
      <c r="J157" s="47"/>
      <c r="K157" s="47"/>
      <c r="L157" s="47"/>
      <c r="M157" s="47"/>
      <c r="N157" s="47"/>
      <c r="O157" s="99">
        <f t="shared" si="20"/>
        <v>0</v>
      </c>
      <c r="P157" s="47"/>
      <c r="Q157" s="95"/>
      <c r="R157" s="100" t="str">
        <f t="shared" si="21"/>
        <v/>
      </c>
      <c r="S157" s="100" t="str">
        <f t="shared" si="22"/>
        <v/>
      </c>
      <c r="T157" s="101">
        <f t="shared" si="23"/>
        <v>0</v>
      </c>
      <c r="U157" s="52"/>
    </row>
    <row r="158" spans="1:21" ht="15.75" x14ac:dyDescent="0.25">
      <c r="A158" s="46">
        <f t="shared" si="19"/>
        <v>147</v>
      </c>
      <c r="B158" s="54"/>
      <c r="C158" s="14" t="s">
        <v>340</v>
      </c>
      <c r="D158" s="14" t="s">
        <v>255</v>
      </c>
      <c r="E158" s="6"/>
      <c r="F158" s="48"/>
      <c r="G158" s="12" t="s">
        <v>572</v>
      </c>
      <c r="H158" s="54"/>
      <c r="I158" s="54"/>
      <c r="J158" s="54"/>
      <c r="K158" s="55"/>
      <c r="L158" s="55"/>
      <c r="M158" s="55"/>
      <c r="N158" s="55"/>
      <c r="O158" s="99">
        <f t="shared" si="20"/>
        <v>0</v>
      </c>
      <c r="P158" s="95"/>
      <c r="Q158" s="95"/>
      <c r="R158" s="100" t="str">
        <f t="shared" si="21"/>
        <v/>
      </c>
      <c r="S158" s="100" t="str">
        <f t="shared" si="22"/>
        <v/>
      </c>
      <c r="T158" s="101">
        <f t="shared" si="23"/>
        <v>0</v>
      </c>
      <c r="U158" s="52"/>
    </row>
    <row r="159" spans="1:21" x14ac:dyDescent="0.25">
      <c r="A159" s="46">
        <f t="shared" si="19"/>
        <v>148</v>
      </c>
      <c r="B159" s="47"/>
      <c r="C159" s="5" t="s">
        <v>341</v>
      </c>
      <c r="D159" s="5" t="s">
        <v>342</v>
      </c>
      <c r="E159" s="6" t="s">
        <v>343</v>
      </c>
      <c r="F159" s="48">
        <v>7073490481</v>
      </c>
      <c r="G159" s="59" t="s">
        <v>573</v>
      </c>
      <c r="H159" s="49"/>
      <c r="I159" s="47"/>
      <c r="J159" s="47"/>
      <c r="K159" s="47"/>
      <c r="L159" s="47"/>
      <c r="M159" s="47"/>
      <c r="N159" s="47"/>
      <c r="O159" s="99">
        <f t="shared" si="20"/>
        <v>0</v>
      </c>
      <c r="P159" s="47"/>
      <c r="Q159" s="47"/>
      <c r="R159" s="100" t="str">
        <f t="shared" si="21"/>
        <v/>
      </c>
      <c r="S159" s="100" t="str">
        <f t="shared" si="22"/>
        <v/>
      </c>
      <c r="T159" s="101">
        <f t="shared" si="23"/>
        <v>0</v>
      </c>
      <c r="U159" s="52"/>
    </row>
    <row r="160" spans="1:21" x14ac:dyDescent="0.25">
      <c r="A160" s="46">
        <f t="shared" si="19"/>
        <v>149</v>
      </c>
      <c r="B160" s="47"/>
      <c r="C160" s="15" t="s">
        <v>688</v>
      </c>
      <c r="D160" s="15" t="s">
        <v>45</v>
      </c>
      <c r="E160" s="10" t="s">
        <v>689</v>
      </c>
      <c r="F160" s="15"/>
      <c r="G160" s="15"/>
      <c r="H160" s="49"/>
      <c r="I160" s="47"/>
      <c r="J160" s="47"/>
      <c r="K160" s="47"/>
      <c r="L160" s="47"/>
      <c r="M160" s="47"/>
      <c r="N160" s="47"/>
      <c r="O160" s="99">
        <f t="shared" si="20"/>
        <v>0</v>
      </c>
      <c r="P160" s="47"/>
      <c r="Q160" s="47"/>
      <c r="R160" s="100" t="str">
        <f t="shared" si="21"/>
        <v/>
      </c>
      <c r="S160" s="100" t="str">
        <f t="shared" si="22"/>
        <v/>
      </c>
      <c r="T160" s="101">
        <f t="shared" si="23"/>
        <v>0</v>
      </c>
      <c r="U160" s="50"/>
    </row>
    <row r="161" spans="1:21" ht="15.75" x14ac:dyDescent="0.25">
      <c r="A161" s="46">
        <f t="shared" si="19"/>
        <v>150</v>
      </c>
      <c r="B161" s="47"/>
      <c r="C161" s="14" t="s">
        <v>344</v>
      </c>
      <c r="D161" s="14" t="s">
        <v>33</v>
      </c>
      <c r="E161" s="6" t="s">
        <v>345</v>
      </c>
      <c r="F161" s="48"/>
      <c r="G161" s="12" t="s">
        <v>574</v>
      </c>
      <c r="H161" s="49"/>
      <c r="I161" s="47"/>
      <c r="J161" s="47"/>
      <c r="K161" s="47"/>
      <c r="L161" s="47"/>
      <c r="M161" s="47"/>
      <c r="N161" s="47"/>
      <c r="O161" s="99">
        <f t="shared" si="20"/>
        <v>0</v>
      </c>
      <c r="P161" s="47"/>
      <c r="Q161" s="47"/>
      <c r="R161" s="100" t="str">
        <f t="shared" si="21"/>
        <v/>
      </c>
      <c r="S161" s="100" t="str">
        <f t="shared" si="22"/>
        <v/>
      </c>
      <c r="T161" s="101">
        <f t="shared" si="23"/>
        <v>0</v>
      </c>
      <c r="U161" s="52"/>
    </row>
    <row r="162" spans="1:21" x14ac:dyDescent="0.25">
      <c r="A162" s="46">
        <f t="shared" si="19"/>
        <v>151</v>
      </c>
      <c r="B162" s="54"/>
      <c r="C162" s="5" t="s">
        <v>346</v>
      </c>
      <c r="D162" s="5" t="s">
        <v>347</v>
      </c>
      <c r="E162" s="6" t="s">
        <v>348</v>
      </c>
      <c r="F162" s="48">
        <v>2093653232</v>
      </c>
      <c r="G162" s="59" t="s">
        <v>575</v>
      </c>
      <c r="H162" s="54"/>
      <c r="I162" s="54"/>
      <c r="J162" s="54"/>
      <c r="K162" s="55"/>
      <c r="L162" s="55"/>
      <c r="M162" s="55"/>
      <c r="N162" s="55"/>
      <c r="O162" s="99">
        <f t="shared" si="20"/>
        <v>0</v>
      </c>
      <c r="P162" s="95"/>
      <c r="Q162" s="95"/>
      <c r="R162" s="100" t="str">
        <f t="shared" si="21"/>
        <v/>
      </c>
      <c r="S162" s="100" t="str">
        <f t="shared" si="22"/>
        <v/>
      </c>
      <c r="T162" s="101">
        <f t="shared" si="23"/>
        <v>0</v>
      </c>
      <c r="U162" s="52"/>
    </row>
    <row r="163" spans="1:21" x14ac:dyDescent="0.25">
      <c r="A163" s="46">
        <f t="shared" si="19"/>
        <v>152</v>
      </c>
      <c r="B163" s="47"/>
      <c r="C163" s="5" t="s">
        <v>349</v>
      </c>
      <c r="D163" s="5" t="s">
        <v>350</v>
      </c>
      <c r="E163" s="6" t="s">
        <v>351</v>
      </c>
      <c r="F163" s="48">
        <v>7076641532</v>
      </c>
      <c r="G163" s="59" t="s">
        <v>576</v>
      </c>
      <c r="H163" s="49"/>
      <c r="I163" s="47"/>
      <c r="J163" s="47"/>
      <c r="K163" s="47"/>
      <c r="L163" s="47"/>
      <c r="M163" s="47"/>
      <c r="N163" s="47"/>
      <c r="O163" s="99">
        <f t="shared" si="20"/>
        <v>0</v>
      </c>
      <c r="P163" s="47"/>
      <c r="Q163" s="47"/>
      <c r="R163" s="100" t="str">
        <f t="shared" si="21"/>
        <v/>
      </c>
      <c r="S163" s="100" t="str">
        <f t="shared" si="22"/>
        <v/>
      </c>
      <c r="T163" s="101">
        <f t="shared" si="23"/>
        <v>0</v>
      </c>
      <c r="U163" s="52"/>
    </row>
    <row r="164" spans="1:21" x14ac:dyDescent="0.25">
      <c r="A164" s="46">
        <f t="shared" si="19"/>
        <v>153</v>
      </c>
      <c r="B164" s="47"/>
      <c r="C164" s="5" t="s">
        <v>352</v>
      </c>
      <c r="D164" s="5" t="s">
        <v>45</v>
      </c>
      <c r="E164" s="6" t="s">
        <v>353</v>
      </c>
      <c r="F164" s="10" t="s">
        <v>577</v>
      </c>
      <c r="G164" s="12" t="s">
        <v>578</v>
      </c>
      <c r="H164" s="49"/>
      <c r="I164" s="47"/>
      <c r="J164" s="47"/>
      <c r="K164" s="47"/>
      <c r="L164" s="47"/>
      <c r="M164" s="47"/>
      <c r="N164" s="47"/>
      <c r="O164" s="99">
        <f t="shared" si="20"/>
        <v>0</v>
      </c>
      <c r="P164" s="47"/>
      <c r="Q164" s="47"/>
      <c r="R164" s="100" t="str">
        <f t="shared" si="21"/>
        <v/>
      </c>
      <c r="S164" s="100" t="str">
        <f t="shared" si="22"/>
        <v/>
      </c>
      <c r="T164" s="101">
        <f t="shared" si="23"/>
        <v>0</v>
      </c>
      <c r="U164" s="50"/>
    </row>
    <row r="165" spans="1:21" x14ac:dyDescent="0.25">
      <c r="A165" s="46">
        <f t="shared" si="19"/>
        <v>154</v>
      </c>
      <c r="B165" s="54"/>
      <c r="C165" s="7" t="s">
        <v>354</v>
      </c>
      <c r="D165" s="7" t="s">
        <v>355</v>
      </c>
      <c r="E165" s="8" t="s">
        <v>356</v>
      </c>
      <c r="F165" s="57"/>
      <c r="G165" s="12" t="s">
        <v>579</v>
      </c>
      <c r="H165" s="54"/>
      <c r="I165" s="54"/>
      <c r="J165" s="54"/>
      <c r="K165" s="55"/>
      <c r="L165" s="55"/>
      <c r="M165" s="55"/>
      <c r="N165" s="55"/>
      <c r="O165" s="99">
        <f t="shared" si="20"/>
        <v>0</v>
      </c>
      <c r="P165" s="95"/>
      <c r="Q165" s="95"/>
      <c r="R165" s="100" t="str">
        <f t="shared" si="21"/>
        <v/>
      </c>
      <c r="S165" s="100" t="str">
        <f t="shared" si="22"/>
        <v/>
      </c>
      <c r="T165" s="101">
        <f t="shared" si="23"/>
        <v>0</v>
      </c>
      <c r="U165" s="52"/>
    </row>
    <row r="166" spans="1:21" x14ac:dyDescent="0.25">
      <c r="A166" s="46">
        <f t="shared" si="19"/>
        <v>155</v>
      </c>
      <c r="B166" s="47"/>
      <c r="C166" s="5" t="s">
        <v>357</v>
      </c>
      <c r="D166" s="5" t="s">
        <v>358</v>
      </c>
      <c r="E166" s="6" t="s">
        <v>359</v>
      </c>
      <c r="F166" s="48"/>
      <c r="G166" s="12" t="s">
        <v>580</v>
      </c>
      <c r="H166" s="49"/>
      <c r="I166" s="47"/>
      <c r="J166" s="47"/>
      <c r="K166" s="47"/>
      <c r="L166" s="47"/>
      <c r="M166" s="47"/>
      <c r="N166" s="47"/>
      <c r="O166" s="99">
        <f t="shared" si="20"/>
        <v>0</v>
      </c>
      <c r="P166" s="47"/>
      <c r="Q166" s="47"/>
      <c r="R166" s="100" t="str">
        <f t="shared" si="21"/>
        <v/>
      </c>
      <c r="S166" s="100" t="str">
        <f t="shared" si="22"/>
        <v/>
      </c>
      <c r="T166" s="101">
        <f t="shared" si="23"/>
        <v>0</v>
      </c>
      <c r="U166" s="52"/>
    </row>
    <row r="167" spans="1:21" x14ac:dyDescent="0.25">
      <c r="A167" s="46">
        <f t="shared" si="19"/>
        <v>156</v>
      </c>
      <c r="B167" s="47"/>
      <c r="C167" s="5" t="s">
        <v>360</v>
      </c>
      <c r="D167" s="5" t="s">
        <v>255</v>
      </c>
      <c r="E167" s="6"/>
      <c r="F167" s="48"/>
      <c r="G167" s="12" t="s">
        <v>581</v>
      </c>
      <c r="H167" s="49"/>
      <c r="I167" s="47"/>
      <c r="J167" s="47"/>
      <c r="K167" s="47"/>
      <c r="L167" s="47"/>
      <c r="M167" s="47"/>
      <c r="N167" s="47"/>
      <c r="O167" s="99">
        <f t="shared" si="20"/>
        <v>0</v>
      </c>
      <c r="P167" s="47"/>
      <c r="Q167" s="47"/>
      <c r="R167" s="100" t="str">
        <f t="shared" si="21"/>
        <v/>
      </c>
      <c r="S167" s="100" t="str">
        <f t="shared" si="22"/>
        <v/>
      </c>
      <c r="T167" s="101">
        <f t="shared" si="23"/>
        <v>0</v>
      </c>
      <c r="U167" s="56"/>
    </row>
    <row r="168" spans="1:21" x14ac:dyDescent="0.25">
      <c r="A168" s="46">
        <f t="shared" si="19"/>
        <v>157</v>
      </c>
      <c r="B168" s="47"/>
      <c r="C168" s="5" t="s">
        <v>361</v>
      </c>
      <c r="D168" s="5" t="s">
        <v>45</v>
      </c>
      <c r="E168" s="6" t="s">
        <v>362</v>
      </c>
      <c r="F168" s="48">
        <v>5303666465</v>
      </c>
      <c r="G168" s="59" t="s">
        <v>582</v>
      </c>
      <c r="H168" s="49"/>
      <c r="I168" s="47"/>
      <c r="J168" s="47"/>
      <c r="K168" s="47"/>
      <c r="L168" s="47"/>
      <c r="M168" s="47"/>
      <c r="N168" s="47"/>
      <c r="O168" s="99">
        <f t="shared" si="20"/>
        <v>0</v>
      </c>
      <c r="P168" s="47"/>
      <c r="Q168" s="47"/>
      <c r="R168" s="100" t="str">
        <f t="shared" si="21"/>
        <v/>
      </c>
      <c r="S168" s="100" t="str">
        <f t="shared" si="22"/>
        <v/>
      </c>
      <c r="T168" s="101">
        <f t="shared" si="23"/>
        <v>0</v>
      </c>
      <c r="U168" s="52"/>
    </row>
    <row r="169" spans="1:21" x14ac:dyDescent="0.25">
      <c r="A169" s="46">
        <f t="shared" si="19"/>
        <v>158</v>
      </c>
      <c r="B169" s="54"/>
      <c r="C169" s="5" t="s">
        <v>363</v>
      </c>
      <c r="D169" s="5" t="s">
        <v>355</v>
      </c>
      <c r="E169" s="6" t="s">
        <v>364</v>
      </c>
      <c r="F169" s="48"/>
      <c r="G169" s="12" t="s">
        <v>583</v>
      </c>
      <c r="H169" s="54"/>
      <c r="I169" s="54"/>
      <c r="J169" s="54"/>
      <c r="K169" s="55"/>
      <c r="L169" s="55"/>
      <c r="M169" s="55"/>
      <c r="N169" s="55"/>
      <c r="O169" s="99">
        <f t="shared" si="20"/>
        <v>0</v>
      </c>
      <c r="P169" s="95"/>
      <c r="Q169" s="95"/>
      <c r="R169" s="100" t="str">
        <f t="shared" si="21"/>
        <v/>
      </c>
      <c r="S169" s="100" t="str">
        <f t="shared" si="22"/>
        <v/>
      </c>
      <c r="T169" s="101">
        <f t="shared" si="23"/>
        <v>0</v>
      </c>
      <c r="U169" s="52"/>
    </row>
    <row r="170" spans="1:21" x14ac:dyDescent="0.25">
      <c r="A170" s="46">
        <f t="shared" si="19"/>
        <v>159</v>
      </c>
      <c r="B170" s="47"/>
      <c r="C170" s="15" t="s">
        <v>690</v>
      </c>
      <c r="D170" s="15" t="s">
        <v>199</v>
      </c>
      <c r="E170" s="15" t="s">
        <v>664</v>
      </c>
      <c r="F170" s="15"/>
      <c r="G170" s="59" t="s">
        <v>691</v>
      </c>
      <c r="H170" s="49"/>
      <c r="I170" s="47"/>
      <c r="J170" s="47"/>
      <c r="K170" s="47"/>
      <c r="L170" s="47"/>
      <c r="M170" s="47"/>
      <c r="N170" s="47"/>
      <c r="O170" s="99">
        <f t="shared" si="20"/>
        <v>0</v>
      </c>
      <c r="P170" s="47"/>
      <c r="Q170" s="47"/>
      <c r="R170" s="100" t="str">
        <f t="shared" si="21"/>
        <v/>
      </c>
      <c r="S170" s="100" t="str">
        <f t="shared" si="22"/>
        <v/>
      </c>
      <c r="T170" s="101">
        <f t="shared" si="23"/>
        <v>0</v>
      </c>
      <c r="U170" s="52"/>
    </row>
    <row r="171" spans="1:21" x14ac:dyDescent="0.25">
      <c r="A171" s="46">
        <f t="shared" si="19"/>
        <v>160</v>
      </c>
      <c r="B171" s="54"/>
      <c r="C171" s="7" t="s">
        <v>365</v>
      </c>
      <c r="D171" s="7" t="s">
        <v>72</v>
      </c>
      <c r="E171" s="8" t="s">
        <v>366</v>
      </c>
      <c r="F171" s="60"/>
      <c r="G171" s="12" t="s">
        <v>584</v>
      </c>
      <c r="H171" s="54"/>
      <c r="I171" s="54"/>
      <c r="J171" s="54"/>
      <c r="K171" s="55"/>
      <c r="L171" s="55"/>
      <c r="M171" s="55"/>
      <c r="N171" s="55"/>
      <c r="O171" s="99">
        <f t="shared" si="20"/>
        <v>0</v>
      </c>
      <c r="P171" s="95"/>
      <c r="Q171" s="95"/>
      <c r="R171" s="100" t="str">
        <f t="shared" si="21"/>
        <v/>
      </c>
      <c r="S171" s="100" t="str">
        <f t="shared" si="22"/>
        <v/>
      </c>
      <c r="T171" s="101">
        <f t="shared" si="23"/>
        <v>0</v>
      </c>
      <c r="U171" s="50"/>
    </row>
    <row r="172" spans="1:21" x14ac:dyDescent="0.25">
      <c r="A172" s="46">
        <f t="shared" si="19"/>
        <v>161</v>
      </c>
      <c r="B172" s="54"/>
      <c r="C172" s="7" t="s">
        <v>367</v>
      </c>
      <c r="D172" s="7" t="s">
        <v>45</v>
      </c>
      <c r="E172" s="8" t="s">
        <v>368</v>
      </c>
      <c r="F172" s="57">
        <v>7072524331</v>
      </c>
      <c r="G172" s="12" t="s">
        <v>585</v>
      </c>
      <c r="H172" s="54"/>
      <c r="I172" s="54"/>
      <c r="J172" s="54"/>
      <c r="K172" s="55"/>
      <c r="L172" s="55"/>
      <c r="M172" s="55"/>
      <c r="N172" s="55"/>
      <c r="O172" s="99">
        <f t="shared" ref="O172:O195" si="24">T172*N172</f>
        <v>0</v>
      </c>
      <c r="P172" s="95"/>
      <c r="Q172" s="95"/>
      <c r="R172" s="100" t="str">
        <f t="shared" ref="R172:R195" si="25">IF(OR(P172="c",P172="C"),+T172,"")</f>
        <v/>
      </c>
      <c r="S172" s="100" t="str">
        <f t="shared" ref="S172:S195" si="26">IF(OR(P172="$",N172=1),+T172,"")</f>
        <v/>
      </c>
      <c r="T172" s="101">
        <f t="shared" ref="T172:T195" si="27">B172*FRegMainSetUpEntryFee + H172*FRegMainSetUpPool1Fee + I172*FRegMainSetUpPool2Fee + J172*FRegMainSetUpPool3Fee + K172*FRegMainSetUpPool4Fee</f>
        <v>0</v>
      </c>
      <c r="U172" s="52"/>
    </row>
    <row r="173" spans="1:21" x14ac:dyDescent="0.25">
      <c r="A173" s="46">
        <f t="shared" si="19"/>
        <v>162</v>
      </c>
      <c r="B173" s="47"/>
      <c r="C173" s="7" t="s">
        <v>369</v>
      </c>
      <c r="D173" s="7" t="s">
        <v>45</v>
      </c>
      <c r="E173" s="8" t="s">
        <v>370</v>
      </c>
      <c r="F173" s="57" t="s">
        <v>586</v>
      </c>
      <c r="G173" s="12" t="s">
        <v>587</v>
      </c>
      <c r="H173" s="49"/>
      <c r="I173" s="47"/>
      <c r="J173" s="47"/>
      <c r="K173" s="47"/>
      <c r="L173" s="47"/>
      <c r="M173" s="47"/>
      <c r="N173" s="47"/>
      <c r="O173" s="99">
        <f t="shared" si="24"/>
        <v>0</v>
      </c>
      <c r="P173" s="47"/>
      <c r="Q173" s="47"/>
      <c r="R173" s="100" t="str">
        <f t="shared" si="25"/>
        <v/>
      </c>
      <c r="S173" s="100" t="str">
        <f t="shared" si="26"/>
        <v/>
      </c>
      <c r="T173" s="101">
        <f t="shared" si="27"/>
        <v>0</v>
      </c>
      <c r="U173" s="52"/>
    </row>
    <row r="174" spans="1:21" x14ac:dyDescent="0.25">
      <c r="A174" s="46">
        <f t="shared" si="19"/>
        <v>163</v>
      </c>
      <c r="B174" s="54"/>
      <c r="C174" s="7" t="s">
        <v>371</v>
      </c>
      <c r="D174" s="7" t="s">
        <v>372</v>
      </c>
      <c r="E174" s="8" t="s">
        <v>373</v>
      </c>
      <c r="F174" s="57"/>
      <c r="G174" s="12" t="s">
        <v>588</v>
      </c>
      <c r="H174" s="55"/>
      <c r="I174" s="55"/>
      <c r="J174" s="55"/>
      <c r="K174" s="55"/>
      <c r="L174" s="55"/>
      <c r="M174" s="55"/>
      <c r="N174" s="55"/>
      <c r="O174" s="99">
        <f t="shared" si="24"/>
        <v>0</v>
      </c>
      <c r="P174" s="95"/>
      <c r="Q174" s="95"/>
      <c r="R174" s="100" t="str">
        <f t="shared" si="25"/>
        <v/>
      </c>
      <c r="S174" s="100" t="str">
        <f t="shared" si="26"/>
        <v/>
      </c>
      <c r="T174" s="101">
        <f t="shared" si="27"/>
        <v>0</v>
      </c>
      <c r="U174" s="50"/>
    </row>
    <row r="175" spans="1:21" x14ac:dyDescent="0.25">
      <c r="A175" s="46">
        <f t="shared" si="19"/>
        <v>164</v>
      </c>
      <c r="B175" s="47"/>
      <c r="C175" s="5" t="s">
        <v>374</v>
      </c>
      <c r="D175" s="5" t="s">
        <v>375</v>
      </c>
      <c r="E175" s="6" t="s">
        <v>376</v>
      </c>
      <c r="F175" s="48"/>
      <c r="G175" s="12" t="s">
        <v>589</v>
      </c>
      <c r="H175" s="49"/>
      <c r="I175" s="47"/>
      <c r="J175" s="47"/>
      <c r="K175" s="47"/>
      <c r="L175" s="47"/>
      <c r="M175" s="47"/>
      <c r="N175" s="47"/>
      <c r="O175" s="99">
        <f t="shared" si="24"/>
        <v>0</v>
      </c>
      <c r="P175" s="47"/>
      <c r="Q175" s="47"/>
      <c r="R175" s="100" t="str">
        <f t="shared" si="25"/>
        <v/>
      </c>
      <c r="S175" s="100" t="str">
        <f t="shared" si="26"/>
        <v/>
      </c>
      <c r="T175" s="101">
        <f t="shared" si="27"/>
        <v>0</v>
      </c>
      <c r="U175" s="50"/>
    </row>
    <row r="176" spans="1:21" x14ac:dyDescent="0.25">
      <c r="A176" s="46">
        <f t="shared" si="19"/>
        <v>165</v>
      </c>
      <c r="B176" s="47"/>
      <c r="C176" s="7" t="s">
        <v>377</v>
      </c>
      <c r="D176" s="7" t="s">
        <v>25</v>
      </c>
      <c r="E176" s="8" t="s">
        <v>378</v>
      </c>
      <c r="F176" s="48"/>
      <c r="G176" s="12" t="s">
        <v>590</v>
      </c>
      <c r="H176" s="49"/>
      <c r="I176" s="47"/>
      <c r="J176" s="47"/>
      <c r="K176" s="47"/>
      <c r="L176" s="47"/>
      <c r="M176" s="47"/>
      <c r="N176" s="47"/>
      <c r="O176" s="99">
        <f t="shared" si="24"/>
        <v>0</v>
      </c>
      <c r="P176" s="47"/>
      <c r="Q176" s="47"/>
      <c r="R176" s="100" t="str">
        <f t="shared" si="25"/>
        <v/>
      </c>
      <c r="S176" s="100" t="str">
        <f t="shared" si="26"/>
        <v/>
      </c>
      <c r="T176" s="101">
        <f t="shared" si="27"/>
        <v>0</v>
      </c>
      <c r="U176" s="52"/>
    </row>
    <row r="177" spans="1:21" x14ac:dyDescent="0.25">
      <c r="A177" s="46">
        <f t="shared" si="19"/>
        <v>166</v>
      </c>
      <c r="B177" s="47"/>
      <c r="C177" s="5" t="s">
        <v>379</v>
      </c>
      <c r="D177" s="5" t="s">
        <v>145</v>
      </c>
      <c r="E177" s="6" t="s">
        <v>380</v>
      </c>
      <c r="F177" s="48"/>
      <c r="G177" s="12" t="s">
        <v>591</v>
      </c>
      <c r="H177" s="49"/>
      <c r="I177" s="47"/>
      <c r="J177" s="47"/>
      <c r="K177" s="47"/>
      <c r="L177" s="47"/>
      <c r="M177" s="47"/>
      <c r="N177" s="47"/>
      <c r="O177" s="99">
        <f t="shared" si="24"/>
        <v>0</v>
      </c>
      <c r="P177" s="47"/>
      <c r="Q177" s="47"/>
      <c r="R177" s="100" t="str">
        <f t="shared" si="25"/>
        <v/>
      </c>
      <c r="S177" s="100" t="str">
        <f t="shared" si="26"/>
        <v/>
      </c>
      <c r="T177" s="101">
        <f t="shared" si="27"/>
        <v>0</v>
      </c>
      <c r="U177" s="52"/>
    </row>
    <row r="178" spans="1:21" x14ac:dyDescent="0.25">
      <c r="A178" s="46">
        <f t="shared" si="19"/>
        <v>167</v>
      </c>
      <c r="B178" s="47"/>
      <c r="C178" s="7" t="s">
        <v>381</v>
      </c>
      <c r="D178" s="7" t="s">
        <v>103</v>
      </c>
      <c r="E178" s="8" t="s">
        <v>382</v>
      </c>
      <c r="F178" s="48"/>
      <c r="G178" s="12" t="s">
        <v>592</v>
      </c>
      <c r="H178" s="49"/>
      <c r="I178" s="47"/>
      <c r="J178" s="47"/>
      <c r="K178" s="47"/>
      <c r="L178" s="47"/>
      <c r="M178" s="47"/>
      <c r="N178" s="47"/>
      <c r="O178" s="99">
        <f t="shared" si="24"/>
        <v>0</v>
      </c>
      <c r="P178" s="47"/>
      <c r="Q178" s="47"/>
      <c r="R178" s="100" t="str">
        <f t="shared" si="25"/>
        <v/>
      </c>
      <c r="S178" s="100" t="str">
        <f t="shared" si="26"/>
        <v/>
      </c>
      <c r="T178" s="101">
        <f t="shared" si="27"/>
        <v>0</v>
      </c>
      <c r="U178" s="52"/>
    </row>
    <row r="179" spans="1:21" x14ac:dyDescent="0.25">
      <c r="A179" s="46">
        <f t="shared" si="19"/>
        <v>168</v>
      </c>
      <c r="B179" s="54"/>
      <c r="C179" s="5" t="s">
        <v>383</v>
      </c>
      <c r="D179" s="5" t="s">
        <v>185</v>
      </c>
      <c r="E179" s="6" t="s">
        <v>384</v>
      </c>
      <c r="F179" s="10" t="s">
        <v>593</v>
      </c>
      <c r="G179" s="15" t="s">
        <v>594</v>
      </c>
      <c r="H179" s="49"/>
      <c r="I179" s="47"/>
      <c r="J179" s="47"/>
      <c r="K179" s="47"/>
      <c r="L179" s="47"/>
      <c r="M179" s="47"/>
      <c r="N179" s="47"/>
      <c r="O179" s="99">
        <f t="shared" si="24"/>
        <v>0</v>
      </c>
      <c r="P179" s="47"/>
      <c r="Q179" s="47"/>
      <c r="R179" s="100" t="str">
        <f t="shared" si="25"/>
        <v/>
      </c>
      <c r="S179" s="100" t="str">
        <f t="shared" si="26"/>
        <v/>
      </c>
      <c r="T179" s="101">
        <f t="shared" si="27"/>
        <v>0</v>
      </c>
      <c r="U179" s="52"/>
    </row>
    <row r="180" spans="1:21" x14ac:dyDescent="0.25">
      <c r="A180" s="46">
        <f t="shared" si="19"/>
        <v>169</v>
      </c>
      <c r="B180" s="47"/>
      <c r="C180" s="5" t="s">
        <v>385</v>
      </c>
      <c r="D180" s="5" t="s">
        <v>84</v>
      </c>
      <c r="E180" s="6" t="s">
        <v>386</v>
      </c>
      <c r="F180" s="48"/>
      <c r="G180" s="12"/>
      <c r="H180" s="49"/>
      <c r="I180" s="47"/>
      <c r="J180" s="47"/>
      <c r="K180" s="47"/>
      <c r="L180" s="47"/>
      <c r="M180" s="47"/>
      <c r="N180" s="47"/>
      <c r="O180" s="99">
        <f t="shared" si="24"/>
        <v>0</v>
      </c>
      <c r="P180" s="47"/>
      <c r="Q180" s="47"/>
      <c r="R180" s="100" t="str">
        <f t="shared" si="25"/>
        <v/>
      </c>
      <c r="S180" s="100" t="str">
        <f t="shared" si="26"/>
        <v/>
      </c>
      <c r="T180" s="101">
        <f t="shared" si="27"/>
        <v>0</v>
      </c>
      <c r="U180" s="52"/>
    </row>
    <row r="181" spans="1:21" x14ac:dyDescent="0.25">
      <c r="A181" s="46">
        <f t="shared" si="19"/>
        <v>170</v>
      </c>
      <c r="B181" s="54"/>
      <c r="C181" s="5" t="s">
        <v>387</v>
      </c>
      <c r="D181" s="5" t="s">
        <v>388</v>
      </c>
      <c r="E181" s="6" t="s">
        <v>389</v>
      </c>
      <c r="F181" s="48"/>
      <c r="G181" s="12"/>
      <c r="H181" s="54"/>
      <c r="I181" s="54"/>
      <c r="J181" s="54"/>
      <c r="K181" s="55"/>
      <c r="L181" s="55"/>
      <c r="M181" s="55"/>
      <c r="N181" s="55"/>
      <c r="O181" s="99">
        <f t="shared" si="24"/>
        <v>0</v>
      </c>
      <c r="P181" s="95"/>
      <c r="Q181" s="95"/>
      <c r="R181" s="100" t="str">
        <f t="shared" si="25"/>
        <v/>
      </c>
      <c r="S181" s="100" t="str">
        <f t="shared" si="26"/>
        <v/>
      </c>
      <c r="T181" s="101">
        <f t="shared" si="27"/>
        <v>0</v>
      </c>
      <c r="U181" s="56"/>
    </row>
    <row r="182" spans="1:21" x14ac:dyDescent="0.25">
      <c r="A182" s="46">
        <f t="shared" si="19"/>
        <v>171</v>
      </c>
      <c r="B182" s="54"/>
      <c r="C182" s="5" t="s">
        <v>390</v>
      </c>
      <c r="D182" s="5" t="s">
        <v>208</v>
      </c>
      <c r="E182" s="6" t="s">
        <v>391</v>
      </c>
      <c r="F182" s="48"/>
      <c r="G182" s="12" t="s">
        <v>595</v>
      </c>
      <c r="H182" s="54"/>
      <c r="I182" s="54"/>
      <c r="J182" s="54"/>
      <c r="K182" s="55"/>
      <c r="L182" s="55"/>
      <c r="M182" s="55"/>
      <c r="N182" s="55"/>
      <c r="O182" s="99">
        <f t="shared" si="24"/>
        <v>0</v>
      </c>
      <c r="P182" s="95"/>
      <c r="Q182" s="95"/>
      <c r="R182" s="100" t="str">
        <f t="shared" si="25"/>
        <v/>
      </c>
      <c r="S182" s="100" t="str">
        <f t="shared" si="26"/>
        <v/>
      </c>
      <c r="T182" s="101">
        <f t="shared" si="27"/>
        <v>0</v>
      </c>
      <c r="U182" s="50"/>
    </row>
    <row r="183" spans="1:21" x14ac:dyDescent="0.25">
      <c r="A183" s="46">
        <f t="shared" si="19"/>
        <v>172</v>
      </c>
      <c r="B183" s="47"/>
      <c r="C183" s="5" t="s">
        <v>392</v>
      </c>
      <c r="D183" s="5" t="s">
        <v>342</v>
      </c>
      <c r="E183" s="6" t="s">
        <v>393</v>
      </c>
      <c r="F183" s="48">
        <v>7075087889</v>
      </c>
      <c r="G183" s="12" t="s">
        <v>468</v>
      </c>
      <c r="H183" s="49"/>
      <c r="I183" s="47"/>
      <c r="J183" s="47"/>
      <c r="K183" s="47"/>
      <c r="L183" s="47"/>
      <c r="M183" s="47"/>
      <c r="N183" s="47"/>
      <c r="O183" s="99">
        <f t="shared" si="24"/>
        <v>0</v>
      </c>
      <c r="P183" s="47"/>
      <c r="Q183" s="47"/>
      <c r="R183" s="100" t="str">
        <f t="shared" si="25"/>
        <v/>
      </c>
      <c r="S183" s="100" t="str">
        <f t="shared" si="26"/>
        <v/>
      </c>
      <c r="T183" s="101">
        <f t="shared" si="27"/>
        <v>0</v>
      </c>
      <c r="U183" s="52"/>
    </row>
    <row r="184" spans="1:21" x14ac:dyDescent="0.25">
      <c r="A184" s="46">
        <f t="shared" si="19"/>
        <v>173</v>
      </c>
      <c r="B184" s="47"/>
      <c r="C184" s="5" t="s">
        <v>394</v>
      </c>
      <c r="D184" s="5" t="s">
        <v>50</v>
      </c>
      <c r="E184" s="6" t="s">
        <v>395</v>
      </c>
      <c r="F184" s="48"/>
      <c r="G184" s="12" t="s">
        <v>596</v>
      </c>
      <c r="H184" s="49"/>
      <c r="I184" s="47"/>
      <c r="J184" s="47"/>
      <c r="K184" s="47"/>
      <c r="L184" s="47"/>
      <c r="M184" s="47"/>
      <c r="N184" s="47"/>
      <c r="O184" s="99">
        <f t="shared" si="24"/>
        <v>0</v>
      </c>
      <c r="P184" s="47"/>
      <c r="Q184" s="47"/>
      <c r="R184" s="100" t="str">
        <f t="shared" si="25"/>
        <v/>
      </c>
      <c r="S184" s="100" t="str">
        <f t="shared" si="26"/>
        <v/>
      </c>
      <c r="T184" s="101">
        <f t="shared" si="27"/>
        <v>0</v>
      </c>
      <c r="U184" s="52"/>
    </row>
    <row r="185" spans="1:21" x14ac:dyDescent="0.25">
      <c r="A185" s="46">
        <f t="shared" si="19"/>
        <v>174</v>
      </c>
      <c r="B185" s="54"/>
      <c r="C185" s="5" t="s">
        <v>396</v>
      </c>
      <c r="D185" s="5" t="s">
        <v>72</v>
      </c>
      <c r="E185" s="6" t="s">
        <v>397</v>
      </c>
      <c r="F185" s="48">
        <v>7075290228</v>
      </c>
      <c r="G185" s="59" t="s">
        <v>597</v>
      </c>
      <c r="H185" s="54"/>
      <c r="I185" s="54"/>
      <c r="J185" s="54"/>
      <c r="K185" s="55"/>
      <c r="L185" s="55"/>
      <c r="M185" s="55"/>
      <c r="N185" s="55"/>
      <c r="O185" s="99">
        <f t="shared" si="24"/>
        <v>0</v>
      </c>
      <c r="P185" s="95"/>
      <c r="Q185" s="95"/>
      <c r="R185" s="100" t="str">
        <f t="shared" si="25"/>
        <v/>
      </c>
      <c r="S185" s="100" t="str">
        <f t="shared" si="26"/>
        <v/>
      </c>
      <c r="T185" s="101">
        <f t="shared" si="27"/>
        <v>0</v>
      </c>
      <c r="U185" s="50"/>
    </row>
    <row r="186" spans="1:21" x14ac:dyDescent="0.25">
      <c r="A186" s="46">
        <f t="shared" si="19"/>
        <v>175</v>
      </c>
      <c r="B186" s="47"/>
      <c r="C186" s="7" t="s">
        <v>398</v>
      </c>
      <c r="D186" s="7" t="s">
        <v>185</v>
      </c>
      <c r="E186" s="8" t="s">
        <v>399</v>
      </c>
      <c r="F186" s="60"/>
      <c r="G186" s="12" t="s">
        <v>532</v>
      </c>
      <c r="H186" s="49"/>
      <c r="I186" s="49"/>
      <c r="J186" s="49"/>
      <c r="K186" s="49"/>
      <c r="L186" s="47"/>
      <c r="M186" s="47"/>
      <c r="N186" s="47"/>
      <c r="O186" s="99">
        <f t="shared" si="24"/>
        <v>0</v>
      </c>
      <c r="P186" s="47"/>
      <c r="Q186" s="47"/>
      <c r="R186" s="100" t="str">
        <f t="shared" si="25"/>
        <v/>
      </c>
      <c r="S186" s="100" t="str">
        <f t="shared" si="26"/>
        <v/>
      </c>
      <c r="T186" s="101">
        <f t="shared" si="27"/>
        <v>0</v>
      </c>
      <c r="U186" s="52"/>
    </row>
    <row r="187" spans="1:21" x14ac:dyDescent="0.25">
      <c r="A187" s="46">
        <f t="shared" si="19"/>
        <v>176</v>
      </c>
      <c r="B187" s="47"/>
      <c r="C187" s="5" t="s">
        <v>400</v>
      </c>
      <c r="D187" s="5" t="s">
        <v>194</v>
      </c>
      <c r="E187" s="6" t="s">
        <v>401</v>
      </c>
      <c r="F187" s="48"/>
      <c r="G187" s="12" t="s">
        <v>598</v>
      </c>
      <c r="H187" s="49"/>
      <c r="I187" s="47"/>
      <c r="J187" s="47"/>
      <c r="K187" s="47"/>
      <c r="L187" s="47"/>
      <c r="M187" s="47"/>
      <c r="N187" s="47"/>
      <c r="O187" s="99">
        <f t="shared" si="24"/>
        <v>0</v>
      </c>
      <c r="P187" s="47"/>
      <c r="Q187" s="47"/>
      <c r="R187" s="100" t="str">
        <f t="shared" si="25"/>
        <v/>
      </c>
      <c r="S187" s="100" t="str">
        <f t="shared" si="26"/>
        <v/>
      </c>
      <c r="T187" s="101">
        <f t="shared" si="27"/>
        <v>0</v>
      </c>
      <c r="U187" s="52"/>
    </row>
    <row r="188" spans="1:21" x14ac:dyDescent="0.25">
      <c r="A188" s="46">
        <f t="shared" si="19"/>
        <v>177</v>
      </c>
      <c r="B188" s="54"/>
      <c r="C188" s="5" t="s">
        <v>402</v>
      </c>
      <c r="D188" s="5" t="s">
        <v>329</v>
      </c>
      <c r="E188" s="6" t="s">
        <v>403</v>
      </c>
      <c r="F188" s="48"/>
      <c r="G188" s="12" t="s">
        <v>599</v>
      </c>
      <c r="H188" s="54"/>
      <c r="I188" s="54"/>
      <c r="J188" s="54"/>
      <c r="K188" s="55"/>
      <c r="L188" s="55"/>
      <c r="M188" s="55"/>
      <c r="N188" s="55"/>
      <c r="O188" s="99">
        <f t="shared" si="24"/>
        <v>0</v>
      </c>
      <c r="P188" s="95"/>
      <c r="Q188" s="95"/>
      <c r="R188" s="100" t="str">
        <f t="shared" si="25"/>
        <v/>
      </c>
      <c r="S188" s="100" t="str">
        <f t="shared" si="26"/>
        <v/>
      </c>
      <c r="T188" s="101">
        <f t="shared" si="27"/>
        <v>0</v>
      </c>
      <c r="U188" s="50"/>
    </row>
    <row r="189" spans="1:21" x14ac:dyDescent="0.25">
      <c r="A189" s="46">
        <f t="shared" si="19"/>
        <v>178</v>
      </c>
      <c r="B189" s="47"/>
      <c r="C189" s="5" t="s">
        <v>404</v>
      </c>
      <c r="D189" s="5" t="s">
        <v>42</v>
      </c>
      <c r="E189" s="6" t="s">
        <v>405</v>
      </c>
      <c r="F189" s="48"/>
      <c r="G189" s="12"/>
      <c r="H189" s="49"/>
      <c r="I189" s="47"/>
      <c r="J189" s="47"/>
      <c r="K189" s="47"/>
      <c r="L189" s="47"/>
      <c r="M189" s="47"/>
      <c r="N189" s="47"/>
      <c r="O189" s="99">
        <f t="shared" si="24"/>
        <v>0</v>
      </c>
      <c r="P189" s="47"/>
      <c r="Q189" s="47"/>
      <c r="R189" s="100" t="str">
        <f t="shared" si="25"/>
        <v/>
      </c>
      <c r="S189" s="100" t="str">
        <f t="shared" si="26"/>
        <v/>
      </c>
      <c r="T189" s="101">
        <f t="shared" si="27"/>
        <v>0</v>
      </c>
      <c r="U189" s="52"/>
    </row>
    <row r="190" spans="1:21" x14ac:dyDescent="0.25">
      <c r="A190" s="46">
        <f t="shared" si="19"/>
        <v>179</v>
      </c>
      <c r="B190" s="47"/>
      <c r="C190" s="5" t="s">
        <v>406</v>
      </c>
      <c r="D190" s="5" t="s">
        <v>45</v>
      </c>
      <c r="E190" s="6" t="s">
        <v>407</v>
      </c>
      <c r="F190" s="48">
        <v>7078150886</v>
      </c>
      <c r="G190" s="59" t="s">
        <v>600</v>
      </c>
      <c r="H190" s="49"/>
      <c r="I190" s="47"/>
      <c r="J190" s="47"/>
      <c r="K190" s="47"/>
      <c r="L190" s="47"/>
      <c r="M190" s="47"/>
      <c r="N190" s="47"/>
      <c r="O190" s="99">
        <f t="shared" si="24"/>
        <v>0</v>
      </c>
      <c r="P190" s="47"/>
      <c r="Q190" s="47"/>
      <c r="R190" s="100" t="str">
        <f t="shared" si="25"/>
        <v/>
      </c>
      <c r="S190" s="100" t="str">
        <f t="shared" si="26"/>
        <v/>
      </c>
      <c r="T190" s="101">
        <f t="shared" si="27"/>
        <v>0</v>
      </c>
      <c r="U190" s="52"/>
    </row>
    <row r="191" spans="1:21" x14ac:dyDescent="0.25">
      <c r="A191" s="46">
        <f t="shared" si="19"/>
        <v>180</v>
      </c>
      <c r="B191" s="47"/>
      <c r="C191" s="5" t="s">
        <v>408</v>
      </c>
      <c r="D191" s="5" t="s">
        <v>409</v>
      </c>
      <c r="E191" s="6" t="s">
        <v>410</v>
      </c>
      <c r="F191" s="48">
        <v>5106764872</v>
      </c>
      <c r="G191" s="59" t="s">
        <v>601</v>
      </c>
      <c r="H191" s="49"/>
      <c r="I191" s="47"/>
      <c r="J191" s="47"/>
      <c r="K191" s="47"/>
      <c r="L191" s="47"/>
      <c r="M191" s="47"/>
      <c r="N191" s="47"/>
      <c r="O191" s="99">
        <f t="shared" si="24"/>
        <v>0</v>
      </c>
      <c r="P191" s="47"/>
      <c r="Q191" s="47"/>
      <c r="R191" s="100" t="str">
        <f t="shared" si="25"/>
        <v/>
      </c>
      <c r="S191" s="100" t="str">
        <f t="shared" si="26"/>
        <v/>
      </c>
      <c r="T191" s="101">
        <f t="shared" si="27"/>
        <v>0</v>
      </c>
      <c r="U191" s="52"/>
    </row>
    <row r="192" spans="1:21" x14ac:dyDescent="0.25">
      <c r="A192" s="46">
        <f t="shared" si="19"/>
        <v>181</v>
      </c>
      <c r="B192" s="54"/>
      <c r="C192" s="5" t="s">
        <v>411</v>
      </c>
      <c r="D192" s="5" t="s">
        <v>412</v>
      </c>
      <c r="E192" s="6" t="s">
        <v>413</v>
      </c>
      <c r="F192" s="48"/>
      <c r="G192" s="12"/>
      <c r="H192" s="54"/>
      <c r="I192" s="54"/>
      <c r="J192" s="54"/>
      <c r="K192" s="55"/>
      <c r="L192" s="55"/>
      <c r="M192" s="55"/>
      <c r="N192" s="55"/>
      <c r="O192" s="99">
        <f t="shared" si="24"/>
        <v>0</v>
      </c>
      <c r="P192" s="95"/>
      <c r="Q192" s="95"/>
      <c r="R192" s="100" t="str">
        <f t="shared" si="25"/>
        <v/>
      </c>
      <c r="S192" s="100" t="str">
        <f t="shared" si="26"/>
        <v/>
      </c>
      <c r="T192" s="101">
        <f t="shared" si="27"/>
        <v>0</v>
      </c>
      <c r="U192" s="56"/>
    </row>
    <row r="193" spans="1:21" x14ac:dyDescent="0.25">
      <c r="A193" s="46">
        <f t="shared" si="19"/>
        <v>182</v>
      </c>
      <c r="B193" s="54"/>
      <c r="C193" s="5" t="s">
        <v>414</v>
      </c>
      <c r="D193" s="5" t="s">
        <v>412</v>
      </c>
      <c r="E193" s="6" t="s">
        <v>415</v>
      </c>
      <c r="F193" s="10" t="s">
        <v>602</v>
      </c>
      <c r="G193" s="12" t="s">
        <v>603</v>
      </c>
      <c r="H193" s="54"/>
      <c r="I193" s="54"/>
      <c r="J193" s="54"/>
      <c r="K193" s="55"/>
      <c r="L193" s="55"/>
      <c r="M193" s="55"/>
      <c r="N193" s="55"/>
      <c r="O193" s="99">
        <f t="shared" si="24"/>
        <v>0</v>
      </c>
      <c r="P193" s="95"/>
      <c r="Q193" s="95"/>
      <c r="R193" s="100" t="str">
        <f t="shared" si="25"/>
        <v/>
      </c>
      <c r="S193" s="100" t="str">
        <f t="shared" si="26"/>
        <v/>
      </c>
      <c r="T193" s="101">
        <f t="shared" si="27"/>
        <v>0</v>
      </c>
      <c r="U193" s="50"/>
    </row>
    <row r="194" spans="1:21" x14ac:dyDescent="0.25">
      <c r="A194" s="46">
        <f t="shared" si="19"/>
        <v>183</v>
      </c>
      <c r="B194" s="47"/>
      <c r="C194" s="15" t="s">
        <v>692</v>
      </c>
      <c r="D194" s="15" t="s">
        <v>693</v>
      </c>
      <c r="E194" s="15" t="s">
        <v>694</v>
      </c>
      <c r="F194" s="15"/>
      <c r="G194" s="15"/>
      <c r="H194" s="49"/>
      <c r="I194" s="47"/>
      <c r="J194" s="47"/>
      <c r="K194" s="47"/>
      <c r="L194" s="47"/>
      <c r="M194" s="47"/>
      <c r="N194" s="47"/>
      <c r="O194" s="99">
        <f t="shared" si="24"/>
        <v>0</v>
      </c>
      <c r="P194" s="47"/>
      <c r="Q194" s="47"/>
      <c r="R194" s="100" t="str">
        <f t="shared" si="25"/>
        <v/>
      </c>
      <c r="S194" s="100" t="str">
        <f t="shared" si="26"/>
        <v/>
      </c>
      <c r="T194" s="101">
        <f t="shared" si="27"/>
        <v>0</v>
      </c>
      <c r="U194" s="52"/>
    </row>
    <row r="195" spans="1:21" x14ac:dyDescent="0.25">
      <c r="A195" s="46">
        <f t="shared" si="19"/>
        <v>184</v>
      </c>
      <c r="B195" s="47"/>
      <c r="C195" s="15" t="s">
        <v>695</v>
      </c>
      <c r="D195" s="15" t="s">
        <v>159</v>
      </c>
      <c r="E195" s="15" t="s">
        <v>696</v>
      </c>
      <c r="F195" s="15"/>
      <c r="G195" s="59" t="s">
        <v>697</v>
      </c>
      <c r="H195" s="49"/>
      <c r="I195" s="47"/>
      <c r="J195" s="47"/>
      <c r="K195" s="47"/>
      <c r="L195" s="47"/>
      <c r="M195" s="47"/>
      <c r="N195" s="47"/>
      <c r="O195" s="99">
        <f t="shared" si="24"/>
        <v>0</v>
      </c>
      <c r="P195" s="47"/>
      <c r="Q195" s="47"/>
      <c r="R195" s="100" t="str">
        <f t="shared" si="25"/>
        <v/>
      </c>
      <c r="S195" s="100" t="str">
        <f t="shared" si="26"/>
        <v/>
      </c>
      <c r="T195" s="101">
        <f t="shared" si="27"/>
        <v>0</v>
      </c>
      <c r="U195" s="52"/>
    </row>
    <row r="196" spans="1:21" x14ac:dyDescent="0.25">
      <c r="A196" s="46">
        <f t="shared" si="19"/>
        <v>185</v>
      </c>
      <c r="B196" s="47"/>
      <c r="C196" s="15"/>
      <c r="D196" s="15"/>
      <c r="E196" s="15"/>
      <c r="F196" s="15"/>
      <c r="G196" s="15"/>
      <c r="H196" s="49"/>
      <c r="I196" s="47"/>
      <c r="J196" s="47"/>
      <c r="K196" s="47"/>
      <c r="L196" s="47"/>
      <c r="M196" s="47"/>
      <c r="N196" s="47"/>
      <c r="O196" s="99">
        <f t="shared" ref="O196:O203" si="28">T196*N196</f>
        <v>0</v>
      </c>
      <c r="P196" s="47"/>
      <c r="Q196" s="47"/>
      <c r="R196" s="100" t="str">
        <f t="shared" ref="R196:R203" si="29">IF(OR(P196="c",P196="C"),+T196,"")</f>
        <v/>
      </c>
      <c r="S196" s="100" t="str">
        <f t="shared" ref="S196:S203" si="30">IF(OR(P196="$",N196=1),+T196,"")</f>
        <v/>
      </c>
      <c r="T196" s="101">
        <f t="shared" ref="T196:T203" si="31">B196*FRegMainSetUpEntryFee + H196*FRegMainSetUpPool1Fee + I196*FRegMainSetUpPool2Fee + J196*FRegMainSetUpPool3Fee + K196*FRegMainSetUpPool4Fee</f>
        <v>0</v>
      </c>
      <c r="U196" s="52"/>
    </row>
    <row r="197" spans="1:21" x14ac:dyDescent="0.25">
      <c r="A197" s="46">
        <f t="shared" si="19"/>
        <v>186</v>
      </c>
      <c r="B197" s="47"/>
      <c r="C197" s="15"/>
      <c r="D197" s="15"/>
      <c r="E197" s="15"/>
      <c r="F197" s="15"/>
      <c r="G197" s="15"/>
      <c r="H197" s="49"/>
      <c r="I197" s="47"/>
      <c r="J197" s="47"/>
      <c r="K197" s="47"/>
      <c r="L197" s="47"/>
      <c r="M197" s="47"/>
      <c r="N197" s="47"/>
      <c r="O197" s="99">
        <f t="shared" si="28"/>
        <v>0</v>
      </c>
      <c r="P197" s="51"/>
      <c r="Q197" s="51"/>
      <c r="R197" s="100" t="str">
        <f t="shared" si="29"/>
        <v/>
      </c>
      <c r="S197" s="100" t="str">
        <f t="shared" si="30"/>
        <v/>
      </c>
      <c r="T197" s="101">
        <f t="shared" si="31"/>
        <v>0</v>
      </c>
      <c r="U197" s="52"/>
    </row>
    <row r="198" spans="1:21" x14ac:dyDescent="0.25">
      <c r="A198" s="46">
        <f t="shared" si="19"/>
        <v>187</v>
      </c>
      <c r="B198" s="47"/>
      <c r="C198" s="15"/>
      <c r="D198" s="15"/>
      <c r="E198" s="15"/>
      <c r="F198" s="15"/>
      <c r="G198" s="15"/>
      <c r="H198" s="49"/>
      <c r="I198" s="47"/>
      <c r="J198" s="47"/>
      <c r="K198" s="47"/>
      <c r="L198" s="47"/>
      <c r="M198" s="47"/>
      <c r="N198" s="47"/>
      <c r="O198" s="99">
        <f t="shared" si="28"/>
        <v>0</v>
      </c>
      <c r="P198" s="51"/>
      <c r="Q198" s="51"/>
      <c r="R198" s="100" t="str">
        <f t="shared" si="29"/>
        <v/>
      </c>
      <c r="S198" s="100" t="str">
        <f t="shared" si="30"/>
        <v/>
      </c>
      <c r="T198" s="101">
        <f t="shared" si="31"/>
        <v>0</v>
      </c>
      <c r="U198" s="52"/>
    </row>
    <row r="199" spans="1:21" x14ac:dyDescent="0.25">
      <c r="A199" s="46">
        <f t="shared" si="19"/>
        <v>188</v>
      </c>
      <c r="B199" s="47"/>
      <c r="C199" s="15"/>
      <c r="D199" s="15"/>
      <c r="E199" s="15"/>
      <c r="F199" s="15"/>
      <c r="G199" s="15"/>
      <c r="H199" s="49"/>
      <c r="I199" s="47"/>
      <c r="J199" s="47"/>
      <c r="K199" s="47"/>
      <c r="L199" s="47"/>
      <c r="M199" s="47"/>
      <c r="N199" s="47"/>
      <c r="O199" s="99">
        <f t="shared" si="28"/>
        <v>0</v>
      </c>
      <c r="P199" s="51"/>
      <c r="Q199" s="51"/>
      <c r="R199" s="100" t="str">
        <f t="shared" si="29"/>
        <v/>
      </c>
      <c r="S199" s="100" t="str">
        <f t="shared" si="30"/>
        <v/>
      </c>
      <c r="T199" s="101">
        <f t="shared" si="31"/>
        <v>0</v>
      </c>
      <c r="U199" s="52"/>
    </row>
    <row r="200" spans="1:21" x14ac:dyDescent="0.25">
      <c r="A200" s="46">
        <f t="shared" si="19"/>
        <v>189</v>
      </c>
      <c r="B200" s="47"/>
      <c r="C200" s="15"/>
      <c r="D200" s="15"/>
      <c r="E200" s="15"/>
      <c r="F200" s="15"/>
      <c r="G200" s="15"/>
      <c r="H200" s="49"/>
      <c r="I200" s="47"/>
      <c r="J200" s="47"/>
      <c r="K200" s="47"/>
      <c r="L200" s="47"/>
      <c r="M200" s="47"/>
      <c r="N200" s="47"/>
      <c r="O200" s="99">
        <f t="shared" si="28"/>
        <v>0</v>
      </c>
      <c r="P200" s="51"/>
      <c r="Q200" s="51"/>
      <c r="R200" s="100" t="str">
        <f t="shared" si="29"/>
        <v/>
      </c>
      <c r="S200" s="100" t="str">
        <f t="shared" si="30"/>
        <v/>
      </c>
      <c r="T200" s="101">
        <f t="shared" si="31"/>
        <v>0</v>
      </c>
      <c r="U200" s="52"/>
    </row>
    <row r="201" spans="1:21" x14ac:dyDescent="0.25">
      <c r="A201" s="46">
        <f t="shared" si="19"/>
        <v>190</v>
      </c>
      <c r="B201" s="47"/>
      <c r="C201" s="15"/>
      <c r="D201" s="15"/>
      <c r="E201" s="15"/>
      <c r="F201" s="15"/>
      <c r="G201" s="15"/>
      <c r="H201" s="49"/>
      <c r="I201" s="47"/>
      <c r="J201" s="47"/>
      <c r="K201" s="47"/>
      <c r="L201" s="47"/>
      <c r="M201" s="47"/>
      <c r="N201" s="47"/>
      <c r="O201" s="99">
        <f t="shared" si="28"/>
        <v>0</v>
      </c>
      <c r="P201" s="51"/>
      <c r="Q201" s="51"/>
      <c r="R201" s="100" t="str">
        <f t="shared" si="29"/>
        <v/>
      </c>
      <c r="S201" s="100" t="str">
        <f t="shared" si="30"/>
        <v/>
      </c>
      <c r="T201" s="101">
        <f t="shared" si="31"/>
        <v>0</v>
      </c>
      <c r="U201" s="52"/>
    </row>
    <row r="202" spans="1:21" x14ac:dyDescent="0.25">
      <c r="A202" s="46">
        <f t="shared" si="19"/>
        <v>191</v>
      </c>
      <c r="B202" s="47"/>
      <c r="C202" s="15"/>
      <c r="D202" s="15"/>
      <c r="E202" s="15"/>
      <c r="F202" s="15"/>
      <c r="G202" s="15"/>
      <c r="H202" s="49"/>
      <c r="I202" s="47"/>
      <c r="J202" s="47"/>
      <c r="K202" s="47"/>
      <c r="L202" s="47"/>
      <c r="M202" s="47"/>
      <c r="N202" s="47"/>
      <c r="O202" s="99">
        <f t="shared" si="28"/>
        <v>0</v>
      </c>
      <c r="P202" s="51"/>
      <c r="Q202" s="51"/>
      <c r="R202" s="100" t="str">
        <f t="shared" si="29"/>
        <v/>
      </c>
      <c r="S202" s="100" t="str">
        <f t="shared" si="30"/>
        <v/>
      </c>
      <c r="T202" s="101">
        <f t="shared" si="31"/>
        <v>0</v>
      </c>
      <c r="U202" s="52"/>
    </row>
    <row r="203" spans="1:21" x14ac:dyDescent="0.25">
      <c r="A203" s="46">
        <f t="shared" si="19"/>
        <v>192</v>
      </c>
      <c r="B203" s="47"/>
      <c r="C203" s="15"/>
      <c r="D203" s="15"/>
      <c r="E203" s="15"/>
      <c r="F203" s="15"/>
      <c r="G203" s="15"/>
      <c r="H203" s="49"/>
      <c r="I203" s="47"/>
      <c r="J203" s="47"/>
      <c r="K203" s="47"/>
      <c r="L203" s="47"/>
      <c r="M203" s="47"/>
      <c r="N203" s="47"/>
      <c r="O203" s="99">
        <f t="shared" si="28"/>
        <v>0</v>
      </c>
      <c r="P203" s="51"/>
      <c r="Q203" s="51"/>
      <c r="R203" s="100" t="str">
        <f t="shared" si="29"/>
        <v/>
      </c>
      <c r="S203" s="100" t="str">
        <f t="shared" si="30"/>
        <v/>
      </c>
      <c r="T203" s="101">
        <f t="shared" si="31"/>
        <v>0</v>
      </c>
      <c r="U203" s="52"/>
    </row>
    <row r="204" spans="1:21" x14ac:dyDescent="0.25">
      <c r="A204" s="46">
        <f t="shared" ref="A204:A267" si="32">ROW() - ROW(FRegEntriesEnteredHdr)</f>
        <v>193</v>
      </c>
      <c r="B204" s="47"/>
      <c r="C204" s="15"/>
      <c r="D204" s="15"/>
      <c r="E204" s="15"/>
      <c r="F204" s="15"/>
      <c r="G204" s="15"/>
      <c r="H204" s="49"/>
      <c r="I204" s="47"/>
      <c r="J204" s="47"/>
      <c r="K204" s="47"/>
      <c r="L204" s="47"/>
      <c r="M204" s="47"/>
      <c r="N204" s="47"/>
      <c r="O204" s="99">
        <f t="shared" ref="O204:O267" si="33">T204*N204</f>
        <v>0</v>
      </c>
      <c r="P204" s="51"/>
      <c r="Q204" s="51"/>
      <c r="R204" s="100" t="str">
        <f t="shared" ref="R204:R267" si="34">IF(OR(P204="c",P204="C"),+T204,"")</f>
        <v/>
      </c>
      <c r="S204" s="100" t="str">
        <f t="shared" ref="S204:S267" si="35">IF(OR(P204="$",N204=1),+T204,"")</f>
        <v/>
      </c>
      <c r="T204" s="101">
        <f t="shared" ref="T204:T267" si="36">B204*FRegMainSetUpEntryFee + H204*FRegMainSetUpPool1Fee + I204*FRegMainSetUpPool2Fee + J204*FRegMainSetUpPool3Fee + K204*FRegMainSetUpPool4Fee</f>
        <v>0</v>
      </c>
      <c r="U204" s="52"/>
    </row>
    <row r="205" spans="1:21" x14ac:dyDescent="0.25">
      <c r="A205" s="46">
        <f t="shared" si="32"/>
        <v>194</v>
      </c>
      <c r="B205" s="47"/>
      <c r="C205" s="15"/>
      <c r="D205" s="15"/>
      <c r="E205" s="15"/>
      <c r="F205" s="15"/>
      <c r="G205" s="15"/>
      <c r="H205" s="49"/>
      <c r="I205" s="47"/>
      <c r="J205" s="47"/>
      <c r="K205" s="47"/>
      <c r="L205" s="47"/>
      <c r="M205" s="47"/>
      <c r="N205" s="47"/>
      <c r="O205" s="99">
        <f t="shared" si="33"/>
        <v>0</v>
      </c>
      <c r="P205" s="51"/>
      <c r="Q205" s="51"/>
      <c r="R205" s="100" t="str">
        <f t="shared" si="34"/>
        <v/>
      </c>
      <c r="S205" s="100" t="str">
        <f t="shared" si="35"/>
        <v/>
      </c>
      <c r="T205" s="101">
        <f t="shared" si="36"/>
        <v>0</v>
      </c>
      <c r="U205" s="52"/>
    </row>
    <row r="206" spans="1:21" x14ac:dyDescent="0.25">
      <c r="A206" s="46">
        <f t="shared" si="32"/>
        <v>195</v>
      </c>
      <c r="B206" s="47"/>
      <c r="C206" s="15"/>
      <c r="D206" s="15"/>
      <c r="E206" s="15"/>
      <c r="F206" s="15"/>
      <c r="G206" s="15"/>
      <c r="H206" s="49"/>
      <c r="I206" s="47"/>
      <c r="J206" s="47"/>
      <c r="K206" s="47"/>
      <c r="L206" s="47"/>
      <c r="M206" s="47"/>
      <c r="N206" s="47"/>
      <c r="O206" s="99">
        <f t="shared" si="33"/>
        <v>0</v>
      </c>
      <c r="P206" s="51"/>
      <c r="Q206" s="51"/>
      <c r="R206" s="100" t="str">
        <f t="shared" si="34"/>
        <v/>
      </c>
      <c r="S206" s="100" t="str">
        <f t="shared" si="35"/>
        <v/>
      </c>
      <c r="T206" s="101">
        <f t="shared" si="36"/>
        <v>0</v>
      </c>
      <c r="U206" s="52"/>
    </row>
    <row r="207" spans="1:21" x14ac:dyDescent="0.25">
      <c r="A207" s="46">
        <f t="shared" si="32"/>
        <v>196</v>
      </c>
      <c r="B207" s="47"/>
      <c r="C207" s="15"/>
      <c r="D207" s="15"/>
      <c r="E207" s="15"/>
      <c r="F207" s="15"/>
      <c r="G207" s="15"/>
      <c r="H207" s="49"/>
      <c r="I207" s="47"/>
      <c r="J207" s="47"/>
      <c r="K207" s="47"/>
      <c r="L207" s="47"/>
      <c r="M207" s="47"/>
      <c r="N207" s="47"/>
      <c r="O207" s="99">
        <f t="shared" si="33"/>
        <v>0</v>
      </c>
      <c r="P207" s="51"/>
      <c r="Q207" s="51"/>
      <c r="R207" s="100" t="str">
        <f t="shared" si="34"/>
        <v/>
      </c>
      <c r="S207" s="100" t="str">
        <f t="shared" si="35"/>
        <v/>
      </c>
      <c r="T207" s="101">
        <f t="shared" si="36"/>
        <v>0</v>
      </c>
      <c r="U207" s="52"/>
    </row>
    <row r="208" spans="1:21" x14ac:dyDescent="0.25">
      <c r="A208" s="46">
        <f t="shared" si="32"/>
        <v>197</v>
      </c>
      <c r="B208" s="47"/>
      <c r="C208" s="15"/>
      <c r="D208" s="15"/>
      <c r="E208" s="15"/>
      <c r="F208" s="15"/>
      <c r="G208" s="15"/>
      <c r="H208" s="49"/>
      <c r="I208" s="47"/>
      <c r="J208" s="47"/>
      <c r="K208" s="47"/>
      <c r="L208" s="47"/>
      <c r="M208" s="47"/>
      <c r="N208" s="47"/>
      <c r="O208" s="99">
        <f t="shared" si="33"/>
        <v>0</v>
      </c>
      <c r="P208" s="51"/>
      <c r="Q208" s="51"/>
      <c r="R208" s="100" t="str">
        <f t="shared" si="34"/>
        <v/>
      </c>
      <c r="S208" s="100" t="str">
        <f t="shared" si="35"/>
        <v/>
      </c>
      <c r="T208" s="101">
        <f t="shared" si="36"/>
        <v>0</v>
      </c>
      <c r="U208" s="52"/>
    </row>
    <row r="209" spans="1:21" x14ac:dyDescent="0.25">
      <c r="A209" s="46">
        <f t="shared" si="32"/>
        <v>198</v>
      </c>
      <c r="B209" s="47"/>
      <c r="C209" s="15"/>
      <c r="D209" s="15"/>
      <c r="E209" s="15"/>
      <c r="F209" s="15"/>
      <c r="G209" s="15"/>
      <c r="H209" s="49"/>
      <c r="I209" s="47"/>
      <c r="J209" s="47"/>
      <c r="K209" s="47"/>
      <c r="L209" s="47"/>
      <c r="M209" s="47"/>
      <c r="N209" s="47"/>
      <c r="O209" s="99">
        <f t="shared" si="33"/>
        <v>0</v>
      </c>
      <c r="P209" s="51"/>
      <c r="Q209" s="51"/>
      <c r="R209" s="100" t="str">
        <f t="shared" si="34"/>
        <v/>
      </c>
      <c r="S209" s="100" t="str">
        <f t="shared" si="35"/>
        <v/>
      </c>
      <c r="T209" s="101">
        <f t="shared" si="36"/>
        <v>0</v>
      </c>
      <c r="U209" s="52"/>
    </row>
    <row r="210" spans="1:21" x14ac:dyDescent="0.25">
      <c r="A210" s="46">
        <f t="shared" si="32"/>
        <v>199</v>
      </c>
      <c r="B210" s="47"/>
      <c r="C210" s="15"/>
      <c r="D210" s="15"/>
      <c r="E210" s="15"/>
      <c r="F210" s="15"/>
      <c r="G210" s="15"/>
      <c r="H210" s="49"/>
      <c r="I210" s="47"/>
      <c r="J210" s="47"/>
      <c r="K210" s="47"/>
      <c r="L210" s="47"/>
      <c r="M210" s="47"/>
      <c r="N210" s="47"/>
      <c r="O210" s="99">
        <f t="shared" si="33"/>
        <v>0</v>
      </c>
      <c r="P210" s="51"/>
      <c r="Q210" s="51"/>
      <c r="R210" s="100" t="str">
        <f t="shared" si="34"/>
        <v/>
      </c>
      <c r="S210" s="100" t="str">
        <f t="shared" si="35"/>
        <v/>
      </c>
      <c r="T210" s="101">
        <f t="shared" si="36"/>
        <v>0</v>
      </c>
      <c r="U210" s="52"/>
    </row>
    <row r="211" spans="1:21" x14ac:dyDescent="0.25">
      <c r="A211" s="46">
        <f t="shared" si="32"/>
        <v>200</v>
      </c>
      <c r="B211" s="47"/>
      <c r="C211" s="15"/>
      <c r="D211" s="15"/>
      <c r="E211" s="15"/>
      <c r="F211" s="15"/>
      <c r="G211" s="15"/>
      <c r="H211" s="49"/>
      <c r="I211" s="47"/>
      <c r="J211" s="47"/>
      <c r="K211" s="47"/>
      <c r="L211" s="47"/>
      <c r="M211" s="47"/>
      <c r="N211" s="47"/>
      <c r="O211" s="99">
        <f t="shared" si="33"/>
        <v>0</v>
      </c>
      <c r="P211" s="51"/>
      <c r="Q211" s="51"/>
      <c r="R211" s="100" t="str">
        <f t="shared" si="34"/>
        <v/>
      </c>
      <c r="S211" s="100" t="str">
        <f t="shared" si="35"/>
        <v/>
      </c>
      <c r="T211" s="101">
        <f t="shared" si="36"/>
        <v>0</v>
      </c>
      <c r="U211" s="52"/>
    </row>
    <row r="212" spans="1:21" x14ac:dyDescent="0.25">
      <c r="A212" s="46">
        <f t="shared" si="32"/>
        <v>201</v>
      </c>
      <c r="B212" s="47"/>
      <c r="C212" s="15"/>
      <c r="D212" s="15"/>
      <c r="E212" s="15"/>
      <c r="F212" s="15"/>
      <c r="G212" s="15"/>
      <c r="H212" s="49"/>
      <c r="I212" s="47"/>
      <c r="J212" s="47"/>
      <c r="K212" s="47"/>
      <c r="L212" s="47"/>
      <c r="M212" s="47"/>
      <c r="N212" s="47"/>
      <c r="O212" s="99">
        <f t="shared" si="33"/>
        <v>0</v>
      </c>
      <c r="P212" s="51"/>
      <c r="Q212" s="51"/>
      <c r="R212" s="100" t="str">
        <f t="shared" si="34"/>
        <v/>
      </c>
      <c r="S212" s="100" t="str">
        <f t="shared" si="35"/>
        <v/>
      </c>
      <c r="T212" s="101">
        <f t="shared" si="36"/>
        <v>0</v>
      </c>
      <c r="U212" s="52"/>
    </row>
    <row r="213" spans="1:21" x14ac:dyDescent="0.25">
      <c r="A213" s="46">
        <f t="shared" si="32"/>
        <v>202</v>
      </c>
      <c r="B213" s="47"/>
      <c r="C213" s="15"/>
      <c r="D213" s="15"/>
      <c r="E213" s="15"/>
      <c r="F213" s="15"/>
      <c r="G213" s="15"/>
      <c r="H213" s="49"/>
      <c r="I213" s="47"/>
      <c r="J213" s="47"/>
      <c r="K213" s="47"/>
      <c r="L213" s="47"/>
      <c r="M213" s="47"/>
      <c r="N213" s="47"/>
      <c r="O213" s="99">
        <f t="shared" si="33"/>
        <v>0</v>
      </c>
      <c r="P213" s="51"/>
      <c r="Q213" s="51"/>
      <c r="R213" s="100" t="str">
        <f t="shared" si="34"/>
        <v/>
      </c>
      <c r="S213" s="100" t="str">
        <f t="shared" si="35"/>
        <v/>
      </c>
      <c r="T213" s="101">
        <f t="shared" si="36"/>
        <v>0</v>
      </c>
      <c r="U213" s="52"/>
    </row>
    <row r="214" spans="1:21" x14ac:dyDescent="0.25">
      <c r="A214" s="46">
        <f t="shared" si="32"/>
        <v>203</v>
      </c>
      <c r="B214" s="47"/>
      <c r="C214" s="15"/>
      <c r="D214" s="15"/>
      <c r="E214" s="15"/>
      <c r="F214" s="15"/>
      <c r="G214" s="15"/>
      <c r="H214" s="49"/>
      <c r="I214" s="47"/>
      <c r="J214" s="47"/>
      <c r="K214" s="47"/>
      <c r="L214" s="47"/>
      <c r="M214" s="47"/>
      <c r="N214" s="47"/>
      <c r="O214" s="99">
        <f t="shared" si="33"/>
        <v>0</v>
      </c>
      <c r="P214" s="51"/>
      <c r="Q214" s="51"/>
      <c r="R214" s="100" t="str">
        <f t="shared" si="34"/>
        <v/>
      </c>
      <c r="S214" s="100" t="str">
        <f t="shared" si="35"/>
        <v/>
      </c>
      <c r="T214" s="101">
        <f t="shared" si="36"/>
        <v>0</v>
      </c>
      <c r="U214" s="52"/>
    </row>
    <row r="215" spans="1:21" x14ac:dyDescent="0.25">
      <c r="A215" s="46">
        <f t="shared" si="32"/>
        <v>204</v>
      </c>
      <c r="B215" s="47"/>
      <c r="C215" s="15"/>
      <c r="D215" s="15"/>
      <c r="E215" s="15"/>
      <c r="F215" s="15"/>
      <c r="G215" s="15"/>
      <c r="H215" s="49"/>
      <c r="I215" s="47"/>
      <c r="J215" s="47"/>
      <c r="K215" s="47"/>
      <c r="L215" s="47"/>
      <c r="M215" s="47"/>
      <c r="N215" s="47"/>
      <c r="O215" s="99">
        <f t="shared" si="33"/>
        <v>0</v>
      </c>
      <c r="P215" s="51"/>
      <c r="Q215" s="51"/>
      <c r="R215" s="100" t="str">
        <f t="shared" si="34"/>
        <v/>
      </c>
      <c r="S215" s="100" t="str">
        <f t="shared" si="35"/>
        <v/>
      </c>
      <c r="T215" s="101">
        <f t="shared" si="36"/>
        <v>0</v>
      </c>
      <c r="U215" s="52"/>
    </row>
    <row r="216" spans="1:21" x14ac:dyDescent="0.25">
      <c r="A216" s="46">
        <f t="shared" si="32"/>
        <v>205</v>
      </c>
      <c r="B216" s="47"/>
      <c r="C216" s="15"/>
      <c r="D216" s="15"/>
      <c r="E216" s="15"/>
      <c r="F216" s="15"/>
      <c r="G216" s="15"/>
      <c r="H216" s="49"/>
      <c r="I216" s="47"/>
      <c r="J216" s="47"/>
      <c r="K216" s="47"/>
      <c r="L216" s="47"/>
      <c r="M216" s="47"/>
      <c r="N216" s="47"/>
      <c r="O216" s="99">
        <f t="shared" si="33"/>
        <v>0</v>
      </c>
      <c r="P216" s="51"/>
      <c r="Q216" s="51"/>
      <c r="R216" s="100" t="str">
        <f t="shared" si="34"/>
        <v/>
      </c>
      <c r="S216" s="100" t="str">
        <f t="shared" si="35"/>
        <v/>
      </c>
      <c r="T216" s="101">
        <f t="shared" si="36"/>
        <v>0</v>
      </c>
      <c r="U216" s="52"/>
    </row>
    <row r="217" spans="1:21" x14ac:dyDescent="0.25">
      <c r="A217" s="46">
        <f t="shared" si="32"/>
        <v>206</v>
      </c>
      <c r="B217" s="47"/>
      <c r="C217" s="15"/>
      <c r="D217" s="15"/>
      <c r="E217" s="15"/>
      <c r="F217" s="15"/>
      <c r="G217" s="15"/>
      <c r="H217" s="49"/>
      <c r="I217" s="47"/>
      <c r="J217" s="47"/>
      <c r="K217" s="47"/>
      <c r="L217" s="47"/>
      <c r="M217" s="47"/>
      <c r="N217" s="47"/>
      <c r="O217" s="99">
        <f t="shared" si="33"/>
        <v>0</v>
      </c>
      <c r="P217" s="51"/>
      <c r="Q217" s="51"/>
      <c r="R217" s="100" t="str">
        <f t="shared" si="34"/>
        <v/>
      </c>
      <c r="S217" s="100" t="str">
        <f t="shared" si="35"/>
        <v/>
      </c>
      <c r="T217" s="101">
        <f t="shared" si="36"/>
        <v>0</v>
      </c>
      <c r="U217" s="52"/>
    </row>
    <row r="218" spans="1:21" x14ac:dyDescent="0.25">
      <c r="A218" s="46">
        <f t="shared" si="32"/>
        <v>207</v>
      </c>
      <c r="B218" s="47"/>
      <c r="C218" s="15"/>
      <c r="D218" s="15"/>
      <c r="E218" s="15"/>
      <c r="F218" s="15"/>
      <c r="G218" s="15"/>
      <c r="H218" s="49"/>
      <c r="I218" s="47"/>
      <c r="J218" s="47"/>
      <c r="K218" s="47"/>
      <c r="L218" s="47"/>
      <c r="M218" s="47"/>
      <c r="N218" s="47"/>
      <c r="O218" s="99">
        <f t="shared" si="33"/>
        <v>0</v>
      </c>
      <c r="P218" s="51"/>
      <c r="Q218" s="51"/>
      <c r="R218" s="100" t="str">
        <f t="shared" si="34"/>
        <v/>
      </c>
      <c r="S218" s="100" t="str">
        <f t="shared" si="35"/>
        <v/>
      </c>
      <c r="T218" s="101">
        <f t="shared" si="36"/>
        <v>0</v>
      </c>
      <c r="U218" s="52"/>
    </row>
    <row r="219" spans="1:21" x14ac:dyDescent="0.25">
      <c r="A219" s="46">
        <f t="shared" si="32"/>
        <v>208</v>
      </c>
      <c r="B219" s="47"/>
      <c r="C219" s="15"/>
      <c r="D219" s="15"/>
      <c r="E219" s="15"/>
      <c r="F219" s="15"/>
      <c r="G219" s="15"/>
      <c r="H219" s="49"/>
      <c r="I219" s="47"/>
      <c r="J219" s="47"/>
      <c r="K219" s="47"/>
      <c r="L219" s="47"/>
      <c r="M219" s="47"/>
      <c r="N219" s="47"/>
      <c r="O219" s="99">
        <f t="shared" si="33"/>
        <v>0</v>
      </c>
      <c r="P219" s="51"/>
      <c r="Q219" s="51"/>
      <c r="R219" s="100" t="str">
        <f t="shared" si="34"/>
        <v/>
      </c>
      <c r="S219" s="100" t="str">
        <f t="shared" si="35"/>
        <v/>
      </c>
      <c r="T219" s="101">
        <f t="shared" si="36"/>
        <v>0</v>
      </c>
      <c r="U219" s="52"/>
    </row>
    <row r="220" spans="1:21" x14ac:dyDescent="0.25">
      <c r="A220" s="46">
        <f t="shared" si="32"/>
        <v>209</v>
      </c>
      <c r="B220" s="47"/>
      <c r="C220" s="15"/>
      <c r="D220" s="15"/>
      <c r="E220" s="15"/>
      <c r="F220" s="15"/>
      <c r="G220" s="15"/>
      <c r="H220" s="49"/>
      <c r="I220" s="47"/>
      <c r="J220" s="47"/>
      <c r="K220" s="47"/>
      <c r="L220" s="47"/>
      <c r="M220" s="47"/>
      <c r="N220" s="47"/>
      <c r="O220" s="99">
        <f t="shared" si="33"/>
        <v>0</v>
      </c>
      <c r="P220" s="51"/>
      <c r="Q220" s="51"/>
      <c r="R220" s="100" t="str">
        <f t="shared" si="34"/>
        <v/>
      </c>
      <c r="S220" s="100" t="str">
        <f t="shared" si="35"/>
        <v/>
      </c>
      <c r="T220" s="101">
        <f t="shared" si="36"/>
        <v>0</v>
      </c>
      <c r="U220" s="52"/>
    </row>
    <row r="221" spans="1:21" x14ac:dyDescent="0.25">
      <c r="A221" s="46">
        <f t="shared" si="32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99">
        <f t="shared" si="33"/>
        <v>0</v>
      </c>
      <c r="P221" s="51"/>
      <c r="Q221" s="51"/>
      <c r="R221" s="100" t="str">
        <f t="shared" si="34"/>
        <v/>
      </c>
      <c r="S221" s="100" t="str">
        <f t="shared" si="35"/>
        <v/>
      </c>
      <c r="T221" s="101">
        <f t="shared" si="36"/>
        <v>0</v>
      </c>
      <c r="U221" s="52"/>
    </row>
    <row r="222" spans="1:21" x14ac:dyDescent="0.25">
      <c r="A222" s="46">
        <f t="shared" si="32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99">
        <f t="shared" si="33"/>
        <v>0</v>
      </c>
      <c r="P222" s="51"/>
      <c r="Q222" s="51"/>
      <c r="R222" s="100" t="str">
        <f t="shared" si="34"/>
        <v/>
      </c>
      <c r="S222" s="100" t="str">
        <f t="shared" si="35"/>
        <v/>
      </c>
      <c r="T222" s="101">
        <f t="shared" si="36"/>
        <v>0</v>
      </c>
      <c r="U222" s="52"/>
    </row>
    <row r="223" spans="1:21" x14ac:dyDescent="0.25">
      <c r="A223" s="46">
        <f t="shared" si="32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99">
        <f t="shared" si="33"/>
        <v>0</v>
      </c>
      <c r="P223" s="51"/>
      <c r="Q223" s="51"/>
      <c r="R223" s="100" t="str">
        <f t="shared" si="34"/>
        <v/>
      </c>
      <c r="S223" s="100" t="str">
        <f t="shared" si="35"/>
        <v/>
      </c>
      <c r="T223" s="101">
        <f t="shared" si="36"/>
        <v>0</v>
      </c>
      <c r="U223" s="52"/>
    </row>
    <row r="224" spans="1:21" x14ac:dyDescent="0.25">
      <c r="A224" s="46">
        <f t="shared" si="32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99">
        <f t="shared" si="33"/>
        <v>0</v>
      </c>
      <c r="P224" s="51"/>
      <c r="Q224" s="51"/>
      <c r="R224" s="100" t="str">
        <f t="shared" si="34"/>
        <v/>
      </c>
      <c r="S224" s="100" t="str">
        <f t="shared" si="35"/>
        <v/>
      </c>
      <c r="T224" s="101">
        <f t="shared" si="36"/>
        <v>0</v>
      </c>
      <c r="U224" s="52"/>
    </row>
    <row r="225" spans="1:21" x14ac:dyDescent="0.25">
      <c r="A225" s="46">
        <f t="shared" si="32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99">
        <f t="shared" si="33"/>
        <v>0</v>
      </c>
      <c r="P225" s="51"/>
      <c r="Q225" s="51"/>
      <c r="R225" s="100" t="str">
        <f t="shared" si="34"/>
        <v/>
      </c>
      <c r="S225" s="100" t="str">
        <f t="shared" si="35"/>
        <v/>
      </c>
      <c r="T225" s="101">
        <f t="shared" si="36"/>
        <v>0</v>
      </c>
      <c r="U225" s="52"/>
    </row>
    <row r="226" spans="1:21" x14ac:dyDescent="0.25">
      <c r="A226" s="46">
        <f t="shared" si="32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99">
        <f t="shared" si="33"/>
        <v>0</v>
      </c>
      <c r="P226" s="51"/>
      <c r="Q226" s="51"/>
      <c r="R226" s="100" t="str">
        <f t="shared" si="34"/>
        <v/>
      </c>
      <c r="S226" s="100" t="str">
        <f t="shared" si="35"/>
        <v/>
      </c>
      <c r="T226" s="101">
        <f t="shared" si="36"/>
        <v>0</v>
      </c>
      <c r="U226" s="52"/>
    </row>
    <row r="227" spans="1:21" x14ac:dyDescent="0.25">
      <c r="A227" s="46">
        <f t="shared" si="32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99">
        <f t="shared" si="33"/>
        <v>0</v>
      </c>
      <c r="P227" s="51"/>
      <c r="Q227" s="51"/>
      <c r="R227" s="100" t="str">
        <f t="shared" si="34"/>
        <v/>
      </c>
      <c r="S227" s="100" t="str">
        <f t="shared" si="35"/>
        <v/>
      </c>
      <c r="T227" s="101">
        <f t="shared" si="36"/>
        <v>0</v>
      </c>
      <c r="U227" s="52"/>
    </row>
    <row r="228" spans="1:21" x14ac:dyDescent="0.25">
      <c r="A228" s="46">
        <f t="shared" si="32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99">
        <f t="shared" si="33"/>
        <v>0</v>
      </c>
      <c r="P228" s="51"/>
      <c r="Q228" s="51"/>
      <c r="R228" s="100" t="str">
        <f t="shared" si="34"/>
        <v/>
      </c>
      <c r="S228" s="100" t="str">
        <f t="shared" si="35"/>
        <v/>
      </c>
      <c r="T228" s="101">
        <f t="shared" si="36"/>
        <v>0</v>
      </c>
      <c r="U228" s="52"/>
    </row>
    <row r="229" spans="1:21" x14ac:dyDescent="0.25">
      <c r="A229" s="46">
        <f t="shared" si="32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99">
        <f t="shared" si="33"/>
        <v>0</v>
      </c>
      <c r="P229" s="51"/>
      <c r="Q229" s="51"/>
      <c r="R229" s="100" t="str">
        <f t="shared" si="34"/>
        <v/>
      </c>
      <c r="S229" s="100" t="str">
        <f t="shared" si="35"/>
        <v/>
      </c>
      <c r="T229" s="101">
        <f t="shared" si="36"/>
        <v>0</v>
      </c>
      <c r="U229" s="52"/>
    </row>
    <row r="230" spans="1:21" x14ac:dyDescent="0.25">
      <c r="A230" s="46">
        <f t="shared" si="32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99">
        <f t="shared" si="33"/>
        <v>0</v>
      </c>
      <c r="P230" s="51"/>
      <c r="Q230" s="51"/>
      <c r="R230" s="100" t="str">
        <f t="shared" si="34"/>
        <v/>
      </c>
      <c r="S230" s="100" t="str">
        <f t="shared" si="35"/>
        <v/>
      </c>
      <c r="T230" s="101">
        <f t="shared" si="36"/>
        <v>0</v>
      </c>
      <c r="U230" s="52"/>
    </row>
    <row r="231" spans="1:21" x14ac:dyDescent="0.25">
      <c r="A231" s="46">
        <f t="shared" si="32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99">
        <f t="shared" si="33"/>
        <v>0</v>
      </c>
      <c r="P231" s="51"/>
      <c r="Q231" s="51"/>
      <c r="R231" s="100" t="str">
        <f t="shared" si="34"/>
        <v/>
      </c>
      <c r="S231" s="100" t="str">
        <f t="shared" si="35"/>
        <v/>
      </c>
      <c r="T231" s="101">
        <f t="shared" si="36"/>
        <v>0</v>
      </c>
      <c r="U231" s="52"/>
    </row>
    <row r="232" spans="1:21" x14ac:dyDescent="0.25">
      <c r="A232" s="46">
        <f t="shared" si="32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99">
        <f t="shared" si="33"/>
        <v>0</v>
      </c>
      <c r="P232" s="51"/>
      <c r="Q232" s="51"/>
      <c r="R232" s="100" t="str">
        <f t="shared" si="34"/>
        <v/>
      </c>
      <c r="S232" s="100" t="str">
        <f t="shared" si="35"/>
        <v/>
      </c>
      <c r="T232" s="101">
        <f t="shared" si="36"/>
        <v>0</v>
      </c>
      <c r="U232" s="52"/>
    </row>
    <row r="233" spans="1:21" x14ac:dyDescent="0.25">
      <c r="A233" s="46">
        <f t="shared" si="32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99">
        <f t="shared" si="33"/>
        <v>0</v>
      </c>
      <c r="P233" s="51"/>
      <c r="Q233" s="51"/>
      <c r="R233" s="100" t="str">
        <f t="shared" si="34"/>
        <v/>
      </c>
      <c r="S233" s="100" t="str">
        <f t="shared" si="35"/>
        <v/>
      </c>
      <c r="T233" s="101">
        <f t="shared" si="36"/>
        <v>0</v>
      </c>
      <c r="U233" s="52"/>
    </row>
    <row r="234" spans="1:21" x14ac:dyDescent="0.25">
      <c r="A234" s="46">
        <f t="shared" si="32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99">
        <f t="shared" si="33"/>
        <v>0</v>
      </c>
      <c r="P234" s="51"/>
      <c r="Q234" s="51"/>
      <c r="R234" s="100" t="str">
        <f t="shared" si="34"/>
        <v/>
      </c>
      <c r="S234" s="100" t="str">
        <f t="shared" si="35"/>
        <v/>
      </c>
      <c r="T234" s="101">
        <f t="shared" si="36"/>
        <v>0</v>
      </c>
      <c r="U234" s="52"/>
    </row>
    <row r="235" spans="1:21" x14ac:dyDescent="0.25">
      <c r="A235" s="46">
        <f t="shared" si="32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99">
        <f t="shared" si="33"/>
        <v>0</v>
      </c>
      <c r="P235" s="51"/>
      <c r="Q235" s="51"/>
      <c r="R235" s="100" t="str">
        <f t="shared" si="34"/>
        <v/>
      </c>
      <c r="S235" s="100" t="str">
        <f t="shared" si="35"/>
        <v/>
      </c>
      <c r="T235" s="101">
        <f t="shared" si="36"/>
        <v>0</v>
      </c>
      <c r="U235" s="52"/>
    </row>
    <row r="236" spans="1:21" x14ac:dyDescent="0.25">
      <c r="A236" s="46">
        <f t="shared" si="32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99">
        <f t="shared" si="33"/>
        <v>0</v>
      </c>
      <c r="P236" s="51"/>
      <c r="Q236" s="51"/>
      <c r="R236" s="100" t="str">
        <f t="shared" si="34"/>
        <v/>
      </c>
      <c r="S236" s="100" t="str">
        <f t="shared" si="35"/>
        <v/>
      </c>
      <c r="T236" s="101">
        <f t="shared" si="36"/>
        <v>0</v>
      </c>
      <c r="U236" s="52"/>
    </row>
    <row r="237" spans="1:21" x14ac:dyDescent="0.25">
      <c r="A237" s="46">
        <f t="shared" si="32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99">
        <f t="shared" si="33"/>
        <v>0</v>
      </c>
      <c r="P237" s="51"/>
      <c r="Q237" s="51"/>
      <c r="R237" s="100" t="str">
        <f t="shared" si="34"/>
        <v/>
      </c>
      <c r="S237" s="100" t="str">
        <f t="shared" si="35"/>
        <v/>
      </c>
      <c r="T237" s="101">
        <f t="shared" si="36"/>
        <v>0</v>
      </c>
      <c r="U237" s="52"/>
    </row>
    <row r="238" spans="1:21" x14ac:dyDescent="0.25">
      <c r="A238" s="46">
        <f t="shared" si="32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99">
        <f t="shared" si="33"/>
        <v>0</v>
      </c>
      <c r="P238" s="51"/>
      <c r="Q238" s="51"/>
      <c r="R238" s="100" t="str">
        <f t="shared" si="34"/>
        <v/>
      </c>
      <c r="S238" s="100" t="str">
        <f t="shared" si="35"/>
        <v/>
      </c>
      <c r="T238" s="101">
        <f t="shared" si="36"/>
        <v>0</v>
      </c>
      <c r="U238" s="52"/>
    </row>
    <row r="239" spans="1:21" x14ac:dyDescent="0.25">
      <c r="A239" s="46">
        <f t="shared" si="32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99">
        <f t="shared" si="33"/>
        <v>0</v>
      </c>
      <c r="P239" s="51"/>
      <c r="Q239" s="51"/>
      <c r="R239" s="100" t="str">
        <f t="shared" si="34"/>
        <v/>
      </c>
      <c r="S239" s="100" t="str">
        <f t="shared" si="35"/>
        <v/>
      </c>
      <c r="T239" s="101">
        <f t="shared" si="36"/>
        <v>0</v>
      </c>
      <c r="U239" s="52"/>
    </row>
    <row r="240" spans="1:21" x14ac:dyDescent="0.25">
      <c r="A240" s="46">
        <f t="shared" si="32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99">
        <f t="shared" si="33"/>
        <v>0</v>
      </c>
      <c r="P240" s="51"/>
      <c r="Q240" s="51"/>
      <c r="R240" s="100" t="str">
        <f t="shared" si="34"/>
        <v/>
      </c>
      <c r="S240" s="100" t="str">
        <f t="shared" si="35"/>
        <v/>
      </c>
      <c r="T240" s="101">
        <f t="shared" si="36"/>
        <v>0</v>
      </c>
      <c r="U240" s="52"/>
    </row>
    <row r="241" spans="1:21" x14ac:dyDescent="0.25">
      <c r="A241" s="46">
        <f t="shared" si="32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99">
        <f t="shared" si="33"/>
        <v>0</v>
      </c>
      <c r="P241" s="51"/>
      <c r="Q241" s="51"/>
      <c r="R241" s="100" t="str">
        <f t="shared" si="34"/>
        <v/>
      </c>
      <c r="S241" s="100" t="str">
        <f t="shared" si="35"/>
        <v/>
      </c>
      <c r="T241" s="101">
        <f t="shared" si="36"/>
        <v>0</v>
      </c>
      <c r="U241" s="52"/>
    </row>
    <row r="242" spans="1:21" x14ac:dyDescent="0.25">
      <c r="A242" s="46">
        <f t="shared" si="32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99">
        <f t="shared" si="33"/>
        <v>0</v>
      </c>
      <c r="P242" s="51"/>
      <c r="Q242" s="51"/>
      <c r="R242" s="100" t="str">
        <f t="shared" si="34"/>
        <v/>
      </c>
      <c r="S242" s="100" t="str">
        <f t="shared" si="35"/>
        <v/>
      </c>
      <c r="T242" s="101">
        <f t="shared" si="36"/>
        <v>0</v>
      </c>
      <c r="U242" s="52"/>
    </row>
    <row r="243" spans="1:21" x14ac:dyDescent="0.25">
      <c r="A243" s="46">
        <f t="shared" si="32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99">
        <f t="shared" si="33"/>
        <v>0</v>
      </c>
      <c r="P243" s="51"/>
      <c r="Q243" s="51"/>
      <c r="R243" s="100" t="str">
        <f t="shared" si="34"/>
        <v/>
      </c>
      <c r="S243" s="100" t="str">
        <f t="shared" si="35"/>
        <v/>
      </c>
      <c r="T243" s="101">
        <f t="shared" si="36"/>
        <v>0</v>
      </c>
      <c r="U243" s="52"/>
    </row>
    <row r="244" spans="1:21" x14ac:dyDescent="0.25">
      <c r="A244" s="46">
        <f t="shared" si="32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99">
        <f t="shared" si="33"/>
        <v>0</v>
      </c>
      <c r="P244" s="51"/>
      <c r="Q244" s="51"/>
      <c r="R244" s="100" t="str">
        <f t="shared" si="34"/>
        <v/>
      </c>
      <c r="S244" s="100" t="str">
        <f t="shared" si="35"/>
        <v/>
      </c>
      <c r="T244" s="101">
        <f t="shared" si="36"/>
        <v>0</v>
      </c>
      <c r="U244" s="52"/>
    </row>
    <row r="245" spans="1:21" x14ac:dyDescent="0.25">
      <c r="A245" s="46">
        <f t="shared" si="32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99">
        <f t="shared" si="33"/>
        <v>0</v>
      </c>
      <c r="P245" s="51"/>
      <c r="Q245" s="51"/>
      <c r="R245" s="100" t="str">
        <f t="shared" si="34"/>
        <v/>
      </c>
      <c r="S245" s="100" t="str">
        <f t="shared" si="35"/>
        <v/>
      </c>
      <c r="T245" s="101">
        <f t="shared" si="36"/>
        <v>0</v>
      </c>
      <c r="U245" s="52"/>
    </row>
    <row r="246" spans="1:21" x14ac:dyDescent="0.25">
      <c r="A246" s="46">
        <f t="shared" si="32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99">
        <f t="shared" si="33"/>
        <v>0</v>
      </c>
      <c r="P246" s="51"/>
      <c r="Q246" s="51"/>
      <c r="R246" s="100" t="str">
        <f t="shared" si="34"/>
        <v/>
      </c>
      <c r="S246" s="100" t="str">
        <f t="shared" si="35"/>
        <v/>
      </c>
      <c r="T246" s="101">
        <f t="shared" si="36"/>
        <v>0</v>
      </c>
      <c r="U246" s="52"/>
    </row>
    <row r="247" spans="1:21" x14ac:dyDescent="0.25">
      <c r="A247" s="46">
        <f t="shared" si="32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99">
        <f t="shared" si="33"/>
        <v>0</v>
      </c>
      <c r="P247" s="51"/>
      <c r="Q247" s="51"/>
      <c r="R247" s="100" t="str">
        <f t="shared" si="34"/>
        <v/>
      </c>
      <c r="S247" s="100" t="str">
        <f t="shared" si="35"/>
        <v/>
      </c>
      <c r="T247" s="101">
        <f t="shared" si="36"/>
        <v>0</v>
      </c>
      <c r="U247" s="52"/>
    </row>
    <row r="248" spans="1:21" x14ac:dyDescent="0.25">
      <c r="A248" s="46">
        <f t="shared" si="32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99">
        <f t="shared" si="33"/>
        <v>0</v>
      </c>
      <c r="P248" s="51"/>
      <c r="Q248" s="51"/>
      <c r="R248" s="100" t="str">
        <f t="shared" si="34"/>
        <v/>
      </c>
      <c r="S248" s="100" t="str">
        <f t="shared" si="35"/>
        <v/>
      </c>
      <c r="T248" s="101">
        <f t="shared" si="36"/>
        <v>0</v>
      </c>
      <c r="U248" s="52"/>
    </row>
    <row r="249" spans="1:21" x14ac:dyDescent="0.25">
      <c r="A249" s="46">
        <f t="shared" si="32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99">
        <f t="shared" si="33"/>
        <v>0</v>
      </c>
      <c r="P249" s="51"/>
      <c r="Q249" s="51"/>
      <c r="R249" s="100" t="str">
        <f t="shared" si="34"/>
        <v/>
      </c>
      <c r="S249" s="100" t="str">
        <f t="shared" si="35"/>
        <v/>
      </c>
      <c r="T249" s="101">
        <f t="shared" si="36"/>
        <v>0</v>
      </c>
      <c r="U249" s="52"/>
    </row>
    <row r="250" spans="1:21" x14ac:dyDescent="0.25">
      <c r="A250" s="46">
        <f t="shared" si="32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99">
        <f t="shared" si="33"/>
        <v>0</v>
      </c>
      <c r="P250" s="51"/>
      <c r="Q250" s="51"/>
      <c r="R250" s="100" t="str">
        <f t="shared" si="34"/>
        <v/>
      </c>
      <c r="S250" s="100" t="str">
        <f t="shared" si="35"/>
        <v/>
      </c>
      <c r="T250" s="101">
        <f t="shared" si="36"/>
        <v>0</v>
      </c>
      <c r="U250" s="52"/>
    </row>
    <row r="251" spans="1:21" x14ac:dyDescent="0.25">
      <c r="A251" s="46">
        <f t="shared" si="32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99">
        <f t="shared" si="33"/>
        <v>0</v>
      </c>
      <c r="P251" s="51"/>
      <c r="Q251" s="51"/>
      <c r="R251" s="100" t="str">
        <f t="shared" si="34"/>
        <v/>
      </c>
      <c r="S251" s="100" t="str">
        <f t="shared" si="35"/>
        <v/>
      </c>
      <c r="T251" s="101">
        <f t="shared" si="36"/>
        <v>0</v>
      </c>
      <c r="U251" s="52"/>
    </row>
    <row r="252" spans="1:21" x14ac:dyDescent="0.25">
      <c r="A252" s="46">
        <f t="shared" si="32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99">
        <f t="shared" si="33"/>
        <v>0</v>
      </c>
      <c r="P252" s="51"/>
      <c r="Q252" s="51"/>
      <c r="R252" s="100" t="str">
        <f t="shared" si="34"/>
        <v/>
      </c>
      <c r="S252" s="100" t="str">
        <f t="shared" si="35"/>
        <v/>
      </c>
      <c r="T252" s="101">
        <f t="shared" si="36"/>
        <v>0</v>
      </c>
      <c r="U252" s="52"/>
    </row>
    <row r="253" spans="1:21" x14ac:dyDescent="0.25">
      <c r="A253" s="46">
        <f t="shared" si="32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99">
        <f t="shared" si="33"/>
        <v>0</v>
      </c>
      <c r="P253" s="51"/>
      <c r="Q253" s="51"/>
      <c r="R253" s="100" t="str">
        <f t="shared" si="34"/>
        <v/>
      </c>
      <c r="S253" s="100" t="str">
        <f t="shared" si="35"/>
        <v/>
      </c>
      <c r="T253" s="101">
        <f t="shared" si="36"/>
        <v>0</v>
      </c>
      <c r="U253" s="52"/>
    </row>
    <row r="254" spans="1:21" x14ac:dyDescent="0.25">
      <c r="A254" s="46">
        <f t="shared" si="32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99">
        <f t="shared" si="33"/>
        <v>0</v>
      </c>
      <c r="P254" s="51"/>
      <c r="Q254" s="51"/>
      <c r="R254" s="100" t="str">
        <f t="shared" si="34"/>
        <v/>
      </c>
      <c r="S254" s="100" t="str">
        <f t="shared" si="35"/>
        <v/>
      </c>
      <c r="T254" s="101">
        <f t="shared" si="36"/>
        <v>0</v>
      </c>
      <c r="U254" s="52"/>
    </row>
    <row r="255" spans="1:21" x14ac:dyDescent="0.25">
      <c r="A255" s="46">
        <f t="shared" si="32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99">
        <f t="shared" si="33"/>
        <v>0</v>
      </c>
      <c r="P255" s="51"/>
      <c r="Q255" s="51"/>
      <c r="R255" s="100" t="str">
        <f t="shared" si="34"/>
        <v/>
      </c>
      <c r="S255" s="100" t="str">
        <f t="shared" si="35"/>
        <v/>
      </c>
      <c r="T255" s="101">
        <f t="shared" si="36"/>
        <v>0</v>
      </c>
      <c r="U255" s="52"/>
    </row>
    <row r="256" spans="1:21" x14ac:dyDescent="0.25">
      <c r="A256" s="46">
        <f t="shared" si="32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99">
        <f t="shared" si="33"/>
        <v>0</v>
      </c>
      <c r="P256" s="51"/>
      <c r="Q256" s="51"/>
      <c r="R256" s="100" t="str">
        <f t="shared" si="34"/>
        <v/>
      </c>
      <c r="S256" s="100" t="str">
        <f t="shared" si="35"/>
        <v/>
      </c>
      <c r="T256" s="101">
        <f t="shared" si="36"/>
        <v>0</v>
      </c>
      <c r="U256" s="52"/>
    </row>
    <row r="257" spans="1:21" x14ac:dyDescent="0.25">
      <c r="A257" s="46">
        <f t="shared" si="32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99">
        <f t="shared" si="33"/>
        <v>0</v>
      </c>
      <c r="P257" s="51"/>
      <c r="Q257" s="51"/>
      <c r="R257" s="100" t="str">
        <f t="shared" si="34"/>
        <v/>
      </c>
      <c r="S257" s="100" t="str">
        <f t="shared" si="35"/>
        <v/>
      </c>
      <c r="T257" s="101">
        <f t="shared" si="36"/>
        <v>0</v>
      </c>
      <c r="U257" s="52"/>
    </row>
    <row r="258" spans="1:21" x14ac:dyDescent="0.25">
      <c r="A258" s="46">
        <f t="shared" si="32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99">
        <f t="shared" si="33"/>
        <v>0</v>
      </c>
      <c r="P258" s="51"/>
      <c r="Q258" s="51"/>
      <c r="R258" s="100" t="str">
        <f t="shared" si="34"/>
        <v/>
      </c>
      <c r="S258" s="100" t="str">
        <f t="shared" si="35"/>
        <v/>
      </c>
      <c r="T258" s="101">
        <f t="shared" si="36"/>
        <v>0</v>
      </c>
      <c r="U258" s="52"/>
    </row>
    <row r="259" spans="1:21" x14ac:dyDescent="0.25">
      <c r="A259" s="46">
        <f t="shared" si="32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99">
        <f t="shared" si="33"/>
        <v>0</v>
      </c>
      <c r="P259" s="51"/>
      <c r="Q259" s="51"/>
      <c r="R259" s="100" t="str">
        <f t="shared" si="34"/>
        <v/>
      </c>
      <c r="S259" s="100" t="str">
        <f t="shared" si="35"/>
        <v/>
      </c>
      <c r="T259" s="101">
        <f t="shared" si="36"/>
        <v>0</v>
      </c>
      <c r="U259" s="52"/>
    </row>
    <row r="260" spans="1:21" x14ac:dyDescent="0.25">
      <c r="A260" s="46">
        <f t="shared" si="32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99">
        <f t="shared" si="33"/>
        <v>0</v>
      </c>
      <c r="P260" s="51"/>
      <c r="Q260" s="51"/>
      <c r="R260" s="100" t="str">
        <f t="shared" si="34"/>
        <v/>
      </c>
      <c r="S260" s="100" t="str">
        <f t="shared" si="35"/>
        <v/>
      </c>
      <c r="T260" s="101">
        <f t="shared" si="36"/>
        <v>0</v>
      </c>
      <c r="U260" s="52"/>
    </row>
    <row r="261" spans="1:21" x14ac:dyDescent="0.25">
      <c r="A261" s="46">
        <f t="shared" si="32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99">
        <f t="shared" si="33"/>
        <v>0</v>
      </c>
      <c r="P261" s="51"/>
      <c r="Q261" s="51"/>
      <c r="R261" s="100" t="str">
        <f t="shared" si="34"/>
        <v/>
      </c>
      <c r="S261" s="100" t="str">
        <f t="shared" si="35"/>
        <v/>
      </c>
      <c r="T261" s="101">
        <f t="shared" si="36"/>
        <v>0</v>
      </c>
      <c r="U261" s="52"/>
    </row>
    <row r="262" spans="1:21" x14ac:dyDescent="0.25">
      <c r="A262" s="46">
        <f t="shared" si="32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99">
        <f t="shared" si="33"/>
        <v>0</v>
      </c>
      <c r="P262" s="51"/>
      <c r="Q262" s="51"/>
      <c r="R262" s="100" t="str">
        <f t="shared" si="34"/>
        <v/>
      </c>
      <c r="S262" s="100" t="str">
        <f t="shared" si="35"/>
        <v/>
      </c>
      <c r="T262" s="101">
        <f t="shared" si="36"/>
        <v>0</v>
      </c>
      <c r="U262" s="52"/>
    </row>
    <row r="263" spans="1:21" x14ac:dyDescent="0.25">
      <c r="A263" s="46">
        <f t="shared" si="32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99">
        <f t="shared" si="33"/>
        <v>0</v>
      </c>
      <c r="P263" s="51"/>
      <c r="Q263" s="51"/>
      <c r="R263" s="100" t="str">
        <f t="shared" si="34"/>
        <v/>
      </c>
      <c r="S263" s="100" t="str">
        <f t="shared" si="35"/>
        <v/>
      </c>
      <c r="T263" s="101">
        <f t="shared" si="36"/>
        <v>0</v>
      </c>
      <c r="U263" s="52"/>
    </row>
    <row r="264" spans="1:21" x14ac:dyDescent="0.25">
      <c r="A264" s="46">
        <f t="shared" si="32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99">
        <f t="shared" si="33"/>
        <v>0</v>
      </c>
      <c r="P264" s="51"/>
      <c r="Q264" s="51"/>
      <c r="R264" s="100" t="str">
        <f t="shared" si="34"/>
        <v/>
      </c>
      <c r="S264" s="100" t="str">
        <f t="shared" si="35"/>
        <v/>
      </c>
      <c r="T264" s="101">
        <f t="shared" si="36"/>
        <v>0</v>
      </c>
      <c r="U264" s="52"/>
    </row>
    <row r="265" spans="1:21" x14ac:dyDescent="0.25">
      <c r="A265" s="46">
        <f t="shared" si="32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99">
        <f t="shared" si="33"/>
        <v>0</v>
      </c>
      <c r="P265" s="51"/>
      <c r="Q265" s="51"/>
      <c r="R265" s="100" t="str">
        <f t="shared" si="34"/>
        <v/>
      </c>
      <c r="S265" s="100" t="str">
        <f t="shared" si="35"/>
        <v/>
      </c>
      <c r="T265" s="101">
        <f t="shared" si="36"/>
        <v>0</v>
      </c>
      <c r="U265" s="52"/>
    </row>
    <row r="266" spans="1:21" x14ac:dyDescent="0.25">
      <c r="A266" s="46">
        <f t="shared" si="32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99">
        <f t="shared" si="33"/>
        <v>0</v>
      </c>
      <c r="P266" s="51"/>
      <c r="Q266" s="51"/>
      <c r="R266" s="100" t="str">
        <f t="shared" si="34"/>
        <v/>
      </c>
      <c r="S266" s="100" t="str">
        <f t="shared" si="35"/>
        <v/>
      </c>
      <c r="T266" s="101">
        <f t="shared" si="36"/>
        <v>0</v>
      </c>
      <c r="U266" s="52"/>
    </row>
    <row r="267" spans="1:21" x14ac:dyDescent="0.25">
      <c r="A267" s="46">
        <f t="shared" si="32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99">
        <f t="shared" si="33"/>
        <v>0</v>
      </c>
      <c r="P267" s="51"/>
      <c r="Q267" s="51"/>
      <c r="R267" s="100" t="str">
        <f t="shared" si="34"/>
        <v/>
      </c>
      <c r="S267" s="100" t="str">
        <f t="shared" si="35"/>
        <v/>
      </c>
      <c r="T267" s="101">
        <f t="shared" si="36"/>
        <v>0</v>
      </c>
      <c r="U267" s="52"/>
    </row>
    <row r="268" spans="1:21" x14ac:dyDescent="0.25">
      <c r="A268" s="46">
        <f t="shared" ref="A268:A331" si="37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99">
        <f t="shared" ref="O268:O331" si="38">T268*N268</f>
        <v>0</v>
      </c>
      <c r="P268" s="51"/>
      <c r="Q268" s="51"/>
      <c r="R268" s="100" t="str">
        <f t="shared" ref="R268:R331" si="39">IF(OR(P268="c",P268="C"),+T268,"")</f>
        <v/>
      </c>
      <c r="S268" s="100" t="str">
        <f t="shared" ref="S268:S331" si="40">IF(OR(P268="$",N268=1),+T268,"")</f>
        <v/>
      </c>
      <c r="T268" s="101">
        <f t="shared" ref="T268:T331" si="41">B268*FRegMainSetUpEntryFee + H268*FRegMainSetUpPool1Fee + I268*FRegMainSetUpPool2Fee + J268*FRegMainSetUpPool3Fee + K268*FRegMainSetUpPool4Fee</f>
        <v>0</v>
      </c>
      <c r="U268" s="52"/>
    </row>
    <row r="269" spans="1:21" x14ac:dyDescent="0.25">
      <c r="A269" s="46">
        <f t="shared" si="37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99">
        <f t="shared" si="38"/>
        <v>0</v>
      </c>
      <c r="P269" s="51"/>
      <c r="Q269" s="51"/>
      <c r="R269" s="100" t="str">
        <f t="shared" si="39"/>
        <v/>
      </c>
      <c r="S269" s="100" t="str">
        <f t="shared" si="40"/>
        <v/>
      </c>
      <c r="T269" s="101">
        <f t="shared" si="41"/>
        <v>0</v>
      </c>
      <c r="U269" s="52"/>
    </row>
    <row r="270" spans="1:21" x14ac:dyDescent="0.25">
      <c r="A270" s="46">
        <f t="shared" si="37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99">
        <f t="shared" si="38"/>
        <v>0</v>
      </c>
      <c r="P270" s="51"/>
      <c r="Q270" s="51"/>
      <c r="R270" s="100" t="str">
        <f t="shared" si="39"/>
        <v/>
      </c>
      <c r="S270" s="100" t="str">
        <f t="shared" si="40"/>
        <v/>
      </c>
      <c r="T270" s="101">
        <f t="shared" si="41"/>
        <v>0</v>
      </c>
      <c r="U270" s="52"/>
    </row>
    <row r="271" spans="1:21" x14ac:dyDescent="0.25">
      <c r="A271" s="46">
        <f t="shared" si="37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99">
        <f t="shared" si="38"/>
        <v>0</v>
      </c>
      <c r="P271" s="51"/>
      <c r="Q271" s="51"/>
      <c r="R271" s="100" t="str">
        <f t="shared" si="39"/>
        <v/>
      </c>
      <c r="S271" s="100" t="str">
        <f t="shared" si="40"/>
        <v/>
      </c>
      <c r="T271" s="101">
        <f t="shared" si="41"/>
        <v>0</v>
      </c>
      <c r="U271" s="52"/>
    </row>
    <row r="272" spans="1:21" x14ac:dyDescent="0.25">
      <c r="A272" s="46">
        <f t="shared" si="37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99">
        <f t="shared" si="38"/>
        <v>0</v>
      </c>
      <c r="P272" s="51"/>
      <c r="Q272" s="51"/>
      <c r="R272" s="100" t="str">
        <f t="shared" si="39"/>
        <v/>
      </c>
      <c r="S272" s="100" t="str">
        <f t="shared" si="40"/>
        <v/>
      </c>
      <c r="T272" s="101">
        <f t="shared" si="41"/>
        <v>0</v>
      </c>
      <c r="U272" s="52"/>
    </row>
    <row r="273" spans="1:21" x14ac:dyDescent="0.25">
      <c r="A273" s="46">
        <f t="shared" si="37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99">
        <f t="shared" si="38"/>
        <v>0</v>
      </c>
      <c r="P273" s="51"/>
      <c r="Q273" s="51"/>
      <c r="R273" s="100" t="str">
        <f t="shared" si="39"/>
        <v/>
      </c>
      <c r="S273" s="100" t="str">
        <f t="shared" si="40"/>
        <v/>
      </c>
      <c r="T273" s="101">
        <f t="shared" si="41"/>
        <v>0</v>
      </c>
      <c r="U273" s="52"/>
    </row>
    <row r="274" spans="1:21" x14ac:dyDescent="0.25">
      <c r="A274" s="46">
        <f t="shared" si="37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99">
        <f t="shared" si="38"/>
        <v>0</v>
      </c>
      <c r="P274" s="51"/>
      <c r="Q274" s="51"/>
      <c r="R274" s="100" t="str">
        <f t="shared" si="39"/>
        <v/>
      </c>
      <c r="S274" s="100" t="str">
        <f t="shared" si="40"/>
        <v/>
      </c>
      <c r="T274" s="101">
        <f t="shared" si="41"/>
        <v>0</v>
      </c>
      <c r="U274" s="52"/>
    </row>
    <row r="275" spans="1:21" x14ac:dyDescent="0.25">
      <c r="A275" s="46">
        <f t="shared" si="37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99">
        <f t="shared" si="38"/>
        <v>0</v>
      </c>
      <c r="P275" s="51"/>
      <c r="Q275" s="51"/>
      <c r="R275" s="100" t="str">
        <f t="shared" si="39"/>
        <v/>
      </c>
      <c r="S275" s="100" t="str">
        <f t="shared" si="40"/>
        <v/>
      </c>
      <c r="T275" s="101">
        <f t="shared" si="41"/>
        <v>0</v>
      </c>
      <c r="U275" s="52"/>
    </row>
    <row r="276" spans="1:21" x14ac:dyDescent="0.25">
      <c r="A276" s="46">
        <f t="shared" si="37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99">
        <f t="shared" si="38"/>
        <v>0</v>
      </c>
      <c r="P276" s="51"/>
      <c r="Q276" s="51"/>
      <c r="R276" s="100" t="str">
        <f t="shared" si="39"/>
        <v/>
      </c>
      <c r="S276" s="100" t="str">
        <f t="shared" si="40"/>
        <v/>
      </c>
      <c r="T276" s="101">
        <f t="shared" si="41"/>
        <v>0</v>
      </c>
      <c r="U276" s="52"/>
    </row>
    <row r="277" spans="1:21" x14ac:dyDescent="0.25">
      <c r="A277" s="46">
        <f t="shared" si="37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99">
        <f t="shared" si="38"/>
        <v>0</v>
      </c>
      <c r="P277" s="51"/>
      <c r="Q277" s="51"/>
      <c r="R277" s="100" t="str">
        <f t="shared" si="39"/>
        <v/>
      </c>
      <c r="S277" s="100" t="str">
        <f t="shared" si="40"/>
        <v/>
      </c>
      <c r="T277" s="101">
        <f t="shared" si="41"/>
        <v>0</v>
      </c>
      <c r="U277" s="52"/>
    </row>
    <row r="278" spans="1:21" x14ac:dyDescent="0.25">
      <c r="A278" s="46">
        <f t="shared" si="37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99">
        <f t="shared" si="38"/>
        <v>0</v>
      </c>
      <c r="P278" s="51"/>
      <c r="Q278" s="51"/>
      <c r="R278" s="100" t="str">
        <f t="shared" si="39"/>
        <v/>
      </c>
      <c r="S278" s="100" t="str">
        <f t="shared" si="40"/>
        <v/>
      </c>
      <c r="T278" s="101">
        <f t="shared" si="41"/>
        <v>0</v>
      </c>
      <c r="U278" s="52"/>
    </row>
    <row r="279" spans="1:21" x14ac:dyDescent="0.25">
      <c r="A279" s="46">
        <f t="shared" si="37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99">
        <f t="shared" si="38"/>
        <v>0</v>
      </c>
      <c r="P279" s="51"/>
      <c r="Q279" s="51"/>
      <c r="R279" s="100" t="str">
        <f t="shared" si="39"/>
        <v/>
      </c>
      <c r="S279" s="100" t="str">
        <f t="shared" si="40"/>
        <v/>
      </c>
      <c r="T279" s="101">
        <f t="shared" si="41"/>
        <v>0</v>
      </c>
      <c r="U279" s="52"/>
    </row>
    <row r="280" spans="1:21" x14ac:dyDescent="0.25">
      <c r="A280" s="46">
        <f t="shared" si="37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99">
        <f t="shared" si="38"/>
        <v>0</v>
      </c>
      <c r="P280" s="51"/>
      <c r="Q280" s="51"/>
      <c r="R280" s="100" t="str">
        <f t="shared" si="39"/>
        <v/>
      </c>
      <c r="S280" s="100" t="str">
        <f t="shared" si="40"/>
        <v/>
      </c>
      <c r="T280" s="101">
        <f t="shared" si="41"/>
        <v>0</v>
      </c>
      <c r="U280" s="52"/>
    </row>
    <row r="281" spans="1:21" x14ac:dyDescent="0.25">
      <c r="A281" s="46">
        <f t="shared" si="37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99">
        <f t="shared" si="38"/>
        <v>0</v>
      </c>
      <c r="P281" s="51"/>
      <c r="Q281" s="51"/>
      <c r="R281" s="100" t="str">
        <f t="shared" si="39"/>
        <v/>
      </c>
      <c r="S281" s="100" t="str">
        <f t="shared" si="40"/>
        <v/>
      </c>
      <c r="T281" s="101">
        <f t="shared" si="41"/>
        <v>0</v>
      </c>
      <c r="U281" s="52"/>
    </row>
    <row r="282" spans="1:21" x14ac:dyDescent="0.25">
      <c r="A282" s="46">
        <f t="shared" si="37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99">
        <f t="shared" si="38"/>
        <v>0</v>
      </c>
      <c r="P282" s="51"/>
      <c r="Q282" s="51"/>
      <c r="R282" s="100" t="str">
        <f t="shared" si="39"/>
        <v/>
      </c>
      <c r="S282" s="100" t="str">
        <f t="shared" si="40"/>
        <v/>
      </c>
      <c r="T282" s="101">
        <f t="shared" si="41"/>
        <v>0</v>
      </c>
      <c r="U282" s="52"/>
    </row>
    <row r="283" spans="1:21" x14ac:dyDescent="0.25">
      <c r="A283" s="46">
        <f t="shared" si="37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99">
        <f t="shared" si="38"/>
        <v>0</v>
      </c>
      <c r="P283" s="51"/>
      <c r="Q283" s="51"/>
      <c r="R283" s="100" t="str">
        <f t="shared" si="39"/>
        <v/>
      </c>
      <c r="S283" s="100" t="str">
        <f t="shared" si="40"/>
        <v/>
      </c>
      <c r="T283" s="101">
        <f t="shared" si="41"/>
        <v>0</v>
      </c>
      <c r="U283" s="52"/>
    </row>
    <row r="284" spans="1:21" x14ac:dyDescent="0.25">
      <c r="A284" s="46">
        <f t="shared" si="37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99">
        <f t="shared" si="38"/>
        <v>0</v>
      </c>
      <c r="P284" s="51"/>
      <c r="Q284" s="51"/>
      <c r="R284" s="100" t="str">
        <f t="shared" si="39"/>
        <v/>
      </c>
      <c r="S284" s="100" t="str">
        <f t="shared" si="40"/>
        <v/>
      </c>
      <c r="T284" s="101">
        <f t="shared" si="41"/>
        <v>0</v>
      </c>
      <c r="U284" s="52"/>
    </row>
    <row r="285" spans="1:21" x14ac:dyDescent="0.25">
      <c r="A285" s="46">
        <f t="shared" si="37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99">
        <f t="shared" si="38"/>
        <v>0</v>
      </c>
      <c r="P285" s="51"/>
      <c r="Q285" s="51"/>
      <c r="R285" s="100" t="str">
        <f t="shared" si="39"/>
        <v/>
      </c>
      <c r="S285" s="100" t="str">
        <f t="shared" si="40"/>
        <v/>
      </c>
      <c r="T285" s="101">
        <f t="shared" si="41"/>
        <v>0</v>
      </c>
      <c r="U285" s="52"/>
    </row>
    <row r="286" spans="1:21" x14ac:dyDescent="0.25">
      <c r="A286" s="46">
        <f t="shared" si="37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99">
        <f t="shared" si="38"/>
        <v>0</v>
      </c>
      <c r="P286" s="51"/>
      <c r="Q286" s="51"/>
      <c r="R286" s="100" t="str">
        <f t="shared" si="39"/>
        <v/>
      </c>
      <c r="S286" s="100" t="str">
        <f t="shared" si="40"/>
        <v/>
      </c>
      <c r="T286" s="101">
        <f t="shared" si="41"/>
        <v>0</v>
      </c>
      <c r="U286" s="52"/>
    </row>
    <row r="287" spans="1:21" x14ac:dyDescent="0.25">
      <c r="A287" s="46">
        <f t="shared" si="37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99">
        <f t="shared" si="38"/>
        <v>0</v>
      </c>
      <c r="P287" s="51"/>
      <c r="Q287" s="51"/>
      <c r="R287" s="100" t="str">
        <f t="shared" si="39"/>
        <v/>
      </c>
      <c r="S287" s="100" t="str">
        <f t="shared" si="40"/>
        <v/>
      </c>
      <c r="T287" s="101">
        <f t="shared" si="41"/>
        <v>0</v>
      </c>
      <c r="U287" s="52"/>
    </row>
    <row r="288" spans="1:21" x14ac:dyDescent="0.25">
      <c r="A288" s="46">
        <f t="shared" si="37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99">
        <f t="shared" si="38"/>
        <v>0</v>
      </c>
      <c r="P288" s="51"/>
      <c r="Q288" s="51"/>
      <c r="R288" s="100" t="str">
        <f t="shared" si="39"/>
        <v/>
      </c>
      <c r="S288" s="100" t="str">
        <f t="shared" si="40"/>
        <v/>
      </c>
      <c r="T288" s="101">
        <f t="shared" si="41"/>
        <v>0</v>
      </c>
      <c r="U288" s="52"/>
    </row>
    <row r="289" spans="1:21" x14ac:dyDescent="0.25">
      <c r="A289" s="46">
        <f t="shared" si="37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99">
        <f t="shared" si="38"/>
        <v>0</v>
      </c>
      <c r="P289" s="51"/>
      <c r="Q289" s="51"/>
      <c r="R289" s="100" t="str">
        <f t="shared" si="39"/>
        <v/>
      </c>
      <c r="S289" s="100" t="str">
        <f t="shared" si="40"/>
        <v/>
      </c>
      <c r="T289" s="101">
        <f t="shared" si="41"/>
        <v>0</v>
      </c>
      <c r="U289" s="52"/>
    </row>
    <row r="290" spans="1:21" x14ac:dyDescent="0.25">
      <c r="A290" s="46">
        <f t="shared" si="37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99">
        <f t="shared" si="38"/>
        <v>0</v>
      </c>
      <c r="P290" s="51"/>
      <c r="Q290" s="51"/>
      <c r="R290" s="100" t="str">
        <f t="shared" si="39"/>
        <v/>
      </c>
      <c r="S290" s="100" t="str">
        <f t="shared" si="40"/>
        <v/>
      </c>
      <c r="T290" s="101">
        <f t="shared" si="41"/>
        <v>0</v>
      </c>
      <c r="U290" s="52"/>
    </row>
    <row r="291" spans="1:21" x14ac:dyDescent="0.25">
      <c r="A291" s="46">
        <f t="shared" si="37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99">
        <f t="shared" si="38"/>
        <v>0</v>
      </c>
      <c r="P291" s="51"/>
      <c r="Q291" s="51"/>
      <c r="R291" s="100" t="str">
        <f t="shared" si="39"/>
        <v/>
      </c>
      <c r="S291" s="100" t="str">
        <f t="shared" si="40"/>
        <v/>
      </c>
      <c r="T291" s="101">
        <f t="shared" si="41"/>
        <v>0</v>
      </c>
      <c r="U291" s="52"/>
    </row>
    <row r="292" spans="1:21" x14ac:dyDescent="0.25">
      <c r="A292" s="46">
        <f t="shared" si="37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99">
        <f t="shared" si="38"/>
        <v>0</v>
      </c>
      <c r="P292" s="51"/>
      <c r="Q292" s="51"/>
      <c r="R292" s="100" t="str">
        <f t="shared" si="39"/>
        <v/>
      </c>
      <c r="S292" s="100" t="str">
        <f t="shared" si="40"/>
        <v/>
      </c>
      <c r="T292" s="101">
        <f t="shared" si="41"/>
        <v>0</v>
      </c>
      <c r="U292" s="52"/>
    </row>
    <row r="293" spans="1:21" x14ac:dyDescent="0.25">
      <c r="A293" s="46">
        <f t="shared" si="37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99">
        <f t="shared" si="38"/>
        <v>0</v>
      </c>
      <c r="P293" s="51"/>
      <c r="Q293" s="51"/>
      <c r="R293" s="100" t="str">
        <f t="shared" si="39"/>
        <v/>
      </c>
      <c r="S293" s="100" t="str">
        <f t="shared" si="40"/>
        <v/>
      </c>
      <c r="T293" s="101">
        <f t="shared" si="41"/>
        <v>0</v>
      </c>
      <c r="U293" s="52"/>
    </row>
    <row r="294" spans="1:21" x14ac:dyDescent="0.25">
      <c r="A294" s="46">
        <f t="shared" si="37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99">
        <f t="shared" si="38"/>
        <v>0</v>
      </c>
      <c r="P294" s="51"/>
      <c r="Q294" s="51"/>
      <c r="R294" s="100" t="str">
        <f t="shared" si="39"/>
        <v/>
      </c>
      <c r="S294" s="100" t="str">
        <f t="shared" si="40"/>
        <v/>
      </c>
      <c r="T294" s="101">
        <f t="shared" si="41"/>
        <v>0</v>
      </c>
      <c r="U294" s="52"/>
    </row>
    <row r="295" spans="1:21" x14ac:dyDescent="0.25">
      <c r="A295" s="46">
        <f t="shared" si="37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99">
        <f t="shared" si="38"/>
        <v>0</v>
      </c>
      <c r="P295" s="51"/>
      <c r="Q295" s="51"/>
      <c r="R295" s="100" t="str">
        <f t="shared" si="39"/>
        <v/>
      </c>
      <c r="S295" s="100" t="str">
        <f t="shared" si="40"/>
        <v/>
      </c>
      <c r="T295" s="101">
        <f t="shared" si="41"/>
        <v>0</v>
      </c>
      <c r="U295" s="52"/>
    </row>
    <row r="296" spans="1:21" x14ac:dyDescent="0.25">
      <c r="A296" s="46">
        <f t="shared" si="37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99">
        <f t="shared" si="38"/>
        <v>0</v>
      </c>
      <c r="P296" s="51"/>
      <c r="Q296" s="51"/>
      <c r="R296" s="100" t="str">
        <f t="shared" si="39"/>
        <v/>
      </c>
      <c r="S296" s="100" t="str">
        <f t="shared" si="40"/>
        <v/>
      </c>
      <c r="T296" s="101">
        <f t="shared" si="41"/>
        <v>0</v>
      </c>
      <c r="U296" s="52"/>
    </row>
    <row r="297" spans="1:21" x14ac:dyDescent="0.25">
      <c r="A297" s="46">
        <f t="shared" si="37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99">
        <f t="shared" si="38"/>
        <v>0</v>
      </c>
      <c r="P297" s="51"/>
      <c r="Q297" s="51"/>
      <c r="R297" s="100" t="str">
        <f t="shared" si="39"/>
        <v/>
      </c>
      <c r="S297" s="100" t="str">
        <f t="shared" si="40"/>
        <v/>
      </c>
      <c r="T297" s="101">
        <f t="shared" si="41"/>
        <v>0</v>
      </c>
      <c r="U297" s="52"/>
    </row>
    <row r="298" spans="1:21" x14ac:dyDescent="0.25">
      <c r="A298" s="46">
        <f t="shared" si="37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99">
        <f t="shared" si="38"/>
        <v>0</v>
      </c>
      <c r="P298" s="51"/>
      <c r="Q298" s="51"/>
      <c r="R298" s="100" t="str">
        <f t="shared" si="39"/>
        <v/>
      </c>
      <c r="S298" s="100" t="str">
        <f t="shared" si="40"/>
        <v/>
      </c>
      <c r="T298" s="101">
        <f t="shared" si="41"/>
        <v>0</v>
      </c>
      <c r="U298" s="52"/>
    </row>
    <row r="299" spans="1:21" x14ac:dyDescent="0.25">
      <c r="A299" s="46">
        <f t="shared" si="37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99">
        <f t="shared" si="38"/>
        <v>0</v>
      </c>
      <c r="P299" s="51"/>
      <c r="Q299" s="51"/>
      <c r="R299" s="100" t="str">
        <f t="shared" si="39"/>
        <v/>
      </c>
      <c r="S299" s="100" t="str">
        <f t="shared" si="40"/>
        <v/>
      </c>
      <c r="T299" s="101">
        <f t="shared" si="41"/>
        <v>0</v>
      </c>
      <c r="U299" s="52"/>
    </row>
    <row r="300" spans="1:21" x14ac:dyDescent="0.25">
      <c r="A300" s="46">
        <f t="shared" si="37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99">
        <f t="shared" si="38"/>
        <v>0</v>
      </c>
      <c r="P300" s="51"/>
      <c r="Q300" s="51"/>
      <c r="R300" s="100" t="str">
        <f t="shared" si="39"/>
        <v/>
      </c>
      <c r="S300" s="100" t="str">
        <f t="shared" si="40"/>
        <v/>
      </c>
      <c r="T300" s="101">
        <f t="shared" si="41"/>
        <v>0</v>
      </c>
      <c r="U300" s="52"/>
    </row>
    <row r="301" spans="1:21" x14ac:dyDescent="0.25">
      <c r="A301" s="46">
        <f t="shared" si="37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99">
        <f t="shared" si="38"/>
        <v>0</v>
      </c>
      <c r="P301" s="51"/>
      <c r="Q301" s="51"/>
      <c r="R301" s="100" t="str">
        <f t="shared" si="39"/>
        <v/>
      </c>
      <c r="S301" s="100" t="str">
        <f t="shared" si="40"/>
        <v/>
      </c>
      <c r="T301" s="101">
        <f t="shared" si="41"/>
        <v>0</v>
      </c>
      <c r="U301" s="52"/>
    </row>
    <row r="302" spans="1:21" x14ac:dyDescent="0.25">
      <c r="A302" s="46">
        <f t="shared" si="37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99">
        <f t="shared" si="38"/>
        <v>0</v>
      </c>
      <c r="P302" s="51"/>
      <c r="Q302" s="51"/>
      <c r="R302" s="100" t="str">
        <f t="shared" si="39"/>
        <v/>
      </c>
      <c r="S302" s="100" t="str">
        <f t="shared" si="40"/>
        <v/>
      </c>
      <c r="T302" s="101">
        <f t="shared" si="41"/>
        <v>0</v>
      </c>
      <c r="U302" s="52"/>
    </row>
    <row r="303" spans="1:21" x14ac:dyDescent="0.25">
      <c r="A303" s="46">
        <f t="shared" si="37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99">
        <f t="shared" si="38"/>
        <v>0</v>
      </c>
      <c r="P303" s="51"/>
      <c r="Q303" s="51"/>
      <c r="R303" s="100" t="str">
        <f t="shared" si="39"/>
        <v/>
      </c>
      <c r="S303" s="100" t="str">
        <f t="shared" si="40"/>
        <v/>
      </c>
      <c r="T303" s="101">
        <f t="shared" si="41"/>
        <v>0</v>
      </c>
      <c r="U303" s="52"/>
    </row>
    <row r="304" spans="1:21" x14ac:dyDescent="0.25">
      <c r="A304" s="46">
        <f t="shared" si="37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99">
        <f t="shared" si="38"/>
        <v>0</v>
      </c>
      <c r="P304" s="51"/>
      <c r="Q304" s="51"/>
      <c r="R304" s="100" t="str">
        <f t="shared" si="39"/>
        <v/>
      </c>
      <c r="S304" s="100" t="str">
        <f t="shared" si="40"/>
        <v/>
      </c>
      <c r="T304" s="101">
        <f t="shared" si="41"/>
        <v>0</v>
      </c>
      <c r="U304" s="52"/>
    </row>
    <row r="305" spans="1:21" x14ac:dyDescent="0.25">
      <c r="A305" s="46">
        <f t="shared" si="37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99">
        <f t="shared" si="38"/>
        <v>0</v>
      </c>
      <c r="P305" s="51"/>
      <c r="Q305" s="51"/>
      <c r="R305" s="100" t="str">
        <f t="shared" si="39"/>
        <v/>
      </c>
      <c r="S305" s="100" t="str">
        <f t="shared" si="40"/>
        <v/>
      </c>
      <c r="T305" s="101">
        <f t="shared" si="41"/>
        <v>0</v>
      </c>
      <c r="U305" s="52"/>
    </row>
    <row r="306" spans="1:21" x14ac:dyDescent="0.25">
      <c r="A306" s="46">
        <f t="shared" si="37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99">
        <f t="shared" si="38"/>
        <v>0</v>
      </c>
      <c r="P306" s="51"/>
      <c r="Q306" s="51"/>
      <c r="R306" s="100" t="str">
        <f t="shared" si="39"/>
        <v/>
      </c>
      <c r="S306" s="100" t="str">
        <f t="shared" si="40"/>
        <v/>
      </c>
      <c r="T306" s="101">
        <f t="shared" si="41"/>
        <v>0</v>
      </c>
      <c r="U306" s="52"/>
    </row>
    <row r="307" spans="1:21" x14ac:dyDescent="0.25">
      <c r="A307" s="46">
        <f t="shared" si="37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99">
        <f t="shared" si="38"/>
        <v>0</v>
      </c>
      <c r="P307" s="51"/>
      <c r="Q307" s="51"/>
      <c r="R307" s="100" t="str">
        <f t="shared" si="39"/>
        <v/>
      </c>
      <c r="S307" s="100" t="str">
        <f t="shared" si="40"/>
        <v/>
      </c>
      <c r="T307" s="101">
        <f t="shared" si="41"/>
        <v>0</v>
      </c>
      <c r="U307" s="52"/>
    </row>
    <row r="308" spans="1:21" x14ac:dyDescent="0.25">
      <c r="A308" s="46">
        <f t="shared" si="37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99">
        <f t="shared" si="38"/>
        <v>0</v>
      </c>
      <c r="P308" s="51"/>
      <c r="Q308" s="51"/>
      <c r="R308" s="100" t="str">
        <f t="shared" si="39"/>
        <v/>
      </c>
      <c r="S308" s="100" t="str">
        <f t="shared" si="40"/>
        <v/>
      </c>
      <c r="T308" s="101">
        <f t="shared" si="41"/>
        <v>0</v>
      </c>
      <c r="U308" s="52"/>
    </row>
    <row r="309" spans="1:21" x14ac:dyDescent="0.25">
      <c r="A309" s="46">
        <f t="shared" si="37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99">
        <f t="shared" si="38"/>
        <v>0</v>
      </c>
      <c r="P309" s="51"/>
      <c r="Q309" s="51"/>
      <c r="R309" s="100" t="str">
        <f t="shared" si="39"/>
        <v/>
      </c>
      <c r="S309" s="100" t="str">
        <f t="shared" si="40"/>
        <v/>
      </c>
      <c r="T309" s="101">
        <f t="shared" si="41"/>
        <v>0</v>
      </c>
      <c r="U309" s="52"/>
    </row>
    <row r="310" spans="1:21" x14ac:dyDescent="0.25">
      <c r="A310" s="46">
        <f t="shared" si="37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99">
        <f t="shared" si="38"/>
        <v>0</v>
      </c>
      <c r="P310" s="51"/>
      <c r="Q310" s="51"/>
      <c r="R310" s="100" t="str">
        <f t="shared" si="39"/>
        <v/>
      </c>
      <c r="S310" s="100" t="str">
        <f t="shared" si="40"/>
        <v/>
      </c>
      <c r="T310" s="101">
        <f t="shared" si="41"/>
        <v>0</v>
      </c>
      <c r="U310" s="52"/>
    </row>
    <row r="311" spans="1:21" x14ac:dyDescent="0.25">
      <c r="A311" s="46">
        <f t="shared" si="37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99">
        <f t="shared" si="38"/>
        <v>0</v>
      </c>
      <c r="P311" s="51"/>
      <c r="Q311" s="51"/>
      <c r="R311" s="100" t="str">
        <f t="shared" si="39"/>
        <v/>
      </c>
      <c r="S311" s="100" t="str">
        <f t="shared" si="40"/>
        <v/>
      </c>
      <c r="T311" s="101">
        <f t="shared" si="41"/>
        <v>0</v>
      </c>
      <c r="U311" s="52"/>
    </row>
    <row r="312" spans="1:21" x14ac:dyDescent="0.25">
      <c r="A312" s="46">
        <f t="shared" si="37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99">
        <f t="shared" si="38"/>
        <v>0</v>
      </c>
      <c r="P312" s="51"/>
      <c r="Q312" s="51"/>
      <c r="R312" s="100" t="str">
        <f t="shared" si="39"/>
        <v/>
      </c>
      <c r="S312" s="100" t="str">
        <f t="shared" si="40"/>
        <v/>
      </c>
      <c r="T312" s="101">
        <f t="shared" si="41"/>
        <v>0</v>
      </c>
      <c r="U312" s="52"/>
    </row>
    <row r="313" spans="1:21" x14ac:dyDescent="0.25">
      <c r="A313" s="46">
        <f t="shared" si="37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99">
        <f t="shared" si="38"/>
        <v>0</v>
      </c>
      <c r="P313" s="51"/>
      <c r="Q313" s="51"/>
      <c r="R313" s="100" t="str">
        <f t="shared" si="39"/>
        <v/>
      </c>
      <c r="S313" s="100" t="str">
        <f t="shared" si="40"/>
        <v/>
      </c>
      <c r="T313" s="101">
        <f t="shared" si="41"/>
        <v>0</v>
      </c>
      <c r="U313" s="52"/>
    </row>
    <row r="314" spans="1:21" x14ac:dyDescent="0.25">
      <c r="A314" s="46">
        <f t="shared" si="37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99">
        <f t="shared" si="38"/>
        <v>0</v>
      </c>
      <c r="P314" s="51"/>
      <c r="Q314" s="51"/>
      <c r="R314" s="100" t="str">
        <f t="shared" si="39"/>
        <v/>
      </c>
      <c r="S314" s="100" t="str">
        <f t="shared" si="40"/>
        <v/>
      </c>
      <c r="T314" s="101">
        <f t="shared" si="41"/>
        <v>0</v>
      </c>
      <c r="U314" s="52"/>
    </row>
    <row r="315" spans="1:21" x14ac:dyDescent="0.25">
      <c r="A315" s="46">
        <f t="shared" si="37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99">
        <f t="shared" si="38"/>
        <v>0</v>
      </c>
      <c r="P315" s="51"/>
      <c r="Q315" s="51"/>
      <c r="R315" s="100" t="str">
        <f t="shared" si="39"/>
        <v/>
      </c>
      <c r="S315" s="100" t="str">
        <f t="shared" si="40"/>
        <v/>
      </c>
      <c r="T315" s="101">
        <f t="shared" si="41"/>
        <v>0</v>
      </c>
      <c r="U315" s="52"/>
    </row>
    <row r="316" spans="1:21" x14ac:dyDescent="0.25">
      <c r="A316" s="46">
        <f t="shared" si="37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99">
        <f t="shared" si="38"/>
        <v>0</v>
      </c>
      <c r="P316" s="51"/>
      <c r="Q316" s="51"/>
      <c r="R316" s="100" t="str">
        <f t="shared" si="39"/>
        <v/>
      </c>
      <c r="S316" s="100" t="str">
        <f t="shared" si="40"/>
        <v/>
      </c>
      <c r="T316" s="101">
        <f t="shared" si="41"/>
        <v>0</v>
      </c>
      <c r="U316" s="52"/>
    </row>
    <row r="317" spans="1:21" x14ac:dyDescent="0.25">
      <c r="A317" s="46">
        <f t="shared" si="37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99">
        <f t="shared" si="38"/>
        <v>0</v>
      </c>
      <c r="P317" s="51"/>
      <c r="Q317" s="51"/>
      <c r="R317" s="100" t="str">
        <f t="shared" si="39"/>
        <v/>
      </c>
      <c r="S317" s="100" t="str">
        <f t="shared" si="40"/>
        <v/>
      </c>
      <c r="T317" s="101">
        <f t="shared" si="41"/>
        <v>0</v>
      </c>
      <c r="U317" s="52"/>
    </row>
    <row r="318" spans="1:21" x14ac:dyDescent="0.25">
      <c r="A318" s="46">
        <f t="shared" si="37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99">
        <f t="shared" si="38"/>
        <v>0</v>
      </c>
      <c r="P318" s="51"/>
      <c r="Q318" s="51"/>
      <c r="R318" s="100" t="str">
        <f t="shared" si="39"/>
        <v/>
      </c>
      <c r="S318" s="100" t="str">
        <f t="shared" si="40"/>
        <v/>
      </c>
      <c r="T318" s="101">
        <f t="shared" si="41"/>
        <v>0</v>
      </c>
      <c r="U318" s="52"/>
    </row>
    <row r="319" spans="1:21" x14ac:dyDescent="0.25">
      <c r="A319" s="46">
        <f t="shared" si="37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99">
        <f t="shared" si="38"/>
        <v>0</v>
      </c>
      <c r="P319" s="51"/>
      <c r="Q319" s="51"/>
      <c r="R319" s="100" t="str">
        <f t="shared" si="39"/>
        <v/>
      </c>
      <c r="S319" s="100" t="str">
        <f t="shared" si="40"/>
        <v/>
      </c>
      <c r="T319" s="101">
        <f t="shared" si="41"/>
        <v>0</v>
      </c>
      <c r="U319" s="52"/>
    </row>
    <row r="320" spans="1:21" x14ac:dyDescent="0.25">
      <c r="A320" s="46">
        <f t="shared" si="37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99">
        <f t="shared" si="38"/>
        <v>0</v>
      </c>
      <c r="P320" s="51"/>
      <c r="Q320" s="51"/>
      <c r="R320" s="100" t="str">
        <f t="shared" si="39"/>
        <v/>
      </c>
      <c r="S320" s="100" t="str">
        <f t="shared" si="40"/>
        <v/>
      </c>
      <c r="T320" s="101">
        <f t="shared" si="41"/>
        <v>0</v>
      </c>
      <c r="U320" s="52"/>
    </row>
    <row r="321" spans="1:21" x14ac:dyDescent="0.25">
      <c r="A321" s="46">
        <f t="shared" si="37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99">
        <f t="shared" si="38"/>
        <v>0</v>
      </c>
      <c r="P321" s="51"/>
      <c r="Q321" s="51"/>
      <c r="R321" s="100" t="str">
        <f t="shared" si="39"/>
        <v/>
      </c>
      <c r="S321" s="100" t="str">
        <f t="shared" si="40"/>
        <v/>
      </c>
      <c r="T321" s="101">
        <f t="shared" si="41"/>
        <v>0</v>
      </c>
      <c r="U321" s="52"/>
    </row>
    <row r="322" spans="1:21" x14ac:dyDescent="0.25">
      <c r="A322" s="46">
        <f t="shared" si="37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99">
        <f t="shared" si="38"/>
        <v>0</v>
      </c>
      <c r="P322" s="51"/>
      <c r="Q322" s="51"/>
      <c r="R322" s="100" t="str">
        <f t="shared" si="39"/>
        <v/>
      </c>
      <c r="S322" s="100" t="str">
        <f t="shared" si="40"/>
        <v/>
      </c>
      <c r="T322" s="101">
        <f t="shared" si="41"/>
        <v>0</v>
      </c>
      <c r="U322" s="52"/>
    </row>
    <row r="323" spans="1:21" x14ac:dyDescent="0.25">
      <c r="A323" s="46">
        <f t="shared" si="37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99">
        <f t="shared" si="38"/>
        <v>0</v>
      </c>
      <c r="P323" s="51"/>
      <c r="Q323" s="51"/>
      <c r="R323" s="100" t="str">
        <f t="shared" si="39"/>
        <v/>
      </c>
      <c r="S323" s="100" t="str">
        <f t="shared" si="40"/>
        <v/>
      </c>
      <c r="T323" s="101">
        <f t="shared" si="41"/>
        <v>0</v>
      </c>
      <c r="U323" s="52"/>
    </row>
    <row r="324" spans="1:21" x14ac:dyDescent="0.25">
      <c r="A324" s="46">
        <f t="shared" si="37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99">
        <f t="shared" si="38"/>
        <v>0</v>
      </c>
      <c r="P324" s="51"/>
      <c r="Q324" s="51"/>
      <c r="R324" s="100" t="str">
        <f t="shared" si="39"/>
        <v/>
      </c>
      <c r="S324" s="100" t="str">
        <f t="shared" si="40"/>
        <v/>
      </c>
      <c r="T324" s="101">
        <f t="shared" si="41"/>
        <v>0</v>
      </c>
      <c r="U324" s="52"/>
    </row>
    <row r="325" spans="1:21" x14ac:dyDescent="0.25">
      <c r="A325" s="46">
        <f t="shared" si="37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99">
        <f t="shared" si="38"/>
        <v>0</v>
      </c>
      <c r="P325" s="51"/>
      <c r="Q325" s="51"/>
      <c r="R325" s="100" t="str">
        <f t="shared" si="39"/>
        <v/>
      </c>
      <c r="S325" s="100" t="str">
        <f t="shared" si="40"/>
        <v/>
      </c>
      <c r="T325" s="101">
        <f t="shared" si="41"/>
        <v>0</v>
      </c>
      <c r="U325" s="52"/>
    </row>
    <row r="326" spans="1:21" x14ac:dyDescent="0.25">
      <c r="A326" s="46">
        <f t="shared" si="37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99">
        <f t="shared" si="38"/>
        <v>0</v>
      </c>
      <c r="P326" s="51"/>
      <c r="Q326" s="51"/>
      <c r="R326" s="100" t="str">
        <f t="shared" si="39"/>
        <v/>
      </c>
      <c r="S326" s="100" t="str">
        <f t="shared" si="40"/>
        <v/>
      </c>
      <c r="T326" s="101">
        <f t="shared" si="41"/>
        <v>0</v>
      </c>
      <c r="U326" s="52"/>
    </row>
    <row r="327" spans="1:21" x14ac:dyDescent="0.25">
      <c r="A327" s="46">
        <f t="shared" si="37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99">
        <f t="shared" si="38"/>
        <v>0</v>
      </c>
      <c r="P327" s="51"/>
      <c r="Q327" s="51"/>
      <c r="R327" s="100" t="str">
        <f t="shared" si="39"/>
        <v/>
      </c>
      <c r="S327" s="100" t="str">
        <f t="shared" si="40"/>
        <v/>
      </c>
      <c r="T327" s="101">
        <f t="shared" si="41"/>
        <v>0</v>
      </c>
      <c r="U327" s="52"/>
    </row>
    <row r="328" spans="1:21" x14ac:dyDescent="0.25">
      <c r="A328" s="46">
        <f t="shared" si="37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99">
        <f t="shared" si="38"/>
        <v>0</v>
      </c>
      <c r="P328" s="51"/>
      <c r="Q328" s="51"/>
      <c r="R328" s="100" t="str">
        <f t="shared" si="39"/>
        <v/>
      </c>
      <c r="S328" s="100" t="str">
        <f t="shared" si="40"/>
        <v/>
      </c>
      <c r="T328" s="101">
        <f t="shared" si="41"/>
        <v>0</v>
      </c>
      <c r="U328" s="52"/>
    </row>
    <row r="329" spans="1:21" x14ac:dyDescent="0.25">
      <c r="A329" s="46">
        <f t="shared" si="37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99">
        <f t="shared" si="38"/>
        <v>0</v>
      </c>
      <c r="P329" s="51"/>
      <c r="Q329" s="51"/>
      <c r="R329" s="100" t="str">
        <f t="shared" si="39"/>
        <v/>
      </c>
      <c r="S329" s="100" t="str">
        <f t="shared" si="40"/>
        <v/>
      </c>
      <c r="T329" s="101">
        <f t="shared" si="41"/>
        <v>0</v>
      </c>
      <c r="U329" s="52"/>
    </row>
    <row r="330" spans="1:21" x14ac:dyDescent="0.25">
      <c r="A330" s="46">
        <f t="shared" si="37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99">
        <f t="shared" si="38"/>
        <v>0</v>
      </c>
      <c r="P330" s="51"/>
      <c r="Q330" s="51"/>
      <c r="R330" s="100" t="str">
        <f t="shared" si="39"/>
        <v/>
      </c>
      <c r="S330" s="100" t="str">
        <f t="shared" si="40"/>
        <v/>
      </c>
      <c r="T330" s="101">
        <f t="shared" si="41"/>
        <v>0</v>
      </c>
      <c r="U330" s="52"/>
    </row>
    <row r="331" spans="1:21" x14ac:dyDescent="0.25">
      <c r="A331" s="46">
        <f t="shared" si="37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99">
        <f t="shared" si="38"/>
        <v>0</v>
      </c>
      <c r="P331" s="51"/>
      <c r="Q331" s="51"/>
      <c r="R331" s="100" t="str">
        <f t="shared" si="39"/>
        <v/>
      </c>
      <c r="S331" s="100" t="str">
        <f t="shared" si="40"/>
        <v/>
      </c>
      <c r="T331" s="101">
        <f t="shared" si="41"/>
        <v>0</v>
      </c>
      <c r="U331" s="52"/>
    </row>
    <row r="332" spans="1:21" x14ac:dyDescent="0.25">
      <c r="A332" s="46">
        <f t="shared" ref="A332:A395" si="42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99">
        <f t="shared" ref="O332:O395" si="43">T332*N332</f>
        <v>0</v>
      </c>
      <c r="P332" s="51"/>
      <c r="Q332" s="51"/>
      <c r="R332" s="100" t="str">
        <f t="shared" ref="R332:R395" si="44">IF(OR(P332="c",P332="C"),+T332,"")</f>
        <v/>
      </c>
      <c r="S332" s="100" t="str">
        <f t="shared" ref="S332:S395" si="45">IF(OR(P332="$",N332=1),+T332,"")</f>
        <v/>
      </c>
      <c r="T332" s="101">
        <f t="shared" ref="T332:T395" si="46">B332*FRegMainSetUpEntryFee + H332*FRegMainSetUpPool1Fee + I332*FRegMainSetUpPool2Fee + J332*FRegMainSetUpPool3Fee + K332*FRegMainSetUpPool4Fee</f>
        <v>0</v>
      </c>
      <c r="U332" s="52"/>
    </row>
    <row r="333" spans="1:21" x14ac:dyDescent="0.25">
      <c r="A333" s="46">
        <f t="shared" si="42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99">
        <f t="shared" si="43"/>
        <v>0</v>
      </c>
      <c r="P333" s="51"/>
      <c r="Q333" s="51"/>
      <c r="R333" s="100" t="str">
        <f t="shared" si="44"/>
        <v/>
      </c>
      <c r="S333" s="100" t="str">
        <f t="shared" si="45"/>
        <v/>
      </c>
      <c r="T333" s="101">
        <f t="shared" si="46"/>
        <v>0</v>
      </c>
      <c r="U333" s="52"/>
    </row>
    <row r="334" spans="1:21" x14ac:dyDescent="0.25">
      <c r="A334" s="46">
        <f t="shared" si="42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99">
        <f t="shared" si="43"/>
        <v>0</v>
      </c>
      <c r="P334" s="51"/>
      <c r="Q334" s="51"/>
      <c r="R334" s="100" t="str">
        <f t="shared" si="44"/>
        <v/>
      </c>
      <c r="S334" s="100" t="str">
        <f t="shared" si="45"/>
        <v/>
      </c>
      <c r="T334" s="101">
        <f t="shared" si="46"/>
        <v>0</v>
      </c>
      <c r="U334" s="52"/>
    </row>
    <row r="335" spans="1:21" x14ac:dyDescent="0.25">
      <c r="A335" s="46">
        <f t="shared" si="42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99">
        <f t="shared" si="43"/>
        <v>0</v>
      </c>
      <c r="P335" s="51"/>
      <c r="Q335" s="51"/>
      <c r="R335" s="100" t="str">
        <f t="shared" si="44"/>
        <v/>
      </c>
      <c r="S335" s="100" t="str">
        <f t="shared" si="45"/>
        <v/>
      </c>
      <c r="T335" s="101">
        <f t="shared" si="46"/>
        <v>0</v>
      </c>
      <c r="U335" s="52"/>
    </row>
    <row r="336" spans="1:21" x14ac:dyDescent="0.25">
      <c r="A336" s="46">
        <f t="shared" si="42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99">
        <f t="shared" si="43"/>
        <v>0</v>
      </c>
      <c r="P336" s="51"/>
      <c r="Q336" s="51"/>
      <c r="R336" s="100" t="str">
        <f t="shared" si="44"/>
        <v/>
      </c>
      <c r="S336" s="100" t="str">
        <f t="shared" si="45"/>
        <v/>
      </c>
      <c r="T336" s="101">
        <f t="shared" si="46"/>
        <v>0</v>
      </c>
      <c r="U336" s="52"/>
    </row>
    <row r="337" spans="1:21" x14ac:dyDescent="0.25">
      <c r="A337" s="46">
        <f t="shared" si="42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99">
        <f t="shared" si="43"/>
        <v>0</v>
      </c>
      <c r="P337" s="51"/>
      <c r="Q337" s="51"/>
      <c r="R337" s="100" t="str">
        <f t="shared" si="44"/>
        <v/>
      </c>
      <c r="S337" s="100" t="str">
        <f t="shared" si="45"/>
        <v/>
      </c>
      <c r="T337" s="101">
        <f t="shared" si="46"/>
        <v>0</v>
      </c>
      <c r="U337" s="52"/>
    </row>
    <row r="338" spans="1:21" x14ac:dyDescent="0.25">
      <c r="A338" s="46">
        <f t="shared" si="42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99">
        <f t="shared" si="43"/>
        <v>0</v>
      </c>
      <c r="P338" s="51"/>
      <c r="Q338" s="51"/>
      <c r="R338" s="100" t="str">
        <f t="shared" si="44"/>
        <v/>
      </c>
      <c r="S338" s="100" t="str">
        <f t="shared" si="45"/>
        <v/>
      </c>
      <c r="T338" s="101">
        <f t="shared" si="46"/>
        <v>0</v>
      </c>
      <c r="U338" s="52"/>
    </row>
    <row r="339" spans="1:21" x14ac:dyDescent="0.25">
      <c r="A339" s="46">
        <f t="shared" si="42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99">
        <f t="shared" si="43"/>
        <v>0</v>
      </c>
      <c r="P339" s="51"/>
      <c r="Q339" s="51"/>
      <c r="R339" s="100" t="str">
        <f t="shared" si="44"/>
        <v/>
      </c>
      <c r="S339" s="100" t="str">
        <f t="shared" si="45"/>
        <v/>
      </c>
      <c r="T339" s="101">
        <f t="shared" si="46"/>
        <v>0</v>
      </c>
      <c r="U339" s="52"/>
    </row>
    <row r="340" spans="1:21" x14ac:dyDescent="0.25">
      <c r="A340" s="46">
        <f t="shared" si="42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99">
        <f t="shared" si="43"/>
        <v>0</v>
      </c>
      <c r="P340" s="51"/>
      <c r="Q340" s="51"/>
      <c r="R340" s="100" t="str">
        <f t="shared" si="44"/>
        <v/>
      </c>
      <c r="S340" s="100" t="str">
        <f t="shared" si="45"/>
        <v/>
      </c>
      <c r="T340" s="101">
        <f t="shared" si="46"/>
        <v>0</v>
      </c>
      <c r="U340" s="52"/>
    </row>
    <row r="341" spans="1:21" x14ac:dyDescent="0.25">
      <c r="A341" s="46">
        <f t="shared" si="42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99">
        <f t="shared" si="43"/>
        <v>0</v>
      </c>
      <c r="P341" s="51"/>
      <c r="Q341" s="51"/>
      <c r="R341" s="100" t="str">
        <f t="shared" si="44"/>
        <v/>
      </c>
      <c r="S341" s="100" t="str">
        <f t="shared" si="45"/>
        <v/>
      </c>
      <c r="T341" s="101">
        <f t="shared" si="46"/>
        <v>0</v>
      </c>
      <c r="U341" s="52"/>
    </row>
    <row r="342" spans="1:21" x14ac:dyDescent="0.25">
      <c r="A342" s="46">
        <f t="shared" si="42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99">
        <f t="shared" si="43"/>
        <v>0</v>
      </c>
      <c r="P342" s="51"/>
      <c r="Q342" s="51"/>
      <c r="R342" s="100" t="str">
        <f t="shared" si="44"/>
        <v/>
      </c>
      <c r="S342" s="100" t="str">
        <f t="shared" si="45"/>
        <v/>
      </c>
      <c r="T342" s="101">
        <f t="shared" si="46"/>
        <v>0</v>
      </c>
      <c r="U342" s="52"/>
    </row>
    <row r="343" spans="1:21" x14ac:dyDescent="0.25">
      <c r="A343" s="46">
        <f t="shared" si="42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99">
        <f t="shared" si="43"/>
        <v>0</v>
      </c>
      <c r="P343" s="51"/>
      <c r="Q343" s="51"/>
      <c r="R343" s="100" t="str">
        <f t="shared" si="44"/>
        <v/>
      </c>
      <c r="S343" s="100" t="str">
        <f t="shared" si="45"/>
        <v/>
      </c>
      <c r="T343" s="101">
        <f t="shared" si="46"/>
        <v>0</v>
      </c>
      <c r="U343" s="52"/>
    </row>
    <row r="344" spans="1:21" x14ac:dyDescent="0.25">
      <c r="A344" s="46">
        <f t="shared" si="42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99">
        <f t="shared" si="43"/>
        <v>0</v>
      </c>
      <c r="P344" s="51"/>
      <c r="Q344" s="51"/>
      <c r="R344" s="100" t="str">
        <f t="shared" si="44"/>
        <v/>
      </c>
      <c r="S344" s="100" t="str">
        <f t="shared" si="45"/>
        <v/>
      </c>
      <c r="T344" s="101">
        <f t="shared" si="46"/>
        <v>0</v>
      </c>
      <c r="U344" s="52"/>
    </row>
    <row r="345" spans="1:21" x14ac:dyDescent="0.25">
      <c r="A345" s="46">
        <f t="shared" si="42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99">
        <f t="shared" si="43"/>
        <v>0</v>
      </c>
      <c r="P345" s="51"/>
      <c r="Q345" s="51"/>
      <c r="R345" s="100" t="str">
        <f t="shared" si="44"/>
        <v/>
      </c>
      <c r="S345" s="100" t="str">
        <f t="shared" si="45"/>
        <v/>
      </c>
      <c r="T345" s="101">
        <f t="shared" si="46"/>
        <v>0</v>
      </c>
      <c r="U345" s="52"/>
    </row>
    <row r="346" spans="1:21" x14ac:dyDescent="0.25">
      <c r="A346" s="46">
        <f t="shared" si="42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99">
        <f t="shared" si="43"/>
        <v>0</v>
      </c>
      <c r="P346" s="51"/>
      <c r="Q346" s="51"/>
      <c r="R346" s="100" t="str">
        <f t="shared" si="44"/>
        <v/>
      </c>
      <c r="S346" s="100" t="str">
        <f t="shared" si="45"/>
        <v/>
      </c>
      <c r="T346" s="101">
        <f t="shared" si="46"/>
        <v>0</v>
      </c>
      <c r="U346" s="52"/>
    </row>
    <row r="347" spans="1:21" x14ac:dyDescent="0.25">
      <c r="A347" s="46">
        <f t="shared" si="42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99">
        <f t="shared" si="43"/>
        <v>0</v>
      </c>
      <c r="P347" s="51"/>
      <c r="Q347" s="51"/>
      <c r="R347" s="100" t="str">
        <f t="shared" si="44"/>
        <v/>
      </c>
      <c r="S347" s="100" t="str">
        <f t="shared" si="45"/>
        <v/>
      </c>
      <c r="T347" s="101">
        <f t="shared" si="46"/>
        <v>0</v>
      </c>
      <c r="U347" s="52"/>
    </row>
    <row r="348" spans="1:21" x14ac:dyDescent="0.25">
      <c r="A348" s="46">
        <f t="shared" si="42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99">
        <f t="shared" si="43"/>
        <v>0</v>
      </c>
      <c r="P348" s="51"/>
      <c r="Q348" s="51"/>
      <c r="R348" s="100" t="str">
        <f t="shared" si="44"/>
        <v/>
      </c>
      <c r="S348" s="100" t="str">
        <f t="shared" si="45"/>
        <v/>
      </c>
      <c r="T348" s="101">
        <f t="shared" si="46"/>
        <v>0</v>
      </c>
      <c r="U348" s="52"/>
    </row>
    <row r="349" spans="1:21" x14ac:dyDescent="0.25">
      <c r="A349" s="46">
        <f t="shared" si="42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99">
        <f t="shared" si="43"/>
        <v>0</v>
      </c>
      <c r="P349" s="51"/>
      <c r="Q349" s="51"/>
      <c r="R349" s="100" t="str">
        <f t="shared" si="44"/>
        <v/>
      </c>
      <c r="S349" s="100" t="str">
        <f t="shared" si="45"/>
        <v/>
      </c>
      <c r="T349" s="101">
        <f t="shared" si="46"/>
        <v>0</v>
      </c>
      <c r="U349" s="52"/>
    </row>
    <row r="350" spans="1:21" x14ac:dyDescent="0.25">
      <c r="A350" s="46">
        <f t="shared" si="42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99">
        <f t="shared" si="43"/>
        <v>0</v>
      </c>
      <c r="P350" s="51"/>
      <c r="Q350" s="51"/>
      <c r="R350" s="100" t="str">
        <f t="shared" si="44"/>
        <v/>
      </c>
      <c r="S350" s="100" t="str">
        <f t="shared" si="45"/>
        <v/>
      </c>
      <c r="T350" s="101">
        <f t="shared" si="46"/>
        <v>0</v>
      </c>
      <c r="U350" s="52"/>
    </row>
    <row r="351" spans="1:21" x14ac:dyDescent="0.25">
      <c r="A351" s="46">
        <f t="shared" si="42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99">
        <f t="shared" si="43"/>
        <v>0</v>
      </c>
      <c r="P351" s="51"/>
      <c r="Q351" s="51"/>
      <c r="R351" s="100" t="str">
        <f t="shared" si="44"/>
        <v/>
      </c>
      <c r="S351" s="100" t="str">
        <f t="shared" si="45"/>
        <v/>
      </c>
      <c r="T351" s="101">
        <f t="shared" si="46"/>
        <v>0</v>
      </c>
      <c r="U351" s="52"/>
    </row>
    <row r="352" spans="1:21" x14ac:dyDescent="0.25">
      <c r="A352" s="46">
        <f t="shared" si="42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99">
        <f t="shared" si="43"/>
        <v>0</v>
      </c>
      <c r="P352" s="51"/>
      <c r="Q352" s="51"/>
      <c r="R352" s="100" t="str">
        <f t="shared" si="44"/>
        <v/>
      </c>
      <c r="S352" s="100" t="str">
        <f t="shared" si="45"/>
        <v/>
      </c>
      <c r="T352" s="101">
        <f t="shared" si="46"/>
        <v>0</v>
      </c>
      <c r="U352" s="52"/>
    </row>
    <row r="353" spans="1:21" x14ac:dyDescent="0.25">
      <c r="A353" s="46">
        <f t="shared" si="42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99">
        <f t="shared" si="43"/>
        <v>0</v>
      </c>
      <c r="P353" s="51"/>
      <c r="Q353" s="51"/>
      <c r="R353" s="100" t="str">
        <f t="shared" si="44"/>
        <v/>
      </c>
      <c r="S353" s="100" t="str">
        <f t="shared" si="45"/>
        <v/>
      </c>
      <c r="T353" s="101">
        <f t="shared" si="46"/>
        <v>0</v>
      </c>
      <c r="U353" s="52"/>
    </row>
    <row r="354" spans="1:21" x14ac:dyDescent="0.25">
      <c r="A354" s="46">
        <f t="shared" si="42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99">
        <f t="shared" si="43"/>
        <v>0</v>
      </c>
      <c r="P354" s="51"/>
      <c r="Q354" s="51"/>
      <c r="R354" s="100" t="str">
        <f t="shared" si="44"/>
        <v/>
      </c>
      <c r="S354" s="100" t="str">
        <f t="shared" si="45"/>
        <v/>
      </c>
      <c r="T354" s="101">
        <f t="shared" si="46"/>
        <v>0</v>
      </c>
      <c r="U354" s="52"/>
    </row>
    <row r="355" spans="1:21" x14ac:dyDescent="0.25">
      <c r="A355" s="46">
        <f t="shared" si="42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99">
        <f t="shared" si="43"/>
        <v>0</v>
      </c>
      <c r="P355" s="51"/>
      <c r="Q355" s="51"/>
      <c r="R355" s="100" t="str">
        <f t="shared" si="44"/>
        <v/>
      </c>
      <c r="S355" s="100" t="str">
        <f t="shared" si="45"/>
        <v/>
      </c>
      <c r="T355" s="101">
        <f t="shared" si="46"/>
        <v>0</v>
      </c>
      <c r="U355" s="52"/>
    </row>
    <row r="356" spans="1:21" x14ac:dyDescent="0.25">
      <c r="A356" s="46">
        <f t="shared" si="42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99">
        <f t="shared" si="43"/>
        <v>0</v>
      </c>
      <c r="P356" s="51"/>
      <c r="Q356" s="51"/>
      <c r="R356" s="100" t="str">
        <f t="shared" si="44"/>
        <v/>
      </c>
      <c r="S356" s="100" t="str">
        <f t="shared" si="45"/>
        <v/>
      </c>
      <c r="T356" s="101">
        <f t="shared" si="46"/>
        <v>0</v>
      </c>
      <c r="U356" s="52"/>
    </row>
    <row r="357" spans="1:21" x14ac:dyDescent="0.25">
      <c r="A357" s="46">
        <f t="shared" si="42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99">
        <f t="shared" si="43"/>
        <v>0</v>
      </c>
      <c r="P357" s="51"/>
      <c r="Q357" s="51"/>
      <c r="R357" s="100" t="str">
        <f t="shared" si="44"/>
        <v/>
      </c>
      <c r="S357" s="100" t="str">
        <f t="shared" si="45"/>
        <v/>
      </c>
      <c r="T357" s="101">
        <f t="shared" si="46"/>
        <v>0</v>
      </c>
      <c r="U357" s="52"/>
    </row>
    <row r="358" spans="1:21" x14ac:dyDescent="0.25">
      <c r="A358" s="46">
        <f t="shared" si="42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99">
        <f t="shared" si="43"/>
        <v>0</v>
      </c>
      <c r="P358" s="51"/>
      <c r="Q358" s="51"/>
      <c r="R358" s="100" t="str">
        <f t="shared" si="44"/>
        <v/>
      </c>
      <c r="S358" s="100" t="str">
        <f t="shared" si="45"/>
        <v/>
      </c>
      <c r="T358" s="101">
        <f t="shared" si="46"/>
        <v>0</v>
      </c>
      <c r="U358" s="52"/>
    </row>
    <row r="359" spans="1:21" x14ac:dyDescent="0.25">
      <c r="A359" s="46">
        <f t="shared" si="42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99">
        <f t="shared" si="43"/>
        <v>0</v>
      </c>
      <c r="P359" s="51"/>
      <c r="Q359" s="51"/>
      <c r="R359" s="100" t="str">
        <f t="shared" si="44"/>
        <v/>
      </c>
      <c r="S359" s="100" t="str">
        <f t="shared" si="45"/>
        <v/>
      </c>
      <c r="T359" s="101">
        <f t="shared" si="46"/>
        <v>0</v>
      </c>
      <c r="U359" s="52"/>
    </row>
    <row r="360" spans="1:21" x14ac:dyDescent="0.25">
      <c r="A360" s="46">
        <f t="shared" si="42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99">
        <f t="shared" si="43"/>
        <v>0</v>
      </c>
      <c r="P360" s="51"/>
      <c r="Q360" s="51"/>
      <c r="R360" s="100" t="str">
        <f t="shared" si="44"/>
        <v/>
      </c>
      <c r="S360" s="100" t="str">
        <f t="shared" si="45"/>
        <v/>
      </c>
      <c r="T360" s="101">
        <f t="shared" si="46"/>
        <v>0</v>
      </c>
      <c r="U360" s="52"/>
    </row>
    <row r="361" spans="1:21" x14ac:dyDescent="0.25">
      <c r="A361" s="46">
        <f t="shared" si="42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99">
        <f t="shared" si="43"/>
        <v>0</v>
      </c>
      <c r="P361" s="51"/>
      <c r="Q361" s="51"/>
      <c r="R361" s="100" t="str">
        <f t="shared" si="44"/>
        <v/>
      </c>
      <c r="S361" s="100" t="str">
        <f t="shared" si="45"/>
        <v/>
      </c>
      <c r="T361" s="101">
        <f t="shared" si="46"/>
        <v>0</v>
      </c>
      <c r="U361" s="52"/>
    </row>
    <row r="362" spans="1:21" x14ac:dyDescent="0.25">
      <c r="A362" s="46">
        <f t="shared" si="42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99">
        <f t="shared" si="43"/>
        <v>0</v>
      </c>
      <c r="P362" s="51"/>
      <c r="Q362" s="51"/>
      <c r="R362" s="100" t="str">
        <f t="shared" si="44"/>
        <v/>
      </c>
      <c r="S362" s="100" t="str">
        <f t="shared" si="45"/>
        <v/>
      </c>
      <c r="T362" s="101">
        <f t="shared" si="46"/>
        <v>0</v>
      </c>
      <c r="U362" s="52"/>
    </row>
    <row r="363" spans="1:21" x14ac:dyDescent="0.25">
      <c r="A363" s="46">
        <f t="shared" si="42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99">
        <f t="shared" si="43"/>
        <v>0</v>
      </c>
      <c r="P363" s="51"/>
      <c r="Q363" s="51"/>
      <c r="R363" s="100" t="str">
        <f t="shared" si="44"/>
        <v/>
      </c>
      <c r="S363" s="100" t="str">
        <f t="shared" si="45"/>
        <v/>
      </c>
      <c r="T363" s="101">
        <f t="shared" si="46"/>
        <v>0</v>
      </c>
      <c r="U363" s="52"/>
    </row>
    <row r="364" spans="1:21" x14ac:dyDescent="0.25">
      <c r="A364" s="46">
        <f t="shared" si="42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99">
        <f t="shared" si="43"/>
        <v>0</v>
      </c>
      <c r="P364" s="51"/>
      <c r="Q364" s="51"/>
      <c r="R364" s="100" t="str">
        <f t="shared" si="44"/>
        <v/>
      </c>
      <c r="S364" s="100" t="str">
        <f t="shared" si="45"/>
        <v/>
      </c>
      <c r="T364" s="101">
        <f t="shared" si="46"/>
        <v>0</v>
      </c>
      <c r="U364" s="52"/>
    </row>
    <row r="365" spans="1:21" x14ac:dyDescent="0.25">
      <c r="A365" s="46">
        <f t="shared" si="42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99">
        <f t="shared" si="43"/>
        <v>0</v>
      </c>
      <c r="P365" s="51"/>
      <c r="Q365" s="51"/>
      <c r="R365" s="100" t="str">
        <f t="shared" si="44"/>
        <v/>
      </c>
      <c r="S365" s="100" t="str">
        <f t="shared" si="45"/>
        <v/>
      </c>
      <c r="T365" s="101">
        <f t="shared" si="46"/>
        <v>0</v>
      </c>
      <c r="U365" s="52"/>
    </row>
    <row r="366" spans="1:21" x14ac:dyDescent="0.25">
      <c r="A366" s="46">
        <f t="shared" si="42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99">
        <f t="shared" si="43"/>
        <v>0</v>
      </c>
      <c r="P366" s="51"/>
      <c r="Q366" s="51"/>
      <c r="R366" s="100" t="str">
        <f t="shared" si="44"/>
        <v/>
      </c>
      <c r="S366" s="100" t="str">
        <f t="shared" si="45"/>
        <v/>
      </c>
      <c r="T366" s="101">
        <f t="shared" si="46"/>
        <v>0</v>
      </c>
      <c r="U366" s="52"/>
    </row>
    <row r="367" spans="1:21" x14ac:dyDescent="0.25">
      <c r="A367" s="46">
        <f t="shared" si="42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99">
        <f t="shared" si="43"/>
        <v>0</v>
      </c>
      <c r="P367" s="51"/>
      <c r="Q367" s="51"/>
      <c r="R367" s="100" t="str">
        <f t="shared" si="44"/>
        <v/>
      </c>
      <c r="S367" s="100" t="str">
        <f t="shared" si="45"/>
        <v/>
      </c>
      <c r="T367" s="101">
        <f t="shared" si="46"/>
        <v>0</v>
      </c>
      <c r="U367" s="52"/>
    </row>
    <row r="368" spans="1:21" x14ac:dyDescent="0.25">
      <c r="A368" s="46">
        <f t="shared" si="42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99">
        <f t="shared" si="43"/>
        <v>0</v>
      </c>
      <c r="P368" s="51"/>
      <c r="Q368" s="51"/>
      <c r="R368" s="100" t="str">
        <f t="shared" si="44"/>
        <v/>
      </c>
      <c r="S368" s="100" t="str">
        <f t="shared" si="45"/>
        <v/>
      </c>
      <c r="T368" s="101">
        <f t="shared" si="46"/>
        <v>0</v>
      </c>
      <c r="U368" s="52"/>
    </row>
    <row r="369" spans="1:21" x14ac:dyDescent="0.25">
      <c r="A369" s="46">
        <f t="shared" si="42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99">
        <f t="shared" si="43"/>
        <v>0</v>
      </c>
      <c r="P369" s="51"/>
      <c r="Q369" s="51"/>
      <c r="R369" s="100" t="str">
        <f t="shared" si="44"/>
        <v/>
      </c>
      <c r="S369" s="100" t="str">
        <f t="shared" si="45"/>
        <v/>
      </c>
      <c r="T369" s="101">
        <f t="shared" si="46"/>
        <v>0</v>
      </c>
      <c r="U369" s="52"/>
    </row>
    <row r="370" spans="1:21" x14ac:dyDescent="0.25">
      <c r="A370" s="46">
        <f t="shared" si="42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99">
        <f t="shared" si="43"/>
        <v>0</v>
      </c>
      <c r="P370" s="51"/>
      <c r="Q370" s="51"/>
      <c r="R370" s="100" t="str">
        <f t="shared" si="44"/>
        <v/>
      </c>
      <c r="S370" s="100" t="str">
        <f t="shared" si="45"/>
        <v/>
      </c>
      <c r="T370" s="101">
        <f t="shared" si="46"/>
        <v>0</v>
      </c>
      <c r="U370" s="52"/>
    </row>
    <row r="371" spans="1:21" x14ac:dyDescent="0.25">
      <c r="A371" s="46">
        <f t="shared" si="42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99">
        <f t="shared" si="43"/>
        <v>0</v>
      </c>
      <c r="P371" s="51"/>
      <c r="Q371" s="51"/>
      <c r="R371" s="100" t="str">
        <f t="shared" si="44"/>
        <v/>
      </c>
      <c r="S371" s="100" t="str">
        <f t="shared" si="45"/>
        <v/>
      </c>
      <c r="T371" s="101">
        <f t="shared" si="46"/>
        <v>0</v>
      </c>
      <c r="U371" s="52"/>
    </row>
    <row r="372" spans="1:21" x14ac:dyDescent="0.25">
      <c r="A372" s="46">
        <f t="shared" si="42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99">
        <f t="shared" si="43"/>
        <v>0</v>
      </c>
      <c r="P372" s="51"/>
      <c r="Q372" s="51"/>
      <c r="R372" s="100" t="str">
        <f t="shared" si="44"/>
        <v/>
      </c>
      <c r="S372" s="100" t="str">
        <f t="shared" si="45"/>
        <v/>
      </c>
      <c r="T372" s="101">
        <f t="shared" si="46"/>
        <v>0</v>
      </c>
      <c r="U372" s="52"/>
    </row>
    <row r="373" spans="1:21" x14ac:dyDescent="0.25">
      <c r="A373" s="46">
        <f t="shared" si="42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99">
        <f t="shared" si="43"/>
        <v>0</v>
      </c>
      <c r="P373" s="51"/>
      <c r="Q373" s="51"/>
      <c r="R373" s="100" t="str">
        <f t="shared" si="44"/>
        <v/>
      </c>
      <c r="S373" s="100" t="str">
        <f t="shared" si="45"/>
        <v/>
      </c>
      <c r="T373" s="101">
        <f t="shared" si="46"/>
        <v>0</v>
      </c>
      <c r="U373" s="52"/>
    </row>
    <row r="374" spans="1:21" x14ac:dyDescent="0.25">
      <c r="A374" s="46">
        <f t="shared" si="42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99">
        <f t="shared" si="43"/>
        <v>0</v>
      </c>
      <c r="P374" s="51"/>
      <c r="Q374" s="51"/>
      <c r="R374" s="100" t="str">
        <f t="shared" si="44"/>
        <v/>
      </c>
      <c r="S374" s="100" t="str">
        <f t="shared" si="45"/>
        <v/>
      </c>
      <c r="T374" s="101">
        <f t="shared" si="46"/>
        <v>0</v>
      </c>
      <c r="U374" s="52"/>
    </row>
    <row r="375" spans="1:21" x14ac:dyDescent="0.25">
      <c r="A375" s="46">
        <f t="shared" si="42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99">
        <f t="shared" si="43"/>
        <v>0</v>
      </c>
      <c r="P375" s="51"/>
      <c r="Q375" s="51"/>
      <c r="R375" s="100" t="str">
        <f t="shared" si="44"/>
        <v/>
      </c>
      <c r="S375" s="100" t="str">
        <f t="shared" si="45"/>
        <v/>
      </c>
      <c r="T375" s="101">
        <f t="shared" si="46"/>
        <v>0</v>
      </c>
      <c r="U375" s="52"/>
    </row>
    <row r="376" spans="1:21" x14ac:dyDescent="0.25">
      <c r="A376" s="46">
        <f t="shared" si="42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99">
        <f t="shared" si="43"/>
        <v>0</v>
      </c>
      <c r="P376" s="51"/>
      <c r="Q376" s="51"/>
      <c r="R376" s="100" t="str">
        <f t="shared" si="44"/>
        <v/>
      </c>
      <c r="S376" s="100" t="str">
        <f t="shared" si="45"/>
        <v/>
      </c>
      <c r="T376" s="101">
        <f t="shared" si="46"/>
        <v>0</v>
      </c>
      <c r="U376" s="52"/>
    </row>
    <row r="377" spans="1:21" x14ac:dyDescent="0.25">
      <c r="A377" s="46">
        <f t="shared" si="42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99">
        <f t="shared" si="43"/>
        <v>0</v>
      </c>
      <c r="P377" s="51"/>
      <c r="Q377" s="51"/>
      <c r="R377" s="100" t="str">
        <f t="shared" si="44"/>
        <v/>
      </c>
      <c r="S377" s="100" t="str">
        <f t="shared" si="45"/>
        <v/>
      </c>
      <c r="T377" s="101">
        <f t="shared" si="46"/>
        <v>0</v>
      </c>
      <c r="U377" s="52"/>
    </row>
    <row r="378" spans="1:21" x14ac:dyDescent="0.25">
      <c r="A378" s="46">
        <f t="shared" si="42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99">
        <f t="shared" si="43"/>
        <v>0</v>
      </c>
      <c r="P378" s="51"/>
      <c r="Q378" s="51"/>
      <c r="R378" s="100" t="str">
        <f t="shared" si="44"/>
        <v/>
      </c>
      <c r="S378" s="100" t="str">
        <f t="shared" si="45"/>
        <v/>
      </c>
      <c r="T378" s="101">
        <f t="shared" si="46"/>
        <v>0</v>
      </c>
      <c r="U378" s="52"/>
    </row>
    <row r="379" spans="1:21" x14ac:dyDescent="0.25">
      <c r="A379" s="46">
        <f t="shared" si="42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99">
        <f t="shared" si="43"/>
        <v>0</v>
      </c>
      <c r="P379" s="51"/>
      <c r="Q379" s="51"/>
      <c r="R379" s="100" t="str">
        <f t="shared" si="44"/>
        <v/>
      </c>
      <c r="S379" s="100" t="str">
        <f t="shared" si="45"/>
        <v/>
      </c>
      <c r="T379" s="101">
        <f t="shared" si="46"/>
        <v>0</v>
      </c>
      <c r="U379" s="52"/>
    </row>
    <row r="380" spans="1:21" x14ac:dyDescent="0.25">
      <c r="A380" s="46">
        <f t="shared" si="42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99">
        <f t="shared" si="43"/>
        <v>0</v>
      </c>
      <c r="P380" s="51"/>
      <c r="Q380" s="51"/>
      <c r="R380" s="100" t="str">
        <f t="shared" si="44"/>
        <v/>
      </c>
      <c r="S380" s="100" t="str">
        <f t="shared" si="45"/>
        <v/>
      </c>
      <c r="T380" s="101">
        <f t="shared" si="46"/>
        <v>0</v>
      </c>
      <c r="U380" s="52"/>
    </row>
    <row r="381" spans="1:21" x14ac:dyDescent="0.25">
      <c r="A381" s="46">
        <f t="shared" si="42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99">
        <f t="shared" si="43"/>
        <v>0</v>
      </c>
      <c r="P381" s="51"/>
      <c r="Q381" s="51"/>
      <c r="R381" s="100" t="str">
        <f t="shared" si="44"/>
        <v/>
      </c>
      <c r="S381" s="100" t="str">
        <f t="shared" si="45"/>
        <v/>
      </c>
      <c r="T381" s="101">
        <f t="shared" si="46"/>
        <v>0</v>
      </c>
      <c r="U381" s="52"/>
    </row>
    <row r="382" spans="1:21" x14ac:dyDescent="0.25">
      <c r="A382" s="46">
        <f t="shared" si="42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99">
        <f t="shared" si="43"/>
        <v>0</v>
      </c>
      <c r="P382" s="51"/>
      <c r="Q382" s="51"/>
      <c r="R382" s="100" t="str">
        <f t="shared" si="44"/>
        <v/>
      </c>
      <c r="S382" s="100" t="str">
        <f t="shared" si="45"/>
        <v/>
      </c>
      <c r="T382" s="101">
        <f t="shared" si="46"/>
        <v>0</v>
      </c>
      <c r="U382" s="52"/>
    </row>
    <row r="383" spans="1:21" x14ac:dyDescent="0.25">
      <c r="A383" s="46">
        <f t="shared" si="42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99">
        <f t="shared" si="43"/>
        <v>0</v>
      </c>
      <c r="P383" s="51"/>
      <c r="Q383" s="51"/>
      <c r="R383" s="100" t="str">
        <f t="shared" si="44"/>
        <v/>
      </c>
      <c r="S383" s="100" t="str">
        <f t="shared" si="45"/>
        <v/>
      </c>
      <c r="T383" s="101">
        <f t="shared" si="46"/>
        <v>0</v>
      </c>
      <c r="U383" s="52"/>
    </row>
    <row r="384" spans="1:21" x14ac:dyDescent="0.25">
      <c r="A384" s="46">
        <f t="shared" si="42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99">
        <f t="shared" si="43"/>
        <v>0</v>
      </c>
      <c r="P384" s="51"/>
      <c r="Q384" s="51"/>
      <c r="R384" s="100" t="str">
        <f t="shared" si="44"/>
        <v/>
      </c>
      <c r="S384" s="100" t="str">
        <f t="shared" si="45"/>
        <v/>
      </c>
      <c r="T384" s="101">
        <f t="shared" si="46"/>
        <v>0</v>
      </c>
      <c r="U384" s="52"/>
    </row>
    <row r="385" spans="1:21" x14ac:dyDescent="0.25">
      <c r="A385" s="46">
        <f t="shared" si="42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99">
        <f t="shared" si="43"/>
        <v>0</v>
      </c>
      <c r="P385" s="51"/>
      <c r="Q385" s="51"/>
      <c r="R385" s="100" t="str">
        <f t="shared" si="44"/>
        <v/>
      </c>
      <c r="S385" s="100" t="str">
        <f t="shared" si="45"/>
        <v/>
      </c>
      <c r="T385" s="101">
        <f t="shared" si="46"/>
        <v>0</v>
      </c>
      <c r="U385" s="52"/>
    </row>
    <row r="386" spans="1:21" x14ac:dyDescent="0.25">
      <c r="A386" s="46">
        <f t="shared" si="42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99">
        <f t="shared" si="43"/>
        <v>0</v>
      </c>
      <c r="P386" s="51"/>
      <c r="Q386" s="51"/>
      <c r="R386" s="100" t="str">
        <f t="shared" si="44"/>
        <v/>
      </c>
      <c r="S386" s="100" t="str">
        <f t="shared" si="45"/>
        <v/>
      </c>
      <c r="T386" s="101">
        <f t="shared" si="46"/>
        <v>0</v>
      </c>
      <c r="U386" s="52"/>
    </row>
    <row r="387" spans="1:21" x14ac:dyDescent="0.25">
      <c r="A387" s="46">
        <f t="shared" si="42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99">
        <f t="shared" si="43"/>
        <v>0</v>
      </c>
      <c r="P387" s="51"/>
      <c r="Q387" s="51"/>
      <c r="R387" s="100" t="str">
        <f t="shared" si="44"/>
        <v/>
      </c>
      <c r="S387" s="100" t="str">
        <f t="shared" si="45"/>
        <v/>
      </c>
      <c r="T387" s="101">
        <f t="shared" si="46"/>
        <v>0</v>
      </c>
      <c r="U387" s="52"/>
    </row>
    <row r="388" spans="1:21" x14ac:dyDescent="0.25">
      <c r="A388" s="46">
        <f t="shared" si="42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99">
        <f t="shared" si="43"/>
        <v>0</v>
      </c>
      <c r="P388" s="51"/>
      <c r="Q388" s="51"/>
      <c r="R388" s="100" t="str">
        <f t="shared" si="44"/>
        <v/>
      </c>
      <c r="S388" s="100" t="str">
        <f t="shared" si="45"/>
        <v/>
      </c>
      <c r="T388" s="101">
        <f t="shared" si="46"/>
        <v>0</v>
      </c>
      <c r="U388" s="52"/>
    </row>
    <row r="389" spans="1:21" x14ac:dyDescent="0.25">
      <c r="A389" s="46">
        <f t="shared" si="42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99">
        <f t="shared" si="43"/>
        <v>0</v>
      </c>
      <c r="P389" s="51"/>
      <c r="Q389" s="51"/>
      <c r="R389" s="100" t="str">
        <f t="shared" si="44"/>
        <v/>
      </c>
      <c r="S389" s="100" t="str">
        <f t="shared" si="45"/>
        <v/>
      </c>
      <c r="T389" s="101">
        <f t="shared" si="46"/>
        <v>0</v>
      </c>
      <c r="U389" s="52"/>
    </row>
    <row r="390" spans="1:21" x14ac:dyDescent="0.25">
      <c r="A390" s="46">
        <f t="shared" si="42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99">
        <f t="shared" si="43"/>
        <v>0</v>
      </c>
      <c r="P390" s="51"/>
      <c r="Q390" s="51"/>
      <c r="R390" s="100" t="str">
        <f t="shared" si="44"/>
        <v/>
      </c>
      <c r="S390" s="100" t="str">
        <f t="shared" si="45"/>
        <v/>
      </c>
      <c r="T390" s="101">
        <f t="shared" si="46"/>
        <v>0</v>
      </c>
      <c r="U390" s="52"/>
    </row>
    <row r="391" spans="1:21" x14ac:dyDescent="0.25">
      <c r="A391" s="46">
        <f t="shared" si="42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99">
        <f t="shared" si="43"/>
        <v>0</v>
      </c>
      <c r="P391" s="51"/>
      <c r="Q391" s="51"/>
      <c r="R391" s="100" t="str">
        <f t="shared" si="44"/>
        <v/>
      </c>
      <c r="S391" s="100" t="str">
        <f t="shared" si="45"/>
        <v/>
      </c>
      <c r="T391" s="101">
        <f t="shared" si="46"/>
        <v>0</v>
      </c>
      <c r="U391" s="52"/>
    </row>
    <row r="392" spans="1:21" x14ac:dyDescent="0.25">
      <c r="A392" s="46">
        <f t="shared" si="42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99">
        <f t="shared" si="43"/>
        <v>0</v>
      </c>
      <c r="P392" s="51"/>
      <c r="Q392" s="51"/>
      <c r="R392" s="100" t="str">
        <f t="shared" si="44"/>
        <v/>
      </c>
      <c r="S392" s="100" t="str">
        <f t="shared" si="45"/>
        <v/>
      </c>
      <c r="T392" s="101">
        <f t="shared" si="46"/>
        <v>0</v>
      </c>
      <c r="U392" s="52"/>
    </row>
    <row r="393" spans="1:21" x14ac:dyDescent="0.25">
      <c r="A393" s="46">
        <f t="shared" si="42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99">
        <f t="shared" si="43"/>
        <v>0</v>
      </c>
      <c r="P393" s="51"/>
      <c r="Q393" s="51"/>
      <c r="R393" s="100" t="str">
        <f t="shared" si="44"/>
        <v/>
      </c>
      <c r="S393" s="100" t="str">
        <f t="shared" si="45"/>
        <v/>
      </c>
      <c r="T393" s="101">
        <f t="shared" si="46"/>
        <v>0</v>
      </c>
      <c r="U393" s="52"/>
    </row>
    <row r="394" spans="1:21" x14ac:dyDescent="0.25">
      <c r="A394" s="46">
        <f t="shared" si="42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99">
        <f t="shared" si="43"/>
        <v>0</v>
      </c>
      <c r="P394" s="51"/>
      <c r="Q394" s="51"/>
      <c r="R394" s="100" t="str">
        <f t="shared" si="44"/>
        <v/>
      </c>
      <c r="S394" s="100" t="str">
        <f t="shared" si="45"/>
        <v/>
      </c>
      <c r="T394" s="101">
        <f t="shared" si="46"/>
        <v>0</v>
      </c>
      <c r="U394" s="52"/>
    </row>
    <row r="395" spans="1:21" x14ac:dyDescent="0.25">
      <c r="A395" s="46">
        <f t="shared" si="42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99">
        <f t="shared" si="43"/>
        <v>0</v>
      </c>
      <c r="P395" s="51"/>
      <c r="Q395" s="51"/>
      <c r="R395" s="100" t="str">
        <f t="shared" si="44"/>
        <v/>
      </c>
      <c r="S395" s="100" t="str">
        <f t="shared" si="45"/>
        <v/>
      </c>
      <c r="T395" s="101">
        <f t="shared" si="46"/>
        <v>0</v>
      </c>
      <c r="U395" s="52"/>
    </row>
    <row r="396" spans="1:21" x14ac:dyDescent="0.25">
      <c r="A396" s="46">
        <f t="shared" ref="A396:A411" si="47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99">
        <f t="shared" ref="O396:O411" si="48">T396*N396</f>
        <v>0</v>
      </c>
      <c r="P396" s="51"/>
      <c r="Q396" s="51"/>
      <c r="R396" s="100" t="str">
        <f t="shared" ref="R396:R411" si="49">IF(OR(P396="c",P396="C"),+T396,"")</f>
        <v/>
      </c>
      <c r="S396" s="100" t="str">
        <f t="shared" ref="S396:S411" si="50">IF(OR(P396="$",N396=1),+T396,"")</f>
        <v/>
      </c>
      <c r="T396" s="101">
        <f t="shared" ref="T396:T411" si="51">B396*FRegMainSetUpEntryFee + H396*FRegMainSetUpPool1Fee + I396*FRegMainSetUpPool2Fee + J396*FRegMainSetUpPool3Fee + K396*FRegMainSetUpPool4Fee</f>
        <v>0</v>
      </c>
      <c r="U396" s="52"/>
    </row>
    <row r="397" spans="1:21" x14ac:dyDescent="0.25">
      <c r="A397" s="46">
        <f t="shared" si="47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99">
        <f t="shared" si="48"/>
        <v>0</v>
      </c>
      <c r="P397" s="51"/>
      <c r="Q397" s="51"/>
      <c r="R397" s="100" t="str">
        <f t="shared" si="49"/>
        <v/>
      </c>
      <c r="S397" s="100" t="str">
        <f t="shared" si="50"/>
        <v/>
      </c>
      <c r="T397" s="101">
        <f t="shared" si="51"/>
        <v>0</v>
      </c>
      <c r="U397" s="52"/>
    </row>
    <row r="398" spans="1:21" x14ac:dyDescent="0.25">
      <c r="A398" s="46">
        <f t="shared" si="47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99">
        <f t="shared" si="48"/>
        <v>0</v>
      </c>
      <c r="P398" s="51"/>
      <c r="Q398" s="51"/>
      <c r="R398" s="100" t="str">
        <f t="shared" si="49"/>
        <v/>
      </c>
      <c r="S398" s="100" t="str">
        <f t="shared" si="50"/>
        <v/>
      </c>
      <c r="T398" s="101">
        <f t="shared" si="51"/>
        <v>0</v>
      </c>
      <c r="U398" s="52"/>
    </row>
    <row r="399" spans="1:21" x14ac:dyDescent="0.25">
      <c r="A399" s="46">
        <f t="shared" si="47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99">
        <f t="shared" si="48"/>
        <v>0</v>
      </c>
      <c r="P399" s="51"/>
      <c r="Q399" s="51"/>
      <c r="R399" s="100" t="str">
        <f t="shared" si="49"/>
        <v/>
      </c>
      <c r="S399" s="100" t="str">
        <f t="shared" si="50"/>
        <v/>
      </c>
      <c r="T399" s="101">
        <f t="shared" si="51"/>
        <v>0</v>
      </c>
      <c r="U399" s="52"/>
    </row>
    <row r="400" spans="1:21" x14ac:dyDescent="0.25">
      <c r="A400" s="46">
        <f t="shared" si="47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99">
        <f t="shared" si="48"/>
        <v>0</v>
      </c>
      <c r="P400" s="51"/>
      <c r="Q400" s="51"/>
      <c r="R400" s="100" t="str">
        <f t="shared" si="49"/>
        <v/>
      </c>
      <c r="S400" s="100" t="str">
        <f t="shared" si="50"/>
        <v/>
      </c>
      <c r="T400" s="101">
        <f t="shared" si="51"/>
        <v>0</v>
      </c>
      <c r="U400" s="52"/>
    </row>
    <row r="401" spans="1:21" x14ac:dyDescent="0.25">
      <c r="A401" s="46">
        <f t="shared" si="47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99">
        <f t="shared" si="48"/>
        <v>0</v>
      </c>
      <c r="P401" s="51"/>
      <c r="Q401" s="51"/>
      <c r="R401" s="100" t="str">
        <f t="shared" si="49"/>
        <v/>
      </c>
      <c r="S401" s="100" t="str">
        <f t="shared" si="50"/>
        <v/>
      </c>
      <c r="T401" s="101">
        <f t="shared" si="51"/>
        <v>0</v>
      </c>
      <c r="U401" s="52"/>
    </row>
    <row r="402" spans="1:21" x14ac:dyDescent="0.25">
      <c r="A402" s="46">
        <f t="shared" si="47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99">
        <f t="shared" si="48"/>
        <v>0</v>
      </c>
      <c r="P402" s="51"/>
      <c r="Q402" s="51"/>
      <c r="R402" s="100" t="str">
        <f t="shared" si="49"/>
        <v/>
      </c>
      <c r="S402" s="100" t="str">
        <f t="shared" si="50"/>
        <v/>
      </c>
      <c r="T402" s="101">
        <f t="shared" si="51"/>
        <v>0</v>
      </c>
      <c r="U402" s="52"/>
    </row>
    <row r="403" spans="1:21" x14ac:dyDescent="0.25">
      <c r="A403" s="46">
        <f t="shared" si="47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99">
        <f t="shared" si="48"/>
        <v>0</v>
      </c>
      <c r="P403" s="51"/>
      <c r="Q403" s="51"/>
      <c r="R403" s="100" t="str">
        <f t="shared" si="49"/>
        <v/>
      </c>
      <c r="S403" s="100" t="str">
        <f t="shared" si="50"/>
        <v/>
      </c>
      <c r="T403" s="101">
        <f t="shared" si="51"/>
        <v>0</v>
      </c>
      <c r="U403" s="52"/>
    </row>
    <row r="404" spans="1:21" x14ac:dyDescent="0.25">
      <c r="A404" s="46">
        <f t="shared" si="47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99">
        <f t="shared" si="48"/>
        <v>0</v>
      </c>
      <c r="P404" s="51"/>
      <c r="Q404" s="51"/>
      <c r="R404" s="100" t="str">
        <f t="shared" si="49"/>
        <v/>
      </c>
      <c r="S404" s="100" t="str">
        <f t="shared" si="50"/>
        <v/>
      </c>
      <c r="T404" s="101">
        <f t="shared" si="51"/>
        <v>0</v>
      </c>
      <c r="U404" s="52"/>
    </row>
    <row r="405" spans="1:21" x14ac:dyDescent="0.25">
      <c r="A405" s="46">
        <f t="shared" si="47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99">
        <f t="shared" si="48"/>
        <v>0</v>
      </c>
      <c r="P405" s="51"/>
      <c r="Q405" s="51"/>
      <c r="R405" s="100" t="str">
        <f t="shared" si="49"/>
        <v/>
      </c>
      <c r="S405" s="100" t="str">
        <f t="shared" si="50"/>
        <v/>
      </c>
      <c r="T405" s="101">
        <f t="shared" si="51"/>
        <v>0</v>
      </c>
      <c r="U405" s="52"/>
    </row>
    <row r="406" spans="1:21" x14ac:dyDescent="0.25">
      <c r="A406" s="46">
        <f t="shared" si="47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99">
        <f t="shared" si="48"/>
        <v>0</v>
      </c>
      <c r="P406" s="51"/>
      <c r="Q406" s="51"/>
      <c r="R406" s="100" t="str">
        <f t="shared" si="49"/>
        <v/>
      </c>
      <c r="S406" s="100" t="str">
        <f t="shared" si="50"/>
        <v/>
      </c>
      <c r="T406" s="101">
        <f t="shared" si="51"/>
        <v>0</v>
      </c>
      <c r="U406" s="52"/>
    </row>
    <row r="407" spans="1:21" x14ac:dyDescent="0.25">
      <c r="A407" s="46">
        <f t="shared" si="47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99">
        <f t="shared" si="48"/>
        <v>0</v>
      </c>
      <c r="P407" s="51"/>
      <c r="Q407" s="51"/>
      <c r="R407" s="100" t="str">
        <f t="shared" si="49"/>
        <v/>
      </c>
      <c r="S407" s="100" t="str">
        <f t="shared" si="50"/>
        <v/>
      </c>
      <c r="T407" s="101">
        <f t="shared" si="51"/>
        <v>0</v>
      </c>
      <c r="U407" s="52"/>
    </row>
    <row r="408" spans="1:21" x14ac:dyDescent="0.25">
      <c r="A408" s="46">
        <f t="shared" si="47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99">
        <f t="shared" si="48"/>
        <v>0</v>
      </c>
      <c r="P408" s="51"/>
      <c r="Q408" s="51"/>
      <c r="R408" s="100" t="str">
        <f t="shared" si="49"/>
        <v/>
      </c>
      <c r="S408" s="100" t="str">
        <f t="shared" si="50"/>
        <v/>
      </c>
      <c r="T408" s="101">
        <f t="shared" si="51"/>
        <v>0</v>
      </c>
      <c r="U408" s="52"/>
    </row>
    <row r="409" spans="1:21" x14ac:dyDescent="0.25">
      <c r="A409" s="46">
        <f t="shared" si="47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99">
        <f t="shared" si="48"/>
        <v>0</v>
      </c>
      <c r="P409" s="51"/>
      <c r="Q409" s="51"/>
      <c r="R409" s="100" t="str">
        <f t="shared" si="49"/>
        <v/>
      </c>
      <c r="S409" s="100" t="str">
        <f t="shared" si="50"/>
        <v/>
      </c>
      <c r="T409" s="101">
        <f t="shared" si="51"/>
        <v>0</v>
      </c>
      <c r="U409" s="52"/>
    </row>
    <row r="410" spans="1:21" x14ac:dyDescent="0.25">
      <c r="A410" s="46">
        <f t="shared" si="47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99">
        <f t="shared" si="48"/>
        <v>0</v>
      </c>
      <c r="P410" s="51"/>
      <c r="Q410" s="51"/>
      <c r="R410" s="100" t="str">
        <f t="shared" si="49"/>
        <v/>
      </c>
      <c r="S410" s="100" t="str">
        <f t="shared" si="50"/>
        <v/>
      </c>
      <c r="T410" s="101">
        <f t="shared" si="51"/>
        <v>0</v>
      </c>
      <c r="U410" s="52"/>
    </row>
    <row r="411" spans="1:21" x14ac:dyDescent="0.25">
      <c r="A411" s="46">
        <f t="shared" si="47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99">
        <f t="shared" si="48"/>
        <v>0</v>
      </c>
      <c r="P411" s="51"/>
      <c r="Q411" s="51"/>
      <c r="R411" s="100" t="str">
        <f t="shared" si="49"/>
        <v/>
      </c>
      <c r="S411" s="100" t="str">
        <f t="shared" si="50"/>
        <v/>
      </c>
      <c r="T411" s="101">
        <f t="shared" si="51"/>
        <v>0</v>
      </c>
      <c r="U411" s="52"/>
    </row>
  </sheetData>
  <sheetProtection sheet="1" objects="1" scenarios="1" selectLockedCells="1"/>
  <sortState xmlns:xlrd2="http://schemas.microsoft.com/office/spreadsheetml/2017/richdata2" ref="B12:U195">
    <sortCondition ref="C12"/>
  </sortState>
  <mergeCells count="4">
    <mergeCell ref="K2:N2"/>
    <mergeCell ref="K3:N3"/>
    <mergeCell ref="K4:N4"/>
    <mergeCell ref="K5:L5"/>
  </mergeCells>
  <hyperlinks>
    <hyperlink ref="G195" r:id="rId1" xr:uid="{00000000-0004-0000-0300-000021000000}"/>
    <hyperlink ref="G170" r:id="rId2" xr:uid="{00000000-0004-0000-0300-000020000000}"/>
    <hyperlink ref="G154" r:id="rId3" xr:uid="{00000000-0004-0000-0300-00001F000000}"/>
    <hyperlink ref="G75" r:id="rId4" xr:uid="{00000000-0004-0000-0300-00001E000000}"/>
    <hyperlink ref="G111" r:id="rId5" xr:uid="{00000000-0004-0000-0300-00001D000000}"/>
    <hyperlink ref="G127" r:id="rId6" xr:uid="{00000000-0004-0000-0300-00001C000000}"/>
    <hyperlink ref="G134" r:id="rId7" xr:uid="{00000000-0004-0000-0300-00001B000000}"/>
    <hyperlink ref="G74" r:id="rId8" xr:uid="{00000000-0004-0000-0300-00001A000000}"/>
    <hyperlink ref="G107" r:id="rId9" xr:uid="{00000000-0004-0000-0300-000019000000}"/>
    <hyperlink ref="G43" r:id="rId10" xr:uid="{00000000-0004-0000-0300-000018000000}"/>
    <hyperlink ref="G117" r:id="rId11" xr:uid="{00000000-0004-0000-0300-000017000000}"/>
    <hyperlink ref="G116" r:id="rId12" xr:uid="{00000000-0004-0000-0300-000016000000}"/>
    <hyperlink ref="G191" r:id="rId13" xr:uid="{00000000-0004-0000-0300-000015000000}"/>
    <hyperlink ref="G190" r:id="rId14" xr:uid="{00000000-0004-0000-0300-000014000000}"/>
    <hyperlink ref="G185" r:id="rId15" xr:uid="{00000000-0004-0000-0300-000013000000}"/>
    <hyperlink ref="G168" r:id="rId16" xr:uid="{00000000-0004-0000-0300-000012000000}"/>
    <hyperlink ref="G162" r:id="rId17" xr:uid="{00000000-0004-0000-0300-000011000000}"/>
    <hyperlink ref="G159" r:id="rId18" xr:uid="{00000000-0004-0000-0300-000010000000}"/>
    <hyperlink ref="G152" r:id="rId19" xr:uid="{00000000-0004-0000-0300-00000F000000}"/>
    <hyperlink ref="G147" r:id="rId20" xr:uid="{00000000-0004-0000-0300-00000E000000}"/>
    <hyperlink ref="G103" r:id="rId21" xr:uid="{00000000-0004-0000-0300-00000D000000}"/>
    <hyperlink ref="G96" r:id="rId22" xr:uid="{00000000-0004-0000-0300-00000C000000}"/>
    <hyperlink ref="G92" r:id="rId23" xr:uid="{00000000-0004-0000-0300-00000B000000}"/>
    <hyperlink ref="G91" r:id="rId24" xr:uid="{00000000-0004-0000-0300-00000A000000}"/>
    <hyperlink ref="G76" r:id="rId25" xr:uid="{00000000-0004-0000-0300-000009000000}"/>
    <hyperlink ref="G73" r:id="rId26" xr:uid="{00000000-0004-0000-0300-000008000000}"/>
    <hyperlink ref="G67" r:id="rId27" xr:uid="{00000000-0004-0000-0300-000007000000}"/>
    <hyperlink ref="G61" r:id="rId28" xr:uid="{00000000-0004-0000-0300-000006000000}"/>
    <hyperlink ref="G46" r:id="rId29" xr:uid="{00000000-0004-0000-0300-000005000000}"/>
    <hyperlink ref="G23" r:id="rId30" xr:uid="{00000000-0004-0000-0300-000004000000}"/>
    <hyperlink ref="G18" r:id="rId31" xr:uid="{00000000-0004-0000-0300-000003000000}"/>
    <hyperlink ref="G15" r:id="rId32" xr:uid="{00000000-0004-0000-0300-000002000000}"/>
    <hyperlink ref="G163" r:id="rId33" xr:uid="{00000000-0004-0000-0300-000001000000}"/>
    <hyperlink ref="G66" r:id="rId34" xr:uid="{00000000-0004-0000-0300-000000000000}"/>
  </hyperlinks>
  <pageMargins left="0.7" right="0.7" top="0.75" bottom="0.75" header="0.3" footer="0.3"/>
  <pageSetup orientation="portrait" r:id="rId35"/>
  <drawing r:id="rId36"/>
  <legacyDrawing r:id="rId3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8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39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0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1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2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43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44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45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46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47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48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49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50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51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52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53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54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55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56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57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58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59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60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61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2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L45"/>
  <sheetViews>
    <sheetView showZeros="0" workbookViewId="0">
      <selection activeCell="B3" sqref="B3"/>
    </sheetView>
  </sheetViews>
  <sheetFormatPr defaultRowHeight="15" x14ac:dyDescent="0.25"/>
  <cols>
    <col min="1" max="2" width="24.28515625" customWidth="1"/>
    <col min="3" max="3" width="11.85546875" customWidth="1"/>
    <col min="4" max="7" width="4.85546875" customWidth="1"/>
    <col min="8" max="9" width="0" hidden="1" customWidth="1"/>
    <col min="10" max="10" width="7" customWidth="1"/>
  </cols>
  <sheetData>
    <row r="2" spans="1:12" ht="21" x14ac:dyDescent="0.35">
      <c r="A2" s="65" t="s">
        <v>604</v>
      </c>
    </row>
    <row r="3" spans="1:12" x14ac:dyDescent="0.25">
      <c r="K3" s="66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7" t="s">
        <v>606</v>
      </c>
      <c r="L4" s="68" t="s">
        <v>607</v>
      </c>
    </row>
    <row r="5" spans="1:12" x14ac:dyDescent="0.25">
      <c r="A5" s="15"/>
      <c r="B5" s="15"/>
      <c r="C5" s="10"/>
      <c r="D5" s="49"/>
      <c r="E5" s="49"/>
      <c r="F5" s="49"/>
      <c r="G5" s="49"/>
      <c r="H5" s="47"/>
      <c r="I5" s="47"/>
      <c r="J5" s="47"/>
      <c r="K5" s="69"/>
      <c r="L5" s="70"/>
    </row>
    <row r="6" spans="1:12" x14ac:dyDescent="0.25">
      <c r="A6" s="15"/>
      <c r="B6" s="15"/>
      <c r="C6" s="10"/>
      <c r="D6" s="49"/>
      <c r="E6" s="47"/>
      <c r="F6" s="47"/>
      <c r="G6" s="47"/>
      <c r="H6" s="47"/>
      <c r="I6" s="47"/>
      <c r="J6" s="47"/>
      <c r="K6" s="69"/>
      <c r="L6" s="70"/>
    </row>
    <row r="7" spans="1:12" x14ac:dyDescent="0.25">
      <c r="A7" s="15"/>
      <c r="B7" s="15"/>
      <c r="C7" s="10"/>
      <c r="D7" s="54"/>
      <c r="E7" s="54"/>
      <c r="F7" s="54"/>
      <c r="G7" s="55"/>
      <c r="H7" s="55"/>
      <c r="I7" s="55"/>
      <c r="J7" s="55"/>
      <c r="K7" s="69"/>
      <c r="L7" s="70"/>
    </row>
    <row r="8" spans="1:12" x14ac:dyDescent="0.25">
      <c r="A8" s="15"/>
      <c r="B8" s="15"/>
      <c r="C8" s="10"/>
      <c r="D8" s="49"/>
      <c r="E8" s="47"/>
      <c r="F8" s="47"/>
      <c r="G8" s="47"/>
      <c r="H8" s="47"/>
      <c r="I8" s="47"/>
      <c r="J8" s="47"/>
      <c r="K8" s="69"/>
      <c r="L8" s="70"/>
    </row>
    <row r="9" spans="1:12" x14ac:dyDescent="0.25">
      <c r="A9" s="5"/>
      <c r="B9" s="5"/>
      <c r="C9" s="6"/>
      <c r="D9" s="54"/>
      <c r="E9" s="54"/>
      <c r="F9" s="54"/>
      <c r="G9" s="55"/>
      <c r="H9" s="55"/>
      <c r="I9" s="55"/>
      <c r="J9" s="55"/>
      <c r="K9" s="69"/>
      <c r="L9" s="70"/>
    </row>
    <row r="10" spans="1:12" x14ac:dyDescent="0.25">
      <c r="A10" s="15"/>
      <c r="B10" s="15"/>
      <c r="C10" s="10"/>
      <c r="D10" s="49"/>
      <c r="E10" s="47"/>
      <c r="F10" s="47"/>
      <c r="G10" s="47"/>
      <c r="H10" s="47"/>
      <c r="I10" s="47"/>
      <c r="J10" s="47"/>
      <c r="K10" s="69"/>
      <c r="L10" s="70"/>
    </row>
    <row r="11" spans="1:12" x14ac:dyDescent="0.25">
      <c r="A11" s="5"/>
      <c r="B11" s="5"/>
      <c r="C11" s="6"/>
      <c r="D11" s="49"/>
      <c r="E11" s="47"/>
      <c r="F11" s="47"/>
      <c r="G11" s="47"/>
      <c r="H11" s="47"/>
      <c r="I11" s="47"/>
      <c r="J11" s="47"/>
      <c r="K11" s="69"/>
      <c r="L11" s="70"/>
    </row>
    <row r="12" spans="1:12" x14ac:dyDescent="0.25">
      <c r="A12" s="7"/>
      <c r="B12" s="7"/>
      <c r="C12" s="8"/>
      <c r="D12" s="55"/>
      <c r="E12" s="55"/>
      <c r="F12" s="55"/>
      <c r="G12" s="55"/>
      <c r="H12" s="55"/>
      <c r="I12" s="55"/>
      <c r="J12" s="55"/>
      <c r="K12" s="69"/>
      <c r="L12" s="70"/>
    </row>
    <row r="13" spans="1:12" x14ac:dyDescent="0.25">
      <c r="A13" s="15"/>
      <c r="B13" s="15"/>
      <c r="C13" s="10"/>
      <c r="D13" s="54"/>
      <c r="E13" s="54"/>
      <c r="F13" s="54"/>
      <c r="G13" s="55"/>
      <c r="H13" s="55"/>
      <c r="I13" s="55"/>
      <c r="J13" s="55"/>
      <c r="K13" s="69"/>
      <c r="L13" s="70"/>
    </row>
    <row r="14" spans="1:12" x14ac:dyDescent="0.25">
      <c r="A14" s="5"/>
      <c r="B14" s="5"/>
      <c r="C14" s="6"/>
      <c r="D14" s="54"/>
      <c r="E14" s="54"/>
      <c r="F14" s="54"/>
      <c r="G14" s="55"/>
      <c r="H14" s="55"/>
      <c r="I14" s="55"/>
      <c r="J14" s="55"/>
      <c r="K14" s="69"/>
      <c r="L14" s="70"/>
    </row>
    <row r="15" spans="1:12" x14ac:dyDescent="0.25">
      <c r="A15" s="7"/>
      <c r="B15" s="12"/>
      <c r="C15" s="8"/>
      <c r="D15" s="49"/>
      <c r="E15" s="47"/>
      <c r="F15" s="47"/>
      <c r="G15" s="47"/>
      <c r="H15" s="47"/>
      <c r="I15" s="47"/>
      <c r="J15" s="47"/>
      <c r="K15" s="69"/>
      <c r="L15" s="70"/>
    </row>
    <row r="16" spans="1:12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9"/>
      <c r="L16" s="70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9"/>
      <c r="L17" s="70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9"/>
      <c r="L18" s="70"/>
    </row>
    <row r="19" spans="1:12" x14ac:dyDescent="0.25">
      <c r="A19" s="15"/>
      <c r="B19" s="15"/>
      <c r="C19" s="10"/>
      <c r="D19" s="54"/>
      <c r="E19" s="54"/>
      <c r="F19" s="54"/>
      <c r="G19" s="55"/>
      <c r="H19" s="55"/>
      <c r="I19" s="55"/>
      <c r="J19" s="55"/>
      <c r="K19" s="69"/>
      <c r="L19" s="70"/>
    </row>
    <row r="20" spans="1:12" x14ac:dyDescent="0.25">
      <c r="A20" s="5"/>
      <c r="B20" s="5"/>
      <c r="C20" s="6"/>
      <c r="D20" s="54"/>
      <c r="E20" s="54"/>
      <c r="F20" s="54"/>
      <c r="G20" s="55"/>
      <c r="H20" s="55"/>
      <c r="I20" s="55"/>
      <c r="J20" s="55"/>
      <c r="K20" s="69"/>
      <c r="L20" s="70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9"/>
      <c r="L21" s="70"/>
    </row>
    <row r="22" spans="1:12" x14ac:dyDescent="0.25">
      <c r="A22" s="15"/>
      <c r="B22" s="15"/>
      <c r="C22" s="10"/>
      <c r="D22" s="49"/>
      <c r="E22" s="47"/>
      <c r="F22" s="47"/>
      <c r="G22" s="47"/>
      <c r="H22" s="47"/>
      <c r="I22" s="47"/>
      <c r="J22" s="47"/>
      <c r="K22" s="69"/>
      <c r="L22" s="70"/>
    </row>
    <row r="23" spans="1:12" x14ac:dyDescent="0.25">
      <c r="A23" s="5"/>
      <c r="B23" s="5"/>
      <c r="C23" s="6"/>
      <c r="D23" s="54"/>
      <c r="E23" s="54"/>
      <c r="F23" s="54"/>
      <c r="G23" s="55"/>
      <c r="H23" s="55"/>
      <c r="I23" s="55"/>
      <c r="J23" s="55"/>
      <c r="K23" s="69"/>
      <c r="L23" s="70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9"/>
      <c r="L24" s="70"/>
    </row>
    <row r="25" spans="1:12" x14ac:dyDescent="0.25">
      <c r="A25" s="7"/>
      <c r="B25" s="7"/>
      <c r="C25" s="8"/>
      <c r="D25" s="55"/>
      <c r="E25" s="55"/>
      <c r="F25" s="55"/>
      <c r="G25" s="55"/>
      <c r="H25" s="55"/>
      <c r="I25" s="55"/>
      <c r="J25" s="55"/>
      <c r="K25" s="69"/>
      <c r="L25" s="70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9"/>
      <c r="L26" s="70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9"/>
      <c r="L27" s="70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9"/>
      <c r="L28" s="70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9"/>
      <c r="L29" s="70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9"/>
      <c r="L30" s="70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9"/>
      <c r="L31" s="70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9"/>
      <c r="L32" s="70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9"/>
      <c r="L33" s="70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9"/>
      <c r="L34" s="70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9"/>
      <c r="L35" s="70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9"/>
      <c r="L36" s="70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9"/>
      <c r="L37" s="70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9"/>
      <c r="L38" s="70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9"/>
      <c r="L39" s="70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9"/>
      <c r="L40" s="70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9"/>
      <c r="L41" s="70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9"/>
      <c r="L42" s="70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9"/>
      <c r="L43" s="70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9"/>
      <c r="L44" s="70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9"/>
      <c r="L45" s="70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8" t="s">
        <v>3</v>
      </c>
    </row>
    <row r="7" spans="3:5" x14ac:dyDescent="0.25">
      <c r="C7" s="7"/>
      <c r="D7" s="7"/>
      <c r="E7" s="8"/>
    </row>
    <row r="8" spans="3:5" x14ac:dyDescent="0.25">
      <c r="C8" s="15"/>
      <c r="D8" s="15"/>
      <c r="E8" s="10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9"/>
      <c r="D31" s="89"/>
      <c r="E31" s="90"/>
    </row>
    <row r="32" spans="3:5" x14ac:dyDescent="0.25">
      <c r="C32" s="89"/>
      <c r="D32" s="89"/>
      <c r="E32" s="90"/>
    </row>
    <row r="33" spans="3:5" ht="15.75" x14ac:dyDescent="0.25">
      <c r="C33" s="89"/>
      <c r="D33" s="89"/>
      <c r="E33" s="91"/>
    </row>
    <row r="34" spans="3:5" x14ac:dyDescent="0.25">
      <c r="C34" s="13"/>
      <c r="D34" s="13"/>
      <c r="E34" s="11"/>
    </row>
    <row r="35" spans="3:5" x14ac:dyDescent="0.25">
      <c r="C35" s="89"/>
      <c r="D35" s="89"/>
      <c r="E35" s="90"/>
    </row>
    <row r="36" spans="3:5" x14ac:dyDescent="0.25">
      <c r="C36" s="89"/>
      <c r="D36" s="89"/>
      <c r="E36" s="90"/>
    </row>
    <row r="37" spans="3:5" x14ac:dyDescent="0.25">
      <c r="C37" s="13"/>
      <c r="D37" s="13"/>
      <c r="E37" s="11"/>
    </row>
    <row r="38" spans="3:5" x14ac:dyDescent="0.25">
      <c r="C38" s="89"/>
      <c r="D38" s="89"/>
      <c r="E38" s="90"/>
    </row>
    <row r="39" spans="3:5" x14ac:dyDescent="0.25">
      <c r="C39" s="89"/>
      <c r="D39" s="89"/>
      <c r="E39" s="90"/>
    </row>
    <row r="40" spans="3:5" x14ac:dyDescent="0.25">
      <c r="C40" s="13"/>
      <c r="D40" s="13"/>
      <c r="E40" s="11"/>
    </row>
    <row r="41" spans="3:5" x14ac:dyDescent="0.25">
      <c r="C41" s="89"/>
      <c r="D41" s="89"/>
      <c r="E41" s="90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9"/>
      <c r="D44" s="89"/>
      <c r="E44" s="90"/>
    </row>
    <row r="45" spans="3:5" x14ac:dyDescent="0.25">
      <c r="C45" s="89"/>
      <c r="D45" s="89"/>
      <c r="E45" s="90"/>
    </row>
    <row r="46" spans="3:5" x14ac:dyDescent="0.25">
      <c r="C46" s="13"/>
      <c r="D46" s="13"/>
      <c r="E46" s="11"/>
    </row>
    <row r="47" spans="3:5" x14ac:dyDescent="0.25">
      <c r="C47" s="89"/>
      <c r="D47" s="89"/>
      <c r="E47" s="90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9"/>
      <c r="D52" s="89"/>
      <c r="E52" s="90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3"/>
    </row>
    <row r="58" spans="3:5" x14ac:dyDescent="0.25">
      <c r="C58" s="13"/>
      <c r="D58" s="89"/>
      <c r="E58" s="11"/>
    </row>
    <row r="59" spans="3:5" x14ac:dyDescent="0.25">
      <c r="C59" s="13"/>
      <c r="D59" s="13"/>
      <c r="E59" s="11"/>
    </row>
    <row r="60" spans="3:5" x14ac:dyDescent="0.25">
      <c r="C60" s="89"/>
      <c r="D60" s="89"/>
      <c r="E60" s="90"/>
    </row>
    <row r="61" spans="3:5" x14ac:dyDescent="0.25">
      <c r="C61" s="92"/>
      <c r="D61" s="89"/>
      <c r="E61" s="90"/>
    </row>
    <row r="62" spans="3:5" x14ac:dyDescent="0.25">
      <c r="C62" s="89"/>
      <c r="D62" s="89"/>
      <c r="E62" s="90"/>
    </row>
    <row r="63" spans="3:5" x14ac:dyDescent="0.25">
      <c r="C63" s="13"/>
      <c r="D63" s="13"/>
      <c r="E63" s="11"/>
    </row>
    <row r="64" spans="3:5" x14ac:dyDescent="0.25">
      <c r="C64" s="89"/>
      <c r="D64" s="89"/>
      <c r="E64" s="90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9"/>
      <c r="D68" s="89"/>
      <c r="E68" s="90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9"/>
      <c r="D72" s="89"/>
      <c r="E72" s="90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9"/>
      <c r="D78" s="89"/>
      <c r="E78" s="90"/>
    </row>
    <row r="79" spans="3:5" x14ac:dyDescent="0.25">
      <c r="C79" s="89"/>
      <c r="D79" s="89"/>
      <c r="E79" s="90"/>
    </row>
    <row r="80" spans="3:5" x14ac:dyDescent="0.25">
      <c r="C80" s="13"/>
      <c r="D80" s="13"/>
      <c r="E80" s="11"/>
    </row>
    <row r="81" spans="3:5" x14ac:dyDescent="0.25">
      <c r="C81" s="89"/>
      <c r="D81" s="89"/>
      <c r="E81" s="90"/>
    </row>
    <row r="82" spans="3:5" x14ac:dyDescent="0.25">
      <c r="C82" s="13"/>
      <c r="D82" s="13"/>
      <c r="E82" s="11"/>
    </row>
    <row r="83" spans="3:5" x14ac:dyDescent="0.25">
      <c r="C83" s="89"/>
      <c r="D83" s="89"/>
      <c r="E83" s="90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9"/>
      <c r="D86" s="89"/>
      <c r="E86" s="90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9"/>
      <c r="D90" s="92"/>
      <c r="E90" s="90"/>
    </row>
    <row r="91" spans="3:5" x14ac:dyDescent="0.25">
      <c r="C91" s="89"/>
      <c r="D91" s="89"/>
      <c r="E91" s="90"/>
    </row>
    <row r="92" spans="3:5" x14ac:dyDescent="0.25">
      <c r="C92" s="89"/>
      <c r="D92" s="89"/>
      <c r="E92" s="90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9"/>
      <c r="D96" s="89"/>
      <c r="E96" s="90"/>
    </row>
    <row r="97" spans="3:5" x14ac:dyDescent="0.25">
      <c r="C97" s="89"/>
      <c r="D97" s="89"/>
      <c r="E97" s="90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9"/>
      <c r="D104" s="89"/>
      <c r="E104" s="90"/>
    </row>
    <row r="105" spans="3:5" x14ac:dyDescent="0.25">
      <c r="C105" s="13"/>
      <c r="D105" s="13"/>
      <c r="E105" s="11"/>
    </row>
    <row r="106" spans="3:5" x14ac:dyDescent="0.25">
      <c r="C106" s="89"/>
      <c r="D106" s="89"/>
      <c r="E106" s="90"/>
    </row>
    <row r="107" spans="3:5" x14ac:dyDescent="0.25">
      <c r="C107" s="13"/>
      <c r="D107" s="13"/>
      <c r="E107" s="11"/>
    </row>
    <row r="108" spans="3:5" x14ac:dyDescent="0.25">
      <c r="C108" s="89"/>
      <c r="D108" s="89"/>
      <c r="E108" s="90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9"/>
      <c r="D111" s="89"/>
      <c r="E111" s="90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9"/>
      <c r="D114" s="89"/>
      <c r="E114" s="90"/>
    </row>
    <row r="115" spans="3:5" x14ac:dyDescent="0.25">
      <c r="C115" s="13"/>
      <c r="D115" s="13"/>
      <c r="E115" s="11"/>
    </row>
    <row r="116" spans="3:5" x14ac:dyDescent="0.25">
      <c r="C116" s="89"/>
      <c r="D116" s="89"/>
      <c r="E116" s="90"/>
    </row>
    <row r="117" spans="3:5" x14ac:dyDescent="0.25">
      <c r="C117" s="13"/>
      <c r="D117" s="13"/>
      <c r="E117" s="11"/>
    </row>
    <row r="118" spans="3:5" x14ac:dyDescent="0.25">
      <c r="C118" s="89"/>
      <c r="D118" s="89"/>
      <c r="E118" s="90"/>
    </row>
    <row r="119" spans="3:5" x14ac:dyDescent="0.25">
      <c r="C119" s="13"/>
      <c r="D119" s="13"/>
      <c r="E119" s="11"/>
    </row>
    <row r="120" spans="3:5" x14ac:dyDescent="0.25">
      <c r="C120" s="89"/>
      <c r="D120" s="89"/>
      <c r="E120" s="90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9"/>
      <c r="D126" s="89"/>
      <c r="E126" s="90"/>
    </row>
    <row r="127" spans="3:5" x14ac:dyDescent="0.25">
      <c r="C127" s="13"/>
      <c r="D127" s="13"/>
      <c r="E127" s="11"/>
    </row>
    <row r="128" spans="3:5" x14ac:dyDescent="0.25">
      <c r="C128" s="89"/>
      <c r="D128" s="89"/>
      <c r="E128" s="90"/>
    </row>
    <row r="129" spans="3:5" x14ac:dyDescent="0.25">
      <c r="C129" s="89"/>
      <c r="D129" s="89"/>
      <c r="E129" s="90"/>
    </row>
    <row r="130" spans="3:5" x14ac:dyDescent="0.25">
      <c r="C130" s="89"/>
      <c r="D130" s="89"/>
      <c r="E130" s="90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9"/>
      <c r="D135" s="89"/>
      <c r="E135" s="90"/>
    </row>
    <row r="136" spans="3:5" ht="15.75" x14ac:dyDescent="0.25">
      <c r="C136" s="93"/>
      <c r="D136" s="93"/>
      <c r="E136" s="11"/>
    </row>
    <row r="137" spans="3:5" x14ac:dyDescent="0.25">
      <c r="C137" s="13"/>
      <c r="D137" s="13"/>
      <c r="E137" s="11"/>
    </row>
    <row r="138" spans="3:5" ht="15.75" x14ac:dyDescent="0.25">
      <c r="C138" s="93"/>
      <c r="D138" s="93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9"/>
      <c r="D142" s="89"/>
      <c r="E142" s="90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9"/>
      <c r="D147" s="89"/>
      <c r="E147" s="90"/>
    </row>
    <row r="148" spans="3:5" x14ac:dyDescent="0.25">
      <c r="C148" s="89"/>
      <c r="D148" s="89"/>
      <c r="E148" s="90"/>
    </row>
    <row r="149" spans="3:5" x14ac:dyDescent="0.25">
      <c r="C149" s="89"/>
      <c r="D149" s="89"/>
      <c r="E149" s="90"/>
    </row>
    <row r="150" spans="3:5" x14ac:dyDescent="0.25">
      <c r="C150" s="89"/>
      <c r="D150" s="89"/>
      <c r="E150" s="90"/>
    </row>
    <row r="151" spans="3:5" x14ac:dyDescent="0.25">
      <c r="C151" s="13"/>
      <c r="D151" s="13"/>
      <c r="E151" s="11"/>
    </row>
    <row r="152" spans="3:5" x14ac:dyDescent="0.25">
      <c r="C152" s="89"/>
      <c r="D152" s="89"/>
      <c r="E152" s="90"/>
    </row>
    <row r="153" spans="3:5" x14ac:dyDescent="0.25">
      <c r="C153" s="13"/>
      <c r="D153" s="13"/>
      <c r="E153" s="11"/>
    </row>
    <row r="154" spans="3:5" x14ac:dyDescent="0.25">
      <c r="C154" s="89"/>
      <c r="D154" s="89"/>
      <c r="E154" s="90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9"/>
      <c r="D162" s="89"/>
      <c r="E162" s="90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E406"/>
  <sheetViews>
    <sheetView workbookViewId="0">
      <selection activeCell="C7" sqref="C7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4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7"/>
      <c r="D7" s="7"/>
      <c r="E7" s="8"/>
    </row>
    <row r="8" spans="3:5" x14ac:dyDescent="0.25">
      <c r="C8" s="7"/>
      <c r="D8" s="12"/>
      <c r="E8" s="8"/>
    </row>
    <row r="9" spans="3:5" x14ac:dyDescent="0.25">
      <c r="C9" s="15"/>
      <c r="D9" s="15"/>
      <c r="E9" s="10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9"/>
      <c r="D31" s="89"/>
      <c r="E31" s="90"/>
    </row>
    <row r="32" spans="3:5" x14ac:dyDescent="0.25">
      <c r="C32" s="89"/>
      <c r="D32" s="89"/>
      <c r="E32" s="90"/>
    </row>
    <row r="33" spans="3:5" ht="15.75" x14ac:dyDescent="0.25">
      <c r="C33" s="89"/>
      <c r="D33" s="89"/>
      <c r="E33" s="91"/>
    </row>
    <row r="34" spans="3:5" x14ac:dyDescent="0.25">
      <c r="C34" s="13"/>
      <c r="D34" s="13"/>
      <c r="E34" s="11"/>
    </row>
    <row r="35" spans="3:5" x14ac:dyDescent="0.25">
      <c r="C35" s="89"/>
      <c r="D35" s="89"/>
      <c r="E35" s="90"/>
    </row>
    <row r="36" spans="3:5" x14ac:dyDescent="0.25">
      <c r="C36" s="89"/>
      <c r="D36" s="89"/>
      <c r="E36" s="90"/>
    </row>
    <row r="37" spans="3:5" x14ac:dyDescent="0.25">
      <c r="C37" s="13"/>
      <c r="D37" s="13"/>
      <c r="E37" s="11"/>
    </row>
    <row r="38" spans="3:5" x14ac:dyDescent="0.25">
      <c r="C38" s="89"/>
      <c r="D38" s="89"/>
      <c r="E38" s="90"/>
    </row>
    <row r="39" spans="3:5" x14ac:dyDescent="0.25">
      <c r="C39" s="89"/>
      <c r="D39" s="89"/>
      <c r="E39" s="90"/>
    </row>
    <row r="40" spans="3:5" x14ac:dyDescent="0.25">
      <c r="C40" s="13"/>
      <c r="D40" s="13"/>
      <c r="E40" s="11"/>
    </row>
    <row r="41" spans="3:5" x14ac:dyDescent="0.25">
      <c r="C41" s="89"/>
      <c r="D41" s="89"/>
      <c r="E41" s="90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9"/>
      <c r="D44" s="89"/>
      <c r="E44" s="90"/>
    </row>
    <row r="45" spans="3:5" x14ac:dyDescent="0.25">
      <c r="C45" s="89"/>
      <c r="D45" s="89"/>
      <c r="E45" s="90"/>
    </row>
    <row r="46" spans="3:5" x14ac:dyDescent="0.25">
      <c r="C46" s="13"/>
      <c r="D46" s="13"/>
      <c r="E46" s="11"/>
    </row>
    <row r="47" spans="3:5" x14ac:dyDescent="0.25">
      <c r="C47" s="89"/>
      <c r="D47" s="89"/>
      <c r="E47" s="90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9"/>
      <c r="D52" s="89"/>
      <c r="E52" s="90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3"/>
    </row>
    <row r="58" spans="3:5" x14ac:dyDescent="0.25">
      <c r="C58" s="13"/>
      <c r="D58" s="89"/>
      <c r="E58" s="11"/>
    </row>
    <row r="59" spans="3:5" x14ac:dyDescent="0.25">
      <c r="C59" s="13"/>
      <c r="D59" s="13"/>
      <c r="E59" s="11"/>
    </row>
    <row r="60" spans="3:5" x14ac:dyDescent="0.25">
      <c r="C60" s="89"/>
      <c r="D60" s="89"/>
      <c r="E60" s="90"/>
    </row>
    <row r="61" spans="3:5" x14ac:dyDescent="0.25">
      <c r="C61" s="92"/>
      <c r="D61" s="89"/>
      <c r="E61" s="90"/>
    </row>
    <row r="62" spans="3:5" x14ac:dyDescent="0.25">
      <c r="C62" s="89"/>
      <c r="D62" s="89"/>
      <c r="E62" s="90"/>
    </row>
    <row r="63" spans="3:5" x14ac:dyDescent="0.25">
      <c r="C63" s="13"/>
      <c r="D63" s="13"/>
      <c r="E63" s="11"/>
    </row>
    <row r="64" spans="3:5" x14ac:dyDescent="0.25">
      <c r="C64" s="89"/>
      <c r="D64" s="89"/>
      <c r="E64" s="90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9"/>
      <c r="D68" s="89"/>
      <c r="E68" s="90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9"/>
      <c r="D72" s="89"/>
      <c r="E72" s="90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9"/>
      <c r="D78" s="89"/>
      <c r="E78" s="90"/>
    </row>
    <row r="79" spans="3:5" x14ac:dyDescent="0.25">
      <c r="C79" s="89"/>
      <c r="D79" s="89"/>
      <c r="E79" s="90"/>
    </row>
    <row r="80" spans="3:5" x14ac:dyDescent="0.25">
      <c r="C80" s="13"/>
      <c r="D80" s="13"/>
      <c r="E80" s="11"/>
    </row>
    <row r="81" spans="3:5" x14ac:dyDescent="0.25">
      <c r="C81" s="89"/>
      <c r="D81" s="89"/>
      <c r="E81" s="90"/>
    </row>
    <row r="82" spans="3:5" x14ac:dyDescent="0.25">
      <c r="C82" s="13"/>
      <c r="D82" s="13"/>
      <c r="E82" s="11"/>
    </row>
    <row r="83" spans="3:5" x14ac:dyDescent="0.25">
      <c r="C83" s="89"/>
      <c r="D83" s="89"/>
      <c r="E83" s="90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9"/>
      <c r="D86" s="89"/>
      <c r="E86" s="90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9"/>
      <c r="D90" s="92"/>
      <c r="E90" s="90"/>
    </row>
    <row r="91" spans="3:5" x14ac:dyDescent="0.25">
      <c r="C91" s="89"/>
      <c r="D91" s="89"/>
      <c r="E91" s="90"/>
    </row>
    <row r="92" spans="3:5" x14ac:dyDescent="0.25">
      <c r="C92" s="89"/>
      <c r="D92" s="89"/>
      <c r="E92" s="90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9"/>
      <c r="D96" s="89"/>
      <c r="E96" s="90"/>
    </row>
    <row r="97" spans="3:5" x14ac:dyDescent="0.25">
      <c r="C97" s="89"/>
      <c r="D97" s="89"/>
      <c r="E97" s="90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9"/>
      <c r="D104" s="89"/>
      <c r="E104" s="90"/>
    </row>
    <row r="105" spans="3:5" x14ac:dyDescent="0.25">
      <c r="C105" s="13"/>
      <c r="D105" s="13"/>
      <c r="E105" s="11"/>
    </row>
    <row r="106" spans="3:5" x14ac:dyDescent="0.25">
      <c r="C106" s="89"/>
      <c r="D106" s="89"/>
      <c r="E106" s="90"/>
    </row>
    <row r="107" spans="3:5" x14ac:dyDescent="0.25">
      <c r="C107" s="13"/>
      <c r="D107" s="13"/>
      <c r="E107" s="11"/>
    </row>
    <row r="108" spans="3:5" x14ac:dyDescent="0.25">
      <c r="C108" s="89"/>
      <c r="D108" s="89"/>
      <c r="E108" s="90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9"/>
      <c r="D111" s="89"/>
      <c r="E111" s="90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9"/>
      <c r="D114" s="89"/>
      <c r="E114" s="90"/>
    </row>
    <row r="115" spans="3:5" x14ac:dyDescent="0.25">
      <c r="C115" s="13"/>
      <c r="D115" s="13"/>
      <c r="E115" s="11"/>
    </row>
    <row r="116" spans="3:5" x14ac:dyDescent="0.25">
      <c r="C116" s="89"/>
      <c r="D116" s="89"/>
      <c r="E116" s="90"/>
    </row>
    <row r="117" spans="3:5" x14ac:dyDescent="0.25">
      <c r="C117" s="13"/>
      <c r="D117" s="13"/>
      <c r="E117" s="11"/>
    </row>
    <row r="118" spans="3:5" x14ac:dyDescent="0.25">
      <c r="C118" s="89"/>
      <c r="D118" s="89"/>
      <c r="E118" s="90"/>
    </row>
    <row r="119" spans="3:5" x14ac:dyDescent="0.25">
      <c r="C119" s="13"/>
      <c r="D119" s="13"/>
      <c r="E119" s="11"/>
    </row>
    <row r="120" spans="3:5" x14ac:dyDescent="0.25">
      <c r="C120" s="89"/>
      <c r="D120" s="89"/>
      <c r="E120" s="90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9"/>
      <c r="D126" s="89"/>
      <c r="E126" s="90"/>
    </row>
    <row r="127" spans="3:5" x14ac:dyDescent="0.25">
      <c r="C127" s="13"/>
      <c r="D127" s="13"/>
      <c r="E127" s="11"/>
    </row>
    <row r="128" spans="3:5" x14ac:dyDescent="0.25">
      <c r="C128" s="89"/>
      <c r="D128" s="89"/>
      <c r="E128" s="90"/>
    </row>
    <row r="129" spans="3:5" x14ac:dyDescent="0.25">
      <c r="C129" s="89"/>
      <c r="D129" s="89"/>
      <c r="E129" s="90"/>
    </row>
    <row r="130" spans="3:5" x14ac:dyDescent="0.25">
      <c r="C130" s="89"/>
      <c r="D130" s="89"/>
      <c r="E130" s="90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9"/>
      <c r="D135" s="89"/>
      <c r="E135" s="90"/>
    </row>
    <row r="136" spans="3:5" ht="15.75" x14ac:dyDescent="0.25">
      <c r="C136" s="93"/>
      <c r="D136" s="93"/>
      <c r="E136" s="11"/>
    </row>
    <row r="137" spans="3:5" x14ac:dyDescent="0.25">
      <c r="C137" s="13"/>
      <c r="D137" s="13"/>
      <c r="E137" s="11"/>
    </row>
    <row r="138" spans="3:5" ht="15.75" x14ac:dyDescent="0.25">
      <c r="C138" s="93"/>
      <c r="D138" s="93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9"/>
      <c r="D142" s="89"/>
      <c r="E142" s="90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9"/>
      <c r="D147" s="89"/>
      <c r="E147" s="90"/>
    </row>
    <row r="148" spans="3:5" x14ac:dyDescent="0.25">
      <c r="C148" s="89"/>
      <c r="D148" s="89"/>
      <c r="E148" s="90"/>
    </row>
    <row r="149" spans="3:5" x14ac:dyDescent="0.25">
      <c r="C149" s="89"/>
      <c r="D149" s="89"/>
      <c r="E149" s="90"/>
    </row>
    <row r="150" spans="3:5" x14ac:dyDescent="0.25">
      <c r="C150" s="89"/>
      <c r="D150" s="89"/>
      <c r="E150" s="90"/>
    </row>
    <row r="151" spans="3:5" x14ac:dyDescent="0.25">
      <c r="C151" s="13"/>
      <c r="D151" s="13"/>
      <c r="E151" s="11"/>
    </row>
    <row r="152" spans="3:5" x14ac:dyDescent="0.25">
      <c r="C152" s="89"/>
      <c r="D152" s="89"/>
      <c r="E152" s="90"/>
    </row>
    <row r="153" spans="3:5" x14ac:dyDescent="0.25">
      <c r="C153" s="13"/>
      <c r="D153" s="13"/>
      <c r="E153" s="11"/>
    </row>
    <row r="154" spans="3:5" x14ac:dyDescent="0.25">
      <c r="C154" s="89"/>
      <c r="D154" s="89"/>
      <c r="E154" s="90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9"/>
      <c r="D162" s="89"/>
      <c r="E162" s="90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3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7"/>
      <c r="E5" s="58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9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60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9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61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61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2">
        <v>7078430109</v>
      </c>
      <c r="E12" s="59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61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61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3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2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2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61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61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61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61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2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61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9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7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7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7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7">
        <v>7073175740</v>
      </c>
      <c r="E31" s="59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7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7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7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3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3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7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9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3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3">
        <v>4152058885</v>
      </c>
      <c r="E50" s="59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3">
        <v>4152052574</v>
      </c>
      <c r="E51" s="59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7">
        <v>9166997163</v>
      </c>
      <c r="E55" s="59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7">
        <v>5104613953</v>
      </c>
      <c r="E56" s="59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7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3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7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3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9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7">
        <v>4084722020</v>
      </c>
      <c r="E73" s="59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4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7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9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7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7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9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7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7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7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9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9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3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61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60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7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7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7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3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7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7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7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7">
        <v>5105046905</v>
      </c>
      <c r="E121" s="59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3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7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60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7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9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7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9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9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9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3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7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9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60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7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7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7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9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60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9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9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00000000-0004-0000-0700-000000000000}"/>
    <hyperlink ref="E135" r:id="rId2" xr:uid="{00000000-0004-0000-0700-000001000000}"/>
    <hyperlink ref="E6" r:id="rId3" xr:uid="{00000000-0004-0000-0700-000002000000}"/>
    <hyperlink ref="E9" r:id="rId4" xr:uid="{00000000-0004-0000-0700-000003000000}"/>
    <hyperlink ref="E12" r:id="rId5" xr:uid="{00000000-0004-0000-0700-000004000000}"/>
    <hyperlink ref="E31" r:id="rId6" xr:uid="{00000000-0004-0000-0700-000005000000}"/>
    <hyperlink ref="E46" r:id="rId7" xr:uid="{00000000-0004-0000-0700-000006000000}"/>
    <hyperlink ref="E51" r:id="rId8" xr:uid="{00000000-0004-0000-0700-000007000000}"/>
    <hyperlink ref="E55" r:id="rId9" xr:uid="{00000000-0004-0000-0700-000008000000}"/>
    <hyperlink ref="E56" r:id="rId10" xr:uid="{00000000-0004-0000-0700-000009000000}"/>
    <hyperlink ref="E72" r:id="rId11" xr:uid="{00000000-0004-0000-0700-00000A000000}"/>
    <hyperlink ref="E73" r:id="rId12" xr:uid="{00000000-0004-0000-0700-00000B000000}"/>
    <hyperlink ref="E77" r:id="rId13" xr:uid="{00000000-0004-0000-0700-00000C000000}"/>
    <hyperlink ref="E83" r:id="rId14" xr:uid="{00000000-0004-0000-0700-00000D000000}"/>
    <hyperlink ref="E121" r:id="rId15" xr:uid="{00000000-0004-0000-0700-00000E000000}"/>
    <hyperlink ref="E126" r:id="rId16" xr:uid="{00000000-0004-0000-0700-00000F000000}"/>
    <hyperlink ref="E132" r:id="rId17" xr:uid="{00000000-0004-0000-0700-000010000000}"/>
    <hyperlink ref="E134" r:id="rId18" xr:uid="{00000000-0004-0000-0700-000011000000}"/>
    <hyperlink ref="E140" r:id="rId19" xr:uid="{00000000-0004-0000-0700-000012000000}"/>
    <hyperlink ref="E156" r:id="rId20" xr:uid="{00000000-0004-0000-0700-000013000000}"/>
    <hyperlink ref="E161" r:id="rId21" xr:uid="{00000000-0004-0000-0700-000014000000}"/>
    <hyperlink ref="E162" r:id="rId22" xr:uid="{00000000-0004-0000-0700-000015000000}"/>
    <hyperlink ref="E94" r:id="rId23" xr:uid="{00000000-0004-0000-0700-000016000000}"/>
    <hyperlink ref="E95" r:id="rId24" xr:uid="{00000000-0004-0000-07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159</vt:i4>
      </vt:variant>
    </vt:vector>
  </HeadingPairs>
  <TitlesOfParts>
    <vt:vector size="167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FRegFirstName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dcterms:created xsi:type="dcterms:W3CDTF">2024-01-08T00:50:15Z</dcterms:created>
  <dcterms:modified xsi:type="dcterms:W3CDTF">2025-03-12T21:32:55Z</dcterms:modified>
</cp:coreProperties>
</file>