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CCCB79D4-ABFB-4B8F-9540-0D11A3584799}" xr6:coauthVersionLast="47" xr6:coauthVersionMax="47" xr10:uidLastSave="{00000000-0000-0000-0000-000000000000}"/>
  <bookViews>
    <workbookView minimized="1" xWindow="960" yWindow="405" windowWidth="28185" windowHeight="1554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40" i="1" a="1"/>
  <c r="S29" i="1" a="1"/>
  <c r="S45" i="1" a="1"/>
  <c r="S53" i="1" a="1"/>
  <c r="S27" i="1" a="1"/>
  <c r="S35" i="1" a="1"/>
  <c r="S68" i="1" a="1"/>
  <c r="S38" i="1" a="1"/>
  <c r="S50" i="1" a="1"/>
  <c r="S25" i="1" a="1"/>
  <c r="S70" i="1" a="1"/>
  <c r="S66" i="1" a="1"/>
  <c r="S67" i="1" a="1"/>
  <c r="S48" i="1" a="1"/>
  <c r="S51" i="1" a="1"/>
  <c r="S23" i="1" a="1"/>
  <c r="S36" i="1" a="1"/>
  <c r="S61" i="1" a="1"/>
  <c r="S30" i="1" a="1"/>
  <c r="S47" i="1" a="1"/>
  <c r="S63" i="1" a="1"/>
  <c r="S71" i="1" a="1"/>
  <c r="S12" i="1" a="1"/>
  <c r="S69" i="1" a="1"/>
  <c r="S33" i="1" a="1"/>
  <c r="S13" i="1" a="1"/>
  <c r="S60" i="1" a="1"/>
  <c r="S32" i="1" a="1"/>
  <c r="S58" i="1" a="1"/>
  <c r="S54" i="1" a="1"/>
  <c r="S31" i="1" a="1"/>
  <c r="S17" i="1" a="1"/>
  <c r="S19" i="1" a="1"/>
  <c r="S41" i="1" a="1"/>
  <c r="S20" i="1" a="1"/>
  <c r="S49" i="1" a="1"/>
  <c r="S46" i="1" a="1"/>
  <c r="S15" i="1" a="1"/>
  <c r="S28" i="1" a="1"/>
  <c r="S18" i="1" a="1"/>
  <c r="S37" i="1" a="1"/>
  <c r="S59" i="1" a="1"/>
  <c r="S56" i="1" a="1"/>
  <c r="S22" i="1" a="1"/>
  <c r="S55" i="1" a="1"/>
  <c r="S43" i="1" a="1"/>
  <c r="S62" i="1" a="1"/>
  <c r="S24" i="1" a="1"/>
  <c r="S65" i="1" a="1"/>
  <c r="S57" i="1" a="1"/>
  <c r="S64" i="1" a="1"/>
  <c r="S26" i="1" a="1"/>
  <c r="S34" i="1" a="1"/>
  <c r="S52" i="1" a="1"/>
  <c r="S14" i="1" a="1"/>
  <c r="S16" i="1" a="1"/>
  <c r="S44" i="1" a="1"/>
  <c r="S39" i="1" a="1"/>
  <c r="S21" i="1" a="1"/>
  <c r="S42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N66" i="1"/>
  <c r="R46" i="1"/>
  <c r="R26" i="1"/>
  <c r="R33" i="1"/>
  <c r="R35" i="1"/>
  <c r="E222" i="3"/>
  <c r="N51" i="1" l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<sst xmlns="http://schemas.openxmlformats.org/spreadsheetml/2006/main" count="489" uniqueCount="242">
  <si>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</si>
  <si>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</si>
  <si>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</si>
  <si>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</si>
  <si>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</si>
  <si>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</si>
  <si>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</si>
  <si>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</si>
  <si>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</si>
  <si>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</si>
  <si>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</si>
  <si>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</si>
  <si>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</si>
  <si>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</si>
  <si>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</si>
  <si>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</si>
  <si>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</si>
  <si>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</si>
  <si>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</si>
  <si>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</si>
  <si>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</si>
  <si>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</si>
  <si>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</si>
  <si>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</si>
  <si>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</si>
  <si>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</si>
  <si>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</si>
  <si>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</si>
  <si>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</si>
  <si>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</si>
  <si>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</si>
  <si>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</si>
  <si>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</si>
  <si>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</si>
  <si>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</si>
  <si>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</si>
  <si>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</si>
  <si>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</si>
  <si>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</si>
  <si>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</si>
  <si>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</si>
  <si>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</si>
  <si>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</si>
  <si>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</si>
  <si>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</si>
  <si>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</si>
  <si>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</si>
  <si>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</si>
  <si>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</si>
  <si>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</si>
  <si>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</si>
  <si>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</si>
  <si>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</si>
  <si>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</si>
  <si>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</si>
  <si>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</si>
  <si>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</si>
  <si>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</si>
  <si>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</si>
  <si>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</si>
  <si>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</si>
  <si>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</si>
  <si>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</si>
  <si>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</si>
  <si>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</si>
  <si>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</si>
  <si>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</si>
  <si>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</si>
  <si>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</si>
  <si>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</si>
  <si>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</si>
  <si>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</si>
  <si>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</si>
  <si>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</si>
  <si>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</si>
  <si>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</si>
  <si>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</si>
  <si>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</si>
  <si>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</si>
  <si>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</si>
  <si>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</si>
  <si>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</si>
  <si>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</si>
  <si>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</si>
  <si>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</si>
  <si>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</si>
  <si>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</si>
  <si>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</si>
  <si>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</si>
  <si>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</si>
  <si>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</si>
  <si>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</si>
  <si>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</si>
  <si>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</si>
  <si>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</si>
  <si>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</si>
  <si>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</si>
  <si>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</si>
  <si>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</si>
  <si>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</si>
  <si>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</si>
  <si>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</si>
  <si>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</si>
  <si>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</si>
  <si>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</si>
  <si>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</si>
  <si>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</si>
  <si>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</si>
  <si>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</si>
  <si>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</si>
  <si>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</si>
  <si>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</si>
  <si>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</si>
  <si>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</si>
  <si>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</si>
  <si>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</si>
  <si>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</si>
  <si>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</si>
  <si>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</si>
  <si>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</si>
  <si>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</si>
  <si>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</si>
  <si>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</si>
  <si>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</si>
  <si>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</si>
  <si>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</si>
  <si>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</si>
  <si>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</si>
  <si>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</si>
  <si>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</si>
  <si>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</si>
  <si>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</si>
  <si>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</si>
  <si>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</si>
  <si>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</si>
  <si>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</si>
  <si>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</si>
  <si>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</si>
  <si>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</si>
  <si>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</si>
  <si>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</si>
  <si>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</si>
  <si>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</si>
  <si>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</si>
  <si>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</si>
  <si>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</si>
  <si>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</si>
  <si>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</si>
  <si>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</si>
  <si>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</si>
  <si>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</si>
  <si>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</si>
  <si>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</si>
  <si>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</si>
  <si>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</si>
  <si>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</si>
  <si>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</si>
  <si>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</si>
  <si>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</si>
  <si>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</si>
  <si>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</si>
  <si>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</si>
  <si>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</si>
  <si>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</si>
  <si>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</si>
  <si>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</si>
  <si>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</si>
  <si>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</si>
  <si>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</si>
  <si>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</si>
  <si>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</si>
  <si>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</si>
  <si>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</si>
  <si>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</si>
  <si>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</si>
  <si>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</si>
  <si>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</si>
  <si>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</si>
  <si>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</si>
  <si>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</si>
  <si>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</si>
  <si>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</si>
  <si>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</si>
  <si>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</si>
  <si>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</si>
  <si>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</si>
  <si>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</si>
  <si>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</si>
  <si>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</si>
  <si>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</si>
  <si>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</si>
  <si>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</si>
  <si>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</si>
  <si>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</si>
  <si>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</si>
  <si>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</si>
  <si>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</si>
  <si>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</si>
  <si>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</si>
  <si>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</si>
  <si>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</si>
  <si>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</si>
  <si>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</si>
  <si>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</si>
  <si>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</si>
  <si>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</si>
  <si>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</si>
  <si>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</si>
  <si>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</si>
  <si>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</si>
  <si>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</si>
  <si>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</si>
  <si>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</si>
  <si>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</si>
  <si>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</si>
  <si>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</si>
  <si>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</si>
  <si>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</si>
  <si>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</si>
  <si>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</si>
  <si>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</si>
  <si>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</si>
  <si>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</si>
  <si>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</si>
  <si>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</si>
  <si>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</si>
  <si>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</si>
  <si>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</si>
  <si>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</si>
  <si>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</si>
  <si>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</si>
  <si>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</si>
  <si>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</si>
  <si>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</si>
  <si>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</si>
  <si>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</si>
  <si>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</si>
  <si>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Napa Wine County Spring Open</t>
  </si>
  <si>
    <t>The Moose Lodge</t>
  </si>
  <si>
    <t>Napa,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</si>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</sst>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tabSelected="1" workbookViewId="0">
      <pane ySplit="11" topLeftCell="A12" activePane="bottomLeft" state="frozen"/>
      <selection pane="bottomLeft" activeCell="C43" sqref="C43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8" t="s">
        <v>54</v>
      </c>
      <c r="B1" s="268"/>
      <c r="C1" s="241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2"/>
      <c r="D2" s="271" t="s">
        <v>73</v>
      </c>
      <c r="E2" s="271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9" t="s">
        <v>60</v>
      </c>
      <c r="C3" s="269"/>
      <c r="D3" s="270" t="s">
        <v>237</v>
      </c>
      <c r="E3" s="270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9" t="s">
        <v>61</v>
      </c>
      <c r="C4" s="269"/>
      <c r="D4" s="270" t="s">
        <v>238</v>
      </c>
      <c r="E4" s="270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9" t="s">
        <v>62</v>
      </c>
      <c r="C5" s="269"/>
      <c r="D5" s="270" t="s">
        <v>239</v>
      </c>
      <c r="E5" s="270"/>
      <c r="F5" s="206"/>
      <c r="G5" s="22"/>
      <c r="L5" s="28"/>
      <c r="M5" s="245"/>
      <c r="N5" s="244"/>
      <c r="O5" s="266" t="s">
        <v>89</v>
      </c>
      <c r="P5" s="266"/>
      <c r="Q5" s="266"/>
      <c r="R5" s="266"/>
      <c r="S5" s="266"/>
      <c r="T5" s="266"/>
      <c r="U5" s="266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9" t="s">
        <v>63</v>
      </c>
      <c r="C6" s="269"/>
      <c r="D6" s="220">
        <v>45402</v>
      </c>
      <c r="E6" s="216"/>
      <c r="F6" s="206"/>
      <c r="G6" s="20"/>
      <c r="L6" s="17"/>
      <c r="O6" s="243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2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2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7"/>
      <c r="L9" s="267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50</v>
      </c>
      <c r="H10" s="66">
        <f t="shared" si="0"/>
        <v>32</v>
      </c>
      <c r="I10" s="66">
        <f t="shared" si="0"/>
        <v>36</v>
      </c>
      <c r="J10" s="66">
        <f t="shared" si="0"/>
        <v>16</v>
      </c>
      <c r="K10" s="66">
        <f t="shared" si="0"/>
        <v>14</v>
      </c>
      <c r="L10" s="66">
        <f t="shared" si="0"/>
        <v>2</v>
      </c>
      <c r="M10" s="66">
        <f t="shared" si="0"/>
        <v>10</v>
      </c>
      <c r="N10" s="240">
        <f>SUM(N12:N211)</f>
        <v>920</v>
      </c>
      <c r="Q10" s="123">
        <f>SUM(Q12:Q211)</f>
        <v>0</v>
      </c>
      <c r="R10" s="240">
        <f>SUM(R12:R211)</f>
        <v>920</v>
      </c>
      <c r="S10" s="240">
        <f>SUM(S12:S211)</f>
        <v>6540</v>
      </c>
      <c r="T10" s="66">
        <f>COUNTIF(T12:T411,"&lt;&gt;"&amp;"")</f>
        <v>4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62">
        <v>1</v>
      </c>
      <c r="C12" s="163">
        <v>1</v>
      </c>
      <c r="D12" s="235" t="s">
        <v>96</v>
      </c>
      <c r="E12" s="235" t="s">
        <v>97</v>
      </c>
      <c r="F12" s="173" t="s">
        <v>98</v>
      </c>
      <c r="G12" s="162">
        <v>1</v>
      </c>
      <c r="H12" s="179"/>
      <c r="I12" s="179"/>
      <c r="J12" s="179"/>
      <c r="K12" s="179"/>
      <c r="L12" s="230"/>
      <c r="M12" s="164">
        <v>1</v>
      </c>
      <c r="N12" s="183">
        <f t="shared" ref="N12:N43" si="1">M12*S12</f>
        <v>80</v>
      </c>
      <c r="O12" s="231"/>
      <c r="P12" s="232"/>
      <c r="Q12" s="233" t="str">
        <f t="shared" ref="Q12:Q43" si="2">IF(OR(O12="c",O12="C"),+S12,"")</f>
        <v/>
      </c>
      <c r="R12" s="211">
        <f t="shared" ref="R12:R43" si="3">IF(OR(O12="$",M12=1),+S12,"")</f>
        <v>80</v>
      </c>
      <c r="S12" s="71" cm="1">
        <f t="array" ref="S12">B12*MainEntryFee()+G12*MPool1Fee()+H12*MPool2Fee()+I12*MPool3Fee()+J12*MPool4Fee()</f>
        <v>80</v>
      </c>
      <c r="T12" s="234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62">
        <v>1</v>
      </c>
      <c r="C13" s="163">
        <v>1</v>
      </c>
      <c r="D13" s="235" t="s">
        <v>102</v>
      </c>
      <c r="E13" s="235" t="s">
        <v>103</v>
      </c>
      <c r="F13" s="173" t="s">
        <v>104</v>
      </c>
      <c r="G13" s="179">
        <v>1</v>
      </c>
      <c r="H13" s="179">
        <v>1</v>
      </c>
      <c r="I13" s="179">
        <v>1</v>
      </c>
      <c r="J13" s="179">
        <v>1</v>
      </c>
      <c r="K13" s="179"/>
      <c r="L13" s="230"/>
      <c r="M13" s="164"/>
      <c r="N13" s="183">
        <f t="shared" si="1"/>
        <v>0</v>
      </c>
      <c r="O13" s="231"/>
      <c r="P13" s="232"/>
      <c r="Q13" s="233" t="str">
        <f t="shared" si="2"/>
        <v/>
      </c>
      <c r="R13" s="211" t="str">
        <f t="shared" si="3"/>
        <v/>
      </c>
      <c r="S13" s="71" cm="1">
        <f t="array" ref="S13">B13*MainEntryFee()+G13*MPool1Fee()+H13*MPool2Fee()+I13*MPool3Fee()+J13*MPool4Fee()</f>
        <v>160</v>
      </c>
      <c r="T13" s="234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5" t="s">
        <v>114</v>
      </c>
      <c r="E14" s="235" t="s">
        <v>115</v>
      </c>
      <c r="F14" s="177" t="s">
        <v>116</v>
      </c>
      <c r="G14" s="170"/>
      <c r="H14" s="170"/>
      <c r="I14" s="170"/>
      <c r="J14" s="170"/>
      <c r="K14" s="170"/>
      <c r="L14" s="230"/>
      <c r="M14" s="183"/>
      <c r="N14" s="183">
        <f t="shared" si="1"/>
        <v>0</v>
      </c>
      <c r="O14" s="231"/>
      <c r="P14" s="232"/>
      <c r="Q14" s="233" t="str">
        <f t="shared" si="2"/>
        <v/>
      </c>
      <c r="R14" s="211" t="str">
        <f t="shared" si="3"/>
        <v/>
      </c>
      <c r="S14" s="71" cm="1">
        <f t="array" ref="S14">B14*MainEntryFee()+G14*MPool1Fee()+H14*MPool2Fee()+I14*MPool3Fee()+J14*MPool4Fee()</f>
        <v>70</v>
      </c>
      <c r="T14" s="234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5" t="s">
        <v>119</v>
      </c>
      <c r="E15" s="235" t="s">
        <v>120</v>
      </c>
      <c r="F15" s="177" t="s">
        <v>121</v>
      </c>
      <c r="G15" s="170">
        <v>1</v>
      </c>
      <c r="H15" s="170"/>
      <c r="I15" s="170">
        <v>1</v>
      </c>
      <c r="J15" s="170"/>
      <c r="K15" s="170"/>
      <c r="L15" s="230"/>
      <c r="M15" s="264"/>
      <c r="N15" s="183">
        <f t="shared" si="1"/>
        <v>0</v>
      </c>
      <c r="O15" s="231"/>
      <c r="P15" s="232"/>
      <c r="Q15" s="233" t="str">
        <f t="shared" si="2"/>
        <v/>
      </c>
      <c r="R15" s="211" t="str">
        <f t="shared" si="3"/>
        <v/>
      </c>
      <c r="S15" s="71" cm="1">
        <f t="array" ref="S15">B15*MainEntryFee()+G15*MPool1Fee()+H15*MPool2Fee()+I15*MPool3Fee()+J15*MPool4Fee()</f>
        <v>100</v>
      </c>
      <c r="T15" s="234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>
        <v>1</v>
      </c>
      <c r="C16" s="163">
        <v>1</v>
      </c>
      <c r="D16" s="235" t="s">
        <v>127</v>
      </c>
      <c r="E16" s="235" t="s">
        <v>112</v>
      </c>
      <c r="F16" s="177" t="s">
        <v>128</v>
      </c>
      <c r="G16" s="170">
        <v>1</v>
      </c>
      <c r="H16" s="170">
        <v>1</v>
      </c>
      <c r="I16" s="170">
        <v>1</v>
      </c>
      <c r="J16" s="170">
        <v>1</v>
      </c>
      <c r="K16" s="170"/>
      <c r="L16" s="230"/>
      <c r="M16" s="183"/>
      <c r="N16" s="183">
        <f t="shared" si="1"/>
        <v>0</v>
      </c>
      <c r="O16" s="231"/>
      <c r="P16" s="232"/>
      <c r="Q16" s="233" t="str">
        <f t="shared" si="2"/>
        <v/>
      </c>
      <c r="R16" s="211" t="str">
        <f t="shared" si="3"/>
        <v/>
      </c>
      <c r="S16" s="71" cm="1">
        <f t="array" ref="S16">B16*MainEntryFee()+G16*MPool1Fee()+H16*MPool2Fee()+I16*MPool3Fee()+J16*MPool4Fee()</f>
        <v>160</v>
      </c>
      <c r="T16" s="234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5" t="s">
        <v>136</v>
      </c>
      <c r="E17" s="235" t="s">
        <v>137</v>
      </c>
      <c r="F17" s="177" t="s">
        <v>138</v>
      </c>
      <c r="G17" s="170">
        <v>1</v>
      </c>
      <c r="H17" s="170">
        <v>1</v>
      </c>
      <c r="I17" s="170">
        <v>1</v>
      </c>
      <c r="J17" s="170">
        <v>1</v>
      </c>
      <c r="K17" s="170">
        <v>1</v>
      </c>
      <c r="L17" s="263"/>
      <c r="M17" s="183">
        <v>1</v>
      </c>
      <c r="N17" s="183">
        <f t="shared" si="1"/>
        <v>160</v>
      </c>
      <c r="O17" s="231"/>
      <c r="P17" s="232"/>
      <c r="Q17" s="233" t="str">
        <f t="shared" si="2"/>
        <v/>
      </c>
      <c r="R17" s="211">
        <f t="shared" si="3"/>
        <v>160</v>
      </c>
      <c r="S17" s="71" cm="1">
        <f t="array" ref="S17">B17*MainEntryFee()+G17*MPool1Fee()+H17*MPool2Fee()+I17*MPool3Fee()+J17*MPool4Fee()</f>
        <v>160</v>
      </c>
      <c r="T17" s="234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>
        <v>1</v>
      </c>
      <c r="C18" s="163">
        <v>1</v>
      </c>
      <c r="D18" s="235" t="s">
        <v>139</v>
      </c>
      <c r="E18" s="235" t="s">
        <v>115</v>
      </c>
      <c r="F18" s="173" t="s">
        <v>140</v>
      </c>
      <c r="G18" s="162">
        <v>1</v>
      </c>
      <c r="H18" s="179">
        <v>1</v>
      </c>
      <c r="I18" s="179">
        <v>1</v>
      </c>
      <c r="J18" s="179">
        <v>1</v>
      </c>
      <c r="K18" s="179">
        <v>1</v>
      </c>
      <c r="L18" s="230"/>
      <c r="M18" s="164"/>
      <c r="N18" s="183">
        <f t="shared" si="1"/>
        <v>0</v>
      </c>
      <c r="O18" s="231"/>
      <c r="P18" s="232"/>
      <c r="Q18" s="233" t="str">
        <f t="shared" si="2"/>
        <v/>
      </c>
      <c r="R18" s="211" t="str">
        <f t="shared" si="3"/>
        <v/>
      </c>
      <c r="S18" s="71" cm="1">
        <f t="array" ref="S18">B18*MainEntryFee()+G18*MPool1Fee()+H18*MPool2Fee()+I18*MPool3Fee()+J18*MPool4Fee()</f>
        <v>160</v>
      </c>
      <c r="T18" s="234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5" t="s">
        <v>144</v>
      </c>
      <c r="E19" s="235" t="s">
        <v>145</v>
      </c>
      <c r="F19" s="177" t="s">
        <v>146</v>
      </c>
      <c r="G19" s="170">
        <v>1</v>
      </c>
      <c r="H19" s="170">
        <v>1</v>
      </c>
      <c r="I19" s="170">
        <v>1</v>
      </c>
      <c r="J19" s="170">
        <v>1</v>
      </c>
      <c r="K19" s="170"/>
      <c r="L19" s="230"/>
      <c r="M19" s="183"/>
      <c r="N19" s="183">
        <f t="shared" si="1"/>
        <v>0</v>
      </c>
      <c r="O19" s="231"/>
      <c r="P19" s="232"/>
      <c r="Q19" s="233" t="str">
        <f t="shared" si="2"/>
        <v/>
      </c>
      <c r="R19" s="211" t="str">
        <f t="shared" si="3"/>
        <v/>
      </c>
      <c r="S19" s="71" cm="1">
        <f t="array" ref="S19">B19*MainEntryFee()+G19*MPool1Fee()+H19*MPool2Fee()+I19*MPool3Fee()+J19*MPool4Fee()</f>
        <v>160</v>
      </c>
      <c r="T19" s="234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5" t="s">
        <v>155</v>
      </c>
      <c r="E20" s="235" t="s">
        <v>106</v>
      </c>
      <c r="F20" s="173" t="s">
        <v>156</v>
      </c>
      <c r="G20" s="162">
        <v>1</v>
      </c>
      <c r="H20" s="179">
        <v>1</v>
      </c>
      <c r="I20" s="179">
        <v>1</v>
      </c>
      <c r="J20" s="179"/>
      <c r="K20" s="179"/>
      <c r="L20" s="263"/>
      <c r="M20" s="164"/>
      <c r="N20" s="183">
        <f t="shared" si="1"/>
        <v>0</v>
      </c>
      <c r="O20" s="231"/>
      <c r="P20" s="232"/>
      <c r="Q20" s="233" t="str">
        <f t="shared" si="2"/>
        <v/>
      </c>
      <c r="R20" s="211" t="str">
        <f t="shared" si="3"/>
        <v/>
      </c>
      <c r="S20" s="71" cm="1">
        <f t="array" ref="S20">B20*MainEntryFee()+G20*MPool1Fee()+H20*MPool2Fee()+I20*MPool3Fee()+J20*MPool4Fee()</f>
        <v>110</v>
      </c>
      <c r="T20" s="234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70">
        <v>1</v>
      </c>
      <c r="C21" s="163">
        <v>1</v>
      </c>
      <c r="D21" s="235" t="s">
        <v>161</v>
      </c>
      <c r="E21" s="235" t="s">
        <v>120</v>
      </c>
      <c r="F21" s="177" t="s">
        <v>162</v>
      </c>
      <c r="G21" s="170">
        <v>1</v>
      </c>
      <c r="H21" s="170">
        <v>1</v>
      </c>
      <c r="I21" s="170">
        <v>1</v>
      </c>
      <c r="J21" s="170">
        <v>1</v>
      </c>
      <c r="K21" s="170"/>
      <c r="L21" s="230"/>
      <c r="M21" s="183"/>
      <c r="N21" s="183">
        <f t="shared" si="1"/>
        <v>0</v>
      </c>
      <c r="O21" s="231"/>
      <c r="P21" s="232"/>
      <c r="Q21" s="233" t="str">
        <f t="shared" si="2"/>
        <v/>
      </c>
      <c r="R21" s="211" t="str">
        <f t="shared" si="3"/>
        <v/>
      </c>
      <c r="S21" s="71" cm="1">
        <f t="array" ref="S21">B21*MainEntryFee()+G21*MPool1Fee()+H21*MPool2Fee()+I21*MPool3Fee()+J21*MPool4Fee()</f>
        <v>160</v>
      </c>
      <c r="T21" s="234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62">
        <v>1</v>
      </c>
      <c r="C22" s="163">
        <v>1</v>
      </c>
      <c r="D22" s="235" t="s">
        <v>196</v>
      </c>
      <c r="E22" s="235" t="s">
        <v>153</v>
      </c>
      <c r="F22" s="173" t="s">
        <v>197</v>
      </c>
      <c r="G22" s="170">
        <v>1</v>
      </c>
      <c r="H22" s="170"/>
      <c r="I22" s="170">
        <v>1</v>
      </c>
      <c r="J22" s="170"/>
      <c r="K22" s="170"/>
      <c r="L22" s="230"/>
      <c r="M22" s="183">
        <v>1</v>
      </c>
      <c r="N22" s="183">
        <f t="shared" si="1"/>
        <v>100</v>
      </c>
      <c r="O22" s="231"/>
      <c r="P22" s="232"/>
      <c r="Q22" s="233" t="str">
        <f t="shared" si="2"/>
        <v/>
      </c>
      <c r="R22" s="211">
        <f t="shared" si="3"/>
        <v>100</v>
      </c>
      <c r="S22" s="71" cm="1">
        <f t="array" ref="S22">B22*MainEntryFee()+G22*MPool1Fee()+H22*MPool2Fee()+I22*MPool3Fee()+J22*MPool4Fee()</f>
        <v>100</v>
      </c>
      <c r="T22" s="234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70">
        <v>1</v>
      </c>
      <c r="C23" s="163">
        <v>1</v>
      </c>
      <c r="D23" s="235" t="s">
        <v>208</v>
      </c>
      <c r="E23" s="235" t="s">
        <v>109</v>
      </c>
      <c r="F23" s="177" t="s">
        <v>209</v>
      </c>
      <c r="G23" s="170">
        <v>1</v>
      </c>
      <c r="H23" s="170">
        <v>1</v>
      </c>
      <c r="I23" s="170">
        <v>1</v>
      </c>
      <c r="J23" s="170">
        <v>1</v>
      </c>
      <c r="K23" s="170">
        <v>1</v>
      </c>
      <c r="L23" s="230"/>
      <c r="M23" s="183"/>
      <c r="N23" s="183">
        <f t="shared" si="1"/>
        <v>0</v>
      </c>
      <c r="O23" s="231"/>
      <c r="P23" s="232"/>
      <c r="Q23" s="233" t="str">
        <f t="shared" si="2"/>
        <v/>
      </c>
      <c r="R23" s="211" t="str">
        <f t="shared" si="3"/>
        <v/>
      </c>
      <c r="S23" s="71" cm="1">
        <f t="array" ref="S23">B23*MainEntryFee()+G23*MPool1Fee()+H23*MPool2Fee()+I23*MPool3Fee()+J23*MPool4Fee()</f>
        <v>160</v>
      </c>
      <c r="T23" s="234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70">
        <v>1</v>
      </c>
      <c r="C24" s="163">
        <v>1</v>
      </c>
      <c r="D24" s="235" t="s">
        <v>212</v>
      </c>
      <c r="E24" s="235" t="s">
        <v>213</v>
      </c>
      <c r="F24" s="177" t="s">
        <v>214</v>
      </c>
      <c r="G24" s="170">
        <v>1</v>
      </c>
      <c r="H24" s="170"/>
      <c r="I24" s="170"/>
      <c r="J24" s="170"/>
      <c r="K24" s="170"/>
      <c r="L24" s="230"/>
      <c r="M24" s="183"/>
      <c r="N24" s="183">
        <f t="shared" si="1"/>
        <v>0</v>
      </c>
      <c r="O24" s="231"/>
      <c r="P24" s="232"/>
      <c r="Q24" s="233" t="str">
        <f t="shared" si="2"/>
        <v/>
      </c>
      <c r="R24" s="211" t="str">
        <f t="shared" si="3"/>
        <v/>
      </c>
      <c r="S24" s="71" cm="1">
        <f t="array" ref="S24">B24*MainEntryFee()+G24*MPool1Fee()+H24*MPool2Fee()+I24*MPool3Fee()+J24*MPool4Fee()</f>
        <v>80</v>
      </c>
      <c r="T24" s="234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5" t="s">
        <v>215</v>
      </c>
      <c r="E25" s="235" t="s">
        <v>180</v>
      </c>
      <c r="F25" s="173" t="s">
        <v>216</v>
      </c>
      <c r="G25" s="162"/>
      <c r="H25" s="179">
        <v>1</v>
      </c>
      <c r="I25" s="179">
        <v>1</v>
      </c>
      <c r="J25" s="179"/>
      <c r="K25" s="179"/>
      <c r="L25" s="230"/>
      <c r="M25" s="164"/>
      <c r="N25" s="183">
        <f t="shared" si="1"/>
        <v>0</v>
      </c>
      <c r="O25" s="231"/>
      <c r="P25" s="232"/>
      <c r="Q25" s="233" t="str">
        <f t="shared" si="2"/>
        <v/>
      </c>
      <c r="R25" s="211" t="str">
        <f t="shared" si="3"/>
        <v/>
      </c>
      <c r="S25" s="71" cm="1">
        <f t="array" ref="S25">B25*MainEntryFee()+G25*MPool1Fee()+H25*MPool2Fee()+I25*MPool3Fee()+J25*MPool4Fee()</f>
        <v>100</v>
      </c>
      <c r="T25" s="234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62">
        <v>1</v>
      </c>
      <c r="C26" s="163">
        <v>1</v>
      </c>
      <c r="D26" s="235" t="s">
        <v>223</v>
      </c>
      <c r="E26" s="235" t="s">
        <v>115</v>
      </c>
      <c r="F26" s="177" t="s">
        <v>224</v>
      </c>
      <c r="G26" s="162">
        <v>1</v>
      </c>
      <c r="H26" s="179">
        <v>1</v>
      </c>
      <c r="I26" s="179">
        <v>1</v>
      </c>
      <c r="J26" s="179"/>
      <c r="K26" s="179"/>
      <c r="L26" s="263"/>
      <c r="M26" s="164"/>
      <c r="N26" s="183">
        <f t="shared" si="1"/>
        <v>0</v>
      </c>
      <c r="O26" s="231"/>
      <c r="P26" s="232"/>
      <c r="Q26" s="233" t="str">
        <f t="shared" si="2"/>
        <v/>
      </c>
      <c r="R26" s="211" t="str">
        <f t="shared" si="3"/>
        <v/>
      </c>
      <c r="S26" s="71" cm="1">
        <f t="array" ref="S26">B26*MainEntryFee()+G26*MPool1Fee()+H26*MPool2Fee()+I26*MPool3Fee()+J26*MPool4Fee()</f>
        <v>110</v>
      </c>
      <c r="T26" s="234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5" t="s">
        <v>91</v>
      </c>
      <c r="E27" s="235"/>
      <c r="F27" s="177" t="s">
        <v>92</v>
      </c>
      <c r="G27" s="170">
        <v>1</v>
      </c>
      <c r="H27" s="170"/>
      <c r="I27" s="170">
        <v>1</v>
      </c>
      <c r="J27" s="170"/>
      <c r="K27" s="170"/>
      <c r="L27" s="230"/>
      <c r="M27" s="183"/>
      <c r="N27" s="183">
        <f t="shared" si="1"/>
        <v>0</v>
      </c>
      <c r="O27" s="231"/>
      <c r="P27" s="232"/>
      <c r="Q27" s="233" t="str">
        <f t="shared" si="2"/>
        <v/>
      </c>
      <c r="R27" s="211" t="str">
        <f t="shared" si="3"/>
        <v/>
      </c>
      <c r="S27" s="71" cm="1">
        <f t="array" ref="S27">B27*MainEntryFee()+G27*MPool1Fee()+H27*MPool2Fee()+I27*MPool3Fee()+J27*MPool4Fee()</f>
        <v>100</v>
      </c>
      <c r="T27" s="234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62">
        <v>1</v>
      </c>
      <c r="C28" s="163"/>
      <c r="D28" s="235" t="s">
        <v>93</v>
      </c>
      <c r="E28" s="235" t="s">
        <v>94</v>
      </c>
      <c r="F28" s="177" t="s">
        <v>95</v>
      </c>
      <c r="G28" s="162">
        <v>1</v>
      </c>
      <c r="H28" s="179"/>
      <c r="I28" s="179">
        <v>1</v>
      </c>
      <c r="J28" s="179"/>
      <c r="K28" s="179"/>
      <c r="L28" s="230"/>
      <c r="M28" s="164"/>
      <c r="N28" s="183">
        <f t="shared" si="1"/>
        <v>0</v>
      </c>
      <c r="O28" s="231"/>
      <c r="P28" s="232"/>
      <c r="Q28" s="233" t="str">
        <f t="shared" si="2"/>
        <v/>
      </c>
      <c r="R28" s="211" t="str">
        <f t="shared" si="3"/>
        <v/>
      </c>
      <c r="S28" s="71" cm="1">
        <f t="array" ref="S28">B28*MainEntryFee()+G28*MPool1Fee()+H28*MPool2Fee()+I28*MPool3Fee()+J28*MPool4Fee()</f>
        <v>100</v>
      </c>
      <c r="T28" s="234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5" t="s">
        <v>99</v>
      </c>
      <c r="E29" s="235" t="s">
        <v>100</v>
      </c>
      <c r="F29" s="173" t="s">
        <v>101</v>
      </c>
      <c r="G29" s="170">
        <v>1</v>
      </c>
      <c r="H29" s="170">
        <v>1</v>
      </c>
      <c r="I29" s="170">
        <v>1</v>
      </c>
      <c r="J29" s="170">
        <v>1</v>
      </c>
      <c r="K29" s="170">
        <v>1</v>
      </c>
      <c r="L29" s="230"/>
      <c r="M29" s="183"/>
      <c r="N29" s="183">
        <f t="shared" si="1"/>
        <v>0</v>
      </c>
      <c r="O29" s="231"/>
      <c r="P29" s="232"/>
      <c r="Q29" s="233" t="str">
        <f t="shared" si="2"/>
        <v/>
      </c>
      <c r="R29" s="211" t="str">
        <f t="shared" si="3"/>
        <v/>
      </c>
      <c r="S29" s="71" cm="1">
        <f t="array" ref="S29">B29*MainEntryFee()+G29*MPool1Fee()+H29*MPool2Fee()+I29*MPool3Fee()+J29*MPool4Fee()</f>
        <v>160</v>
      </c>
      <c r="T29" s="234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70">
        <v>1</v>
      </c>
      <c r="C30" s="163"/>
      <c r="D30" s="235" t="s">
        <v>105</v>
      </c>
      <c r="E30" s="235" t="s">
        <v>106</v>
      </c>
      <c r="F30" s="173" t="s">
        <v>107</v>
      </c>
      <c r="G30" s="162">
        <v>1</v>
      </c>
      <c r="H30" s="179"/>
      <c r="I30" s="179"/>
      <c r="J30" s="179"/>
      <c r="K30" s="179">
        <v>1</v>
      </c>
      <c r="L30" s="263"/>
      <c r="M30" s="164"/>
      <c r="N30" s="183">
        <f t="shared" si="1"/>
        <v>0</v>
      </c>
      <c r="O30" s="231"/>
      <c r="P30" s="232"/>
      <c r="Q30" s="233" t="str">
        <f t="shared" si="2"/>
        <v/>
      </c>
      <c r="R30" s="211" t="str">
        <f t="shared" si="3"/>
        <v/>
      </c>
      <c r="S30" s="71" cm="1">
        <f t="array" ref="S30">B30*MainEntryFee()+G30*MPool1Fee()+H30*MPool2Fee()+I30*MPool3Fee()+J30*MPool4Fee()</f>
        <v>80</v>
      </c>
      <c r="T30" s="234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70">
        <v>1</v>
      </c>
      <c r="C31" s="163"/>
      <c r="D31" s="235" t="s">
        <v>108</v>
      </c>
      <c r="E31" s="235" t="s">
        <v>109</v>
      </c>
      <c r="F31" s="161" t="s">
        <v>110</v>
      </c>
      <c r="G31" s="170">
        <v>1</v>
      </c>
      <c r="H31" s="170">
        <v>1</v>
      </c>
      <c r="I31" s="170">
        <v>1</v>
      </c>
      <c r="J31" s="170"/>
      <c r="K31" s="170">
        <v>1</v>
      </c>
      <c r="L31" s="263"/>
      <c r="M31" s="183"/>
      <c r="N31" s="183">
        <f t="shared" si="1"/>
        <v>0</v>
      </c>
      <c r="O31" s="231"/>
      <c r="P31" s="232"/>
      <c r="Q31" s="233" t="str">
        <f t="shared" si="2"/>
        <v/>
      </c>
      <c r="R31" s="211" t="str">
        <f t="shared" si="3"/>
        <v/>
      </c>
      <c r="S31" s="71" cm="1">
        <f t="array" ref="S31">B31*MainEntryFee()+G31*MPool1Fee()+H31*MPool2Fee()+I31*MPool3Fee()+J31*MPool4Fee()</f>
        <v>110</v>
      </c>
      <c r="T31" s="234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70">
        <v>1</v>
      </c>
      <c r="C32" s="163"/>
      <c r="D32" s="235" t="s">
        <v>111</v>
      </c>
      <c r="E32" s="235" t="s">
        <v>112</v>
      </c>
      <c r="F32" s="177" t="s">
        <v>113</v>
      </c>
      <c r="G32" s="170">
        <v>1</v>
      </c>
      <c r="H32" s="170"/>
      <c r="I32" s="170"/>
      <c r="J32" s="170"/>
      <c r="K32" s="170">
        <v>1</v>
      </c>
      <c r="L32" s="230"/>
      <c r="M32" s="183"/>
      <c r="N32" s="183">
        <f t="shared" si="1"/>
        <v>0</v>
      </c>
      <c r="O32" s="231"/>
      <c r="P32" s="232"/>
      <c r="Q32" s="233" t="str">
        <f t="shared" si="2"/>
        <v/>
      </c>
      <c r="R32" s="211" t="str">
        <f t="shared" si="3"/>
        <v/>
      </c>
      <c r="S32" s="71" cm="1">
        <f t="array" ref="S32">B32*MainEntryFee()+G32*MPool1Fee()+H32*MPool2Fee()+I32*MPool3Fee()+J32*MPool4Fee()</f>
        <v>80</v>
      </c>
      <c r="T32" s="234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>
        <v>1</v>
      </c>
      <c r="C33" s="163"/>
      <c r="D33" s="235" t="s">
        <v>117</v>
      </c>
      <c r="E33" s="235" t="s">
        <v>109</v>
      </c>
      <c r="F33" s="177" t="s">
        <v>118</v>
      </c>
      <c r="G33" s="170">
        <v>1</v>
      </c>
      <c r="H33" s="170">
        <v>1</v>
      </c>
      <c r="I33" s="170">
        <v>1</v>
      </c>
      <c r="J33" s="170"/>
      <c r="K33" s="170"/>
      <c r="L33" s="230"/>
      <c r="M33" s="183"/>
      <c r="N33" s="183">
        <f t="shared" si="1"/>
        <v>0</v>
      </c>
      <c r="O33" s="231"/>
      <c r="P33" s="232"/>
      <c r="Q33" s="233" t="str">
        <f t="shared" si="2"/>
        <v/>
      </c>
      <c r="R33" s="211" t="str">
        <f t="shared" si="3"/>
        <v/>
      </c>
      <c r="S33" s="71" cm="1">
        <f t="array" ref="S33">B33*MainEntryFee()+G33*MPool1Fee()+H33*MPool2Fee()+I33*MPool3Fee()+J33*MPool4Fee()</f>
        <v>110</v>
      </c>
      <c r="T33" s="234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70">
        <v>1</v>
      </c>
      <c r="C34" s="163"/>
      <c r="D34" s="235" t="s">
        <v>122</v>
      </c>
      <c r="E34" s="235" t="s">
        <v>123</v>
      </c>
      <c r="F34" s="173" t="s">
        <v>124</v>
      </c>
      <c r="G34" s="179">
        <v>1</v>
      </c>
      <c r="H34" s="179">
        <v>1</v>
      </c>
      <c r="I34" s="179">
        <v>1</v>
      </c>
      <c r="J34" s="179"/>
      <c r="K34" s="179">
        <v>1</v>
      </c>
      <c r="L34" s="230"/>
      <c r="M34" s="164"/>
      <c r="N34" s="183">
        <f t="shared" si="1"/>
        <v>0</v>
      </c>
      <c r="O34" s="231"/>
      <c r="P34" s="232"/>
      <c r="Q34" s="233" t="str">
        <f t="shared" si="2"/>
        <v/>
      </c>
      <c r="R34" s="211" t="str">
        <f t="shared" si="3"/>
        <v/>
      </c>
      <c r="S34" s="71" cm="1">
        <f t="array" ref="S34">B34*MainEntryFee()+G34*MPool1Fee()+H34*MPool2Fee()+I34*MPool3Fee()+J34*MPool4Fee()</f>
        <v>110</v>
      </c>
      <c r="T34" s="234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70">
        <v>1</v>
      </c>
      <c r="C35" s="163"/>
      <c r="D35" s="235" t="s">
        <v>125</v>
      </c>
      <c r="E35" s="235" t="s">
        <v>112</v>
      </c>
      <c r="F35" s="173" t="s">
        <v>126</v>
      </c>
      <c r="G35" s="162">
        <v>1</v>
      </c>
      <c r="H35" s="179">
        <v>1</v>
      </c>
      <c r="I35" s="179">
        <v>1</v>
      </c>
      <c r="J35" s="179"/>
      <c r="K35" s="179"/>
      <c r="L35" s="230"/>
      <c r="M35" s="164"/>
      <c r="N35" s="183">
        <f t="shared" si="1"/>
        <v>0</v>
      </c>
      <c r="O35" s="231"/>
      <c r="P35" s="232"/>
      <c r="Q35" s="233" t="str">
        <f t="shared" si="2"/>
        <v/>
      </c>
      <c r="R35" s="211" t="str">
        <f t="shared" si="3"/>
        <v/>
      </c>
      <c r="S35" s="71" cm="1">
        <f t="array" ref="S35">B35*MainEntryFee()+G35*MPool1Fee()+H35*MPool2Fee()+I35*MPool3Fee()+J35*MPool4Fee()</f>
        <v>110</v>
      </c>
      <c r="T35" s="234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5" t="s">
        <v>129</v>
      </c>
      <c r="E36" s="235" t="s">
        <v>112</v>
      </c>
      <c r="F36" s="177" t="s">
        <v>130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63"/>
      <c r="M36" s="183"/>
      <c r="N36" s="183">
        <f t="shared" si="1"/>
        <v>0</v>
      </c>
      <c r="O36" s="231"/>
      <c r="P36" s="232"/>
      <c r="Q36" s="233" t="str">
        <f t="shared" si="2"/>
        <v/>
      </c>
      <c r="R36" s="211" t="str">
        <f t="shared" si="3"/>
        <v/>
      </c>
      <c r="S36" s="71" cm="1">
        <f t="array" ref="S36">B36*MainEntryFee()+G36*MPool1Fee()+H36*MPool2Fee()+I36*MPool3Fee()+J36*MPool4Fee()</f>
        <v>160</v>
      </c>
      <c r="T36" s="234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62">
        <v>1</v>
      </c>
      <c r="C37" s="163"/>
      <c r="D37" s="235" t="s">
        <v>131</v>
      </c>
      <c r="E37" s="235" t="s">
        <v>112</v>
      </c>
      <c r="F37" s="173" t="s">
        <v>132</v>
      </c>
      <c r="G37" s="162"/>
      <c r="H37" s="179"/>
      <c r="I37" s="179"/>
      <c r="J37" s="179"/>
      <c r="K37" s="179"/>
      <c r="L37" s="230"/>
      <c r="M37" s="164"/>
      <c r="N37" s="183">
        <f t="shared" si="1"/>
        <v>0</v>
      </c>
      <c r="O37" s="231"/>
      <c r="P37" s="232"/>
      <c r="Q37" s="233" t="str">
        <f t="shared" si="2"/>
        <v/>
      </c>
      <c r="R37" s="211" t="str">
        <f t="shared" si="3"/>
        <v/>
      </c>
      <c r="S37" s="71" cm="1">
        <f t="array" ref="S37">B37*MainEntryFee()+G37*MPool1Fee()+H37*MPool2Fee()+I37*MPool3Fee()+J37*MPool4Fee()</f>
        <v>70</v>
      </c>
      <c r="T37" s="234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70">
        <v>1</v>
      </c>
      <c r="C38" s="163"/>
      <c r="D38" s="235" t="s">
        <v>133</v>
      </c>
      <c r="E38" s="235" t="s">
        <v>134</v>
      </c>
      <c r="F38" s="177" t="s">
        <v>135</v>
      </c>
      <c r="G38" s="162">
        <v>1</v>
      </c>
      <c r="H38" s="179"/>
      <c r="I38" s="179"/>
      <c r="J38" s="179"/>
      <c r="K38" s="179"/>
      <c r="L38" s="230"/>
      <c r="M38" s="164"/>
      <c r="N38" s="183">
        <f t="shared" si="1"/>
        <v>0</v>
      </c>
      <c r="O38" s="231"/>
      <c r="P38" s="232"/>
      <c r="Q38" s="233" t="str">
        <f t="shared" si="2"/>
        <v/>
      </c>
      <c r="R38" s="211" t="str">
        <f t="shared" si="3"/>
        <v/>
      </c>
      <c r="S38" s="71" cm="1">
        <f t="array" ref="S38">B38*MainEntryFee()+G38*MPool1Fee()+H38*MPool2Fee()+I38*MPool3Fee()+J38*MPool4Fee()</f>
        <v>80</v>
      </c>
      <c r="T38" s="234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70">
        <v>1</v>
      </c>
      <c r="C39" s="163"/>
      <c r="D39" s="235" t="s">
        <v>141</v>
      </c>
      <c r="E39" s="235" t="s">
        <v>142</v>
      </c>
      <c r="F39" s="173" t="s">
        <v>143</v>
      </c>
      <c r="G39" s="162">
        <v>1</v>
      </c>
      <c r="H39" s="179"/>
      <c r="I39" s="179"/>
      <c r="J39" s="179"/>
      <c r="K39" s="179"/>
      <c r="L39" s="230"/>
      <c r="M39" s="164">
        <v>1</v>
      </c>
      <c r="N39" s="183">
        <f t="shared" si="1"/>
        <v>80</v>
      </c>
      <c r="O39" s="231"/>
      <c r="P39" s="232"/>
      <c r="Q39" s="233" t="str">
        <f t="shared" si="2"/>
        <v/>
      </c>
      <c r="R39" s="211">
        <f t="shared" si="3"/>
        <v>80</v>
      </c>
      <c r="S39" s="71" cm="1">
        <f t="array" ref="S39">B39*MainEntryFee()+G39*MPool1Fee()+H39*MPool2Fee()+I39*MPool3Fee()+J39*MPool4Fee()</f>
        <v>80</v>
      </c>
      <c r="T39" s="234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5" t="s">
        <v>147</v>
      </c>
      <c r="E40" s="235" t="s">
        <v>145</v>
      </c>
      <c r="F40" s="177" t="s">
        <v>148</v>
      </c>
      <c r="G40" s="170">
        <v>1</v>
      </c>
      <c r="H40" s="170">
        <v>1</v>
      </c>
      <c r="I40" s="170">
        <v>1</v>
      </c>
      <c r="J40" s="170">
        <v>1</v>
      </c>
      <c r="K40" s="170"/>
      <c r="L40" s="230"/>
      <c r="M40" s="183"/>
      <c r="N40" s="183">
        <f t="shared" si="1"/>
        <v>0</v>
      </c>
      <c r="O40" s="231"/>
      <c r="P40" s="232"/>
      <c r="Q40" s="233" t="str">
        <f t="shared" si="2"/>
        <v/>
      </c>
      <c r="R40" s="211" t="str">
        <f t="shared" si="3"/>
        <v/>
      </c>
      <c r="S40" s="71" cm="1">
        <f t="array" ref="S40">B40*MainEntryFee()+G40*MPool1Fee()+H40*MPool2Fee()+I40*MPool3Fee()+J40*MPool4Fee()</f>
        <v>160</v>
      </c>
      <c r="T40" s="234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70">
        <v>1</v>
      </c>
      <c r="C41" s="163"/>
      <c r="D41" s="235" t="s">
        <v>149</v>
      </c>
      <c r="E41" s="235" t="s">
        <v>150</v>
      </c>
      <c r="F41" s="177" t="s">
        <v>151</v>
      </c>
      <c r="G41" s="170">
        <v>1</v>
      </c>
      <c r="H41" s="170">
        <v>1</v>
      </c>
      <c r="I41" s="170">
        <v>1</v>
      </c>
      <c r="J41" s="170"/>
      <c r="K41" s="170"/>
      <c r="L41" s="230"/>
      <c r="M41" s="183"/>
      <c r="N41" s="183">
        <f t="shared" si="1"/>
        <v>0</v>
      </c>
      <c r="O41" s="231"/>
      <c r="P41" s="232"/>
      <c r="Q41" s="233" t="str">
        <f t="shared" si="2"/>
        <v/>
      </c>
      <c r="R41" s="211" t="str">
        <f t="shared" si="3"/>
        <v/>
      </c>
      <c r="S41" s="71" cm="1">
        <f t="array" ref="S41">B41*MainEntryFee()+G41*MPool1Fee()+H41*MPool2Fee()+I41*MPool3Fee()+J41*MPool4Fee()</f>
        <v>110</v>
      </c>
      <c r="T41" s="234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62">
        <v>1</v>
      </c>
      <c r="C42" s="163"/>
      <c r="D42" s="235" t="s">
        <v>152</v>
      </c>
      <c r="E42" s="235" t="s">
        <v>153</v>
      </c>
      <c r="F42" s="177" t="s">
        <v>154</v>
      </c>
      <c r="G42" s="170">
        <v>1</v>
      </c>
      <c r="H42" s="170"/>
      <c r="I42" s="170"/>
      <c r="J42" s="170"/>
      <c r="K42" s="170"/>
      <c r="L42" s="263"/>
      <c r="M42" s="183"/>
      <c r="N42" s="183">
        <f t="shared" si="1"/>
        <v>0</v>
      </c>
      <c r="O42" s="231"/>
      <c r="P42" s="232"/>
      <c r="Q42" s="233" t="str">
        <f t="shared" si="2"/>
        <v/>
      </c>
      <c r="R42" s="211" t="str">
        <f t="shared" si="3"/>
        <v/>
      </c>
      <c r="S42" s="71" cm="1">
        <f t="array" ref="S42">B42*MainEntryFee()+G42*MPool1Fee()+H42*MPool2Fee()+I42*MPool3Fee()+J42*MPool4Fee()</f>
        <v>80</v>
      </c>
      <c r="T42" s="234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5" t="s">
        <v>157</v>
      </c>
      <c r="E43" s="235" t="s">
        <v>112</v>
      </c>
      <c r="F43" s="177" t="s">
        <v>158</v>
      </c>
      <c r="G43" s="170">
        <v>1</v>
      </c>
      <c r="H43" s="170"/>
      <c r="I43" s="170"/>
      <c r="J43" s="170"/>
      <c r="K43" s="170"/>
      <c r="L43" s="230"/>
      <c r="M43" s="183"/>
      <c r="N43" s="183">
        <f t="shared" si="1"/>
        <v>0</v>
      </c>
      <c r="O43" s="231"/>
      <c r="P43" s="232"/>
      <c r="Q43" s="233" t="str">
        <f t="shared" si="2"/>
        <v/>
      </c>
      <c r="R43" s="211" t="str">
        <f t="shared" si="3"/>
        <v/>
      </c>
      <c r="S43" s="71" cm="1">
        <f t="array" ref="S43">B43*MainEntryFee()+G43*MPool1Fee()+H43*MPool2Fee()+I43*MPool3Fee()+J43*MPool4Fee()</f>
        <v>80</v>
      </c>
      <c r="T43" s="234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5" t="s">
        <v>159</v>
      </c>
      <c r="E44" s="235" t="s">
        <v>134</v>
      </c>
      <c r="F44" s="177" t="s">
        <v>160</v>
      </c>
      <c r="G44" s="162">
        <v>1</v>
      </c>
      <c r="H44" s="179"/>
      <c r="I44" s="179"/>
      <c r="J44" s="179"/>
      <c r="K44" s="179"/>
      <c r="L44" s="230"/>
      <c r="M44" s="164">
        <v>1</v>
      </c>
      <c r="N44" s="183">
        <f t="shared" ref="N44:N75" si="4">M44*S44</f>
        <v>80</v>
      </c>
      <c r="O44" s="231"/>
      <c r="P44" s="232"/>
      <c r="Q44" s="233" t="str">
        <f t="shared" ref="Q44:Q71" si="5">IF(OR(O44="c",O44="C"),+S44,"")</f>
        <v/>
      </c>
      <c r="R44" s="211">
        <f t="shared" ref="R44:R75" si="6">IF(OR(O44="$",M44=1),+S44,"")</f>
        <v>80</v>
      </c>
      <c r="S44" s="71" cm="1">
        <f t="array" ref="S44">B44*MainEntryFee()+G44*MPool1Fee()+H44*MPool2Fee()+I44*MPool3Fee()+J44*MPool4Fee()</f>
        <v>80</v>
      </c>
      <c r="T44" s="234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70">
        <v>1</v>
      </c>
      <c r="C45" s="163"/>
      <c r="D45" s="235" t="s">
        <v>163</v>
      </c>
      <c r="E45" s="235" t="s">
        <v>164</v>
      </c>
      <c r="F45" s="173" t="s">
        <v>165</v>
      </c>
      <c r="G45" s="162">
        <v>1</v>
      </c>
      <c r="H45" s="179"/>
      <c r="I45" s="179"/>
      <c r="J45" s="179"/>
      <c r="K45" s="179">
        <v>1</v>
      </c>
      <c r="L45" s="230"/>
      <c r="M45" s="164"/>
      <c r="N45" s="183">
        <f t="shared" si="4"/>
        <v>0</v>
      </c>
      <c r="O45" s="231"/>
      <c r="P45" s="232"/>
      <c r="Q45" s="233" t="str">
        <f t="shared" si="5"/>
        <v/>
      </c>
      <c r="R45" s="211" t="str">
        <f t="shared" si="6"/>
        <v/>
      </c>
      <c r="S45" s="71" cm="1">
        <f t="array" ref="S45">B45*MainEntryFee()+G45*MPool1Fee()+H45*MPool2Fee()+I45*MPool3Fee()+J45*MPool4Fee()</f>
        <v>80</v>
      </c>
      <c r="T45" s="234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62">
        <v>1</v>
      </c>
      <c r="C46" s="163"/>
      <c r="D46" s="235" t="s">
        <v>166</v>
      </c>
      <c r="E46" s="235" t="s">
        <v>167</v>
      </c>
      <c r="F46" s="177" t="s">
        <v>168</v>
      </c>
      <c r="G46" s="162">
        <v>1</v>
      </c>
      <c r="H46" s="179"/>
      <c r="I46" s="179"/>
      <c r="J46" s="179"/>
      <c r="K46" s="179">
        <v>1</v>
      </c>
      <c r="L46" s="263"/>
      <c r="M46" s="164"/>
      <c r="N46" s="183">
        <f t="shared" si="4"/>
        <v>0</v>
      </c>
      <c r="O46" s="231"/>
      <c r="P46" s="232"/>
      <c r="Q46" s="233" t="str">
        <f t="shared" si="5"/>
        <v/>
      </c>
      <c r="R46" s="211" t="str">
        <f t="shared" si="6"/>
        <v/>
      </c>
      <c r="S46" s="71" cm="1">
        <f t="array" ref="S46">B46*MainEntryFee()+G46*MPool1Fee()+H46*MPool2Fee()+I46*MPool3Fee()+J46*MPool4Fee()</f>
        <v>80</v>
      </c>
      <c r="T46" s="234">
        <v>1</v>
      </c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62">
        <v>1</v>
      </c>
      <c r="C47" s="163"/>
      <c r="D47" s="235" t="s">
        <v>169</v>
      </c>
      <c r="E47" s="235" t="s">
        <v>170</v>
      </c>
      <c r="F47" s="177" t="s">
        <v>171</v>
      </c>
      <c r="G47" s="170">
        <v>1</v>
      </c>
      <c r="H47" s="170"/>
      <c r="I47" s="170"/>
      <c r="J47" s="170"/>
      <c r="K47" s="170"/>
      <c r="L47" s="263"/>
      <c r="M47" s="183"/>
      <c r="N47" s="183">
        <f t="shared" si="4"/>
        <v>0</v>
      </c>
      <c r="O47" s="231"/>
      <c r="P47" s="232"/>
      <c r="Q47" s="233" t="str">
        <f t="shared" si="5"/>
        <v/>
      </c>
      <c r="R47" s="211" t="str">
        <f t="shared" si="6"/>
        <v/>
      </c>
      <c r="S47" s="71" cm="1">
        <f t="array" ref="S47">B47*MainEntryFee()+G47*MPool1Fee()+H47*MPool2Fee()+I47*MPool3Fee()+J47*MPool4Fee()</f>
        <v>80</v>
      </c>
      <c r="T47" s="234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62">
        <v>1</v>
      </c>
      <c r="C48" s="162"/>
      <c r="D48" s="236" t="s">
        <v>172</v>
      </c>
      <c r="E48" s="236" t="s">
        <v>150</v>
      </c>
      <c r="F48" s="177" t="s">
        <v>173</v>
      </c>
      <c r="G48" s="170">
        <v>1</v>
      </c>
      <c r="H48" s="170"/>
      <c r="I48" s="170"/>
      <c r="J48" s="170"/>
      <c r="K48" s="170">
        <v>1</v>
      </c>
      <c r="L48" s="263"/>
      <c r="M48" s="183">
        <v>1</v>
      </c>
      <c r="N48" s="183">
        <f t="shared" si="4"/>
        <v>80</v>
      </c>
      <c r="O48" s="231"/>
      <c r="P48" s="232"/>
      <c r="Q48" s="233" t="str">
        <f t="shared" si="5"/>
        <v/>
      </c>
      <c r="R48" s="211">
        <f t="shared" si="6"/>
        <v>80</v>
      </c>
      <c r="S48" s="71" cm="1">
        <f t="array" ref="S48">B48*MainEntryFee()+G48*MPool1Fee()+H48*MPool2Fee()+I48*MPool3Fee()+J48*MPool4Fee()</f>
        <v>80</v>
      </c>
      <c r="T48" s="234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5" t="s">
        <v>174</v>
      </c>
      <c r="E49" s="235" t="s">
        <v>175</v>
      </c>
      <c r="F49" s="177" t="s">
        <v>176</v>
      </c>
      <c r="G49" s="170">
        <v>1</v>
      </c>
      <c r="H49" s="170">
        <v>1</v>
      </c>
      <c r="I49" s="170">
        <v>1</v>
      </c>
      <c r="J49" s="170">
        <v>1</v>
      </c>
      <c r="K49" s="170">
        <v>1</v>
      </c>
      <c r="L49" s="263"/>
      <c r="M49" s="183"/>
      <c r="N49" s="183">
        <f t="shared" si="4"/>
        <v>0</v>
      </c>
      <c r="O49" s="231"/>
      <c r="P49" s="232"/>
      <c r="Q49" s="233" t="str">
        <f t="shared" si="5"/>
        <v/>
      </c>
      <c r="R49" s="211" t="str">
        <f t="shared" si="6"/>
        <v/>
      </c>
      <c r="S49" s="71" cm="1">
        <f t="array" ref="S49">B49*MainEntryFee()+G49*MPool1Fee()+H49*MPool2Fee()+I49*MPool3Fee()+J49*MPool4Fee()</f>
        <v>160</v>
      </c>
      <c r="T49" s="234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>
        <v>1</v>
      </c>
      <c r="C50" s="163"/>
      <c r="D50" s="235" t="s">
        <v>177</v>
      </c>
      <c r="E50" s="235" t="s">
        <v>115</v>
      </c>
      <c r="F50" s="173" t="s">
        <v>178</v>
      </c>
      <c r="G50" s="179">
        <v>1</v>
      </c>
      <c r="H50" s="179">
        <v>1</v>
      </c>
      <c r="I50" s="179">
        <v>1</v>
      </c>
      <c r="J50" s="179">
        <v>1</v>
      </c>
      <c r="K50" s="179"/>
      <c r="L50" s="230"/>
      <c r="M50" s="164"/>
      <c r="N50" s="183">
        <f t="shared" si="4"/>
        <v>0</v>
      </c>
      <c r="O50" s="231"/>
      <c r="P50" s="232"/>
      <c r="Q50" s="233" t="str">
        <f t="shared" si="5"/>
        <v/>
      </c>
      <c r="R50" s="211" t="str">
        <f t="shared" si="6"/>
        <v/>
      </c>
      <c r="S50" s="71" cm="1">
        <f t="array" ref="S50">B50*MainEntryFee()+G50*MPool1Fee()+H50*MPool2Fee()+I50*MPool3Fee()+J50*MPool4Fee()</f>
        <v>160</v>
      </c>
      <c r="T50" s="234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>
        <v>1</v>
      </c>
      <c r="C51" s="163"/>
      <c r="D51" s="235" t="s">
        <v>179</v>
      </c>
      <c r="E51" s="235" t="s">
        <v>180</v>
      </c>
      <c r="F51" s="173" t="s">
        <v>181</v>
      </c>
      <c r="G51" s="162">
        <v>1</v>
      </c>
      <c r="H51" s="179">
        <v>1</v>
      </c>
      <c r="I51" s="179">
        <v>1</v>
      </c>
      <c r="J51" s="179"/>
      <c r="K51" s="179"/>
      <c r="L51" s="230"/>
      <c r="M51" s="164">
        <v>1</v>
      </c>
      <c r="N51" s="183">
        <f t="shared" si="4"/>
        <v>110</v>
      </c>
      <c r="O51" s="231"/>
      <c r="P51" s="232"/>
      <c r="Q51" s="233" t="str">
        <f t="shared" si="5"/>
        <v/>
      </c>
      <c r="R51" s="211">
        <f t="shared" si="6"/>
        <v>110</v>
      </c>
      <c r="S51" s="71" cm="1">
        <f t="array" ref="S51">B51*MainEntryFee()+G51*MPool1Fee()+H51*MPool2Fee()+I51*MPool3Fee()+J51*MPool4Fee()</f>
        <v>110</v>
      </c>
      <c r="T51" s="234">
        <v>1</v>
      </c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62">
        <v>1</v>
      </c>
      <c r="C52" s="163"/>
      <c r="D52" s="235" t="s">
        <v>182</v>
      </c>
      <c r="E52" s="235" t="s">
        <v>115</v>
      </c>
      <c r="F52" s="177" t="s">
        <v>183</v>
      </c>
      <c r="G52" s="162">
        <v>1</v>
      </c>
      <c r="H52" s="179">
        <v>1</v>
      </c>
      <c r="I52" s="179">
        <v>1</v>
      </c>
      <c r="J52" s="179">
        <v>1</v>
      </c>
      <c r="K52" s="179"/>
      <c r="L52" s="230"/>
      <c r="M52" s="164"/>
      <c r="N52" s="183">
        <f t="shared" si="4"/>
        <v>0</v>
      </c>
      <c r="O52" s="231"/>
      <c r="P52" s="232"/>
      <c r="Q52" s="233" t="str">
        <f t="shared" si="5"/>
        <v/>
      </c>
      <c r="R52" s="211" t="str">
        <f t="shared" si="6"/>
        <v/>
      </c>
      <c r="S52" s="71" cm="1">
        <f t="array" ref="S52">B52*MainEntryFee()+G52*MPool1Fee()+H52*MPool2Fee()+I52*MPool3Fee()+J52*MPool4Fee()</f>
        <v>160</v>
      </c>
      <c r="T52" s="234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5" t="s">
        <v>184</v>
      </c>
      <c r="E53" s="235"/>
      <c r="F53" s="173" t="s">
        <v>185</v>
      </c>
      <c r="G53" s="162"/>
      <c r="H53" s="179"/>
      <c r="I53" s="179">
        <v>1</v>
      </c>
      <c r="J53" s="179"/>
      <c r="K53" s="179"/>
      <c r="L53" s="230"/>
      <c r="M53" s="164">
        <v>1</v>
      </c>
      <c r="N53" s="183">
        <f t="shared" si="4"/>
        <v>90</v>
      </c>
      <c r="O53" s="231"/>
      <c r="P53" s="232"/>
      <c r="Q53" s="233" t="str">
        <f t="shared" si="5"/>
        <v/>
      </c>
      <c r="R53" s="211">
        <f t="shared" si="6"/>
        <v>90</v>
      </c>
      <c r="S53" s="71" cm="1">
        <f t="array" ref="S53">B53*MainEntryFee()+G53*MPool1Fee()+H53*MPool2Fee()+I53*MPool3Fee()+J53*MPool4Fee()</f>
        <v>90</v>
      </c>
      <c r="T53" s="234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5" t="s">
        <v>186</v>
      </c>
      <c r="E54" s="235" t="s">
        <v>167</v>
      </c>
      <c r="F54" s="177" t="s">
        <v>187</v>
      </c>
      <c r="G54" s="170">
        <v>1</v>
      </c>
      <c r="H54" s="170"/>
      <c r="I54" s="170"/>
      <c r="J54" s="170"/>
      <c r="K54" s="170"/>
      <c r="L54" s="230"/>
      <c r="M54" s="183"/>
      <c r="N54" s="183">
        <f t="shared" si="4"/>
        <v>0</v>
      </c>
      <c r="O54" s="231"/>
      <c r="P54" s="232"/>
      <c r="Q54" s="233" t="str">
        <f t="shared" si="5"/>
        <v/>
      </c>
      <c r="R54" s="211" t="str">
        <f t="shared" si="6"/>
        <v/>
      </c>
      <c r="S54" s="71" cm="1">
        <f t="array" ref="S54">B54*MainEntryFee()+G54*MPool1Fee()+H54*MPool2Fee()+I54*MPool3Fee()+J54*MPool4Fee()</f>
        <v>80</v>
      </c>
      <c r="T54" s="234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62">
        <v>1</v>
      </c>
      <c r="C55" s="163"/>
      <c r="D55" s="235" t="s">
        <v>188</v>
      </c>
      <c r="E55" s="235" t="s">
        <v>189</v>
      </c>
      <c r="F55" s="173" t="s">
        <v>190</v>
      </c>
      <c r="G55" s="162">
        <v>1</v>
      </c>
      <c r="H55" s="179">
        <v>1</v>
      </c>
      <c r="I55" s="179">
        <v>1</v>
      </c>
      <c r="J55" s="179"/>
      <c r="K55" s="179"/>
      <c r="L55" s="230">
        <v>1</v>
      </c>
      <c r="M55" s="164"/>
      <c r="N55" s="183">
        <f t="shared" si="4"/>
        <v>0</v>
      </c>
      <c r="O55" s="231"/>
      <c r="P55" s="232"/>
      <c r="Q55" s="233" t="str">
        <f t="shared" si="5"/>
        <v/>
      </c>
      <c r="R55" s="211" t="str">
        <f t="shared" si="6"/>
        <v/>
      </c>
      <c r="S55" s="71" cm="1">
        <f t="array" ref="S55">B55*MainEntryFee()+G55*MPool1Fee()+H55*MPool2Fee()+I55*MPool3Fee()+J55*MPool4Fee()</f>
        <v>110</v>
      </c>
      <c r="T55" s="234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62">
        <v>1</v>
      </c>
      <c r="C56" s="163"/>
      <c r="D56" s="235" t="s">
        <v>191</v>
      </c>
      <c r="E56" s="235" t="s">
        <v>192</v>
      </c>
      <c r="F56" s="177" t="s">
        <v>193</v>
      </c>
      <c r="G56" s="170">
        <v>1</v>
      </c>
      <c r="H56" s="170">
        <v>1</v>
      </c>
      <c r="I56" s="170">
        <v>1</v>
      </c>
      <c r="J56" s="170"/>
      <c r="K56" s="170"/>
      <c r="L56" s="230"/>
      <c r="M56" s="183"/>
      <c r="N56" s="183">
        <f t="shared" si="4"/>
        <v>0</v>
      </c>
      <c r="O56" s="231"/>
      <c r="P56" s="232"/>
      <c r="Q56" s="233" t="str">
        <f t="shared" si="5"/>
        <v/>
      </c>
      <c r="R56" s="211" t="str">
        <f t="shared" si="6"/>
        <v/>
      </c>
      <c r="S56" s="71" cm="1">
        <f t="array" ref="S56">B56*MainEntryFee()+G56*MPool1Fee()+H56*MPool2Fee()+I56*MPool3Fee()+J56*MPool4Fee()</f>
        <v>110</v>
      </c>
      <c r="T56" s="234">
        <v>1</v>
      </c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5" t="s">
        <v>194</v>
      </c>
      <c r="E57" s="235" t="s">
        <v>112</v>
      </c>
      <c r="F57" s="177" t="s">
        <v>195</v>
      </c>
      <c r="G57" s="170">
        <v>1</v>
      </c>
      <c r="H57" s="170">
        <v>1</v>
      </c>
      <c r="I57" s="170">
        <v>1</v>
      </c>
      <c r="J57" s="170"/>
      <c r="K57" s="170"/>
      <c r="L57" s="230"/>
      <c r="M57" s="183"/>
      <c r="N57" s="183">
        <f t="shared" si="4"/>
        <v>0</v>
      </c>
      <c r="O57" s="231"/>
      <c r="P57" s="232"/>
      <c r="Q57" s="233" t="str">
        <f t="shared" si="5"/>
        <v/>
      </c>
      <c r="R57" s="211" t="str">
        <f t="shared" si="6"/>
        <v/>
      </c>
      <c r="S57" s="71" cm="1">
        <f t="array" ref="S57">B57*MainEntryFee()+G57*MPool1Fee()+H57*MPool2Fee()+I57*MPool3Fee()+J57*MPool4Fee()</f>
        <v>110</v>
      </c>
      <c r="T57" s="234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5" t="s">
        <v>198</v>
      </c>
      <c r="E58" s="235" t="s">
        <v>115</v>
      </c>
      <c r="F58" s="177" t="s">
        <v>199</v>
      </c>
      <c r="G58" s="170">
        <v>1</v>
      </c>
      <c r="H58" s="170">
        <v>1</v>
      </c>
      <c r="I58" s="170">
        <v>1</v>
      </c>
      <c r="J58" s="170">
        <v>1</v>
      </c>
      <c r="K58" s="170">
        <v>1</v>
      </c>
      <c r="L58" s="230"/>
      <c r="M58" s="183"/>
      <c r="N58" s="183">
        <f t="shared" si="4"/>
        <v>0</v>
      </c>
      <c r="O58" s="231"/>
      <c r="P58" s="232"/>
      <c r="Q58" s="233" t="str">
        <f t="shared" si="5"/>
        <v/>
      </c>
      <c r="R58" s="211" t="str">
        <f t="shared" si="6"/>
        <v/>
      </c>
      <c r="S58" s="71" cm="1">
        <f t="array" ref="S58">B58*MainEntryFee()+G58*MPool1Fee()+H58*MPool2Fee()+I58*MPool3Fee()+J58*MPool4Fee()</f>
        <v>160</v>
      </c>
      <c r="T58" s="234">
        <v>1</v>
      </c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>
        <v>1</v>
      </c>
      <c r="C59" s="163"/>
      <c r="D59" s="235" t="s">
        <v>200</v>
      </c>
      <c r="E59" s="235" t="s">
        <v>201</v>
      </c>
      <c r="F59" s="173" t="s">
        <v>202</v>
      </c>
      <c r="G59" s="162">
        <v>1</v>
      </c>
      <c r="H59" s="179">
        <v>1</v>
      </c>
      <c r="I59" s="179">
        <v>1</v>
      </c>
      <c r="J59" s="179">
        <v>1</v>
      </c>
      <c r="K59" s="179"/>
      <c r="L59" s="230"/>
      <c r="M59" s="164"/>
      <c r="N59" s="183">
        <f t="shared" si="4"/>
        <v>0</v>
      </c>
      <c r="O59" s="231"/>
      <c r="P59" s="232"/>
      <c r="Q59" s="233" t="str">
        <f t="shared" si="5"/>
        <v/>
      </c>
      <c r="R59" s="211" t="str">
        <f t="shared" si="6"/>
        <v/>
      </c>
      <c r="S59" s="71" cm="1">
        <f t="array" ref="S59">B59*MainEntryFee()+G59*MPool1Fee()+H59*MPool2Fee()+I59*MPool3Fee()+J59*MPool4Fee()</f>
        <v>160</v>
      </c>
      <c r="T59" s="234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5" t="s">
        <v>203</v>
      </c>
      <c r="E60" s="235" t="s">
        <v>204</v>
      </c>
      <c r="F60" s="177" t="s">
        <v>205</v>
      </c>
      <c r="G60" s="170"/>
      <c r="H60" s="170"/>
      <c r="I60" s="170"/>
      <c r="J60" s="170"/>
      <c r="K60" s="170"/>
      <c r="L60" s="230"/>
      <c r="M60" s="183"/>
      <c r="N60" s="183">
        <f t="shared" si="4"/>
        <v>0</v>
      </c>
      <c r="O60" s="231"/>
      <c r="P60" s="232"/>
      <c r="Q60" s="233" t="str">
        <f t="shared" si="5"/>
        <v/>
      </c>
      <c r="R60" s="211" t="str">
        <f t="shared" si="6"/>
        <v/>
      </c>
      <c r="S60" s="71" cm="1">
        <f t="array" ref="S60">B60*MainEntryFee()+G60*MPool1Fee()+H60*MPool2Fee()+I60*MPool3Fee()+J60*MPool4Fee()</f>
        <v>70</v>
      </c>
      <c r="T60" s="234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5" t="s">
        <v>206</v>
      </c>
      <c r="E61" s="235" t="s">
        <v>115</v>
      </c>
      <c r="F61" s="177" t="s">
        <v>207</v>
      </c>
      <c r="G61" s="162">
        <v>1</v>
      </c>
      <c r="H61" s="179"/>
      <c r="I61" s="179"/>
      <c r="J61" s="179"/>
      <c r="K61" s="179"/>
      <c r="L61" s="230"/>
      <c r="M61" s="164"/>
      <c r="N61" s="183">
        <f t="shared" si="4"/>
        <v>0</v>
      </c>
      <c r="O61" s="231"/>
      <c r="P61" s="232"/>
      <c r="Q61" s="233" t="str">
        <f t="shared" si="5"/>
        <v/>
      </c>
      <c r="R61" s="211" t="str">
        <f t="shared" si="6"/>
        <v/>
      </c>
      <c r="S61" s="71" cm="1">
        <f t="array" ref="S61">B61*MainEntryFee()+G61*MPool1Fee()+H61*MPool2Fee()+I61*MPool3Fee()+J61*MPool4Fee()</f>
        <v>80</v>
      </c>
      <c r="T61" s="234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5" t="s">
        <v>210</v>
      </c>
      <c r="E62" s="235" t="s">
        <v>109</v>
      </c>
      <c r="F62" s="177" t="s">
        <v>211</v>
      </c>
      <c r="G62" s="170">
        <v>1</v>
      </c>
      <c r="H62" s="170">
        <v>1</v>
      </c>
      <c r="I62" s="170">
        <v>1</v>
      </c>
      <c r="J62" s="170">
        <v>1</v>
      </c>
      <c r="K62" s="170">
        <v>1</v>
      </c>
      <c r="L62" s="230"/>
      <c r="M62" s="183"/>
      <c r="N62" s="183">
        <f t="shared" si="4"/>
        <v>0</v>
      </c>
      <c r="O62" s="231"/>
      <c r="P62" s="232"/>
      <c r="Q62" s="233" t="str">
        <f t="shared" si="5"/>
        <v/>
      </c>
      <c r="R62" s="211" t="str">
        <f t="shared" si="6"/>
        <v/>
      </c>
      <c r="S62" s="71" cm="1">
        <f t="array" ref="S62">B62*MainEntryFee()+G62*MPool1Fee()+H62*MPool2Fee()+I62*MPool3Fee()+J62*MPool4Fee()</f>
        <v>160</v>
      </c>
      <c r="T62" s="234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70">
        <v>1</v>
      </c>
      <c r="C63" s="163"/>
      <c r="D63" s="235" t="s">
        <v>217</v>
      </c>
      <c r="E63" s="235" t="s">
        <v>115</v>
      </c>
      <c r="F63" s="246" t="s">
        <v>218</v>
      </c>
      <c r="G63" s="170">
        <v>1</v>
      </c>
      <c r="H63" s="170">
        <v>1</v>
      </c>
      <c r="I63" s="170">
        <v>1</v>
      </c>
      <c r="J63" s="170"/>
      <c r="K63" s="170"/>
      <c r="L63" s="230"/>
      <c r="M63" s="183"/>
      <c r="N63" s="183">
        <f t="shared" si="4"/>
        <v>0</v>
      </c>
      <c r="O63" s="231"/>
      <c r="P63" s="232"/>
      <c r="Q63" s="233" t="str">
        <f t="shared" si="5"/>
        <v/>
      </c>
      <c r="R63" s="211" t="str">
        <f t="shared" si="6"/>
        <v/>
      </c>
      <c r="S63" s="71" cm="1">
        <f t="array" ref="S63">B63*MainEntryFee()+G63*MPool1Fee()+H63*MPool2Fee()+I63*MPool3Fee()+J63*MPool4Fee()</f>
        <v>110</v>
      </c>
      <c r="T63" s="234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5" t="s">
        <v>219</v>
      </c>
      <c r="E64" s="235" t="s">
        <v>115</v>
      </c>
      <c r="F64" s="177" t="s">
        <v>220</v>
      </c>
      <c r="G64" s="170"/>
      <c r="H64" s="170"/>
      <c r="I64" s="170"/>
      <c r="J64" s="170"/>
      <c r="K64" s="170"/>
      <c r="L64" s="230"/>
      <c r="M64" s="183"/>
      <c r="N64" s="183">
        <f t="shared" si="4"/>
        <v>0</v>
      </c>
      <c r="O64" s="231"/>
      <c r="P64" s="232"/>
      <c r="Q64" s="233" t="str">
        <f t="shared" si="5"/>
        <v/>
      </c>
      <c r="R64" s="211" t="str">
        <f t="shared" si="6"/>
        <v/>
      </c>
      <c r="S64" s="71" cm="1">
        <f t="array" ref="S64">B64*MainEntryFee()+G64*MPool1Fee()+H64*MPool2Fee()+I64*MPool3Fee()+J64*MPool4Fee()</f>
        <v>70</v>
      </c>
      <c r="T64" s="234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70">
        <v>1</v>
      </c>
      <c r="C65" s="163"/>
      <c r="D65" s="235" t="s">
        <v>221</v>
      </c>
      <c r="E65" s="235" t="s">
        <v>115</v>
      </c>
      <c r="F65" s="177" t="s">
        <v>222</v>
      </c>
      <c r="G65" s="170"/>
      <c r="H65" s="170">
        <v>1</v>
      </c>
      <c r="I65" s="170">
        <v>1</v>
      </c>
      <c r="J65" s="170"/>
      <c r="K65" s="170"/>
      <c r="L65" s="263"/>
      <c r="M65" s="183"/>
      <c r="N65" s="183">
        <f t="shared" si="4"/>
        <v>0</v>
      </c>
      <c r="O65" s="231"/>
      <c r="P65" s="232"/>
      <c r="Q65" s="233" t="str">
        <f t="shared" si="5"/>
        <v/>
      </c>
      <c r="R65" s="211" t="str">
        <f t="shared" si="6"/>
        <v/>
      </c>
      <c r="S65" s="71" cm="1">
        <f t="array" ref="S65">B65*MainEntryFee()+G65*MPool1Fee()+H65*MPool2Fee()+I65*MPool3Fee()+J65*MPool4Fee()</f>
        <v>100</v>
      </c>
      <c r="T65" s="234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5" t="s">
        <v>225</v>
      </c>
      <c r="E66" s="235" t="s">
        <v>115</v>
      </c>
      <c r="F66" s="177" t="s">
        <v>226</v>
      </c>
      <c r="G66" s="162">
        <v>1</v>
      </c>
      <c r="H66" s="179"/>
      <c r="I66" s="179"/>
      <c r="J66" s="179"/>
      <c r="K66" s="179"/>
      <c r="L66" s="263">
        <v>1</v>
      </c>
      <c r="M66" s="164"/>
      <c r="N66" s="183">
        <f t="shared" si="4"/>
        <v>0</v>
      </c>
      <c r="O66" s="231"/>
      <c r="P66" s="232"/>
      <c r="Q66" s="233" t="str">
        <f t="shared" si="5"/>
        <v/>
      </c>
      <c r="R66" s="211" t="str">
        <f t="shared" si="6"/>
        <v/>
      </c>
      <c r="S66" s="71" cm="1">
        <f t="array" ref="S66">B66*MainEntryFee()+G66*MPool1Fee()+H66*MPool2Fee()+I66*MPool3Fee()+J66*MPool4Fee()</f>
        <v>80</v>
      </c>
      <c r="T66" s="234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5" t="s">
        <v>227</v>
      </c>
      <c r="E67" s="235" t="s">
        <v>94</v>
      </c>
      <c r="F67" s="177" t="s">
        <v>228</v>
      </c>
      <c r="G67" s="170">
        <v>1</v>
      </c>
      <c r="H67" s="170"/>
      <c r="I67" s="170"/>
      <c r="J67" s="170"/>
      <c r="K67" s="170"/>
      <c r="L67" s="263"/>
      <c r="M67" s="183"/>
      <c r="N67" s="183">
        <f t="shared" si="4"/>
        <v>0</v>
      </c>
      <c r="O67" s="231"/>
      <c r="P67" s="232"/>
      <c r="Q67" s="233" t="str">
        <f t="shared" si="5"/>
        <v/>
      </c>
      <c r="R67" s="211" t="str">
        <f t="shared" si="6"/>
        <v/>
      </c>
      <c r="S67" s="71" cm="1">
        <f t="array" ref="S67">B67*MainEntryFee()+G67*MPool1Fee()+H67*MPool2Fee()+I67*MPool3Fee()+J67*MPool4Fee()</f>
        <v>80</v>
      </c>
      <c r="T67" s="234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5" t="s">
        <v>229</v>
      </c>
      <c r="E68" s="235" t="s">
        <v>112</v>
      </c>
      <c r="F68" s="173" t="s">
        <v>230</v>
      </c>
      <c r="G68" s="162"/>
      <c r="H68" s="179"/>
      <c r="I68" s="179"/>
      <c r="J68" s="179"/>
      <c r="K68" s="179"/>
      <c r="L68" s="263"/>
      <c r="M68" s="164">
        <v>1</v>
      </c>
      <c r="N68" s="183">
        <f t="shared" si="4"/>
        <v>70</v>
      </c>
      <c r="O68" s="231"/>
      <c r="P68" s="232"/>
      <c r="Q68" s="233" t="str">
        <f t="shared" si="5"/>
        <v/>
      </c>
      <c r="R68" s="211">
        <f t="shared" si="6"/>
        <v>70</v>
      </c>
      <c r="S68" s="71" cm="1">
        <f t="array" ref="S68">B68*MainEntryFee()+G68*MPool1Fee()+H68*MPool2Fee()+I68*MPool3Fee()+J68*MPool4Fee()</f>
        <v>70</v>
      </c>
      <c r="T68" s="234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62">
        <v>1</v>
      </c>
      <c r="C69" s="163"/>
      <c r="D69" s="235" t="s">
        <v>231</v>
      </c>
      <c r="E69" s="235" t="s">
        <v>142</v>
      </c>
      <c r="F69" s="177" t="s">
        <v>232</v>
      </c>
      <c r="G69" s="170"/>
      <c r="H69" s="170"/>
      <c r="I69" s="170"/>
      <c r="J69" s="170"/>
      <c r="K69" s="170"/>
      <c r="L69" s="263"/>
      <c r="M69" s="183">
        <v>1</v>
      </c>
      <c r="N69" s="183">
        <f t="shared" si="4"/>
        <v>70</v>
      </c>
      <c r="O69" s="231"/>
      <c r="P69" s="232"/>
      <c r="Q69" s="233" t="str">
        <f t="shared" si="5"/>
        <v/>
      </c>
      <c r="R69" s="211">
        <f t="shared" si="6"/>
        <v>70</v>
      </c>
      <c r="S69" s="71" cm="1">
        <f t="array" ref="S69">B69*MainEntryFee()+G69*MPool1Fee()+H69*MPool2Fee()+I69*MPool3Fee()+J69*MPool4Fee()</f>
        <v>70</v>
      </c>
      <c r="T69" s="234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5" t="s">
        <v>233</v>
      </c>
      <c r="E70" s="235" t="s">
        <v>115</v>
      </c>
      <c r="F70" s="177" t="s">
        <v>234</v>
      </c>
      <c r="G70" s="170"/>
      <c r="H70" s="170">
        <v>1</v>
      </c>
      <c r="I70" s="170">
        <v>1</v>
      </c>
      <c r="J70" s="170"/>
      <c r="K70" s="170"/>
      <c r="L70" s="263"/>
      <c r="M70" s="183"/>
      <c r="N70" s="183">
        <f t="shared" si="4"/>
        <v>0</v>
      </c>
      <c r="O70" s="231"/>
      <c r="P70" s="232"/>
      <c r="Q70" s="233" t="str">
        <f t="shared" si="5"/>
        <v/>
      </c>
      <c r="R70" s="211" t="str">
        <f t="shared" si="6"/>
        <v/>
      </c>
      <c r="S70" s="71" cm="1">
        <f t="array" ref="S70">B70*MainEntryFee()+G70*MPool1Fee()+H70*MPool2Fee()+I70*MPool3Fee()+J70*MPool4Fee()</f>
        <v>100</v>
      </c>
      <c r="T70" s="234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5" t="s">
        <v>235</v>
      </c>
      <c r="E71" s="235" t="s">
        <v>150</v>
      </c>
      <c r="F71" s="177" t="s">
        <v>236</v>
      </c>
      <c r="G71" s="170">
        <v>1</v>
      </c>
      <c r="H71" s="170">
        <v>1</v>
      </c>
      <c r="I71" s="170"/>
      <c r="J71" s="170"/>
      <c r="K71" s="170"/>
      <c r="L71" s="263"/>
      <c r="M71" s="183"/>
      <c r="N71" s="183">
        <f t="shared" si="4"/>
        <v>0</v>
      </c>
      <c r="O71" s="231"/>
      <c r="P71" s="232"/>
      <c r="Q71" s="233" t="str">
        <f t="shared" si="5"/>
        <v/>
      </c>
      <c r="R71" s="211" t="str">
        <f t="shared" si="6"/>
        <v/>
      </c>
      <c r="S71" s="71" cm="1">
        <f t="array" ref="S71">B71*MainEntryFee()+G71*MPool1Fee()+H71*MPool2Fee()+I71*MPool3Fee()+J71*MPool4Fee()</f>
        <v>90</v>
      </c>
      <c r="T71" s="234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7"/>
      <c r="E72" s="237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3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7"/>
      <c r="E73" s="237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3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7"/>
      <c r="E74" s="237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3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8"/>
      <c r="E75" s="238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3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8"/>
      <c r="E76" s="238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3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7"/>
      <c r="E77" s="237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3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8"/>
      <c r="E78" s="238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3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8"/>
      <c r="E79" s="238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3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7"/>
      <c r="E80" s="237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3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7"/>
      <c r="E81" s="237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3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7"/>
      <c r="E82" s="237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3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8"/>
      <c r="E83" s="238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3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7"/>
      <c r="E84" s="237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3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7"/>
      <c r="E85" s="237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3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39"/>
      <c r="E86" s="239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3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7"/>
      <c r="E87" s="237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3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8"/>
      <c r="E88" s="238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3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8"/>
      <c r="E89" s="238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3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8"/>
      <c r="E90" s="238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3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8"/>
      <c r="E91" s="238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3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8"/>
      <c r="E92" s="238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3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8"/>
      <c r="E93" s="238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3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8"/>
      <c r="E94" s="238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3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8"/>
      <c r="E95" s="238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3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8"/>
      <c r="E96" s="238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3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8"/>
      <c r="E97" s="238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3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8"/>
      <c r="E98" s="238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3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8"/>
      <c r="E99" s="238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3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8"/>
      <c r="E100" s="238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3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8"/>
      <c r="E101" s="238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3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8"/>
      <c r="E102" s="238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3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8"/>
      <c r="E103" s="238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3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8"/>
      <c r="E104" s="238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3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8"/>
      <c r="E105" s="238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3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8"/>
      <c r="E106" s="238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3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8"/>
      <c r="E107" s="238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3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8"/>
      <c r="E108" s="238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3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8"/>
      <c r="E109" s="238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3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8"/>
      <c r="E110" s="238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3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8"/>
      <c r="E111" s="238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3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8"/>
      <c r="E112" s="238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3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8"/>
      <c r="E113" s="238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3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8"/>
      <c r="E114" s="238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3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8"/>
      <c r="E115" s="238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3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8"/>
      <c r="E116" s="238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3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8"/>
      <c r="E117" s="238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3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8"/>
      <c r="E118" s="238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3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8"/>
      <c r="E119" s="238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3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8"/>
      <c r="E120" s="238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3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8"/>
      <c r="E121" s="238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3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8"/>
      <c r="E122" s="238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3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8"/>
      <c r="E123" s="238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3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8"/>
      <c r="E124" s="238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3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8"/>
      <c r="E125" s="238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3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8"/>
      <c r="E126" s="238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3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8"/>
      <c r="E127" s="238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3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8"/>
      <c r="E128" s="238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3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8"/>
      <c r="E129" s="238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3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8"/>
      <c r="E130" s="238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3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8"/>
      <c r="E131" s="238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3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8"/>
      <c r="E132" s="238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3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8"/>
      <c r="E133" s="238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3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8"/>
      <c r="E134" s="238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3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8"/>
      <c r="E135" s="238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3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8"/>
      <c r="E136" s="238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3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8"/>
      <c r="E137" s="238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3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8"/>
      <c r="E138" s="238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3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8"/>
      <c r="E139" s="238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3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8"/>
      <c r="E140" s="238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3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8"/>
      <c r="E141" s="238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3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8"/>
      <c r="E142" s="238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3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8"/>
      <c r="E143" s="238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3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8"/>
      <c r="E144" s="238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3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8"/>
      <c r="E145" s="238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3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8"/>
      <c r="E146" s="238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3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8"/>
      <c r="E147" s="238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3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8"/>
      <c r="E148" s="238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3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8"/>
      <c r="E149" s="238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3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8"/>
      <c r="E150" s="238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3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8"/>
      <c r="E151" s="238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3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8"/>
      <c r="E152" s="238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3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8"/>
      <c r="E153" s="238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3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8"/>
      <c r="E154" s="238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3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8"/>
      <c r="E155" s="238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3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8"/>
      <c r="E156" s="238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3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8"/>
      <c r="E157" s="238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3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8"/>
      <c r="E158" s="238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3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8"/>
      <c r="E159" s="238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3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8"/>
      <c r="E160" s="238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3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8"/>
      <c r="E161" s="238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3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8"/>
      <c r="E162" s="238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3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8"/>
      <c r="E163" s="238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3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8"/>
      <c r="E164" s="238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3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8"/>
      <c r="E165" s="238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3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8"/>
      <c r="E166" s="238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3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8"/>
      <c r="E167" s="238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3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8"/>
      <c r="E168" s="238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3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8"/>
      <c r="E169" s="238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3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8"/>
      <c r="E170" s="238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3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8"/>
      <c r="E171" s="238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3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8"/>
      <c r="E172" s="238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3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8"/>
      <c r="E173" s="238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3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8"/>
      <c r="E174" s="238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3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8"/>
      <c r="E175" s="238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3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8"/>
      <c r="E176" s="238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3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8"/>
      <c r="E177" s="238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3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8"/>
      <c r="E178" s="238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3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8"/>
      <c r="E179" s="238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3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8"/>
      <c r="E180" s="238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3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8"/>
      <c r="E181" s="238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3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8"/>
      <c r="E182" s="238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3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8"/>
      <c r="E183" s="238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3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8"/>
      <c r="E184" s="238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3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8"/>
      <c r="E185" s="238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3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8"/>
      <c r="E186" s="238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3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8"/>
      <c r="E187" s="238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3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8"/>
      <c r="E188" s="238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3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8"/>
      <c r="E189" s="238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3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8"/>
      <c r="E190" s="238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3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8"/>
      <c r="E191" s="238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3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8"/>
      <c r="E192" s="238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3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8"/>
      <c r="E193" s="238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3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8"/>
      <c r="E194" s="238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3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8"/>
      <c r="E195" s="238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3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8"/>
      <c r="E196" s="238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3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8"/>
      <c r="E197" s="238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3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8"/>
      <c r="E198" s="238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3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8"/>
      <c r="E199" s="238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3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8"/>
      <c r="E200" s="238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3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8"/>
      <c r="E201" s="238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3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8"/>
      <c r="E202" s="238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3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8"/>
      <c r="E203" s="238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3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8"/>
      <c r="E204" s="238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3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8"/>
      <c r="E205" s="238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3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8"/>
      <c r="E206" s="238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3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8"/>
      <c r="E207" s="238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3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8"/>
      <c r="E208" s="238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3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8"/>
      <c r="E209" s="238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3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8"/>
      <c r="E210" s="238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3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8"/>
      <c r="E211" s="238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3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2" t="s">
        <v>51</v>
      </c>
      <c r="B1" s="272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9" t="s">
        <v>237</v>
      </c>
      <c r="D3" s="269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9" t="s">
        <v>238</v>
      </c>
      <c r="D4" s="269"/>
      <c r="E4" s="215"/>
      <c r="F4" s="215"/>
      <c r="G4" s="20"/>
      <c r="H4" s="20"/>
      <c r="I4" s="21" t="s">
        <v>85</v>
      </c>
      <c r="J4" s="151"/>
      <c r="K4" s="151"/>
      <c r="L4" s="39"/>
      <c r="M4" s="219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9" t="s">
        <v>239</v>
      </c>
      <c r="D5" s="269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8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>
        <v>45402</v>
      </c>
      <c r="D6" s="248"/>
      <c r="E6" s="248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49"/>
      <c r="C7" s="59"/>
      <c r="D7" s="252"/>
      <c r="E7" s="250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1"/>
      <c r="C8" s="251"/>
      <c r="D8" s="252"/>
      <c r="E8" s="61"/>
      <c r="G8" s="26"/>
      <c r="H8" s="26"/>
      <c r="M8" s="11">
        <f>SUM(M10:M203)</f>
        <v>13</v>
      </c>
      <c r="N8" s="11">
        <f>SUM(N10:N203)</f>
        <v>10</v>
      </c>
      <c r="O8" s="11">
        <f>SUM(O10:O203)</f>
        <v>12</v>
      </c>
      <c r="P8" s="11">
        <f>SUM(P10:P203)</f>
        <v>7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2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161</v>
      </c>
      <c r="C10" s="178" t="s">
        <v>120</v>
      </c>
      <c r="D10" s="178" t="s">
        <v>162</v>
      </c>
      <c r="E10" s="178">
        <v>25</v>
      </c>
      <c r="F10" s="211">
        <v>10</v>
      </c>
      <c r="G10" s="211">
        <v>170</v>
      </c>
      <c r="H10" s="211"/>
      <c r="I10" s="170"/>
      <c r="J10" s="170"/>
      <c r="K10" s="170"/>
      <c r="L10" s="168"/>
      <c r="M10" s="178">
        <v>1</v>
      </c>
      <c r="N10" s="178">
        <v>1</v>
      </c>
      <c r="O10" s="170">
        <v>1</v>
      </c>
      <c r="P10" s="170">
        <v>1</v>
      </c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139</v>
      </c>
      <c r="C11" s="178" t="s">
        <v>115</v>
      </c>
      <c r="D11" s="178" t="s">
        <v>140</v>
      </c>
      <c r="E11" s="178">
        <v>24</v>
      </c>
      <c r="F11" s="211">
        <v>11</v>
      </c>
      <c r="G11" s="211">
        <v>166</v>
      </c>
      <c r="H11" s="211"/>
      <c r="I11" s="170"/>
      <c r="J11" s="170"/>
      <c r="K11" s="178"/>
      <c r="L11" s="178"/>
      <c r="M11" s="178">
        <v>1</v>
      </c>
      <c r="N11" s="178">
        <v>1</v>
      </c>
      <c r="O11" s="170">
        <v>1</v>
      </c>
      <c r="P11" s="170">
        <v>1</v>
      </c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 t="s">
        <v>96</v>
      </c>
      <c r="C12" s="178" t="s">
        <v>97</v>
      </c>
      <c r="D12" s="178" t="s">
        <v>98</v>
      </c>
      <c r="E12" s="211">
        <v>21</v>
      </c>
      <c r="F12" s="211">
        <v>10</v>
      </c>
      <c r="G12" s="211">
        <v>55</v>
      </c>
      <c r="H12" s="211"/>
      <c r="I12" s="179"/>
      <c r="J12" s="179"/>
      <c r="K12" s="179"/>
      <c r="L12" s="168"/>
      <c r="M12" s="178">
        <v>1</v>
      </c>
      <c r="N12" s="178"/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 t="s">
        <v>127</v>
      </c>
      <c r="C13" s="162" t="s">
        <v>112</v>
      </c>
      <c r="D13" s="162" t="s">
        <v>128</v>
      </c>
      <c r="E13" s="211">
        <v>21</v>
      </c>
      <c r="F13" s="211">
        <v>10</v>
      </c>
      <c r="G13" s="211">
        <v>41</v>
      </c>
      <c r="H13" s="211"/>
      <c r="I13" s="170"/>
      <c r="J13" s="170"/>
      <c r="K13" s="170"/>
      <c r="L13" s="168"/>
      <c r="M13" s="162">
        <v>1</v>
      </c>
      <c r="N13" s="179">
        <v>1</v>
      </c>
      <c r="O13" s="179">
        <v>1</v>
      </c>
      <c r="P13" s="179">
        <v>1</v>
      </c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144</v>
      </c>
      <c r="C14" s="178" t="s">
        <v>145</v>
      </c>
      <c r="D14" s="178" t="s">
        <v>146</v>
      </c>
      <c r="E14" s="211">
        <v>21</v>
      </c>
      <c r="F14" s="211">
        <v>9</v>
      </c>
      <c r="G14" s="211">
        <v>107</v>
      </c>
      <c r="H14" s="211"/>
      <c r="I14" s="170"/>
      <c r="J14" s="170"/>
      <c r="K14" s="178"/>
      <c r="L14" s="178"/>
      <c r="M14" s="178">
        <v>1</v>
      </c>
      <c r="N14" s="178">
        <v>1</v>
      </c>
      <c r="O14" s="170">
        <v>1</v>
      </c>
      <c r="P14" s="170">
        <v>1</v>
      </c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4" t="s">
        <v>223</v>
      </c>
      <c r="C15" s="178" t="s">
        <v>115</v>
      </c>
      <c r="D15" s="178" t="s">
        <v>224</v>
      </c>
      <c r="E15" s="211">
        <v>20</v>
      </c>
      <c r="F15" s="211">
        <v>10</v>
      </c>
      <c r="G15" s="211">
        <v>91</v>
      </c>
      <c r="H15" s="211"/>
      <c r="I15" s="170"/>
      <c r="J15" s="170"/>
      <c r="K15" s="178"/>
      <c r="L15" s="178"/>
      <c r="M15" s="178">
        <v>1</v>
      </c>
      <c r="N15" s="178">
        <v>1</v>
      </c>
      <c r="O15" s="170">
        <v>1</v>
      </c>
      <c r="P15" s="170"/>
      <c r="Q15" s="7" t="s">
        <v>24</v>
      </c>
      <c r="R15" s="223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6" t="s">
        <v>215</v>
      </c>
      <c r="C16" s="172" t="s">
        <v>180</v>
      </c>
      <c r="D16" s="172" t="s">
        <v>216</v>
      </c>
      <c r="E16" s="178">
        <v>20</v>
      </c>
      <c r="F16" s="211">
        <v>10</v>
      </c>
      <c r="G16" s="211">
        <v>74</v>
      </c>
      <c r="H16" s="211"/>
      <c r="I16" s="170"/>
      <c r="J16" s="170"/>
      <c r="K16" s="178"/>
      <c r="L16" s="178"/>
      <c r="M16" s="175"/>
      <c r="N16" s="175">
        <v>1</v>
      </c>
      <c r="O16" s="170">
        <v>1</v>
      </c>
      <c r="P16" s="170"/>
      <c r="Q16" s="224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114</v>
      </c>
      <c r="C17" s="178" t="s">
        <v>115</v>
      </c>
      <c r="D17" s="178" t="s">
        <v>116</v>
      </c>
      <c r="E17" s="172">
        <v>20</v>
      </c>
      <c r="F17" s="247">
        <v>9</v>
      </c>
      <c r="G17" s="175">
        <v>67</v>
      </c>
      <c r="H17" s="175"/>
      <c r="I17" s="170"/>
      <c r="J17" s="170"/>
      <c r="K17" s="178"/>
      <c r="L17" s="178"/>
      <c r="M17" s="178"/>
      <c r="N17" s="178"/>
      <c r="O17" s="170"/>
      <c r="P17" s="170"/>
      <c r="Q17" s="225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6" t="s">
        <v>196</v>
      </c>
      <c r="C18" s="163" t="s">
        <v>153</v>
      </c>
      <c r="D18" s="162" t="s">
        <v>197</v>
      </c>
      <c r="E18" s="178">
        <v>19</v>
      </c>
      <c r="F18" s="211">
        <v>9</v>
      </c>
      <c r="G18" s="211">
        <v>132</v>
      </c>
      <c r="H18" s="211"/>
      <c r="I18" s="170"/>
      <c r="J18" s="170"/>
      <c r="K18" s="170"/>
      <c r="L18" s="168"/>
      <c r="M18" s="162">
        <v>1</v>
      </c>
      <c r="N18" s="179"/>
      <c r="O18" s="179">
        <v>1</v>
      </c>
      <c r="P18" s="179"/>
      <c r="Q18" s="224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4" t="s">
        <v>212</v>
      </c>
      <c r="C19" s="167" t="s">
        <v>213</v>
      </c>
      <c r="D19" s="170" t="s">
        <v>214</v>
      </c>
      <c r="E19" s="178">
        <v>19</v>
      </c>
      <c r="F19" s="211">
        <v>9</v>
      </c>
      <c r="G19" s="211">
        <v>86</v>
      </c>
      <c r="H19" s="211"/>
      <c r="I19" s="170"/>
      <c r="J19" s="170"/>
      <c r="K19" s="178"/>
      <c r="L19" s="178"/>
      <c r="M19" s="170">
        <v>1</v>
      </c>
      <c r="N19" s="170"/>
      <c r="O19" s="170"/>
      <c r="P19" s="170"/>
      <c r="Q19" s="224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102</v>
      </c>
      <c r="C20" s="175" t="s">
        <v>103</v>
      </c>
      <c r="D20" s="170" t="s">
        <v>104</v>
      </c>
      <c r="E20" s="211">
        <v>19</v>
      </c>
      <c r="F20" s="211">
        <v>9</v>
      </c>
      <c r="G20" s="211">
        <v>63</v>
      </c>
      <c r="H20" s="211"/>
      <c r="I20" s="170"/>
      <c r="J20" s="170"/>
      <c r="K20" s="178"/>
      <c r="L20" s="178"/>
      <c r="M20" s="170">
        <v>1</v>
      </c>
      <c r="N20" s="170">
        <v>1</v>
      </c>
      <c r="O20" s="170">
        <v>1</v>
      </c>
      <c r="P20" s="170">
        <v>1</v>
      </c>
      <c r="Q20" s="224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119</v>
      </c>
      <c r="C21" s="178" t="s">
        <v>120</v>
      </c>
      <c r="D21" s="178" t="s">
        <v>121</v>
      </c>
      <c r="E21" s="211">
        <v>19</v>
      </c>
      <c r="F21" s="179">
        <v>8</v>
      </c>
      <c r="G21" s="179">
        <v>112</v>
      </c>
      <c r="H21" s="211"/>
      <c r="I21" s="170"/>
      <c r="J21" s="170"/>
      <c r="K21" s="162"/>
      <c r="L21" s="144"/>
      <c r="M21" s="178">
        <v>1</v>
      </c>
      <c r="N21" s="178"/>
      <c r="O21" s="170">
        <v>1</v>
      </c>
      <c r="P21" s="170"/>
      <c r="Q21" s="224" t="s">
        <v>25</v>
      </c>
      <c r="R21" s="42"/>
    </row>
    <row r="22" spans="1:22" x14ac:dyDescent="0.25">
      <c r="A22" s="7">
        <f t="shared" si="0"/>
        <v>13</v>
      </c>
      <c r="B22" s="176" t="s">
        <v>136</v>
      </c>
      <c r="C22" s="178" t="s">
        <v>137</v>
      </c>
      <c r="D22" s="178" t="s">
        <v>138</v>
      </c>
      <c r="E22" s="178">
        <v>18</v>
      </c>
      <c r="F22" s="211">
        <v>9</v>
      </c>
      <c r="G22" s="211">
        <v>85</v>
      </c>
      <c r="H22" s="219"/>
      <c r="I22" s="219"/>
      <c r="J22" s="219"/>
      <c r="K22" s="179"/>
      <c r="L22" s="168"/>
      <c r="M22" s="178">
        <v>1</v>
      </c>
      <c r="N22" s="178">
        <v>1</v>
      </c>
      <c r="O22" s="170">
        <v>1</v>
      </c>
      <c r="P22" s="170">
        <v>1</v>
      </c>
      <c r="Q22" s="225" t="s">
        <v>25</v>
      </c>
      <c r="R22" s="42"/>
    </row>
    <row r="23" spans="1:22" x14ac:dyDescent="0.25">
      <c r="A23" s="7">
        <f t="shared" si="0"/>
        <v>14</v>
      </c>
      <c r="B23" s="174" t="s">
        <v>208</v>
      </c>
      <c r="C23" s="178" t="s">
        <v>109</v>
      </c>
      <c r="D23" s="178" t="s">
        <v>209</v>
      </c>
      <c r="E23" s="211">
        <v>18</v>
      </c>
      <c r="F23" s="211">
        <v>8</v>
      </c>
      <c r="G23" s="211">
        <v>94</v>
      </c>
      <c r="H23" s="202"/>
      <c r="I23" s="265"/>
      <c r="J23" s="265"/>
      <c r="K23" s="178"/>
      <c r="L23" s="178"/>
      <c r="M23" s="178">
        <v>1</v>
      </c>
      <c r="N23" s="178">
        <v>1</v>
      </c>
      <c r="O23" s="170">
        <v>1</v>
      </c>
      <c r="P23" s="170">
        <v>1</v>
      </c>
      <c r="Q23" s="224" t="s">
        <v>25</v>
      </c>
      <c r="R23" s="43"/>
    </row>
    <row r="24" spans="1:22" x14ac:dyDescent="0.25">
      <c r="A24" s="7">
        <f t="shared" si="0"/>
        <v>15</v>
      </c>
      <c r="B24" s="176" t="s">
        <v>155</v>
      </c>
      <c r="C24" s="178" t="s">
        <v>106</v>
      </c>
      <c r="D24" s="178" t="s">
        <v>156</v>
      </c>
      <c r="E24" s="211">
        <v>18</v>
      </c>
      <c r="F24" s="211">
        <v>8</v>
      </c>
      <c r="G24" s="211">
        <v>81</v>
      </c>
      <c r="H24" s="211"/>
      <c r="I24" s="179"/>
      <c r="J24" s="179"/>
      <c r="K24" s="179"/>
      <c r="L24" s="168"/>
      <c r="M24" s="178">
        <v>1</v>
      </c>
      <c r="N24" s="178">
        <v>1</v>
      </c>
      <c r="O24" s="170">
        <v>1</v>
      </c>
      <c r="P24" s="170"/>
      <c r="Q24" s="224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4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4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4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4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4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4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4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4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4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4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4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4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4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4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4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4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4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170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8"/>
    </sheetView>
  </sheetViews>
  <sheetFormatPr defaultRowHeight="21" x14ac:dyDescent="0.35"/>
  <cols>
    <col min="1" max="1" width="7.140625" style="107" customWidth="1"/>
    <col min="2" max="2" width="30.140625" style="106" customWidth="1"/>
    <col min="3" max="3" width="25.85546875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240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50</v>
      </c>
      <c r="G2" s="182"/>
      <c r="H2" s="156"/>
    </row>
    <row r="3" spans="1:18" x14ac:dyDescent="0.35">
      <c r="C3" s="111" t="s">
        <v>12</v>
      </c>
      <c r="D3" s="112">
        <v>13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6" t="s">
        <v>161</v>
      </c>
      <c r="C6" s="227" t="s">
        <v>120</v>
      </c>
      <c r="D6" s="228" t="s">
        <v>162</v>
      </c>
      <c r="E6" s="96">
        <v>38</v>
      </c>
    </row>
    <row r="7" spans="1:18" x14ac:dyDescent="0.35">
      <c r="A7" s="116">
        <f>IF(B7&lt;&gt;"",A6+1,"")</f>
        <v>2</v>
      </c>
      <c r="B7" s="226" t="s">
        <v>139</v>
      </c>
      <c r="C7" s="226" t="s">
        <v>115</v>
      </c>
      <c r="D7" s="229" t="s">
        <v>140</v>
      </c>
      <c r="E7" s="96">
        <v>38</v>
      </c>
    </row>
    <row r="8" spans="1:18" x14ac:dyDescent="0.35">
      <c r="A8" s="116">
        <f t="shared" ref="A8:A30" si="0">IF(B8&lt;&gt;"",A7+1,"")</f>
        <v>3</v>
      </c>
      <c r="B8" s="227" t="s">
        <v>96</v>
      </c>
      <c r="C8" s="227" t="s">
        <v>97</v>
      </c>
      <c r="D8" s="228" t="s">
        <v>98</v>
      </c>
      <c r="E8" s="96">
        <v>38</v>
      </c>
    </row>
    <row r="9" spans="1:18" x14ac:dyDescent="0.35">
      <c r="A9" s="116">
        <f t="shared" si="0"/>
        <v>4</v>
      </c>
      <c r="B9" s="226" t="s">
        <v>127</v>
      </c>
      <c r="C9" s="226" t="s">
        <v>112</v>
      </c>
      <c r="D9" s="228" t="s">
        <v>128</v>
      </c>
      <c r="E9" s="96">
        <v>38</v>
      </c>
    </row>
    <row r="10" spans="1:18" x14ac:dyDescent="0.35">
      <c r="A10" s="116">
        <f t="shared" si="0"/>
        <v>5</v>
      </c>
      <c r="B10" s="227" t="s">
        <v>144</v>
      </c>
      <c r="C10" s="226" t="s">
        <v>145</v>
      </c>
      <c r="D10" s="228" t="s">
        <v>146</v>
      </c>
      <c r="E10" s="96">
        <v>38</v>
      </c>
    </row>
    <row r="11" spans="1:18" x14ac:dyDescent="0.35">
      <c r="A11" s="116">
        <f t="shared" si="0"/>
        <v>6</v>
      </c>
      <c r="B11" s="227" t="s">
        <v>223</v>
      </c>
      <c r="C11" s="226" t="s">
        <v>115</v>
      </c>
      <c r="D11" s="229" t="s">
        <v>224</v>
      </c>
      <c r="E11" s="96">
        <v>38</v>
      </c>
      <c r="Q11" s="117"/>
      <c r="R11" s="117"/>
    </row>
    <row r="12" spans="1:18" x14ac:dyDescent="0.35">
      <c r="A12" s="116">
        <f t="shared" si="0"/>
        <v>7</v>
      </c>
      <c r="B12" s="94" t="s">
        <v>196</v>
      </c>
      <c r="C12" s="94" t="s">
        <v>153</v>
      </c>
      <c r="D12" s="95" t="s">
        <v>197</v>
      </c>
      <c r="E12" s="96">
        <v>38</v>
      </c>
      <c r="Q12" s="117"/>
    </row>
    <row r="13" spans="1:18" x14ac:dyDescent="0.35">
      <c r="A13" s="116">
        <f t="shared" si="0"/>
        <v>8</v>
      </c>
      <c r="B13" s="97" t="s">
        <v>212</v>
      </c>
      <c r="C13" s="97" t="s">
        <v>213</v>
      </c>
      <c r="D13" s="98" t="s">
        <v>214</v>
      </c>
      <c r="E13" s="99">
        <v>38</v>
      </c>
    </row>
    <row r="14" spans="1:18" x14ac:dyDescent="0.35">
      <c r="A14" s="116">
        <f t="shared" si="0"/>
        <v>9</v>
      </c>
      <c r="B14" s="94" t="s">
        <v>102</v>
      </c>
      <c r="C14" s="94" t="s">
        <v>103</v>
      </c>
      <c r="D14" s="95" t="s">
        <v>104</v>
      </c>
      <c r="E14" s="96">
        <v>38</v>
      </c>
      <c r="Q14" s="117"/>
      <c r="R14" s="117"/>
    </row>
    <row r="15" spans="1:18" x14ac:dyDescent="0.35">
      <c r="A15" s="116">
        <f t="shared" si="0"/>
        <v>10</v>
      </c>
      <c r="B15" s="97" t="s">
        <v>119</v>
      </c>
      <c r="C15" s="97" t="s">
        <v>120</v>
      </c>
      <c r="D15" s="98" t="s">
        <v>121</v>
      </c>
      <c r="E15" s="99">
        <v>38</v>
      </c>
      <c r="Q15" s="117"/>
      <c r="R15" s="117"/>
    </row>
    <row r="16" spans="1:18" x14ac:dyDescent="0.35">
      <c r="A16" s="116">
        <f t="shared" si="0"/>
        <v>11</v>
      </c>
      <c r="B16" s="100" t="s">
        <v>136</v>
      </c>
      <c r="C16" s="100" t="s">
        <v>137</v>
      </c>
      <c r="D16" s="101" t="s">
        <v>138</v>
      </c>
      <c r="E16" s="99">
        <v>38</v>
      </c>
      <c r="Q16" s="117"/>
      <c r="R16" s="117"/>
    </row>
    <row r="17" spans="1:19" x14ac:dyDescent="0.35">
      <c r="A17" s="116">
        <f t="shared" si="0"/>
        <v>12</v>
      </c>
      <c r="B17" s="100" t="s">
        <v>208</v>
      </c>
      <c r="C17" s="102" t="s">
        <v>109</v>
      </c>
      <c r="D17" s="103" t="s">
        <v>209</v>
      </c>
      <c r="E17" s="96">
        <v>38</v>
      </c>
      <c r="Q17" s="117"/>
      <c r="R17" s="117"/>
    </row>
    <row r="18" spans="1:19" x14ac:dyDescent="0.35">
      <c r="A18" s="116">
        <f t="shared" si="0"/>
        <v>13</v>
      </c>
      <c r="B18" s="102" t="s">
        <v>155</v>
      </c>
      <c r="C18" s="102" t="s">
        <v>106</v>
      </c>
      <c r="D18" s="103" t="s">
        <v>156</v>
      </c>
      <c r="E18" s="96">
        <v>38</v>
      </c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107" customWidth="1"/>
    <col min="2" max="2" width="30.28515625" style="106" customWidth="1"/>
    <col min="3" max="3" width="24.5703125" style="106" customWidth="1"/>
    <col min="4" max="4" width="14.4257812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241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32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3" t="s">
        <v>161</v>
      </c>
      <c r="C6" s="254" t="s">
        <v>120</v>
      </c>
      <c r="D6" s="255" t="s">
        <v>162</v>
      </c>
      <c r="E6" s="262">
        <v>90</v>
      </c>
    </row>
    <row r="7" spans="1:18" ht="23.25" x14ac:dyDescent="0.35">
      <c r="A7" s="118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70</v>
      </c>
    </row>
    <row r="8" spans="1:18" ht="23.25" x14ac:dyDescent="0.35">
      <c r="A8" s="118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55</v>
      </c>
    </row>
    <row r="9" spans="1:18" ht="23.25" x14ac:dyDescent="0.35">
      <c r="A9" s="118">
        <f t="shared" si="0"/>
        <v>4</v>
      </c>
      <c r="B9" s="253" t="s">
        <v>144</v>
      </c>
      <c r="C9" s="253" t="s">
        <v>145</v>
      </c>
      <c r="D9" s="255" t="s">
        <v>146</v>
      </c>
      <c r="E9" s="262">
        <v>45</v>
      </c>
    </row>
    <row r="10" spans="1:18" ht="23.25" x14ac:dyDescent="0.35">
      <c r="A10" s="118">
        <f t="shared" si="0"/>
        <v>5</v>
      </c>
      <c r="B10" s="257" t="s">
        <v>223</v>
      </c>
      <c r="C10" s="257" t="s">
        <v>115</v>
      </c>
      <c r="D10" s="258" t="s">
        <v>224</v>
      </c>
      <c r="E10" s="262">
        <v>35</v>
      </c>
    </row>
    <row r="11" spans="1:18" ht="23.25" x14ac:dyDescent="0.35">
      <c r="A11" s="118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6.5703125" style="59" customWidth="1"/>
    <col min="2" max="2" width="29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241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36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3" t="s">
        <v>161</v>
      </c>
      <c r="C6" s="254" t="s">
        <v>120</v>
      </c>
      <c r="D6" s="255" t="s">
        <v>162</v>
      </c>
      <c r="E6" s="262">
        <v>200</v>
      </c>
    </row>
    <row r="7" spans="1:8" ht="21" customHeight="1" x14ac:dyDescent="0.35">
      <c r="A7" s="65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160</v>
      </c>
    </row>
    <row r="8" spans="1:8" ht="21" customHeight="1" x14ac:dyDescent="0.35">
      <c r="A8" s="65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130</v>
      </c>
    </row>
    <row r="9" spans="1:8" ht="21" customHeight="1" x14ac:dyDescent="0.35">
      <c r="A9" s="65">
        <f t="shared" si="0"/>
        <v>4</v>
      </c>
      <c r="B9" s="257" t="s">
        <v>144</v>
      </c>
      <c r="C9" s="257" t="s">
        <v>145</v>
      </c>
      <c r="D9" s="258" t="s">
        <v>146</v>
      </c>
      <c r="E9" s="259">
        <v>100</v>
      </c>
    </row>
    <row r="10" spans="1:8" ht="23.25" x14ac:dyDescent="0.35">
      <c r="A10" s="65">
        <f t="shared" si="0"/>
        <v>5</v>
      </c>
      <c r="B10" s="257" t="s">
        <v>223</v>
      </c>
      <c r="C10" s="257" t="s">
        <v>115</v>
      </c>
      <c r="D10" s="258" t="s">
        <v>224</v>
      </c>
      <c r="E10" s="259">
        <v>70</v>
      </c>
    </row>
    <row r="11" spans="1:8" ht="23.25" x14ac:dyDescent="0.35">
      <c r="A11" s="65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60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6" style="75" customWidth="1"/>
    <col min="2" max="2" width="30.7109375" style="58" customWidth="1"/>
    <col min="3" max="3" width="26.28515625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241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16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0" t="s">
        <v>0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3" t="s">
        <v>161</v>
      </c>
      <c r="C6" s="254" t="s">
        <v>120</v>
      </c>
      <c r="D6" s="255" t="s">
        <v>162</v>
      </c>
      <c r="E6" s="262">
        <v>425</v>
      </c>
    </row>
    <row r="7" spans="1:18" ht="23.25" x14ac:dyDescent="0.35">
      <c r="A7" s="77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250</v>
      </c>
    </row>
    <row r="8" spans="1:18" ht="23.25" x14ac:dyDescent="0.35">
      <c r="A8" s="77">
        <f t="shared" ref="A8:A30" si="0">IF(B8&lt;&gt;"",A7+1,"")</f>
        <v>3</v>
      </c>
      <c r="B8" s="261" t="s">
        <v>127</v>
      </c>
      <c r="C8" s="261" t="s">
        <v>112</v>
      </c>
      <c r="D8" s="261" t="s">
        <v>128</v>
      </c>
      <c r="E8" s="259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3">
        <f>+Entries!A2</f>
        <v>0</v>
      </c>
      <c r="B3" s="273"/>
      <c r="C3" s="273"/>
      <c r="D3" s="136"/>
    </row>
    <row r="4" spans="1:6" x14ac:dyDescent="0.3">
      <c r="A4" s="274"/>
      <c r="B4" s="274"/>
      <c r="C4" s="49"/>
    </row>
    <row r="5" spans="1:6" x14ac:dyDescent="0.3">
      <c r="A5" s="275"/>
      <c r="B5" s="273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6" t="s">
        <v>34</v>
      </c>
      <c r="C7" s="276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7">
        <f>+Entries!A2</f>
        <v>0</v>
      </c>
      <c r="B3" s="277"/>
      <c r="C3" s="277"/>
      <c r="E3" s="49"/>
      <c r="F3" s="49"/>
      <c r="J3" s="273"/>
      <c r="K3" s="273"/>
      <c r="L3" s="273"/>
      <c r="M3" s="48"/>
      <c r="N3" s="49"/>
      <c r="O3" s="49"/>
    </row>
    <row r="4" spans="1:18" x14ac:dyDescent="0.3">
      <c r="A4" s="274"/>
      <c r="B4" s="274"/>
      <c r="J4" s="274"/>
      <c r="K4" s="274"/>
      <c r="L4" s="49"/>
      <c r="M4" s="48"/>
      <c r="N4" s="48"/>
      <c r="O4" s="48"/>
      <c r="R4" s="121"/>
    </row>
    <row r="5" spans="1:18" x14ac:dyDescent="0.3">
      <c r="A5" s="275" t="e">
        <f>+#REF!</f>
        <v>#REF!</v>
      </c>
      <c r="B5" s="273"/>
      <c r="C5" s="50" t="s">
        <v>28</v>
      </c>
      <c r="J5" s="273"/>
      <c r="K5" s="273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6" t="s">
        <v>34</v>
      </c>
      <c r="C7" s="276"/>
      <c r="J7" s="55"/>
      <c r="K7" s="276"/>
      <c r="L7" s="276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8">
        <f>+Entries!A2</f>
        <v>0</v>
      </c>
      <c r="B3" s="278"/>
      <c r="C3" s="278"/>
    </row>
    <row r="4" spans="1:20" x14ac:dyDescent="0.25">
      <c r="A4" s="279"/>
      <c r="B4" s="279"/>
      <c r="C4" s="68"/>
    </row>
    <row r="5" spans="1:20" x14ac:dyDescent="0.25">
      <c r="A5" s="280"/>
      <c r="B5" s="278"/>
      <c r="C5" s="46"/>
    </row>
    <row r="6" spans="1:20" x14ac:dyDescent="0.25">
      <c r="A6" s="70"/>
      <c r="B6" s="135"/>
      <c r="C6" s="68"/>
    </row>
    <row r="7" spans="1:20" x14ac:dyDescent="0.25">
      <c r="A7" s="70"/>
      <c r="B7" s="281"/>
      <c r="C7" s="281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1" t="s">
        <v>78</v>
      </c>
      <c r="S8" s="221"/>
      <c r="T8" s="221" t="s">
        <v>79</v>
      </c>
      <c r="U8" s="221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2024-04-20T20:36:53Z</cp:lastPrinted>
  <dcterms:created xsi:type="dcterms:W3CDTF">2014-07-12T17:55:34Z</dcterms:created>
  <dcterms:modified xsi:type="dcterms:W3CDTF">2024-04-22T21:31:20Z</dcterms:modified>
</cp:coreProperties>
</file>