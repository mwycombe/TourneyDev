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ourneyVersion\Preliminary\"/>
    </mc:Choice>
  </mc:AlternateContent>
  <xr:revisionPtr revIDLastSave="0" documentId="13_ncr:1_{D20675F5-B481-4329-911E-FE63895B33DA}" xr6:coauthVersionLast="47" xr6:coauthVersionMax="47" xr10:uidLastSave="{00000000-0000-0000-0000-000000000000}"/>
  <bookViews>
    <workbookView xWindow="28035" yWindow="0" windowWidth="28185" windowHeight="155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71" i="1"/>
  <c r="R71" i="1"/>
  <c r="T71" i="1"/>
  <c r="O71" i="1" s="1"/>
  <c r="A70" i="1"/>
  <c r="R70" i="1"/>
  <c r="T70" i="1"/>
  <c r="O70" i="1" s="1"/>
  <c r="S71" i="1" l="1"/>
  <c r="S70" i="1"/>
  <c r="A32" i="1"/>
  <c r="R32" i="1"/>
  <c r="T32" i="1"/>
  <c r="O32" i="1" s="1"/>
  <c r="A45" i="1"/>
  <c r="R45" i="1"/>
  <c r="S45" i="1"/>
  <c r="T45" i="1"/>
  <c r="O45" i="1" s="1"/>
  <c r="A29" i="1"/>
  <c r="T29" i="1"/>
  <c r="S29" i="1" s="1"/>
  <c r="R51" i="1"/>
  <c r="S51" i="1"/>
  <c r="S32" i="1" l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<sst xmlns="http://schemas.openxmlformats.org/spreadsheetml/2006/main" count="448" uniqueCount="302">
  <si>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</si>
  <si>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</si>
  <si>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</si>
  <si>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</si>
  <si>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</si>
  <si>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</si>
  <si>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</si>
  <si>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</si>
  <si>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</si>
  <si>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</si>
  <si>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</si>
  <si>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</si>
  <si>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</si>
  <si>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</si>
  <si>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</si>
  <si>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</si>
  <si>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</si>
  <si>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</si>
  <si>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</si>
  <si>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</si>
  <si>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</si>
  <si>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</si>
  <si>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</si>
  <si>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</si>
  <si>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</si>
  <si>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</si>
  <si>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</si>
  <si>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</si>
  <si>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</si>
  <si>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</si>
  <si>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</si>
  <si>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</si>
  <si>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</si>
  <si>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</si>
  <si>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</si>
  <si>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</si>
  <si>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</si>
  <si>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</si>
  <si>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</si>
  <si>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</si>
  <si>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</si>
  <si>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</si>
  <si>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</si>
  <si>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</si>
  <si>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</si>
  <si>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</si>
  <si>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</si>
  <si>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</si>
  <si>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</si>
  <si>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</si>
  <si>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</si>
  <si>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</si>
  <si>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</si>
  <si>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</si>
  <si>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</si>
  <si>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</si>
  <si>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</si>
  <si>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</si>
  <si>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</si>
  <si>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</si>
  <si>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</si>
  <si>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</si>
  <si>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</si>
  <si>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</si>
  <si>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</si>
  <si>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</si>
  <si>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</si>
  <si>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</si>
  <si>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</si>
  <si>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</si>
  <si>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</si>
  <si>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</si>
  <si>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</si>
  <si>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</si>
  <si>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</si>
  <si>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</si>
  <si>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</si>
  <si>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</si>
  <si>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</si>
  <si>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</si>
  <si>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</si>
  <si>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</si>
  <si>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</si>
  <si>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</si>
  <si>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</si>
  <si>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</si>
  <si>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</si>
  <si>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</si>
  <si>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</si>
  <si>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</si>
  <si>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</si>
  <si>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</si>
  <si>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</si>
  <si>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</si>
  <si>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</si>
  <si>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</si>
  <si>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</si>
  <si>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</si>
  <si>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</si>
  <si>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</si>
  <si>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</si>
  <si>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</si>
  <si>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</si>
  <si>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</si>
  <si>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</si>
  <si>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</si>
  <si>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</si>
  <si>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</si>
  <si>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</si>
  <si>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</si>
  <si>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</si>
  <si>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</si>
  <si>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</si>
  <si>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</si>
  <si>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</si>
  <si>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</si>
  <si>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</si>
  <si>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</si>
  <si>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</si>
  <si>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</si>
  <si>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</si>
  <si>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</si>
  <si>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</si>
  <si>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</si>
  <si>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</si>
  <si>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</si>
  <si>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</si>
  <si>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</si>
  <si>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</si>
  <si>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</si>
  <si>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</si>
  <si>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</si>
  <si>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</si>
  <si>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</si>
  <si>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</si>
  <si>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</si>
  <si>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</si>
  <si>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</si>
  <si>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</si>
  <si>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</si>
  <si>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</si>
  <si>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</si>
  <si>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</si>
  <si>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</si>
  <si>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</si>
  <si>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</si>
  <si>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</si>
  <si>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</si>
  <si>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</si>
  <si>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</si>
  <si>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</si>
  <si>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</si>
  <si>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</si>
  <si>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</si>
  <si>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</si>
  <si>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</si>
  <si>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</si>
  <si>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</si>
  <si>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</si>
  <si>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</si>
  <si>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</si>
  <si>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</si>
  <si>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</si>
  <si>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</si>
  <si>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</si>
  <si>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</si>
  <si>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</si>
  <si>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</si>
  <si>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</si>
  <si>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</si>
  <si>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</si>
  <si>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</si>
  <si>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</si>
  <si>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</si>
  <si>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</si>
  <si>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</si>
  <si>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</si>
  <si>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</si>
  <si>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</si>
  <si>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</si>
  <si>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</si>
  <si>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</si>
  <si>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</si>
  <si>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</si>
  <si>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</si>
  <si>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</si>
  <si>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</si>
  <si>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</si>
  <si>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</si>
  <si>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</si>
  <si>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</si>
  <si>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</si>
  <si>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</si>
  <si>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</si>
  <si>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</si>
  <si>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</si>
  <si>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</si>
  <si>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</si>
  <si>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</si>
  <si>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</si>
  <si>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</si>
  <si>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</si>
  <si>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</si>
  <si>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</si>
  <si>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</si>
  <si>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</si>
  <si>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</si>
  <si>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</si>
  <si>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</si>
  <si>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</si>
  <si>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</si>
  <si>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</si>
  <si>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</si>
  <si>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</si>
  <si>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</si>
  <si>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</si>
  <si>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</si>
  <si>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</si>
  <si>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</si>
  <si>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</si>
  <si>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</si>
  <si>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</si>
  <si>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</si>
  <si>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</si>
  <si>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</si>
  <si>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</si>
  <si>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</si>
  <si>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</si>
  <si>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</si>
  <si>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</si>
  <si>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</si>
  <si>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</si>
  <si>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</si>
  <si>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</si>
  <si>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</si>
  <si>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</si>
  <si>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</si>
  <si>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</si>
  <si>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</si>
  <si>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</si>
  <si>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</si>
  <si>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</si>
  <si>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</si>
  <si>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</si>
  <si>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</si>
  <si>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</si>
  <si>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</si>
  <si>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</si>
  <si>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</si>
  <si>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</si>
  <si>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</si>
  <si>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</si>
  <si>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</si>
  <si>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</si>
  <si>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</si>
  <si>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</si>
  <si>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</si>
  <si>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</si>
  <si>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</si>
  <si>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</si>
  <si>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</si>
  <si>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</si>
  <si>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</si>
  <si>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</si>
  <si>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</si>
  <si>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</si>
  <si>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</si>
  <si>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</si>
  <si>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</si>
  <si>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</si>
  <si>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</si>
  <si>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</si>
  <si>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</si>
  <si>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</si>
  <si>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</si>
  <si>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</si>
  <si>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</si>
  <si>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</si>
  <si>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</si>
  <si>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</si>
  <si>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</si>
  <si>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</si>
  <si>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</si>
  <si>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</si>
  <si>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</si>
  <si>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</si>
  <si>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</si>
  <si>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</si>
  <si>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</si>
  <si>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</si>
  <si>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</si>
  <si>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</si>
  <si>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</si>
  <si>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</si>
  <si>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</si>
  <si>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</si>
  <si>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</si>
  <si>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</si>
  <si>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</si>
  <si>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</si>
  <si>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</si>
  <si>
    <t>joycieb28@gmail.com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</si>
</sst>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6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1.xml"/><Relationship Id="rId42" Type="http://schemas.openxmlformats.org/officeDocument/2006/relationships/ctrlProp" Target="../ctrlProps/ctrlProp19.xml"/><Relationship Id="rId47" Type="http://schemas.openxmlformats.org/officeDocument/2006/relationships/ctrlProp" Target="../ctrlProps/ctrlProp24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9.xml"/><Relationship Id="rId37" Type="http://schemas.openxmlformats.org/officeDocument/2006/relationships/ctrlProp" Target="../ctrlProps/ctrlProp14.xml"/><Relationship Id="rId40" Type="http://schemas.openxmlformats.org/officeDocument/2006/relationships/ctrlProp" Target="../ctrlProps/ctrlProp17.xml"/><Relationship Id="rId45" Type="http://schemas.openxmlformats.org/officeDocument/2006/relationships/ctrlProp" Target="../ctrlProps/ctrlProp22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hyperlink" Target="mailto:joycieb28@gmail.com" TargetMode="External"/><Relationship Id="rId36" Type="http://schemas.openxmlformats.org/officeDocument/2006/relationships/ctrlProp" Target="../ctrlProps/ctrlProp13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vmlDrawing" Target="../drawings/vmlDrawing3.vml"/><Relationship Id="rId44" Type="http://schemas.openxmlformats.org/officeDocument/2006/relationships/ctrlProp" Target="../ctrlProps/ctrlProp21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drawing" Target="../drawings/drawing3.xml"/><Relationship Id="rId35" Type="http://schemas.openxmlformats.org/officeDocument/2006/relationships/ctrlProp" Target="../ctrlProps/ctrlProp12.xml"/><Relationship Id="rId43" Type="http://schemas.openxmlformats.org/officeDocument/2006/relationships/ctrlProp" Target="../ctrlProps/ctrlProp20.xml"/><Relationship Id="rId48" Type="http://schemas.openxmlformats.org/officeDocument/2006/relationships/ctrlProp" Target="../ctrlProps/ctrlProp25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0.xml"/><Relationship Id="rId38" Type="http://schemas.openxmlformats.org/officeDocument/2006/relationships/ctrlProp" Target="../ctrlProps/ctrlProp15.xml"/><Relationship Id="rId46" Type="http://schemas.openxmlformats.org/officeDocument/2006/relationships/ctrlProp" Target="../ctrlProps/ctrlProp23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8" t="s">
        <v>160</v>
      </c>
      <c r="C1" s="130" t="s">
        <v>179</v>
      </c>
      <c r="D1" s="131"/>
      <c r="E1" s="132"/>
      <c r="F1" s="45"/>
      <c r="G1" s="45"/>
      <c r="H1" s="45"/>
    </row>
    <row r="2" spans="1:8" ht="15.75" thickBot="1"/>
    <row r="3" spans="1:8" ht="16.5" thickBot="1">
      <c r="A3" s="37" t="s">
        <v>161</v>
      </c>
      <c r="C3" s="135" t="s">
        <v>215</v>
      </c>
      <c r="D3" s="136"/>
      <c r="E3" s="136"/>
      <c r="F3" s="136"/>
      <c r="G3" s="137"/>
    </row>
    <row r="4" spans="1:8" ht="15.75" thickBot="1"/>
    <row r="5" spans="1:8" ht="16.5" thickBot="1">
      <c r="A5" s="37" t="s">
        <v>162</v>
      </c>
      <c r="C5" s="135" t="s">
        <v>216</v>
      </c>
      <c r="D5" s="136"/>
      <c r="E5" s="136"/>
      <c r="F5" s="136"/>
      <c r="G5" s="137"/>
    </row>
    <row r="6" spans="1:8" ht="15.75" thickBot="1"/>
    <row r="7" spans="1:8" ht="16.5" thickBot="1">
      <c r="A7" s="37" t="s">
        <v>163</v>
      </c>
      <c r="C7" s="135" t="s">
        <v>217</v>
      </c>
      <c r="D7" s="136"/>
      <c r="E7" s="136"/>
      <c r="F7" s="136"/>
      <c r="G7" s="137"/>
    </row>
    <row r="8" spans="1:8" ht="15.75" thickBot="1"/>
    <row r="9" spans="1:8" ht="16.5" thickBot="1">
      <c r="A9" s="37" t="s">
        <v>164</v>
      </c>
      <c r="C9" s="68">
        <v>45402</v>
      </c>
    </row>
    <row r="10" spans="1:8" ht="15.75" thickBot="1"/>
    <row r="11" spans="1:8" ht="16.5" thickBot="1">
      <c r="A11" s="37" t="s">
        <v>165</v>
      </c>
      <c r="C11" s="133" t="s">
        <v>218</v>
      </c>
      <c r="D11" s="134"/>
      <c r="E11" s="133" t="s">
        <v>219</v>
      </c>
      <c r="F11" s="134"/>
      <c r="G11" s="133" t="s">
        <v>220</v>
      </c>
      <c r="H11" s="134"/>
    </row>
    <row r="12" spans="1:8" ht="16.5" thickBot="1">
      <c r="A12" s="37"/>
      <c r="C12" s="3"/>
      <c r="D12" s="3"/>
      <c r="E12" s="3"/>
      <c r="F12" s="3"/>
      <c r="G12" s="3"/>
      <c r="H12" s="3"/>
    </row>
    <row r="13" spans="1:8" ht="16.5" thickBot="1">
      <c r="A13" s="37" t="s">
        <v>126</v>
      </c>
      <c r="C13" s="133" t="s">
        <v>221</v>
      </c>
      <c r="D13" s="134"/>
      <c r="E13" s="133" t="s">
        <v>222</v>
      </c>
      <c r="F13" s="134"/>
      <c r="G13" s="133" t="s">
        <v>223</v>
      </c>
      <c r="H13" s="134"/>
    </row>
    <row r="14" spans="1:8" ht="16.5" thickBot="1">
      <c r="A14" s="37"/>
      <c r="C14" s="3"/>
      <c r="D14" s="3"/>
      <c r="E14" s="3"/>
      <c r="F14" s="3"/>
      <c r="G14" s="3"/>
      <c r="H14" s="3"/>
    </row>
    <row r="15" spans="1:8" ht="16.5" customHeight="1" thickBot="1">
      <c r="A15" s="37" t="s">
        <v>166</v>
      </c>
      <c r="C15" s="133" t="s">
        <v>106</v>
      </c>
      <c r="D15" s="134"/>
      <c r="E15" s="133" t="s">
        <v>224</v>
      </c>
      <c r="F15" s="134"/>
      <c r="G15" s="133" t="s">
        <v>141</v>
      </c>
      <c r="H15" s="134"/>
    </row>
    <row r="20" spans="11:11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8" t="s">
        <v>167</v>
      </c>
    </row>
    <row r="2" spans="1:7" ht="19.5" thickBot="1">
      <c r="C2" s="139" t="s">
        <v>179</v>
      </c>
      <c r="D2" s="140"/>
      <c r="E2" s="140"/>
      <c r="F2" s="140"/>
      <c r="G2" s="141"/>
    </row>
    <row r="3" spans="1:7" ht="18.75">
      <c r="C3" s="44"/>
      <c r="D3" s="44"/>
      <c r="E3" s="44"/>
      <c r="F3" s="44"/>
      <c r="G3" s="44"/>
    </row>
    <row r="4" spans="1:7">
      <c r="A4" s="23" t="s">
        <v>169</v>
      </c>
      <c r="B4" s="138" t="str">
        <f>Tourney!$C$3</f>
        <v>Napa Wine Country Open</v>
      </c>
      <c r="C4" s="138"/>
      <c r="D4" s="138"/>
      <c r="E4" s="138"/>
      <c r="F4" s="138"/>
    </row>
    <row r="5" spans="1:7">
      <c r="A5" s="23" t="s">
        <v>181</v>
      </c>
      <c r="B5" s="143" t="str">
        <f>Tourney!$C$5</f>
        <v>The Moose Lodge</v>
      </c>
      <c r="C5" s="143"/>
      <c r="D5" s="143"/>
      <c r="E5" s="143"/>
      <c r="F5" s="143"/>
    </row>
    <row r="6" spans="1:7">
      <c r="A6" s="23" t="s">
        <v>183</v>
      </c>
      <c r="B6" s="143" t="str">
        <f>Tourney!$C$7</f>
        <v>Napa, Ca, 94558</v>
      </c>
      <c r="C6" s="143"/>
      <c r="D6" s="143"/>
      <c r="E6" s="143"/>
      <c r="F6" s="143"/>
    </row>
    <row r="7" spans="1:7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5.75" thickBot="1">
      <c r="A9" s="23"/>
      <c r="B9" s="46"/>
    </row>
    <row r="10" spans="1:7" ht="15.75" thickBot="1">
      <c r="A10" s="23" t="s">
        <v>182</v>
      </c>
      <c r="B10" s="70">
        <v>3</v>
      </c>
      <c r="C10" s="23" t="s">
        <v>176</v>
      </c>
      <c r="D10" s="70">
        <v>70</v>
      </c>
    </row>
    <row r="11" spans="1:7" ht="15.75" thickBot="1"/>
    <row r="12" spans="1:7" ht="15.75" thickBot="1">
      <c r="A12" s="23" t="s">
        <v>174</v>
      </c>
      <c r="B12" s="48">
        <v>14</v>
      </c>
    </row>
    <row r="13" spans="1:7" ht="15.75" thickBot="1"/>
    <row r="14" spans="1:7" ht="15.75" thickBot="1">
      <c r="A14" s="23" t="s">
        <v>170</v>
      </c>
      <c r="B14" s="48">
        <v>1</v>
      </c>
    </row>
    <row r="15" spans="1:7">
      <c r="C15" s="142" t="s">
        <v>180</v>
      </c>
      <c r="D15" s="142"/>
      <c r="E15" s="142"/>
      <c r="F15" s="142"/>
    </row>
    <row r="16" spans="1:7" ht="19.5" thickBot="1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5.75" thickBot="1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5.75" thickBot="1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>
      <c r="A21" s="47" t="s">
        <v>186</v>
      </c>
    </row>
    <row r="22" spans="1:8" ht="15.75" thickBot="1"/>
    <row r="23" spans="1:8" ht="15.75" thickBot="1">
      <c r="A23" s="23" t="s">
        <v>184</v>
      </c>
      <c r="B23" s="71">
        <v>5</v>
      </c>
      <c r="D23" t="s">
        <v>189</v>
      </c>
    </row>
    <row r="24" spans="1:8" ht="15.75" thickBot="1">
      <c r="D24" t="s">
        <v>187</v>
      </c>
    </row>
    <row r="25" spans="1:8" ht="15.75" thickBot="1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7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5.28515625" style="7" customWidth="1"/>
    <col min="2" max="2" width="8.42578125" style="7" customWidth="1"/>
    <col min="3" max="3" width="24.28515625" style="7" customWidth="1"/>
    <col min="4" max="4" width="22.140625" style="7" customWidth="1"/>
    <col min="5" max="5" width="9.85546875" style="26" customWidth="1"/>
    <col min="6" max="6" width="15.42578125" style="26" customWidth="1"/>
    <col min="7" max="7" width="33.140625" style="26" customWidth="1"/>
    <col min="8" max="8" width="6.42578125" style="7" customWidth="1"/>
    <col min="9" max="9" width="7.7109375" style="7" customWidth="1"/>
    <col min="10" max="10" width="8.7109375" style="7" customWidth="1"/>
    <col min="11" max="11" width="7" style="7" customWidth="1"/>
    <col min="12" max="12" width="6.42578125" style="7" customWidth="1"/>
    <col min="13" max="13" width="8.140625" style="7" customWidth="1"/>
    <col min="14" max="14" width="11.140625" style="7" customWidth="1"/>
    <col min="15" max="15" width="11.42578125" style="7" customWidth="1"/>
    <col min="16" max="16" width="8.140625" style="8" customWidth="1"/>
    <col min="17" max="17" width="7.140625" style="9" customWidth="1"/>
    <col min="18" max="18" width="12.28515625" style="7" customWidth="1"/>
    <col min="19" max="19" width="12.28515625" style="9" customWidth="1"/>
    <col min="20" max="20" width="12.28515625" style="20" customWidth="1"/>
    <col min="21" max="21" width="9.28515625" style="20" customWidth="1"/>
    <col min="22" max="22" width="17.42578125" style="20" customWidth="1"/>
    <col min="23" max="23" width="30.42578125" style="7" customWidth="1"/>
    <col min="24" max="25" width="9.140625" style="7" customWidth="1"/>
    <col min="26" max="16384" width="9.140625" style="7"/>
  </cols>
  <sheetData>
    <row r="1" spans="1:25" ht="17.25" customHeight="1">
      <c r="A1" s="39" t="s">
        <v>156</v>
      </c>
      <c r="D1" s="8"/>
      <c r="L1" s="27"/>
    </row>
    <row r="2" spans="1:25" ht="16.5" customHeight="1">
      <c r="A2" s="6"/>
      <c r="D2" s="8"/>
      <c r="H2" s="8" t="s">
        <v>161</v>
      </c>
      <c r="I2" s="8"/>
      <c r="K2" s="144" t="str">
        <f>Tourney!$C$3</f>
        <v>Napa Wine Country Open</v>
      </c>
      <c r="L2" s="144"/>
      <c r="M2" s="144"/>
      <c r="N2" s="144"/>
    </row>
    <row r="3" spans="1:25" ht="16.5" customHeight="1">
      <c r="A3" s="61" t="s">
        <v>155</v>
      </c>
      <c r="B3"/>
      <c r="C3"/>
      <c r="H3" s="8" t="s">
        <v>173</v>
      </c>
      <c r="I3" s="8"/>
      <c r="K3" s="144" t="str">
        <f>Tourney!$C$5</f>
        <v>The Moose Lodge</v>
      </c>
      <c r="L3" s="144"/>
      <c r="M3" s="144"/>
      <c r="N3" s="144"/>
    </row>
    <row r="4" spans="1:25" ht="16.5" customHeight="1">
      <c r="A4" s="6"/>
      <c r="H4" s="8" t="s">
        <v>172</v>
      </c>
      <c r="I4" s="8"/>
      <c r="K4" s="144" t="str">
        <f>Tourney!$C$7</f>
        <v>Napa, Ca, 94558</v>
      </c>
      <c r="L4" s="144"/>
      <c r="M4" s="144"/>
      <c r="N4" s="144"/>
    </row>
    <row r="5" spans="1:25" ht="16.5" customHeight="1">
      <c r="A5" s="6"/>
      <c r="H5" s="8" t="s">
        <v>164</v>
      </c>
      <c r="I5" s="8"/>
      <c r="K5" s="145">
        <f>Tourney!$C$9</f>
        <v>45402</v>
      </c>
      <c r="L5" s="145"/>
    </row>
    <row r="6" spans="1:25">
      <c r="Q6" s="10"/>
      <c r="U6" s="28"/>
      <c r="V6" s="28"/>
    </row>
    <row r="7" spans="1:25" ht="15.75" customHeight="1">
      <c r="C7" s="8"/>
      <c r="D7" s="8"/>
      <c r="H7" s="59"/>
      <c r="J7" s="58" t="s">
        <v>192</v>
      </c>
      <c r="Q7" s="10"/>
      <c r="U7" s="28"/>
      <c r="V7" s="28"/>
    </row>
    <row r="8" spans="1:25" ht="15.75" customHeight="1">
      <c r="C8" s="8"/>
      <c r="D8" s="8"/>
      <c r="J8" s="57" t="s">
        <v>193</v>
      </c>
      <c r="Q8" s="10"/>
      <c r="U8" s="28"/>
      <c r="V8" s="28"/>
    </row>
    <row r="9" spans="1:25" ht="15.75" customHeight="1">
      <c r="C9" s="8"/>
      <c r="D9" s="8"/>
      <c r="N9" s="52"/>
      <c r="Q9" s="10"/>
      <c r="U9" s="28"/>
      <c r="V9" s="28"/>
    </row>
    <row r="10" spans="1:25" ht="15.75" customHeight="1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10</v>
      </c>
      <c r="O10" s="72">
        <f>SUM(O12:O73)</f>
        <v>920</v>
      </c>
      <c r="P10" s="25"/>
      <c r="Q10" s="10"/>
      <c r="R10" s="11">
        <f>SUM(R12:R73)</f>
        <v>4870</v>
      </c>
      <c r="S10" s="11">
        <f>SUM(S12:S73)</f>
        <v>1900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0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 t="shared" ref="O12:O17" si="2">T12*N12</f>
        <v>0</v>
      </c>
      <c r="P12" s="76" t="s">
        <v>225</v>
      </c>
      <c r="Q12" s="76">
        <v>909</v>
      </c>
      <c r="R12" s="81">
        <f t="shared" ref="R12:R32" si="3">IF(OR(P12="c",P12="C"),+T12,"")</f>
        <v>100</v>
      </c>
      <c r="S12" s="81" t="str">
        <f t="shared" ref="S12:S17" si="4"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 t="shared" si="2"/>
        <v>0</v>
      </c>
      <c r="P13" s="76" t="s">
        <v>225</v>
      </c>
      <c r="Q13" s="76">
        <v>909</v>
      </c>
      <c r="R13" s="81">
        <f t="shared" si="3"/>
        <v>100</v>
      </c>
      <c r="S13" s="81" t="str">
        <f t="shared" si="4"/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7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 t="shared" si="2"/>
        <v>80</v>
      </c>
      <c r="P14" s="76" t="s">
        <v>230</v>
      </c>
      <c r="Q14" s="76"/>
      <c r="R14" s="81" t="str">
        <f t="shared" si="3"/>
        <v/>
      </c>
      <c r="S14" s="81">
        <f t="shared" si="4"/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 t="shared" si="2"/>
        <v>0</v>
      </c>
      <c r="P15" s="76" t="s">
        <v>225</v>
      </c>
      <c r="Q15" s="76">
        <v>1015</v>
      </c>
      <c r="R15" s="81">
        <f t="shared" si="3"/>
        <v>160</v>
      </c>
      <c r="S15" s="81" t="str">
        <f t="shared" si="4"/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 t="shared" si="2"/>
        <v>0</v>
      </c>
      <c r="P16" s="76" t="s">
        <v>225</v>
      </c>
      <c r="Q16" s="76">
        <v>3403</v>
      </c>
      <c r="R16" s="81">
        <f t="shared" si="3"/>
        <v>160</v>
      </c>
      <c r="S16" s="81" t="str">
        <f t="shared" si="4"/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 t="shared" si="2"/>
        <v>0</v>
      </c>
      <c r="P17" s="76" t="s">
        <v>225</v>
      </c>
      <c r="Q17" s="99" t="s">
        <v>274</v>
      </c>
      <c r="R17" s="81">
        <f t="shared" si="3"/>
        <v>80</v>
      </c>
      <c r="S17" s="81" t="str">
        <f t="shared" si="4"/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 t="shared" si="3"/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 t="shared" si="3"/>
        <v>160</v>
      </c>
      <c r="S19" s="81" t="str">
        <f t="shared" ref="S19:S32" si="5"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 t="shared" si="3"/>
        <v>80</v>
      </c>
      <c r="S20" s="81" t="str">
        <f t="shared" si="5"/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 t="shared" si="3"/>
        <v>70</v>
      </c>
      <c r="S21" s="81" t="str">
        <f t="shared" si="5"/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 t="shared" si="3"/>
        <v/>
      </c>
      <c r="S22" s="81">
        <f t="shared" si="5"/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 t="shared" ref="O23:O28" si="6">T23*N23</f>
        <v>0</v>
      </c>
      <c r="P23" s="76" t="s">
        <v>230</v>
      </c>
      <c r="Q23" s="76"/>
      <c r="R23" s="81" t="str">
        <f t="shared" si="3"/>
        <v/>
      </c>
      <c r="S23" s="81">
        <f t="shared" si="5"/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 t="shared" si="6"/>
        <v>0</v>
      </c>
      <c r="P24" s="76" t="s">
        <v>225</v>
      </c>
      <c r="Q24" s="76">
        <v>1299</v>
      </c>
      <c r="R24" s="81">
        <f t="shared" si="3"/>
        <v>110</v>
      </c>
      <c r="S24" s="81" t="str">
        <f t="shared" si="5"/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7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 t="shared" si="6"/>
        <v>0</v>
      </c>
      <c r="P25" s="76" t="s">
        <v>225</v>
      </c>
      <c r="Q25" s="76">
        <v>1974</v>
      </c>
      <c r="R25" s="81">
        <f t="shared" si="3"/>
        <v>110</v>
      </c>
      <c r="S25" s="81" t="str">
        <f t="shared" si="5"/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 t="shared" si="6"/>
        <v>0</v>
      </c>
      <c r="P26" s="76" t="s">
        <v>225</v>
      </c>
      <c r="Q26" s="76">
        <v>2213</v>
      </c>
      <c r="R26" s="81">
        <f t="shared" si="3"/>
        <v>160</v>
      </c>
      <c r="S26" s="81" t="str">
        <f t="shared" si="5"/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 t="shared" si="6"/>
        <v>0</v>
      </c>
      <c r="P27" s="76" t="s">
        <v>225</v>
      </c>
      <c r="Q27" s="76">
        <v>4008</v>
      </c>
      <c r="R27" s="81">
        <f t="shared" si="3"/>
        <v>160</v>
      </c>
      <c r="S27" s="81" t="str">
        <f t="shared" si="5"/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 t="shared" si="6"/>
        <v>0</v>
      </c>
      <c r="P28" s="76" t="s">
        <v>225</v>
      </c>
      <c r="Q28" s="76">
        <v>1795</v>
      </c>
      <c r="R28" s="81">
        <f t="shared" si="3"/>
        <v>70</v>
      </c>
      <c r="S28" s="81" t="str">
        <f t="shared" si="5"/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 t="s">
        <v>301</v>
      </c>
      <c r="H29" s="79">
        <v>1</v>
      </c>
      <c r="I29" s="76"/>
      <c r="J29" s="76"/>
      <c r="K29" s="76"/>
      <c r="L29" s="76"/>
      <c r="M29" s="76"/>
      <c r="N29" s="76"/>
      <c r="O29" s="80"/>
      <c r="P29" s="76" t="s">
        <v>225</v>
      </c>
      <c r="Q29" s="129">
        <v>1208</v>
      </c>
      <c r="R29" s="81">
        <f t="shared" si="3"/>
        <v>80</v>
      </c>
      <c r="S29" s="81" t="str">
        <f t="shared" si="5"/>
        <v/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 t="shared" si="3"/>
        <v/>
      </c>
      <c r="S30" s="81">
        <f t="shared" si="5"/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 t="shared" si="3"/>
        <v/>
      </c>
      <c r="S31" s="81">
        <f t="shared" si="5"/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5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 t="shared" si="3"/>
        <v/>
      </c>
      <c r="S32" s="81">
        <f t="shared" si="5"/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>
      <c r="A35" s="75">
        <f t="shared" ref="A35:A73" si="7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 t="shared" ref="R35:R60" si="8">IF(OR(P35="c",P35="C"),+T35,"")</f>
        <v>110</v>
      </c>
      <c r="S35" s="81" t="str">
        <f t="shared" ref="S35:S73" si="9"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>
      <c r="A36" s="75">
        <f t="shared" si="7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 t="shared" si="8"/>
        <v>80</v>
      </c>
      <c r="S36" s="81" t="str">
        <f t="shared" si="9"/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>
      <c r="A37" s="75">
        <f t="shared" si="7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 t="shared" si="8"/>
        <v>110</v>
      </c>
      <c r="S37" s="81" t="str">
        <f t="shared" si="9"/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>
      <c r="A38" s="75">
        <f t="shared" si="7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 t="shared" si="8"/>
        <v>80</v>
      </c>
      <c r="S38" s="81" t="str">
        <f t="shared" si="9"/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>
      <c r="A39" s="75">
        <f t="shared" si="7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 t="shared" si="8"/>
        <v/>
      </c>
      <c r="S39" s="81">
        <f t="shared" si="9"/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>
      <c r="A40" s="75">
        <f t="shared" si="7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 t="shared" ref="O40:O47" si="10">T40*N40</f>
        <v>0</v>
      </c>
      <c r="P40" s="76" t="s">
        <v>225</v>
      </c>
      <c r="Q40" s="76">
        <v>5206</v>
      </c>
      <c r="R40" s="81">
        <f t="shared" si="8"/>
        <v>160</v>
      </c>
      <c r="S40" s="81" t="str">
        <f t="shared" si="9"/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>
      <c r="A41" s="75">
        <f t="shared" si="7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 t="shared" si="10"/>
        <v>0</v>
      </c>
      <c r="P41" s="76" t="s">
        <v>225</v>
      </c>
      <c r="Q41" s="76">
        <v>1059</v>
      </c>
      <c r="R41" s="81">
        <f t="shared" si="8"/>
        <v>70</v>
      </c>
      <c r="S41" s="81" t="str">
        <f t="shared" si="9"/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>
      <c r="A42" s="75">
        <f t="shared" si="7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 t="shared" si="10"/>
        <v>0</v>
      </c>
      <c r="P42" s="76" t="s">
        <v>225</v>
      </c>
      <c r="Q42" s="76">
        <v>4900</v>
      </c>
      <c r="R42" s="81">
        <f t="shared" si="8"/>
        <v>80</v>
      </c>
      <c r="S42" s="81" t="str">
        <f t="shared" si="9"/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>
      <c r="A43" s="75">
        <f t="shared" si="7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 t="shared" si="10"/>
        <v>0</v>
      </c>
      <c r="P43" s="76" t="s">
        <v>230</v>
      </c>
      <c r="Q43" s="76"/>
      <c r="R43" s="81" t="str">
        <f t="shared" si="8"/>
        <v/>
      </c>
      <c r="S43" s="81">
        <f t="shared" si="9"/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>
      <c r="A44" s="75">
        <f t="shared" si="7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 t="shared" si="10"/>
        <v>0</v>
      </c>
      <c r="P44" s="76" t="s">
        <v>225</v>
      </c>
      <c r="Q44" s="76">
        <v>16285</v>
      </c>
      <c r="R44" s="81">
        <f t="shared" si="8"/>
        <v>80</v>
      </c>
      <c r="S44" s="81" t="str">
        <f t="shared" si="9"/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>
      <c r="A45" s="75">
        <f t="shared" si="7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 t="shared" si="10"/>
        <v>80</v>
      </c>
      <c r="P45" s="76" t="s">
        <v>230</v>
      </c>
      <c r="Q45" s="76"/>
      <c r="R45" s="81" t="str">
        <f t="shared" si="8"/>
        <v/>
      </c>
      <c r="S45" s="81">
        <f t="shared" si="9"/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>
      <c r="A46" s="75">
        <f t="shared" si="7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 t="shared" si="10"/>
        <v>0</v>
      </c>
      <c r="P46" s="76" t="s">
        <v>225</v>
      </c>
      <c r="Q46" s="76">
        <v>5878</v>
      </c>
      <c r="R46" s="81">
        <f t="shared" si="8"/>
        <v>160</v>
      </c>
      <c r="S46" s="81" t="str">
        <f t="shared" si="9"/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>
      <c r="A47" s="75">
        <f t="shared" si="7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 t="shared" si="10"/>
        <v>0</v>
      </c>
      <c r="P47" s="76" t="s">
        <v>230</v>
      </c>
      <c r="Q47" s="76"/>
      <c r="R47" s="81" t="str">
        <f t="shared" si="8"/>
        <v/>
      </c>
      <c r="S47" s="81">
        <f t="shared" si="9"/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>
      <c r="A48" s="75">
        <f t="shared" si="7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 t="shared" si="8"/>
        <v/>
      </c>
      <c r="S48" s="81">
        <f t="shared" si="9"/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>
      <c r="A49" s="75">
        <f t="shared" si="7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 t="shared" si="8"/>
        <v>160</v>
      </c>
      <c r="S49" s="81" t="str">
        <f t="shared" si="9"/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>
      <c r="A50" s="75">
        <f t="shared" si="7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 t="shared" si="8"/>
        <v/>
      </c>
      <c r="S50" s="81">
        <f t="shared" si="9"/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>
      <c r="A51" s="75">
        <f t="shared" si="7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/>
      <c r="O51" s="80"/>
      <c r="P51" s="76" t="s">
        <v>225</v>
      </c>
      <c r="Q51" s="129">
        <v>776</v>
      </c>
      <c r="R51" s="81">
        <f t="shared" si="8"/>
        <v>80</v>
      </c>
      <c r="S51" s="81" t="str">
        <f t="shared" si="9"/>
        <v/>
      </c>
      <c r="T51" s="82">
        <v>80</v>
      </c>
      <c r="U51" s="83"/>
      <c r="V51" s="84"/>
      <c r="X51" s="88"/>
      <c r="Y51" s="88"/>
    </row>
    <row r="52" spans="1:25">
      <c r="A52" s="75">
        <f t="shared" si="7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 t="shared" ref="O52:O73" si="11">T52*N52</f>
        <v>0</v>
      </c>
      <c r="P52" s="76" t="s">
        <v>225</v>
      </c>
      <c r="Q52" s="76">
        <v>16285</v>
      </c>
      <c r="R52" s="81">
        <f t="shared" si="8"/>
        <v>110</v>
      </c>
      <c r="S52" s="81" t="str">
        <f t="shared" si="9"/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>
      <c r="A53" s="75">
        <f t="shared" si="7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 t="shared" si="11"/>
        <v>0</v>
      </c>
      <c r="P53" s="76" t="s">
        <v>225</v>
      </c>
      <c r="Q53" s="76">
        <v>5196</v>
      </c>
      <c r="R53" s="81">
        <f t="shared" si="8"/>
        <v>110</v>
      </c>
      <c r="S53" s="81" t="str">
        <f t="shared" si="9"/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>
      <c r="A54" s="75">
        <f t="shared" si="7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 t="shared" si="11"/>
        <v>0</v>
      </c>
      <c r="P54" s="76" t="s">
        <v>225</v>
      </c>
      <c r="Q54" s="76">
        <v>7346</v>
      </c>
      <c r="R54" s="81">
        <f t="shared" si="8"/>
        <v>110</v>
      </c>
      <c r="S54" s="81" t="str">
        <f t="shared" si="9"/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>
      <c r="A55" s="75">
        <f t="shared" si="7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7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 t="shared" si="11"/>
        <v>100</v>
      </c>
      <c r="P55" s="76" t="s">
        <v>230</v>
      </c>
      <c r="Q55" s="76"/>
      <c r="R55" s="81" t="str">
        <f t="shared" si="8"/>
        <v/>
      </c>
      <c r="S55" s="81">
        <f t="shared" si="9"/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>
      <c r="A56" s="75">
        <f t="shared" si="7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 t="shared" si="11"/>
        <v>0</v>
      </c>
      <c r="P56" s="76" t="s">
        <v>225</v>
      </c>
      <c r="Q56" s="76">
        <v>4939</v>
      </c>
      <c r="R56" s="81">
        <f t="shared" si="8"/>
        <v>160</v>
      </c>
      <c r="S56" s="81" t="str">
        <f t="shared" si="9"/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>
      <c r="A57" s="75">
        <f t="shared" si="7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 t="shared" si="11"/>
        <v>0</v>
      </c>
      <c r="P57" s="76" t="s">
        <v>225</v>
      </c>
      <c r="Q57" s="76">
        <v>141</v>
      </c>
      <c r="R57" s="81">
        <f t="shared" si="8"/>
        <v>160</v>
      </c>
      <c r="S57" s="81" t="str">
        <f t="shared" si="9"/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>
      <c r="A58" s="75">
        <f t="shared" si="7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 t="shared" si="11"/>
        <v>0</v>
      </c>
      <c r="P58" s="76" t="s">
        <v>225</v>
      </c>
      <c r="Q58" s="76">
        <v>1034</v>
      </c>
      <c r="R58" s="81">
        <f t="shared" si="8"/>
        <v>70</v>
      </c>
      <c r="S58" s="81" t="str">
        <f t="shared" si="9"/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>
      <c r="A59" s="75">
        <f t="shared" si="7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 t="shared" si="11"/>
        <v>0</v>
      </c>
      <c r="P59" s="76" t="s">
        <v>225</v>
      </c>
      <c r="Q59" s="76">
        <v>1376</v>
      </c>
      <c r="R59" s="81">
        <f t="shared" si="8"/>
        <v>80</v>
      </c>
      <c r="S59" s="81" t="str">
        <f t="shared" si="9"/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>
      <c r="A60" s="75">
        <f t="shared" si="7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 t="shared" si="11"/>
        <v>0</v>
      </c>
      <c r="P60" s="76" t="s">
        <v>225</v>
      </c>
      <c r="Q60" s="76">
        <v>1508</v>
      </c>
      <c r="R60" s="81">
        <f t="shared" si="8"/>
        <v>160</v>
      </c>
      <c r="S60" s="81" t="str">
        <f t="shared" si="9"/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>
      <c r="A61" s="75">
        <f t="shared" si="7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 t="shared" si="11"/>
        <v>0</v>
      </c>
      <c r="P61" s="76" t="s">
        <v>225</v>
      </c>
      <c r="Q61" s="76">
        <v>1508</v>
      </c>
      <c r="R61" s="81">
        <v>160</v>
      </c>
      <c r="S61" s="81" t="str">
        <f t="shared" si="9"/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5.75">
      <c r="A62" s="75">
        <f t="shared" si="7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8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 t="shared" si="11"/>
        <v>0</v>
      </c>
      <c r="P62" s="76" t="s">
        <v>230</v>
      </c>
      <c r="Q62" s="76"/>
      <c r="R62" s="81" t="str">
        <f t="shared" ref="R62:R73" si="12">IF(OR(P62="c",P62="C"),+T62,"")</f>
        <v/>
      </c>
      <c r="S62" s="81">
        <f t="shared" si="9"/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>
      <c r="A63" s="75">
        <f t="shared" si="7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 t="shared" si="11"/>
        <v>0</v>
      </c>
      <c r="P63" s="76" t="s">
        <v>225</v>
      </c>
      <c r="Q63" s="76">
        <v>204</v>
      </c>
      <c r="R63" s="81">
        <f t="shared" si="12"/>
        <v>100</v>
      </c>
      <c r="S63" s="81" t="str">
        <f t="shared" si="9"/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>
      <c r="A64" s="75">
        <f t="shared" si="7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 t="shared" si="11"/>
        <v>0</v>
      </c>
      <c r="P64" s="76" t="s">
        <v>230</v>
      </c>
      <c r="Q64" s="76"/>
      <c r="R64" s="81" t="str">
        <f t="shared" si="12"/>
        <v/>
      </c>
      <c r="S64" s="81">
        <f t="shared" si="9"/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>
      <c r="A65" s="75">
        <f t="shared" si="7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7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 t="shared" si="11"/>
        <v>0</v>
      </c>
      <c r="P65" s="76" t="s">
        <v>230</v>
      </c>
      <c r="Q65" s="76"/>
      <c r="R65" s="81" t="str">
        <f t="shared" si="12"/>
        <v/>
      </c>
      <c r="S65" s="81">
        <f t="shared" si="9"/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>
      <c r="A66" s="75">
        <f t="shared" si="7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8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 t="shared" si="11"/>
        <v>0</v>
      </c>
      <c r="P66" s="76" t="s">
        <v>225</v>
      </c>
      <c r="Q66" s="76">
        <v>8223</v>
      </c>
      <c r="R66" s="81">
        <f t="shared" si="12"/>
        <v>100</v>
      </c>
      <c r="S66" s="81" t="str">
        <f t="shared" si="9"/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>
      <c r="A67" s="75">
        <f t="shared" si="7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 t="shared" si="11"/>
        <v>0</v>
      </c>
      <c r="P67" s="76" t="s">
        <v>225</v>
      </c>
      <c r="Q67" s="76">
        <v>677</v>
      </c>
      <c r="R67" s="81">
        <f t="shared" si="12"/>
        <v>110</v>
      </c>
      <c r="S67" s="81" t="str">
        <f t="shared" si="9"/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>
      <c r="A68" s="75">
        <f t="shared" si="7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 t="shared" si="11"/>
        <v>0</v>
      </c>
      <c r="P68" s="76" t="s">
        <v>225</v>
      </c>
      <c r="Q68" s="76">
        <v>677</v>
      </c>
      <c r="R68" s="81">
        <f t="shared" si="12"/>
        <v>80</v>
      </c>
      <c r="S68" s="81" t="str">
        <f t="shared" si="9"/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>
      <c r="A69" s="75">
        <f t="shared" si="7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 t="shared" si="11"/>
        <v>0</v>
      </c>
      <c r="P69" s="76" t="s">
        <v>225</v>
      </c>
      <c r="Q69" s="76">
        <v>2480</v>
      </c>
      <c r="R69" s="81">
        <f t="shared" si="12"/>
        <v>80</v>
      </c>
      <c r="S69" s="81" t="str">
        <f t="shared" si="9"/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>
      <c r="A70" s="75">
        <f t="shared" si="7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 t="shared" si="11"/>
        <v>70</v>
      </c>
      <c r="P70" s="76" t="s">
        <v>230</v>
      </c>
      <c r="Q70" s="76"/>
      <c r="R70" s="81" t="str">
        <f t="shared" si="12"/>
        <v/>
      </c>
      <c r="S70" s="81">
        <f t="shared" si="9"/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>
      <c r="A71" s="75">
        <f t="shared" si="7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 t="shared" si="11"/>
        <v>70</v>
      </c>
      <c r="P71" s="76" t="s">
        <v>230</v>
      </c>
      <c r="Q71" s="76"/>
      <c r="R71" s="81" t="str">
        <f t="shared" si="12"/>
        <v/>
      </c>
      <c r="S71" s="81">
        <f t="shared" si="9"/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>
      <c r="A72" s="75">
        <f t="shared" si="7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 t="shared" si="11"/>
        <v>0</v>
      </c>
      <c r="P72" s="76" t="s">
        <v>225</v>
      </c>
      <c r="Q72" s="76">
        <v>3948</v>
      </c>
      <c r="R72" s="81">
        <f t="shared" si="12"/>
        <v>100</v>
      </c>
      <c r="S72" s="81" t="str">
        <f t="shared" si="9"/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>
      <c r="A73" s="75">
        <f t="shared" si="7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 t="shared" si="11"/>
        <v>0</v>
      </c>
      <c r="P73" s="76" t="s">
        <v>225</v>
      </c>
      <c r="Q73" s="76">
        <v>317</v>
      </c>
      <c r="R73" s="81">
        <f t="shared" si="12"/>
        <v>90</v>
      </c>
      <c r="S73" s="81" t="str">
        <f t="shared" si="9"/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>
      <c r="A74" s="24"/>
    </row>
    <row r="75" spans="1:25">
      <c r="A75" s="24"/>
    </row>
  </sheetData>
  <sheetProtection selectLockedCells="1"/>
  <sortState xmlns:xlrd2="http://schemas.microsoft.com/office/spreadsheetml/2017/richdata2" ref="B12:U73">
    <sortCondition ref="C12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1000000}"/>
    <hyperlink ref="G23" r:id="rId2" xr:uid="{00000000-0004-0000-0200-000005000000}"/>
    <hyperlink ref="G28" r:id="rId3" xr:uid="{00000000-0004-0000-0200-000006000000}"/>
    <hyperlink ref="G40" r:id="rId4" xr:uid="{00000000-0004-0000-0200-00000B000000}"/>
    <hyperlink ref="G41" r:id="rId5" xr:uid="{00000000-0004-0000-0200-00000D000000}"/>
    <hyperlink ref="G56" r:id="rId6" xr:uid="{00000000-0004-0000-0200-00000E000000}"/>
    <hyperlink ref="G66" r:id="rId7" xr:uid="{00000000-0004-0000-0200-000012000000}"/>
    <hyperlink ref="G72" r:id="rId8" xr:uid="{00000000-0004-0000-0200-000014000000}"/>
    <hyperlink ref="G21" r:id="rId9" xr:uid="{00000000-0004-0000-0200-000018000000}"/>
    <hyperlink ref="G44" r:id="rId10" xr:uid="{00000000-0004-0000-0200-000019000000}"/>
    <hyperlink ref="G73" r:id="rId11" xr:uid="{00000000-0004-0000-0200-000021000000}"/>
    <hyperlink ref="G62" r:id="rId12" xr:uid="{C9FC4D91-6CDD-1D4B-A4F6-3CC4DD985103}"/>
    <hyperlink ref="G50" r:id="rId13" xr:uid="{8CC2D16E-A360-EA40-9446-7C67566D1B72}"/>
    <hyperlink ref="G65" r:id="rId14" xr:uid="{BDDCC081-09A8-A24D-935F-78D4BC5084FF}"/>
    <hyperlink ref="G18" r:id="rId15" xr:uid="{F05D68B8-E23C-BA47-8F12-51FB1817BF4D}"/>
    <hyperlink ref="G59" r:id="rId16" xr:uid="{2998ED75-3559-EF4F-AEF6-140E8C4C066B}"/>
    <hyperlink ref="G58" r:id="rId17" xr:uid="{4A142947-CF52-A847-875E-734EBD617487}"/>
    <hyperlink ref="G38" r:id="rId18" xr:uid="{A641355E-E6A1-C44E-86C5-7F2697961AA7}"/>
    <hyperlink ref="G33" r:id="rId19" xr:uid="{93374F1D-18A2-C948-B565-37C19D65A8AA}"/>
    <hyperlink ref="G34" r:id="rId20" xr:uid="{4A7F4F62-FF30-AB40-88A0-EF8D4F320D99}"/>
    <hyperlink ref="G22" r:id="rId21" xr:uid="{DFCC0718-A5F8-F248-86EE-E83FA2DD44D6}"/>
    <hyperlink ref="G13" r:id="rId22" xr:uid="{2A3E5490-CF3A-C94D-B79F-25C116027C1C}"/>
    <hyperlink ref="G47" r:id="rId23" xr:uid="{35679D76-BBCD-6C40-8909-63073594D66A}"/>
    <hyperlink ref="G17" r:id="rId24" xr:uid="{72038E91-6EB8-A84A-9FAB-B13D5E98C5E6}"/>
    <hyperlink ref="G70" r:id="rId25" xr:uid="{00000000-0004-0000-0200-000013000000}"/>
    <hyperlink ref="G71" r:id="rId26" xr:uid="{F9E30B5D-A845-7240-B63A-A6C2B79A0C5B}"/>
    <hyperlink ref="G32" r:id="rId27" xr:uid="{87A67BE0-D1DF-604A-9F98-DD754845B303}"/>
    <hyperlink ref="G29" r:id="rId28" xr:uid="{6ECF9D50-3BEE-D84A-8F0F-0F5E6D859CD1}"/>
  </hyperlinks>
  <pageMargins left="0.25" right="0.25" top="0.75" bottom="0.75" header="0.3" footer="0.3"/>
  <pageSetup scale="51" orientation="landscape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J59"/>
  <sheetViews>
    <sheetView workbookViewId="0">
      <selection activeCell="A10" sqref="A10:XFD19"/>
    </sheetView>
  </sheetViews>
  <sheetFormatPr defaultColWidth="8.85546875" defaultRowHeight="15"/>
  <cols>
    <col min="1" max="1" width="38.85546875" customWidth="1"/>
    <col min="2" max="2" width="30.28515625" customWidth="1"/>
    <col min="3" max="3" width="21.85546875" customWidth="1"/>
    <col min="4" max="4" width="12.28515625" customWidth="1"/>
    <col min="5" max="5" width="11.85546875" customWidth="1"/>
    <col min="6" max="6" width="10.7109375" customWidth="1"/>
    <col min="7" max="7" width="15.140625" customWidth="1"/>
    <col min="8" max="8" width="6.42578125" hidden="1" customWidth="1"/>
    <col min="9" max="9" width="15" customWidth="1"/>
    <col min="10" max="10" width="17.28515625" customWidth="1"/>
    <col min="13" max="13" width="19.42578125" customWidth="1"/>
  </cols>
  <sheetData>
    <row r="3" spans="1:10">
      <c r="I3" s="35"/>
      <c r="J3" s="62"/>
    </row>
    <row r="7" spans="1:10" ht="31.5">
      <c r="A7" s="109" t="s">
        <v>194</v>
      </c>
    </row>
    <row r="8" spans="1:10">
      <c r="I8" s="29"/>
    </row>
    <row r="9" spans="1:10" ht="36" customHeight="1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5.5">
      <c r="A10" s="106" t="s">
        <v>155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5.5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5.5">
      <c r="A12" s="108" t="s">
        <v>284</v>
      </c>
      <c r="B12" s="126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5.5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5.5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5.5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5.5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5.5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5.5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5.5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>
      <c r="J20" s="54"/>
    </row>
    <row r="21" spans="1:10">
      <c r="J21" s="54"/>
    </row>
    <row r="22" spans="1:10">
      <c r="J22" s="54"/>
    </row>
    <row r="23" spans="1:10">
      <c r="J23" s="54"/>
    </row>
    <row r="24" spans="1:10">
      <c r="J24" s="54"/>
    </row>
    <row r="25" spans="1:10">
      <c r="J25" s="54"/>
    </row>
    <row r="26" spans="1:10">
      <c r="J26" s="54"/>
    </row>
    <row r="27" spans="1:10">
      <c r="J27" s="54"/>
    </row>
    <row r="28" spans="1:10">
      <c r="J28" s="54"/>
    </row>
    <row r="29" spans="1:10">
      <c r="J29" s="54"/>
    </row>
    <row r="30" spans="1:10">
      <c r="J30" s="54"/>
    </row>
    <row r="31" spans="1:10">
      <c r="J31" s="54"/>
    </row>
    <row r="32" spans="1:10">
      <c r="J32" s="54"/>
    </row>
    <row r="33" spans="10:10">
      <c r="J33" s="54"/>
    </row>
    <row r="34" spans="10:10">
      <c r="J34" s="54"/>
    </row>
    <row r="35" spans="10:10">
      <c r="J35" s="54"/>
    </row>
    <row r="36" spans="10:10">
      <c r="J36" s="54"/>
    </row>
    <row r="37" spans="10:10">
      <c r="J37" s="54"/>
    </row>
    <row r="38" spans="10:10">
      <c r="J38" s="54"/>
    </row>
    <row r="39" spans="10:10">
      <c r="J39" s="54"/>
    </row>
    <row r="40" spans="10:10">
      <c r="J40" s="54"/>
    </row>
    <row r="41" spans="10:10">
      <c r="J41" s="54"/>
    </row>
    <row r="42" spans="10:10">
      <c r="J42" s="54"/>
    </row>
    <row r="43" spans="10:10">
      <c r="J43" s="54"/>
    </row>
    <row r="44" spans="10:10">
      <c r="J44" s="54"/>
    </row>
    <row r="45" spans="10:10">
      <c r="J45" s="54"/>
    </row>
    <row r="46" spans="10:10">
      <c r="J46" s="54"/>
    </row>
    <row r="47" spans="10:10">
      <c r="J47" s="54"/>
    </row>
    <row r="48" spans="10:10">
      <c r="J48" s="54"/>
    </row>
    <row r="49" spans="10:10">
      <c r="J49" s="54"/>
    </row>
    <row r="50" spans="10:10">
      <c r="J50" s="54"/>
    </row>
    <row r="51" spans="10:10">
      <c r="J51" s="54"/>
    </row>
    <row r="52" spans="10:10">
      <c r="J52" s="54"/>
    </row>
    <row r="53" spans="10:10">
      <c r="J53" s="54"/>
    </row>
    <row r="54" spans="10:10">
      <c r="J54" s="54"/>
    </row>
    <row r="55" spans="10:10">
      <c r="J55" s="54"/>
    </row>
    <row r="56" spans="10:10">
      <c r="J56" s="54"/>
    </row>
    <row r="57" spans="10:10">
      <c r="J57" s="54"/>
    </row>
    <row r="58" spans="10:10">
      <c r="J58" s="54"/>
    </row>
    <row r="59" spans="10:10">
      <c r="J59" s="54"/>
    </row>
  </sheetData>
  <sortState xmlns:xlrd2="http://schemas.microsoft.com/office/spreadsheetml/2017/richdata2"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14"/>
  <sheetViews>
    <sheetView zoomScale="109" zoomScaleNormal="109" workbookViewId="0">
      <selection activeCell="D37" sqref="D37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55" t="s">
        <v>46</v>
      </c>
    </row>
    <row r="6" spans="3:10" ht="15.75" thickBot="1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>
      <c r="C7" s="4" t="s">
        <v>270</v>
      </c>
      <c r="D7" s="1" t="s">
        <v>8</v>
      </c>
      <c r="E7" s="2" t="s">
        <v>60</v>
      </c>
      <c r="G7" s="3"/>
      <c r="J7" s="3"/>
    </row>
    <row r="8" spans="3:10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>
      <c r="C10" s="1"/>
      <c r="D10" s="1"/>
      <c r="E10" s="2"/>
      <c r="G10" s="3"/>
      <c r="J10" s="3"/>
    </row>
    <row r="11" spans="3:10">
      <c r="C11" s="53"/>
      <c r="D11" s="53"/>
      <c r="E11" s="67"/>
      <c r="F11" s="35"/>
      <c r="G11" s="62"/>
      <c r="H11" s="35"/>
      <c r="I11" s="35"/>
      <c r="J11" s="62"/>
    </row>
    <row r="12" spans="3:10">
      <c r="C12" s="4"/>
      <c r="D12" s="4"/>
      <c r="E12" s="5"/>
      <c r="F12" s="63"/>
      <c r="G12" s="64"/>
      <c r="H12" s="63"/>
      <c r="I12" s="63"/>
      <c r="J12" s="64"/>
    </row>
    <row r="13" spans="3:10">
      <c r="C13" s="1"/>
      <c r="D13" s="1"/>
      <c r="E13" s="2"/>
      <c r="F13" s="63"/>
      <c r="G13" s="63"/>
      <c r="H13" s="63"/>
      <c r="I13" s="63"/>
      <c r="J13" s="64"/>
    </row>
    <row r="14" spans="3:10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3"/>
  <sheetViews>
    <sheetView workbookViewId="0">
      <selection activeCell="C31" sqref="C31"/>
    </sheetView>
  </sheetViews>
  <sheetFormatPr defaultColWidth="8.85546875" defaultRowHeight="15"/>
  <cols>
    <col min="3" max="3" width="30.7109375" customWidth="1"/>
  </cols>
  <sheetData>
    <row r="5" spans="3:3" ht="32.25" thickBot="1">
      <c r="C5" s="104" t="s">
        <v>99</v>
      </c>
    </row>
    <row r="6" spans="3:3" ht="27" thickBot="1">
      <c r="C6" s="105" t="s">
        <v>213</v>
      </c>
    </row>
    <row r="7" spans="3:3" ht="25.5">
      <c r="C7" s="106" t="s">
        <v>6</v>
      </c>
    </row>
    <row r="8" spans="3:3" ht="25.5">
      <c r="C8" s="106" t="s">
        <v>84</v>
      </c>
    </row>
    <row r="9" spans="3:3" ht="25.5">
      <c r="C9" s="107" t="s">
        <v>206</v>
      </c>
    </row>
    <row r="10" spans="3:3" ht="25.5">
      <c r="C10" s="106" t="s">
        <v>13</v>
      </c>
    </row>
    <row r="11" spans="3:3" ht="25.5">
      <c r="C11" s="106" t="s">
        <v>12</v>
      </c>
    </row>
    <row r="12" spans="3:3" ht="25.5">
      <c r="C12" s="108"/>
    </row>
    <row r="13" spans="3:3" ht="25.5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2024-04-12T21:56:30Z</cp:lastPrinted>
  <dcterms:created xsi:type="dcterms:W3CDTF">2014-07-30T14:06:58Z</dcterms:created>
  <dcterms:modified xsi:type="dcterms:W3CDTF">2024-04-19T23:48:33Z</dcterms:modified>
</cp:coreProperties>
</file>