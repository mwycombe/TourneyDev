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.V2\"/>
    </mc:Choice>
  </mc:AlternateContent>
  <xr:revisionPtr revIDLastSave="0" documentId="13_ncr:1_{3D25CD7C-B0C3-4911-8093-D214B4ECC766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Unpaid!$A$5:'Unpaid'!$K$44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O47" i="1" s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45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<sst xmlns="http://schemas.openxmlformats.org/spreadsheetml/2006/main" count="1771" uniqueCount="763">
  <si>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</si>
  <si>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</si>
  <si>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</si>
  <si>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</si>
  <si>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</si>
  <si>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</si>
  <si>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</si>
  <si>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</si>
  <si>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</si>
  <si>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</si>
  <si>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</si>
  <si>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</si>
  <si>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</si>
  <si>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</si>
  <si>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</si>
  <si>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</si>
  <si>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</si>
  <si>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</si>
  <si>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</si>
  <si>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</si>
  <si>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</si>
  <si>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</si>
  <si>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</si>
  <si>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</si>
  <si>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</si>
  <si>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</si>
  <si>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</si>
  <si>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</si>
  <si>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</si>
  <si>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</si>
  <si>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</si>
  <si>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</si>
  <si>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</si>
  <si>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</si>
  <si>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</si>
  <si>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</si>
  <si>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</si>
  <si>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</si>
  <si>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</si>
  <si>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</si>
  <si>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</si>
  <si>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</si>
  <si>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</si>
  <si>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</si>
  <si>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</si>
  <si>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</si>
  <si>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</si>
  <si>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</si>
  <si>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</si>
  <si>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</si>
  <si>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</si>
  <si>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</si>
  <si>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</si>
  <si>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</si>
  <si>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</si>
  <si>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</si>
  <si>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</si>
  <si>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</si>
  <si>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</si>
  <si>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</si>
  <si>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</si>
  <si>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</si>
  <si>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</si>
  <si>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</si>
  <si>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</si>
  <si>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</si>
  <si>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</si>
  <si>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</si>
  <si>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</si>
  <si>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</si>
  <si>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</si>
  <si>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</si>
  <si>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</si>
  <si>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</si>
  <si>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</si>
  <si>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</si>
  <si>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</si>
  <si>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</si>
  <si>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</si>
  <si>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</si>
  <si>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</si>
  <si>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</si>
  <si>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</si>
  <si>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</si>
  <si>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</si>
  <si>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</si>
  <si>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</si>
  <si>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</si>
  <si>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</si>
  <si>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</si>
  <si>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</si>
  <si>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</si>
  <si>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</si>
  <si>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</si>
  <si>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</si>
  <si>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</si>
  <si>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</si>
  <si>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</si>
  <si>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</si>
  <si>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</si>
  <si>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</si>
  <si>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</si>
  <si>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</si>
  <si>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</si>
  <si>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</si>
  <si>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</si>
  <si>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</si>
  <si>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</si>
  <si>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</si>
  <si>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</si>
  <si>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</si>
  <si>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</si>
  <si>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</si>
  <si>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</si>
  <si>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</si>
  <si>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</si>
  <si>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</si>
  <si>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</si>
  <si>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</si>
  <si>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</si>
  <si>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</si>
  <si>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</si>
  <si>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</si>
  <si>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</si>
  <si>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</si>
  <si>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</si>
  <si>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</si>
  <si>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</si>
  <si>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</si>
  <si>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</si>
  <si>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</si>
  <si>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</si>
  <si>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</si>
  <si>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</si>
  <si>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</si>
  <si>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</si>
  <si>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</si>
  <si>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</si>
  <si>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</si>
  <si>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</si>
  <si>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</si>
  <si>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</si>
  <si>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</si>
  <si>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</si>
  <si>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</si>
  <si>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</si>
  <si>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</si>
  <si>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</si>
  <si>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</si>
  <si>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</si>
  <si>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</si>
  <si>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</si>
  <si>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</si>
  <si>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</si>
  <si>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</si>
  <si>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</si>
  <si>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</si>
  <si>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</si>
  <si>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</si>
  <si>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</si>
  <si>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</si>
  <si>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</si>
  <si>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</si>
  <si>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</si>
  <si>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</si>
  <si>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</si>
  <si>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</si>
  <si>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</si>
  <si>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</si>
  <si>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</si>
  <si>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</si>
  <si>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</si>
  <si>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</si>
  <si>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</si>
  <si>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</si>
  <si>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</si>
  <si>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</si>
  <si>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</si>
  <si>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</si>
  <si>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</si>
  <si>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</si>
  <si>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</si>
  <si>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</si>
  <si>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</si>
  <si>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</si>
  <si>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</si>
  <si>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</si>
  <si>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</si>
  <si>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</si>
  <si>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</si>
  <si>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</si>
  <si>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</si>
  <si>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</si>
  <si>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</si>
  <si>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</si>
  <si>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</si>
  <si>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</si>
  <si>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</si>
  <si>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</si>
  <si>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</si>
  <si>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</si>
  <si>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</si>
  <si>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</si>
  <si>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</si>
  <si>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</si>
  <si>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</si>
  <si>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</si>
  <si>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</si>
  <si>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</si>
  <si>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</si>
  <si>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</si>
  <si>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</si>
  <si>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</si>
  <si>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</si>
  <si>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</si>
  <si>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</si>
  <si>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</si>
  <si>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</si>
  <si>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</si>
  <si>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</si>
  <si>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</si>
  <si>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</si>
  <si>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</si>
  <si>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</si>
  <si>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</si>
  <si>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</si>
  <si>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</si>
  <si>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</si>
  <si>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</si>
  <si>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</si>
  <si>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</si>
  <si>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</si>
  <si>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</si>
  <si>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</si>
  <si>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</si>
  <si>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</si>
  <si>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</si>
  <si>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</si>
  <si>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</si>
  <si>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</si>
  <si>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</si>
  <si>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</si>
  <si>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</si>
  <si>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</si>
  <si>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</si>
  <si>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</si>
  <si>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</si>
  <si>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</si>
  <si>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</si>
  <si>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</si>
  <si>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</si>
  <si>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</si>
  <si>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</si>
  <si>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</si>
  <si>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</si>
  <si>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</si>
  <si>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</si>
  <si>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</si>
  <si>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</si>
  <si>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</si>
  <si>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</si>
  <si>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</si>
  <si>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</si>
  <si>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</si>
  <si>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</si>
  <si>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</si>
  <si>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</si>
  <si>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</si>
  <si>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</si>
  <si>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</si>
  <si>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</si>
  <si>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</si>
  <si>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</si>
  <si>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</si>
  <si>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</si>
  <si>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</si>
  <si>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</si>
  <si>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</si>
  <si>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</si>
  <si>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</si>
  <si>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</si>
  <si>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</si>
  <si>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</si>
  <si>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</si>
  <si>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</si>
  <si>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</si>
  <si>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</si>
  <si>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</si>
  <si>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</si>
  <si>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</si>
  <si>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</si>
  <si>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</si>
  <si>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</si>
  <si>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</si>
  <si>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</si>
  <si>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</si>
  <si>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</si>
  <si>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</si>
  <si>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</si>
  <si>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</si>
  <si>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</si>
  <si>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</si>
  <si>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</si>
  <si>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</si>
  <si>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</si>
  <si>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</si>
  <si>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</si>
  <si>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</si>
  <si>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</si>
  <si>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</si>
  <si>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</si>
  <si>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</si>
  <si>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</si>
  <si>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</si>
  <si>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</si>
  <si>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</si>
  <si>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</si>
  <si>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</si>
  <si>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</si>
  <si>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</si>
  <si>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</si>
  <si>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</si>
  <si>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</si>
  <si>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</si>
  <si>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</si>
  <si>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</si>
  <si>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</si>
  <si>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</si>
  <si>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</si>
  <si>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</si>
  <si>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</si>
  <si>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</si>
  <si>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</si>
  <si>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</si>
  <si>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</si>
  <si>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</si>
  <si>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</si>
  <si>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</si>
  <si>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</si>
  <si>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</si>
  <si>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</si>
  <si>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</si>
  <si>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</si>
  <si>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</si>
  <si>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</si>
  <si>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</si>
  <si>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</si>
  <si>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</si>
  <si>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</si>
  <si>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</si>
  <si>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</si>
  <si>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</si>
  <si>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</si>
  <si>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</si>
  <si>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</si>
  <si>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</si>
  <si>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</si>
  <si>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</si>
  <si>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</si>
  <si>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</si>
  <si>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</si>
  <si>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</si>
  <si>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</si>
  <si>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</si>
  <si>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</si>
  <si>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</si>
  <si>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</si>
  <si>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</si>
  <si>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</si>
  <si>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</si>
  <si>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</si>
  <si>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</si>
  <si>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</si>
  <si>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</si>
  <si>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</si>
  <si>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</si>
  <si>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</si>
  <si>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</si>
  <si>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</si>
  <si>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</si>
  <si>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</si>
  <si>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</si>
  <si>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</si>
  <si>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</si>
  <si>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</si>
  <si>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</si>
  <si>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</si>
  <si>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</si>
  <si>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</si>
  <si>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</si>
  <si>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</si>
  <si>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</si>
  <si>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</si>
  <si>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</si>
  <si>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</si>
  <si>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</si>
  <si>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</si>
  <si>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</si>
  <si>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</si>
  <si>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</si>
  <si>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</si>
  <si>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</si>
  <si>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</si>
  <si>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</si>
  <si>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</si>
  <si>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</si>
  <si>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</si>
  <si>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</si>
  <si>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</si>
  <si>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</si>
  <si>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</si>
  <si>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</si>
  <si>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</si>
  <si>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</si>
  <si>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</si>
  <si>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</si>
  <si>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</si>
  <si>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</si>
  <si>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</si>
  <si>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</si>
  <si>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</si>
  <si>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</si>
  <si>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</si>
  <si>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</si>
  <si>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</si>
  <si>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</si>
  <si>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</si>
  <si>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</si>
  <si>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</si>
  <si>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</si>
  <si>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</si>
  <si>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</si>
  <si>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</si>
  <si>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</si>
  <si>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</si>
  <si>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</si>
  <si>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</si>
  <si>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</si>
  <si>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</si>
  <si>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</si>
  <si>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</si>
  <si>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</si>
  <si>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</si>
  <si>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</si>
  <si>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</si>
  <si>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</si>
  <si>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</si>
  <si>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</si>
  <si>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</si>
  <si>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</si>
  <si>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</si>
  <si>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</si>
  <si>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</si>
  <si>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</si>
  <si>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</si>
  <si>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</si>
  <si>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</si>
  <si>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</si>
  <si>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</si>
  <si>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</si>
  <si>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</si>
  <si>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</si>
  <si>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</si>
  <si>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</si>
  <si>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</si>
  <si>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</si>
  <si>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</si>
  <si>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</si>
  <si>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</si>
  <si>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</si>
  <si>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</si>
  <si>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</si>
  <si>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</si>
  <si>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</si>
  <si>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</si>
  <si>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</si>
  <si>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</si>
  <si>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</si>
  <si>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</si>
  <si>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</si>
  <si>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</si>
  <si>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</si>
  <si>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</si>
  <si>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</si>
  <si>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</si>
  <si>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</si>
  <si>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</si>
  <si>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</si>
  <si>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</si>
  <si>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</si>
  <si>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</si>
  <si>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</si>
  <si>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</si>
  <si>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</si>
  <si>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</si>
  <si>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</si>
  <si>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</si>
  <si>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</si>
  <si>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</si>
  <si>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</si>
  <si>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</si>
  <si>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</si>
  <si>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</si>
  <si>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</si>
  <si>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</si>
  <si>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</si>
  <si>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</si>
  <si>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</si>
  <si>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</si>
  <si>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</si>
  <si>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</si>
  <si>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</si>
  <si>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</si>
  <si>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</si>
  <si>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</si>
  <si>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</si>
  <si>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</si>
  <si>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</si>
  <si>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</si>
  <si>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</si>
  <si>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</si>
  <si>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</si>
  <si>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</si>
  <si>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</si>
  <si>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</si>
  <si>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</si>
  <si>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</si>
  <si>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</si>
  <si>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</si>
  <si>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</si>
  <si>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</si>
  <si>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</si>
  <si>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</si>
  <si>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</si>
  <si>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</si>
  <si>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</si>
  <si>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</si>
  <si>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</si>
  <si>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</si>
  <si>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</si>
  <si>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</si>
  <si>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</si>
  <si>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</si>
  <si>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</si>
  <si>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</si>
  <si>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</si>
  <si>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</si>
  <si>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</si>
  <si>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</si>
  <si>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</si>
  <si>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</si>
  <si>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</si>
  <si>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</si>
  <si>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</si>
  <si>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</si>
  <si>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</si>
  <si>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</si>
  <si>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</si>
  <si>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</si>
  <si>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</si>
  <si>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</si>
  <si>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</si>
  <si>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</si>
  <si>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</si>
  <si>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</si>
  <si>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</si>
  <si>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</si>
  <si>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</si>
  <si>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</si>
  <si>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</si>
  <si>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</si>
  <si>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</si>
  <si>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</si>
  <si>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</si>
  <si>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</si>
  <si>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</si>
  <si>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</si>
  <si>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</si>
  <si>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</si>
  <si>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</si>
  <si>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</si>
  <si>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</si>
  <si>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</si>
  <si>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</si>
  <si>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</si>
  <si>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</si>
  <si>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</si>
  <si>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</si>
  <si>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</si>
  <si>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</si>
  <si>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</si>
  <si>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</si>
  <si>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</si>
  <si>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</si>
  <si>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</si>
  <si>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</si>
  <si>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</si>
  <si>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</si>
  <si>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</si>
  <si>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</si>
  <si>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</si>
  <si>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</si>
  <si>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</si>
  <si>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</si>
  <si>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</si>
  <si>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</si>
  <si>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</si>
  <si>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</si>
  <si>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</si>
  <si>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</si>
  <si>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</si>
  <si>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</si>
  <si>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</si>
  <si>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</si>
  <si>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</si>
  <si>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</si>
  <si>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</si>
  <si>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</si>
  <si>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</si>
  <si>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</si>
  <si>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</si>
  <si>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</si>
  <si>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</si>
  <si>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</si>
  <si>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</si>
  <si>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</si>
  <si>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</si>
  <si>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</si>
  <si>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</si>
  <si>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</si>
  <si>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</si>
  <si>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</si>
  <si>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</si>
  <si>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</si>
  <si>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</si>
  <si>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</si>
  <si>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</si>
  <si>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</si>
  <si>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</si>
  <si>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</si>
  <si>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</si>
  <si>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</si>
  <si>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</si>
  <si>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</si>
  <si>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</si>
  <si>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</si>
  <si>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</si>
  <si>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</si>
  <si>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</si>
  <si>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</si>
  <si>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</si>
  <si>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</si>
  <si>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</si>
  <si>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</si>
  <si>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</si>
  <si>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</si>
  <si>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</si>
  <si>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</si>
  <si>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</si>
  <si>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</si>
  <si>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</si>
  <si>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</si>
  <si>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</si>
  <si>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</si>
  <si>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</si>
  <si>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</si>
  <si>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</si>
  <si>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</si>
  <si>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</si>
  <si>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</si>
  <si>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</si>
  <si>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</si>
  <si>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</si>
  <si>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</si>
  <si>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</si>
  <si>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</si>
  <si>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</si>
  <si>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</si>
  <si>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</si>
  <si>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</si>
  <si>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</si>
  <si>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</si>
  <si>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</si>
  <si>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</si>
  <si>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</si>
  <si>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</si>
  <si>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</si>
  <si>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</si>
  <si>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</si>
  <si>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</si>
  <si>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</si>
  <si>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</si>
  <si>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</si>
  <si>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</si>
  <si>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</si>
  <si>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</si>
  <si>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</si>
  <si>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</si>
  <si>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</si>
  <si>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</si>
  <si>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</si>
  <si>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</si>
  <si>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Roland Hall</t>
  </si>
  <si>
    <t>Yvonne Bowers</t>
  </si>
  <si>
    <t>Michael Rogers</t>
  </si>
  <si>
    <t>roland26h@yahoo.com</t>
  </si>
  <si>
    <t>cribbageclub100@gmail.com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</si>
  <si>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</si>
  <si>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</si>
  <si>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</si>
  <si>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</si>
  <si>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</si>
  <si>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</si>
  <si>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</si>
  <si>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</si>
  <si>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</si>
  <si>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</si>
  <si>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</si>
  <si>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</si>
  <si>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</si>
  <si>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</si>
  <si>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</si>
  <si>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</si>
  <si>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</si>
  <si>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</si>
  <si>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</si>
  <si>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</si>
  <si>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</si>
  <si>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</si>
  <si>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</si>
  <si>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</si>
  <si>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</si>
  <si>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</si>
  <si>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</si>
  <si>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</si>
  <si>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</si>
  <si>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</si>
  <si>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</si>
  <si>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</si>
  <si>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</si>
  <si>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</si>
  <si>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</si>
  <si>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</si>
  <si>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</si>
  <si>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</si>
  <si>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</si>
  <si>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</si>
  <si>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</si>
  <si>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</si>
  <si>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</si>
  <si>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</si>
  <si>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</si>
  <si>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</si>
  <si>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</si>
  <si>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</si>
  <si>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</si>
  <si>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</si>
  <si>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</si>
  <si>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</si>
  <si>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</si>
  <si>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</si>
  <si>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</si>
  <si>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Napa Wine Country Spring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</si>
</sst>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1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49" fontId="4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165" fontId="0" fillId="0" borderId="0" xfId="0" applyNumberFormat="1" applyBorder="1" applyAlignment="1" applyProtection="1">
      <alignment horizontal="center"/>
      <protection locked="0"/>
    </xf>
    <xf numFmtId="0" fontId="9" fillId="0" borderId="0" xfId="2" applyFill="1" applyBorder="1" applyAlignment="1" applyProtection="1"/>
    <xf numFmtId="0" fontId="5" fillId="0" borderId="0" xfId="0" applyFont="1" applyBorder="1" applyProtection="1"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3" sqref="C3:G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4" t="s">
        <v>609</v>
      </c>
      <c r="D1" s="115"/>
      <c r="E1" s="116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17" t="s">
        <v>762</v>
      </c>
      <c r="D3" s="118"/>
      <c r="E3" s="118"/>
      <c r="F3" s="118"/>
      <c r="G3" s="119"/>
    </row>
    <row r="4" spans="1:8" ht="15.75" thickBot="1" x14ac:dyDescent="0.3"/>
    <row r="5" spans="1:8" ht="16.5" thickBot="1" x14ac:dyDescent="0.3">
      <c r="A5" s="71" t="s">
        <v>610</v>
      </c>
      <c r="C5" s="117" t="s">
        <v>699</v>
      </c>
      <c r="D5" s="118"/>
      <c r="E5" s="118"/>
      <c r="F5" s="118"/>
      <c r="G5" s="119"/>
    </row>
    <row r="6" spans="1:8" ht="15.75" thickBot="1" x14ac:dyDescent="0.3">
      <c r="H6" s="72"/>
    </row>
    <row r="7" spans="1:8" ht="16.5" thickBot="1" x14ac:dyDescent="0.3">
      <c r="A7" s="71" t="s">
        <v>611</v>
      </c>
      <c r="C7" s="117" t="s">
        <v>700</v>
      </c>
      <c r="D7" s="118"/>
      <c r="E7" s="118"/>
      <c r="F7" s="118"/>
      <c r="G7" s="119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20" t="s">
        <v>702</v>
      </c>
      <c r="D11" s="121"/>
      <c r="E11" s="120" t="s">
        <v>703</v>
      </c>
      <c r="F11" s="121"/>
      <c r="G11" s="120" t="s">
        <v>704</v>
      </c>
      <c r="H11" s="121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0" t="s">
        <v>705</v>
      </c>
      <c r="D13" s="121"/>
      <c r="E13" s="120" t="s">
        <v>706</v>
      </c>
      <c r="F13" s="121"/>
      <c r="G13" s="120" t="s">
        <v>562</v>
      </c>
      <c r="H13" s="121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0" t="s">
        <v>707</v>
      </c>
      <c r="D15" s="121"/>
      <c r="E15" s="120"/>
      <c r="F15" s="121"/>
      <c r="G15" s="120"/>
      <c r="H15" s="121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2" t="s">
        <v>609</v>
      </c>
      <c r="D2" s="123"/>
      <c r="E2" s="123"/>
      <c r="F2" s="123"/>
      <c r="G2" s="12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5" t="s">
        <v>762</v>
      </c>
      <c r="C4" s="125"/>
      <c r="D4" s="125"/>
      <c r="E4" s="125"/>
      <c r="F4" s="125"/>
    </row>
    <row r="5" spans="1:7" x14ac:dyDescent="0.25">
      <c r="A5" s="4" t="s">
        <v>616</v>
      </c>
      <c r="B5" s="126" t="s">
        <v>699</v>
      </c>
      <c r="C5" s="126"/>
      <c r="D5" s="126"/>
      <c r="E5" s="126"/>
      <c r="F5" s="126"/>
    </row>
    <row r="6" spans="1:7" x14ac:dyDescent="0.25">
      <c r="A6" s="4" t="s">
        <v>617</v>
      </c>
      <c r="B6" s="126" t="s">
        <v>700</v>
      </c>
      <c r="C6" s="126"/>
      <c r="D6" s="126"/>
      <c r="E6" s="126"/>
      <c r="F6" s="126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7" t="s">
        <v>623</v>
      </c>
      <c r="D15" s="127"/>
      <c r="E15" s="127"/>
      <c r="F15" s="127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28" t="s">
        <v>609</v>
      </c>
      <c r="D2" s="129"/>
      <c r="E2" s="129"/>
      <c r="F2" s="129"/>
      <c r="G2" s="130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5" t="s">
        <v>762</v>
      </c>
      <c r="C4" s="125"/>
      <c r="D4" s="125"/>
      <c r="E4" s="125"/>
      <c r="F4" s="125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7" t="s">
        <v>636</v>
      </c>
      <c r="D15" s="127"/>
      <c r="E15" s="127"/>
      <c r="F15" s="127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M21" sqref="M21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1" t="s">
        <v>762</v>
      </c>
      <c r="L2" s="131"/>
      <c r="M2" s="131"/>
      <c r="N2" s="131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1" t="s">
        <v>699</v>
      </c>
      <c r="L3" s="131"/>
      <c r="M3" s="131"/>
      <c r="N3" s="131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1" t="s">
        <v>700</v>
      </c>
      <c r="L4" s="131"/>
      <c r="M4" s="131"/>
      <c r="N4" s="131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2">
        <v>45402</v>
      </c>
      <c r="L5" s="132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708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>T12*N12</f>
        <v>0</v>
      </c>
      <c r="P12" s="47" t="s">
        <v>701</v>
      </c>
      <c r="Q12" s="47">
        <v>909</v>
      </c>
      <c r="R12" s="95">
        <f>IF(OR(P12="c",P12="C"),+T12,"")</f>
        <v>100</v>
      </c>
      <c r="S12" s="95" t="str">
        <f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709</v>
      </c>
      <c r="D13" s="5" t="s">
        <v>103</v>
      </c>
      <c r="E13" s="6" t="s">
        <v>710</v>
      </c>
      <c r="F13" s="48">
        <v>9169894301</v>
      </c>
      <c r="G13" s="109" t="s">
        <v>711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701</v>
      </c>
      <c r="Q13" s="47">
        <v>909</v>
      </c>
      <c r="R13" s="95">
        <f>IF(OR(P13="c",P13="C"),+T13,"")</f>
        <v>100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36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>T14*N14</f>
        <v>80</v>
      </c>
      <c r="P14" s="47" t="s">
        <v>712</v>
      </c>
      <c r="Q14" s="47"/>
      <c r="R14" s="95" t="str">
        <f>IF(OR(P14="c",P14="C"),+T14,"")</f>
        <v/>
      </c>
      <c r="S14" s="95">
        <f>IF(OR(P14="$",N14=1),+T14,"")</f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713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>T15*N15</f>
        <v>0</v>
      </c>
      <c r="P15" s="47" t="s">
        <v>701</v>
      </c>
      <c r="Q15" s="47">
        <v>1015</v>
      </c>
      <c r="R15" s="95">
        <f>IF(OR(P15="c",P15="C"),+T15,"")</f>
        <v>160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>T16*N16</f>
        <v>0</v>
      </c>
      <c r="P16" s="47" t="s">
        <v>701</v>
      </c>
      <c r="Q16" s="47">
        <v>3403</v>
      </c>
      <c r="R16" s="95">
        <f>IF(OR(P16="c",P16="C"),+T16,"")</f>
        <v>160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3">
        <v>5305666454</v>
      </c>
      <c r="G17" s="111" t="s">
        <v>714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>T17*N17</f>
        <v>0</v>
      </c>
      <c r="P17" s="47" t="s">
        <v>701</v>
      </c>
      <c r="Q17" s="112" t="s">
        <v>715</v>
      </c>
      <c r="R17" s="95">
        <f>IF(OR(P17="c",P17="C"),+T17,"")</f>
        <v>80</v>
      </c>
      <c r="S17" s="95" t="str">
        <f>IF(OR(P17="$",N17=1),+T17,"")</f>
        <v/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716</v>
      </c>
      <c r="D18" s="7" t="s">
        <v>67</v>
      </c>
      <c r="E18" s="8" t="s">
        <v>717</v>
      </c>
      <c r="F18" s="55">
        <v>7075994896</v>
      </c>
      <c r="G18" s="111" t="s">
        <v>718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712</v>
      </c>
      <c r="Q18" s="47"/>
      <c r="R18" s="95" t="str">
        <f>IF(OR(P18="c",P18="C"),+T18,"")</f>
        <v/>
      </c>
      <c r="S18" s="95">
        <v>110</v>
      </c>
      <c r="T18" s="96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4">
        <f>T19*N19</f>
        <v>0</v>
      </c>
      <c r="P19" s="47" t="s">
        <v>701</v>
      </c>
      <c r="Q19" s="47">
        <v>171</v>
      </c>
      <c r="R19" s="95">
        <f>IF(OR(P19="c",P19="C"),+T19,"")</f>
        <v>80</v>
      </c>
      <c r="S19" s="95" t="str">
        <f>IF(OR(P19="$",N19=1),+T19,"")</f>
        <v/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0">
        <v>7079744711</v>
      </c>
      <c r="G20" s="111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701</v>
      </c>
      <c r="Q20" s="47">
        <v>1075</v>
      </c>
      <c r="R20" s="95">
        <f>IF(OR(P20="c",P20="C"),+T20,"")</f>
        <v>70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721</v>
      </c>
      <c r="D21" s="15" t="s">
        <v>67</v>
      </c>
      <c r="E21" s="10" t="s">
        <v>722</v>
      </c>
      <c r="F21" s="110">
        <v>7075027980</v>
      </c>
      <c r="G21" s="111" t="s">
        <v>723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712</v>
      </c>
      <c r="Q21" s="47"/>
      <c r="R21" s="95" t="str">
        <f>IF(OR(P21="c",P21="C"),+T21,"")</f>
        <v/>
      </c>
      <c r="S21" s="95">
        <f>IF(OR(P21="$",N21=1),+T21,"")</f>
        <v>110</v>
      </c>
      <c r="T21" s="96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9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>T22*N22</f>
        <v>0</v>
      </c>
      <c r="P22" s="47" t="s">
        <v>712</v>
      </c>
      <c r="Q22" s="47"/>
      <c r="R22" s="95" t="str">
        <f>IF(OR(P22="c",P22="C"),+T22,"")</f>
        <v/>
      </c>
      <c r="S22" s="95">
        <f>IF(OR(P22="$",N22=1),+T22,"")</f>
        <v>100</v>
      </c>
      <c r="T22" s="96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0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>T23*N23</f>
        <v>0</v>
      </c>
      <c r="P23" s="47" t="s">
        <v>701</v>
      </c>
      <c r="Q23" s="47">
        <v>1299</v>
      </c>
      <c r="R23" s="95">
        <f>IF(OR(P23="c",P23="C"),+T23,"")</f>
        <v>110</v>
      </c>
      <c r="S23" s="95" t="str">
        <f>IF(OR(P23="$",N23=1),+T23,"")</f>
        <v/>
      </c>
      <c r="T23" s="96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0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701</v>
      </c>
      <c r="Q24" s="47">
        <v>1974</v>
      </c>
      <c r="R24" s="95">
        <f>IF(OR(P24="c",P24="C"),+T24,"")</f>
        <v>110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138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>T25*N25</f>
        <v>0</v>
      </c>
      <c r="P25" s="47" t="s">
        <v>701</v>
      </c>
      <c r="Q25" s="47">
        <v>2213</v>
      </c>
      <c r="R25" s="95">
        <f>IF(OR(P25="c",P25="C"),+T25,"")</f>
        <v>160</v>
      </c>
      <c r="S25" s="95" t="str">
        <f>IF(OR(P25="$",N25=1),+T25,"")</f>
        <v/>
      </c>
      <c r="T25" s="96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>T26*N26</f>
        <v>0</v>
      </c>
      <c r="P26" s="47" t="s">
        <v>701</v>
      </c>
      <c r="Q26" s="47">
        <v>4008</v>
      </c>
      <c r="R26" s="95">
        <f>IF(OR(P26="c",P26="C"),+T26,"")</f>
        <v>160</v>
      </c>
      <c r="S26" s="95" t="str">
        <f>IF(OR(P26="$",N26=1),+T26,"")</f>
        <v/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9" t="s">
        <v>491</v>
      </c>
      <c r="H27" s="49"/>
      <c r="I27" s="47"/>
      <c r="J27" s="47"/>
      <c r="K27" s="47"/>
      <c r="L27" s="47"/>
      <c r="M27" s="47"/>
      <c r="N27" s="47"/>
      <c r="O27" s="94">
        <f>T27*N27</f>
        <v>0</v>
      </c>
      <c r="P27" s="47" t="s">
        <v>701</v>
      </c>
      <c r="Q27" s="47">
        <v>1795</v>
      </c>
      <c r="R27" s="95">
        <f>IF(OR(P27="c",P27="C"),+T27,"")</f>
        <v>70</v>
      </c>
      <c r="S27" s="95" t="str">
        <f>IF(OR(P27="$",N27=1),+T27,"")</f>
        <v/>
      </c>
      <c r="T27" s="96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724</v>
      </c>
      <c r="D28" s="5" t="s">
        <v>185</v>
      </c>
      <c r="E28" s="6" t="s">
        <v>725</v>
      </c>
      <c r="F28" s="59">
        <v>9258406622</v>
      </c>
      <c r="G28" s="109" t="s">
        <v>726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701</v>
      </c>
      <c r="Q28" s="47">
        <v>1208</v>
      </c>
      <c r="R28" s="95">
        <f>IF(OR(P28="c",P28="C"),+T28,"")</f>
        <v>80</v>
      </c>
      <c r="S28" s="95" t="str">
        <f>IF(OR(P28="$",N28=1),+T28,"")</f>
        <v/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0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712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>T30*N30</f>
        <v>0</v>
      </c>
      <c r="P30" s="47" t="s">
        <v>712</v>
      </c>
      <c r="Q30" s="47"/>
      <c r="R30" s="95" t="str">
        <f>IF(OR(P30="c",P30="C"),+T30,"")</f>
        <v/>
      </c>
      <c r="S30" s="95">
        <f>IF(OR(P30="$",N30=1),+T30,"")</f>
        <v>160</v>
      </c>
      <c r="T30" s="96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0">
        <v>5103043540</v>
      </c>
      <c r="G31" s="111" t="s">
        <v>727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>T31*N31</f>
        <v>80</v>
      </c>
      <c r="P31" s="47" t="s">
        <v>712</v>
      </c>
      <c r="Q31" s="47"/>
      <c r="R31" s="95" t="str">
        <f>IF(OR(P31="c",P31="C"),+T31,"")</f>
        <v/>
      </c>
      <c r="S31" s="95">
        <f>IF(OR(P31="$",N31=1),+T31,"")</f>
        <v>80</v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728</v>
      </c>
      <c r="D32" s="15" t="s">
        <v>729</v>
      </c>
      <c r="E32" s="10" t="s">
        <v>730</v>
      </c>
      <c r="F32" s="110">
        <v>5309277047</v>
      </c>
      <c r="G32" s="139" t="s">
        <v>731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701</v>
      </c>
      <c r="Q32" s="47">
        <v>6681</v>
      </c>
      <c r="R32" s="95">
        <v>160</v>
      </c>
      <c r="S32" s="95"/>
      <c r="T32" s="96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732</v>
      </c>
      <c r="D33" s="15" t="s">
        <v>729</v>
      </c>
      <c r="E33" s="10" t="s">
        <v>733</v>
      </c>
      <c r="F33" s="110">
        <v>5309277048</v>
      </c>
      <c r="G33" s="111" t="s">
        <v>734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701</v>
      </c>
      <c r="Q33" s="47">
        <v>6681</v>
      </c>
      <c r="R33" s="95">
        <v>160</v>
      </c>
      <c r="S33" s="95"/>
      <c r="T33" s="96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0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701</v>
      </c>
      <c r="Q34" s="47">
        <v>8899</v>
      </c>
      <c r="R34" s="95">
        <f>IF(OR(P34="c",P34="C"),+T34,"")</f>
        <v>110</v>
      </c>
      <c r="S34" s="95" t="str">
        <f>IF(OR(P34="$",N34=1),+T34,"")</f>
        <v/>
      </c>
      <c r="T34" s="96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701</v>
      </c>
      <c r="Q35" s="47">
        <v>2548</v>
      </c>
      <c r="R35" s="95">
        <f>IF(OR(P35="c",P35="C"),+T35,"")</f>
        <v>80</v>
      </c>
      <c r="S35" s="95" t="str">
        <f>IF(OR(P35="$",N35=1),+T35,"")</f>
        <v/>
      </c>
      <c r="T35" s="96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701</v>
      </c>
      <c r="Q36" s="47">
        <v>7240</v>
      </c>
      <c r="R36" s="95">
        <f>IF(OR(P36="c",P36="C"),+T36,"")</f>
        <v>110</v>
      </c>
      <c r="S36" s="95" t="str">
        <f>IF(OR(P36="$",N36=1),+T36,"")</f>
        <v/>
      </c>
      <c r="T36" s="96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9" t="s">
        <v>735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701</v>
      </c>
      <c r="Q37" s="47">
        <v>170</v>
      </c>
      <c r="R37" s="95">
        <f>IF(OR(P37="c",P37="C"),+T37,"")</f>
        <v>80</v>
      </c>
      <c r="S37" s="95" t="str">
        <f>IF(OR(P37="$",N37=1),+T37,"")</f>
        <v/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3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712</v>
      </c>
      <c r="Q38" s="47"/>
      <c r="R38" s="95" t="str">
        <f>IF(OR(P38="c",P38="C"),+T38,"")</f>
        <v/>
      </c>
      <c r="S38" s="95">
        <f>IF(OR(P38="$",N38=1),+T38,"")</f>
        <v>80</v>
      </c>
      <c r="T38" s="96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9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701</v>
      </c>
      <c r="Q39" s="47">
        <v>5206</v>
      </c>
      <c r="R39" s="95">
        <f>IF(OR(P39="c",P39="C"),+T39,"")</f>
        <v>160</v>
      </c>
      <c r="S39" s="95" t="str">
        <f>IF(OR(P39="$",N39=1),+T39,"")</f>
        <v/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>T40*N40</f>
        <v>0</v>
      </c>
      <c r="P40" s="47" t="s">
        <v>701</v>
      </c>
      <c r="Q40" s="47">
        <v>4900</v>
      </c>
      <c r="R40" s="95">
        <f>IF(OR(P40="c",P40="C"),+T40,"")</f>
        <v>80</v>
      </c>
      <c r="S40" s="95" t="str">
        <f>IF(OR(P40="$",N40=1),+T40,"")</f>
        <v/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>T41*N41</f>
        <v>0</v>
      </c>
      <c r="P41" s="47" t="s">
        <v>712</v>
      </c>
      <c r="Q41" s="47"/>
      <c r="R41" s="95" t="str">
        <f>IF(OR(P41="c",P41="C"),+T41,"")</f>
        <v/>
      </c>
      <c r="S41" s="95">
        <f>IF(OR(P41="$",N41=1),+T41,"")</f>
        <v>80</v>
      </c>
      <c r="T41" s="96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3">
        <v>8315959920</v>
      </c>
      <c r="G42" s="111" t="s">
        <v>737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701</v>
      </c>
      <c r="Q42" s="47">
        <v>16285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3">
        <v>5104930824</v>
      </c>
      <c r="G43" s="111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>T43*N43</f>
        <v>80</v>
      </c>
      <c r="P43" s="47" t="s">
        <v>712</v>
      </c>
      <c r="Q43" s="47"/>
      <c r="R43" s="95" t="str">
        <f>IF(OR(P43="c",P43="C"),+T43,"")</f>
        <v/>
      </c>
      <c r="S43" s="95">
        <f>IF(OR(P43="$",N43=1),+T43,"")</f>
        <v>80</v>
      </c>
      <c r="T43" s="96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>T44*N44</f>
        <v>0</v>
      </c>
      <c r="P44" s="47" t="s">
        <v>701</v>
      </c>
      <c r="Q44" s="47">
        <v>5878</v>
      </c>
      <c r="R44" s="95">
        <f>IF(OR(P44="c",P44="C"),+T44,"")</f>
        <v>160</v>
      </c>
      <c r="S44" s="95" t="str">
        <f>IF(OR(P44="$",N44=1),+T44,"")</f>
        <v/>
      </c>
      <c r="T44" s="96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738</v>
      </c>
      <c r="D45" s="5" t="s">
        <v>45</v>
      </c>
      <c r="E45" s="6" t="s">
        <v>739</v>
      </c>
      <c r="F45" s="113">
        <v>7072279891</v>
      </c>
      <c r="G45" s="109" t="s">
        <v>740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>T45*N45</f>
        <v>0</v>
      </c>
      <c r="P45" s="47" t="s">
        <v>712</v>
      </c>
      <c r="Q45" s="47"/>
      <c r="R45" s="95" t="str">
        <f>IF(OR(P45="c",P45="C"),+T45,"")</f>
        <v/>
      </c>
      <c r="S45" s="95">
        <f>IF(OR(P45="$",N45=1),+T45,"")</f>
        <v>160</v>
      </c>
      <c r="T45" s="96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3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712</v>
      </c>
      <c r="Q46" s="47"/>
      <c r="R46" s="95" t="str">
        <f>IF(OR(P46="c",P46="C"),+T46,"")</f>
        <v/>
      </c>
      <c r="S46" s="95">
        <f>IF(OR(P46="$",N46=1),+T46,"")</f>
        <v>110</v>
      </c>
      <c r="T46" s="96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701</v>
      </c>
      <c r="Q47" s="47">
        <v>2491</v>
      </c>
      <c r="R47" s="95">
        <f>IF(OR(P47="c",P47="C"),+T47,"")</f>
        <v>160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741</v>
      </c>
      <c r="D48" s="7"/>
      <c r="E48" s="8" t="s">
        <v>742</v>
      </c>
      <c r="F48" s="55"/>
      <c r="G48" s="109" t="s">
        <v>743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712</v>
      </c>
      <c r="Q48" s="47"/>
      <c r="R48" s="95" t="str">
        <f>IF(OR(P48="c",P48="C"),+T48,"")</f>
        <v/>
      </c>
      <c r="S48" s="95">
        <f>IF(OR(P48="$",N48=1),+T48,"")</f>
        <v>90</v>
      </c>
      <c r="T48" s="96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744</v>
      </c>
      <c r="D49" s="15" t="s">
        <v>232</v>
      </c>
      <c r="E49" s="10" t="s">
        <v>745</v>
      </c>
      <c r="F49" s="113">
        <v>9254081849</v>
      </c>
      <c r="G49" s="111" t="s">
        <v>746</v>
      </c>
      <c r="H49" s="49">
        <v>1</v>
      </c>
      <c r="I49" s="47"/>
      <c r="J49" s="47"/>
      <c r="K49" s="47"/>
      <c r="L49" s="47"/>
      <c r="M49" s="47"/>
      <c r="N49" s="47"/>
      <c r="O49" s="94">
        <f>T49*N49</f>
        <v>0</v>
      </c>
      <c r="P49" s="47" t="s">
        <v>701</v>
      </c>
      <c r="Q49" s="47">
        <v>776</v>
      </c>
      <c r="R49" s="95">
        <f>IF(OR(P49="c",P49="C"),+T49,"")</f>
        <v>80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>T50*N50</f>
        <v>0</v>
      </c>
      <c r="P50" s="47" t="s">
        <v>701</v>
      </c>
      <c r="Q50" s="47">
        <v>16285</v>
      </c>
      <c r="R50" s="95">
        <f>IF(OR(P50="c",P50="C"),+T50,"")</f>
        <v>110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138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>T51*N51</f>
        <v>0</v>
      </c>
      <c r="P51" s="47" t="s">
        <v>701</v>
      </c>
      <c r="Q51" s="47">
        <v>5196</v>
      </c>
      <c r="R51" s="95">
        <f>IF(OR(P51="c",P51="C"),+T51,"")</f>
        <v>110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>T52*N52</f>
        <v>0</v>
      </c>
      <c r="P52" s="47" t="s">
        <v>701</v>
      </c>
      <c r="Q52" s="47">
        <v>7346</v>
      </c>
      <c r="R52" s="95">
        <f>IF(OR(P52="c",P52="C"),+T52,"")</f>
        <v>110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110</v>
      </c>
      <c r="U52" s="51"/>
    </row>
    <row r="53" spans="1:21" ht="15.75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3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>T53*N53</f>
        <v>100</v>
      </c>
      <c r="P53" s="47" t="s">
        <v>712</v>
      </c>
      <c r="Q53" s="47"/>
      <c r="R53" s="95" t="str">
        <f>IF(OR(P53="c",P53="C"),+T53,"")</f>
        <v/>
      </c>
      <c r="S53" s="95">
        <f>IF(OR(P53="$",N53=1),+T53,"")</f>
        <v>100</v>
      </c>
      <c r="T53" s="96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9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>T54*N54</f>
        <v>0</v>
      </c>
      <c r="P54" s="47" t="s">
        <v>701</v>
      </c>
      <c r="Q54" s="47">
        <v>4939</v>
      </c>
      <c r="R54" s="95">
        <f>IF(OR(P54="c",P54="C"),+T54,"")</f>
        <v>160</v>
      </c>
      <c r="S54" s="95" t="str">
        <f>IF(OR(P54="$",N54=1),+T54,"")</f>
        <v/>
      </c>
      <c r="T54" s="96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3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>T55*N55</f>
        <v>0</v>
      </c>
      <c r="P55" s="47" t="s">
        <v>701</v>
      </c>
      <c r="Q55" s="47">
        <v>141</v>
      </c>
      <c r="R55" s="95">
        <f>IF(OR(P55="c",P55="C"),+T55,"")</f>
        <v>160</v>
      </c>
      <c r="S55" s="95" t="str">
        <f>IF(OR(P55="$",N55=1),+T55,"")</f>
        <v/>
      </c>
      <c r="T55" s="96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747</v>
      </c>
      <c r="D56" s="5" t="s">
        <v>211</v>
      </c>
      <c r="E56" s="6" t="s">
        <v>748</v>
      </c>
      <c r="F56" s="113">
        <v>4086670073</v>
      </c>
      <c r="G56" s="111" t="s">
        <v>749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701</v>
      </c>
      <c r="Q56" s="47">
        <v>1034</v>
      </c>
      <c r="R56" s="95">
        <f>IF(OR(P56="c",P56="C"),+T56,"")</f>
        <v>70</v>
      </c>
      <c r="S56" s="95" t="str">
        <f>IF(OR(P56="$",N56=1),+T56,"")</f>
        <v/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750</v>
      </c>
      <c r="D57" s="7" t="s">
        <v>45</v>
      </c>
      <c r="E57" s="8" t="s">
        <v>751</v>
      </c>
      <c r="F57" s="58">
        <v>7072944291</v>
      </c>
      <c r="G57" s="109" t="s">
        <v>752</v>
      </c>
      <c r="H57" s="49">
        <v>1</v>
      </c>
      <c r="I57" s="47"/>
      <c r="J57" s="47"/>
      <c r="K57" s="47"/>
      <c r="L57" s="47"/>
      <c r="M57" s="47"/>
      <c r="N57" s="47"/>
      <c r="O57" s="94">
        <f>T57*N57</f>
        <v>0</v>
      </c>
      <c r="P57" s="47" t="s">
        <v>701</v>
      </c>
      <c r="Q57" s="47">
        <v>1376</v>
      </c>
      <c r="R57" s="95">
        <f>IF(OR(P57="c",P57="C"),+T57,"")</f>
        <v>80</v>
      </c>
      <c r="S57" s="95" t="str">
        <f>IF(OR(P57="$",N57=1),+T57,"")</f>
        <v/>
      </c>
      <c r="T57" s="96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135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>T58*N58</f>
        <v>0</v>
      </c>
      <c r="P58" s="47" t="s">
        <v>701</v>
      </c>
      <c r="Q58" s="47">
        <v>1508</v>
      </c>
      <c r="R58" s="95">
        <f>IF(OR(P58="c",P58="C"),+T58,"")</f>
        <v>160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>T59*N59</f>
        <v>0</v>
      </c>
      <c r="P59" s="47" t="s">
        <v>701</v>
      </c>
      <c r="Q59" s="47">
        <v>1508</v>
      </c>
      <c r="R59" s="95">
        <v>160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160</v>
      </c>
      <c r="U59" s="51"/>
    </row>
    <row r="60" spans="1:21" x14ac:dyDescent="0.25">
      <c r="A60" s="46">
        <f t="shared" si="1"/>
        <v>49</v>
      </c>
      <c r="B60" s="47">
        <v>1</v>
      </c>
      <c r="C60" s="14" t="s">
        <v>753</v>
      </c>
      <c r="D60" s="14" t="s">
        <v>754</v>
      </c>
      <c r="E60" s="6" t="s">
        <v>755</v>
      </c>
      <c r="F60" s="48">
        <v>7752876408</v>
      </c>
      <c r="G60" s="109" t="s">
        <v>756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712</v>
      </c>
      <c r="Q60" s="47"/>
      <c r="R60" s="95" t="str">
        <f>IF(OR(P60="c",P60="C"),+T60,"")</f>
        <v/>
      </c>
      <c r="S60" s="95">
        <f>IF(OR(P60="$",N60=1),+T60,"")</f>
        <v>80</v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135">
        <v>7076641532</v>
      </c>
      <c r="G61" s="109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>T61*N61</f>
        <v>0</v>
      </c>
      <c r="P61" s="47" t="s">
        <v>701</v>
      </c>
      <c r="Q61" s="47">
        <v>204</v>
      </c>
      <c r="R61" s="95">
        <f>IF(OR(P61="c",P61="C"),+T61,"")</f>
        <v>100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36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>T62*N62</f>
        <v>0</v>
      </c>
      <c r="P62" s="47" t="s">
        <v>712</v>
      </c>
      <c r="Q62" s="47"/>
      <c r="R62" s="95" t="str">
        <f>IF(OR(P62="c",P62="C"),+T62,"")</f>
        <v/>
      </c>
      <c r="S62" s="95">
        <f>IF(OR(P62="$",N62=1),+T62,"")</f>
        <v>110</v>
      </c>
      <c r="T62" s="96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757</v>
      </c>
      <c r="D63" s="5" t="s">
        <v>45</v>
      </c>
      <c r="E63" s="6" t="s">
        <v>758</v>
      </c>
      <c r="F63" s="113">
        <v>7074804517</v>
      </c>
      <c r="G63" s="109" t="s">
        <v>759</v>
      </c>
      <c r="H63" s="49"/>
      <c r="I63" s="47"/>
      <c r="J63" s="47"/>
      <c r="K63" s="47"/>
      <c r="L63" s="47"/>
      <c r="M63" s="47"/>
      <c r="N63" s="47"/>
      <c r="O63" s="94">
        <f>T63*N63</f>
        <v>0</v>
      </c>
      <c r="P63" s="47" t="s">
        <v>712</v>
      </c>
      <c r="Q63" s="47"/>
      <c r="R63" s="95" t="str">
        <f>IF(OR(P63="c",P63="C"),+T63,"")</f>
        <v/>
      </c>
      <c r="S63" s="95">
        <f>IF(OR(P63="$",N63=1),+T63,"")</f>
        <v>70</v>
      </c>
      <c r="T63" s="96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9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701</v>
      </c>
      <c r="Q64" s="47">
        <v>8223</v>
      </c>
      <c r="R64" s="95">
        <f>IF(OR(P64="c",P64="C"),+T64,"")</f>
        <v>100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>T65*N65</f>
        <v>0</v>
      </c>
      <c r="P65" s="47" t="s">
        <v>701</v>
      </c>
      <c r="Q65" s="47">
        <v>677</v>
      </c>
      <c r="R65" s="95">
        <f>IF(OR(P65="c",P65="C"),+T65,"")</f>
        <v>110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134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>T66*N66</f>
        <v>0</v>
      </c>
      <c r="P66" s="47" t="s">
        <v>701</v>
      </c>
      <c r="Q66" s="47">
        <v>677</v>
      </c>
      <c r="R66" s="95">
        <f>IF(OR(P66="c",P66="C"),+T66,"")</f>
        <v>80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>T67*N67</f>
        <v>0</v>
      </c>
      <c r="P67" s="47" t="s">
        <v>701</v>
      </c>
      <c r="Q67" s="47">
        <v>2480</v>
      </c>
      <c r="R67" s="95">
        <f>IF(OR(P67="c",P67="C"),+T67,"")</f>
        <v>80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9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>T68*N68</f>
        <v>70</v>
      </c>
      <c r="P68" s="47" t="s">
        <v>712</v>
      </c>
      <c r="Q68" s="47"/>
      <c r="R68" s="95" t="str">
        <f>IF(OR(P68="c",P68="C"),+T68,"")</f>
        <v/>
      </c>
      <c r="S68" s="95">
        <f>IF(OR(P68="$",N68=1),+T68,"")</f>
        <v>70</v>
      </c>
      <c r="T68" s="96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760</v>
      </c>
      <c r="D69" s="7" t="s">
        <v>409</v>
      </c>
      <c r="E69" s="8" t="s">
        <v>761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>T69*N69</f>
        <v>70</v>
      </c>
      <c r="P69" s="47" t="s">
        <v>712</v>
      </c>
      <c r="Q69" s="47"/>
      <c r="R69" s="95" t="str">
        <f>IF(OR(P69="c",P69="C"),+T69,"")</f>
        <v/>
      </c>
      <c r="S69" s="95">
        <f>IF(OR(P69="$",N69=1),+T69,"")</f>
        <v>70</v>
      </c>
      <c r="T69" s="96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9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>T70*N70</f>
        <v>0</v>
      </c>
      <c r="P70" s="47" t="s">
        <v>701</v>
      </c>
      <c r="Q70" s="47">
        <v>3948</v>
      </c>
      <c r="R70" s="95">
        <f>IF(OR(P70="c",P70="C"),+T70,"")</f>
        <v>100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3">
        <v>5103661378</v>
      </c>
      <c r="G71" s="109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>T71*N71</f>
        <v>0</v>
      </c>
      <c r="P71" s="47" t="s">
        <v>701</v>
      </c>
      <c r="Q71" s="47">
        <v>317</v>
      </c>
      <c r="R71" s="95">
        <f>IF(OR(P71="c",P71="C"),+T71,"")</f>
        <v>90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701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9" t="s">
        <v>448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701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701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701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2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9" t="s">
        <v>451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701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2"/>
        <v>66</v>
      </c>
      <c r="B77" s="47"/>
      <c r="C77" s="15" t="s">
        <v>697</v>
      </c>
      <c r="D77" s="103"/>
      <c r="E77" s="30" t="s">
        <v>698</v>
      </c>
      <c r="F77" s="137"/>
      <c r="G77" s="103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701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2"/>
        <v>67</v>
      </c>
      <c r="B78" s="47"/>
      <c r="C78" s="15" t="s">
        <v>640</v>
      </c>
      <c r="D78" s="15" t="s">
        <v>641</v>
      </c>
      <c r="E78" s="10" t="s">
        <v>642</v>
      </c>
      <c r="F78" s="113"/>
      <c r="G78" s="15"/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701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9" t="s">
        <v>454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701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701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701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15" t="s">
        <v>645</v>
      </c>
      <c r="D82" s="15" t="s">
        <v>39</v>
      </c>
      <c r="E82" s="10" t="s">
        <v>646</v>
      </c>
      <c r="F82" s="113"/>
      <c r="G82" s="15"/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701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41</v>
      </c>
      <c r="D83" s="5" t="s">
        <v>42</v>
      </c>
      <c r="E83" s="6" t="s">
        <v>43</v>
      </c>
      <c r="F83" s="113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701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/>
      <c r="C84" s="7" t="s">
        <v>44</v>
      </c>
      <c r="D84" s="7" t="s">
        <v>45</v>
      </c>
      <c r="E84" s="8" t="s">
        <v>46</v>
      </c>
      <c r="F84" s="138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701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2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701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2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>T86*N86</f>
        <v>0</v>
      </c>
      <c r="P86" s="47" t="s">
        <v>701</v>
      </c>
      <c r="Q86" s="47"/>
      <c r="R86" s="95">
        <f>IF(OR(P86="c",P86="C"),+T86,"")</f>
        <v>0</v>
      </c>
      <c r="S86" s="95" t="str">
        <f>IF(OR(P86="$",N86=1),+T86,"")</f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2"/>
        <v>76</v>
      </c>
      <c r="B87" s="47"/>
      <c r="C87" s="5" t="s">
        <v>52</v>
      </c>
      <c r="D87" s="7" t="s">
        <v>45</v>
      </c>
      <c r="E87" s="6" t="s">
        <v>53</v>
      </c>
      <c r="F87" s="135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701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701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/>
      <c r="C89" s="5" t="s">
        <v>719</v>
      </c>
      <c r="D89" s="5" t="s">
        <v>235</v>
      </c>
      <c r="E89" s="6" t="s">
        <v>720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701</v>
      </c>
      <c r="Q89" s="47">
        <v>4818</v>
      </c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2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701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2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701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701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2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701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9" t="s">
        <v>467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701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2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701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2"/>
        <v>85</v>
      </c>
      <c r="B96" s="47"/>
      <c r="C96" s="7" t="s">
        <v>77</v>
      </c>
      <c r="D96" s="7" t="s">
        <v>78</v>
      </c>
      <c r="E96" s="9" t="s">
        <v>79</v>
      </c>
      <c r="F96" s="113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701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701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701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2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701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701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701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701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701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701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7" t="s">
        <v>110</v>
      </c>
      <c r="D105" s="7" t="s">
        <v>20</v>
      </c>
      <c r="E105" s="8" t="s">
        <v>111</v>
      </c>
      <c r="F105" s="113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701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701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701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701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2"/>
        <v>98</v>
      </c>
      <c r="B109" s="47"/>
      <c r="C109" s="5" t="s">
        <v>129</v>
      </c>
      <c r="D109" s="5" t="s">
        <v>130</v>
      </c>
      <c r="E109" s="6" t="s">
        <v>131</v>
      </c>
      <c r="F109" s="135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701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2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701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2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701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9" t="s">
        <v>495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701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2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9" t="s">
        <v>496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701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15" t="s">
        <v>654</v>
      </c>
      <c r="D114" s="15" t="s">
        <v>45</v>
      </c>
      <c r="E114" s="10" t="s">
        <v>655</v>
      </c>
      <c r="F114" s="113"/>
      <c r="G114" s="15"/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701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701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701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2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9" t="s">
        <v>500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701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15" t="s">
        <v>658</v>
      </c>
      <c r="D118" s="15" t="s">
        <v>191</v>
      </c>
      <c r="E118" s="10" t="s">
        <v>659</v>
      </c>
      <c r="F118" s="113"/>
      <c r="G118" s="109" t="s">
        <v>660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701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/>
      <c r="C119" s="15" t="s">
        <v>661</v>
      </c>
      <c r="D119" s="15" t="s">
        <v>33</v>
      </c>
      <c r="E119" s="10" t="s">
        <v>662</v>
      </c>
      <c r="F119" s="113"/>
      <c r="G119" s="109" t="s">
        <v>663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701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2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9" t="s">
        <v>501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701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155</v>
      </c>
      <c r="D121" s="5" t="s">
        <v>156</v>
      </c>
      <c r="E121" s="6" t="s">
        <v>157</v>
      </c>
      <c r="F121" s="135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701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163</v>
      </c>
      <c r="D122" s="13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701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/>
      <c r="C123" s="5" t="s">
        <v>166</v>
      </c>
      <c r="D123" s="13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701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2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701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701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701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701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2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701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2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701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5" t="s">
        <v>193</v>
      </c>
      <c r="D130" s="5" t="s">
        <v>194</v>
      </c>
      <c r="E130" s="6" t="s">
        <v>195</v>
      </c>
      <c r="F130" s="113" t="s">
        <v>736</v>
      </c>
      <c r="G130" s="109" t="s">
        <v>517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701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701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2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701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9" t="s">
        <v>521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701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2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701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701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/>
      <c r="C136" s="15" t="s">
        <v>664</v>
      </c>
      <c r="D136" s="15" t="s">
        <v>39</v>
      </c>
      <c r="E136" s="10" t="s">
        <v>665</v>
      </c>
      <c r="F136" s="113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701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2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701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>T138*N138</f>
        <v>0</v>
      </c>
      <c r="P138" s="47" t="s">
        <v>701</v>
      </c>
      <c r="Q138" s="47"/>
      <c r="R138" s="95">
        <f>IF(OR(P138="c",P138="C"),+T138,"")</f>
        <v>0</v>
      </c>
      <c r="S138" s="95" t="str">
        <f>IF(OR(P138="$",N138=1),+T138,"")</f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701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9" t="s">
        <v>525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701</v>
      </c>
      <c r="Q140" s="47">
        <v>1059</v>
      </c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701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3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701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701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701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701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701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701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/>
      <c r="C148" s="5" t="s">
        <v>254</v>
      </c>
      <c r="D148" s="5" t="s">
        <v>255</v>
      </c>
      <c r="E148" s="6" t="s">
        <v>256</v>
      </c>
      <c r="F148" s="136" t="s">
        <v>535</v>
      </c>
      <c r="G148" s="109" t="s">
        <v>536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701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3"/>
        <v>138</v>
      </c>
      <c r="B149" s="47"/>
      <c r="C149" s="5" t="s">
        <v>257</v>
      </c>
      <c r="D149" s="5" t="s">
        <v>255</v>
      </c>
      <c r="E149" s="6" t="s">
        <v>258</v>
      </c>
      <c r="F149" s="113" t="s">
        <v>535</v>
      </c>
      <c r="G149" s="109" t="s">
        <v>537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701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261</v>
      </c>
      <c r="D150" s="5" t="s">
        <v>262</v>
      </c>
      <c r="E150" s="6" t="s">
        <v>263</v>
      </c>
      <c r="F150" s="113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701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701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3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701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3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701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3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140" t="s">
        <v>546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701</v>
      </c>
      <c r="Q154" s="47"/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3"/>
        <v>144</v>
      </c>
      <c r="B155" s="47"/>
      <c r="C155" s="15" t="s">
        <v>674</v>
      </c>
      <c r="D155" s="15" t="s">
        <v>159</v>
      </c>
      <c r="E155" s="10" t="s">
        <v>675</v>
      </c>
      <c r="F155" s="113"/>
      <c r="G155" s="111" t="s">
        <v>676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701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701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701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3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701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701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15" t="s">
        <v>677</v>
      </c>
      <c r="D160" s="15" t="s">
        <v>678</v>
      </c>
      <c r="E160" s="10" t="s">
        <v>662</v>
      </c>
      <c r="F160" s="113"/>
      <c r="G160" s="109" t="s">
        <v>679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701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701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701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3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701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3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701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3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701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</row>
    <row r="166" spans="1:21" ht="15.75" x14ac:dyDescent="0.25">
      <c r="A166" s="46">
        <f t="shared" si="3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701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</row>
    <row r="167" spans="1:21" ht="15.75" x14ac:dyDescent="0.25">
      <c r="A167" s="46">
        <f t="shared" si="3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701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3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701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701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</row>
    <row r="170" spans="1:21" ht="15.75" x14ac:dyDescent="0.25">
      <c r="A170" s="46">
        <f t="shared" si="3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701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3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701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3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701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3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9" t="s">
        <v>568</v>
      </c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701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701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15" t="s">
        <v>682</v>
      </c>
      <c r="D175" s="15" t="s">
        <v>81</v>
      </c>
      <c r="E175" s="10" t="s">
        <v>683</v>
      </c>
      <c r="F175" s="113"/>
      <c r="G175" s="109" t="s">
        <v>684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701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3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701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3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9" t="s">
        <v>573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701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15" t="s">
        <v>685</v>
      </c>
      <c r="D178" s="15" t="s">
        <v>45</v>
      </c>
      <c r="E178" s="10" t="s">
        <v>686</v>
      </c>
      <c r="F178" s="113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701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3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701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3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9" t="s">
        <v>575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701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3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701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701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701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3"/>
        <v>173</v>
      </c>
      <c r="B184" s="47"/>
      <c r="C184" s="15" t="s">
        <v>687</v>
      </c>
      <c r="D184" s="15" t="s">
        <v>199</v>
      </c>
      <c r="E184" s="10" t="s">
        <v>662</v>
      </c>
      <c r="F184" s="113"/>
      <c r="G184" s="109" t="s">
        <v>688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701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3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701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701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701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701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383</v>
      </c>
      <c r="D189" s="5" t="s">
        <v>185</v>
      </c>
      <c r="E189" s="6" t="s">
        <v>384</v>
      </c>
      <c r="F189" s="113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701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701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701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3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701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701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3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701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701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701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3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701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9" t="s">
        <v>601</v>
      </c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701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701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5" t="s">
        <v>414</v>
      </c>
      <c r="D200" s="5" t="s">
        <v>412</v>
      </c>
      <c r="E200" s="6" t="s">
        <v>415</v>
      </c>
      <c r="F200" s="113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701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/>
      <c r="C201" s="15" t="s">
        <v>689</v>
      </c>
      <c r="D201" s="15" t="s">
        <v>690</v>
      </c>
      <c r="E201" s="10" t="s">
        <v>691</v>
      </c>
      <c r="F201" s="113"/>
      <c r="G201" s="15"/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701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4">T202*N202</f>
        <v>0</v>
      </c>
      <c r="P202" s="50"/>
      <c r="Q202" s="50"/>
      <c r="R202" s="95" t="str">
        <f t="shared" ref="R202:R203" si="5">IF(OR(P202="c",P202="C"),+T202,"")</f>
        <v/>
      </c>
      <c r="S202" s="95" t="str">
        <f t="shared" ref="S202:S203" si="6">IF(OR(P202="$",N202=1),+T202,"")</f>
        <v/>
      </c>
      <c r="T202" s="96">
        <f t="shared" ref="T202:T203" si="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4"/>
        <v>0</v>
      </c>
      <c r="P203" s="50"/>
      <c r="Q203" s="50"/>
      <c r="R203" s="95" t="str">
        <f t="shared" si="5"/>
        <v/>
      </c>
      <c r="S203" s="95" t="str">
        <f t="shared" si="6"/>
        <v/>
      </c>
      <c r="T203" s="96">
        <f t="shared" si="7"/>
        <v>0</v>
      </c>
      <c r="U203" s="51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9">T204*N204</f>
        <v>0</v>
      </c>
      <c r="P204" s="50"/>
      <c r="Q204" s="50"/>
      <c r="R204" s="95" t="str">
        <f t="shared" ref="R204:R267" si="10">IF(OR(P204="c",P204="C"),+T204,"")</f>
        <v/>
      </c>
      <c r="S204" s="95" t="str">
        <f t="shared" ref="S204:S267" si="11">IF(OR(P204="$",N204=1),+T204,"")</f>
        <v/>
      </c>
      <c r="T204" s="96">
        <f t="shared" ref="T204:T267" si="1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9"/>
        <v>0</v>
      </c>
      <c r="P205" s="50"/>
      <c r="Q205" s="50"/>
      <c r="R205" s="95" t="str">
        <f t="shared" si="10"/>
        <v/>
      </c>
      <c r="S205" s="95" t="str">
        <f t="shared" si="11"/>
        <v/>
      </c>
      <c r="T205" s="96">
        <f t="shared" si="12"/>
        <v>0</v>
      </c>
      <c r="U205" s="51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9"/>
        <v>0</v>
      </c>
      <c r="P206" s="50"/>
      <c r="Q206" s="50"/>
      <c r="R206" s="95" t="str">
        <f t="shared" si="10"/>
        <v/>
      </c>
      <c r="S206" s="95" t="str">
        <f t="shared" si="11"/>
        <v/>
      </c>
      <c r="T206" s="96">
        <f t="shared" si="12"/>
        <v>0</v>
      </c>
      <c r="U206" s="51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9"/>
        <v>0</v>
      </c>
      <c r="P207" s="50"/>
      <c r="Q207" s="50"/>
      <c r="R207" s="95" t="str">
        <f t="shared" si="10"/>
        <v/>
      </c>
      <c r="S207" s="95" t="str">
        <f t="shared" si="11"/>
        <v/>
      </c>
      <c r="T207" s="96">
        <f t="shared" si="12"/>
        <v>0</v>
      </c>
      <c r="U207" s="51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9"/>
        <v>0</v>
      </c>
      <c r="P208" s="50"/>
      <c r="Q208" s="50"/>
      <c r="R208" s="95" t="str">
        <f t="shared" si="10"/>
        <v/>
      </c>
      <c r="S208" s="95" t="str">
        <f t="shared" si="11"/>
        <v/>
      </c>
      <c r="T208" s="96">
        <f t="shared" si="12"/>
        <v>0</v>
      </c>
      <c r="U208" s="51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9"/>
        <v>0</v>
      </c>
      <c r="P209" s="50"/>
      <c r="Q209" s="50"/>
      <c r="R209" s="95" t="str">
        <f t="shared" si="10"/>
        <v/>
      </c>
      <c r="S209" s="95" t="str">
        <f t="shared" si="11"/>
        <v/>
      </c>
      <c r="T209" s="96">
        <f t="shared" si="12"/>
        <v>0</v>
      </c>
      <c r="U209" s="51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9"/>
        <v>0</v>
      </c>
      <c r="P210" s="50"/>
      <c r="Q210" s="50"/>
      <c r="R210" s="95" t="str">
        <f t="shared" si="10"/>
        <v/>
      </c>
      <c r="S210" s="95" t="str">
        <f t="shared" si="11"/>
        <v/>
      </c>
      <c r="T210" s="96">
        <f t="shared" si="12"/>
        <v>0</v>
      </c>
      <c r="U210" s="51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9"/>
        <v>0</v>
      </c>
      <c r="P211" s="50"/>
      <c r="Q211" s="50"/>
      <c r="R211" s="95" t="str">
        <f t="shared" si="10"/>
        <v/>
      </c>
      <c r="S211" s="95" t="str">
        <f t="shared" si="11"/>
        <v/>
      </c>
      <c r="T211" s="96">
        <f t="shared" si="12"/>
        <v>0</v>
      </c>
      <c r="U211" s="51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9"/>
        <v>0</v>
      </c>
      <c r="P212" s="50"/>
      <c r="Q212" s="50"/>
      <c r="R212" s="95" t="str">
        <f t="shared" si="10"/>
        <v/>
      </c>
      <c r="S212" s="95" t="str">
        <f t="shared" si="11"/>
        <v/>
      </c>
      <c r="T212" s="96">
        <f t="shared" si="12"/>
        <v>0</v>
      </c>
      <c r="U212" s="51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9"/>
        <v>0</v>
      </c>
      <c r="P213" s="50"/>
      <c r="Q213" s="50"/>
      <c r="R213" s="95" t="str">
        <f t="shared" si="10"/>
        <v/>
      </c>
      <c r="S213" s="95" t="str">
        <f t="shared" si="11"/>
        <v/>
      </c>
      <c r="T213" s="96">
        <f t="shared" si="12"/>
        <v>0</v>
      </c>
      <c r="U213" s="51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9"/>
        <v>0</v>
      </c>
      <c r="P214" s="50"/>
      <c r="Q214" s="50"/>
      <c r="R214" s="95" t="str">
        <f t="shared" si="10"/>
        <v/>
      </c>
      <c r="S214" s="95" t="str">
        <f t="shared" si="11"/>
        <v/>
      </c>
      <c r="T214" s="96">
        <f t="shared" si="12"/>
        <v>0</v>
      </c>
      <c r="U214" s="51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9"/>
        <v>0</v>
      </c>
      <c r="P215" s="50"/>
      <c r="Q215" s="50"/>
      <c r="R215" s="95" t="str">
        <f t="shared" si="10"/>
        <v/>
      </c>
      <c r="S215" s="95" t="str">
        <f t="shared" si="11"/>
        <v/>
      </c>
      <c r="T215" s="96">
        <f t="shared" si="12"/>
        <v>0</v>
      </c>
      <c r="U215" s="51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9"/>
        <v>0</v>
      </c>
      <c r="P216" s="50"/>
      <c r="Q216" s="50"/>
      <c r="R216" s="95" t="str">
        <f t="shared" si="10"/>
        <v/>
      </c>
      <c r="S216" s="95" t="str">
        <f t="shared" si="11"/>
        <v/>
      </c>
      <c r="T216" s="96">
        <f t="shared" si="12"/>
        <v>0</v>
      </c>
      <c r="U216" s="51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9"/>
        <v>0</v>
      </c>
      <c r="P217" s="50"/>
      <c r="Q217" s="50"/>
      <c r="R217" s="95" t="str">
        <f t="shared" si="10"/>
        <v/>
      </c>
      <c r="S217" s="95" t="str">
        <f t="shared" si="11"/>
        <v/>
      </c>
      <c r="T217" s="96">
        <f t="shared" si="12"/>
        <v>0</v>
      </c>
      <c r="U217" s="51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9"/>
        <v>0</v>
      </c>
      <c r="P218" s="50"/>
      <c r="Q218" s="50"/>
      <c r="R218" s="95" t="str">
        <f t="shared" si="10"/>
        <v/>
      </c>
      <c r="S218" s="95" t="str">
        <f t="shared" si="11"/>
        <v/>
      </c>
      <c r="T218" s="96">
        <f t="shared" si="12"/>
        <v>0</v>
      </c>
      <c r="U218" s="51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9"/>
        <v>0</v>
      </c>
      <c r="P219" s="50"/>
      <c r="Q219" s="50"/>
      <c r="R219" s="95" t="str">
        <f t="shared" si="10"/>
        <v/>
      </c>
      <c r="S219" s="95" t="str">
        <f t="shared" si="11"/>
        <v/>
      </c>
      <c r="T219" s="96">
        <f t="shared" si="12"/>
        <v>0</v>
      </c>
      <c r="U219" s="51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9"/>
        <v>0</v>
      </c>
      <c r="P220" s="50"/>
      <c r="Q220" s="50"/>
      <c r="R220" s="95" t="str">
        <f t="shared" si="10"/>
        <v/>
      </c>
      <c r="S220" s="95" t="str">
        <f t="shared" si="11"/>
        <v/>
      </c>
      <c r="T220" s="96">
        <f t="shared" si="12"/>
        <v>0</v>
      </c>
      <c r="U220" s="51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9"/>
        <v>0</v>
      </c>
      <c r="P221" s="50"/>
      <c r="Q221" s="50"/>
      <c r="R221" s="95" t="str">
        <f t="shared" si="10"/>
        <v/>
      </c>
      <c r="S221" s="95" t="str">
        <f t="shared" si="11"/>
        <v/>
      </c>
      <c r="T221" s="96">
        <f t="shared" si="12"/>
        <v>0</v>
      </c>
      <c r="U221" s="51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9"/>
        <v>0</v>
      </c>
      <c r="P222" s="50"/>
      <c r="Q222" s="50"/>
      <c r="R222" s="95" t="str">
        <f t="shared" si="10"/>
        <v/>
      </c>
      <c r="S222" s="95" t="str">
        <f t="shared" si="11"/>
        <v/>
      </c>
      <c r="T222" s="96">
        <f t="shared" si="12"/>
        <v>0</v>
      </c>
      <c r="U222" s="51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9"/>
        <v>0</v>
      </c>
      <c r="P223" s="50"/>
      <c r="Q223" s="50"/>
      <c r="R223" s="95" t="str">
        <f t="shared" si="10"/>
        <v/>
      </c>
      <c r="S223" s="95" t="str">
        <f t="shared" si="11"/>
        <v/>
      </c>
      <c r="T223" s="96">
        <f t="shared" si="12"/>
        <v>0</v>
      </c>
      <c r="U223" s="51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9"/>
        <v>0</v>
      </c>
      <c r="P224" s="50"/>
      <c r="Q224" s="50"/>
      <c r="R224" s="95" t="str">
        <f t="shared" si="10"/>
        <v/>
      </c>
      <c r="S224" s="95" t="str">
        <f t="shared" si="11"/>
        <v/>
      </c>
      <c r="T224" s="96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9"/>
        <v>0</v>
      </c>
      <c r="P225" s="50"/>
      <c r="Q225" s="50"/>
      <c r="R225" s="95" t="str">
        <f t="shared" si="10"/>
        <v/>
      </c>
      <c r="S225" s="95" t="str">
        <f t="shared" si="11"/>
        <v/>
      </c>
      <c r="T225" s="96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9"/>
        <v>0</v>
      </c>
      <c r="P226" s="50"/>
      <c r="Q226" s="50"/>
      <c r="R226" s="95" t="str">
        <f t="shared" si="10"/>
        <v/>
      </c>
      <c r="S226" s="95" t="str">
        <f t="shared" si="11"/>
        <v/>
      </c>
      <c r="T226" s="96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9"/>
        <v>0</v>
      </c>
      <c r="P227" s="50"/>
      <c r="Q227" s="50"/>
      <c r="R227" s="95" t="str">
        <f t="shared" si="10"/>
        <v/>
      </c>
      <c r="S227" s="95" t="str">
        <f t="shared" si="11"/>
        <v/>
      </c>
      <c r="T227" s="96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9"/>
        <v>0</v>
      </c>
      <c r="P228" s="50"/>
      <c r="Q228" s="50"/>
      <c r="R228" s="95" t="str">
        <f t="shared" si="10"/>
        <v/>
      </c>
      <c r="S228" s="95" t="str">
        <f t="shared" si="11"/>
        <v/>
      </c>
      <c r="T228" s="96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9"/>
        <v>0</v>
      </c>
      <c r="P229" s="50"/>
      <c r="Q229" s="50"/>
      <c r="R229" s="95" t="str">
        <f t="shared" si="10"/>
        <v/>
      </c>
      <c r="S229" s="95" t="str">
        <f t="shared" si="11"/>
        <v/>
      </c>
      <c r="T229" s="96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9"/>
        <v>0</v>
      </c>
      <c r="P230" s="50"/>
      <c r="Q230" s="50"/>
      <c r="R230" s="95" t="str">
        <f t="shared" si="10"/>
        <v/>
      </c>
      <c r="S230" s="95" t="str">
        <f t="shared" si="11"/>
        <v/>
      </c>
      <c r="T230" s="96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9"/>
        <v>0</v>
      </c>
      <c r="P231" s="50"/>
      <c r="Q231" s="50"/>
      <c r="R231" s="95" t="str">
        <f t="shared" si="10"/>
        <v/>
      </c>
      <c r="S231" s="95" t="str">
        <f t="shared" si="11"/>
        <v/>
      </c>
      <c r="T231" s="96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9"/>
        <v>0</v>
      </c>
      <c r="P232" s="50"/>
      <c r="Q232" s="50"/>
      <c r="R232" s="95" t="str">
        <f t="shared" si="10"/>
        <v/>
      </c>
      <c r="S232" s="95" t="str">
        <f t="shared" si="11"/>
        <v/>
      </c>
      <c r="T232" s="96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9"/>
        <v>0</v>
      </c>
      <c r="P233" s="50"/>
      <c r="Q233" s="50"/>
      <c r="R233" s="95" t="str">
        <f t="shared" si="10"/>
        <v/>
      </c>
      <c r="S233" s="95" t="str">
        <f t="shared" si="11"/>
        <v/>
      </c>
      <c r="T233" s="96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9"/>
        <v>0</v>
      </c>
      <c r="P234" s="50"/>
      <c r="Q234" s="50"/>
      <c r="R234" s="95" t="str">
        <f t="shared" si="10"/>
        <v/>
      </c>
      <c r="S234" s="95" t="str">
        <f t="shared" si="11"/>
        <v/>
      </c>
      <c r="T234" s="96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9"/>
        <v>0</v>
      </c>
      <c r="P235" s="50"/>
      <c r="Q235" s="50"/>
      <c r="R235" s="95" t="str">
        <f t="shared" si="10"/>
        <v/>
      </c>
      <c r="S235" s="95" t="str">
        <f t="shared" si="11"/>
        <v/>
      </c>
      <c r="T235" s="96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9"/>
        <v>0</v>
      </c>
      <c r="P236" s="50"/>
      <c r="Q236" s="50"/>
      <c r="R236" s="95" t="str">
        <f t="shared" si="10"/>
        <v/>
      </c>
      <c r="S236" s="95" t="str">
        <f t="shared" si="11"/>
        <v/>
      </c>
      <c r="T236" s="96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9"/>
        <v>0</v>
      </c>
      <c r="P237" s="50"/>
      <c r="Q237" s="50"/>
      <c r="R237" s="95" t="str">
        <f t="shared" si="10"/>
        <v/>
      </c>
      <c r="S237" s="95" t="str">
        <f t="shared" si="11"/>
        <v/>
      </c>
      <c r="T237" s="96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9"/>
        <v>0</v>
      </c>
      <c r="P238" s="50"/>
      <c r="Q238" s="50"/>
      <c r="R238" s="95" t="str">
        <f t="shared" si="10"/>
        <v/>
      </c>
      <c r="S238" s="95" t="str">
        <f t="shared" si="11"/>
        <v/>
      </c>
      <c r="T238" s="96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9"/>
        <v>0</v>
      </c>
      <c r="P239" s="50"/>
      <c r="Q239" s="50"/>
      <c r="R239" s="95" t="str">
        <f t="shared" si="10"/>
        <v/>
      </c>
      <c r="S239" s="95" t="str">
        <f t="shared" si="11"/>
        <v/>
      </c>
      <c r="T239" s="96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9"/>
        <v>0</v>
      </c>
      <c r="P240" s="50"/>
      <c r="Q240" s="50"/>
      <c r="R240" s="95" t="str">
        <f t="shared" si="10"/>
        <v/>
      </c>
      <c r="S240" s="95" t="str">
        <f t="shared" si="11"/>
        <v/>
      </c>
      <c r="T240" s="96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9"/>
        <v>0</v>
      </c>
      <c r="P241" s="50"/>
      <c r="Q241" s="50"/>
      <c r="R241" s="95" t="str">
        <f t="shared" si="10"/>
        <v/>
      </c>
      <c r="S241" s="95" t="str">
        <f t="shared" si="11"/>
        <v/>
      </c>
      <c r="T241" s="96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9"/>
        <v>0</v>
      </c>
      <c r="P242" s="50"/>
      <c r="Q242" s="50"/>
      <c r="R242" s="95" t="str">
        <f t="shared" si="10"/>
        <v/>
      </c>
      <c r="S242" s="95" t="str">
        <f t="shared" si="11"/>
        <v/>
      </c>
      <c r="T242" s="96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9"/>
        <v>0</v>
      </c>
      <c r="P243" s="50"/>
      <c r="Q243" s="50"/>
      <c r="R243" s="95" t="str">
        <f t="shared" si="10"/>
        <v/>
      </c>
      <c r="S243" s="95" t="str">
        <f t="shared" si="11"/>
        <v/>
      </c>
      <c r="T243" s="96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9"/>
        <v>0</v>
      </c>
      <c r="P244" s="50"/>
      <c r="Q244" s="50"/>
      <c r="R244" s="95" t="str">
        <f t="shared" si="10"/>
        <v/>
      </c>
      <c r="S244" s="95" t="str">
        <f t="shared" si="11"/>
        <v/>
      </c>
      <c r="T244" s="96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9"/>
        <v>0</v>
      </c>
      <c r="P245" s="50"/>
      <c r="Q245" s="50"/>
      <c r="R245" s="95" t="str">
        <f t="shared" si="10"/>
        <v/>
      </c>
      <c r="S245" s="95" t="str">
        <f t="shared" si="11"/>
        <v/>
      </c>
      <c r="T245" s="96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9"/>
        <v>0</v>
      </c>
      <c r="P246" s="50"/>
      <c r="Q246" s="50"/>
      <c r="R246" s="95" t="str">
        <f t="shared" si="10"/>
        <v/>
      </c>
      <c r="S246" s="95" t="str">
        <f t="shared" si="11"/>
        <v/>
      </c>
      <c r="T246" s="96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9"/>
        <v>0</v>
      </c>
      <c r="P247" s="50"/>
      <c r="Q247" s="50"/>
      <c r="R247" s="95" t="str">
        <f t="shared" si="10"/>
        <v/>
      </c>
      <c r="S247" s="95" t="str">
        <f t="shared" si="11"/>
        <v/>
      </c>
      <c r="T247" s="96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9"/>
        <v>0</v>
      </c>
      <c r="P248" s="50"/>
      <c r="Q248" s="50"/>
      <c r="R248" s="95" t="str">
        <f t="shared" si="10"/>
        <v/>
      </c>
      <c r="S248" s="95" t="str">
        <f t="shared" si="11"/>
        <v/>
      </c>
      <c r="T248" s="96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9"/>
        <v>0</v>
      </c>
      <c r="P249" s="50"/>
      <c r="Q249" s="50"/>
      <c r="R249" s="95" t="str">
        <f t="shared" si="10"/>
        <v/>
      </c>
      <c r="S249" s="95" t="str">
        <f t="shared" si="11"/>
        <v/>
      </c>
      <c r="T249" s="96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9"/>
        <v>0</v>
      </c>
      <c r="P250" s="50"/>
      <c r="Q250" s="50"/>
      <c r="R250" s="95" t="str">
        <f t="shared" si="10"/>
        <v/>
      </c>
      <c r="S250" s="95" t="str">
        <f t="shared" si="11"/>
        <v/>
      </c>
      <c r="T250" s="96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9"/>
        <v>0</v>
      </c>
      <c r="P251" s="50"/>
      <c r="Q251" s="50"/>
      <c r="R251" s="95" t="str">
        <f t="shared" si="10"/>
        <v/>
      </c>
      <c r="S251" s="95" t="str">
        <f t="shared" si="11"/>
        <v/>
      </c>
      <c r="T251" s="96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9"/>
        <v>0</v>
      </c>
      <c r="P252" s="50"/>
      <c r="Q252" s="50"/>
      <c r="R252" s="95" t="str">
        <f t="shared" si="10"/>
        <v/>
      </c>
      <c r="S252" s="95" t="str">
        <f t="shared" si="11"/>
        <v/>
      </c>
      <c r="T252" s="96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9"/>
        <v>0</v>
      </c>
      <c r="P253" s="50"/>
      <c r="Q253" s="50"/>
      <c r="R253" s="95" t="str">
        <f t="shared" si="10"/>
        <v/>
      </c>
      <c r="S253" s="95" t="str">
        <f t="shared" si="11"/>
        <v/>
      </c>
      <c r="T253" s="96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9"/>
        <v>0</v>
      </c>
      <c r="P254" s="50"/>
      <c r="Q254" s="50"/>
      <c r="R254" s="95" t="str">
        <f t="shared" si="10"/>
        <v/>
      </c>
      <c r="S254" s="95" t="str">
        <f t="shared" si="11"/>
        <v/>
      </c>
      <c r="T254" s="96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9"/>
        <v>0</v>
      </c>
      <c r="P255" s="50"/>
      <c r="Q255" s="50"/>
      <c r="R255" s="95" t="str">
        <f t="shared" si="10"/>
        <v/>
      </c>
      <c r="S255" s="95" t="str">
        <f t="shared" si="11"/>
        <v/>
      </c>
      <c r="T255" s="96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9"/>
        <v>0</v>
      </c>
      <c r="P256" s="50"/>
      <c r="Q256" s="50"/>
      <c r="R256" s="95" t="str">
        <f t="shared" si="10"/>
        <v/>
      </c>
      <c r="S256" s="95" t="str">
        <f t="shared" si="11"/>
        <v/>
      </c>
      <c r="T256" s="96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9"/>
        <v>0</v>
      </c>
      <c r="P257" s="50"/>
      <c r="Q257" s="50"/>
      <c r="R257" s="95" t="str">
        <f t="shared" si="10"/>
        <v/>
      </c>
      <c r="S257" s="95" t="str">
        <f t="shared" si="11"/>
        <v/>
      </c>
      <c r="T257" s="96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9"/>
        <v>0</v>
      </c>
      <c r="P258" s="50"/>
      <c r="Q258" s="50"/>
      <c r="R258" s="95" t="str">
        <f t="shared" si="10"/>
        <v/>
      </c>
      <c r="S258" s="95" t="str">
        <f t="shared" si="11"/>
        <v/>
      </c>
      <c r="T258" s="96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9"/>
        <v>0</v>
      </c>
      <c r="P259" s="50"/>
      <c r="Q259" s="50"/>
      <c r="R259" s="95" t="str">
        <f t="shared" si="10"/>
        <v/>
      </c>
      <c r="S259" s="95" t="str">
        <f t="shared" si="11"/>
        <v/>
      </c>
      <c r="T259" s="96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9"/>
        <v>0</v>
      </c>
      <c r="P260" s="50"/>
      <c r="Q260" s="50"/>
      <c r="R260" s="95" t="str">
        <f t="shared" si="10"/>
        <v/>
      </c>
      <c r="S260" s="95" t="str">
        <f t="shared" si="11"/>
        <v/>
      </c>
      <c r="T260" s="96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9"/>
        <v>0</v>
      </c>
      <c r="P261" s="50"/>
      <c r="Q261" s="50"/>
      <c r="R261" s="95" t="str">
        <f t="shared" si="10"/>
        <v/>
      </c>
      <c r="S261" s="95" t="str">
        <f t="shared" si="11"/>
        <v/>
      </c>
      <c r="T261" s="96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9"/>
        <v>0</v>
      </c>
      <c r="P262" s="50"/>
      <c r="Q262" s="50"/>
      <c r="R262" s="95" t="str">
        <f t="shared" si="10"/>
        <v/>
      </c>
      <c r="S262" s="95" t="str">
        <f t="shared" si="11"/>
        <v/>
      </c>
      <c r="T262" s="96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9"/>
        <v>0</v>
      </c>
      <c r="P263" s="50"/>
      <c r="Q263" s="50"/>
      <c r="R263" s="95" t="str">
        <f t="shared" si="10"/>
        <v/>
      </c>
      <c r="S263" s="95" t="str">
        <f t="shared" si="11"/>
        <v/>
      </c>
      <c r="T263" s="96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9"/>
        <v>0</v>
      </c>
      <c r="P264" s="50"/>
      <c r="Q264" s="50"/>
      <c r="R264" s="95" t="str">
        <f t="shared" si="10"/>
        <v/>
      </c>
      <c r="S264" s="95" t="str">
        <f t="shared" si="11"/>
        <v/>
      </c>
      <c r="T264" s="96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9"/>
        <v>0</v>
      </c>
      <c r="P265" s="50"/>
      <c r="Q265" s="50"/>
      <c r="R265" s="95" t="str">
        <f t="shared" si="10"/>
        <v/>
      </c>
      <c r="S265" s="95" t="str">
        <f t="shared" si="11"/>
        <v/>
      </c>
      <c r="T265" s="96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9"/>
        <v>0</v>
      </c>
      <c r="P266" s="50"/>
      <c r="Q266" s="50"/>
      <c r="R266" s="95" t="str">
        <f t="shared" si="10"/>
        <v/>
      </c>
      <c r="S266" s="95" t="str">
        <f t="shared" si="11"/>
        <v/>
      </c>
      <c r="T266" s="96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9"/>
        <v>0</v>
      </c>
      <c r="P267" s="50"/>
      <c r="Q267" s="50"/>
      <c r="R267" s="95" t="str">
        <f t="shared" si="10"/>
        <v/>
      </c>
      <c r="S267" s="95" t="str">
        <f t="shared" si="11"/>
        <v/>
      </c>
      <c r="T267" s="96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4">T268*N268</f>
        <v>0</v>
      </c>
      <c r="P268" s="50"/>
      <c r="Q268" s="50"/>
      <c r="R268" s="95" t="str">
        <f t="shared" ref="R268:R331" si="15">IF(OR(P268="c",P268="C"),+T268,"")</f>
        <v/>
      </c>
      <c r="S268" s="95" t="str">
        <f t="shared" ref="S268:S331" si="16">IF(OR(P268="$",N268=1),+T268,"")</f>
        <v/>
      </c>
      <c r="T268" s="96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4"/>
        <v>0</v>
      </c>
      <c r="P269" s="50"/>
      <c r="Q269" s="50"/>
      <c r="R269" s="95" t="str">
        <f t="shared" si="15"/>
        <v/>
      </c>
      <c r="S269" s="95" t="str">
        <f t="shared" si="16"/>
        <v/>
      </c>
      <c r="T269" s="96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4"/>
        <v>0</v>
      </c>
      <c r="P270" s="50"/>
      <c r="Q270" s="50"/>
      <c r="R270" s="95" t="str">
        <f t="shared" si="15"/>
        <v/>
      </c>
      <c r="S270" s="95" t="str">
        <f t="shared" si="16"/>
        <v/>
      </c>
      <c r="T270" s="96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4"/>
        <v>0</v>
      </c>
      <c r="P271" s="50"/>
      <c r="Q271" s="50"/>
      <c r="R271" s="95" t="str">
        <f t="shared" si="15"/>
        <v/>
      </c>
      <c r="S271" s="95" t="str">
        <f t="shared" si="16"/>
        <v/>
      </c>
      <c r="T271" s="96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4"/>
        <v>0</v>
      </c>
      <c r="P272" s="50"/>
      <c r="Q272" s="50"/>
      <c r="R272" s="95" t="str">
        <f t="shared" si="15"/>
        <v/>
      </c>
      <c r="S272" s="95" t="str">
        <f t="shared" si="16"/>
        <v/>
      </c>
      <c r="T272" s="96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4"/>
        <v>0</v>
      </c>
      <c r="P273" s="50"/>
      <c r="Q273" s="50"/>
      <c r="R273" s="95" t="str">
        <f t="shared" si="15"/>
        <v/>
      </c>
      <c r="S273" s="95" t="str">
        <f t="shared" si="16"/>
        <v/>
      </c>
      <c r="T273" s="96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4"/>
        <v>0</v>
      </c>
      <c r="P274" s="50"/>
      <c r="Q274" s="50"/>
      <c r="R274" s="95" t="str">
        <f t="shared" si="15"/>
        <v/>
      </c>
      <c r="S274" s="95" t="str">
        <f t="shared" si="16"/>
        <v/>
      </c>
      <c r="T274" s="96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4"/>
        <v>0</v>
      </c>
      <c r="P275" s="50"/>
      <c r="Q275" s="50"/>
      <c r="R275" s="95" t="str">
        <f t="shared" si="15"/>
        <v/>
      </c>
      <c r="S275" s="95" t="str">
        <f t="shared" si="16"/>
        <v/>
      </c>
      <c r="T275" s="96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4"/>
        <v>0</v>
      </c>
      <c r="P276" s="50"/>
      <c r="Q276" s="50"/>
      <c r="R276" s="95" t="str">
        <f t="shared" si="15"/>
        <v/>
      </c>
      <c r="S276" s="95" t="str">
        <f t="shared" si="16"/>
        <v/>
      </c>
      <c r="T276" s="96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4"/>
        <v>0</v>
      </c>
      <c r="P277" s="50"/>
      <c r="Q277" s="50"/>
      <c r="R277" s="95" t="str">
        <f t="shared" si="15"/>
        <v/>
      </c>
      <c r="S277" s="95" t="str">
        <f t="shared" si="16"/>
        <v/>
      </c>
      <c r="T277" s="96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4"/>
        <v>0</v>
      </c>
      <c r="P278" s="50"/>
      <c r="Q278" s="50"/>
      <c r="R278" s="95" t="str">
        <f t="shared" si="15"/>
        <v/>
      </c>
      <c r="S278" s="95" t="str">
        <f t="shared" si="16"/>
        <v/>
      </c>
      <c r="T278" s="96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4"/>
        <v>0</v>
      </c>
      <c r="P279" s="50"/>
      <c r="Q279" s="50"/>
      <c r="R279" s="95" t="str">
        <f t="shared" si="15"/>
        <v/>
      </c>
      <c r="S279" s="95" t="str">
        <f t="shared" si="16"/>
        <v/>
      </c>
      <c r="T279" s="96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4"/>
        <v>0</v>
      </c>
      <c r="P280" s="50"/>
      <c r="Q280" s="50"/>
      <c r="R280" s="95" t="str">
        <f t="shared" si="15"/>
        <v/>
      </c>
      <c r="S280" s="95" t="str">
        <f t="shared" si="16"/>
        <v/>
      </c>
      <c r="T280" s="96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4"/>
        <v>0</v>
      </c>
      <c r="P281" s="50"/>
      <c r="Q281" s="50"/>
      <c r="R281" s="95" t="str">
        <f t="shared" si="15"/>
        <v/>
      </c>
      <c r="S281" s="95" t="str">
        <f t="shared" si="16"/>
        <v/>
      </c>
      <c r="T281" s="96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4"/>
        <v>0</v>
      </c>
      <c r="P282" s="50"/>
      <c r="Q282" s="50"/>
      <c r="R282" s="95" t="str">
        <f t="shared" si="15"/>
        <v/>
      </c>
      <c r="S282" s="95" t="str">
        <f t="shared" si="16"/>
        <v/>
      </c>
      <c r="T282" s="96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4"/>
        <v>0</v>
      </c>
      <c r="P283" s="50"/>
      <c r="Q283" s="50"/>
      <c r="R283" s="95" t="str">
        <f t="shared" si="15"/>
        <v/>
      </c>
      <c r="S283" s="95" t="str">
        <f t="shared" si="16"/>
        <v/>
      </c>
      <c r="T283" s="96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4"/>
        <v>0</v>
      </c>
      <c r="P284" s="50"/>
      <c r="Q284" s="50"/>
      <c r="R284" s="95" t="str">
        <f t="shared" si="15"/>
        <v/>
      </c>
      <c r="S284" s="95" t="str">
        <f t="shared" si="16"/>
        <v/>
      </c>
      <c r="T284" s="96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4"/>
        <v>0</v>
      </c>
      <c r="P285" s="50"/>
      <c r="Q285" s="50"/>
      <c r="R285" s="95" t="str">
        <f t="shared" si="15"/>
        <v/>
      </c>
      <c r="S285" s="95" t="str">
        <f t="shared" si="16"/>
        <v/>
      </c>
      <c r="T285" s="96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4"/>
        <v>0</v>
      </c>
      <c r="P286" s="50"/>
      <c r="Q286" s="50"/>
      <c r="R286" s="95" t="str">
        <f t="shared" si="15"/>
        <v/>
      </c>
      <c r="S286" s="95" t="str">
        <f t="shared" si="16"/>
        <v/>
      </c>
      <c r="T286" s="96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4"/>
        <v>0</v>
      </c>
      <c r="P287" s="50"/>
      <c r="Q287" s="50"/>
      <c r="R287" s="95" t="str">
        <f t="shared" si="15"/>
        <v/>
      </c>
      <c r="S287" s="95" t="str">
        <f t="shared" si="16"/>
        <v/>
      </c>
      <c r="T287" s="96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4"/>
        <v>0</v>
      </c>
      <c r="P288" s="50"/>
      <c r="Q288" s="50"/>
      <c r="R288" s="95" t="str">
        <f t="shared" si="15"/>
        <v/>
      </c>
      <c r="S288" s="95" t="str">
        <f t="shared" si="16"/>
        <v/>
      </c>
      <c r="T288" s="96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4"/>
        <v>0</v>
      </c>
      <c r="P289" s="50"/>
      <c r="Q289" s="50"/>
      <c r="R289" s="95" t="str">
        <f t="shared" si="15"/>
        <v/>
      </c>
      <c r="S289" s="95" t="str">
        <f t="shared" si="16"/>
        <v/>
      </c>
      <c r="T289" s="96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4"/>
        <v>0</v>
      </c>
      <c r="P290" s="50"/>
      <c r="Q290" s="50"/>
      <c r="R290" s="95" t="str">
        <f t="shared" si="15"/>
        <v/>
      </c>
      <c r="S290" s="95" t="str">
        <f t="shared" si="16"/>
        <v/>
      </c>
      <c r="T290" s="96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4"/>
        <v>0</v>
      </c>
      <c r="P291" s="50"/>
      <c r="Q291" s="50"/>
      <c r="R291" s="95" t="str">
        <f t="shared" si="15"/>
        <v/>
      </c>
      <c r="S291" s="95" t="str">
        <f t="shared" si="16"/>
        <v/>
      </c>
      <c r="T291" s="96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4"/>
        <v>0</v>
      </c>
      <c r="P292" s="50"/>
      <c r="Q292" s="50"/>
      <c r="R292" s="95" t="str">
        <f t="shared" si="15"/>
        <v/>
      </c>
      <c r="S292" s="95" t="str">
        <f t="shared" si="16"/>
        <v/>
      </c>
      <c r="T292" s="96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4"/>
        <v>0</v>
      </c>
      <c r="P293" s="50"/>
      <c r="Q293" s="50"/>
      <c r="R293" s="95" t="str">
        <f t="shared" si="15"/>
        <v/>
      </c>
      <c r="S293" s="95" t="str">
        <f t="shared" si="16"/>
        <v/>
      </c>
      <c r="T293" s="96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4"/>
        <v>0</v>
      </c>
      <c r="P294" s="50"/>
      <c r="Q294" s="50"/>
      <c r="R294" s="95" t="str">
        <f t="shared" si="15"/>
        <v/>
      </c>
      <c r="S294" s="95" t="str">
        <f t="shared" si="16"/>
        <v/>
      </c>
      <c r="T294" s="96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4"/>
        <v>0</v>
      </c>
      <c r="P295" s="50"/>
      <c r="Q295" s="50"/>
      <c r="R295" s="95" t="str">
        <f t="shared" si="15"/>
        <v/>
      </c>
      <c r="S295" s="95" t="str">
        <f t="shared" si="16"/>
        <v/>
      </c>
      <c r="T295" s="96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4"/>
        <v>0</v>
      </c>
      <c r="P296" s="50"/>
      <c r="Q296" s="50"/>
      <c r="R296" s="95" t="str">
        <f t="shared" si="15"/>
        <v/>
      </c>
      <c r="S296" s="95" t="str">
        <f t="shared" si="16"/>
        <v/>
      </c>
      <c r="T296" s="96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4"/>
        <v>0</v>
      </c>
      <c r="P297" s="50"/>
      <c r="Q297" s="50"/>
      <c r="R297" s="95" t="str">
        <f t="shared" si="15"/>
        <v/>
      </c>
      <c r="S297" s="95" t="str">
        <f t="shared" si="16"/>
        <v/>
      </c>
      <c r="T297" s="96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4"/>
        <v>0</v>
      </c>
      <c r="P298" s="50"/>
      <c r="Q298" s="50"/>
      <c r="R298" s="95" t="str">
        <f t="shared" si="15"/>
        <v/>
      </c>
      <c r="S298" s="95" t="str">
        <f t="shared" si="16"/>
        <v/>
      </c>
      <c r="T298" s="96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4"/>
        <v>0</v>
      </c>
      <c r="P299" s="50"/>
      <c r="Q299" s="50"/>
      <c r="R299" s="95" t="str">
        <f t="shared" si="15"/>
        <v/>
      </c>
      <c r="S299" s="95" t="str">
        <f t="shared" si="16"/>
        <v/>
      </c>
      <c r="T299" s="96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4"/>
        <v>0</v>
      </c>
      <c r="P300" s="50"/>
      <c r="Q300" s="50"/>
      <c r="R300" s="95" t="str">
        <f t="shared" si="15"/>
        <v/>
      </c>
      <c r="S300" s="95" t="str">
        <f t="shared" si="16"/>
        <v/>
      </c>
      <c r="T300" s="96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4"/>
        <v>0</v>
      </c>
      <c r="P301" s="50"/>
      <c r="Q301" s="50"/>
      <c r="R301" s="95" t="str">
        <f t="shared" si="15"/>
        <v/>
      </c>
      <c r="S301" s="95" t="str">
        <f t="shared" si="16"/>
        <v/>
      </c>
      <c r="T301" s="96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4"/>
        <v>0</v>
      </c>
      <c r="P302" s="50"/>
      <c r="Q302" s="50"/>
      <c r="R302" s="95" t="str">
        <f t="shared" si="15"/>
        <v/>
      </c>
      <c r="S302" s="95" t="str">
        <f t="shared" si="16"/>
        <v/>
      </c>
      <c r="T302" s="96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4"/>
        <v>0</v>
      </c>
      <c r="P303" s="50"/>
      <c r="Q303" s="50"/>
      <c r="R303" s="95" t="str">
        <f t="shared" si="15"/>
        <v/>
      </c>
      <c r="S303" s="95" t="str">
        <f t="shared" si="16"/>
        <v/>
      </c>
      <c r="T303" s="96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4"/>
        <v>0</v>
      </c>
      <c r="P304" s="50"/>
      <c r="Q304" s="50"/>
      <c r="R304" s="95" t="str">
        <f t="shared" si="15"/>
        <v/>
      </c>
      <c r="S304" s="95" t="str">
        <f t="shared" si="16"/>
        <v/>
      </c>
      <c r="T304" s="96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4"/>
        <v>0</v>
      </c>
      <c r="P305" s="50"/>
      <c r="Q305" s="50"/>
      <c r="R305" s="95" t="str">
        <f t="shared" si="15"/>
        <v/>
      </c>
      <c r="S305" s="95" t="str">
        <f t="shared" si="16"/>
        <v/>
      </c>
      <c r="T305" s="96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4"/>
        <v>0</v>
      </c>
      <c r="P306" s="50"/>
      <c r="Q306" s="50"/>
      <c r="R306" s="95" t="str">
        <f t="shared" si="15"/>
        <v/>
      </c>
      <c r="S306" s="95" t="str">
        <f t="shared" si="16"/>
        <v/>
      </c>
      <c r="T306" s="96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4"/>
        <v>0</v>
      </c>
      <c r="P307" s="50"/>
      <c r="Q307" s="50"/>
      <c r="R307" s="95" t="str">
        <f t="shared" si="15"/>
        <v/>
      </c>
      <c r="S307" s="95" t="str">
        <f t="shared" si="16"/>
        <v/>
      </c>
      <c r="T307" s="96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4"/>
        <v>0</v>
      </c>
      <c r="P308" s="50"/>
      <c r="Q308" s="50"/>
      <c r="R308" s="95" t="str">
        <f t="shared" si="15"/>
        <v/>
      </c>
      <c r="S308" s="95" t="str">
        <f t="shared" si="16"/>
        <v/>
      </c>
      <c r="T308" s="96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4"/>
        <v>0</v>
      </c>
      <c r="P309" s="50"/>
      <c r="Q309" s="50"/>
      <c r="R309" s="95" t="str">
        <f t="shared" si="15"/>
        <v/>
      </c>
      <c r="S309" s="95" t="str">
        <f t="shared" si="16"/>
        <v/>
      </c>
      <c r="T309" s="96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4"/>
        <v>0</v>
      </c>
      <c r="P310" s="50"/>
      <c r="Q310" s="50"/>
      <c r="R310" s="95" t="str">
        <f t="shared" si="15"/>
        <v/>
      </c>
      <c r="S310" s="95" t="str">
        <f t="shared" si="16"/>
        <v/>
      </c>
      <c r="T310" s="96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4"/>
        <v>0</v>
      </c>
      <c r="P311" s="50"/>
      <c r="Q311" s="50"/>
      <c r="R311" s="95" t="str">
        <f t="shared" si="15"/>
        <v/>
      </c>
      <c r="S311" s="95" t="str">
        <f t="shared" si="16"/>
        <v/>
      </c>
      <c r="T311" s="96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4"/>
        <v>0</v>
      </c>
      <c r="P312" s="50"/>
      <c r="Q312" s="50"/>
      <c r="R312" s="95" t="str">
        <f t="shared" si="15"/>
        <v/>
      </c>
      <c r="S312" s="95" t="str">
        <f t="shared" si="16"/>
        <v/>
      </c>
      <c r="T312" s="96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4"/>
        <v>0</v>
      </c>
      <c r="P313" s="50"/>
      <c r="Q313" s="50"/>
      <c r="R313" s="95" t="str">
        <f t="shared" si="15"/>
        <v/>
      </c>
      <c r="S313" s="95" t="str">
        <f t="shared" si="16"/>
        <v/>
      </c>
      <c r="T313" s="96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4"/>
        <v>0</v>
      </c>
      <c r="P314" s="50"/>
      <c r="Q314" s="50"/>
      <c r="R314" s="95" t="str">
        <f t="shared" si="15"/>
        <v/>
      </c>
      <c r="S314" s="95" t="str">
        <f t="shared" si="16"/>
        <v/>
      </c>
      <c r="T314" s="96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4"/>
        <v>0</v>
      </c>
      <c r="P315" s="50"/>
      <c r="Q315" s="50"/>
      <c r="R315" s="95" t="str">
        <f t="shared" si="15"/>
        <v/>
      </c>
      <c r="S315" s="95" t="str">
        <f t="shared" si="16"/>
        <v/>
      </c>
      <c r="T315" s="96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4"/>
        <v>0</v>
      </c>
      <c r="P316" s="50"/>
      <c r="Q316" s="50"/>
      <c r="R316" s="95" t="str">
        <f t="shared" si="15"/>
        <v/>
      </c>
      <c r="S316" s="95" t="str">
        <f t="shared" si="16"/>
        <v/>
      </c>
      <c r="T316" s="96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4"/>
        <v>0</v>
      </c>
      <c r="P317" s="50"/>
      <c r="Q317" s="50"/>
      <c r="R317" s="95" t="str">
        <f t="shared" si="15"/>
        <v/>
      </c>
      <c r="S317" s="95" t="str">
        <f t="shared" si="16"/>
        <v/>
      </c>
      <c r="T317" s="96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4"/>
        <v>0</v>
      </c>
      <c r="P318" s="50"/>
      <c r="Q318" s="50"/>
      <c r="R318" s="95" t="str">
        <f t="shared" si="15"/>
        <v/>
      </c>
      <c r="S318" s="95" t="str">
        <f t="shared" si="16"/>
        <v/>
      </c>
      <c r="T318" s="96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4"/>
        <v>0</v>
      </c>
      <c r="P319" s="50"/>
      <c r="Q319" s="50"/>
      <c r="R319" s="95" t="str">
        <f t="shared" si="15"/>
        <v/>
      </c>
      <c r="S319" s="95" t="str">
        <f t="shared" si="16"/>
        <v/>
      </c>
      <c r="T319" s="96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4"/>
        <v>0</v>
      </c>
      <c r="P320" s="50"/>
      <c r="Q320" s="50"/>
      <c r="R320" s="95" t="str">
        <f t="shared" si="15"/>
        <v/>
      </c>
      <c r="S320" s="95" t="str">
        <f t="shared" si="16"/>
        <v/>
      </c>
      <c r="T320" s="96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4"/>
        <v>0</v>
      </c>
      <c r="P321" s="50"/>
      <c r="Q321" s="50"/>
      <c r="R321" s="95" t="str">
        <f t="shared" si="15"/>
        <v/>
      </c>
      <c r="S321" s="95" t="str">
        <f t="shared" si="16"/>
        <v/>
      </c>
      <c r="T321" s="96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4"/>
        <v>0</v>
      </c>
      <c r="P322" s="50"/>
      <c r="Q322" s="50"/>
      <c r="R322" s="95" t="str">
        <f t="shared" si="15"/>
        <v/>
      </c>
      <c r="S322" s="95" t="str">
        <f t="shared" si="16"/>
        <v/>
      </c>
      <c r="T322" s="96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4"/>
        <v>0</v>
      </c>
      <c r="P323" s="50"/>
      <c r="Q323" s="50"/>
      <c r="R323" s="95" t="str">
        <f t="shared" si="15"/>
        <v/>
      </c>
      <c r="S323" s="95" t="str">
        <f t="shared" si="16"/>
        <v/>
      </c>
      <c r="T323" s="96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4"/>
        <v>0</v>
      </c>
      <c r="P324" s="50"/>
      <c r="Q324" s="50"/>
      <c r="R324" s="95" t="str">
        <f t="shared" si="15"/>
        <v/>
      </c>
      <c r="S324" s="95" t="str">
        <f t="shared" si="16"/>
        <v/>
      </c>
      <c r="T324" s="96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4"/>
        <v>0</v>
      </c>
      <c r="P325" s="50"/>
      <c r="Q325" s="50"/>
      <c r="R325" s="95" t="str">
        <f t="shared" si="15"/>
        <v/>
      </c>
      <c r="S325" s="95" t="str">
        <f t="shared" si="16"/>
        <v/>
      </c>
      <c r="T325" s="96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4"/>
        <v>0</v>
      </c>
      <c r="P326" s="50"/>
      <c r="Q326" s="50"/>
      <c r="R326" s="95" t="str">
        <f t="shared" si="15"/>
        <v/>
      </c>
      <c r="S326" s="95" t="str">
        <f t="shared" si="16"/>
        <v/>
      </c>
      <c r="T326" s="96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4"/>
        <v>0</v>
      </c>
      <c r="P327" s="50"/>
      <c r="Q327" s="50"/>
      <c r="R327" s="95" t="str">
        <f t="shared" si="15"/>
        <v/>
      </c>
      <c r="S327" s="95" t="str">
        <f t="shared" si="16"/>
        <v/>
      </c>
      <c r="T327" s="96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4"/>
        <v>0</v>
      </c>
      <c r="P328" s="50"/>
      <c r="Q328" s="50"/>
      <c r="R328" s="95" t="str">
        <f t="shared" si="15"/>
        <v/>
      </c>
      <c r="S328" s="95" t="str">
        <f t="shared" si="16"/>
        <v/>
      </c>
      <c r="T328" s="96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4"/>
        <v>0</v>
      </c>
      <c r="P329" s="50"/>
      <c r="Q329" s="50"/>
      <c r="R329" s="95" t="str">
        <f t="shared" si="15"/>
        <v/>
      </c>
      <c r="S329" s="95" t="str">
        <f t="shared" si="16"/>
        <v/>
      </c>
      <c r="T329" s="96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4"/>
        <v>0</v>
      </c>
      <c r="P330" s="50"/>
      <c r="Q330" s="50"/>
      <c r="R330" s="95" t="str">
        <f t="shared" si="15"/>
        <v/>
      </c>
      <c r="S330" s="95" t="str">
        <f t="shared" si="16"/>
        <v/>
      </c>
      <c r="T330" s="96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4"/>
        <v>0</v>
      </c>
      <c r="P331" s="50"/>
      <c r="Q331" s="50"/>
      <c r="R331" s="95" t="str">
        <f t="shared" si="15"/>
        <v/>
      </c>
      <c r="S331" s="95" t="str">
        <f t="shared" si="16"/>
        <v/>
      </c>
      <c r="T331" s="96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9">T332*N332</f>
        <v>0</v>
      </c>
      <c r="P332" s="50"/>
      <c r="Q332" s="50"/>
      <c r="R332" s="95" t="str">
        <f t="shared" ref="R332:R395" si="20">IF(OR(P332="c",P332="C"),+T332,"")</f>
        <v/>
      </c>
      <c r="S332" s="95" t="str">
        <f t="shared" ref="S332:S395" si="21">IF(OR(P332="$",N332=1),+T332,"")</f>
        <v/>
      </c>
      <c r="T332" s="96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9"/>
        <v>0</v>
      </c>
      <c r="P333" s="50"/>
      <c r="Q333" s="50"/>
      <c r="R333" s="95" t="str">
        <f t="shared" si="20"/>
        <v/>
      </c>
      <c r="S333" s="95" t="str">
        <f t="shared" si="21"/>
        <v/>
      </c>
      <c r="T333" s="96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9"/>
        <v>0</v>
      </c>
      <c r="P334" s="50"/>
      <c r="Q334" s="50"/>
      <c r="R334" s="95" t="str">
        <f t="shared" si="20"/>
        <v/>
      </c>
      <c r="S334" s="95" t="str">
        <f t="shared" si="21"/>
        <v/>
      </c>
      <c r="T334" s="96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9"/>
        <v>0</v>
      </c>
      <c r="P335" s="50"/>
      <c r="Q335" s="50"/>
      <c r="R335" s="95" t="str">
        <f t="shared" si="20"/>
        <v/>
      </c>
      <c r="S335" s="95" t="str">
        <f t="shared" si="21"/>
        <v/>
      </c>
      <c r="T335" s="96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9"/>
        <v>0</v>
      </c>
      <c r="P336" s="50"/>
      <c r="Q336" s="50"/>
      <c r="R336" s="95" t="str">
        <f t="shared" si="20"/>
        <v/>
      </c>
      <c r="S336" s="95" t="str">
        <f t="shared" si="21"/>
        <v/>
      </c>
      <c r="T336" s="96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9"/>
        <v>0</v>
      </c>
      <c r="P337" s="50"/>
      <c r="Q337" s="50"/>
      <c r="R337" s="95" t="str">
        <f t="shared" si="20"/>
        <v/>
      </c>
      <c r="S337" s="95" t="str">
        <f t="shared" si="21"/>
        <v/>
      </c>
      <c r="T337" s="96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9"/>
        <v>0</v>
      </c>
      <c r="P338" s="50"/>
      <c r="Q338" s="50"/>
      <c r="R338" s="95" t="str">
        <f t="shared" si="20"/>
        <v/>
      </c>
      <c r="S338" s="95" t="str">
        <f t="shared" si="21"/>
        <v/>
      </c>
      <c r="T338" s="96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9"/>
        <v>0</v>
      </c>
      <c r="P339" s="50"/>
      <c r="Q339" s="50"/>
      <c r="R339" s="95" t="str">
        <f t="shared" si="20"/>
        <v/>
      </c>
      <c r="S339" s="95" t="str">
        <f t="shared" si="21"/>
        <v/>
      </c>
      <c r="T339" s="96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9"/>
        <v>0</v>
      </c>
      <c r="P340" s="50"/>
      <c r="Q340" s="50"/>
      <c r="R340" s="95" t="str">
        <f t="shared" si="20"/>
        <v/>
      </c>
      <c r="S340" s="95" t="str">
        <f t="shared" si="21"/>
        <v/>
      </c>
      <c r="T340" s="96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9"/>
        <v>0</v>
      </c>
      <c r="P341" s="50"/>
      <c r="Q341" s="50"/>
      <c r="R341" s="95" t="str">
        <f t="shared" si="20"/>
        <v/>
      </c>
      <c r="S341" s="95" t="str">
        <f t="shared" si="21"/>
        <v/>
      </c>
      <c r="T341" s="96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9"/>
        <v>0</v>
      </c>
      <c r="P342" s="50"/>
      <c r="Q342" s="50"/>
      <c r="R342" s="95" t="str">
        <f t="shared" si="20"/>
        <v/>
      </c>
      <c r="S342" s="95" t="str">
        <f t="shared" si="21"/>
        <v/>
      </c>
      <c r="T342" s="96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9"/>
        <v>0</v>
      </c>
      <c r="P343" s="50"/>
      <c r="Q343" s="50"/>
      <c r="R343" s="95" t="str">
        <f t="shared" si="20"/>
        <v/>
      </c>
      <c r="S343" s="95" t="str">
        <f t="shared" si="21"/>
        <v/>
      </c>
      <c r="T343" s="96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9"/>
        <v>0</v>
      </c>
      <c r="P344" s="50"/>
      <c r="Q344" s="50"/>
      <c r="R344" s="95" t="str">
        <f t="shared" si="20"/>
        <v/>
      </c>
      <c r="S344" s="95" t="str">
        <f t="shared" si="21"/>
        <v/>
      </c>
      <c r="T344" s="96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9"/>
        <v>0</v>
      </c>
      <c r="P345" s="50"/>
      <c r="Q345" s="50"/>
      <c r="R345" s="95" t="str">
        <f t="shared" si="20"/>
        <v/>
      </c>
      <c r="S345" s="95" t="str">
        <f t="shared" si="21"/>
        <v/>
      </c>
      <c r="T345" s="96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9"/>
        <v>0</v>
      </c>
      <c r="P346" s="50"/>
      <c r="Q346" s="50"/>
      <c r="R346" s="95" t="str">
        <f t="shared" si="20"/>
        <v/>
      </c>
      <c r="S346" s="95" t="str">
        <f t="shared" si="21"/>
        <v/>
      </c>
      <c r="T346" s="96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9"/>
        <v>0</v>
      </c>
      <c r="P347" s="50"/>
      <c r="Q347" s="50"/>
      <c r="R347" s="95" t="str">
        <f t="shared" si="20"/>
        <v/>
      </c>
      <c r="S347" s="95" t="str">
        <f t="shared" si="21"/>
        <v/>
      </c>
      <c r="T347" s="96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9"/>
        <v>0</v>
      </c>
      <c r="P348" s="50"/>
      <c r="Q348" s="50"/>
      <c r="R348" s="95" t="str">
        <f t="shared" si="20"/>
        <v/>
      </c>
      <c r="S348" s="95" t="str">
        <f t="shared" si="21"/>
        <v/>
      </c>
      <c r="T348" s="96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9"/>
        <v>0</v>
      </c>
      <c r="P349" s="50"/>
      <c r="Q349" s="50"/>
      <c r="R349" s="95" t="str">
        <f t="shared" si="20"/>
        <v/>
      </c>
      <c r="S349" s="95" t="str">
        <f t="shared" si="21"/>
        <v/>
      </c>
      <c r="T349" s="96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9"/>
        <v>0</v>
      </c>
      <c r="P350" s="50"/>
      <c r="Q350" s="50"/>
      <c r="R350" s="95" t="str">
        <f t="shared" si="20"/>
        <v/>
      </c>
      <c r="S350" s="95" t="str">
        <f t="shared" si="21"/>
        <v/>
      </c>
      <c r="T350" s="96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9"/>
        <v>0</v>
      </c>
      <c r="P351" s="50"/>
      <c r="Q351" s="50"/>
      <c r="R351" s="95" t="str">
        <f t="shared" si="20"/>
        <v/>
      </c>
      <c r="S351" s="95" t="str">
        <f t="shared" si="21"/>
        <v/>
      </c>
      <c r="T351" s="96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9"/>
        <v>0</v>
      </c>
      <c r="P352" s="50"/>
      <c r="Q352" s="50"/>
      <c r="R352" s="95" t="str">
        <f t="shared" si="20"/>
        <v/>
      </c>
      <c r="S352" s="95" t="str">
        <f t="shared" si="21"/>
        <v/>
      </c>
      <c r="T352" s="96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9"/>
        <v>0</v>
      </c>
      <c r="P353" s="50"/>
      <c r="Q353" s="50"/>
      <c r="R353" s="95" t="str">
        <f t="shared" si="20"/>
        <v/>
      </c>
      <c r="S353" s="95" t="str">
        <f t="shared" si="21"/>
        <v/>
      </c>
      <c r="T353" s="96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9"/>
        <v>0</v>
      </c>
      <c r="P354" s="50"/>
      <c r="Q354" s="50"/>
      <c r="R354" s="95" t="str">
        <f t="shared" si="20"/>
        <v/>
      </c>
      <c r="S354" s="95" t="str">
        <f t="shared" si="21"/>
        <v/>
      </c>
      <c r="T354" s="96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9"/>
        <v>0</v>
      </c>
      <c r="P355" s="50"/>
      <c r="Q355" s="50"/>
      <c r="R355" s="95" t="str">
        <f t="shared" si="20"/>
        <v/>
      </c>
      <c r="S355" s="95" t="str">
        <f t="shared" si="21"/>
        <v/>
      </c>
      <c r="T355" s="96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9"/>
        <v>0</v>
      </c>
      <c r="P356" s="50"/>
      <c r="Q356" s="50"/>
      <c r="R356" s="95" t="str">
        <f t="shared" si="20"/>
        <v/>
      </c>
      <c r="S356" s="95" t="str">
        <f t="shared" si="21"/>
        <v/>
      </c>
      <c r="T356" s="96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9"/>
        <v>0</v>
      </c>
      <c r="P357" s="50"/>
      <c r="Q357" s="50"/>
      <c r="R357" s="95" t="str">
        <f t="shared" si="20"/>
        <v/>
      </c>
      <c r="S357" s="95" t="str">
        <f t="shared" si="21"/>
        <v/>
      </c>
      <c r="T357" s="96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9"/>
        <v>0</v>
      </c>
      <c r="P358" s="50"/>
      <c r="Q358" s="50"/>
      <c r="R358" s="95" t="str">
        <f t="shared" si="20"/>
        <v/>
      </c>
      <c r="S358" s="95" t="str">
        <f t="shared" si="21"/>
        <v/>
      </c>
      <c r="T358" s="96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9"/>
        <v>0</v>
      </c>
      <c r="P359" s="50"/>
      <c r="Q359" s="50"/>
      <c r="R359" s="95" t="str">
        <f t="shared" si="20"/>
        <v/>
      </c>
      <c r="S359" s="95" t="str">
        <f t="shared" si="21"/>
        <v/>
      </c>
      <c r="T359" s="96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9"/>
        <v>0</v>
      </c>
      <c r="P360" s="50"/>
      <c r="Q360" s="50"/>
      <c r="R360" s="95" t="str">
        <f t="shared" si="20"/>
        <v/>
      </c>
      <c r="S360" s="95" t="str">
        <f t="shared" si="21"/>
        <v/>
      </c>
      <c r="T360" s="96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9"/>
        <v>0</v>
      </c>
      <c r="P361" s="50"/>
      <c r="Q361" s="50"/>
      <c r="R361" s="95" t="str">
        <f t="shared" si="20"/>
        <v/>
      </c>
      <c r="S361" s="95" t="str">
        <f t="shared" si="21"/>
        <v/>
      </c>
      <c r="T361" s="96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9"/>
        <v>0</v>
      </c>
      <c r="P362" s="50"/>
      <c r="Q362" s="50"/>
      <c r="R362" s="95" t="str">
        <f t="shared" si="20"/>
        <v/>
      </c>
      <c r="S362" s="95" t="str">
        <f t="shared" si="21"/>
        <v/>
      </c>
      <c r="T362" s="96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9"/>
        <v>0</v>
      </c>
      <c r="P363" s="50"/>
      <c r="Q363" s="50"/>
      <c r="R363" s="95" t="str">
        <f t="shared" si="20"/>
        <v/>
      </c>
      <c r="S363" s="95" t="str">
        <f t="shared" si="21"/>
        <v/>
      </c>
      <c r="T363" s="96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9"/>
        <v>0</v>
      </c>
      <c r="P364" s="50"/>
      <c r="Q364" s="50"/>
      <c r="R364" s="95" t="str">
        <f t="shared" si="20"/>
        <v/>
      </c>
      <c r="S364" s="95" t="str">
        <f t="shared" si="21"/>
        <v/>
      </c>
      <c r="T364" s="96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9"/>
        <v>0</v>
      </c>
      <c r="P365" s="50"/>
      <c r="Q365" s="50"/>
      <c r="R365" s="95" t="str">
        <f t="shared" si="20"/>
        <v/>
      </c>
      <c r="S365" s="95" t="str">
        <f t="shared" si="21"/>
        <v/>
      </c>
      <c r="T365" s="96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9"/>
        <v>0</v>
      </c>
      <c r="P366" s="50"/>
      <c r="Q366" s="50"/>
      <c r="R366" s="95" t="str">
        <f t="shared" si="20"/>
        <v/>
      </c>
      <c r="S366" s="95" t="str">
        <f t="shared" si="21"/>
        <v/>
      </c>
      <c r="T366" s="96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9"/>
        <v>0</v>
      </c>
      <c r="P367" s="50"/>
      <c r="Q367" s="50"/>
      <c r="R367" s="95" t="str">
        <f t="shared" si="20"/>
        <v/>
      </c>
      <c r="S367" s="95" t="str">
        <f t="shared" si="21"/>
        <v/>
      </c>
      <c r="T367" s="96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9"/>
        <v>0</v>
      </c>
      <c r="P368" s="50"/>
      <c r="Q368" s="50"/>
      <c r="R368" s="95" t="str">
        <f t="shared" si="20"/>
        <v/>
      </c>
      <c r="S368" s="95" t="str">
        <f t="shared" si="21"/>
        <v/>
      </c>
      <c r="T368" s="96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9"/>
        <v>0</v>
      </c>
      <c r="P369" s="50"/>
      <c r="Q369" s="50"/>
      <c r="R369" s="95" t="str">
        <f t="shared" si="20"/>
        <v/>
      </c>
      <c r="S369" s="95" t="str">
        <f t="shared" si="21"/>
        <v/>
      </c>
      <c r="T369" s="96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9"/>
        <v>0</v>
      </c>
      <c r="P370" s="50"/>
      <c r="Q370" s="50"/>
      <c r="R370" s="95" t="str">
        <f t="shared" si="20"/>
        <v/>
      </c>
      <c r="S370" s="95" t="str">
        <f t="shared" si="21"/>
        <v/>
      </c>
      <c r="T370" s="96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9"/>
        <v>0</v>
      </c>
      <c r="P371" s="50"/>
      <c r="Q371" s="50"/>
      <c r="R371" s="95" t="str">
        <f t="shared" si="20"/>
        <v/>
      </c>
      <c r="S371" s="95" t="str">
        <f t="shared" si="21"/>
        <v/>
      </c>
      <c r="T371" s="96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9"/>
        <v>0</v>
      </c>
      <c r="P372" s="50"/>
      <c r="Q372" s="50"/>
      <c r="R372" s="95" t="str">
        <f t="shared" si="20"/>
        <v/>
      </c>
      <c r="S372" s="95" t="str">
        <f t="shared" si="21"/>
        <v/>
      </c>
      <c r="T372" s="96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9"/>
        <v>0</v>
      </c>
      <c r="P373" s="50"/>
      <c r="Q373" s="50"/>
      <c r="R373" s="95" t="str">
        <f t="shared" si="20"/>
        <v/>
      </c>
      <c r="S373" s="95" t="str">
        <f t="shared" si="21"/>
        <v/>
      </c>
      <c r="T373" s="96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9"/>
        <v>0</v>
      </c>
      <c r="P374" s="50"/>
      <c r="Q374" s="50"/>
      <c r="R374" s="95" t="str">
        <f t="shared" si="20"/>
        <v/>
      </c>
      <c r="S374" s="95" t="str">
        <f t="shared" si="21"/>
        <v/>
      </c>
      <c r="T374" s="96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9"/>
        <v>0</v>
      </c>
      <c r="P375" s="50"/>
      <c r="Q375" s="50"/>
      <c r="R375" s="95" t="str">
        <f t="shared" si="20"/>
        <v/>
      </c>
      <c r="S375" s="95" t="str">
        <f t="shared" si="21"/>
        <v/>
      </c>
      <c r="T375" s="96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9"/>
        <v>0</v>
      </c>
      <c r="P376" s="50"/>
      <c r="Q376" s="50"/>
      <c r="R376" s="95" t="str">
        <f t="shared" si="20"/>
        <v/>
      </c>
      <c r="S376" s="95" t="str">
        <f t="shared" si="21"/>
        <v/>
      </c>
      <c r="T376" s="96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9"/>
        <v>0</v>
      </c>
      <c r="P377" s="50"/>
      <c r="Q377" s="50"/>
      <c r="R377" s="95" t="str">
        <f t="shared" si="20"/>
        <v/>
      </c>
      <c r="S377" s="95" t="str">
        <f t="shared" si="21"/>
        <v/>
      </c>
      <c r="T377" s="96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9"/>
        <v>0</v>
      </c>
      <c r="P378" s="50"/>
      <c r="Q378" s="50"/>
      <c r="R378" s="95" t="str">
        <f t="shared" si="20"/>
        <v/>
      </c>
      <c r="S378" s="95" t="str">
        <f t="shared" si="21"/>
        <v/>
      </c>
      <c r="T378" s="96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9"/>
        <v>0</v>
      </c>
      <c r="P379" s="50"/>
      <c r="Q379" s="50"/>
      <c r="R379" s="95" t="str">
        <f t="shared" si="20"/>
        <v/>
      </c>
      <c r="S379" s="95" t="str">
        <f t="shared" si="21"/>
        <v/>
      </c>
      <c r="T379" s="96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9"/>
        <v>0</v>
      </c>
      <c r="P380" s="50"/>
      <c r="Q380" s="50"/>
      <c r="R380" s="95" t="str">
        <f t="shared" si="20"/>
        <v/>
      </c>
      <c r="S380" s="95" t="str">
        <f t="shared" si="21"/>
        <v/>
      </c>
      <c r="T380" s="96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9"/>
        <v>0</v>
      </c>
      <c r="P381" s="50"/>
      <c r="Q381" s="50"/>
      <c r="R381" s="95" t="str">
        <f t="shared" si="20"/>
        <v/>
      </c>
      <c r="S381" s="95" t="str">
        <f t="shared" si="21"/>
        <v/>
      </c>
      <c r="T381" s="96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9"/>
        <v>0</v>
      </c>
      <c r="P382" s="50"/>
      <c r="Q382" s="50"/>
      <c r="R382" s="95" t="str">
        <f t="shared" si="20"/>
        <v/>
      </c>
      <c r="S382" s="95" t="str">
        <f t="shared" si="21"/>
        <v/>
      </c>
      <c r="T382" s="96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9"/>
        <v>0</v>
      </c>
      <c r="P383" s="50"/>
      <c r="Q383" s="50"/>
      <c r="R383" s="95" t="str">
        <f t="shared" si="20"/>
        <v/>
      </c>
      <c r="S383" s="95" t="str">
        <f t="shared" si="21"/>
        <v/>
      </c>
      <c r="T383" s="96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9"/>
        <v>0</v>
      </c>
      <c r="P384" s="50"/>
      <c r="Q384" s="50"/>
      <c r="R384" s="95" t="str">
        <f t="shared" si="20"/>
        <v/>
      </c>
      <c r="S384" s="95" t="str">
        <f t="shared" si="21"/>
        <v/>
      </c>
      <c r="T384" s="96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9"/>
        <v>0</v>
      </c>
      <c r="P385" s="50"/>
      <c r="Q385" s="50"/>
      <c r="R385" s="95" t="str">
        <f t="shared" si="20"/>
        <v/>
      </c>
      <c r="S385" s="95" t="str">
        <f t="shared" si="21"/>
        <v/>
      </c>
      <c r="T385" s="96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9"/>
        <v>0</v>
      </c>
      <c r="P386" s="50"/>
      <c r="Q386" s="50"/>
      <c r="R386" s="95" t="str">
        <f t="shared" si="20"/>
        <v/>
      </c>
      <c r="S386" s="95" t="str">
        <f t="shared" si="21"/>
        <v/>
      </c>
      <c r="T386" s="96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9"/>
        <v>0</v>
      </c>
      <c r="P387" s="50"/>
      <c r="Q387" s="50"/>
      <c r="R387" s="95" t="str">
        <f t="shared" si="20"/>
        <v/>
      </c>
      <c r="S387" s="95" t="str">
        <f t="shared" si="21"/>
        <v/>
      </c>
      <c r="T387" s="96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9"/>
        <v>0</v>
      </c>
      <c r="P388" s="50"/>
      <c r="Q388" s="50"/>
      <c r="R388" s="95" t="str">
        <f t="shared" si="20"/>
        <v/>
      </c>
      <c r="S388" s="95" t="str">
        <f t="shared" si="21"/>
        <v/>
      </c>
      <c r="T388" s="96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9"/>
        <v>0</v>
      </c>
      <c r="P389" s="50"/>
      <c r="Q389" s="50"/>
      <c r="R389" s="95" t="str">
        <f t="shared" si="20"/>
        <v/>
      </c>
      <c r="S389" s="95" t="str">
        <f t="shared" si="21"/>
        <v/>
      </c>
      <c r="T389" s="96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9"/>
        <v>0</v>
      </c>
      <c r="P390" s="50"/>
      <c r="Q390" s="50"/>
      <c r="R390" s="95" t="str">
        <f t="shared" si="20"/>
        <v/>
      </c>
      <c r="S390" s="95" t="str">
        <f t="shared" si="21"/>
        <v/>
      </c>
      <c r="T390" s="96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9"/>
        <v>0</v>
      </c>
      <c r="P391" s="50"/>
      <c r="Q391" s="50"/>
      <c r="R391" s="95" t="str">
        <f t="shared" si="20"/>
        <v/>
      </c>
      <c r="S391" s="95" t="str">
        <f t="shared" si="21"/>
        <v/>
      </c>
      <c r="T391" s="96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9"/>
        <v>0</v>
      </c>
      <c r="P392" s="50"/>
      <c r="Q392" s="50"/>
      <c r="R392" s="95" t="str">
        <f t="shared" si="20"/>
        <v/>
      </c>
      <c r="S392" s="95" t="str">
        <f t="shared" si="21"/>
        <v/>
      </c>
      <c r="T392" s="96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9"/>
        <v>0</v>
      </c>
      <c r="P393" s="50"/>
      <c r="Q393" s="50"/>
      <c r="R393" s="95" t="str">
        <f t="shared" si="20"/>
        <v/>
      </c>
      <c r="S393" s="95" t="str">
        <f t="shared" si="21"/>
        <v/>
      </c>
      <c r="T393" s="96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9"/>
        <v>0</v>
      </c>
      <c r="P394" s="50"/>
      <c r="Q394" s="50"/>
      <c r="R394" s="95" t="str">
        <f t="shared" si="20"/>
        <v/>
      </c>
      <c r="S394" s="95" t="str">
        <f t="shared" si="21"/>
        <v/>
      </c>
      <c r="T394" s="96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9"/>
        <v>0</v>
      </c>
      <c r="P395" s="50"/>
      <c r="Q395" s="50"/>
      <c r="R395" s="95" t="str">
        <f t="shared" si="20"/>
        <v/>
      </c>
      <c r="S395" s="95" t="str">
        <f t="shared" si="21"/>
        <v/>
      </c>
      <c r="T395" s="96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4">T396*N396</f>
        <v>0</v>
      </c>
      <c r="P396" s="50"/>
      <c r="Q396" s="50"/>
      <c r="R396" s="95" t="str">
        <f t="shared" ref="R396:R411" si="25">IF(OR(P396="c",P396="C"),+T396,"")</f>
        <v/>
      </c>
      <c r="S396" s="95" t="str">
        <f t="shared" ref="S396:S411" si="26">IF(OR(P396="$",N396=1),+T396,"")</f>
        <v/>
      </c>
      <c r="T396" s="96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4"/>
        <v>0</v>
      </c>
      <c r="P397" s="50"/>
      <c r="Q397" s="50"/>
      <c r="R397" s="95" t="str">
        <f t="shared" si="25"/>
        <v/>
      </c>
      <c r="S397" s="95" t="str">
        <f t="shared" si="26"/>
        <v/>
      </c>
      <c r="T397" s="96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4"/>
        <v>0</v>
      </c>
      <c r="P398" s="50"/>
      <c r="Q398" s="50"/>
      <c r="R398" s="95" t="str">
        <f t="shared" si="25"/>
        <v/>
      </c>
      <c r="S398" s="95" t="str">
        <f t="shared" si="26"/>
        <v/>
      </c>
      <c r="T398" s="96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4"/>
        <v>0</v>
      </c>
      <c r="P399" s="50"/>
      <c r="Q399" s="50"/>
      <c r="R399" s="95" t="str">
        <f t="shared" si="25"/>
        <v/>
      </c>
      <c r="S399" s="95" t="str">
        <f t="shared" si="26"/>
        <v/>
      </c>
      <c r="T399" s="96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4"/>
        <v>0</v>
      </c>
      <c r="P400" s="50"/>
      <c r="Q400" s="50"/>
      <c r="R400" s="95" t="str">
        <f t="shared" si="25"/>
        <v/>
      </c>
      <c r="S400" s="95" t="str">
        <f t="shared" si="26"/>
        <v/>
      </c>
      <c r="T400" s="96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4"/>
        <v>0</v>
      </c>
      <c r="P401" s="50"/>
      <c r="Q401" s="50"/>
      <c r="R401" s="95" t="str">
        <f t="shared" si="25"/>
        <v/>
      </c>
      <c r="S401" s="95" t="str">
        <f t="shared" si="26"/>
        <v/>
      </c>
      <c r="T401" s="96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4"/>
        <v>0</v>
      </c>
      <c r="P402" s="50"/>
      <c r="Q402" s="50"/>
      <c r="R402" s="95" t="str">
        <f t="shared" si="25"/>
        <v/>
      </c>
      <c r="S402" s="95" t="str">
        <f t="shared" si="26"/>
        <v/>
      </c>
      <c r="T402" s="96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4"/>
        <v>0</v>
      </c>
      <c r="P403" s="50"/>
      <c r="Q403" s="50"/>
      <c r="R403" s="95" t="str">
        <f t="shared" si="25"/>
        <v/>
      </c>
      <c r="S403" s="95" t="str">
        <f t="shared" si="26"/>
        <v/>
      </c>
      <c r="T403" s="96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4"/>
        <v>0</v>
      </c>
      <c r="P404" s="50"/>
      <c r="Q404" s="50"/>
      <c r="R404" s="95" t="str">
        <f t="shared" si="25"/>
        <v/>
      </c>
      <c r="S404" s="95" t="str">
        <f t="shared" si="26"/>
        <v/>
      </c>
      <c r="T404" s="96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4"/>
        <v>0</v>
      </c>
      <c r="P405" s="50"/>
      <c r="Q405" s="50"/>
      <c r="R405" s="95" t="str">
        <f t="shared" si="25"/>
        <v/>
      </c>
      <c r="S405" s="95" t="str">
        <f t="shared" si="26"/>
        <v/>
      </c>
      <c r="T405" s="96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4"/>
        <v>0</v>
      </c>
      <c r="P406" s="50"/>
      <c r="Q406" s="50"/>
      <c r="R406" s="95" t="str">
        <f t="shared" si="25"/>
        <v/>
      </c>
      <c r="S406" s="95" t="str">
        <f t="shared" si="26"/>
        <v/>
      </c>
      <c r="T406" s="96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4"/>
        <v>0</v>
      </c>
      <c r="P407" s="50"/>
      <c r="Q407" s="50"/>
      <c r="R407" s="95" t="str">
        <f t="shared" si="25"/>
        <v/>
      </c>
      <c r="S407" s="95" t="str">
        <f t="shared" si="26"/>
        <v/>
      </c>
      <c r="T407" s="96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4"/>
        <v>0</v>
      </c>
      <c r="P408" s="50"/>
      <c r="Q408" s="50"/>
      <c r="R408" s="95" t="str">
        <f t="shared" si="25"/>
        <v/>
      </c>
      <c r="S408" s="95" t="str">
        <f t="shared" si="26"/>
        <v/>
      </c>
      <c r="T408" s="96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4"/>
        <v>0</v>
      </c>
      <c r="P409" s="50"/>
      <c r="Q409" s="50"/>
      <c r="R409" s="95" t="str">
        <f t="shared" si="25"/>
        <v/>
      </c>
      <c r="S409" s="95" t="str">
        <f t="shared" si="26"/>
        <v/>
      </c>
      <c r="T409" s="96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4"/>
        <v>0</v>
      </c>
      <c r="P410" s="50"/>
      <c r="Q410" s="50"/>
      <c r="R410" s="95" t="str">
        <f t="shared" si="25"/>
        <v/>
      </c>
      <c r="S410" s="95" t="str">
        <f t="shared" si="26"/>
        <v/>
      </c>
      <c r="T410" s="96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4"/>
        <v>0</v>
      </c>
      <c r="P411" s="50"/>
      <c r="Q411" s="50"/>
      <c r="R411" s="95" t="str">
        <f t="shared" si="25"/>
        <v/>
      </c>
      <c r="S411" s="95" t="str">
        <f t="shared" si="26"/>
        <v/>
      </c>
      <c r="T411" s="96">
        <f t="shared" si="27"/>
        <v>0</v>
      </c>
      <c r="U411" s="51"/>
    </row>
  </sheetData>
  <sheetProtection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2:L45"/>
  <sheetViews>
    <sheetView showZeros="0" topLeftCell="A5" workbookViewId="0">
      <selection activeCell="A5" sqref="A5:C1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7.7109375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 t="s">
        <v>741</v>
      </c>
      <c r="B11" s="7"/>
      <c r="C11" s="8" t="s">
        <v>742</v>
      </c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 t="s">
        <v>760</v>
      </c>
      <c r="B14" s="7" t="s">
        <v>409</v>
      </c>
      <c r="C14" s="8" t="s">
        <v>761</v>
      </c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scale="9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719</v>
      </c>
      <c r="D7" s="5" t="s">
        <v>235</v>
      </c>
      <c r="E7" s="6" t="s">
        <v>720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2025-03-11T03:44:28Z</cp:lastPrinted>
  <dcterms:created xsi:type="dcterms:W3CDTF">2024-01-08T00:50:15Z</dcterms:created>
  <dcterms:modified xsi:type="dcterms:W3CDTF">2025-03-11T13:15:03Z</dcterms:modified>
</cp:coreProperties>
</file>