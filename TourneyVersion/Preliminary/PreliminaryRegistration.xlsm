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\Preliminary\"/>
    </mc:Choice>
  </mc:AlternateContent>
  <xr:revisionPtr revIDLastSave="0" documentId="13_ncr:1_{003D0148-1589-4A98-8C5A-B65EB83B1F59}" xr6:coauthVersionLast="47" xr6:coauthVersionMax="47" xr10:uidLastSave="{00000000-0000-0000-0000-000000000000}"/>
  <bookViews>
    <workbookView xWindow="-27630" yWindow="255" windowWidth="27435" windowHeight="1522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CheckOrCash">Entries!$P$12:$Q$408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O15" i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<sst xmlns="http://schemas.openxmlformats.org/spreadsheetml/2006/main" count="802" uniqueCount="686">
  <si>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</si>
  <si>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</si>
  <si>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</si>
  <si>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</si>
  <si>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</si>
  <si>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</si>
  <si>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</si>
  <si>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</si>
  <si>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</si>
  <si>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</si>
  <si>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</si>
  <si>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</si>
  <si>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</si>
  <si>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</si>
  <si>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</si>
  <si>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</si>
  <si>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</si>
  <si>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</si>
  <si>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</si>
  <si>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</si>
  <si>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</si>
  <si>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</si>
  <si>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</si>
  <si>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</si>
  <si>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</si>
  <si>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</si>
  <si>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</si>
  <si>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</si>
  <si>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</si>
  <si>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</si>
  <si>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</si>
  <si>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</si>
  <si>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</si>
  <si>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</si>
  <si>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</si>
  <si>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</si>
  <si>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</si>
  <si>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</si>
  <si>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</si>
  <si>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</si>
  <si>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</si>
  <si>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</si>
  <si>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</si>
  <si>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</si>
  <si>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</si>
  <si>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</si>
  <si>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</si>
  <si>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</si>
  <si>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</si>
  <si>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</si>
  <si>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</si>
  <si>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</si>
  <si>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</si>
  <si>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</si>
  <si>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</si>
  <si>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</si>
  <si>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</si>
  <si>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</si>
  <si>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</si>
  <si>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</si>
  <si>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</si>
  <si>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</si>
  <si>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</si>
  <si>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</si>
  <si>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</si>
  <si>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</si>
  <si>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</si>
  <si>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</si>
  <si>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</si>
  <si>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</si>
  <si>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</si>
  <si>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</si>
  <si>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</si>
  <si>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</si>
  <si>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</si>
  <si>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</si>
  <si>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</si>
  <si>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</si>
  <si>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</si>
  <si>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</si>
  <si>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</si>
  <si>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</si>
  <si>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</si>
  <si>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</si>
  <si>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</si>
  <si>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</si>
  <si>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</si>
  <si>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</si>
  <si>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</si>
  <si>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</si>
  <si>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</si>
  <si>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</si>
  <si>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</si>
  <si>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</si>
  <si>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</si>
  <si>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</si>
  <si>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</si>
  <si>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</si>
  <si>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</si>
  <si>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</si>
  <si>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</si>
  <si>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</si>
  <si>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</si>
  <si>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</si>
  <si>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</si>
  <si>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</si>
  <si>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</si>
  <si>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</si>
  <si>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</si>
  <si>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</si>
  <si>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</si>
  <si>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</si>
  <si>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</si>
  <si>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</si>
  <si>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</si>
  <si>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</si>
  <si>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</si>
  <si>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</si>
  <si>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</si>
  <si>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</si>
  <si>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</si>
  <si>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</si>
  <si>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</si>
  <si>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</si>
  <si>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</si>
  <si>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</si>
  <si>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</si>
  <si>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</si>
  <si>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</si>
  <si>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</si>
  <si>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</si>
  <si>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</si>
  <si>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</si>
  <si>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</si>
  <si>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</si>
  <si>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</si>
  <si>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</si>
  <si>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</si>
  <si>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</si>
  <si>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</si>
  <si>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</si>
  <si>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</si>
  <si>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</si>
  <si>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</si>
  <si>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</si>
  <si>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</si>
  <si>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</si>
  <si>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</si>
  <si>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</si>
  <si>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</si>
  <si>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</si>
  <si>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</si>
  <si>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</si>
  <si>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</si>
  <si>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</si>
  <si>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</si>
  <si>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</si>
  <si>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</si>
  <si>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</si>
  <si>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</si>
  <si>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</si>
  <si>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</si>
  <si>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</si>
  <si>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</si>
  <si>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</si>
  <si>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</si>
  <si>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</si>
  <si>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</si>
  <si>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</si>
  <si>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</si>
  <si>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</si>
  <si>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</si>
  <si>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</si>
  <si>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</si>
  <si>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</si>
  <si>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</si>
  <si>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</si>
  <si>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</si>
  <si>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</si>
  <si>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</si>
  <si>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</si>
  <si>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</si>
  <si>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</si>
  <si>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</si>
  <si>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</si>
  <si>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</si>
  <si>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</si>
  <si>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</si>
  <si>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</si>
  <si>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</si>
  <si>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</si>
  <si>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</si>
  <si>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</si>
  <si>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</si>
  <si>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</si>
  <si>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</si>
  <si>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</si>
  <si>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</si>
  <si>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</si>
  <si>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</si>
  <si>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</si>
  <si>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</si>
  <si>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</si>
  <si>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</si>
  <si>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</si>
  <si>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</si>
  <si>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</si>
  <si>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</si>
  <si>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</si>
  <si>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</si>
  <si>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</si>
  <si>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</si>
  <si>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</si>
  <si>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</si>
  <si>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</si>
  <si>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</si>
  <si>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</si>
  <si>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</si>
  <si>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</si>
  <si>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</si>
  <si>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</si>
  <si>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</si>
  <si>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</si>
  <si>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</si>
  <si>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</si>
  <si>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</si>
  <si>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</si>
  <si>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</si>
  <si>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</si>
  <si>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</si>
  <si>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</si>
  <si>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</si>
  <si>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</si>
  <si>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</si>
  <si>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</si>
  <si>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</si>
  <si>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</si>
  <si>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</si>
  <si>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</si>
  <si>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</si>
  <si>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</si>
  <si>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</si>
  <si>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</si>
  <si>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</si>
  <si>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</si>
  <si>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</si>
  <si>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</si>
  <si>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</si>
  <si>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</si>
  <si>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</si>
  <si>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</si>
  <si>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</si>
  <si>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</si>
  <si>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</si>
  <si>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</si>
  <si>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</si>
  <si>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</si>
  <si>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</si>
  <si>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</si>
  <si>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</si>
  <si>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</si>
  <si>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</si>
  <si>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</si>
  <si>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</si>
  <si>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</si>
  <si>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</si>
  <si>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</si>
  <si>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</si>
  <si>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</si>
  <si>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</si>
  <si>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</si>
  <si>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</si>
  <si>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</si>
  <si>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</si>
  <si>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</si>
  <si>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</si>
  <si>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</si>
  <si>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</si>
  <si>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</si>
  <si>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</si>
  <si>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</si>
  <si>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</si>
  <si>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</si>
  <si>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</si>
  <si>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</si>
  <si>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</si>
  <si>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</si>
  <si>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</si>
  <si>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</si>
  <si>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</si>
  <si>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</si>
  <si>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</si>
  <si>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</si>
  <si>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</si>
  <si>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</si>
  <si>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</si>
  <si>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</si>
  <si>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</si>
  <si>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</si>
  <si>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</si>
  <si>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</si>
  <si>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</si>
  <si>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</si>
  <si>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</si>
  <si>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</si>
  <si>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</si>
  <si>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</si>
  <si>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</si>
  <si>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</si>
  <si>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</si>
  <si>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</si>
  <si>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</si>
  <si>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</si>
  <si>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</si>
  <si>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</si>
  <si>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</si>
  <si>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</si>
  <si>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</si>
  <si>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</si>
  <si>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</si>
  <si>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</si>
  <si>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</si>
  <si>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</si>
  <si>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</si>
  <si>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</si>
  <si>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</si>
  <si>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</si>
  <si>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</si>
  <si>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</si>
  <si>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</si>
  <si>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</si>
  <si>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</si>
  <si>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</si>
  <si>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</si>
  <si>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</si>
  <si>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</si>
  <si>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</si>
  <si>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</si>
  <si>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</si>
  <si>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</si>
  <si>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</si>
  <si>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</si>
  <si>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</si>
  <si>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</si>
  <si>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</si>
  <si>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</si>
  <si>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</si>
  <si>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</si>
  <si>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</si>
  <si>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</si>
  <si>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</si>
  <si>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</si>
  <si>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</si>
  <si>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</si>
  <si>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</si>
  <si>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</si>
  <si>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</si>
  <si>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</si>
  <si>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</si>
  <si>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</si>
  <si>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</si>
  <si>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</si>
  <si>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</si>
  <si>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</si>
  <si>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</si>
  <si>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</si>
  <si>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</si>
  <si>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</si>
  <si>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</si>
  <si>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</si>
  <si>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</si>
  <si>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</si>
  <si>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</si>
  <si>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</si>
  <si>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</si>
  <si>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</si>
  <si>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</si>
  <si>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</si>
  <si>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</si>
  <si>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</si>
  <si>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</si>
  <si>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</si>
  <si>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</si>
  <si>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</si>
  <si>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</si>
  <si>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</si>
  <si>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</si>
  <si>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</si>
  <si>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</si>
  <si>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</si>
  <si>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</si>
  <si>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</si>
  <si>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</si>
  <si>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</si>
  <si>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</si>
  <si>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</si>
  <si>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</si>
  <si>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</si>
  <si>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</si>
  <si>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</si>
  <si>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</si>
  <si>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</si>
  <si>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</si>
  <si>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</si>
  <si>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</si>
  <si>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</si>
  <si>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</si>
  <si>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</si>
  <si>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</si>
  <si>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</si>
  <si>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</si>
  <si>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</si>
  <si>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</si>
  <si>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</si>
  <si>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</si>
  <si>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</si>
  <si>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</si>
  <si>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</si>
  <si>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</si>
  <si>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</si>
  <si>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</si>
  <si>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</si>
  <si>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</si>
  <si>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</si>
  <si>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</si>
  <si>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</si>
  <si>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</si>
  <si>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</si>
  <si>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</si>
  <si>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</si>
  <si>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</si>
  <si>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</si>
  <si>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</si>
  <si>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</si>
  <si>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</si>
  <si>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</si>
  <si>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</si>
  <si>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</si>
  <si>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</si>
  <si>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</si>
  <si>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</si>
  <si>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</si>
  <si>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</si>
  <si>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</si>
  <si>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</si>
  <si>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</si>
  <si>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</si>
  <si>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</si>
  <si>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</si>
  <si>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</si>
  <si>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</si>
  <si>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</si>
  <si>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</si>
  <si>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</si>
  <si>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</si>
  <si>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</si>
  <si>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</si>
  <si>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</si>
  <si>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</si>
  <si>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</si>
  <si>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</si>
  <si>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</si>
  <si>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</si>
  <si>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</si>
  <si>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</si>
  <si>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</si>
  <si>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</si>
  <si>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</si>
  <si>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</si>
  <si>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</si>
  <si>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</si>
  <si>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</si>
  <si>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</si>
  <si>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</si>
  <si>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</si>
  <si>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</si>
  <si>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</si>
  <si>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</si>
  <si>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</si>
  <si>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</si>
  <si>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</si>
  <si>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</si>
  <si>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</si>
  <si>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</si>
  <si>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</si>
  <si>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</si>
  <si>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</si>
  <si>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</si>
  <si>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</si>
  <si>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</si>
  <si>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</si>
  <si>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</si>
  <si>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</si>
  <si>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</si>
  <si>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</si>
  <si>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</si>
  <si>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</si>
  <si>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</si>
  <si>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</si>
  <si>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</si>
  <si>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</si>
  <si>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</si>
  <si>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</si>
  <si>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</si>
  <si>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</si>
  <si>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</si>
  <si>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</si>
  <si>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</si>
  <si>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</si>
  <si>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</si>
  <si>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</si>
  <si>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</si>
  <si>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</si>
  <si>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</si>
  <si>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</si>
  <si>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</si>
  <si>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</si>
  <si>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</si>
  <si>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</si>
  <si>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</si>
  <si>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</si>
  <si>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</si>
  <si>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</si>
  <si>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</si>
  <si>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</si>
  <si>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</si>
  <si>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</si>
  <si>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</si>
  <si>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</si>
  <si>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</si>
  <si>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</si>
  <si>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</si>
  <si>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</si>
  <si>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</si>
  <si>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</si>
  <si>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</si>
  <si>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</si>
  <si>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</si>
  <si>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</si>
  <si>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</si>
  <si>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</si>
  <si>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</si>
  <si>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</si>
  <si>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</si>
  <si>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</si>
  <si>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</si>
  <si>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</si>
  <si>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</si>
  <si>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</si>
  <si>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</si>
  <si>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</si>
  <si>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</si>
  <si>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</si>
  <si>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</si>
  <si>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</si>
  <si>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</si>
  <si>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</si>
  <si>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</si>
  <si>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</si>
  <si>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</si>
  <si>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</si>
  <si>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</si>
  <si>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</si>
  <si>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</si>
  <si>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</si>
  <si>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</si>
  <si>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</si>
  <si>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</si>
  <si>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</si>
  <si>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</si>
  <si>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</si>
  <si>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</si>
  <si>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</si>
  <si>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</si>
  <si>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</si>
  <si>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</si>
  <si>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</si>
  <si>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</si>
  <si>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</si>
  <si>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</si>
  <si>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</si>
  <si>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</si>
  <si>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</si>
  <si>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</si>
  <si>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</si>
  <si>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</si>
  <si>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</si>
  <si>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</si>
  <si>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</si>
  <si>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</si>
  <si>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</si>
  <si>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</si>
  <si>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</si>
  <si>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</si>
  <si>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</si>
  <si>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</si>
  <si>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</si>
  <si>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</si>
  <si>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</si>
  <si>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</si>
  <si>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</si>
  <si>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</si>
  <si>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</si>
  <si>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</si>
  <si>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</si>
  <si>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</si>
  <si>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</si>
  <si>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</si>
  <si>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</si>
  <si>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</si>
  <si>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</si>
  <si>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</si>
  <si>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</si>
  <si>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</si>
  <si>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</si>
  <si>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</si>
  <si>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</si>
  <si>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</si>
  <si>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</si>
  <si>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</si>
  <si>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</si>
  <si>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</si>
  <si>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</si>
  <si>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</si>
  <si>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</si>
  <si>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</si>
  <si>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</si>
  <si>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</si>
  <si>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</si>
  <si>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</si>
  <si>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</si>
  <si>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</si>
  <si>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</si>
  <si>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</si>
  <si>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</si>
  <si>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</si>
  <si>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</si>
  <si>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</si>
  <si>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</si>
  <si>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</si>
  <si>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</si>
  <si>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</si>
  <si>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</si>
  <si>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</si>
  <si>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</si>
  <si>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</si>
  <si>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</si>
  <si>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</si>
  <si>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</si>
  <si>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</si>
  <si>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</si>
  <si>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</si>
  <si>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</si>
  <si>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</si>
  <si>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</si>
  <si>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</si>
  <si>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</si>
  <si>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</si>
  <si>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</si>
  <si>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</si>
  <si>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</si>
  <si>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</si>
  <si>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</si>
  <si>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</si>
  <si>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</si>
  <si>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</si>
  <si>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</si>
  <si>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</si>
  <si>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</si>
  <si>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</si>
  <si>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</si>
  <si>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</si>
  <si>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</si>
  <si>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</si>
  <si>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</si>
  <si>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</si>
  <si>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</si>
  <si>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</si>
  <si>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</si>
  <si>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</si>
  <si>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</si>
  <si>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</si>
  <si>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</si>
  <si>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>Guyott, Matt</t>
  </si>
  <si>
    <t>CA-6625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</si>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</sst>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4" xfId="0" applyNumberFormat="1" applyFont="1" applyBorder="1" applyAlignment="1">
      <alignment horizontal="center"/>
    </xf>
    <xf numFmtId="167" fontId="0" fillId="0" borderId="1" xfId="0" applyNumberFormat="1" applyBorder="1" applyAlignment="1" applyProtection="1">
      <alignment horizontal="center"/>
      <protection locked="0"/>
    </xf>
    <xf numFmtId="16" fontId="0" fillId="0" borderId="1" xfId="0" applyNumberFormat="1" applyBorder="1" applyAlignment="1" applyProtection="1">
      <alignment horizontal="center"/>
      <protection locked="0"/>
    </xf>
    <xf numFmtId="0" fontId="1" fillId="0" borderId="1" xfId="0" applyFont="1" applyBorder="1"/>
    <xf numFmtId="1" fontId="1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0" fontId="1" fillId="0" borderId="3" xfId="0" applyFont="1" applyBorder="1"/>
    <xf numFmtId="1" fontId="0" fillId="0" borderId="0" xfId="0" applyNumberFormat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152400</xdr:rowOff>
        </xdr:from>
        <xdr:to>
          <xdr:col>21</xdr:col>
          <xdr:colOff>1133475</xdr:colOff>
          <xdr:row>5</xdr:row>
          <xdr:rowOff>171450</xdr:rowOff>
        </xdr:to>
        <xdr:sp macro="" textlink="">
          <xdr:nvSpPr>
            <xdr:cNvPr id="1070" name="WhereAmI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Player 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65" t="s">
        <v>586</v>
      </c>
      <c r="C1" s="119" t="s">
        <v>605</v>
      </c>
      <c r="D1" s="120"/>
      <c r="E1" s="121"/>
      <c r="F1" s="72"/>
      <c r="G1" s="72"/>
      <c r="H1" s="72"/>
    </row>
    <row r="2" spans="1:8" ht="15.75" thickBot="1" x14ac:dyDescent="0.3"/>
    <row r="3" spans="1:8" ht="16.5" thickBot="1" x14ac:dyDescent="0.3">
      <c r="A3" s="64" t="s">
        <v>587</v>
      </c>
      <c r="C3" s="124"/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64" t="s">
        <v>588</v>
      </c>
      <c r="C5" s="124"/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64" t="s">
        <v>589</v>
      </c>
      <c r="C7" s="124"/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64" t="s">
        <v>590</v>
      </c>
      <c r="C9" s="103"/>
    </row>
    <row r="10" spans="1:8" ht="15.75" thickBot="1" x14ac:dyDescent="0.3"/>
    <row r="11" spans="1:8" ht="16.5" thickBot="1" x14ac:dyDescent="0.3">
      <c r="A11" s="64" t="s">
        <v>591</v>
      </c>
      <c r="C11" s="122"/>
      <c r="D11" s="123"/>
      <c r="E11" s="122"/>
      <c r="F11" s="123"/>
      <c r="G11" s="122"/>
      <c r="H11" s="123"/>
    </row>
    <row r="12" spans="1:8" ht="16.5" thickBot="1" x14ac:dyDescent="0.3">
      <c r="A12" s="64"/>
      <c r="C12" s="6"/>
      <c r="D12" s="6"/>
      <c r="E12" s="6"/>
      <c r="F12" s="6"/>
      <c r="G12" s="6"/>
      <c r="H12" s="6"/>
    </row>
    <row r="13" spans="1:8" ht="16.5" thickBot="1" x14ac:dyDescent="0.3">
      <c r="A13" s="64" t="s">
        <v>511</v>
      </c>
      <c r="C13" s="122"/>
      <c r="D13" s="123"/>
      <c r="E13" s="122"/>
      <c r="F13" s="123"/>
      <c r="G13" s="122"/>
      <c r="H13" s="123"/>
    </row>
    <row r="14" spans="1:8" ht="16.5" thickBot="1" x14ac:dyDescent="0.3">
      <c r="A14" s="64"/>
      <c r="C14" s="6"/>
      <c r="D14" s="6"/>
      <c r="E14" s="6"/>
      <c r="F14" s="6"/>
      <c r="G14" s="6"/>
      <c r="H14" s="6"/>
    </row>
    <row r="15" spans="1:8" ht="16.5" customHeight="1" thickBot="1" x14ac:dyDescent="0.3">
      <c r="A15" s="64" t="s">
        <v>592</v>
      </c>
      <c r="C15" s="122"/>
      <c r="D15" s="123"/>
      <c r="E15" s="122"/>
      <c r="F15" s="123"/>
      <c r="G15" s="122"/>
      <c r="H15" s="123"/>
    </row>
    <row r="20" spans="11:11" x14ac:dyDescent="0.25">
      <c r="K20" s="67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65" t="s">
        <v>593</v>
      </c>
    </row>
    <row r="2" spans="1:7" ht="19.5" thickBot="1" x14ac:dyDescent="0.35">
      <c r="C2" s="128" t="s">
        <v>605</v>
      </c>
      <c r="D2" s="129"/>
      <c r="E2" s="129"/>
      <c r="F2" s="129"/>
      <c r="G2" s="130"/>
    </row>
    <row r="3" spans="1:7" ht="18.75" x14ac:dyDescent="0.3">
      <c r="C3" s="71"/>
      <c r="D3" s="71"/>
      <c r="E3" s="71"/>
      <c r="F3" s="71"/>
      <c r="G3" s="71"/>
    </row>
    <row r="4" spans="1:7" x14ac:dyDescent="0.25">
      <c r="A4" s="33" t="s">
        <v>595</v>
      </c>
      <c r="B4" s="127">
        <f>Tourney!$C$3</f>
        <v>0</v>
      </c>
      <c r="C4" s="127"/>
      <c r="D4" s="127"/>
      <c r="E4" s="127"/>
      <c r="F4" s="127"/>
    </row>
    <row r="5" spans="1:7" x14ac:dyDescent="0.25">
      <c r="A5" s="33" t="s">
        <v>607</v>
      </c>
      <c r="B5" s="132">
        <f>Tourney!$C$5</f>
        <v>0</v>
      </c>
      <c r="C5" s="132"/>
      <c r="D5" s="132"/>
      <c r="E5" s="132"/>
      <c r="F5" s="132"/>
    </row>
    <row r="6" spans="1:7" x14ac:dyDescent="0.25">
      <c r="A6" s="33" t="s">
        <v>609</v>
      </c>
      <c r="B6" s="132">
        <f>Tourney!$C$7</f>
        <v>0</v>
      </c>
      <c r="C6" s="132"/>
      <c r="D6" s="132"/>
      <c r="E6" s="132"/>
      <c r="F6" s="132"/>
    </row>
    <row r="7" spans="1:7" x14ac:dyDescent="0.25">
      <c r="A7" s="33" t="s">
        <v>594</v>
      </c>
      <c r="B7" s="84">
        <f>Tourney!$C$9</f>
        <v>0</v>
      </c>
      <c r="C7" s="6"/>
      <c r="D7" s="6"/>
      <c r="E7" s="6"/>
      <c r="F7" s="6"/>
    </row>
    <row r="9" spans="1:7" ht="15.75" thickBot="1" x14ac:dyDescent="0.3">
      <c r="A9" s="33"/>
      <c r="B9" s="73"/>
    </row>
    <row r="10" spans="1:7" ht="15.75" thickBot="1" x14ac:dyDescent="0.3">
      <c r="A10" s="33" t="s">
        <v>608</v>
      </c>
      <c r="B10" s="105"/>
      <c r="C10" s="33" t="s">
        <v>602</v>
      </c>
      <c r="D10" s="105"/>
    </row>
    <row r="11" spans="1:7" ht="15.75" thickBot="1" x14ac:dyDescent="0.3"/>
    <row r="12" spans="1:7" ht="15.75" thickBot="1" x14ac:dyDescent="0.3">
      <c r="A12" s="33" t="s">
        <v>600</v>
      </c>
      <c r="B12" s="75"/>
    </row>
    <row r="13" spans="1:7" ht="15.75" thickBot="1" x14ac:dyDescent="0.3"/>
    <row r="14" spans="1:7" ht="15.75" thickBot="1" x14ac:dyDescent="0.3">
      <c r="A14" s="33" t="s">
        <v>596</v>
      </c>
      <c r="B14" s="75"/>
    </row>
    <row r="15" spans="1:7" x14ac:dyDescent="0.25">
      <c r="C15" s="131" t="s">
        <v>606</v>
      </c>
      <c r="D15" s="131"/>
      <c r="E15" s="131"/>
      <c r="F15" s="131"/>
    </row>
    <row r="16" spans="1:7" ht="19.5" thickBot="1" x14ac:dyDescent="0.35">
      <c r="A16" s="33" t="s">
        <v>597</v>
      </c>
      <c r="B16" s="33"/>
      <c r="C16" s="88">
        <v>1</v>
      </c>
      <c r="D16" s="88">
        <v>2</v>
      </c>
      <c r="E16" s="88">
        <v>3</v>
      </c>
      <c r="F16" s="88">
        <v>4</v>
      </c>
    </row>
    <row r="17" spans="1:8" ht="15.75" thickBot="1" x14ac:dyDescent="0.3">
      <c r="B17" s="69" t="s">
        <v>601</v>
      </c>
      <c r="C17" s="76"/>
      <c r="D17" s="76"/>
      <c r="E17" s="76"/>
      <c r="F17" s="76"/>
      <c r="H17" s="70" t="s">
        <v>603</v>
      </c>
    </row>
    <row r="18" spans="1:8" ht="15.75" thickBot="1" x14ac:dyDescent="0.3">
      <c r="B18" s="69" t="s">
        <v>602</v>
      </c>
      <c r="C18" s="104"/>
      <c r="D18" s="104"/>
      <c r="E18" s="104"/>
      <c r="F18" s="104"/>
      <c r="H18" s="70" t="s">
        <v>604</v>
      </c>
    </row>
    <row r="21" spans="1:8" x14ac:dyDescent="0.25">
      <c r="A21" s="74" t="s">
        <v>612</v>
      </c>
    </row>
    <row r="22" spans="1:8" ht="15.75" thickBot="1" x14ac:dyDescent="0.3"/>
    <row r="23" spans="1:8" ht="15.75" thickBot="1" x14ac:dyDescent="0.3">
      <c r="A23" s="33" t="s">
        <v>610</v>
      </c>
      <c r="B23" s="106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3" t="s">
        <v>611</v>
      </c>
      <c r="B25" s="75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5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3" customWidth="1"/>
    <col min="2" max="2" width="8.42578125" style="13" customWidth="1"/>
    <col min="3" max="3" width="24.28515625" style="13" customWidth="1"/>
    <col min="4" max="4" width="22.140625" style="13" customWidth="1"/>
    <col min="5" max="5" width="9.85546875" style="36" customWidth="1"/>
    <col min="6" max="6" width="15.42578125" style="36" customWidth="1"/>
    <col min="7" max="7" width="33.140625" style="36" customWidth="1"/>
    <col min="8" max="8" width="6.5703125" style="13" customWidth="1"/>
    <col min="9" max="9" width="7.7109375" style="13" customWidth="1"/>
    <col min="10" max="10" width="6.42578125" style="13" customWidth="1"/>
    <col min="11" max="11" width="6.5703125" style="13" customWidth="1"/>
    <col min="12" max="12" width="6.42578125" style="13" customWidth="1"/>
    <col min="13" max="13" width="8.140625" style="13" customWidth="1"/>
    <col min="14" max="14" width="11.140625" style="13" customWidth="1"/>
    <col min="15" max="15" width="11.5703125" style="13" customWidth="1"/>
    <col min="16" max="16" width="8.140625" style="14" customWidth="1"/>
    <col min="17" max="17" width="7.140625" style="15" customWidth="1"/>
    <col min="18" max="18" width="12.28515625" style="13" customWidth="1"/>
    <col min="19" max="19" width="12.28515625" style="15" customWidth="1"/>
    <col min="20" max="20" width="12.28515625" style="27" customWidth="1"/>
    <col min="21" max="21" width="9.28515625" style="27" customWidth="1"/>
    <col min="22" max="22" width="17.42578125" style="27" customWidth="1"/>
    <col min="23" max="23" width="30.5703125" style="13" customWidth="1"/>
    <col min="24" max="25" width="9.140625" style="13" customWidth="1"/>
    <col min="26" max="16384" width="9.140625" style="13"/>
  </cols>
  <sheetData>
    <row r="1" spans="1:25" ht="17.25" customHeight="1" x14ac:dyDescent="0.3">
      <c r="A1" s="66" t="s">
        <v>582</v>
      </c>
      <c r="D1" s="14"/>
      <c r="L1" s="38"/>
    </row>
    <row r="2" spans="1:25" ht="16.5" customHeight="1" x14ac:dyDescent="0.25">
      <c r="A2" s="12"/>
      <c r="D2" s="14"/>
      <c r="H2" s="14" t="s">
        <v>587</v>
      </c>
      <c r="I2" s="14"/>
      <c r="K2" s="133">
        <f>Tourney!$C$3</f>
        <v>0</v>
      </c>
      <c r="L2" s="133"/>
      <c r="M2" s="133"/>
      <c r="N2" s="133"/>
    </row>
    <row r="3" spans="1:25" ht="16.5" customHeight="1" x14ac:dyDescent="0.25">
      <c r="A3" s="89" t="s">
        <v>581</v>
      </c>
      <c r="B3"/>
      <c r="C3"/>
      <c r="H3" s="14" t="s">
        <v>599</v>
      </c>
      <c r="I3" s="14"/>
      <c r="K3" s="133">
        <f>Tourney!$C$5</f>
        <v>0</v>
      </c>
      <c r="L3" s="133"/>
      <c r="M3" s="133"/>
      <c r="N3" s="133"/>
    </row>
    <row r="4" spans="1:25" ht="16.5" customHeight="1" x14ac:dyDescent="0.25">
      <c r="A4" s="12"/>
      <c r="H4" s="14" t="s">
        <v>598</v>
      </c>
      <c r="I4" s="14"/>
      <c r="K4" s="133">
        <f>Tourney!$C$7</f>
        <v>0</v>
      </c>
      <c r="L4" s="133"/>
      <c r="M4" s="133"/>
      <c r="N4" s="133"/>
    </row>
    <row r="5" spans="1:25" ht="16.5" customHeight="1" x14ac:dyDescent="0.25">
      <c r="A5" s="12"/>
      <c r="H5" s="14" t="s">
        <v>590</v>
      </c>
      <c r="I5" s="14"/>
      <c r="K5" s="134">
        <f>Tourney!$C$9</f>
        <v>0</v>
      </c>
      <c r="L5" s="134"/>
    </row>
    <row r="6" spans="1:25" x14ac:dyDescent="0.25">
      <c r="Q6" s="16"/>
      <c r="U6" s="42"/>
      <c r="V6" s="42"/>
    </row>
    <row r="7" spans="1:25" ht="15.75" customHeight="1" x14ac:dyDescent="0.25">
      <c r="C7" s="14"/>
      <c r="D7" s="14"/>
      <c r="H7" s="87"/>
      <c r="J7" s="86" t="s">
        <v>618</v>
      </c>
      <c r="Q7" s="16"/>
      <c r="U7" s="42"/>
      <c r="V7" s="42"/>
    </row>
    <row r="8" spans="1:25" ht="15.75" customHeight="1" x14ac:dyDescent="0.25">
      <c r="C8" s="14"/>
      <c r="D8" s="14"/>
      <c r="J8" s="85" t="s">
        <v>619</v>
      </c>
      <c r="Q8" s="16"/>
      <c r="U8" s="42"/>
      <c r="V8" s="42"/>
    </row>
    <row r="9" spans="1:25" ht="15.75" customHeight="1" x14ac:dyDescent="0.25">
      <c r="C9" s="14"/>
      <c r="D9" s="14"/>
      <c r="N9" s="79"/>
      <c r="Q9" s="16"/>
      <c r="U9" s="42"/>
      <c r="V9" s="42"/>
    </row>
    <row r="10" spans="1:25" ht="15.75" customHeight="1" x14ac:dyDescent="0.25">
      <c r="A10" s="77"/>
      <c r="B10" s="78">
        <f>COUNTIF(B12:B319,"&lt;&gt;" &amp; "")</f>
        <v>0</v>
      </c>
      <c r="C10" s="63"/>
      <c r="D10" s="63"/>
      <c r="H10" s="78">
        <f t="shared" ref="H10:N10" si="0">COUNTIF(H12:H408,"&lt;&gt;" &amp; "")</f>
        <v>0</v>
      </c>
      <c r="I10" s="78">
        <f t="shared" si="0"/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116">
        <f>SUM(O12:O408)</f>
        <v>0</v>
      </c>
      <c r="P10" s="35"/>
      <c r="Q10" s="16"/>
      <c r="R10" s="17">
        <f>SUM(R12:R408)</f>
        <v>0</v>
      </c>
      <c r="S10" s="17">
        <f>SUM(S12:S408)</f>
        <v>0</v>
      </c>
      <c r="T10" s="17">
        <f>SUM(T12:T408)</f>
        <v>0</v>
      </c>
      <c r="U10" s="78">
        <f>COUNTIF(U12:U408,"&lt;&gt;" &amp; "")</f>
        <v>0</v>
      </c>
      <c r="V10" s="35"/>
      <c r="X10" s="56"/>
      <c r="Y10" s="57"/>
    </row>
    <row r="11" spans="1:25" ht="30" x14ac:dyDescent="0.25">
      <c r="A11" s="60"/>
      <c r="B11" s="18" t="s">
        <v>583</v>
      </c>
      <c r="C11" s="20" t="s">
        <v>0</v>
      </c>
      <c r="D11" s="21" t="s">
        <v>1</v>
      </c>
      <c r="E11" s="22" t="s">
        <v>2</v>
      </c>
      <c r="F11" s="46" t="s">
        <v>511</v>
      </c>
      <c r="G11" s="46" t="s">
        <v>512</v>
      </c>
      <c r="H11" s="19" t="str">
        <f>IF([0]!FMainPool1Type=1,"Equal Pool",IF([0]!FMainPool1Type=2,"!:6 Grad",""))</f>
        <v/>
      </c>
      <c r="I11" s="19" t="str">
        <f>IF([0]!FMainPool2type=1,"Equal Pool", IF([0]!FMainPool2type=2,"1:6 Grad",""))</f>
        <v/>
      </c>
      <c r="J11" s="19" t="str">
        <f>IF([0]!FMainPool3Type=1,"Equal Pool",IF([0]!FMainPool3Type=2,"!:6 Grad",""))</f>
        <v/>
      </c>
      <c r="K11" s="19" t="str">
        <f>IF([0]!FMainPool4Type=1,"Equal Pool",IF([0]!FMainPool4Type=2,"!:6 Grad",""))</f>
        <v/>
      </c>
      <c r="L11" s="19" t="s">
        <v>3</v>
      </c>
      <c r="M11" s="19" t="s">
        <v>585</v>
      </c>
      <c r="N11" s="19" t="s">
        <v>4</v>
      </c>
      <c r="O11" s="23" t="s">
        <v>616</v>
      </c>
      <c r="P11" s="24" t="s">
        <v>18</v>
      </c>
      <c r="Q11" s="24" t="s">
        <v>584</v>
      </c>
      <c r="R11" s="25" t="s">
        <v>71</v>
      </c>
      <c r="S11" s="25" t="s">
        <v>72</v>
      </c>
      <c r="T11" s="30" t="s">
        <v>617</v>
      </c>
      <c r="U11" s="68" t="s">
        <v>356</v>
      </c>
      <c r="V11" s="33"/>
      <c r="W11" s="14"/>
      <c r="X11" s="29"/>
      <c r="Y11" s="58"/>
    </row>
    <row r="12" spans="1:25" ht="15" customHeight="1" x14ac:dyDescent="0.25">
      <c r="A12" s="26">
        <f t="shared" ref="A12:A74" si="1">ROW() - ROW(FRegEntriesEnteredHdr)</f>
        <v>1</v>
      </c>
      <c r="B12" s="11"/>
      <c r="C12" s="8" t="s">
        <v>323</v>
      </c>
      <c r="D12" s="8" t="s">
        <v>324</v>
      </c>
      <c r="E12" s="9" t="s">
        <v>325</v>
      </c>
      <c r="F12" s="49"/>
      <c r="G12" s="5" t="s">
        <v>408</v>
      </c>
      <c r="H12" s="10"/>
      <c r="I12" s="11"/>
      <c r="J12" s="11"/>
      <c r="K12" s="11"/>
      <c r="L12" s="11"/>
      <c r="M12" s="11"/>
      <c r="N12" s="11"/>
      <c r="O12" s="109">
        <f t="shared" ref="O12:O43" si="2">T12*N12</f>
        <v>0</v>
      </c>
      <c r="P12" s="11"/>
      <c r="Q12" s="11"/>
      <c r="R12" s="113" t="str">
        <f t="shared" ref="R12:R43" si="3">IF(OR(P12="c",P12="C"),+T12,"")</f>
        <v/>
      </c>
      <c r="S12" s="113" t="str">
        <f t="shared" ref="S12:S43" si="4">IF(OR(P12="$",N12=1),+T12,"")</f>
        <v/>
      </c>
      <c r="T12" s="114">
        <f>H12*[0]!FMainPool1Fee+I12*[0]!FMainPool2Fee+J12*[0]!FMainPool3Fee+K12*[0]!FMainPool4Fee+B12*[0]!FMainEntryFee</f>
        <v>0</v>
      </c>
      <c r="U12" s="28"/>
      <c r="V12" s="100"/>
      <c r="X12" s="112"/>
      <c r="Y12" s="112"/>
    </row>
    <row r="13" spans="1:25" ht="15" customHeight="1" x14ac:dyDescent="0.25">
      <c r="A13" s="26">
        <f t="shared" si="1"/>
        <v>2</v>
      </c>
      <c r="B13" s="11"/>
      <c r="C13" s="1" t="s">
        <v>30</v>
      </c>
      <c r="D13" s="1" t="s">
        <v>31</v>
      </c>
      <c r="E13" s="2" t="s">
        <v>218</v>
      </c>
      <c r="F13" s="6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09">
        <f t="shared" si="2"/>
        <v>0</v>
      </c>
      <c r="P13" s="11"/>
      <c r="Q13" s="11"/>
      <c r="R13" s="113" t="str">
        <f t="shared" si="3"/>
        <v/>
      </c>
      <c r="S13" s="113" t="str">
        <f t="shared" si="4"/>
        <v/>
      </c>
      <c r="T13" s="114">
        <f>H13*[0]!FMainPool1Fee+I13*[0]!FMainPool2Fee+J13*[0]!FMainPool3Fee+K13*[0]!FMainPool4Fee+B13*[0]!FMainEntryFee</f>
        <v>0</v>
      </c>
      <c r="U13" s="28"/>
      <c r="V13" s="6"/>
      <c r="X13" s="59"/>
      <c r="Y13" s="59"/>
    </row>
    <row r="14" spans="1:25" ht="15" customHeight="1" x14ac:dyDescent="0.25">
      <c r="A14" s="26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49"/>
      <c r="G14" s="8" t="s">
        <v>375</v>
      </c>
      <c r="H14" s="3"/>
      <c r="I14" s="3"/>
      <c r="J14" s="3"/>
      <c r="K14" s="4"/>
      <c r="L14" s="4"/>
      <c r="M14" s="4"/>
      <c r="N14" s="4"/>
      <c r="O14" s="109">
        <f t="shared" si="2"/>
        <v>0</v>
      </c>
      <c r="P14" s="99"/>
      <c r="Q14" s="99"/>
      <c r="R14" s="113" t="str">
        <f t="shared" si="3"/>
        <v/>
      </c>
      <c r="S14" s="113" t="str">
        <f t="shared" si="4"/>
        <v/>
      </c>
      <c r="T14" s="114">
        <f>H14*[0]!FMainPool1Fee+I14*[0]!FMainPool2Fee+J14*[0]!FMainPool3Fee+K14*[0]!FMainPool4Fee+B14*[0]!FMainEntryFee</f>
        <v>0</v>
      </c>
      <c r="U14" s="40"/>
      <c r="V14" s="100"/>
      <c r="W14" s="97"/>
      <c r="X14" s="59"/>
      <c r="Y14" s="59"/>
    </row>
    <row r="15" spans="1:25" ht="15" customHeight="1" x14ac:dyDescent="0.25">
      <c r="A15" s="26">
        <f t="shared" si="1"/>
        <v>4</v>
      </c>
      <c r="B15" s="11"/>
      <c r="C15" s="8" t="s">
        <v>459</v>
      </c>
      <c r="D15" s="8" t="s">
        <v>513</v>
      </c>
      <c r="E15" s="9" t="s">
        <v>486</v>
      </c>
      <c r="F15" s="49">
        <v>9098875893</v>
      </c>
      <c r="G15" s="41" t="s">
        <v>567</v>
      </c>
      <c r="H15" s="10"/>
      <c r="I15" s="11"/>
      <c r="J15" s="11"/>
      <c r="K15" s="11"/>
      <c r="L15" s="11"/>
      <c r="M15" s="11"/>
      <c r="N15" s="11"/>
      <c r="O15" s="109">
        <f t="shared" si="2"/>
        <v>0</v>
      </c>
      <c r="P15" s="11"/>
      <c r="Q15" s="11"/>
      <c r="R15" s="113" t="str">
        <f t="shared" si="3"/>
        <v/>
      </c>
      <c r="S15" s="113" t="str">
        <f t="shared" si="4"/>
        <v/>
      </c>
      <c r="T15" s="114">
        <f>H15*[0]!FMainPool1Fee+I15*[0]!FMainPool2Fee+J15*[0]!FMainPool3Fee+K15*[0]!FMainPool4Fee+B15*[0]!FMainEntryFee</f>
        <v>0</v>
      </c>
      <c r="U15" s="28"/>
      <c r="V15" s="100"/>
      <c r="W15" s="98"/>
      <c r="X15" s="59"/>
      <c r="Y15" s="59"/>
    </row>
    <row r="16" spans="1:25" ht="15" customHeight="1" x14ac:dyDescent="0.25">
      <c r="A16" s="26">
        <f t="shared" si="1"/>
        <v>5</v>
      </c>
      <c r="B16" s="11"/>
      <c r="C16" s="8" t="s">
        <v>314</v>
      </c>
      <c r="D16" s="8" t="s">
        <v>15</v>
      </c>
      <c r="E16" s="9" t="s">
        <v>315</v>
      </c>
      <c r="F16" s="49"/>
      <c r="G16" s="5" t="s">
        <v>383</v>
      </c>
      <c r="H16" s="10"/>
      <c r="I16" s="11"/>
      <c r="J16" s="11"/>
      <c r="K16" s="11"/>
      <c r="L16" s="11"/>
      <c r="M16" s="11"/>
      <c r="N16" s="11"/>
      <c r="O16" s="109">
        <f t="shared" si="2"/>
        <v>0</v>
      </c>
      <c r="P16" s="11"/>
      <c r="Q16" s="11"/>
      <c r="R16" s="113" t="str">
        <f t="shared" si="3"/>
        <v/>
      </c>
      <c r="S16" s="113" t="str">
        <f t="shared" si="4"/>
        <v/>
      </c>
      <c r="T16" s="114">
        <f>H16*[0]!FMainPool1Fee+I16*[0]!FMainPool2Fee+J16*[0]!FMainPool3Fee+K16*[0]!FMainPool4Fee+B16*[0]!FMainEntryFee</f>
        <v>0</v>
      </c>
      <c r="U16" s="28"/>
      <c r="V16" s="100"/>
      <c r="X16" s="59"/>
      <c r="Y16" s="59"/>
    </row>
    <row r="17" spans="1:26" ht="15" customHeight="1" x14ac:dyDescent="0.25">
      <c r="A17" s="26">
        <f t="shared" si="1"/>
        <v>6</v>
      </c>
      <c r="B17" s="11"/>
      <c r="C17" s="1" t="s">
        <v>14</v>
      </c>
      <c r="D17" s="1" t="s">
        <v>15</v>
      </c>
      <c r="E17" s="2" t="s">
        <v>185</v>
      </c>
      <c r="F17" s="52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09">
        <f t="shared" si="2"/>
        <v>0</v>
      </c>
      <c r="P17" s="11"/>
      <c r="Q17" s="11"/>
      <c r="R17" s="113" t="str">
        <f t="shared" si="3"/>
        <v/>
      </c>
      <c r="S17" s="113" t="str">
        <f t="shared" si="4"/>
        <v/>
      </c>
      <c r="T17" s="114">
        <f>H17*[0]!FMainPool1Fee+I17*[0]!FMainPool2Fee+J17*[0]!FMainPool3Fee+K17*[0]!FMainPool4Fee+B17*[0]!FMainEntryFee</f>
        <v>0</v>
      </c>
      <c r="U17" s="28"/>
      <c r="V17" s="102"/>
      <c r="X17" s="59"/>
      <c r="Y17" s="59"/>
    </row>
    <row r="18" spans="1:26" ht="15" customHeight="1" x14ac:dyDescent="0.25">
      <c r="A18" s="26">
        <f t="shared" si="1"/>
        <v>7</v>
      </c>
      <c r="B18" s="11"/>
      <c r="C18" s="8" t="s">
        <v>460</v>
      </c>
      <c r="D18" s="8" t="s">
        <v>94</v>
      </c>
      <c r="E18" s="9" t="s">
        <v>487</v>
      </c>
      <c r="F18" s="49">
        <v>5302775321</v>
      </c>
      <c r="G18" s="41" t="s">
        <v>568</v>
      </c>
      <c r="H18" s="10"/>
      <c r="I18" s="11"/>
      <c r="J18" s="11"/>
      <c r="K18" s="11"/>
      <c r="L18" s="11"/>
      <c r="M18" s="11"/>
      <c r="N18" s="11"/>
      <c r="O18" s="109">
        <f t="shared" si="2"/>
        <v>0</v>
      </c>
      <c r="P18" s="11"/>
      <c r="Q18" s="11"/>
      <c r="R18" s="113" t="str">
        <f t="shared" si="3"/>
        <v/>
      </c>
      <c r="S18" s="113" t="str">
        <f t="shared" si="4"/>
        <v/>
      </c>
      <c r="T18" s="114">
        <f>H18*[0]!FMainPool1Fee+I18*[0]!FMainPool2Fee+J18*[0]!FMainPool3Fee+K18*[0]!FMainPool4Fee+B18*[0]!FMainEntryFee</f>
        <v>0</v>
      </c>
      <c r="U18" s="28"/>
      <c r="V18" s="100"/>
      <c r="W18" s="98"/>
      <c r="X18" s="59"/>
      <c r="Y18" s="59"/>
    </row>
    <row r="19" spans="1:26" ht="15" customHeight="1" x14ac:dyDescent="0.25">
      <c r="A19" s="26">
        <f t="shared" si="1"/>
        <v>8</v>
      </c>
      <c r="B19" s="11"/>
      <c r="C19" s="7" t="s">
        <v>680</v>
      </c>
      <c r="D19" s="111"/>
      <c r="E19" s="78" t="s">
        <v>621</v>
      </c>
      <c r="F19" s="117"/>
      <c r="G19" s="111"/>
      <c r="H19" s="10"/>
      <c r="I19" s="11"/>
      <c r="J19" s="11"/>
      <c r="K19" s="11"/>
      <c r="L19" s="11"/>
      <c r="M19" s="11"/>
      <c r="N19" s="11"/>
      <c r="O19" s="109">
        <f t="shared" si="2"/>
        <v>0</v>
      </c>
      <c r="P19" s="11"/>
      <c r="Q19" s="11"/>
      <c r="R19" s="115" t="str">
        <f t="shared" si="3"/>
        <v/>
      </c>
      <c r="S19" s="115" t="str">
        <f t="shared" si="4"/>
        <v/>
      </c>
      <c r="T19" s="107">
        <f>H19*[0]!FMainPool1Fee+I19*[0]!FMainPool2Fee+J19*[0]!FMainPool3Fee+K19*[0]!FMainPool4Fee+B19*[0]!FMainEntryFee</f>
        <v>0</v>
      </c>
      <c r="U19" s="10"/>
      <c r="V19" s="100"/>
      <c r="X19" s="59"/>
      <c r="Y19" s="59"/>
    </row>
    <row r="20" spans="1:26" ht="15" customHeight="1" x14ac:dyDescent="0.25">
      <c r="A20" s="26">
        <f t="shared" si="1"/>
        <v>9</v>
      </c>
      <c r="B20" s="11"/>
      <c r="C20" s="7" t="s">
        <v>622</v>
      </c>
      <c r="D20" s="7" t="s">
        <v>623</v>
      </c>
      <c r="E20" s="48" t="s">
        <v>624</v>
      </c>
      <c r="F20" s="54"/>
      <c r="G20" s="7"/>
      <c r="H20" s="10"/>
      <c r="I20" s="10"/>
      <c r="J20" s="10"/>
      <c r="K20" s="10"/>
      <c r="L20" s="11"/>
      <c r="M20" s="11"/>
      <c r="N20" s="11"/>
      <c r="O20" s="109">
        <f t="shared" si="2"/>
        <v>0</v>
      </c>
      <c r="P20" s="11"/>
      <c r="Q20" s="99"/>
      <c r="R20" s="113" t="str">
        <f t="shared" si="3"/>
        <v/>
      </c>
      <c r="S20" s="113" t="str">
        <f t="shared" si="4"/>
        <v/>
      </c>
      <c r="T20" s="114">
        <f>H20*[0]!FMainPool1Fee+I20*[0]!FMainPool2Fee+J20*[0]!FMainPool3Fee+K20*[0]!FMainPool4Fee+B20*[0]!FMainEntryFee</f>
        <v>0</v>
      </c>
      <c r="U20" s="28"/>
      <c r="V20" s="100"/>
      <c r="X20" s="59"/>
      <c r="Y20" s="59"/>
    </row>
    <row r="21" spans="1:26" ht="15" customHeight="1" x14ac:dyDescent="0.25">
      <c r="A21" s="26">
        <f t="shared" si="1"/>
        <v>10</v>
      </c>
      <c r="B21" s="11"/>
      <c r="C21" s="8" t="s">
        <v>362</v>
      </c>
      <c r="D21" s="8" t="s">
        <v>363</v>
      </c>
      <c r="E21" s="9" t="s">
        <v>364</v>
      </c>
      <c r="F21" s="51"/>
      <c r="G21" s="5" t="s">
        <v>365</v>
      </c>
      <c r="H21" s="10"/>
      <c r="I21" s="11"/>
      <c r="J21" s="11"/>
      <c r="K21" s="11"/>
      <c r="L21" s="11"/>
      <c r="M21" s="11"/>
      <c r="N21" s="11"/>
      <c r="O21" s="109">
        <f t="shared" si="2"/>
        <v>0</v>
      </c>
      <c r="P21" s="11"/>
      <c r="Q21" s="11"/>
      <c r="R21" s="113" t="str">
        <f t="shared" si="3"/>
        <v/>
      </c>
      <c r="S21" s="113" t="str">
        <f t="shared" si="4"/>
        <v/>
      </c>
      <c r="T21" s="114">
        <f>H21*[0]!FMainPool1Fee+I21*[0]!FMainPool2Fee+J21*[0]!FMainPool3Fee+K21*[0]!FMainPool4Fee+B21*[0]!FMainEntryFee</f>
        <v>0</v>
      </c>
      <c r="U21" s="28"/>
      <c r="V21" s="101"/>
      <c r="W21" s="98"/>
      <c r="X21" s="59"/>
      <c r="Y21" s="59"/>
    </row>
    <row r="22" spans="1:26" ht="15" customHeight="1" x14ac:dyDescent="0.25">
      <c r="A22" s="26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1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09">
        <f t="shared" si="2"/>
        <v>0</v>
      </c>
      <c r="P22" s="99"/>
      <c r="Q22" s="99"/>
      <c r="R22" s="113" t="str">
        <f t="shared" si="3"/>
        <v/>
      </c>
      <c r="S22" s="113" t="str">
        <f t="shared" si="4"/>
        <v/>
      </c>
      <c r="T22" s="114">
        <f>H22*[0]!FMainPool1Fee+I22*[0]!FMainPool2Fee+J22*[0]!FMainPool3Fee+K22*[0]!FMainPool4Fee+B22*[0]!FMainEntryFee</f>
        <v>0</v>
      </c>
      <c r="U22" s="31"/>
      <c r="V22" s="100"/>
      <c r="W22"/>
      <c r="X22" s="59"/>
      <c r="Y22" s="59"/>
    </row>
    <row r="23" spans="1:26" ht="15" customHeight="1" x14ac:dyDescent="0.25">
      <c r="A23" s="26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3">
        <v>7078430109</v>
      </c>
      <c r="G23" s="41" t="s">
        <v>569</v>
      </c>
      <c r="H23" s="3"/>
      <c r="I23" s="3"/>
      <c r="J23" s="3"/>
      <c r="K23" s="4"/>
      <c r="L23" s="4"/>
      <c r="M23" s="4"/>
      <c r="N23" s="4"/>
      <c r="O23" s="109">
        <f t="shared" si="2"/>
        <v>0</v>
      </c>
      <c r="P23" s="99"/>
      <c r="Q23" s="99"/>
      <c r="R23" s="113" t="str">
        <f t="shared" si="3"/>
        <v/>
      </c>
      <c r="S23" s="113" t="str">
        <f t="shared" si="4"/>
        <v/>
      </c>
      <c r="T23" s="114">
        <f>H23*[0]!FMainPool1Fee+I23*[0]!FMainPool2Fee+J23*[0]!FMainPool3Fee+K23*[0]!FMainPool4Fee+B23*[0]!FMainEntryFee</f>
        <v>0</v>
      </c>
      <c r="U23" s="31"/>
      <c r="V23" s="100"/>
      <c r="X23" s="59"/>
      <c r="Y23" s="59"/>
    </row>
    <row r="24" spans="1:26" ht="15" customHeight="1" x14ac:dyDescent="0.25">
      <c r="A24" s="26">
        <f t="shared" si="1"/>
        <v>13</v>
      </c>
      <c r="B24" s="11"/>
      <c r="C24" s="8" t="s">
        <v>461</v>
      </c>
      <c r="D24" s="8" t="s">
        <v>514</v>
      </c>
      <c r="E24" s="9" t="s">
        <v>488</v>
      </c>
      <c r="F24" s="61">
        <v>8054892161</v>
      </c>
      <c r="G24" s="7" t="s">
        <v>570</v>
      </c>
      <c r="H24" s="10"/>
      <c r="I24" s="11"/>
      <c r="J24" s="11"/>
      <c r="K24" s="11"/>
      <c r="L24" s="11"/>
      <c r="M24" s="11"/>
      <c r="N24" s="11"/>
      <c r="O24" s="109">
        <f t="shared" si="2"/>
        <v>0</v>
      </c>
      <c r="P24" s="11"/>
      <c r="Q24" s="11"/>
      <c r="R24" s="113" t="str">
        <f t="shared" si="3"/>
        <v/>
      </c>
      <c r="S24" s="113" t="str">
        <f t="shared" si="4"/>
        <v/>
      </c>
      <c r="T24" s="114">
        <f>H24*[0]!FMainPool1Fee+I24*[0]!FMainPool2Fee+J24*[0]!FMainPool3Fee+K24*[0]!FMainPool4Fee+B24*[0]!FMainEntryFee</f>
        <v>0</v>
      </c>
      <c r="U24" s="28"/>
      <c r="V24" s="6"/>
      <c r="W24"/>
      <c r="X24" s="59"/>
      <c r="Y24" s="59"/>
      <c r="Z24" s="55"/>
    </row>
    <row r="25" spans="1:26" ht="15" customHeight="1" x14ac:dyDescent="0.25">
      <c r="A25" s="26">
        <f t="shared" si="1"/>
        <v>14</v>
      </c>
      <c r="B25" s="11"/>
      <c r="C25" s="80" t="s">
        <v>625</v>
      </c>
      <c r="D25" s="80" t="s">
        <v>626</v>
      </c>
      <c r="E25" s="99" t="s">
        <v>627</v>
      </c>
      <c r="F25" s="54"/>
      <c r="G25" s="7"/>
      <c r="H25" s="10"/>
      <c r="I25" s="11"/>
      <c r="J25" s="11"/>
      <c r="K25" s="11"/>
      <c r="L25" s="11"/>
      <c r="M25" s="11"/>
      <c r="N25" s="11"/>
      <c r="O25" s="109">
        <f t="shared" si="2"/>
        <v>0</v>
      </c>
      <c r="P25" s="11"/>
      <c r="Q25" s="11"/>
      <c r="R25" s="113" t="str">
        <f t="shared" si="3"/>
        <v/>
      </c>
      <c r="S25" s="113" t="str">
        <f t="shared" si="4"/>
        <v/>
      </c>
      <c r="T25" s="114">
        <f>H25*[0]!FMainPool1Fee+I25*[0]!FMainPool2Fee+J25*[0]!FMainPool3Fee+K25*[0]!FMainPool4Fee+B25*[0]!FMainEntryFee</f>
        <v>0</v>
      </c>
      <c r="U25" s="28"/>
      <c r="V25" s="101"/>
      <c r="X25" s="59"/>
      <c r="Y25" s="59"/>
      <c r="Z25" s="55"/>
    </row>
    <row r="26" spans="1:26" ht="15" customHeight="1" x14ac:dyDescent="0.25">
      <c r="A26" s="26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1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09">
        <f t="shared" si="2"/>
        <v>0</v>
      </c>
      <c r="P26" s="99"/>
      <c r="Q26" s="99"/>
      <c r="R26" s="113" t="str">
        <f t="shared" si="3"/>
        <v/>
      </c>
      <c r="S26" s="113" t="str">
        <f t="shared" si="4"/>
        <v/>
      </c>
      <c r="T26" s="114">
        <f>H26*[0]!FMainPool1Fee+I26*[0]!FMainPool2Fee+J26*[0]!FMainPool3Fee+K26*[0]!FMainPool4Fee+B26*[0]!FMainEntryFee</f>
        <v>0</v>
      </c>
      <c r="U26" s="31"/>
      <c r="V26" s="101"/>
      <c r="X26" s="59"/>
      <c r="Y26" s="59"/>
    </row>
    <row r="27" spans="1:26" x14ac:dyDescent="0.25">
      <c r="A27" s="26">
        <f t="shared" si="1"/>
        <v>16</v>
      </c>
      <c r="B27" s="11"/>
      <c r="C27" s="7" t="s">
        <v>681</v>
      </c>
      <c r="D27" s="7" t="s">
        <v>308</v>
      </c>
      <c r="E27" s="48" t="s">
        <v>682</v>
      </c>
      <c r="F27" s="54"/>
      <c r="G27" s="7"/>
      <c r="H27" s="10"/>
      <c r="I27" s="11"/>
      <c r="J27" s="11"/>
      <c r="K27" s="11"/>
      <c r="L27" s="11"/>
      <c r="M27" s="11"/>
      <c r="N27" s="11"/>
      <c r="O27" s="109">
        <f t="shared" si="2"/>
        <v>0</v>
      </c>
      <c r="P27" s="11"/>
      <c r="Q27" s="11"/>
      <c r="R27" s="113" t="str">
        <f t="shared" si="3"/>
        <v/>
      </c>
      <c r="S27" s="113" t="str">
        <f t="shared" si="4"/>
        <v/>
      </c>
      <c r="T27" s="114">
        <f>H27*[0]!FMainPool1Fee+I27*[0]!FMainPool2Fee+J27*[0]!FMainPool3Fee+K27*[0]!FMainPool4Fee+B27*[0]!FMainEntryFee</f>
        <v>0</v>
      </c>
      <c r="U27" s="28"/>
      <c r="V27" s="100"/>
      <c r="X27" s="59"/>
      <c r="Y27" s="59"/>
    </row>
    <row r="28" spans="1:26" x14ac:dyDescent="0.25">
      <c r="A28" s="26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91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09">
        <f t="shared" si="2"/>
        <v>0</v>
      </c>
      <c r="P28" s="99"/>
      <c r="Q28" s="99"/>
      <c r="R28" s="113" t="str">
        <f t="shared" si="3"/>
        <v/>
      </c>
      <c r="S28" s="113" t="str">
        <f t="shared" si="4"/>
        <v/>
      </c>
      <c r="T28" s="114">
        <f>H28*[0]!FMainPool1Fee+I28*[0]!FMainPool2Fee+J28*[0]!FMainPool3Fee+K28*[0]!FMainPool4Fee+B28*[0]!FMainEntryFee</f>
        <v>0</v>
      </c>
      <c r="U28" s="31"/>
      <c r="V28" s="100"/>
      <c r="X28" s="59"/>
      <c r="Y28" s="59"/>
    </row>
    <row r="29" spans="1:26" x14ac:dyDescent="0.25">
      <c r="A29" s="26">
        <f t="shared" si="1"/>
        <v>18</v>
      </c>
      <c r="B29" s="11"/>
      <c r="C29" s="1" t="s">
        <v>47</v>
      </c>
      <c r="D29" s="1" t="s">
        <v>5</v>
      </c>
      <c r="E29" s="2" t="s">
        <v>188</v>
      </c>
      <c r="F29" s="53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09">
        <f t="shared" si="2"/>
        <v>0</v>
      </c>
      <c r="P29" s="11"/>
      <c r="Q29" s="11"/>
      <c r="R29" s="113" t="str">
        <f t="shared" si="3"/>
        <v/>
      </c>
      <c r="S29" s="113" t="str">
        <f t="shared" si="4"/>
        <v/>
      </c>
      <c r="T29" s="114">
        <f>H29*[0]!FMainPool1Fee+I29*[0]!FMainPool2Fee+J29*[0]!FMainPool3Fee+K29*[0]!FMainPool4Fee+B29*[0]!FMainEntryFee</f>
        <v>0</v>
      </c>
      <c r="U29" s="28"/>
      <c r="V29" s="100"/>
      <c r="X29" s="59"/>
      <c r="Y29" s="59"/>
    </row>
    <row r="30" spans="1:26" x14ac:dyDescent="0.25">
      <c r="A30" s="26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3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09">
        <f t="shared" si="2"/>
        <v>0</v>
      </c>
      <c r="P30" s="99"/>
      <c r="Q30" s="99"/>
      <c r="R30" s="113" t="str">
        <f t="shared" si="3"/>
        <v/>
      </c>
      <c r="S30" s="113" t="str">
        <f t="shared" si="4"/>
        <v/>
      </c>
      <c r="T30" s="114">
        <f>H30*[0]!FMainPool1Fee+I30*[0]!FMainPool2Fee+J30*[0]!FMainPool3Fee+K30*[0]!FMainPool4Fee+B30*[0]!FMainEntryFee</f>
        <v>0</v>
      </c>
      <c r="U30" s="31"/>
      <c r="V30" s="100"/>
      <c r="X30" s="59"/>
      <c r="Y30" s="59"/>
    </row>
    <row r="31" spans="1:26" x14ac:dyDescent="0.25">
      <c r="A31" s="26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1"/>
      <c r="G31" s="5" t="s">
        <v>164</v>
      </c>
      <c r="H31" s="3"/>
      <c r="I31" s="3"/>
      <c r="J31" s="3"/>
      <c r="K31" s="4"/>
      <c r="L31" s="4"/>
      <c r="M31" s="4"/>
      <c r="N31" s="4"/>
      <c r="O31" s="109">
        <f t="shared" si="2"/>
        <v>0</v>
      </c>
      <c r="P31" s="99"/>
      <c r="Q31" s="99"/>
      <c r="R31" s="113" t="str">
        <f t="shared" si="3"/>
        <v/>
      </c>
      <c r="S31" s="113" t="str">
        <f t="shared" si="4"/>
        <v/>
      </c>
      <c r="T31" s="114">
        <f>H31*[0]!FMainPool1Fee+I31*[0]!FMainPool2Fee+J31*[0]!FMainPool3Fee+K31*[0]!FMainPool4Fee+B31*[0]!FMainEntryFee</f>
        <v>0</v>
      </c>
      <c r="U31" s="40"/>
      <c r="V31" s="101"/>
      <c r="X31" s="59"/>
      <c r="Y31" s="59"/>
    </row>
    <row r="32" spans="1:26" x14ac:dyDescent="0.25">
      <c r="A32" s="26">
        <f t="shared" si="1"/>
        <v>21</v>
      </c>
      <c r="B32" s="11"/>
      <c r="C32" s="8" t="s">
        <v>134</v>
      </c>
      <c r="D32" s="1" t="s">
        <v>5</v>
      </c>
      <c r="E32" s="9" t="s">
        <v>219</v>
      </c>
      <c r="F32" s="51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09">
        <f t="shared" si="2"/>
        <v>0</v>
      </c>
      <c r="P32" s="11"/>
      <c r="Q32" s="11"/>
      <c r="R32" s="113" t="str">
        <f t="shared" si="3"/>
        <v/>
      </c>
      <c r="S32" s="113" t="str">
        <f t="shared" si="4"/>
        <v/>
      </c>
      <c r="T32" s="114">
        <f>H32*[0]!FMainPool1Fee+I32*[0]!FMainPool2Fee+J32*[0]!FMainPool3Fee+K32*[0]!FMainPool4Fee+B32*[0]!FMainEntryFee</f>
        <v>0</v>
      </c>
      <c r="U32" s="28"/>
      <c r="V32" s="100"/>
      <c r="X32" s="59"/>
      <c r="Y32" s="59"/>
    </row>
    <row r="33" spans="1:26" x14ac:dyDescent="0.25">
      <c r="A33" s="26">
        <f t="shared" si="1"/>
        <v>22</v>
      </c>
      <c r="B33" s="11"/>
      <c r="C33" s="8" t="s">
        <v>302</v>
      </c>
      <c r="D33" s="8" t="s">
        <v>300</v>
      </c>
      <c r="E33" s="9" t="s">
        <v>303</v>
      </c>
      <c r="F33" s="49"/>
      <c r="G33" s="5" t="s">
        <v>410</v>
      </c>
      <c r="H33" s="10"/>
      <c r="I33" s="11"/>
      <c r="J33" s="11"/>
      <c r="K33" s="11"/>
      <c r="L33" s="11"/>
      <c r="M33" s="11"/>
      <c r="N33" s="11"/>
      <c r="O33" s="109">
        <f t="shared" si="2"/>
        <v>0</v>
      </c>
      <c r="P33" s="11"/>
      <c r="Q33" s="11"/>
      <c r="R33" s="113" t="str">
        <f t="shared" si="3"/>
        <v/>
      </c>
      <c r="S33" s="113" t="str">
        <f t="shared" si="4"/>
        <v/>
      </c>
      <c r="T33" s="114">
        <f>H33*[0]!FMainPool1Fee+I33*[0]!FMainPool2Fee+J33*[0]!FMainPool3Fee+K33*[0]!FMainPool4Fee+B33*[0]!FMainEntryFee</f>
        <v>0</v>
      </c>
      <c r="U33" s="28"/>
      <c r="V33" s="100"/>
      <c r="X33" s="59"/>
      <c r="Y33" s="59"/>
      <c r="Z33" s="55"/>
    </row>
    <row r="34" spans="1:26" x14ac:dyDescent="0.25">
      <c r="A34" s="26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49"/>
      <c r="G34" s="5" t="s">
        <v>361</v>
      </c>
      <c r="H34" s="3"/>
      <c r="I34" s="3"/>
      <c r="J34" s="3"/>
      <c r="K34" s="4"/>
      <c r="L34" s="4"/>
      <c r="M34" s="4"/>
      <c r="N34" s="4"/>
      <c r="O34" s="109">
        <f t="shared" si="2"/>
        <v>0</v>
      </c>
      <c r="P34" s="99"/>
      <c r="Q34" s="99"/>
      <c r="R34" s="113" t="str">
        <f t="shared" si="3"/>
        <v/>
      </c>
      <c r="S34" s="113" t="str">
        <f t="shared" si="4"/>
        <v/>
      </c>
      <c r="T34" s="114">
        <f>H34*[0]!FMainPool1Fee+I34*[0]!FMainPool2Fee+J34*[0]!FMainPool3Fee+K34*[0]!FMainPool4Fee+B34*[0]!FMainEntryFee</f>
        <v>0</v>
      </c>
      <c r="U34" s="31"/>
      <c r="V34" s="100"/>
      <c r="W34" s="98"/>
      <c r="X34" s="59"/>
      <c r="Y34" s="59"/>
    </row>
    <row r="35" spans="1:26" x14ac:dyDescent="0.25">
      <c r="A35" s="26">
        <f t="shared" si="1"/>
        <v>24</v>
      </c>
      <c r="B35" s="11"/>
      <c r="C35" s="1" t="s">
        <v>12</v>
      </c>
      <c r="D35" s="1" t="s">
        <v>13</v>
      </c>
      <c r="E35" s="2" t="s">
        <v>183</v>
      </c>
      <c r="F35" s="50">
        <v>9253213485</v>
      </c>
      <c r="G35" s="5" t="s">
        <v>103</v>
      </c>
      <c r="H35" s="10"/>
      <c r="I35" s="11"/>
      <c r="J35" s="11"/>
      <c r="K35" s="11"/>
      <c r="L35" s="11"/>
      <c r="M35" s="11"/>
      <c r="N35" s="11"/>
      <c r="O35" s="109">
        <f t="shared" si="2"/>
        <v>0</v>
      </c>
      <c r="P35" s="11"/>
      <c r="Q35" s="11"/>
      <c r="R35" s="113" t="str">
        <f t="shared" si="3"/>
        <v/>
      </c>
      <c r="S35" s="113" t="str">
        <f t="shared" si="4"/>
        <v/>
      </c>
      <c r="T35" s="114">
        <f>H35*[0]!FMainPool1Fee+I35*[0]!FMainPool2Fee+J35*[0]!FMainPool3Fee+K35*[0]!FMainPool4Fee+B35*[0]!FMainEntryFee</f>
        <v>0</v>
      </c>
      <c r="U35" s="28"/>
      <c r="V35" s="101"/>
      <c r="X35" s="59"/>
      <c r="Y35" s="59"/>
    </row>
    <row r="36" spans="1:26" x14ac:dyDescent="0.25">
      <c r="A36" s="26">
        <f t="shared" si="1"/>
        <v>25</v>
      </c>
      <c r="B36" s="11"/>
      <c r="C36" s="8" t="s">
        <v>294</v>
      </c>
      <c r="D36" s="8" t="s">
        <v>34</v>
      </c>
      <c r="E36" s="9" t="s">
        <v>295</v>
      </c>
      <c r="F36" s="49"/>
      <c r="G36" s="5"/>
      <c r="H36" s="10"/>
      <c r="I36" s="11"/>
      <c r="J36" s="11"/>
      <c r="K36" s="11"/>
      <c r="L36" s="11"/>
      <c r="M36" s="11"/>
      <c r="N36" s="11"/>
      <c r="O36" s="109">
        <f t="shared" si="2"/>
        <v>0</v>
      </c>
      <c r="P36" s="11"/>
      <c r="Q36" s="11"/>
      <c r="R36" s="113" t="str">
        <f t="shared" si="3"/>
        <v/>
      </c>
      <c r="S36" s="113" t="str">
        <f t="shared" si="4"/>
        <v/>
      </c>
      <c r="T36" s="114">
        <f>H36*[0]!FMainPool1Fee+I36*[0]!FMainPool2Fee+J36*[0]!FMainPool3Fee+K36*[0]!FMainPool4Fee+B36*[0]!FMainEntryFee</f>
        <v>0</v>
      </c>
      <c r="U36" s="28"/>
      <c r="V36" s="101"/>
      <c r="X36" s="59"/>
      <c r="Y36" s="59"/>
    </row>
    <row r="37" spans="1:26" x14ac:dyDescent="0.25">
      <c r="A37" s="26">
        <f t="shared" si="1"/>
        <v>26</v>
      </c>
      <c r="B37" s="11"/>
      <c r="C37" s="8" t="s">
        <v>277</v>
      </c>
      <c r="D37" s="8" t="s">
        <v>44</v>
      </c>
      <c r="E37" s="9" t="s">
        <v>278</v>
      </c>
      <c r="F37" s="49"/>
      <c r="G37" s="5"/>
      <c r="H37" s="10"/>
      <c r="I37" s="11"/>
      <c r="J37" s="11"/>
      <c r="K37" s="11"/>
      <c r="L37" s="11"/>
      <c r="M37" s="11"/>
      <c r="N37" s="11"/>
      <c r="O37" s="109">
        <f t="shared" si="2"/>
        <v>0</v>
      </c>
      <c r="P37" s="11"/>
      <c r="Q37" s="11"/>
      <c r="R37" s="113" t="str">
        <f t="shared" si="3"/>
        <v/>
      </c>
      <c r="S37" s="113" t="str">
        <f t="shared" si="4"/>
        <v/>
      </c>
      <c r="T37" s="114">
        <f>H37*[0]!FMainPool1Fee+I37*[0]!FMainPool2Fee+J37*[0]!FMainPool3Fee+K37*[0]!FMainPool4Fee+B37*[0]!FMainEntryFee</f>
        <v>0</v>
      </c>
      <c r="U37" s="28"/>
      <c r="V37" s="6"/>
      <c r="W37"/>
      <c r="X37" s="59"/>
      <c r="Y37" s="59"/>
    </row>
    <row r="38" spans="1:26" x14ac:dyDescent="0.25">
      <c r="A38" s="26">
        <f t="shared" si="1"/>
        <v>27</v>
      </c>
      <c r="B38" s="11"/>
      <c r="C38" s="8" t="s">
        <v>275</v>
      </c>
      <c r="D38" s="8" t="s">
        <v>44</v>
      </c>
      <c r="E38" s="9" t="s">
        <v>276</v>
      </c>
      <c r="F38" s="49"/>
      <c r="G38" s="41" t="s">
        <v>279</v>
      </c>
      <c r="H38" s="10"/>
      <c r="I38" s="11"/>
      <c r="J38" s="11"/>
      <c r="K38" s="11"/>
      <c r="L38" s="11"/>
      <c r="M38" s="11"/>
      <c r="N38" s="11"/>
      <c r="O38" s="109">
        <f t="shared" si="2"/>
        <v>0</v>
      </c>
      <c r="P38" s="11"/>
      <c r="Q38" s="99"/>
      <c r="R38" s="113" t="str">
        <f t="shared" si="3"/>
        <v/>
      </c>
      <c r="S38" s="113" t="str">
        <f t="shared" si="4"/>
        <v/>
      </c>
      <c r="T38" s="114">
        <f>H38*[0]!FMainPool1Fee+I38*[0]!FMainPool2Fee+J38*[0]!FMainPool3Fee+K38*[0]!FMainPool4Fee+B38*[0]!FMainEntryFee</f>
        <v>0</v>
      </c>
      <c r="U38" s="28"/>
      <c r="V38" s="100"/>
      <c r="X38" s="59"/>
      <c r="Y38" s="59"/>
    </row>
    <row r="39" spans="1:26" x14ac:dyDescent="0.25">
      <c r="A39" s="26">
        <f t="shared" si="1"/>
        <v>28</v>
      </c>
      <c r="B39" s="3"/>
      <c r="C39" s="1" t="s">
        <v>57</v>
      </c>
      <c r="D39" s="1" t="s">
        <v>16</v>
      </c>
      <c r="E39" s="2" t="s">
        <v>220</v>
      </c>
      <c r="F39" s="50">
        <v>9705539123</v>
      </c>
      <c r="G39" s="5" t="s">
        <v>525</v>
      </c>
      <c r="H39" s="3"/>
      <c r="I39" s="3"/>
      <c r="J39" s="3"/>
      <c r="K39" s="4"/>
      <c r="L39" s="4"/>
      <c r="M39" s="4"/>
      <c r="N39" s="4"/>
      <c r="O39" s="109">
        <f t="shared" si="2"/>
        <v>0</v>
      </c>
      <c r="P39" s="99"/>
      <c r="Q39" s="99"/>
      <c r="R39" s="113" t="str">
        <f t="shared" si="3"/>
        <v/>
      </c>
      <c r="S39" s="113" t="str">
        <f t="shared" si="4"/>
        <v/>
      </c>
      <c r="T39" s="114">
        <f>H39*[0]!FMainPool1Fee+I39*[0]!FMainPool2Fee+J39*[0]!FMainPool3Fee+K39*[0]!FMainPool4Fee+B39*[0]!FMainEntryFee</f>
        <v>0</v>
      </c>
      <c r="U39" s="31"/>
      <c r="V39" s="101"/>
      <c r="X39" s="59"/>
      <c r="Y39" s="59"/>
    </row>
    <row r="40" spans="1:26" x14ac:dyDescent="0.25">
      <c r="A40" s="26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0"/>
      <c r="G40" s="5" t="s">
        <v>155</v>
      </c>
      <c r="H40" s="3"/>
      <c r="I40" s="3"/>
      <c r="J40" s="3"/>
      <c r="K40" s="4"/>
      <c r="L40" s="4"/>
      <c r="M40" s="4"/>
      <c r="N40" s="4"/>
      <c r="O40" s="109">
        <f t="shared" si="2"/>
        <v>0</v>
      </c>
      <c r="P40" s="99"/>
      <c r="Q40" s="99"/>
      <c r="R40" s="113" t="str">
        <f t="shared" si="3"/>
        <v/>
      </c>
      <c r="S40" s="113" t="str">
        <f t="shared" si="4"/>
        <v/>
      </c>
      <c r="T40" s="114">
        <f>H40*[0]!FMainPool1Fee+I40*[0]!FMainPool2Fee+J40*[0]!FMainPool3Fee+K40*[0]!FMainPool4Fee+B40*[0]!FMainEntryFee</f>
        <v>0</v>
      </c>
      <c r="U40" s="31"/>
      <c r="V40" s="101"/>
      <c r="W40" s="98"/>
      <c r="X40" s="59"/>
      <c r="Y40" s="59"/>
    </row>
    <row r="41" spans="1:26" ht="15.75" x14ac:dyDescent="0.25">
      <c r="A41" s="26">
        <f t="shared" si="1"/>
        <v>30</v>
      </c>
      <c r="B41" s="3"/>
      <c r="C41" s="1" t="s">
        <v>508</v>
      </c>
      <c r="D41" s="1" t="s">
        <v>498</v>
      </c>
      <c r="E41" s="47" t="s">
        <v>499</v>
      </c>
      <c r="F41" s="48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09">
        <f t="shared" si="2"/>
        <v>0</v>
      </c>
      <c r="P41" s="99"/>
      <c r="Q41" s="99"/>
      <c r="R41" s="113" t="str">
        <f t="shared" si="3"/>
        <v/>
      </c>
      <c r="S41" s="113" t="str">
        <f t="shared" si="4"/>
        <v/>
      </c>
      <c r="T41" s="114">
        <f>H41*[0]!FMainPool1Fee+I41*[0]!FMainPool2Fee+J41*[0]!FMainPool3Fee+K41*[0]!FMainPool4Fee+B41*[0]!FMainEntryFee</f>
        <v>0</v>
      </c>
      <c r="U41" s="31"/>
      <c r="V41" s="100"/>
      <c r="X41" s="59"/>
      <c r="Y41" s="59"/>
    </row>
    <row r="42" spans="1:26" x14ac:dyDescent="0.25">
      <c r="A42" s="26">
        <f t="shared" si="1"/>
        <v>31</v>
      </c>
      <c r="B42" s="11"/>
      <c r="C42" s="7" t="s">
        <v>628</v>
      </c>
      <c r="D42" s="7" t="s">
        <v>685</v>
      </c>
      <c r="E42" s="48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09">
        <f t="shared" si="2"/>
        <v>0</v>
      </c>
      <c r="P42" s="11"/>
      <c r="Q42" s="11"/>
      <c r="R42" s="113" t="str">
        <f t="shared" si="3"/>
        <v/>
      </c>
      <c r="S42" s="113" t="str">
        <f t="shared" si="4"/>
        <v/>
      </c>
      <c r="T42" s="114">
        <f>H42*[0]!FMainPool1Fee+I42*[0]!FMainPool2Fee+J42*[0]!FMainPool3Fee+K42*[0]!FMainPool4Fee+B42*[0]!FMainEntryFee</f>
        <v>0</v>
      </c>
      <c r="U42" s="28"/>
      <c r="V42" s="101"/>
      <c r="X42" s="59"/>
      <c r="Y42" s="59"/>
    </row>
    <row r="43" spans="1:26" x14ac:dyDescent="0.25">
      <c r="A43" s="26">
        <f t="shared" si="1"/>
        <v>32</v>
      </c>
      <c r="B43" s="11"/>
      <c r="C43" s="7" t="s">
        <v>628</v>
      </c>
      <c r="D43" s="7" t="s">
        <v>5</v>
      </c>
      <c r="E43" s="48" t="s">
        <v>629</v>
      </c>
      <c r="F43" s="7"/>
      <c r="G43" s="90" t="s">
        <v>630</v>
      </c>
      <c r="H43" s="10"/>
      <c r="I43" s="11"/>
      <c r="J43" s="11"/>
      <c r="K43" s="11"/>
      <c r="L43" s="11"/>
      <c r="M43" s="11"/>
      <c r="N43" s="11"/>
      <c r="O43" s="109">
        <f t="shared" si="2"/>
        <v>0</v>
      </c>
      <c r="P43" s="11"/>
      <c r="Q43" s="11"/>
      <c r="R43" s="113" t="str">
        <f t="shared" si="3"/>
        <v/>
      </c>
      <c r="S43" s="113" t="str">
        <f t="shared" si="4"/>
        <v/>
      </c>
      <c r="T43" s="114">
        <f>H43*[0]!FMainPool1Fee+I43*[0]!FMainPool2Fee+J43*[0]!FMainPool3Fee+K43*[0]!FMainPool4Fee+B43*[0]!FMainEntryFee</f>
        <v>0</v>
      </c>
      <c r="U43" s="28"/>
      <c r="V43" s="101"/>
      <c r="X43" s="59"/>
      <c r="Y43" s="59"/>
    </row>
    <row r="44" spans="1:26" x14ac:dyDescent="0.25">
      <c r="A44" s="26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49"/>
      <c r="G44" s="5" t="s">
        <v>350</v>
      </c>
      <c r="H44" s="3"/>
      <c r="I44" s="3"/>
      <c r="J44" s="3"/>
      <c r="K44" s="4"/>
      <c r="L44" s="4"/>
      <c r="M44" s="4"/>
      <c r="N44" s="4"/>
      <c r="O44" s="109">
        <f t="shared" ref="O44:O75" si="5">T44*N44</f>
        <v>0</v>
      </c>
      <c r="P44" s="99"/>
      <c r="Q44" s="99"/>
      <c r="R44" s="113" t="str">
        <f t="shared" ref="R44:R75" si="6">IF(OR(P44="c",P44="C"),+T44,"")</f>
        <v/>
      </c>
      <c r="S44" s="113" t="str">
        <f t="shared" ref="S44:S75" si="7">IF(OR(P44="$",N44=1),+T44,"")</f>
        <v/>
      </c>
      <c r="T44" s="114">
        <f>H44*[0]!FMainPool1Fee+I44*[0]!FMainPool2Fee+J44*[0]!FMainPool3Fee+K44*[0]!FMainPool4Fee+B44*[0]!FMainEntryFee</f>
        <v>0</v>
      </c>
      <c r="U44" s="31"/>
      <c r="V44" s="100"/>
      <c r="X44" s="59"/>
      <c r="Y44" s="59"/>
    </row>
    <row r="45" spans="1:26" x14ac:dyDescent="0.25">
      <c r="A45" s="26">
        <f t="shared" si="1"/>
        <v>34</v>
      </c>
      <c r="B45" s="11"/>
      <c r="C45" s="1" t="s">
        <v>69</v>
      </c>
      <c r="D45" s="1" t="s">
        <v>61</v>
      </c>
      <c r="E45" s="2" t="s">
        <v>196</v>
      </c>
      <c r="F45" s="50"/>
      <c r="G45" s="5" t="s">
        <v>156</v>
      </c>
      <c r="H45" s="10"/>
      <c r="I45" s="11"/>
      <c r="J45" s="11"/>
      <c r="K45" s="11"/>
      <c r="L45" s="11"/>
      <c r="M45" s="11"/>
      <c r="N45" s="11"/>
      <c r="O45" s="109">
        <f t="shared" si="5"/>
        <v>0</v>
      </c>
      <c r="P45" s="11"/>
      <c r="Q45" s="99"/>
      <c r="R45" s="113" t="str">
        <f t="shared" si="6"/>
        <v/>
      </c>
      <c r="S45" s="113" t="str">
        <f t="shared" si="7"/>
        <v/>
      </c>
      <c r="T45" s="114">
        <f>H45*[0]!FMainPool1Fee+I45*[0]!FMainPool2Fee+J45*[0]!FMainPool3Fee+K45*[0]!FMainPool4Fee+B45*[0]!FMainEntryFee</f>
        <v>0</v>
      </c>
      <c r="U45" s="28"/>
      <c r="V45" s="101"/>
      <c r="X45" s="59"/>
      <c r="Y45" s="59"/>
    </row>
    <row r="46" spans="1:26" x14ac:dyDescent="0.25">
      <c r="A46" s="26">
        <f t="shared" si="1"/>
        <v>35</v>
      </c>
      <c r="B46" s="11"/>
      <c r="C46" s="1" t="s">
        <v>8</v>
      </c>
      <c r="D46" s="1" t="s">
        <v>34</v>
      </c>
      <c r="E46" s="2" t="s">
        <v>195</v>
      </c>
      <c r="F46" s="50">
        <v>7073175740</v>
      </c>
      <c r="G46" s="41" t="s">
        <v>578</v>
      </c>
      <c r="H46" s="10"/>
      <c r="I46" s="11"/>
      <c r="J46" s="11"/>
      <c r="K46" s="11"/>
      <c r="L46" s="11"/>
      <c r="M46" s="11"/>
      <c r="N46" s="11"/>
      <c r="O46" s="109">
        <f t="shared" si="5"/>
        <v>0</v>
      </c>
      <c r="P46" s="11"/>
      <c r="Q46" s="11"/>
      <c r="R46" s="113" t="str">
        <f t="shared" si="6"/>
        <v/>
      </c>
      <c r="S46" s="113" t="str">
        <f t="shared" si="7"/>
        <v/>
      </c>
      <c r="T46" s="114">
        <f>H46*[0]!FMainPool1Fee+I46*[0]!FMainPool2Fee+J46*[0]!FMainPool3Fee+K46*[0]!FMainPool4Fee+B46*[0]!FMainEntryFee</f>
        <v>0</v>
      </c>
      <c r="U46" s="28"/>
      <c r="V46" s="100"/>
      <c r="X46" s="59"/>
      <c r="Y46" s="59"/>
    </row>
    <row r="47" spans="1:26" x14ac:dyDescent="0.25">
      <c r="A47" s="26">
        <f t="shared" si="1"/>
        <v>36</v>
      </c>
      <c r="B47" s="11"/>
      <c r="C47" s="8" t="s">
        <v>296</v>
      </c>
      <c r="D47" s="8" t="s">
        <v>61</v>
      </c>
      <c r="E47" s="9" t="s">
        <v>297</v>
      </c>
      <c r="F47" s="49"/>
      <c r="G47" s="5" t="s">
        <v>411</v>
      </c>
      <c r="H47" s="10"/>
      <c r="I47" s="11"/>
      <c r="J47" s="11"/>
      <c r="K47" s="11"/>
      <c r="L47" s="11"/>
      <c r="M47" s="11"/>
      <c r="N47" s="11"/>
      <c r="O47" s="109">
        <f t="shared" si="5"/>
        <v>0</v>
      </c>
      <c r="P47" s="11"/>
      <c r="Q47" s="99"/>
      <c r="R47" s="113" t="str">
        <f t="shared" si="6"/>
        <v/>
      </c>
      <c r="S47" s="113" t="str">
        <f t="shared" si="7"/>
        <v/>
      </c>
      <c r="T47" s="114">
        <f>H47*[0]!FMainPool1Fee+I47*[0]!FMainPool2Fee+J47*[0]!FMainPool3Fee+K47*[0]!FMainPool4Fee+B47*[0]!FMainEntryFee</f>
        <v>0</v>
      </c>
      <c r="U47" s="28"/>
      <c r="V47" s="100"/>
      <c r="X47" s="59"/>
      <c r="Y47" s="59"/>
    </row>
    <row r="48" spans="1:26" x14ac:dyDescent="0.25">
      <c r="A48" s="26">
        <f t="shared" si="1"/>
        <v>37</v>
      </c>
      <c r="B48" s="11"/>
      <c r="C48" s="7" t="s">
        <v>631</v>
      </c>
      <c r="D48" s="7" t="s">
        <v>324</v>
      </c>
      <c r="E48" s="48" t="s">
        <v>632</v>
      </c>
      <c r="F48"/>
      <c r="G48" s="7"/>
      <c r="H48" s="10"/>
      <c r="I48" s="11"/>
      <c r="J48" s="11"/>
      <c r="K48" s="11"/>
      <c r="L48" s="11"/>
      <c r="M48" s="11"/>
      <c r="N48" s="11"/>
      <c r="O48" s="109">
        <f t="shared" si="5"/>
        <v>0</v>
      </c>
      <c r="P48" s="11"/>
      <c r="Q48" s="99"/>
      <c r="R48" s="113" t="str">
        <f t="shared" si="6"/>
        <v/>
      </c>
      <c r="S48" s="113" t="str">
        <f t="shared" si="7"/>
        <v/>
      </c>
      <c r="T48" s="114">
        <f>H48*[0]!FMainPool1Fee+I48*[0]!FMainPool2Fee+J48*[0]!FMainPool3Fee+K48*[0]!FMainPool4Fee+B48*[0]!FMainEntryFee</f>
        <v>0</v>
      </c>
      <c r="U48" s="28"/>
      <c r="V48" s="6"/>
      <c r="X48" s="59"/>
      <c r="Y48" s="59"/>
    </row>
    <row r="49" spans="1:25" x14ac:dyDescent="0.25">
      <c r="A49" s="26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0"/>
      <c r="G49" s="5" t="s">
        <v>167</v>
      </c>
      <c r="H49" s="3"/>
      <c r="I49" s="3"/>
      <c r="J49" s="3"/>
      <c r="K49" s="4"/>
      <c r="L49" s="4"/>
      <c r="M49" s="4"/>
      <c r="N49" s="4"/>
      <c r="O49" s="109">
        <f t="shared" si="5"/>
        <v>0</v>
      </c>
      <c r="P49" s="99"/>
      <c r="Q49" s="99"/>
      <c r="R49" s="113" t="str">
        <f t="shared" si="6"/>
        <v/>
      </c>
      <c r="S49" s="113" t="str">
        <f t="shared" si="7"/>
        <v/>
      </c>
      <c r="T49" s="114">
        <f>H49*[0]!FMainPool1Fee+I49*[0]!FMainPool2Fee+J49*[0]!FMainPool3Fee+K49*[0]!FMainPool4Fee+B49*[0]!FMainEntryFee</f>
        <v>0</v>
      </c>
      <c r="U49" s="31"/>
      <c r="V49" s="100"/>
      <c r="X49" s="59"/>
      <c r="Y49" s="59"/>
    </row>
    <row r="50" spans="1:25" x14ac:dyDescent="0.25">
      <c r="A50" s="26">
        <f t="shared" si="1"/>
        <v>39</v>
      </c>
      <c r="B50" s="11"/>
      <c r="C50" s="8" t="s">
        <v>326</v>
      </c>
      <c r="D50" s="8" t="s">
        <v>327</v>
      </c>
      <c r="E50" s="9" t="s">
        <v>328</v>
      </c>
      <c r="F50" s="49"/>
      <c r="G50" s="5" t="s">
        <v>444</v>
      </c>
      <c r="H50" s="10"/>
      <c r="I50" s="11"/>
      <c r="J50" s="11"/>
      <c r="K50" s="11"/>
      <c r="L50" s="11"/>
      <c r="M50" s="11"/>
      <c r="N50" s="11"/>
      <c r="O50" s="109">
        <f t="shared" si="5"/>
        <v>0</v>
      </c>
      <c r="P50" s="11"/>
      <c r="Q50" s="11"/>
      <c r="R50" s="113" t="str">
        <f t="shared" si="6"/>
        <v/>
      </c>
      <c r="S50" s="113" t="str">
        <f t="shared" si="7"/>
        <v/>
      </c>
      <c r="T50" s="114">
        <f>H50*[0]!FMainPool1Fee+I50*[0]!FMainPool2Fee+J50*[0]!FMainPool3Fee+K50*[0]!FMainPool4Fee+B50*[0]!FMainEntryFee</f>
        <v>0</v>
      </c>
      <c r="U50" s="28"/>
      <c r="V50" s="101"/>
      <c r="X50" s="59"/>
      <c r="Y50" s="59"/>
    </row>
    <row r="51" spans="1:25" x14ac:dyDescent="0.25">
      <c r="A51" s="26">
        <f t="shared" si="1"/>
        <v>40</v>
      </c>
      <c r="B51" s="11"/>
      <c r="C51" s="1" t="s">
        <v>58</v>
      </c>
      <c r="D51" s="1" t="s">
        <v>59</v>
      </c>
      <c r="E51" s="2" t="s">
        <v>248</v>
      </c>
      <c r="F51" s="50"/>
      <c r="G51" s="5" t="s">
        <v>412</v>
      </c>
      <c r="H51" s="10"/>
      <c r="I51" s="11"/>
      <c r="J51" s="11"/>
      <c r="K51" s="11"/>
      <c r="L51" s="11"/>
      <c r="M51" s="11"/>
      <c r="N51" s="11"/>
      <c r="O51" s="109">
        <f t="shared" si="5"/>
        <v>0</v>
      </c>
      <c r="P51" s="11"/>
      <c r="Q51" s="11"/>
      <c r="R51" s="113" t="str">
        <f t="shared" si="6"/>
        <v/>
      </c>
      <c r="S51" s="113" t="str">
        <f t="shared" si="7"/>
        <v/>
      </c>
      <c r="T51" s="114">
        <f>H51*[0]!FMainPool1Fee+I51*[0]!FMainPool2Fee+J51*[0]!FMainPool3Fee+K51*[0]!FMainPool4Fee+B51*[0]!FMainEntryFee</f>
        <v>0</v>
      </c>
      <c r="U51" s="28"/>
      <c r="V51" s="100"/>
      <c r="X51" s="59"/>
      <c r="Y51" s="59"/>
    </row>
    <row r="52" spans="1:25" x14ac:dyDescent="0.25">
      <c r="A52" s="26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49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09">
        <f t="shared" si="5"/>
        <v>0</v>
      </c>
      <c r="P52" s="99"/>
      <c r="Q52" s="99"/>
      <c r="R52" s="113" t="str">
        <f t="shared" si="6"/>
        <v/>
      </c>
      <c r="S52" s="113" t="str">
        <f t="shared" si="7"/>
        <v/>
      </c>
      <c r="T52" s="114">
        <f>H52*[0]!FMainPool1Fee+I52*[0]!FMainPool2Fee+J52*[0]!FMainPool3Fee+K52*[0]!FMainPool4Fee+B52*[0]!FMainEntryFee</f>
        <v>0</v>
      </c>
      <c r="U52" s="31"/>
      <c r="V52" s="100"/>
      <c r="X52" s="59"/>
      <c r="Y52" s="59"/>
    </row>
    <row r="53" spans="1:25" x14ac:dyDescent="0.25">
      <c r="A53" s="26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49"/>
      <c r="G53" s="5" t="s">
        <v>174</v>
      </c>
      <c r="H53" s="3"/>
      <c r="I53" s="3"/>
      <c r="J53" s="3"/>
      <c r="K53" s="4"/>
      <c r="L53" s="4"/>
      <c r="M53" s="4"/>
      <c r="N53" s="4"/>
      <c r="O53" s="109">
        <f t="shared" si="5"/>
        <v>0</v>
      </c>
      <c r="P53" s="99"/>
      <c r="Q53" s="99"/>
      <c r="R53" s="113" t="str">
        <f t="shared" si="6"/>
        <v/>
      </c>
      <c r="S53" s="113" t="str">
        <f t="shared" si="7"/>
        <v/>
      </c>
      <c r="T53" s="114">
        <f>H53*[0]!FMainPool1Fee+I53*[0]!FMainPool2Fee+J53*[0]!FMainPool3Fee+K53*[0]!FMainPool4Fee+B53*[0]!FMainEntryFee</f>
        <v>0</v>
      </c>
      <c r="U53" s="31"/>
      <c r="V53" s="100"/>
      <c r="X53" s="59"/>
      <c r="Y53" s="59"/>
    </row>
    <row r="54" spans="1:25" x14ac:dyDescent="0.25">
      <c r="A54" s="26">
        <f t="shared" si="1"/>
        <v>43</v>
      </c>
      <c r="B54" s="3"/>
      <c r="C54" s="1" t="s">
        <v>63</v>
      </c>
      <c r="D54" s="1" t="s">
        <v>16</v>
      </c>
      <c r="E54" s="2" t="s">
        <v>223</v>
      </c>
      <c r="F54" s="48" t="s">
        <v>579</v>
      </c>
      <c r="G54" s="5" t="s">
        <v>337</v>
      </c>
      <c r="H54" s="3"/>
      <c r="I54" s="3"/>
      <c r="J54" s="3"/>
      <c r="K54" s="4"/>
      <c r="L54" s="4"/>
      <c r="M54" s="4"/>
      <c r="N54" s="4"/>
      <c r="O54" s="109">
        <f t="shared" si="5"/>
        <v>0</v>
      </c>
      <c r="P54" s="99"/>
      <c r="Q54" s="99"/>
      <c r="R54" s="113" t="str">
        <f t="shared" si="6"/>
        <v/>
      </c>
      <c r="S54" s="113" t="str">
        <f t="shared" si="7"/>
        <v/>
      </c>
      <c r="T54" s="114">
        <f>H54*[0]!FMainPool1Fee+I54*[0]!FMainPool2Fee+J54*[0]!FMainPool3Fee+K54*[0]!FMainPool4Fee+B54*[0]!FMainEntryFee</f>
        <v>0</v>
      </c>
      <c r="U54" s="31"/>
      <c r="V54" s="100"/>
      <c r="W54" s="98"/>
      <c r="X54" s="59"/>
      <c r="Y54" s="59"/>
    </row>
    <row r="55" spans="1:25" x14ac:dyDescent="0.25">
      <c r="A55" s="26">
        <f t="shared" si="1"/>
        <v>44</v>
      </c>
      <c r="B55" s="3"/>
      <c r="C55" s="1" t="s">
        <v>62</v>
      </c>
      <c r="D55" s="1" t="s">
        <v>15</v>
      </c>
      <c r="E55" s="2" t="s">
        <v>181</v>
      </c>
      <c r="F55" s="6" t="s">
        <v>580</v>
      </c>
      <c r="G55" s="5" t="s">
        <v>138</v>
      </c>
      <c r="H55" s="3"/>
      <c r="I55" s="3"/>
      <c r="J55" s="3"/>
      <c r="K55" s="4"/>
      <c r="L55" s="4"/>
      <c r="M55" s="4"/>
      <c r="N55" s="4"/>
      <c r="O55" s="109">
        <f t="shared" si="5"/>
        <v>0</v>
      </c>
      <c r="P55" s="99"/>
      <c r="Q55" s="110"/>
      <c r="R55" s="113" t="str">
        <f t="shared" si="6"/>
        <v/>
      </c>
      <c r="S55" s="113" t="str">
        <f t="shared" si="7"/>
        <v/>
      </c>
      <c r="T55" s="114">
        <f>H55*[0]!FMainPool1Fee+I55*[0]!FMainPool2Fee+J55*[0]!FMainPool3Fee+K55*[0]!FMainPool4Fee+B55*[0]!FMainEntryFee</f>
        <v>0</v>
      </c>
      <c r="U55" s="31"/>
      <c r="V55" s="6"/>
      <c r="X55" s="59"/>
      <c r="Y55" s="59"/>
    </row>
    <row r="56" spans="1:25" x14ac:dyDescent="0.25">
      <c r="A56" s="26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49"/>
      <c r="G56" s="5" t="s">
        <v>415</v>
      </c>
      <c r="H56" s="3"/>
      <c r="I56" s="3"/>
      <c r="J56" s="3"/>
      <c r="K56" s="4"/>
      <c r="L56" s="4"/>
      <c r="M56" s="4"/>
      <c r="N56" s="4"/>
      <c r="O56" s="109">
        <f t="shared" si="5"/>
        <v>0</v>
      </c>
      <c r="P56" s="99"/>
      <c r="Q56" s="99"/>
      <c r="R56" s="113" t="str">
        <f t="shared" si="6"/>
        <v/>
      </c>
      <c r="S56" s="113" t="str">
        <f t="shared" si="7"/>
        <v/>
      </c>
      <c r="T56" s="114">
        <f>H56*[0]!FMainPool1Fee+I56*[0]!FMainPool2Fee+J56*[0]!FMainPool3Fee+K56*[0]!FMainPool4Fee+B56*[0]!FMainEntryFee</f>
        <v>0</v>
      </c>
      <c r="U56" s="31"/>
      <c r="V56" s="100"/>
      <c r="X56" s="59"/>
      <c r="Y56" s="59"/>
    </row>
    <row r="57" spans="1:25" x14ac:dyDescent="0.25">
      <c r="A57" s="26">
        <f t="shared" si="1"/>
        <v>46</v>
      </c>
      <c r="B57" s="11"/>
      <c r="C57" s="1" t="s">
        <v>516</v>
      </c>
      <c r="D57" s="1" t="s">
        <v>16</v>
      </c>
      <c r="E57" s="2" t="s">
        <v>206</v>
      </c>
      <c r="F57" s="50" t="s">
        <v>524</v>
      </c>
      <c r="G57" s="5" t="s">
        <v>525</v>
      </c>
      <c r="H57" s="10"/>
      <c r="I57" s="11"/>
      <c r="J57" s="11"/>
      <c r="K57" s="11"/>
      <c r="L57" s="11"/>
      <c r="M57" s="11"/>
      <c r="N57" s="11"/>
      <c r="O57" s="109">
        <f t="shared" si="5"/>
        <v>0</v>
      </c>
      <c r="P57" s="11"/>
      <c r="Q57" s="11"/>
      <c r="R57" s="113" t="str">
        <f t="shared" si="6"/>
        <v/>
      </c>
      <c r="S57" s="113" t="str">
        <f t="shared" si="7"/>
        <v/>
      </c>
      <c r="T57" s="114">
        <f>H57*[0]!FMainPool1Fee+I57*[0]!FMainPool2Fee+J57*[0]!FMainPool3Fee+K57*[0]!FMainPool4Fee+B57*[0]!FMainEntryFee</f>
        <v>0</v>
      </c>
      <c r="U57" s="28"/>
      <c r="V57" s="100"/>
      <c r="X57" s="59"/>
      <c r="Y57" s="59"/>
    </row>
    <row r="58" spans="1:25" x14ac:dyDescent="0.25">
      <c r="A58" s="26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1"/>
      <c r="G58" s="5"/>
      <c r="H58" s="4"/>
      <c r="I58" s="4"/>
      <c r="J58" s="4"/>
      <c r="K58" s="4"/>
      <c r="L58" s="4"/>
      <c r="M58" s="4"/>
      <c r="N58" s="4"/>
      <c r="O58" s="109">
        <f t="shared" si="5"/>
        <v>0</v>
      </c>
      <c r="P58" s="99"/>
      <c r="Q58" s="99"/>
      <c r="R58" s="113" t="str">
        <f t="shared" si="6"/>
        <v/>
      </c>
      <c r="S58" s="113" t="str">
        <f t="shared" si="7"/>
        <v/>
      </c>
      <c r="T58" s="114">
        <f>H58*[0]!FMainPool1Fee+I58*[0]!FMainPool2Fee+J58*[0]!FMainPool3Fee+K58*[0]!FMainPool4Fee+B58*[0]!FMainEntryFee</f>
        <v>0</v>
      </c>
      <c r="U58" s="31"/>
      <c r="V58" s="100"/>
      <c r="W58" s="98"/>
      <c r="X58" s="59"/>
      <c r="Y58" s="59"/>
    </row>
    <row r="59" spans="1:25" x14ac:dyDescent="0.25">
      <c r="A59" s="26">
        <f t="shared" si="1"/>
        <v>48</v>
      </c>
      <c r="B59" s="11"/>
      <c r="C59" s="8" t="s">
        <v>154</v>
      </c>
      <c r="D59" s="8" t="s">
        <v>16</v>
      </c>
      <c r="E59" s="9" t="s">
        <v>176</v>
      </c>
      <c r="F59" s="61">
        <v>7078499317</v>
      </c>
      <c r="G59" s="5" t="s">
        <v>161</v>
      </c>
      <c r="H59" s="10"/>
      <c r="I59" s="11"/>
      <c r="J59" s="11"/>
      <c r="K59" s="11"/>
      <c r="L59" s="11"/>
      <c r="M59" s="11"/>
      <c r="N59" s="11"/>
      <c r="O59" s="109">
        <f t="shared" si="5"/>
        <v>0</v>
      </c>
      <c r="P59" s="11"/>
      <c r="Q59" s="11"/>
      <c r="R59" s="113" t="str">
        <f t="shared" si="6"/>
        <v/>
      </c>
      <c r="S59" s="113" t="str">
        <f t="shared" si="7"/>
        <v/>
      </c>
      <c r="T59" s="114">
        <f>H59*[0]!FMainPool1Fee+I59*[0]!FMainPool2Fee+J59*[0]!FMainPool3Fee+K59*[0]!FMainPool4Fee+B59*[0]!FMainEntryFee</f>
        <v>0</v>
      </c>
      <c r="U59" s="28"/>
      <c r="V59" s="100"/>
      <c r="W59" s="98"/>
      <c r="X59" s="59"/>
      <c r="Y59" s="59"/>
    </row>
    <row r="60" spans="1:25" x14ac:dyDescent="0.25">
      <c r="A60" s="26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49"/>
      <c r="G60" s="5" t="s">
        <v>256</v>
      </c>
      <c r="H60" s="4"/>
      <c r="I60" s="4"/>
      <c r="J60" s="4"/>
      <c r="K60" s="4"/>
      <c r="L60" s="4"/>
      <c r="M60" s="4"/>
      <c r="N60" s="4"/>
      <c r="O60" s="109">
        <f t="shared" si="5"/>
        <v>0</v>
      </c>
      <c r="P60" s="99"/>
      <c r="Q60" s="99"/>
      <c r="R60" s="113" t="str">
        <f t="shared" si="6"/>
        <v/>
      </c>
      <c r="S60" s="113" t="str">
        <f t="shared" si="7"/>
        <v/>
      </c>
      <c r="T60" s="114">
        <f>H60*[0]!FMainPool1Fee+I60*[0]!FMainPool2Fee+J60*[0]!FMainPool3Fee+K60*[0]!FMainPool4Fee+B60*[0]!FMainEntryFee</f>
        <v>0</v>
      </c>
      <c r="U60" s="31"/>
      <c r="V60" s="100"/>
      <c r="X60" s="59"/>
      <c r="Y60" s="59"/>
    </row>
    <row r="61" spans="1:25" x14ac:dyDescent="0.25">
      <c r="A61" s="26">
        <f t="shared" si="1"/>
        <v>50</v>
      </c>
      <c r="B61" s="11"/>
      <c r="C61" s="8" t="s">
        <v>462</v>
      </c>
      <c r="D61" s="8" t="s">
        <v>16</v>
      </c>
      <c r="E61" s="9" t="s">
        <v>490</v>
      </c>
      <c r="F61" s="49">
        <v>7073225806</v>
      </c>
      <c r="G61" s="41" t="s">
        <v>526</v>
      </c>
      <c r="H61" s="10"/>
      <c r="I61" s="11"/>
      <c r="J61" s="11"/>
      <c r="K61" s="11"/>
      <c r="L61" s="11"/>
      <c r="M61" s="11"/>
      <c r="N61" s="11"/>
      <c r="O61" s="109">
        <f t="shared" si="5"/>
        <v>0</v>
      </c>
      <c r="P61" s="11"/>
      <c r="Q61" s="11"/>
      <c r="R61" s="113" t="str">
        <f t="shared" si="6"/>
        <v/>
      </c>
      <c r="S61" s="113" t="str">
        <f t="shared" si="7"/>
        <v/>
      </c>
      <c r="T61" s="114">
        <f>H61*[0]!FMainPool1Fee+I61*[0]!FMainPool2Fee+J61*[0]!FMainPool3Fee+K61*[0]!FMainPool4Fee+B61*[0]!FMainEntryFee</f>
        <v>0</v>
      </c>
      <c r="U61" s="28"/>
      <c r="V61" s="100"/>
      <c r="X61" s="59"/>
      <c r="Y61" s="59"/>
    </row>
    <row r="62" spans="1:25" x14ac:dyDescent="0.25">
      <c r="A62" s="26">
        <f t="shared" si="1"/>
        <v>51</v>
      </c>
      <c r="B62" s="11"/>
      <c r="C62" s="1" t="s">
        <v>52</v>
      </c>
      <c r="D62" s="1" t="s">
        <v>53</v>
      </c>
      <c r="E62" s="94" t="s">
        <v>207</v>
      </c>
      <c r="F62" s="48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09">
        <f t="shared" si="5"/>
        <v>0</v>
      </c>
      <c r="P62" s="99"/>
      <c r="Q62" s="11"/>
      <c r="R62" s="113" t="str">
        <f t="shared" si="6"/>
        <v/>
      </c>
      <c r="S62" s="113" t="str">
        <f t="shared" si="7"/>
        <v/>
      </c>
      <c r="T62" s="114">
        <f>H62*[0]!FMainPool1Fee+I62*[0]!FMainPool2Fee+J62*[0]!FMainPool3Fee+K62*[0]!FMainPool4Fee+B62*[0]!FMainEntryFee</f>
        <v>0</v>
      </c>
      <c r="U62" s="28"/>
      <c r="V62" s="100"/>
      <c r="X62" s="59"/>
      <c r="Y62" s="59"/>
    </row>
    <row r="63" spans="1:25" x14ac:dyDescent="0.25">
      <c r="A63" s="26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49"/>
      <c r="G63" s="5" t="s">
        <v>447</v>
      </c>
      <c r="H63" s="3"/>
      <c r="I63" s="3"/>
      <c r="J63" s="3"/>
      <c r="K63" s="4"/>
      <c r="L63" s="4"/>
      <c r="M63" s="4"/>
      <c r="N63" s="4"/>
      <c r="O63" s="109">
        <f t="shared" si="5"/>
        <v>0</v>
      </c>
      <c r="P63" s="99"/>
      <c r="Q63" s="99"/>
      <c r="R63" s="113" t="str">
        <f t="shared" si="6"/>
        <v/>
      </c>
      <c r="S63" s="113" t="str">
        <f t="shared" si="7"/>
        <v/>
      </c>
      <c r="T63" s="114">
        <f>H63*[0]!FMainPool1Fee+I63*[0]!FMainPool2Fee+J63*[0]!FMainPool3Fee+K63*[0]!FMainPool4Fee+B63*[0]!FMainEntryFee</f>
        <v>0</v>
      </c>
      <c r="U63" s="31"/>
      <c r="V63" s="101"/>
      <c r="W63" s="98"/>
      <c r="X63" s="59"/>
      <c r="Y63" s="59"/>
    </row>
    <row r="64" spans="1:25" x14ac:dyDescent="0.25">
      <c r="A64" s="26">
        <f t="shared" si="1"/>
        <v>53</v>
      </c>
      <c r="B64" s="11"/>
      <c r="C64" s="7" t="s">
        <v>683</v>
      </c>
      <c r="D64" s="7" t="s">
        <v>5</v>
      </c>
      <c r="E64" s="48" t="s">
        <v>684</v>
      </c>
      <c r="F64" s="7"/>
      <c r="G64" s="7"/>
      <c r="H64" s="10"/>
      <c r="I64" s="11"/>
      <c r="J64" s="11"/>
      <c r="K64" s="11"/>
      <c r="L64" s="11"/>
      <c r="M64" s="11"/>
      <c r="N64" s="11"/>
      <c r="O64" s="109">
        <f t="shared" si="5"/>
        <v>0</v>
      </c>
      <c r="P64" s="11"/>
      <c r="Q64" s="11"/>
      <c r="R64" s="113" t="str">
        <f t="shared" si="6"/>
        <v/>
      </c>
      <c r="S64" s="113" t="str">
        <f t="shared" si="7"/>
        <v/>
      </c>
      <c r="T64" s="114">
        <f>H64*[0]!FMainPool1Fee+I64*[0]!FMainPool2Fee+J64*[0]!FMainPool3Fee+K64*[0]!FMainPool4Fee+B64*[0]!FMainEntryFee</f>
        <v>0</v>
      </c>
      <c r="U64" s="28"/>
      <c r="V64" s="101"/>
      <c r="W64" s="98"/>
      <c r="X64" s="59"/>
      <c r="Y64" s="59"/>
    </row>
    <row r="65" spans="1:25" x14ac:dyDescent="0.25">
      <c r="A65" s="26">
        <f t="shared" si="1"/>
        <v>54</v>
      </c>
      <c r="B65" s="11"/>
      <c r="C65" s="8" t="s">
        <v>457</v>
      </c>
      <c r="D65" s="8" t="s">
        <v>61</v>
      </c>
      <c r="E65" s="9" t="s">
        <v>458</v>
      </c>
      <c r="F65" s="49"/>
      <c r="G65" s="5"/>
      <c r="H65" s="10"/>
      <c r="I65" s="11"/>
      <c r="J65" s="11"/>
      <c r="K65" s="11"/>
      <c r="L65" s="11"/>
      <c r="M65" s="11"/>
      <c r="N65" s="11"/>
      <c r="O65" s="109">
        <f t="shared" si="5"/>
        <v>0</v>
      </c>
      <c r="P65" s="11"/>
      <c r="Q65" s="11"/>
      <c r="R65" s="113" t="str">
        <f t="shared" si="6"/>
        <v/>
      </c>
      <c r="S65" s="113" t="str">
        <f t="shared" si="7"/>
        <v/>
      </c>
      <c r="T65" s="114">
        <f>H65*[0]!FMainPool1Fee+I65*[0]!FMainPool2Fee+J65*[0]!FMainPool3Fee+K65*[0]!FMainPool4Fee+B65*[0]!FMainEntryFee</f>
        <v>0</v>
      </c>
      <c r="U65" s="28"/>
      <c r="V65" s="101"/>
      <c r="X65" s="59"/>
      <c r="Y65" s="59"/>
    </row>
    <row r="66" spans="1:25" x14ac:dyDescent="0.25">
      <c r="A66" s="26">
        <f t="shared" si="1"/>
        <v>55</v>
      </c>
      <c r="B66" s="11"/>
      <c r="C66" s="8" t="s">
        <v>463</v>
      </c>
      <c r="D66" s="8" t="s">
        <v>517</v>
      </c>
      <c r="E66" s="9" t="s">
        <v>518</v>
      </c>
      <c r="F66" s="49">
        <v>4152058885</v>
      </c>
      <c r="G66" s="41" t="s">
        <v>528</v>
      </c>
      <c r="H66" s="10"/>
      <c r="I66" s="11"/>
      <c r="J66" s="11"/>
      <c r="K66" s="11"/>
      <c r="L66" s="11"/>
      <c r="M66" s="11"/>
      <c r="N66" s="11"/>
      <c r="O66" s="109">
        <f t="shared" si="5"/>
        <v>0</v>
      </c>
      <c r="P66" s="11"/>
      <c r="Q66" s="11"/>
      <c r="R66" s="113" t="str">
        <f t="shared" si="6"/>
        <v/>
      </c>
      <c r="S66" s="113" t="str">
        <f t="shared" si="7"/>
        <v/>
      </c>
      <c r="T66" s="114">
        <f>H66*[0]!FMainPool1Fee+I66*[0]!FMainPool2Fee+J66*[0]!FMainPool3Fee+K66*[0]!FMainPool4Fee+B66*[0]!FMainEntryFee</f>
        <v>0</v>
      </c>
      <c r="U66" s="28"/>
      <c r="V66" s="100"/>
      <c r="X66" s="59"/>
      <c r="Y66" s="59"/>
    </row>
    <row r="67" spans="1:25" x14ac:dyDescent="0.25">
      <c r="A67" s="26">
        <f t="shared" si="1"/>
        <v>56</v>
      </c>
      <c r="B67" s="11"/>
      <c r="C67" s="8" t="s">
        <v>464</v>
      </c>
      <c r="D67" s="8" t="s">
        <v>507</v>
      </c>
      <c r="E67" s="9" t="s">
        <v>491</v>
      </c>
      <c r="F67" s="49">
        <v>4152052574</v>
      </c>
      <c r="G67" s="41" t="s">
        <v>529</v>
      </c>
      <c r="H67" s="10"/>
      <c r="I67" s="11"/>
      <c r="J67" s="11"/>
      <c r="K67" s="11"/>
      <c r="L67" s="11"/>
      <c r="M67" s="11"/>
      <c r="N67" s="11"/>
      <c r="O67" s="109">
        <f t="shared" si="5"/>
        <v>0</v>
      </c>
      <c r="P67" s="11"/>
      <c r="Q67" s="11"/>
      <c r="R67" s="113" t="str">
        <f t="shared" si="6"/>
        <v/>
      </c>
      <c r="S67" s="113" t="str">
        <f t="shared" si="7"/>
        <v/>
      </c>
      <c r="T67" s="114">
        <f>H67*[0]!FMainPool1Fee+I67*[0]!FMainPool2Fee+J67*[0]!FMainPool3Fee+K67*[0]!FMainPool4Fee+B67*[0]!FMainEntryFee</f>
        <v>0</v>
      </c>
      <c r="U67" s="28"/>
      <c r="V67" s="6"/>
      <c r="X67" s="59"/>
      <c r="Y67" s="59"/>
    </row>
    <row r="68" spans="1:25" x14ac:dyDescent="0.25">
      <c r="A68" s="26">
        <f t="shared" si="1"/>
        <v>57</v>
      </c>
      <c r="B68" s="11"/>
      <c r="C68" s="7" t="s">
        <v>633</v>
      </c>
      <c r="D68" s="7" t="s">
        <v>5</v>
      </c>
      <c r="E68" s="48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09">
        <f t="shared" si="5"/>
        <v>0</v>
      </c>
      <c r="P68" s="11"/>
      <c r="Q68" s="11"/>
      <c r="R68" s="113" t="str">
        <f t="shared" si="6"/>
        <v/>
      </c>
      <c r="S68" s="113" t="str">
        <f t="shared" si="7"/>
        <v/>
      </c>
      <c r="T68" s="114">
        <f>H68*[0]!FMainPool1Fee+I68*[0]!FMainPool2Fee+J68*[0]!FMainPool3Fee+K68*[0]!FMainPool4Fee+B68*[0]!FMainEntryFee</f>
        <v>0</v>
      </c>
      <c r="U68" s="28"/>
      <c r="V68" s="100"/>
      <c r="X68" s="59"/>
      <c r="Y68" s="59"/>
    </row>
    <row r="69" spans="1:25" x14ac:dyDescent="0.25">
      <c r="A69" s="26">
        <f t="shared" si="1"/>
        <v>58</v>
      </c>
      <c r="B69" s="11"/>
      <c r="C69" s="8" t="s">
        <v>465</v>
      </c>
      <c r="D69" s="8" t="s">
        <v>507</v>
      </c>
      <c r="E69" s="48" t="s">
        <v>519</v>
      </c>
      <c r="F69" s="61"/>
      <c r="G69" s="5"/>
      <c r="H69" s="10"/>
      <c r="I69" s="11"/>
      <c r="J69" s="11"/>
      <c r="K69" s="11"/>
      <c r="L69" s="11"/>
      <c r="M69" s="11"/>
      <c r="N69" s="11"/>
      <c r="O69" s="109">
        <f t="shared" si="5"/>
        <v>0</v>
      </c>
      <c r="P69" s="11"/>
      <c r="Q69" s="11"/>
      <c r="R69" s="113" t="str">
        <f t="shared" si="6"/>
        <v/>
      </c>
      <c r="S69" s="113" t="str">
        <f t="shared" si="7"/>
        <v/>
      </c>
      <c r="T69" s="114">
        <f>H69*[0]!FMainPool1Fee+I69*[0]!FMainPool2Fee+J69*[0]!FMainPool3Fee+K69*[0]!FMainPool4Fee+B69*[0]!FMainEntryFee</f>
        <v>0</v>
      </c>
      <c r="U69" s="28"/>
      <c r="V69" s="100"/>
      <c r="X69" s="59"/>
      <c r="Y69" s="59"/>
    </row>
    <row r="70" spans="1:25" x14ac:dyDescent="0.25">
      <c r="A70" s="26">
        <f t="shared" si="1"/>
        <v>59</v>
      </c>
      <c r="B70" s="11"/>
      <c r="C70" s="8" t="s">
        <v>109</v>
      </c>
      <c r="D70" s="1" t="s">
        <v>5</v>
      </c>
      <c r="E70" s="9" t="s">
        <v>224</v>
      </c>
      <c r="F70" s="49" t="s">
        <v>530</v>
      </c>
      <c r="G70" s="5" t="s">
        <v>386</v>
      </c>
      <c r="H70" s="10"/>
      <c r="I70" s="11"/>
      <c r="J70" s="11"/>
      <c r="K70" s="11"/>
      <c r="L70" s="11"/>
      <c r="M70" s="11"/>
      <c r="N70" s="11"/>
      <c r="O70" s="109">
        <f t="shared" si="5"/>
        <v>0</v>
      </c>
      <c r="P70" s="11"/>
      <c r="Q70" s="11"/>
      <c r="R70" s="113" t="str">
        <f t="shared" si="6"/>
        <v/>
      </c>
      <c r="S70" s="113" t="str">
        <f t="shared" si="7"/>
        <v/>
      </c>
      <c r="T70" s="114">
        <f>H70*[0]!FMainPool1Fee+I70*[0]!FMainPool2Fee+J70*[0]!FMainPool3Fee+K70*[0]!FMainPool4Fee+B70*[0]!FMainEntryFee</f>
        <v>0</v>
      </c>
      <c r="U70" s="28"/>
      <c r="V70" s="100"/>
      <c r="X70" s="59"/>
      <c r="Y70" s="59"/>
    </row>
    <row r="71" spans="1:25" x14ac:dyDescent="0.25">
      <c r="A71" s="26">
        <f t="shared" si="1"/>
        <v>60</v>
      </c>
      <c r="B71" s="11"/>
      <c r="C71" s="7" t="s">
        <v>635</v>
      </c>
      <c r="D71" s="7" t="s">
        <v>497</v>
      </c>
      <c r="E71" s="48" t="s">
        <v>636</v>
      </c>
      <c r="F71" s="7"/>
      <c r="G71" s="7"/>
      <c r="H71" s="10"/>
      <c r="I71" s="11"/>
      <c r="J71" s="11"/>
      <c r="K71" s="11"/>
      <c r="L71" s="11"/>
      <c r="M71" s="11"/>
      <c r="N71" s="11"/>
      <c r="O71" s="109">
        <f t="shared" si="5"/>
        <v>0</v>
      </c>
      <c r="P71" s="11"/>
      <c r="Q71" s="11"/>
      <c r="R71" s="113" t="str">
        <f t="shared" si="6"/>
        <v/>
      </c>
      <c r="S71" s="113" t="str">
        <f t="shared" si="7"/>
        <v/>
      </c>
      <c r="T71" s="114">
        <f>H71*[0]!FMainPool1Fee+I71*[0]!FMainPool2Fee+J71*[0]!FMainPool3Fee+K71*[0]!FMainPool4Fee+B71*[0]!FMainEntryFee</f>
        <v>0</v>
      </c>
      <c r="U71" s="28"/>
      <c r="V71" s="100"/>
      <c r="X71" s="59"/>
      <c r="Y71" s="59"/>
    </row>
    <row r="72" spans="1:25" x14ac:dyDescent="0.25">
      <c r="A72" s="26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49"/>
      <c r="G72" s="5" t="s">
        <v>387</v>
      </c>
      <c r="H72" s="3"/>
      <c r="I72" s="3"/>
      <c r="J72" s="3"/>
      <c r="K72" s="4"/>
      <c r="L72" s="4"/>
      <c r="M72" s="4"/>
      <c r="N72" s="4"/>
      <c r="O72" s="109">
        <f t="shared" si="5"/>
        <v>0</v>
      </c>
      <c r="P72" s="99"/>
      <c r="Q72" s="99"/>
      <c r="R72" s="113" t="str">
        <f t="shared" si="6"/>
        <v/>
      </c>
      <c r="S72" s="113" t="str">
        <f t="shared" si="7"/>
        <v/>
      </c>
      <c r="T72" s="114">
        <f>H72*[0]!FMainPool1Fee+I72*[0]!FMainPool2Fee+J72*[0]!FMainPool3Fee+K72*[0]!FMainPool4Fee+B72*[0]!FMainEntryFee</f>
        <v>0</v>
      </c>
      <c r="U72" s="31"/>
      <c r="V72" s="100"/>
      <c r="X72" s="59"/>
      <c r="Y72" s="59"/>
    </row>
    <row r="73" spans="1:25" x14ac:dyDescent="0.25">
      <c r="A73" s="26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0">
        <v>9166997163</v>
      </c>
      <c r="G73" s="41" t="s">
        <v>531</v>
      </c>
      <c r="H73" s="3"/>
      <c r="I73" s="3"/>
      <c r="J73" s="3"/>
      <c r="K73" s="4"/>
      <c r="L73" s="4"/>
      <c r="M73" s="4"/>
      <c r="N73" s="4"/>
      <c r="O73" s="109">
        <f t="shared" si="5"/>
        <v>0</v>
      </c>
      <c r="P73" s="99"/>
      <c r="Q73" s="99"/>
      <c r="R73" s="113" t="str">
        <f t="shared" si="6"/>
        <v/>
      </c>
      <c r="S73" s="113" t="str">
        <f t="shared" si="7"/>
        <v/>
      </c>
      <c r="T73" s="114">
        <f>H73*[0]!FMainPool1Fee+I73*[0]!FMainPool2Fee+J73*[0]!FMainPool3Fee+K73*[0]!FMainPool4Fee+B73*[0]!FMainEntryFee</f>
        <v>0</v>
      </c>
      <c r="U73" s="31"/>
      <c r="V73" s="100"/>
      <c r="X73" s="59"/>
      <c r="Y73" s="59"/>
    </row>
    <row r="74" spans="1:25" x14ac:dyDescent="0.25">
      <c r="A74" s="26">
        <f t="shared" si="1"/>
        <v>63</v>
      </c>
      <c r="B74" s="11"/>
      <c r="C74" s="7" t="s">
        <v>637</v>
      </c>
      <c r="D74" s="7" t="s">
        <v>9</v>
      </c>
      <c r="E74" s="48" t="s">
        <v>638</v>
      </c>
      <c r="F74" s="7"/>
      <c r="G74" s="41" t="s">
        <v>647</v>
      </c>
      <c r="H74" s="10"/>
      <c r="I74" s="11"/>
      <c r="J74" s="11"/>
      <c r="K74" s="11"/>
      <c r="L74" s="11"/>
      <c r="M74" s="11"/>
      <c r="N74" s="11"/>
      <c r="O74" s="109">
        <f t="shared" si="5"/>
        <v>0</v>
      </c>
      <c r="P74" s="11"/>
      <c r="Q74" s="11"/>
      <c r="R74" s="113" t="str">
        <f t="shared" si="6"/>
        <v/>
      </c>
      <c r="S74" s="113" t="str">
        <f t="shared" si="7"/>
        <v/>
      </c>
      <c r="T74" s="114">
        <f>H74*[0]!FMainPool1Fee+I74*[0]!FMainPool2Fee+J74*[0]!FMainPool3Fee+K74*[0]!FMainPool4Fee+B74*[0]!FMainEntryFee</f>
        <v>0</v>
      </c>
      <c r="U74" s="28"/>
      <c r="V74" s="100"/>
      <c r="X74" s="59"/>
      <c r="Y74" s="59"/>
    </row>
    <row r="75" spans="1:25" x14ac:dyDescent="0.25">
      <c r="A75" s="26">
        <f t="shared" ref="A75:A137" si="8">ROW() - ROW(FRegEntriesEnteredHdr)</f>
        <v>64</v>
      </c>
      <c r="B75" s="11"/>
      <c r="C75" s="7" t="s">
        <v>639</v>
      </c>
      <c r="D75" s="7" t="s">
        <v>7</v>
      </c>
      <c r="E75" s="48" t="s">
        <v>640</v>
      </c>
      <c r="F75" s="7"/>
      <c r="G75" s="41" t="s">
        <v>659</v>
      </c>
      <c r="H75" s="10"/>
      <c r="I75" s="11"/>
      <c r="J75" s="11"/>
      <c r="K75" s="11"/>
      <c r="L75" s="11"/>
      <c r="M75" s="11"/>
      <c r="N75" s="11"/>
      <c r="O75" s="109">
        <f t="shared" si="5"/>
        <v>0</v>
      </c>
      <c r="P75" s="11"/>
      <c r="Q75" s="11"/>
      <c r="R75" s="113" t="str">
        <f t="shared" si="6"/>
        <v/>
      </c>
      <c r="S75" s="113" t="str">
        <f t="shared" si="7"/>
        <v/>
      </c>
      <c r="T75" s="114">
        <f>H75*[0]!FMainPool1Fee+I75*[0]!FMainPool2Fee+J75*[0]!FMainPool3Fee+K75*[0]!FMainPool4Fee+B75*[0]!FMainEntryFee</f>
        <v>0</v>
      </c>
      <c r="U75" s="28"/>
      <c r="V75" s="101"/>
      <c r="X75" s="59"/>
      <c r="Y75" s="59"/>
    </row>
    <row r="76" spans="1:25" x14ac:dyDescent="0.25">
      <c r="A76" s="26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0">
        <v>5104613953</v>
      </c>
      <c r="G76" s="41" t="s">
        <v>532</v>
      </c>
      <c r="H76" s="10"/>
      <c r="I76" s="11"/>
      <c r="J76" s="11"/>
      <c r="K76" s="11"/>
      <c r="L76" s="11"/>
      <c r="M76" s="11"/>
      <c r="N76" s="11"/>
      <c r="O76" s="109">
        <f t="shared" ref="O76:O107" si="9">T76*N76</f>
        <v>0</v>
      </c>
      <c r="P76" s="11"/>
      <c r="Q76" s="11"/>
      <c r="R76" s="113" t="str">
        <f t="shared" ref="R76:R107" si="10">IF(OR(P76="c",P76="C"),+T76,"")</f>
        <v/>
      </c>
      <c r="S76" s="113" t="str">
        <f t="shared" ref="S76:S107" si="11">IF(OR(P76="$",N76=1),+T76,"")</f>
        <v/>
      </c>
      <c r="T76" s="114">
        <f>H76*[0]!FMainPool1Fee+I76*[0]!FMainPool2Fee+J76*[0]!FMainPool3Fee+K76*[0]!FMainPool4Fee+B76*[0]!FMainEntryFee</f>
        <v>0</v>
      </c>
      <c r="U76" s="28"/>
      <c r="V76" s="100"/>
      <c r="X76" s="59"/>
      <c r="Y76" s="59"/>
    </row>
    <row r="77" spans="1:25" x14ac:dyDescent="0.25">
      <c r="A77" s="26">
        <f t="shared" si="8"/>
        <v>66</v>
      </c>
      <c r="B77" s="11"/>
      <c r="C77" s="8" t="s">
        <v>131</v>
      </c>
      <c r="D77" s="8" t="s">
        <v>118</v>
      </c>
      <c r="E77" s="9" t="s">
        <v>208</v>
      </c>
      <c r="F77" s="49"/>
      <c r="G77" s="5" t="s">
        <v>162</v>
      </c>
      <c r="H77" s="10"/>
      <c r="I77" s="11"/>
      <c r="J77" s="11"/>
      <c r="K77" s="11"/>
      <c r="L77" s="11"/>
      <c r="M77" s="11"/>
      <c r="N77" s="11"/>
      <c r="O77" s="109">
        <f t="shared" si="9"/>
        <v>0</v>
      </c>
      <c r="P77" s="11"/>
      <c r="Q77" s="11"/>
      <c r="R77" s="113" t="str">
        <f t="shared" si="10"/>
        <v/>
      </c>
      <c r="S77" s="113" t="str">
        <f t="shared" si="11"/>
        <v/>
      </c>
      <c r="T77" s="114">
        <f>H77*[0]!FMainPool1Fee+I77*[0]!FMainPool2Fee+J77*[0]!FMainPool3Fee+K77*[0]!FMainPool4Fee+B77*[0]!FMainEntryFee</f>
        <v>0</v>
      </c>
      <c r="U77" s="28"/>
      <c r="V77" s="100"/>
      <c r="X77" s="59"/>
      <c r="Y77" s="59"/>
    </row>
    <row r="78" spans="1:25" x14ac:dyDescent="0.25">
      <c r="A78" s="26">
        <f t="shared" si="8"/>
        <v>67</v>
      </c>
      <c r="B78" s="11"/>
      <c r="C78" s="1" t="s">
        <v>50</v>
      </c>
      <c r="D78" s="1" t="s">
        <v>51</v>
      </c>
      <c r="E78" s="2" t="s">
        <v>200</v>
      </c>
      <c r="F78" s="6" t="s">
        <v>533</v>
      </c>
      <c r="G78" s="5" t="s">
        <v>525</v>
      </c>
      <c r="H78" s="10"/>
      <c r="I78" s="11"/>
      <c r="J78" s="11"/>
      <c r="K78" s="11"/>
      <c r="L78" s="11"/>
      <c r="M78" s="11"/>
      <c r="N78" s="11"/>
      <c r="O78" s="109">
        <f t="shared" si="9"/>
        <v>0</v>
      </c>
      <c r="P78" s="11"/>
      <c r="Q78" s="11"/>
      <c r="R78" s="113" t="str">
        <f t="shared" si="10"/>
        <v/>
      </c>
      <c r="S78" s="113" t="str">
        <f t="shared" si="11"/>
        <v/>
      </c>
      <c r="T78" s="114">
        <f>H78*[0]!FMainPool1Fee+I78*[0]!FMainPool2Fee+J78*[0]!FMainPool3Fee+K78*[0]!FMainPool4Fee+B78*[0]!FMainEntryFee</f>
        <v>0</v>
      </c>
      <c r="U78" s="28"/>
      <c r="V78" s="100"/>
      <c r="X78" s="59"/>
      <c r="Y78" s="59"/>
    </row>
    <row r="79" spans="1:25" x14ac:dyDescent="0.25">
      <c r="A79" s="26">
        <f t="shared" si="8"/>
        <v>68</v>
      </c>
      <c r="B79" s="11"/>
      <c r="C79" s="8" t="s">
        <v>114</v>
      </c>
      <c r="D79" s="8" t="s">
        <v>42</v>
      </c>
      <c r="E79" s="9" t="s">
        <v>520</v>
      </c>
      <c r="F79" s="49"/>
      <c r="G79" s="5" t="s">
        <v>159</v>
      </c>
      <c r="H79" s="10"/>
      <c r="I79" s="11"/>
      <c r="J79" s="11"/>
      <c r="K79" s="11"/>
      <c r="L79" s="11"/>
      <c r="M79" s="11"/>
      <c r="N79" s="11"/>
      <c r="O79" s="109">
        <f t="shared" si="9"/>
        <v>0</v>
      </c>
      <c r="P79" s="11"/>
      <c r="Q79" s="11"/>
      <c r="R79" s="113" t="str">
        <f t="shared" si="10"/>
        <v/>
      </c>
      <c r="S79" s="113" t="str">
        <f t="shared" si="11"/>
        <v/>
      </c>
      <c r="T79" s="114">
        <f>H79*[0]!FMainPool1Fee+I79*[0]!FMainPool2Fee+J79*[0]!FMainPool3Fee+K79*[0]!FMainPool4Fee+B79*[0]!FMainEntryFee</f>
        <v>0</v>
      </c>
      <c r="U79" s="28"/>
      <c r="V79" s="6"/>
      <c r="W79" s="98"/>
      <c r="X79" s="59"/>
      <c r="Y79" s="59"/>
    </row>
    <row r="80" spans="1:25" x14ac:dyDescent="0.25">
      <c r="A80" s="26">
        <f t="shared" si="8"/>
        <v>69</v>
      </c>
      <c r="B80" s="11"/>
      <c r="C80" s="8" t="s">
        <v>115</v>
      </c>
      <c r="D80" s="8" t="s">
        <v>116</v>
      </c>
      <c r="E80" s="9" t="s">
        <v>226</v>
      </c>
      <c r="F80" s="49"/>
      <c r="G80" s="5" t="s">
        <v>379</v>
      </c>
      <c r="H80" s="10"/>
      <c r="I80" s="11"/>
      <c r="J80" s="11"/>
      <c r="K80" s="11"/>
      <c r="L80" s="11"/>
      <c r="M80" s="11"/>
      <c r="N80" s="11"/>
      <c r="O80" s="109">
        <f t="shared" si="9"/>
        <v>0</v>
      </c>
      <c r="P80" s="11"/>
      <c r="Q80" s="11"/>
      <c r="R80" s="113" t="str">
        <f t="shared" si="10"/>
        <v/>
      </c>
      <c r="S80" s="113" t="str">
        <f t="shared" si="11"/>
        <v/>
      </c>
      <c r="T80" s="114">
        <f>H80*[0]!FMainPool1Fee+I80*[0]!FMainPool2Fee+J80*[0]!FMainPool3Fee+K80*[0]!FMainPool4Fee+B80*[0]!FMainEntryFee</f>
        <v>0</v>
      </c>
      <c r="U80" s="28"/>
      <c r="V80" s="101"/>
      <c r="W80" s="98"/>
      <c r="X80" s="59"/>
      <c r="Y80" s="59"/>
    </row>
    <row r="81" spans="1:25" x14ac:dyDescent="0.25">
      <c r="A81" s="26">
        <f t="shared" si="8"/>
        <v>70</v>
      </c>
      <c r="B81" s="3"/>
      <c r="C81" s="8" t="s">
        <v>331</v>
      </c>
      <c r="D81" s="8" t="s">
        <v>332</v>
      </c>
      <c r="E81" s="9" t="s">
        <v>333</v>
      </c>
      <c r="F81" s="61">
        <v>9253604907</v>
      </c>
      <c r="G81" s="5" t="s">
        <v>388</v>
      </c>
      <c r="H81" s="10"/>
      <c r="I81" s="11"/>
      <c r="J81" s="11"/>
      <c r="K81" s="11"/>
      <c r="L81" s="11"/>
      <c r="M81" s="11"/>
      <c r="N81" s="11"/>
      <c r="O81" s="109">
        <f t="shared" si="9"/>
        <v>0</v>
      </c>
      <c r="P81" s="99"/>
      <c r="Q81" s="99"/>
      <c r="R81" s="113" t="str">
        <f t="shared" si="10"/>
        <v/>
      </c>
      <c r="S81" s="113" t="str">
        <f t="shared" si="11"/>
        <v/>
      </c>
      <c r="T81" s="114">
        <f>H81*[0]!FMainPool1Fee+I81*[0]!FMainPool2Fee+J81*[0]!FMainPool3Fee+K81*[0]!FMainPool4Fee+B81*[0]!FMainEntryFee</f>
        <v>0</v>
      </c>
      <c r="U81" s="31"/>
      <c r="V81" s="101"/>
      <c r="X81" s="59"/>
      <c r="Y81" s="59"/>
    </row>
    <row r="82" spans="1:25" x14ac:dyDescent="0.25">
      <c r="A82" s="26">
        <f t="shared" si="8"/>
        <v>71</v>
      </c>
      <c r="B82" s="11"/>
      <c r="C82" s="1" t="s">
        <v>82</v>
      </c>
      <c r="D82" s="1" t="s">
        <v>83</v>
      </c>
      <c r="E82" s="2" t="s">
        <v>227</v>
      </c>
      <c r="F82" s="49"/>
      <c r="G82" s="5" t="s">
        <v>414</v>
      </c>
      <c r="H82" s="10"/>
      <c r="I82" s="11"/>
      <c r="J82" s="11"/>
      <c r="K82" s="11"/>
      <c r="L82" s="11"/>
      <c r="M82" s="11"/>
      <c r="N82" s="11"/>
      <c r="O82" s="109">
        <f t="shared" si="9"/>
        <v>0</v>
      </c>
      <c r="P82" s="11"/>
      <c r="Q82" s="11"/>
      <c r="R82" s="113" t="str">
        <f t="shared" si="10"/>
        <v/>
      </c>
      <c r="S82" s="113" t="str">
        <f t="shared" si="11"/>
        <v/>
      </c>
      <c r="T82" s="114">
        <f>H82*[0]!FMainPool1Fee+I82*[0]!FMainPool2Fee+J82*[0]!FMainPool3Fee+K82*[0]!FMainPool4Fee+B82*[0]!FMainEntryFee</f>
        <v>0</v>
      </c>
      <c r="U82" s="28"/>
      <c r="V82" s="100"/>
      <c r="X82" s="59"/>
      <c r="Y82" s="59"/>
    </row>
    <row r="83" spans="1:25" x14ac:dyDescent="0.25">
      <c r="A83" s="26">
        <f t="shared" si="8"/>
        <v>72</v>
      </c>
      <c r="B83" s="11"/>
      <c r="C83" s="8" t="s">
        <v>104</v>
      </c>
      <c r="D83" s="8" t="s">
        <v>105</v>
      </c>
      <c r="E83" s="9" t="s">
        <v>180</v>
      </c>
      <c r="F83" s="49">
        <v>5305180274</v>
      </c>
      <c r="G83" s="5" t="s">
        <v>139</v>
      </c>
      <c r="H83" s="10"/>
      <c r="I83" s="11"/>
      <c r="J83" s="11"/>
      <c r="K83" s="11"/>
      <c r="L83" s="11"/>
      <c r="M83" s="11"/>
      <c r="N83" s="11"/>
      <c r="O83" s="109">
        <f t="shared" si="9"/>
        <v>0</v>
      </c>
      <c r="P83" s="11"/>
      <c r="Q83" s="11"/>
      <c r="R83" s="113" t="str">
        <f t="shared" si="10"/>
        <v/>
      </c>
      <c r="S83" s="113" t="str">
        <f t="shared" si="11"/>
        <v/>
      </c>
      <c r="T83" s="114">
        <f>H83*[0]!FMainPool1Fee+I83*[0]!FMainPool2Fee+J83*[0]!FMainPool3Fee+K83*[0]!FMainPool4Fee+B83*[0]!FMainEntryFee</f>
        <v>0</v>
      </c>
      <c r="U83" s="28"/>
      <c r="V83" s="101"/>
      <c r="X83" s="59"/>
      <c r="Y83" s="59"/>
    </row>
    <row r="84" spans="1:25" x14ac:dyDescent="0.25">
      <c r="A84" s="26">
        <f t="shared" si="8"/>
        <v>73</v>
      </c>
      <c r="B84" s="11"/>
      <c r="C84" s="8" t="s">
        <v>454</v>
      </c>
      <c r="D84" s="8" t="s">
        <v>16</v>
      </c>
      <c r="E84" s="9" t="s">
        <v>453</v>
      </c>
      <c r="F84" s="49"/>
      <c r="G84" s="5"/>
      <c r="H84" s="10"/>
      <c r="I84" s="11"/>
      <c r="J84" s="11"/>
      <c r="K84" s="11"/>
      <c r="L84" s="11"/>
      <c r="M84" s="11"/>
      <c r="N84" s="11"/>
      <c r="O84" s="109">
        <f t="shared" si="9"/>
        <v>0</v>
      </c>
      <c r="P84" s="11"/>
      <c r="Q84" s="11"/>
      <c r="R84" s="113" t="str">
        <f t="shared" si="10"/>
        <v/>
      </c>
      <c r="S84" s="113" t="str">
        <f t="shared" si="11"/>
        <v/>
      </c>
      <c r="T84" s="114">
        <f>H84*[0]!FMainPool1Fee+I84*[0]!FMainPool2Fee+J84*[0]!FMainPool3Fee+K84*[0]!FMainPool4Fee+B84*[0]!FMainEntryFee</f>
        <v>0</v>
      </c>
      <c r="U84" s="28"/>
      <c r="V84" s="100"/>
      <c r="W84" s="98"/>
      <c r="X84" s="59"/>
      <c r="Y84" s="59"/>
    </row>
    <row r="85" spans="1:25" x14ac:dyDescent="0.25">
      <c r="A85" s="26">
        <f t="shared" si="8"/>
        <v>74</v>
      </c>
      <c r="B85" s="11"/>
      <c r="C85" s="8" t="s">
        <v>117</v>
      </c>
      <c r="D85" s="8" t="s">
        <v>118</v>
      </c>
      <c r="E85" s="9" t="s">
        <v>201</v>
      </c>
      <c r="F85" s="49"/>
      <c r="G85" s="5" t="s">
        <v>158</v>
      </c>
      <c r="H85" s="10"/>
      <c r="I85" s="11"/>
      <c r="J85" s="11"/>
      <c r="K85" s="11"/>
      <c r="L85" s="11"/>
      <c r="M85" s="11"/>
      <c r="N85" s="11"/>
      <c r="O85" s="109">
        <f t="shared" si="9"/>
        <v>0</v>
      </c>
      <c r="P85" s="11"/>
      <c r="Q85" s="11"/>
      <c r="R85" s="113" t="str">
        <f t="shared" si="10"/>
        <v/>
      </c>
      <c r="S85" s="113" t="str">
        <f t="shared" si="11"/>
        <v/>
      </c>
      <c r="T85" s="114">
        <f>H85*[0]!FMainPool1Fee+I85*[0]!FMainPool2Fee+J85*[0]!FMainPool3Fee+K85*[0]!FMainPool4Fee+B85*[0]!FMainEntryFee</f>
        <v>0</v>
      </c>
      <c r="U85" s="28"/>
      <c r="V85" s="101"/>
      <c r="X85" s="59"/>
      <c r="Y85" s="59"/>
    </row>
    <row r="86" spans="1:25" x14ac:dyDescent="0.25">
      <c r="A86" s="26">
        <f t="shared" si="8"/>
        <v>75</v>
      </c>
      <c r="B86" s="11"/>
      <c r="C86" s="1" t="s">
        <v>65</v>
      </c>
      <c r="D86" s="1" t="s">
        <v>66</v>
      </c>
      <c r="E86" s="2" t="s">
        <v>228</v>
      </c>
      <c r="F86" s="50"/>
      <c r="G86" s="5" t="s">
        <v>373</v>
      </c>
      <c r="H86" s="10"/>
      <c r="I86" s="11"/>
      <c r="J86" s="11"/>
      <c r="K86" s="11"/>
      <c r="L86" s="11"/>
      <c r="M86" s="11"/>
      <c r="N86" s="11"/>
      <c r="O86" s="109">
        <f t="shared" si="9"/>
        <v>0</v>
      </c>
      <c r="P86" s="11"/>
      <c r="Q86" s="11"/>
      <c r="R86" s="113" t="str">
        <f t="shared" si="10"/>
        <v/>
      </c>
      <c r="S86" s="113" t="str">
        <f t="shared" si="11"/>
        <v/>
      </c>
      <c r="T86" s="114">
        <f>H86*[0]!FMainPool1Fee+I86*[0]!FMainPool2Fee+J86*[0]!FMainPool3Fee+K86*[0]!FMainPool4Fee+B86*[0]!FMainEntryFee</f>
        <v>0</v>
      </c>
      <c r="U86" s="28"/>
      <c r="V86" s="100"/>
      <c r="X86" s="59"/>
      <c r="Y86" s="59"/>
    </row>
    <row r="87" spans="1:25" x14ac:dyDescent="0.25">
      <c r="A87" s="26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49"/>
      <c r="G87" s="5" t="s">
        <v>258</v>
      </c>
      <c r="H87" s="3"/>
      <c r="I87" s="3"/>
      <c r="J87" s="3"/>
      <c r="K87" s="4"/>
      <c r="L87" s="4"/>
      <c r="M87" s="4"/>
      <c r="N87" s="4"/>
      <c r="O87" s="109">
        <f t="shared" si="9"/>
        <v>0</v>
      </c>
      <c r="P87" s="99"/>
      <c r="Q87" s="99"/>
      <c r="R87" s="113" t="str">
        <f t="shared" si="10"/>
        <v/>
      </c>
      <c r="S87" s="113" t="str">
        <f t="shared" si="11"/>
        <v/>
      </c>
      <c r="T87" s="114">
        <f>H87*[0]!FMainPool1Fee+I87*[0]!FMainPool2Fee+J87*[0]!FMainPool3Fee+K87*[0]!FMainPool4Fee+B87*[0]!FMainEntryFee</f>
        <v>0</v>
      </c>
      <c r="U87" s="31"/>
      <c r="V87" s="100"/>
      <c r="X87" s="59"/>
      <c r="Y87" s="59"/>
    </row>
    <row r="88" spans="1:25" x14ac:dyDescent="0.25">
      <c r="A88" s="26">
        <f t="shared" si="8"/>
        <v>77</v>
      </c>
      <c r="B88" s="3"/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/>
      <c r="I88" s="3"/>
      <c r="J88" s="3"/>
      <c r="K88" s="4"/>
      <c r="L88" s="4"/>
      <c r="M88" s="4"/>
      <c r="N88" s="4"/>
      <c r="O88" s="109">
        <f t="shared" si="9"/>
        <v>0</v>
      </c>
      <c r="P88" s="99"/>
      <c r="Q88" s="99"/>
      <c r="R88" s="113" t="str">
        <f t="shared" si="10"/>
        <v/>
      </c>
      <c r="S88" s="113" t="str">
        <f t="shared" si="11"/>
        <v/>
      </c>
      <c r="T88" s="114">
        <f>H88*[0]!FMainPool1Fee+I88*[0]!FMainPool2Fee+J88*[0]!FMainPool3Fee+K88*[0]!FMainPool4Fee+B88*[0]!FMainEntryFee</f>
        <v>0</v>
      </c>
      <c r="U88" s="31"/>
      <c r="V88" s="101"/>
      <c r="X88" s="59"/>
      <c r="Y88" s="59"/>
    </row>
    <row r="89" spans="1:25" x14ac:dyDescent="0.25">
      <c r="A89" s="26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49"/>
      <c r="G89" s="5" t="s">
        <v>416</v>
      </c>
      <c r="H89" s="3"/>
      <c r="I89" s="3"/>
      <c r="J89" s="3"/>
      <c r="K89" s="4"/>
      <c r="L89" s="4"/>
      <c r="M89" s="4"/>
      <c r="N89" s="4"/>
      <c r="O89" s="109">
        <f t="shared" si="9"/>
        <v>0</v>
      </c>
      <c r="P89" s="99"/>
      <c r="Q89" s="99"/>
      <c r="R89" s="113" t="str">
        <f t="shared" si="10"/>
        <v/>
      </c>
      <c r="S89" s="113" t="str">
        <f t="shared" si="11"/>
        <v/>
      </c>
      <c r="T89" s="114">
        <f>H89*[0]!FMainPool1Fee+I89*[0]!FMainPool2Fee+J89*[0]!FMainPool3Fee+K89*[0]!FMainPool4Fee+B89*[0]!FMainEntryFee</f>
        <v>0</v>
      </c>
      <c r="U89" s="40"/>
      <c r="V89" s="100"/>
      <c r="X89" s="59"/>
      <c r="Y89" s="59"/>
    </row>
    <row r="90" spans="1:25" x14ac:dyDescent="0.25">
      <c r="A90" s="26">
        <f t="shared" si="8"/>
        <v>79</v>
      </c>
      <c r="B90" s="11"/>
      <c r="C90" s="8" t="s">
        <v>357</v>
      </c>
      <c r="D90" s="8" t="s">
        <v>9</v>
      </c>
      <c r="E90" s="9" t="s">
        <v>358</v>
      </c>
      <c r="F90" s="49"/>
      <c r="G90" s="5" t="s">
        <v>389</v>
      </c>
      <c r="H90" s="10"/>
      <c r="I90" s="11"/>
      <c r="J90" s="11"/>
      <c r="K90" s="11"/>
      <c r="L90" s="11"/>
      <c r="M90" s="11"/>
      <c r="N90" s="11"/>
      <c r="O90" s="109">
        <f t="shared" si="9"/>
        <v>0</v>
      </c>
      <c r="P90" s="11"/>
      <c r="Q90" s="11"/>
      <c r="R90" s="113" t="str">
        <f t="shared" si="10"/>
        <v/>
      </c>
      <c r="S90" s="113" t="str">
        <f t="shared" si="11"/>
        <v/>
      </c>
      <c r="T90" s="114">
        <f>H90*[0]!FMainPool1Fee+I90*[0]!FMainPool2Fee+J90*[0]!FMainPool3Fee+K90*[0]!FMainPool4Fee+B90*[0]!FMainEntryFee</f>
        <v>0</v>
      </c>
      <c r="U90" s="28"/>
      <c r="V90" s="100"/>
      <c r="W90" s="98"/>
      <c r="X90" s="59"/>
      <c r="Y90" s="59"/>
    </row>
    <row r="91" spans="1:25" x14ac:dyDescent="0.25">
      <c r="A91" s="26">
        <f t="shared" si="8"/>
        <v>80</v>
      </c>
      <c r="B91" s="11"/>
      <c r="C91" s="8" t="s">
        <v>466</v>
      </c>
      <c r="D91" s="8" t="s">
        <v>23</v>
      </c>
      <c r="E91" s="9" t="s">
        <v>492</v>
      </c>
      <c r="F91" s="48" t="s">
        <v>535</v>
      </c>
      <c r="G91" s="41" t="s">
        <v>536</v>
      </c>
      <c r="H91" s="10"/>
      <c r="I91" s="11"/>
      <c r="J91" s="11"/>
      <c r="K91" s="11"/>
      <c r="L91" s="11"/>
      <c r="M91" s="11"/>
      <c r="N91" s="11"/>
      <c r="O91" s="109">
        <f t="shared" si="9"/>
        <v>0</v>
      </c>
      <c r="P91" s="11"/>
      <c r="Q91" s="11"/>
      <c r="R91" s="113" t="str">
        <f t="shared" si="10"/>
        <v/>
      </c>
      <c r="S91" s="113" t="str">
        <f t="shared" si="11"/>
        <v/>
      </c>
      <c r="T91" s="114">
        <f>H91*[0]!FMainPool1Fee+I91*[0]!FMainPool2Fee+J91*[0]!FMainPool3Fee+K91*[0]!FMainPool4Fee+B91*[0]!FMainEntryFee</f>
        <v>0</v>
      </c>
      <c r="U91" s="28"/>
      <c r="V91" s="100"/>
      <c r="X91" s="59"/>
      <c r="Y91" s="59"/>
    </row>
    <row r="92" spans="1:25" x14ac:dyDescent="0.25">
      <c r="A92" s="26">
        <f t="shared" si="8"/>
        <v>81</v>
      </c>
      <c r="B92" s="11"/>
      <c r="C92" s="1" t="s">
        <v>33</v>
      </c>
      <c r="D92" s="1" t="s">
        <v>34</v>
      </c>
      <c r="E92" s="2" t="s">
        <v>197</v>
      </c>
      <c r="F92" s="50">
        <v>4084722020</v>
      </c>
      <c r="G92" s="41" t="s">
        <v>537</v>
      </c>
      <c r="H92" s="10"/>
      <c r="I92" s="11"/>
      <c r="J92" s="11"/>
      <c r="K92" s="11"/>
      <c r="L92" s="11"/>
      <c r="M92" s="11"/>
      <c r="N92" s="11"/>
      <c r="O92" s="109">
        <f t="shared" si="9"/>
        <v>0</v>
      </c>
      <c r="P92" s="11"/>
      <c r="Q92" s="11"/>
      <c r="R92" s="113" t="str">
        <f t="shared" si="10"/>
        <v/>
      </c>
      <c r="S92" s="113" t="str">
        <f t="shared" si="11"/>
        <v/>
      </c>
      <c r="T92" s="114">
        <f>H92*[0]!FMainPool1Fee+I92*[0]!FMainPool2Fee+J92*[0]!FMainPool3Fee+K92*[0]!FMainPool4Fee+B92*[0]!FMainEntryFee</f>
        <v>0</v>
      </c>
      <c r="U92" s="28"/>
      <c r="V92" s="100"/>
      <c r="X92" s="59"/>
      <c r="Y92" s="59"/>
    </row>
    <row r="93" spans="1:25" x14ac:dyDescent="0.25">
      <c r="A93" s="26">
        <f t="shared" si="8"/>
        <v>82</v>
      </c>
      <c r="B93" s="11"/>
      <c r="C93" s="1" t="s">
        <v>10</v>
      </c>
      <c r="D93" s="1" t="s">
        <v>11</v>
      </c>
      <c r="E93" s="2" t="s">
        <v>230</v>
      </c>
      <c r="F93" s="50"/>
      <c r="G93" s="5"/>
      <c r="H93" s="10"/>
      <c r="I93" s="11"/>
      <c r="J93" s="11"/>
      <c r="K93" s="11"/>
      <c r="L93" s="11"/>
      <c r="M93" s="11"/>
      <c r="N93" s="11"/>
      <c r="O93" s="109">
        <f t="shared" si="9"/>
        <v>0</v>
      </c>
      <c r="P93" s="11"/>
      <c r="Q93" s="11"/>
      <c r="R93" s="113" t="str">
        <f t="shared" si="10"/>
        <v/>
      </c>
      <c r="S93" s="113" t="str">
        <f t="shared" si="11"/>
        <v/>
      </c>
      <c r="T93" s="114">
        <f>H93*[0]!FMainPool1Fee+I93*[0]!FMainPool2Fee+J93*[0]!FMainPool3Fee+K93*[0]!FMainPool4Fee+B93*[0]!FMainEntryFee</f>
        <v>0</v>
      </c>
      <c r="U93" s="28"/>
      <c r="V93" s="101"/>
      <c r="X93" s="59"/>
      <c r="Y93" s="59"/>
    </row>
    <row r="94" spans="1:25" x14ac:dyDescent="0.25">
      <c r="A94" s="26">
        <f t="shared" si="8"/>
        <v>83</v>
      </c>
      <c r="B94" s="11"/>
      <c r="C94" s="8" t="s">
        <v>143</v>
      </c>
      <c r="D94" s="8" t="s">
        <v>144</v>
      </c>
      <c r="E94" s="9" t="s">
        <v>249</v>
      </c>
      <c r="F94" s="49"/>
      <c r="G94" s="5" t="s">
        <v>160</v>
      </c>
      <c r="H94" s="10"/>
      <c r="I94" s="11"/>
      <c r="J94" s="11"/>
      <c r="K94" s="11"/>
      <c r="L94" s="11"/>
      <c r="M94" s="11"/>
      <c r="N94" s="11"/>
      <c r="O94" s="109">
        <f t="shared" si="9"/>
        <v>0</v>
      </c>
      <c r="P94" s="11"/>
      <c r="Q94" s="11"/>
      <c r="R94" s="113" t="str">
        <f t="shared" si="10"/>
        <v/>
      </c>
      <c r="S94" s="113" t="str">
        <f t="shared" si="11"/>
        <v/>
      </c>
      <c r="T94" s="114">
        <f>H94*[0]!FMainPool1Fee+I94*[0]!FMainPool2Fee+J94*[0]!FMainPool3Fee+K94*[0]!FMainPool4Fee+B94*[0]!FMainEntryFee</f>
        <v>0</v>
      </c>
      <c r="U94" s="28"/>
      <c r="V94" s="101"/>
      <c r="X94" s="59"/>
      <c r="Y94" s="59"/>
    </row>
    <row r="95" spans="1:25" x14ac:dyDescent="0.25">
      <c r="A95" s="26">
        <f t="shared" si="8"/>
        <v>84</v>
      </c>
      <c r="B95" s="11"/>
      <c r="C95" s="1" t="s">
        <v>28</v>
      </c>
      <c r="D95" s="1" t="s">
        <v>29</v>
      </c>
      <c r="E95" s="2" t="s">
        <v>190</v>
      </c>
      <c r="F95" s="50"/>
      <c r="G95" s="5" t="s">
        <v>306</v>
      </c>
      <c r="H95" s="10"/>
      <c r="I95" s="11"/>
      <c r="J95" s="11"/>
      <c r="K95" s="11"/>
      <c r="L95" s="11"/>
      <c r="M95" s="11"/>
      <c r="N95" s="11"/>
      <c r="O95" s="109">
        <f t="shared" si="9"/>
        <v>0</v>
      </c>
      <c r="P95" s="11"/>
      <c r="Q95" s="11"/>
      <c r="R95" s="113" t="str">
        <f t="shared" si="10"/>
        <v/>
      </c>
      <c r="S95" s="113" t="str">
        <f t="shared" si="11"/>
        <v/>
      </c>
      <c r="T95" s="114">
        <f>H95*[0]!FMainPool1Fee+I95*[0]!FMainPool2Fee+J95*[0]!FMainPool3Fee+K95*[0]!FMainPool4Fee+B95*[0]!FMainEntryFee</f>
        <v>0</v>
      </c>
      <c r="U95" s="28"/>
      <c r="V95" s="100"/>
      <c r="X95" s="59"/>
      <c r="Y95" s="59"/>
    </row>
    <row r="96" spans="1:25" x14ac:dyDescent="0.25">
      <c r="A96" s="26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49">
        <v>9254579513</v>
      </c>
      <c r="G96" s="41" t="s">
        <v>538</v>
      </c>
      <c r="H96" s="4"/>
      <c r="I96" s="4"/>
      <c r="J96" s="4"/>
      <c r="K96" s="4"/>
      <c r="L96" s="4"/>
      <c r="M96" s="4"/>
      <c r="N96" s="4"/>
      <c r="O96" s="109">
        <f t="shared" si="9"/>
        <v>0</v>
      </c>
      <c r="P96" s="99"/>
      <c r="Q96" s="99"/>
      <c r="R96" s="113" t="str">
        <f t="shared" si="10"/>
        <v/>
      </c>
      <c r="S96" s="113" t="str">
        <f t="shared" si="11"/>
        <v/>
      </c>
      <c r="T96" s="114">
        <f>H96*[0]!FMainPool1Fee+I96*[0]!FMainPool2Fee+J96*[0]!FMainPool3Fee+K96*[0]!FMainPool4Fee+B96*[0]!FMainEntryFee</f>
        <v>0</v>
      </c>
      <c r="U96" s="31"/>
      <c r="V96" s="100"/>
      <c r="X96" s="59"/>
      <c r="Y96" s="59"/>
    </row>
    <row r="97" spans="1:25" x14ac:dyDescent="0.25">
      <c r="A97" s="26">
        <f t="shared" si="8"/>
        <v>86</v>
      </c>
      <c r="B97" s="11"/>
      <c r="C97" s="1" t="s">
        <v>45</v>
      </c>
      <c r="D97" s="1" t="s">
        <v>46</v>
      </c>
      <c r="E97" s="2" t="s">
        <v>199</v>
      </c>
      <c r="F97" s="50"/>
      <c r="G97" s="5"/>
      <c r="H97" s="10"/>
      <c r="I97" s="11"/>
      <c r="J97" s="11"/>
      <c r="K97" s="11"/>
      <c r="L97" s="11"/>
      <c r="M97" s="11"/>
      <c r="N97" s="11"/>
      <c r="O97" s="109">
        <f t="shared" si="9"/>
        <v>0</v>
      </c>
      <c r="P97" s="11"/>
      <c r="Q97" s="11"/>
      <c r="R97" s="113" t="str">
        <f t="shared" si="10"/>
        <v/>
      </c>
      <c r="S97" s="113" t="str">
        <f t="shared" si="11"/>
        <v/>
      </c>
      <c r="T97" s="114">
        <f>H97*[0]!FMainPool1Fee+I97*[0]!FMainPool2Fee+J97*[0]!FMainPool3Fee+K97*[0]!FMainPool4Fee+B97*[0]!FMainEntryFee</f>
        <v>0</v>
      </c>
      <c r="U97" s="28"/>
      <c r="V97" s="100"/>
      <c r="X97" s="59"/>
      <c r="Y97" s="59"/>
    </row>
    <row r="98" spans="1:25" x14ac:dyDescent="0.25">
      <c r="A98" s="26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49"/>
      <c r="G98" s="5" t="s">
        <v>304</v>
      </c>
      <c r="H98" s="3"/>
      <c r="I98" s="3"/>
      <c r="J98" s="3"/>
      <c r="K98" s="4"/>
      <c r="L98" s="4"/>
      <c r="M98" s="4"/>
      <c r="N98" s="4"/>
      <c r="O98" s="109">
        <f t="shared" si="9"/>
        <v>0</v>
      </c>
      <c r="P98" s="99"/>
      <c r="Q98" s="99"/>
      <c r="R98" s="113" t="str">
        <f t="shared" si="10"/>
        <v/>
      </c>
      <c r="S98" s="113" t="str">
        <f t="shared" si="11"/>
        <v/>
      </c>
      <c r="T98" s="114">
        <f>H98*[0]!FMainPool1Fee+I98*[0]!FMainPool2Fee+J98*[0]!FMainPool3Fee+K98*[0]!FMainPool4Fee+B98*[0]!FMainEntryFee</f>
        <v>0</v>
      </c>
      <c r="U98" s="31"/>
      <c r="V98" s="101"/>
      <c r="X98" s="59"/>
      <c r="Y98" s="59"/>
    </row>
    <row r="99" spans="1:25" x14ac:dyDescent="0.25">
      <c r="A99" s="26">
        <f t="shared" si="8"/>
        <v>88</v>
      </c>
      <c r="B99" s="3"/>
      <c r="C99" s="7" t="s">
        <v>641</v>
      </c>
      <c r="D99" s="7" t="s">
        <v>308</v>
      </c>
      <c r="E99" s="48" t="s">
        <v>642</v>
      </c>
      <c r="F99" s="7"/>
      <c r="G99" s="5" t="s">
        <v>142</v>
      </c>
      <c r="H99" s="3"/>
      <c r="I99" s="3"/>
      <c r="J99" s="3"/>
      <c r="K99" s="4"/>
      <c r="L99" s="4"/>
      <c r="M99" s="4"/>
      <c r="N99" s="4"/>
      <c r="O99" s="109">
        <f t="shared" si="9"/>
        <v>0</v>
      </c>
      <c r="P99" s="99"/>
      <c r="Q99" s="99"/>
      <c r="R99" s="113" t="str">
        <f t="shared" si="10"/>
        <v/>
      </c>
      <c r="S99" s="113" t="str">
        <f t="shared" si="11"/>
        <v/>
      </c>
      <c r="T99" s="114">
        <f>H99*[0]!FMainPool1Fee+I99*[0]!FMainPool2Fee+J99*[0]!FMainPool3Fee+K99*[0]!FMainPool4Fee+B99*[0]!FMainEntryFee</f>
        <v>0</v>
      </c>
      <c r="U99" s="40"/>
      <c r="V99" s="100"/>
      <c r="X99" s="59"/>
      <c r="Y99" s="59"/>
    </row>
    <row r="100" spans="1:25" x14ac:dyDescent="0.25">
      <c r="A100" s="26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49"/>
      <c r="G100" s="5" t="s">
        <v>142</v>
      </c>
      <c r="H100" s="3"/>
      <c r="I100" s="3"/>
      <c r="J100" s="3"/>
      <c r="K100" s="4"/>
      <c r="L100" s="4"/>
      <c r="M100" s="4"/>
      <c r="N100" s="4"/>
      <c r="O100" s="109">
        <f t="shared" si="9"/>
        <v>0</v>
      </c>
      <c r="P100" s="99"/>
      <c r="Q100" s="99"/>
      <c r="R100" s="113" t="str">
        <f t="shared" si="10"/>
        <v/>
      </c>
      <c r="S100" s="113" t="str">
        <f t="shared" si="11"/>
        <v/>
      </c>
      <c r="T100" s="114">
        <f>H100*[0]!FMainPool1Fee+I100*[0]!FMainPool2Fee+J100*[0]!FMainPool3Fee+K100*[0]!FMainPool4Fee+B100*[0]!FMainEntryFee</f>
        <v>0</v>
      </c>
      <c r="U100" s="40"/>
      <c r="V100" s="100"/>
      <c r="X100" s="59"/>
      <c r="Y100" s="59"/>
    </row>
    <row r="101" spans="1:25" x14ac:dyDescent="0.25">
      <c r="A101" s="26">
        <f t="shared" si="8"/>
        <v>90</v>
      </c>
      <c r="B101" s="11"/>
      <c r="C101" s="1" t="s">
        <v>39</v>
      </c>
      <c r="D101" s="1" t="s">
        <v>40</v>
      </c>
      <c r="E101" s="2" t="s">
        <v>217</v>
      </c>
      <c r="F101" s="50"/>
      <c r="G101" s="5" t="s">
        <v>259</v>
      </c>
      <c r="H101" s="10"/>
      <c r="I101" s="11"/>
      <c r="J101" s="11"/>
      <c r="K101" s="11"/>
      <c r="L101" s="11"/>
      <c r="M101" s="11"/>
      <c r="N101" s="11"/>
      <c r="O101" s="109">
        <f t="shared" si="9"/>
        <v>0</v>
      </c>
      <c r="P101" s="11"/>
      <c r="Q101" s="11"/>
      <c r="R101" s="113" t="str">
        <f t="shared" si="10"/>
        <v/>
      </c>
      <c r="S101" s="113" t="str">
        <f t="shared" si="11"/>
        <v/>
      </c>
      <c r="T101" s="114">
        <f>H101*[0]!FMainPool1Fee+I101*[0]!FMainPool2Fee+J101*[0]!FMainPool3Fee+K101*[0]!FMainPool4Fee+B101*[0]!FMainEntryFee</f>
        <v>0</v>
      </c>
      <c r="U101" s="28"/>
      <c r="V101" s="6"/>
      <c r="W101" s="98"/>
      <c r="X101" s="59"/>
      <c r="Y101" s="59"/>
    </row>
    <row r="102" spans="1:25" x14ac:dyDescent="0.25">
      <c r="A102" s="26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49"/>
      <c r="G102" s="5"/>
      <c r="H102" s="3"/>
      <c r="I102" s="3"/>
      <c r="J102" s="3"/>
      <c r="K102" s="4"/>
      <c r="L102" s="4"/>
      <c r="M102" s="4"/>
      <c r="N102" s="4"/>
      <c r="O102" s="109">
        <f t="shared" si="9"/>
        <v>0</v>
      </c>
      <c r="P102" s="99"/>
      <c r="Q102" s="99"/>
      <c r="R102" s="113" t="str">
        <f t="shared" si="10"/>
        <v/>
      </c>
      <c r="S102" s="113" t="str">
        <f t="shared" si="11"/>
        <v/>
      </c>
      <c r="T102" s="114">
        <f>H102*[0]!FMainPool1Fee+I102*[0]!FMainPool2Fee+J102*[0]!FMainPool3Fee+K102*[0]!FMainPool4Fee+B102*[0]!FMainEntryFee</f>
        <v>0</v>
      </c>
      <c r="U102" s="31"/>
      <c r="V102" s="6"/>
      <c r="W102" s="98"/>
      <c r="X102" s="59"/>
      <c r="Y102" s="59"/>
    </row>
    <row r="103" spans="1:25" x14ac:dyDescent="0.25">
      <c r="A103" s="26">
        <f t="shared" si="8"/>
        <v>92</v>
      </c>
      <c r="B103" s="11"/>
      <c r="C103" s="8" t="s">
        <v>347</v>
      </c>
      <c r="D103" s="8" t="s">
        <v>348</v>
      </c>
      <c r="E103" s="9" t="s">
        <v>349</v>
      </c>
      <c r="F103" s="49">
        <v>5106819675</v>
      </c>
      <c r="G103" s="41" t="s">
        <v>539</v>
      </c>
      <c r="H103" s="10"/>
      <c r="I103" s="11"/>
      <c r="J103" s="11"/>
      <c r="K103" s="11"/>
      <c r="L103" s="11"/>
      <c r="M103" s="11"/>
      <c r="N103" s="11"/>
      <c r="O103" s="109">
        <f t="shared" si="9"/>
        <v>0</v>
      </c>
      <c r="P103" s="11"/>
      <c r="Q103" s="11"/>
      <c r="R103" s="113" t="str">
        <f t="shared" si="10"/>
        <v/>
      </c>
      <c r="S103" s="113" t="str">
        <f t="shared" si="11"/>
        <v/>
      </c>
      <c r="T103" s="114">
        <f>H103*[0]!FMainPool1Fee+I103*[0]!FMainPool2Fee+J103*[0]!FMainPool3Fee+K103*[0]!FMainPool4Fee+B103*[0]!FMainEntryFee</f>
        <v>0</v>
      </c>
      <c r="U103" s="28"/>
      <c r="V103" s="100"/>
      <c r="X103" s="59"/>
      <c r="Y103" s="59"/>
    </row>
    <row r="104" spans="1:25" x14ac:dyDescent="0.25">
      <c r="A104" s="26">
        <f t="shared" si="8"/>
        <v>93</v>
      </c>
      <c r="B104" s="3"/>
      <c r="C104" s="8" t="s">
        <v>127</v>
      </c>
      <c r="D104" s="8" t="s">
        <v>128</v>
      </c>
      <c r="E104" s="9" t="s">
        <v>232</v>
      </c>
      <c r="F104" s="61"/>
      <c r="G104" s="5" t="s">
        <v>390</v>
      </c>
      <c r="H104" s="3"/>
      <c r="I104" s="3"/>
      <c r="J104" s="3"/>
      <c r="K104" s="4"/>
      <c r="L104" s="4"/>
      <c r="M104" s="4"/>
      <c r="N104" s="4"/>
      <c r="O104" s="109">
        <f t="shared" si="9"/>
        <v>0</v>
      </c>
      <c r="P104" s="99"/>
      <c r="Q104" s="99"/>
      <c r="R104" s="113" t="str">
        <f t="shared" si="10"/>
        <v/>
      </c>
      <c r="S104" s="113" t="str">
        <f t="shared" si="11"/>
        <v/>
      </c>
      <c r="T104" s="114">
        <f>H104*[0]!FMainPool1Fee+I104*[0]!FMainPool2Fee+J104*[0]!FMainPool3Fee+K104*[0]!FMainPool4Fee+B104*[0]!FMainEntryFee</f>
        <v>0</v>
      </c>
      <c r="U104" s="31"/>
      <c r="V104" s="6"/>
      <c r="W104"/>
      <c r="X104" s="59"/>
      <c r="Y104" s="59"/>
    </row>
    <row r="105" spans="1:25" x14ac:dyDescent="0.25">
      <c r="A105" s="26">
        <f t="shared" si="8"/>
        <v>94</v>
      </c>
      <c r="B105" s="11"/>
      <c r="C105" s="1" t="s">
        <v>285</v>
      </c>
      <c r="D105" s="5" t="s">
        <v>287</v>
      </c>
      <c r="E105" s="2" t="s">
        <v>286</v>
      </c>
      <c r="F105" s="51"/>
      <c r="G105" s="5" t="s">
        <v>346</v>
      </c>
      <c r="H105" s="10"/>
      <c r="I105" s="11"/>
      <c r="J105" s="11"/>
      <c r="K105" s="11"/>
      <c r="L105" s="11"/>
      <c r="M105" s="11"/>
      <c r="N105" s="11"/>
      <c r="O105" s="109">
        <f t="shared" si="9"/>
        <v>0</v>
      </c>
      <c r="P105" s="11"/>
      <c r="Q105" s="11"/>
      <c r="R105" s="113" t="str">
        <f t="shared" si="10"/>
        <v/>
      </c>
      <c r="S105" s="113" t="str">
        <f t="shared" si="11"/>
        <v/>
      </c>
      <c r="T105" s="114">
        <f>H105*[0]!FMainPool1Fee+I105*[0]!FMainPool2Fee+J105*[0]!FMainPool3Fee+K105*[0]!FMainPool4Fee+B105*[0]!FMainEntryFee</f>
        <v>0</v>
      </c>
      <c r="U105" s="28"/>
      <c r="V105" s="100"/>
      <c r="W105"/>
      <c r="X105" s="59"/>
      <c r="Y105" s="59"/>
    </row>
    <row r="106" spans="1:25" x14ac:dyDescent="0.25">
      <c r="A106" s="26">
        <f t="shared" si="8"/>
        <v>95</v>
      </c>
      <c r="B106" s="11"/>
      <c r="C106" s="1" t="s">
        <v>126</v>
      </c>
      <c r="D106" s="1" t="s">
        <v>49</v>
      </c>
      <c r="E106" s="2" t="s">
        <v>233</v>
      </c>
      <c r="F106" s="50"/>
      <c r="G106" s="5" t="s">
        <v>417</v>
      </c>
      <c r="H106" s="10"/>
      <c r="I106" s="11"/>
      <c r="J106" s="11"/>
      <c r="K106" s="11"/>
      <c r="L106" s="11"/>
      <c r="M106" s="11"/>
      <c r="N106" s="11"/>
      <c r="O106" s="109">
        <f t="shared" si="9"/>
        <v>0</v>
      </c>
      <c r="P106" s="11"/>
      <c r="Q106" s="11"/>
      <c r="R106" s="113" t="str">
        <f t="shared" si="10"/>
        <v/>
      </c>
      <c r="S106" s="113" t="str">
        <f t="shared" si="11"/>
        <v/>
      </c>
      <c r="T106" s="114">
        <f>H106*[0]!FMainPool1Fee+I106*[0]!FMainPool2Fee+J106*[0]!FMainPool3Fee+K106*[0]!FMainPool4Fee+B106*[0]!FMainEntryFee</f>
        <v>0</v>
      </c>
      <c r="U106" s="28"/>
      <c r="V106" s="102"/>
      <c r="X106" s="59"/>
      <c r="Y106" s="59"/>
    </row>
    <row r="107" spans="1:25" x14ac:dyDescent="0.25">
      <c r="A107" s="26">
        <f t="shared" si="8"/>
        <v>96</v>
      </c>
      <c r="B107" s="3"/>
      <c r="C107" s="7" t="s">
        <v>643</v>
      </c>
      <c r="D107" s="7" t="s">
        <v>644</v>
      </c>
      <c r="E107" s="48" t="s">
        <v>645</v>
      </c>
      <c r="F107" s="7"/>
      <c r="G107" s="90" t="s">
        <v>646</v>
      </c>
      <c r="H107" s="10"/>
      <c r="I107" s="11"/>
      <c r="J107" s="11"/>
      <c r="K107" s="11"/>
      <c r="L107" s="11"/>
      <c r="M107" s="11"/>
      <c r="N107" s="11"/>
      <c r="O107" s="109">
        <f t="shared" si="9"/>
        <v>0</v>
      </c>
      <c r="P107" s="11"/>
      <c r="Q107" s="99"/>
      <c r="R107" s="113" t="str">
        <f t="shared" si="10"/>
        <v/>
      </c>
      <c r="S107" s="113" t="str">
        <f t="shared" si="11"/>
        <v/>
      </c>
      <c r="T107" s="114">
        <f>H107*[0]!FMainPool1Fee+I107*[0]!FMainPool2Fee+J107*[0]!FMainPool3Fee+K107*[0]!FMainPool4Fee+B107*[0]!FMainEntryFee</f>
        <v>0</v>
      </c>
      <c r="U107" s="28"/>
      <c r="V107" s="100"/>
      <c r="X107" s="59"/>
      <c r="Y107" s="59"/>
    </row>
    <row r="108" spans="1:25" x14ac:dyDescent="0.25">
      <c r="A108" s="26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0"/>
      <c r="G108" s="5" t="s">
        <v>97</v>
      </c>
      <c r="H108" s="3"/>
      <c r="I108" s="3"/>
      <c r="J108" s="3"/>
      <c r="K108" s="4"/>
      <c r="L108" s="4"/>
      <c r="M108" s="4"/>
      <c r="N108" s="4"/>
      <c r="O108" s="109">
        <f t="shared" ref="O108:O139" si="12">T108*N108</f>
        <v>0</v>
      </c>
      <c r="P108" s="99"/>
      <c r="Q108" s="99"/>
      <c r="R108" s="113" t="str">
        <f t="shared" ref="R108:R139" si="13">IF(OR(P108="c",P108="C"),+T108,"")</f>
        <v/>
      </c>
      <c r="S108" s="113" t="str">
        <f t="shared" ref="S108:S139" si="14">IF(OR(P108="$",N108=1),+T108,"")</f>
        <v/>
      </c>
      <c r="T108" s="114">
        <f>H108*[0]!FMainPool1Fee+I108*[0]!FMainPool2Fee+J108*[0]!FMainPool3Fee+K108*[0]!FMainPool4Fee+B108*[0]!FMainEntryFee</f>
        <v>0</v>
      </c>
      <c r="U108" s="31"/>
      <c r="V108" s="101"/>
      <c r="X108" s="59"/>
      <c r="Y108" s="59"/>
    </row>
    <row r="109" spans="1:25" x14ac:dyDescent="0.25">
      <c r="A109" s="26">
        <f t="shared" si="8"/>
        <v>98</v>
      </c>
      <c r="B109" s="11"/>
      <c r="C109" s="8" t="s">
        <v>95</v>
      </c>
      <c r="D109" s="8" t="s">
        <v>96</v>
      </c>
      <c r="E109" s="9" t="s">
        <v>182</v>
      </c>
      <c r="F109" s="49"/>
      <c r="G109" s="5" t="s">
        <v>98</v>
      </c>
      <c r="H109" s="10"/>
      <c r="I109" s="11"/>
      <c r="J109" s="11"/>
      <c r="K109" s="11"/>
      <c r="L109" s="11"/>
      <c r="M109" s="11"/>
      <c r="N109" s="11"/>
      <c r="O109" s="109">
        <f t="shared" si="12"/>
        <v>0</v>
      </c>
      <c r="P109" s="11"/>
      <c r="Q109" s="99"/>
      <c r="R109" s="113" t="str">
        <f t="shared" si="13"/>
        <v/>
      </c>
      <c r="S109" s="113" t="str">
        <f t="shared" si="14"/>
        <v/>
      </c>
      <c r="T109" s="114">
        <f>H109*[0]!FMainPool1Fee+I109*[0]!FMainPool2Fee+J109*[0]!FMainPool3Fee+K109*[0]!FMainPool4Fee+B109*[0]!FMainEntryFee</f>
        <v>0</v>
      </c>
      <c r="U109" s="28"/>
      <c r="V109" s="100"/>
      <c r="X109" s="59"/>
      <c r="Y109" s="59"/>
    </row>
    <row r="110" spans="1:25" x14ac:dyDescent="0.25">
      <c r="A110" s="26">
        <f t="shared" si="8"/>
        <v>99</v>
      </c>
      <c r="B110" s="11"/>
      <c r="C110" s="8" t="s">
        <v>150</v>
      </c>
      <c r="D110" s="8" t="s">
        <v>151</v>
      </c>
      <c r="E110" s="9" t="s">
        <v>193</v>
      </c>
      <c r="F110" s="49"/>
      <c r="G110" s="5"/>
      <c r="H110" s="10"/>
      <c r="I110" s="11"/>
      <c r="J110" s="11"/>
      <c r="K110" s="11"/>
      <c r="L110" s="11"/>
      <c r="M110" s="11"/>
      <c r="N110" s="11"/>
      <c r="O110" s="109">
        <f t="shared" si="12"/>
        <v>0</v>
      </c>
      <c r="P110" s="11"/>
      <c r="Q110" s="99"/>
      <c r="R110" s="113" t="str">
        <f t="shared" si="13"/>
        <v/>
      </c>
      <c r="S110" s="113" t="str">
        <f t="shared" si="14"/>
        <v/>
      </c>
      <c r="T110" s="114">
        <f>H110*[0]!FMainPool1Fee+I110*[0]!FMainPool2Fee+J110*[0]!FMainPool3Fee+K110*[0]!FMainPool4Fee+B110*[0]!FMainEntryFee</f>
        <v>0</v>
      </c>
      <c r="U110" s="28"/>
      <c r="V110" s="101"/>
      <c r="X110" s="59"/>
      <c r="Y110" s="59"/>
    </row>
    <row r="111" spans="1:25" x14ac:dyDescent="0.25">
      <c r="A111" s="26">
        <f t="shared" si="8"/>
        <v>100</v>
      </c>
      <c r="B111" s="11"/>
      <c r="C111" s="7" t="s">
        <v>648</v>
      </c>
      <c r="D111" s="7" t="s">
        <v>51</v>
      </c>
      <c r="E111" s="48" t="s">
        <v>649</v>
      </c>
      <c r="F111" s="7"/>
      <c r="G111" s="90" t="s">
        <v>658</v>
      </c>
      <c r="H111" s="10"/>
      <c r="I111" s="11"/>
      <c r="J111" s="11"/>
      <c r="K111" s="11"/>
      <c r="L111" s="11"/>
      <c r="M111" s="11"/>
      <c r="N111" s="11"/>
      <c r="O111" s="109">
        <f t="shared" si="12"/>
        <v>0</v>
      </c>
      <c r="P111" s="11"/>
      <c r="Q111" s="11"/>
      <c r="R111" s="113" t="str">
        <f t="shared" si="13"/>
        <v/>
      </c>
      <c r="S111" s="113" t="str">
        <f t="shared" si="14"/>
        <v/>
      </c>
      <c r="T111" s="114">
        <f>H111*[0]!FMainPool1Fee+I111*[0]!FMainPool2Fee+J111*[0]!FMainPool3Fee+K111*[0]!FMainPool4Fee+B111*[0]!FMainEntryFee</f>
        <v>0</v>
      </c>
      <c r="U111" s="28"/>
      <c r="V111" s="100"/>
      <c r="X111" s="59"/>
      <c r="Y111" s="59"/>
    </row>
    <row r="112" spans="1:25" x14ac:dyDescent="0.25">
      <c r="A112" s="26">
        <f t="shared" si="8"/>
        <v>101</v>
      </c>
      <c r="B112" s="11"/>
      <c r="C112" s="8" t="s">
        <v>456</v>
      </c>
      <c r="D112" s="8" t="s">
        <v>437</v>
      </c>
      <c r="E112" s="9" t="s">
        <v>438</v>
      </c>
      <c r="F112" s="49"/>
      <c r="G112" s="5" t="s">
        <v>439</v>
      </c>
      <c r="H112" s="10"/>
      <c r="I112" s="11"/>
      <c r="J112" s="11"/>
      <c r="K112" s="11"/>
      <c r="L112" s="11"/>
      <c r="M112" s="11"/>
      <c r="N112" s="11"/>
      <c r="O112" s="109">
        <f t="shared" si="12"/>
        <v>0</v>
      </c>
      <c r="P112" s="11"/>
      <c r="Q112" s="11"/>
      <c r="R112" s="113" t="str">
        <f t="shared" si="13"/>
        <v/>
      </c>
      <c r="S112" s="113" t="str">
        <f t="shared" si="14"/>
        <v/>
      </c>
      <c r="T112" s="114">
        <f>H112*[0]!FMainPool1Fee+I112*[0]!FMainPool2Fee+J112*[0]!FMainPool3Fee+K112*[0]!FMainPool4Fee+B112*[0]!FMainEntryFee</f>
        <v>0</v>
      </c>
      <c r="U112" s="28"/>
      <c r="V112" s="100"/>
      <c r="X112" s="59"/>
      <c r="Y112" s="59"/>
    </row>
    <row r="113" spans="1:25" x14ac:dyDescent="0.25">
      <c r="A113" s="26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0"/>
      <c r="G113" s="5" t="s">
        <v>418</v>
      </c>
      <c r="H113" s="10"/>
      <c r="I113" s="11"/>
      <c r="J113" s="11"/>
      <c r="K113" s="11"/>
      <c r="L113" s="11"/>
      <c r="M113" s="11"/>
      <c r="N113" s="11"/>
      <c r="O113" s="109">
        <f t="shared" si="12"/>
        <v>0</v>
      </c>
      <c r="P113" s="11"/>
      <c r="Q113" s="11"/>
      <c r="R113" s="113" t="str">
        <f t="shared" si="13"/>
        <v/>
      </c>
      <c r="S113" s="113" t="str">
        <f t="shared" si="14"/>
        <v/>
      </c>
      <c r="T113" s="114">
        <f>H113*[0]!FMainPool1Fee+I113*[0]!FMainPool2Fee+J113*[0]!FMainPool3Fee+K113*[0]!FMainPool4Fee+B113*[0]!FMainEntryFee</f>
        <v>0</v>
      </c>
      <c r="U113" s="28"/>
      <c r="V113" s="101"/>
      <c r="X113" s="59"/>
      <c r="Y113" s="59"/>
    </row>
    <row r="114" spans="1:25" x14ac:dyDescent="0.25">
      <c r="A114" s="26">
        <f t="shared" si="8"/>
        <v>103</v>
      </c>
      <c r="B114" s="3"/>
      <c r="C114" s="1" t="s">
        <v>119</v>
      </c>
      <c r="D114" s="1" t="s">
        <v>120</v>
      </c>
      <c r="E114" s="2" t="s">
        <v>175</v>
      </c>
      <c r="F114" s="49"/>
      <c r="G114" s="5" t="s">
        <v>166</v>
      </c>
      <c r="H114" s="3"/>
      <c r="I114" s="3"/>
      <c r="J114" s="3"/>
      <c r="K114" s="4"/>
      <c r="L114" s="4"/>
      <c r="M114" s="4"/>
      <c r="N114" s="4"/>
      <c r="O114" s="109">
        <f t="shared" si="12"/>
        <v>0</v>
      </c>
      <c r="P114" s="99"/>
      <c r="Q114" s="99"/>
      <c r="R114" s="113" t="str">
        <f t="shared" si="13"/>
        <v/>
      </c>
      <c r="S114" s="113" t="str">
        <f t="shared" si="14"/>
        <v/>
      </c>
      <c r="T114" s="114">
        <f>H114*[0]!FMainPool1Fee+I114*[0]!FMainPool2Fee+J114*[0]!FMainPool3Fee+K114*[0]!FMainPool4Fee+B114*[0]!FMainEntryFee</f>
        <v>0</v>
      </c>
      <c r="U114" s="31"/>
      <c r="V114" s="100"/>
      <c r="X114" s="59"/>
      <c r="Y114" s="59"/>
    </row>
    <row r="115" spans="1:25" x14ac:dyDescent="0.25">
      <c r="A115" s="26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49"/>
      <c r="G115" s="5" t="s">
        <v>407</v>
      </c>
      <c r="H115" s="3"/>
      <c r="I115" s="3"/>
      <c r="J115" s="3"/>
      <c r="K115" s="4"/>
      <c r="L115" s="4"/>
      <c r="M115" s="4"/>
      <c r="N115" s="4"/>
      <c r="O115" s="109">
        <f t="shared" si="12"/>
        <v>0</v>
      </c>
      <c r="P115" s="99"/>
      <c r="Q115" s="99"/>
      <c r="R115" s="113" t="str">
        <f t="shared" si="13"/>
        <v/>
      </c>
      <c r="S115" s="113" t="str">
        <f t="shared" si="14"/>
        <v/>
      </c>
      <c r="T115" s="114">
        <f>H115*[0]!FMainPool1Fee+I115*[0]!FMainPool2Fee+J115*[0]!FMainPool3Fee+K115*[0]!FMainPool4Fee+B115*[0]!FMainEntryFee</f>
        <v>0</v>
      </c>
      <c r="U115" s="31"/>
      <c r="V115" s="100"/>
      <c r="X115" s="59"/>
      <c r="Y115" s="59"/>
    </row>
    <row r="116" spans="1:25" x14ac:dyDescent="0.25">
      <c r="A116" s="26">
        <f t="shared" si="8"/>
        <v>105</v>
      </c>
      <c r="B116" s="11"/>
      <c r="C116" s="8" t="s">
        <v>500</v>
      </c>
      <c r="D116" s="8" t="s">
        <v>101</v>
      </c>
      <c r="E116" s="9" t="s">
        <v>501</v>
      </c>
      <c r="F116" s="6" t="s">
        <v>540</v>
      </c>
      <c r="G116" s="41" t="s">
        <v>541</v>
      </c>
      <c r="H116" s="10"/>
      <c r="I116" s="11"/>
      <c r="J116" s="11"/>
      <c r="K116" s="11"/>
      <c r="L116" s="11"/>
      <c r="M116" s="11"/>
      <c r="N116" s="11"/>
      <c r="O116" s="109">
        <f t="shared" si="12"/>
        <v>0</v>
      </c>
      <c r="P116" s="11"/>
      <c r="Q116" s="11"/>
      <c r="R116" s="113" t="str">
        <f t="shared" si="13"/>
        <v/>
      </c>
      <c r="S116" s="113" t="str">
        <f t="shared" si="14"/>
        <v/>
      </c>
      <c r="T116" s="114">
        <f>H116*[0]!FMainPool1Fee+I116*[0]!FMainPool2Fee+J116*[0]!FMainPool3Fee+K116*[0]!FMainPool4Fee+B116*[0]!FMainEntryFee</f>
        <v>0</v>
      </c>
      <c r="U116" s="28"/>
      <c r="V116" s="6"/>
      <c r="X116" s="59"/>
      <c r="Y116" s="59"/>
    </row>
    <row r="117" spans="1:25" x14ac:dyDescent="0.25">
      <c r="A117" s="26">
        <f t="shared" si="8"/>
        <v>106</v>
      </c>
      <c r="B117" s="3"/>
      <c r="C117" s="8" t="s">
        <v>502</v>
      </c>
      <c r="D117" s="62" t="s">
        <v>101</v>
      </c>
      <c r="E117" s="9" t="s">
        <v>503</v>
      </c>
      <c r="F117" s="48" t="s">
        <v>540</v>
      </c>
      <c r="G117" s="41" t="s">
        <v>542</v>
      </c>
      <c r="H117" s="3"/>
      <c r="I117" s="3"/>
      <c r="J117" s="3"/>
      <c r="K117" s="4"/>
      <c r="L117" s="4"/>
      <c r="M117" s="4"/>
      <c r="N117" s="4"/>
      <c r="O117" s="109">
        <f t="shared" si="12"/>
        <v>0</v>
      </c>
      <c r="P117" s="99"/>
      <c r="Q117" s="99"/>
      <c r="R117" s="113" t="str">
        <f t="shared" si="13"/>
        <v/>
      </c>
      <c r="S117" s="113" t="str">
        <f t="shared" si="14"/>
        <v/>
      </c>
      <c r="T117" s="114">
        <f>H117*[0]!FMainPool1Fee+I117*[0]!FMainPool2Fee+J117*[0]!FMainPool3Fee+K117*[0]!FMainPool4Fee+B117*[0]!FMainEntryFee</f>
        <v>0</v>
      </c>
      <c r="U117" s="31"/>
      <c r="V117" s="100"/>
      <c r="X117" s="59"/>
      <c r="Y117" s="59"/>
    </row>
    <row r="118" spans="1:25" x14ac:dyDescent="0.25">
      <c r="A118" s="26">
        <f t="shared" si="8"/>
        <v>107</v>
      </c>
      <c r="B118" s="11"/>
      <c r="C118" s="8" t="s">
        <v>146</v>
      </c>
      <c r="D118" s="8" t="s">
        <v>36</v>
      </c>
      <c r="E118" s="9" t="s">
        <v>192</v>
      </c>
      <c r="F118" s="49"/>
      <c r="G118" s="5" t="s">
        <v>147</v>
      </c>
      <c r="H118" s="10"/>
      <c r="I118" s="11"/>
      <c r="J118" s="11"/>
      <c r="K118" s="11"/>
      <c r="L118" s="11"/>
      <c r="M118" s="11"/>
      <c r="N118" s="11"/>
      <c r="O118" s="109">
        <f t="shared" si="12"/>
        <v>0</v>
      </c>
      <c r="P118" s="11"/>
      <c r="Q118" s="11"/>
      <c r="R118" s="113" t="str">
        <f t="shared" si="13"/>
        <v/>
      </c>
      <c r="S118" s="113" t="str">
        <f t="shared" si="14"/>
        <v/>
      </c>
      <c r="T118" s="114">
        <f>H118*[0]!FMainPool1Fee+I118*[0]!FMainPool2Fee+J118*[0]!FMainPool3Fee+K118*[0]!FMainPool4Fee+B118*[0]!FMainEntryFee</f>
        <v>0</v>
      </c>
      <c r="U118" s="28"/>
      <c r="V118" s="101"/>
      <c r="X118" s="59"/>
      <c r="Y118" s="59"/>
    </row>
    <row r="119" spans="1:25" x14ac:dyDescent="0.25">
      <c r="A119" s="26">
        <f t="shared" si="8"/>
        <v>108</v>
      </c>
      <c r="B119" s="11"/>
      <c r="C119" s="8" t="s">
        <v>504</v>
      </c>
      <c r="D119" s="8" t="s">
        <v>505</v>
      </c>
      <c r="E119" s="9" t="s">
        <v>506</v>
      </c>
      <c r="F119" s="48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09">
        <f t="shared" si="12"/>
        <v>0</v>
      </c>
      <c r="P119" s="11"/>
      <c r="Q119" s="11"/>
      <c r="R119" s="113" t="str">
        <f t="shared" si="13"/>
        <v/>
      </c>
      <c r="S119" s="113" t="str">
        <f t="shared" si="14"/>
        <v/>
      </c>
      <c r="T119" s="114">
        <f>H119*[0]!FMainPool1Fee+I119*[0]!FMainPool2Fee+J119*[0]!FMainPool3Fee+K119*[0]!FMainPool4Fee+B119*[0]!FMainEntryFee</f>
        <v>0</v>
      </c>
      <c r="U119" s="28"/>
      <c r="V119" s="100"/>
      <c r="X119" s="59"/>
      <c r="Y119" s="59"/>
    </row>
    <row r="120" spans="1:25" x14ac:dyDescent="0.25">
      <c r="A120" s="26">
        <f t="shared" si="8"/>
        <v>109</v>
      </c>
      <c r="B120" s="11"/>
      <c r="C120" s="8" t="s">
        <v>298</v>
      </c>
      <c r="D120" s="8" t="s">
        <v>5</v>
      </c>
      <c r="E120" s="9" t="s">
        <v>299</v>
      </c>
      <c r="F120" s="49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09">
        <f t="shared" si="12"/>
        <v>0</v>
      </c>
      <c r="P120" s="11"/>
      <c r="Q120" s="11"/>
      <c r="R120" s="113" t="str">
        <f t="shared" si="13"/>
        <v/>
      </c>
      <c r="S120" s="113" t="str">
        <f t="shared" si="14"/>
        <v/>
      </c>
      <c r="T120" s="114">
        <f>H120*[0]!FMainPool1Fee+I120*[0]!FMainPool2Fee+J120*[0]!FMainPool3Fee+K120*[0]!FMainPool4Fee+B120*[0]!FMainEntryFee</f>
        <v>0</v>
      </c>
      <c r="U120" s="28"/>
      <c r="V120" s="101"/>
      <c r="X120" s="59"/>
      <c r="Y120" s="59"/>
    </row>
    <row r="121" spans="1:25" x14ac:dyDescent="0.25">
      <c r="A121" s="26">
        <f t="shared" si="8"/>
        <v>110</v>
      </c>
      <c r="B121" s="11"/>
      <c r="C121" s="1" t="s">
        <v>37</v>
      </c>
      <c r="D121" s="1" t="s">
        <v>38</v>
      </c>
      <c r="E121" s="2" t="s">
        <v>235</v>
      </c>
      <c r="F121" s="52"/>
      <c r="G121" s="5"/>
      <c r="H121" s="10"/>
      <c r="I121" s="11"/>
      <c r="J121" s="11"/>
      <c r="K121" s="11"/>
      <c r="L121" s="11"/>
      <c r="M121" s="11"/>
      <c r="N121" s="11"/>
      <c r="O121" s="109">
        <f t="shared" si="12"/>
        <v>0</v>
      </c>
      <c r="P121" s="11"/>
      <c r="Q121" s="11"/>
      <c r="R121" s="113" t="str">
        <f t="shared" si="13"/>
        <v/>
      </c>
      <c r="S121" s="113" t="str">
        <f t="shared" si="14"/>
        <v/>
      </c>
      <c r="T121" s="114">
        <f>H121*[0]!FMainPool1Fee+I121*[0]!FMainPool2Fee+J121*[0]!FMainPool3Fee+K121*[0]!FMainPool4Fee+B121*[0]!FMainEntryFee</f>
        <v>0</v>
      </c>
      <c r="U121" s="28"/>
      <c r="V121" s="100"/>
      <c r="X121" s="59"/>
      <c r="Y121" s="59"/>
    </row>
    <row r="122" spans="1:25" x14ac:dyDescent="0.25">
      <c r="A122" s="26">
        <f t="shared" si="8"/>
        <v>111</v>
      </c>
      <c r="B122" s="11"/>
      <c r="C122" s="8" t="s">
        <v>380</v>
      </c>
      <c r="D122" s="8" t="s">
        <v>381</v>
      </c>
      <c r="E122" s="9" t="s">
        <v>382</v>
      </c>
      <c r="F122" s="49"/>
      <c r="G122" s="5" t="s">
        <v>391</v>
      </c>
      <c r="H122" s="10"/>
      <c r="I122" s="11"/>
      <c r="J122" s="11"/>
      <c r="K122" s="11"/>
      <c r="L122" s="11"/>
      <c r="M122" s="11"/>
      <c r="N122" s="11"/>
      <c r="O122" s="109">
        <f t="shared" si="12"/>
        <v>0</v>
      </c>
      <c r="P122" s="11"/>
      <c r="Q122" s="11"/>
      <c r="R122" s="113" t="str">
        <f t="shared" si="13"/>
        <v/>
      </c>
      <c r="S122" s="113" t="str">
        <f t="shared" si="14"/>
        <v/>
      </c>
      <c r="T122" s="114">
        <f>H122*[0]!FMainPool1Fee+I122*[0]!FMainPool2Fee+J122*[0]!FMainPool3Fee+K122*[0]!FMainPool4Fee+B122*[0]!FMainEntryFee</f>
        <v>0</v>
      </c>
      <c r="U122" s="28"/>
      <c r="V122" s="101"/>
      <c r="X122" s="59"/>
      <c r="Y122" s="59"/>
    </row>
    <row r="123" spans="1:25" x14ac:dyDescent="0.25">
      <c r="A123" s="26">
        <f t="shared" si="8"/>
        <v>112</v>
      </c>
      <c r="B123" s="3"/>
      <c r="C123" s="7" t="s">
        <v>650</v>
      </c>
      <c r="D123" s="7" t="s">
        <v>523</v>
      </c>
      <c r="E123" s="48" t="s">
        <v>653</v>
      </c>
      <c r="F123" s="7"/>
      <c r="G123" s="7"/>
      <c r="H123" s="10"/>
      <c r="I123" s="11"/>
      <c r="J123" s="11"/>
      <c r="K123" s="11"/>
      <c r="L123" s="11"/>
      <c r="M123" s="11"/>
      <c r="N123" s="11"/>
      <c r="O123" s="109">
        <f t="shared" si="12"/>
        <v>0</v>
      </c>
      <c r="P123" s="11"/>
      <c r="Q123" s="11"/>
      <c r="R123" s="113" t="str">
        <f t="shared" si="13"/>
        <v/>
      </c>
      <c r="S123" s="113" t="str">
        <f t="shared" si="14"/>
        <v/>
      </c>
      <c r="T123" s="114">
        <f>H123*[0]!FMainPool1Fee+I123*[0]!FMainPool2Fee+J123*[0]!FMainPool3Fee+K123*[0]!FMainPool4Fee+B123*[0]!FMainEntryFee</f>
        <v>0</v>
      </c>
      <c r="U123" s="28"/>
      <c r="V123" s="100"/>
      <c r="X123" s="59"/>
      <c r="Y123" s="59"/>
    </row>
    <row r="124" spans="1:25" x14ac:dyDescent="0.25">
      <c r="A124" s="26">
        <f t="shared" si="8"/>
        <v>113</v>
      </c>
      <c r="B124" s="11"/>
      <c r="C124" s="1" t="s">
        <v>70</v>
      </c>
      <c r="D124" s="1" t="s">
        <v>5</v>
      </c>
      <c r="E124" s="2" t="s">
        <v>521</v>
      </c>
      <c r="F124" s="50">
        <v>7072242345</v>
      </c>
      <c r="G124" s="5" t="s">
        <v>392</v>
      </c>
      <c r="H124" s="10"/>
      <c r="I124" s="11"/>
      <c r="J124" s="11"/>
      <c r="K124" s="11"/>
      <c r="L124" s="11"/>
      <c r="M124" s="11"/>
      <c r="N124" s="11"/>
      <c r="O124" s="109">
        <f t="shared" si="12"/>
        <v>0</v>
      </c>
      <c r="P124" s="11"/>
      <c r="Q124" s="11"/>
      <c r="R124" s="113" t="str">
        <f t="shared" si="13"/>
        <v/>
      </c>
      <c r="S124" s="113" t="str">
        <f t="shared" si="14"/>
        <v/>
      </c>
      <c r="T124" s="114">
        <f>H124*[0]!FMainPool1Fee+I124*[0]!FMainPool2Fee+J124*[0]!FMainPool3Fee+K124*[0]!FMainPool4Fee+B124*[0]!FMainEntryFee</f>
        <v>0</v>
      </c>
      <c r="U124" s="28"/>
      <c r="V124" s="100"/>
      <c r="X124" s="59"/>
      <c r="Y124" s="59"/>
    </row>
    <row r="125" spans="1:25" x14ac:dyDescent="0.25">
      <c r="A125" s="26">
        <f t="shared" si="8"/>
        <v>114</v>
      </c>
      <c r="B125" s="11"/>
      <c r="C125" s="8" t="s">
        <v>334</v>
      </c>
      <c r="D125" s="8" t="s">
        <v>335</v>
      </c>
      <c r="E125" s="9" t="s">
        <v>336</v>
      </c>
      <c r="F125" s="49"/>
      <c r="G125" s="5" t="s">
        <v>419</v>
      </c>
      <c r="H125" s="10"/>
      <c r="I125" s="10"/>
      <c r="J125" s="10"/>
      <c r="K125" s="10"/>
      <c r="L125" s="11"/>
      <c r="M125" s="11"/>
      <c r="N125" s="11"/>
      <c r="O125" s="109">
        <f t="shared" si="12"/>
        <v>0</v>
      </c>
      <c r="P125" s="11"/>
      <c r="Q125" s="11"/>
      <c r="R125" s="113" t="str">
        <f t="shared" si="13"/>
        <v/>
      </c>
      <c r="S125" s="113" t="str">
        <f t="shared" si="14"/>
        <v/>
      </c>
      <c r="T125" s="114">
        <f>H125*[0]!FMainPool1Fee+I125*[0]!FMainPool2Fee+J125*[0]!FMainPool3Fee+K125*[0]!FMainPool4Fee+B125*[0]!FMainEntryFee</f>
        <v>0</v>
      </c>
      <c r="U125" s="28"/>
      <c r="V125" s="100"/>
      <c r="X125" s="59"/>
      <c r="Y125" s="59"/>
    </row>
    <row r="126" spans="1:25" x14ac:dyDescent="0.25">
      <c r="A126" s="26">
        <f t="shared" si="8"/>
        <v>115</v>
      </c>
      <c r="B126" s="11"/>
      <c r="C126" s="1" t="s">
        <v>32</v>
      </c>
      <c r="D126" s="1" t="s">
        <v>23</v>
      </c>
      <c r="E126" s="2" t="s">
        <v>205</v>
      </c>
      <c r="F126" s="50"/>
      <c r="G126" s="5" t="s">
        <v>420</v>
      </c>
      <c r="H126" s="10"/>
      <c r="I126" s="11"/>
      <c r="J126" s="11"/>
      <c r="K126" s="11"/>
      <c r="L126" s="11"/>
      <c r="M126" s="11"/>
      <c r="N126" s="11"/>
      <c r="O126" s="109">
        <f t="shared" si="12"/>
        <v>0</v>
      </c>
      <c r="P126" s="11"/>
      <c r="Q126" s="11"/>
      <c r="R126" s="113" t="str">
        <f t="shared" si="13"/>
        <v/>
      </c>
      <c r="S126" s="113" t="str">
        <f t="shared" si="14"/>
        <v/>
      </c>
      <c r="T126" s="114">
        <f>H126*[0]!FMainPool1Fee+I126*[0]!FMainPool2Fee+J126*[0]!FMainPool3Fee+K126*[0]!FMainPool4Fee+B126*[0]!FMainEntryFee</f>
        <v>0</v>
      </c>
      <c r="U126" s="28"/>
      <c r="V126" s="100"/>
      <c r="X126" s="59"/>
      <c r="Y126" s="59"/>
    </row>
    <row r="127" spans="1:25" x14ac:dyDescent="0.25">
      <c r="A127" s="26">
        <f t="shared" si="8"/>
        <v>116</v>
      </c>
      <c r="B127" s="3"/>
      <c r="C127" s="7" t="s">
        <v>651</v>
      </c>
      <c r="D127" s="7" t="s">
        <v>51</v>
      </c>
      <c r="E127" s="48" t="s">
        <v>652</v>
      </c>
      <c r="F127" s="7"/>
      <c r="G127" s="90" t="s">
        <v>657</v>
      </c>
      <c r="H127" s="3"/>
      <c r="I127" s="3"/>
      <c r="J127" s="3"/>
      <c r="K127" s="4"/>
      <c r="L127" s="4"/>
      <c r="M127" s="4"/>
      <c r="N127" s="4"/>
      <c r="O127" s="109">
        <f t="shared" si="12"/>
        <v>0</v>
      </c>
      <c r="P127" s="99"/>
      <c r="Q127" s="99"/>
      <c r="R127" s="113" t="str">
        <f t="shared" si="13"/>
        <v/>
      </c>
      <c r="S127" s="113" t="str">
        <f t="shared" si="14"/>
        <v/>
      </c>
      <c r="T127" s="114">
        <f>H127*[0]!FMainPool1Fee+I127*[0]!FMainPool2Fee+J127*[0]!FMainPool3Fee+K127*[0]!FMainPool4Fee+B127*[0]!FMainEntryFee</f>
        <v>0</v>
      </c>
      <c r="U127" s="31"/>
      <c r="V127" s="100"/>
      <c r="X127" s="59"/>
      <c r="Y127" s="59"/>
    </row>
    <row r="128" spans="1:25" x14ac:dyDescent="0.25">
      <c r="A128" s="26">
        <f t="shared" si="8"/>
        <v>117</v>
      </c>
      <c r="B128" s="11"/>
      <c r="C128" s="8" t="s">
        <v>441</v>
      </c>
      <c r="D128" s="8" t="s">
        <v>31</v>
      </c>
      <c r="E128" s="9" t="s">
        <v>442</v>
      </c>
      <c r="F128" s="49"/>
      <c r="G128" s="5" t="s">
        <v>443</v>
      </c>
      <c r="H128" s="10"/>
      <c r="I128" s="11"/>
      <c r="J128" s="11"/>
      <c r="K128" s="11"/>
      <c r="L128" s="11"/>
      <c r="M128" s="11"/>
      <c r="N128" s="11"/>
      <c r="O128" s="109">
        <f t="shared" si="12"/>
        <v>0</v>
      </c>
      <c r="P128" s="11"/>
      <c r="Q128" s="99"/>
      <c r="R128" s="113" t="str">
        <f t="shared" si="13"/>
        <v/>
      </c>
      <c r="S128" s="113" t="str">
        <f t="shared" si="14"/>
        <v/>
      </c>
      <c r="T128" s="114">
        <f>H128*[0]!FMainPool1Fee+I128*[0]!FMainPool2Fee+J128*[0]!FMainPool3Fee+K128*[0]!FMainPool4Fee+B128*[0]!FMainEntryFee</f>
        <v>0</v>
      </c>
      <c r="U128" s="28"/>
      <c r="V128" s="101"/>
      <c r="W128" s="98"/>
      <c r="X128" s="59"/>
      <c r="Y128" s="59"/>
    </row>
    <row r="129" spans="1:25" x14ac:dyDescent="0.25">
      <c r="A129" s="26">
        <f t="shared" si="8"/>
        <v>118</v>
      </c>
      <c r="B129" s="3"/>
      <c r="C129" s="8" t="s">
        <v>404</v>
      </c>
      <c r="D129" s="8" t="s">
        <v>405</v>
      </c>
      <c r="E129" s="9"/>
      <c r="F129" s="61"/>
      <c r="G129" s="5" t="s">
        <v>406</v>
      </c>
      <c r="H129" s="3"/>
      <c r="I129" s="3"/>
      <c r="J129" s="3"/>
      <c r="K129" s="4"/>
      <c r="L129" s="4"/>
      <c r="M129" s="4"/>
      <c r="N129" s="4"/>
      <c r="O129" s="109">
        <f t="shared" si="12"/>
        <v>0</v>
      </c>
      <c r="P129" s="99"/>
      <c r="Q129" s="99"/>
      <c r="R129" s="113" t="str">
        <f t="shared" si="13"/>
        <v/>
      </c>
      <c r="S129" s="113" t="str">
        <f t="shared" si="14"/>
        <v/>
      </c>
      <c r="T129" s="114">
        <f>H129*[0]!FMainPool1Fee+I129*[0]!FMainPool2Fee+J129*[0]!FMainPool3Fee+K129*[0]!FMainPool4Fee+B129*[0]!FMainEntryFee</f>
        <v>0</v>
      </c>
      <c r="U129" s="31"/>
      <c r="V129" s="6"/>
      <c r="X129" s="59"/>
      <c r="Y129" s="59"/>
    </row>
    <row r="130" spans="1:25" x14ac:dyDescent="0.25">
      <c r="A130" s="26">
        <f t="shared" si="8"/>
        <v>119</v>
      </c>
      <c r="B130" s="11"/>
      <c r="C130" s="1" t="s">
        <v>78</v>
      </c>
      <c r="D130" s="1" t="s">
        <v>79</v>
      </c>
      <c r="E130" s="2" t="s">
        <v>186</v>
      </c>
      <c r="F130" s="50"/>
      <c r="G130" s="5" t="s">
        <v>137</v>
      </c>
      <c r="H130" s="10"/>
      <c r="I130" s="11"/>
      <c r="J130" s="11"/>
      <c r="K130" s="11"/>
      <c r="L130" s="11"/>
      <c r="M130" s="11"/>
      <c r="N130" s="11"/>
      <c r="O130" s="109">
        <f t="shared" si="12"/>
        <v>0</v>
      </c>
      <c r="P130" s="11"/>
      <c r="Q130" s="99"/>
      <c r="R130" s="113" t="str">
        <f t="shared" si="13"/>
        <v/>
      </c>
      <c r="S130" s="113" t="str">
        <f t="shared" si="14"/>
        <v/>
      </c>
      <c r="T130" s="114">
        <f>H130*[0]!FMainPool1Fee+I130*[0]!FMainPool2Fee+J130*[0]!FMainPool3Fee+K130*[0]!FMainPool4Fee+B130*[0]!FMainEntryFee</f>
        <v>0</v>
      </c>
      <c r="U130" s="28"/>
      <c r="V130" s="101"/>
      <c r="X130" s="59"/>
      <c r="Y130" s="59"/>
    </row>
    <row r="131" spans="1:25" x14ac:dyDescent="0.25">
      <c r="A131" s="26">
        <f t="shared" si="8"/>
        <v>120</v>
      </c>
      <c r="B131" s="11"/>
      <c r="C131" s="8" t="s">
        <v>431</v>
      </c>
      <c r="D131" s="8" t="s">
        <v>9</v>
      </c>
      <c r="E131" s="9" t="s">
        <v>432</v>
      </c>
      <c r="F131" s="49"/>
      <c r="G131" s="5" t="s">
        <v>433</v>
      </c>
      <c r="H131" s="10"/>
      <c r="I131" s="11"/>
      <c r="J131" s="11"/>
      <c r="K131" s="11"/>
      <c r="L131" s="11"/>
      <c r="M131" s="11"/>
      <c r="N131" s="11"/>
      <c r="O131" s="109">
        <f t="shared" si="12"/>
        <v>0</v>
      </c>
      <c r="P131" s="11"/>
      <c r="Q131" s="11"/>
      <c r="R131" s="113" t="str">
        <f t="shared" si="13"/>
        <v/>
      </c>
      <c r="S131" s="113" t="str">
        <f t="shared" si="14"/>
        <v/>
      </c>
      <c r="T131" s="114">
        <f>H131*[0]!FMainPool1Fee+I131*[0]!FMainPool2Fee+J131*[0]!FMainPool3Fee+K131*[0]!FMainPool4Fee+B131*[0]!FMainEntryFee</f>
        <v>0</v>
      </c>
      <c r="U131" s="28"/>
      <c r="V131" s="102"/>
      <c r="X131" s="59"/>
      <c r="Y131" s="59"/>
    </row>
    <row r="132" spans="1:25" x14ac:dyDescent="0.25">
      <c r="A132" s="26">
        <f t="shared" si="8"/>
        <v>121</v>
      </c>
      <c r="B132" s="11"/>
      <c r="C132" s="8" t="s">
        <v>170</v>
      </c>
      <c r="D132" s="8" t="s">
        <v>118</v>
      </c>
      <c r="E132" s="9" t="s">
        <v>216</v>
      </c>
      <c r="F132" s="49"/>
      <c r="G132" s="5" t="s">
        <v>421</v>
      </c>
      <c r="H132" s="10"/>
      <c r="I132" s="11"/>
      <c r="J132" s="11"/>
      <c r="K132" s="11"/>
      <c r="L132" s="11"/>
      <c r="M132" s="11"/>
      <c r="N132" s="11"/>
      <c r="O132" s="109">
        <f t="shared" si="12"/>
        <v>0</v>
      </c>
      <c r="P132" s="11"/>
      <c r="Q132" s="11"/>
      <c r="R132" s="113" t="str">
        <f t="shared" si="13"/>
        <v/>
      </c>
      <c r="S132" s="113" t="str">
        <f t="shared" si="14"/>
        <v/>
      </c>
      <c r="T132" s="114">
        <f>H132*[0]!FMainPool1Fee+I132*[0]!FMainPool2Fee+J132*[0]!FMainPool3Fee+K132*[0]!FMainPool4Fee+B132*[0]!FMainEntryFee</f>
        <v>0</v>
      </c>
      <c r="U132" s="28"/>
      <c r="V132" s="101"/>
      <c r="X132" s="59"/>
      <c r="Y132" s="59"/>
    </row>
    <row r="133" spans="1:25" x14ac:dyDescent="0.25">
      <c r="A133" s="26">
        <f t="shared" si="8"/>
        <v>122</v>
      </c>
      <c r="B133" s="11"/>
      <c r="C133" s="1" t="s">
        <v>455</v>
      </c>
      <c r="D133" s="1" t="s">
        <v>5</v>
      </c>
      <c r="E133" s="2" t="s">
        <v>236</v>
      </c>
      <c r="F133" s="48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09">
        <f t="shared" si="12"/>
        <v>0</v>
      </c>
      <c r="P133" s="11"/>
      <c r="Q133" s="11"/>
      <c r="R133" s="113" t="str">
        <f t="shared" si="13"/>
        <v/>
      </c>
      <c r="S133" s="113" t="str">
        <f t="shared" si="14"/>
        <v/>
      </c>
      <c r="T133" s="114">
        <f>H133*[0]!FMainPool1Fee+I133*[0]!FMainPool2Fee+J133*[0]!FMainPool3Fee+K133*[0]!FMainPool4Fee+B133*[0]!FMainEntryFee</f>
        <v>0</v>
      </c>
      <c r="U133" s="28"/>
      <c r="V133" s="100"/>
      <c r="W133" s="98"/>
      <c r="X133" s="59"/>
      <c r="Y133" s="59"/>
    </row>
    <row r="134" spans="1:25" x14ac:dyDescent="0.25">
      <c r="A134" s="26">
        <f t="shared" si="8"/>
        <v>123</v>
      </c>
      <c r="B134" s="3"/>
      <c r="C134" s="7" t="s">
        <v>654</v>
      </c>
      <c r="D134" s="7" t="s">
        <v>655</v>
      </c>
      <c r="E134" s="48" t="s">
        <v>640</v>
      </c>
      <c r="F134" s="7"/>
      <c r="G134" s="41" t="s">
        <v>656</v>
      </c>
      <c r="H134" s="3"/>
      <c r="I134" s="3"/>
      <c r="J134" s="3"/>
      <c r="K134" s="4"/>
      <c r="L134" s="3"/>
      <c r="M134" s="3"/>
      <c r="N134" s="4"/>
      <c r="O134" s="109">
        <f t="shared" si="12"/>
        <v>0</v>
      </c>
      <c r="P134" s="99"/>
      <c r="Q134" s="99"/>
      <c r="R134" s="113" t="str">
        <f t="shared" si="13"/>
        <v/>
      </c>
      <c r="S134" s="113" t="str">
        <f t="shared" si="14"/>
        <v/>
      </c>
      <c r="T134" s="114">
        <f>H134*[0]!FMainPool1Fee+I134*[0]!FMainPool2Fee+J134*[0]!FMainPool3Fee+K134*[0]!FMainPool4Fee+B134*[0]!FMainEntryFee</f>
        <v>0</v>
      </c>
      <c r="U134" s="31"/>
      <c r="V134" s="100"/>
      <c r="X134" s="59"/>
      <c r="Y134" s="59"/>
    </row>
    <row r="135" spans="1:25" x14ac:dyDescent="0.25">
      <c r="A135" s="26">
        <f t="shared" si="8"/>
        <v>124</v>
      </c>
      <c r="B135" s="3"/>
      <c r="C135" s="8" t="s">
        <v>402</v>
      </c>
      <c r="D135" s="8" t="s">
        <v>101</v>
      </c>
      <c r="E135" s="9"/>
      <c r="F135" s="49"/>
      <c r="G135" s="5" t="s">
        <v>403</v>
      </c>
      <c r="H135" s="3"/>
      <c r="I135" s="3"/>
      <c r="J135" s="3"/>
      <c r="K135" s="4"/>
      <c r="L135" s="4"/>
      <c r="M135" s="4"/>
      <c r="N135" s="4"/>
      <c r="O135" s="109">
        <f t="shared" si="12"/>
        <v>0</v>
      </c>
      <c r="P135" s="99"/>
      <c r="Q135" s="99"/>
      <c r="R135" s="113" t="str">
        <f t="shared" si="13"/>
        <v/>
      </c>
      <c r="S135" s="113" t="str">
        <f t="shared" si="14"/>
        <v/>
      </c>
      <c r="T135" s="114">
        <f>H135*[0]!FMainPool1Fee+I135*[0]!FMainPool2Fee+J135*[0]!FMainPool3Fee+K135*[0]!FMainPool4Fee+B135*[0]!FMainEntryFee</f>
        <v>0</v>
      </c>
      <c r="U135" s="31"/>
      <c r="V135" s="100"/>
      <c r="X135" s="59"/>
      <c r="Y135" s="59"/>
    </row>
    <row r="136" spans="1:25" x14ac:dyDescent="0.25">
      <c r="A136" s="26">
        <f t="shared" si="8"/>
        <v>125</v>
      </c>
      <c r="B136" s="11"/>
      <c r="C136" s="1" t="s">
        <v>25</v>
      </c>
      <c r="D136" s="1" t="s">
        <v>26</v>
      </c>
      <c r="E136" s="2" t="s">
        <v>191</v>
      </c>
      <c r="F136" s="50"/>
      <c r="G136" s="5" t="s">
        <v>145</v>
      </c>
      <c r="H136" s="10"/>
      <c r="I136" s="11"/>
      <c r="J136" s="11"/>
      <c r="K136" s="11"/>
      <c r="L136" s="11"/>
      <c r="M136" s="11"/>
      <c r="N136" s="11"/>
      <c r="O136" s="109">
        <f t="shared" si="12"/>
        <v>0</v>
      </c>
      <c r="P136" s="11"/>
      <c r="Q136" s="11"/>
      <c r="R136" s="113" t="str">
        <f t="shared" si="13"/>
        <v/>
      </c>
      <c r="S136" s="113" t="str">
        <f t="shared" si="14"/>
        <v/>
      </c>
      <c r="T136" s="114">
        <f>H136*[0]!FMainPool1Fee+I136*[0]!FMainPool2Fee+J136*[0]!FMainPool3Fee+K136*[0]!FMainPool4Fee+B136*[0]!FMainEntryFee</f>
        <v>0</v>
      </c>
      <c r="U136" s="28"/>
      <c r="V136" s="100"/>
      <c r="X136" s="59"/>
      <c r="Y136" s="59"/>
    </row>
    <row r="137" spans="1:25" x14ac:dyDescent="0.25">
      <c r="A137" s="26">
        <f t="shared" si="8"/>
        <v>126</v>
      </c>
      <c r="B137" s="3"/>
      <c r="C137" s="8" t="s">
        <v>468</v>
      </c>
      <c r="D137" s="8" t="s">
        <v>53</v>
      </c>
      <c r="E137" s="9" t="s">
        <v>469</v>
      </c>
      <c r="F137" s="49">
        <v>8057047967</v>
      </c>
      <c r="G137" s="5"/>
      <c r="H137" s="3"/>
      <c r="I137" s="3"/>
      <c r="J137" s="3"/>
      <c r="K137" s="4"/>
      <c r="L137" s="4"/>
      <c r="M137" s="4"/>
      <c r="N137" s="4"/>
      <c r="O137" s="109">
        <f t="shared" si="12"/>
        <v>0</v>
      </c>
      <c r="P137" s="99"/>
      <c r="Q137" s="99"/>
      <c r="R137" s="113" t="str">
        <f t="shared" si="13"/>
        <v/>
      </c>
      <c r="S137" s="113" t="str">
        <f t="shared" si="14"/>
        <v/>
      </c>
      <c r="T137" s="114">
        <f>H137*[0]!FMainPool1Fee+I137*[0]!FMainPool2Fee+J137*[0]!FMainPool3Fee+K137*[0]!FMainPool4Fee+B137*[0]!FMainEntryFee</f>
        <v>0</v>
      </c>
      <c r="U137" s="31"/>
      <c r="V137" s="101"/>
      <c r="W137"/>
      <c r="X137" s="59"/>
      <c r="Y137" s="59"/>
    </row>
    <row r="138" spans="1:25" x14ac:dyDescent="0.25">
      <c r="A138" s="26">
        <f t="shared" ref="A138:A201" si="15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0"/>
      <c r="G138" s="5" t="s">
        <v>152</v>
      </c>
      <c r="H138" s="3"/>
      <c r="I138" s="3"/>
      <c r="J138" s="3"/>
      <c r="K138" s="4"/>
      <c r="L138" s="4"/>
      <c r="M138" s="4"/>
      <c r="N138" s="4"/>
      <c r="O138" s="109">
        <f t="shared" si="12"/>
        <v>0</v>
      </c>
      <c r="P138" s="99"/>
      <c r="Q138" s="99"/>
      <c r="R138" s="113" t="str">
        <f t="shared" si="13"/>
        <v/>
      </c>
      <c r="S138" s="113" t="str">
        <f t="shared" si="14"/>
        <v/>
      </c>
      <c r="T138" s="114">
        <f>H138*[0]!FMainPool1Fee+I138*[0]!FMainPool2Fee+J138*[0]!FMainPool3Fee+K138*[0]!FMainPool4Fee+B138*[0]!FMainEntryFee</f>
        <v>0</v>
      </c>
      <c r="U138" s="31"/>
      <c r="V138" s="100"/>
      <c r="X138" s="59"/>
      <c r="Y138" s="59"/>
    </row>
    <row r="139" spans="1:25" x14ac:dyDescent="0.25">
      <c r="A139" s="26">
        <f t="shared" si="15"/>
        <v>128</v>
      </c>
      <c r="B139" s="11"/>
      <c r="C139" s="8" t="s">
        <v>366</v>
      </c>
      <c r="D139" s="8" t="s">
        <v>367</v>
      </c>
      <c r="E139" s="9" t="s">
        <v>368</v>
      </c>
      <c r="F139" s="49"/>
      <c r="G139" s="5"/>
      <c r="H139" s="10"/>
      <c r="I139" s="11"/>
      <c r="J139" s="11"/>
      <c r="K139" s="11"/>
      <c r="L139" s="11"/>
      <c r="M139" s="11"/>
      <c r="N139" s="11"/>
      <c r="O139" s="109">
        <f t="shared" si="12"/>
        <v>0</v>
      </c>
      <c r="P139" s="11"/>
      <c r="Q139" s="11"/>
      <c r="R139" s="113" t="str">
        <f t="shared" si="13"/>
        <v/>
      </c>
      <c r="S139" s="113" t="str">
        <f t="shared" si="14"/>
        <v/>
      </c>
      <c r="T139" s="114">
        <f>H139*[0]!FMainPool1Fee+I139*[0]!FMainPool2Fee+J139*[0]!FMainPool3Fee+K139*[0]!FMainPool4Fee+B139*[0]!FMainEntryFee</f>
        <v>0</v>
      </c>
      <c r="U139" s="28"/>
      <c r="V139" s="100"/>
      <c r="W139" s="98"/>
      <c r="X139" s="59"/>
      <c r="Y139" s="59"/>
    </row>
    <row r="140" spans="1:25" x14ac:dyDescent="0.25">
      <c r="A140" s="26">
        <f t="shared" si="15"/>
        <v>129</v>
      </c>
      <c r="B140" s="11"/>
      <c r="C140" s="1" t="s">
        <v>17</v>
      </c>
      <c r="D140" s="1" t="s">
        <v>16</v>
      </c>
      <c r="E140" s="2" t="s">
        <v>237</v>
      </c>
      <c r="F140" s="50"/>
      <c r="G140" s="5" t="s">
        <v>393</v>
      </c>
      <c r="H140" s="10"/>
      <c r="I140" s="11"/>
      <c r="J140" s="11"/>
      <c r="K140" s="11"/>
      <c r="L140" s="11"/>
      <c r="M140" s="11"/>
      <c r="N140" s="11"/>
      <c r="O140" s="109">
        <f t="shared" ref="O140:O171" si="16">T140*N140</f>
        <v>0</v>
      </c>
      <c r="P140" s="11"/>
      <c r="Q140" s="11"/>
      <c r="R140" s="113" t="str">
        <f t="shared" ref="R140:R171" si="17">IF(OR(P140="c",P140="C"),+T140,"")</f>
        <v/>
      </c>
      <c r="S140" s="113" t="str">
        <f t="shared" ref="S140:S171" si="18">IF(OR(P140="$",N140=1),+T140,"")</f>
        <v/>
      </c>
      <c r="T140" s="114">
        <f>H140*[0]!FMainPool1Fee+I140*[0]!FMainPool2Fee+J140*[0]!FMainPool3Fee+K140*[0]!FMainPool4Fee+B140*[0]!FMainEntryFee</f>
        <v>0</v>
      </c>
      <c r="U140" s="28"/>
      <c r="V140" s="100"/>
      <c r="X140" s="59"/>
      <c r="Y140" s="59"/>
    </row>
    <row r="141" spans="1:25" x14ac:dyDescent="0.25">
      <c r="A141" s="26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49"/>
      <c r="G141" s="5" t="s">
        <v>376</v>
      </c>
      <c r="H141" s="3"/>
      <c r="I141" s="3"/>
      <c r="J141" s="3"/>
      <c r="K141" s="4"/>
      <c r="L141" s="4"/>
      <c r="M141" s="4"/>
      <c r="N141" s="4"/>
      <c r="O141" s="109">
        <f t="shared" si="16"/>
        <v>0</v>
      </c>
      <c r="P141" s="99"/>
      <c r="Q141" s="99"/>
      <c r="R141" s="113" t="str">
        <f t="shared" si="17"/>
        <v/>
      </c>
      <c r="S141" s="113" t="str">
        <f t="shared" si="18"/>
        <v/>
      </c>
      <c r="T141" s="114">
        <f>H141*[0]!FMainPool1Fee+I141*[0]!FMainPool2Fee+J141*[0]!FMainPool3Fee+K141*[0]!FMainPool4Fee+B141*[0]!FMainEntryFee</f>
        <v>0</v>
      </c>
      <c r="U141" s="31"/>
      <c r="V141" s="100"/>
      <c r="W141" s="98"/>
      <c r="X141" s="59"/>
      <c r="Y141" s="59"/>
    </row>
    <row r="142" spans="1:25" x14ac:dyDescent="0.25">
      <c r="A142" s="26">
        <f t="shared" si="15"/>
        <v>131</v>
      </c>
      <c r="B142" s="11"/>
      <c r="C142" s="8" t="s">
        <v>371</v>
      </c>
      <c r="D142" s="8" t="s">
        <v>308</v>
      </c>
      <c r="E142" s="9" t="s">
        <v>372</v>
      </c>
      <c r="F142" s="49"/>
      <c r="G142" s="5" t="s">
        <v>394</v>
      </c>
      <c r="H142" s="10"/>
      <c r="I142" s="11"/>
      <c r="J142" s="11"/>
      <c r="K142" s="11"/>
      <c r="L142" s="11"/>
      <c r="M142" s="11"/>
      <c r="N142" s="11"/>
      <c r="O142" s="109">
        <f t="shared" si="16"/>
        <v>0</v>
      </c>
      <c r="P142" s="11"/>
      <c r="Q142" s="99"/>
      <c r="R142" s="113" t="str">
        <f t="shared" si="17"/>
        <v/>
      </c>
      <c r="S142" s="113" t="str">
        <f t="shared" si="18"/>
        <v/>
      </c>
      <c r="T142" s="114">
        <f>H142*[0]!FMainPool1Fee+I142*[0]!FMainPool2Fee+J142*[0]!FMainPool3Fee+K142*[0]!FMainPool4Fee+B142*[0]!FMainEntryFee</f>
        <v>0</v>
      </c>
      <c r="U142" s="28"/>
      <c r="V142" s="100"/>
      <c r="W142" s="98"/>
      <c r="X142" s="59"/>
      <c r="Y142" s="59"/>
    </row>
    <row r="143" spans="1:25" x14ac:dyDescent="0.25">
      <c r="A143" s="26">
        <f t="shared" si="15"/>
        <v>132</v>
      </c>
      <c r="B143" s="11"/>
      <c r="C143" s="8" t="s">
        <v>168</v>
      </c>
      <c r="D143" s="8" t="s">
        <v>16</v>
      </c>
      <c r="E143" s="9" t="s">
        <v>215</v>
      </c>
      <c r="F143" s="61"/>
      <c r="G143" s="5" t="s">
        <v>169</v>
      </c>
      <c r="H143" s="10"/>
      <c r="I143" s="11"/>
      <c r="J143" s="11"/>
      <c r="K143" s="11"/>
      <c r="L143" s="11"/>
      <c r="M143" s="11"/>
      <c r="N143" s="11"/>
      <c r="O143" s="109">
        <f t="shared" si="16"/>
        <v>0</v>
      </c>
      <c r="P143" s="11"/>
      <c r="Q143" s="11"/>
      <c r="R143" s="113" t="str">
        <f t="shared" si="17"/>
        <v/>
      </c>
      <c r="S143" s="113" t="str">
        <f t="shared" si="18"/>
        <v/>
      </c>
      <c r="T143" s="114">
        <f>H143*[0]!FMainPool1Fee+I143*[0]!FMainPool2Fee+J143*[0]!FMainPool3Fee+K143*[0]!FMainPool4Fee+B143*[0]!FMainEntryFee</f>
        <v>0</v>
      </c>
      <c r="U143" s="28"/>
      <c r="V143" s="6"/>
      <c r="X143" s="59"/>
      <c r="Y143" s="59"/>
    </row>
    <row r="144" spans="1:25" x14ac:dyDescent="0.25">
      <c r="A144" s="26">
        <f t="shared" si="15"/>
        <v>133</v>
      </c>
      <c r="B144" s="11"/>
      <c r="C144" s="8" t="s">
        <v>310</v>
      </c>
      <c r="D144" s="8" t="s">
        <v>61</v>
      </c>
      <c r="E144" s="9" t="s">
        <v>311</v>
      </c>
      <c r="F144" s="49"/>
      <c r="G144" s="5" t="s">
        <v>313</v>
      </c>
      <c r="H144" s="10"/>
      <c r="I144" s="11"/>
      <c r="J144" s="11"/>
      <c r="K144" s="11"/>
      <c r="L144" s="11"/>
      <c r="M144" s="11"/>
      <c r="N144" s="11"/>
      <c r="O144" s="109">
        <f t="shared" si="16"/>
        <v>0</v>
      </c>
      <c r="P144" s="11"/>
      <c r="Q144" s="11"/>
      <c r="R144" s="113" t="str">
        <f t="shared" si="17"/>
        <v/>
      </c>
      <c r="S144" s="113" t="str">
        <f t="shared" si="18"/>
        <v/>
      </c>
      <c r="T144" s="114">
        <f>H144*[0]!FMainPool1Fee+I144*[0]!FMainPool2Fee+J144*[0]!FMainPool3Fee+K144*[0]!FMainPool4Fee+B144*[0]!FMainEntryFee</f>
        <v>0</v>
      </c>
      <c r="U144" s="28"/>
      <c r="V144" s="101"/>
      <c r="X144" s="59"/>
      <c r="Y144" s="59"/>
    </row>
    <row r="145" spans="1:25" x14ac:dyDescent="0.25">
      <c r="A145" s="26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49"/>
      <c r="G145" s="5"/>
      <c r="H145" s="3"/>
      <c r="I145" s="3"/>
      <c r="J145" s="3"/>
      <c r="K145" s="4"/>
      <c r="L145" s="4"/>
      <c r="M145" s="4"/>
      <c r="N145" s="4"/>
      <c r="O145" s="109">
        <f t="shared" si="16"/>
        <v>0</v>
      </c>
      <c r="P145" s="99"/>
      <c r="Q145" s="99"/>
      <c r="R145" s="113" t="str">
        <f t="shared" si="17"/>
        <v/>
      </c>
      <c r="S145" s="113" t="str">
        <f t="shared" si="18"/>
        <v/>
      </c>
      <c r="T145" s="114">
        <f>H145*[0]!FMainPool1Fee+I145*[0]!FMainPool2Fee+J145*[0]!FMainPool3Fee+K145*[0]!FMainPool4Fee+B145*[0]!FMainEntryFee</f>
        <v>0</v>
      </c>
      <c r="U145" s="31"/>
      <c r="V145" s="100"/>
      <c r="X145" s="59"/>
      <c r="Y145" s="59"/>
    </row>
    <row r="146" spans="1:25" x14ac:dyDescent="0.25">
      <c r="A146" s="26">
        <f t="shared" si="15"/>
        <v>135</v>
      </c>
      <c r="B146" s="3"/>
      <c r="C146" s="7" t="s">
        <v>660</v>
      </c>
      <c r="D146" s="7" t="s">
        <v>42</v>
      </c>
      <c r="E146" s="48" t="s">
        <v>661</v>
      </c>
      <c r="F146" s="7"/>
      <c r="G146" s="7"/>
      <c r="H146" s="10"/>
      <c r="I146" s="11"/>
      <c r="J146" s="11"/>
      <c r="K146" s="11"/>
      <c r="L146" s="11"/>
      <c r="M146" s="11"/>
      <c r="N146" s="11"/>
      <c r="O146" s="109">
        <f t="shared" si="16"/>
        <v>0</v>
      </c>
      <c r="P146" s="11"/>
      <c r="Q146" s="11"/>
      <c r="R146" s="113" t="str">
        <f t="shared" si="17"/>
        <v/>
      </c>
      <c r="S146" s="113" t="str">
        <f t="shared" si="18"/>
        <v/>
      </c>
      <c r="T146" s="114">
        <f>H146*[0]!FMainPool1Fee+I146*[0]!FMainPool2Fee+J146*[0]!FMainPool3Fee+K146*[0]!FMainPool4Fee+B146*[0]!FMainEntryFee</f>
        <v>0</v>
      </c>
      <c r="U146" s="28"/>
      <c r="V146" s="100"/>
      <c r="X146" s="59"/>
      <c r="Y146" s="59"/>
    </row>
    <row r="147" spans="1:25" x14ac:dyDescent="0.25">
      <c r="A147" s="26">
        <f t="shared" si="15"/>
        <v>136</v>
      </c>
      <c r="B147" s="3"/>
      <c r="C147" s="1" t="s">
        <v>24</v>
      </c>
      <c r="D147" s="1" t="s">
        <v>5</v>
      </c>
      <c r="E147" s="2" t="s">
        <v>239</v>
      </c>
      <c r="F147" s="50">
        <v>5105046905</v>
      </c>
      <c r="G147" s="41" t="s">
        <v>548</v>
      </c>
      <c r="H147" s="3"/>
      <c r="I147" s="3"/>
      <c r="J147" s="3"/>
      <c r="K147" s="4"/>
      <c r="L147" s="4"/>
      <c r="M147" s="4"/>
      <c r="N147" s="4"/>
      <c r="O147" s="109">
        <f t="shared" si="16"/>
        <v>0</v>
      </c>
      <c r="P147" s="99"/>
      <c r="Q147" s="99"/>
      <c r="R147" s="113" t="str">
        <f t="shared" si="17"/>
        <v/>
      </c>
      <c r="S147" s="113" t="str">
        <f t="shared" si="18"/>
        <v/>
      </c>
      <c r="T147" s="114">
        <f>H147*[0]!FMainPool1Fee+I147*[0]!FMainPool2Fee+J147*[0]!FMainPool3Fee+K147*[0]!FMainPool4Fee+B147*[0]!FMainEntryFee</f>
        <v>0</v>
      </c>
      <c r="U147" s="31"/>
      <c r="V147" s="100"/>
      <c r="W147" s="98"/>
      <c r="X147" s="59"/>
      <c r="Y147" s="59"/>
    </row>
    <row r="148" spans="1:25" x14ac:dyDescent="0.25">
      <c r="A148" s="26">
        <f t="shared" si="15"/>
        <v>137</v>
      </c>
      <c r="B148" s="11"/>
      <c r="C148" s="8" t="s">
        <v>280</v>
      </c>
      <c r="D148" s="8" t="s">
        <v>282</v>
      </c>
      <c r="E148" s="9" t="s">
        <v>281</v>
      </c>
      <c r="F148" s="48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09">
        <f t="shared" si="16"/>
        <v>0</v>
      </c>
      <c r="P148" s="11"/>
      <c r="Q148" s="99"/>
      <c r="R148" s="113" t="str">
        <f t="shared" si="17"/>
        <v/>
      </c>
      <c r="S148" s="113" t="str">
        <f t="shared" si="18"/>
        <v/>
      </c>
      <c r="T148" s="114">
        <f>H148*[0]!FMainPool1Fee+I148*[0]!FMainPool2Fee+J148*[0]!FMainPool3Fee+K148*[0]!FMainPool4Fee+B148*[0]!FMainEntryFee</f>
        <v>0</v>
      </c>
      <c r="U148" s="28"/>
      <c r="V148" s="100"/>
      <c r="X148" s="59"/>
      <c r="Y148" s="59"/>
    </row>
    <row r="149" spans="1:25" x14ac:dyDescent="0.25">
      <c r="A149" s="26">
        <f t="shared" si="15"/>
        <v>138</v>
      </c>
      <c r="B149" s="11"/>
      <c r="C149" s="1" t="s">
        <v>54</v>
      </c>
      <c r="D149" s="1" t="s">
        <v>55</v>
      </c>
      <c r="E149" s="2" t="s">
        <v>257</v>
      </c>
      <c r="F149" s="50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09">
        <f t="shared" si="16"/>
        <v>0</v>
      </c>
      <c r="P149" s="11"/>
      <c r="Q149" s="11"/>
      <c r="R149" s="113" t="str">
        <f t="shared" si="17"/>
        <v/>
      </c>
      <c r="S149" s="113" t="str">
        <f t="shared" si="18"/>
        <v/>
      </c>
      <c r="T149" s="114">
        <f>H149*[0]!FMainPool1Fee+I149*[0]!FMainPool2Fee+J149*[0]!FMainPool3Fee+K149*[0]!FMainPool4Fee+B149*[0]!FMainEntryFee</f>
        <v>0</v>
      </c>
      <c r="U149" s="28"/>
      <c r="V149" s="102"/>
      <c r="X149" s="59"/>
      <c r="Y149" s="59"/>
    </row>
    <row r="150" spans="1:25" x14ac:dyDescent="0.25">
      <c r="A150" s="26">
        <f t="shared" si="15"/>
        <v>139</v>
      </c>
      <c r="B150" s="11"/>
      <c r="C150" s="1" t="s">
        <v>125</v>
      </c>
      <c r="D150" s="1" t="s">
        <v>49</v>
      </c>
      <c r="E150" s="2" t="s">
        <v>240</v>
      </c>
      <c r="F150" s="52"/>
      <c r="G150" s="5" t="s">
        <v>422</v>
      </c>
      <c r="H150" s="10"/>
      <c r="I150" s="11"/>
      <c r="J150" s="11"/>
      <c r="K150" s="11"/>
      <c r="L150" s="11"/>
      <c r="M150" s="11"/>
      <c r="N150" s="11"/>
      <c r="O150" s="109">
        <f t="shared" si="16"/>
        <v>0</v>
      </c>
      <c r="P150" s="11"/>
      <c r="Q150" s="11"/>
      <c r="R150" s="113" t="str">
        <f t="shared" si="17"/>
        <v/>
      </c>
      <c r="S150" s="113" t="str">
        <f t="shared" si="18"/>
        <v/>
      </c>
      <c r="T150" s="114">
        <f>H150*[0]!FMainPool1Fee+I150*[0]!FMainPool2Fee+J150*[0]!FMainPool3Fee+K150*[0]!FMainPool4Fee+B150*[0]!FMainEntryFee</f>
        <v>0</v>
      </c>
      <c r="U150" s="28"/>
      <c r="V150" s="101"/>
      <c r="X150" s="59"/>
      <c r="Y150" s="59"/>
    </row>
    <row r="151" spans="1:25" x14ac:dyDescent="0.25">
      <c r="A151" s="26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0"/>
      <c r="G151" s="5" t="s">
        <v>423</v>
      </c>
      <c r="H151" s="3"/>
      <c r="I151" s="3"/>
      <c r="J151" s="3"/>
      <c r="K151" s="4"/>
      <c r="L151" s="4"/>
      <c r="M151" s="4"/>
      <c r="N151" s="4"/>
      <c r="O151" s="109">
        <f t="shared" si="16"/>
        <v>0</v>
      </c>
      <c r="P151" s="99"/>
      <c r="Q151" s="99"/>
      <c r="R151" s="113" t="str">
        <f t="shared" si="17"/>
        <v/>
      </c>
      <c r="S151" s="113" t="str">
        <f t="shared" si="18"/>
        <v/>
      </c>
      <c r="T151" s="114">
        <f>H151*[0]!FMainPool1Fee+I151*[0]!FMainPool2Fee+J151*[0]!FMainPool3Fee+K151*[0]!FMainPool4Fee+B151*[0]!FMainEntryFee</f>
        <v>0</v>
      </c>
      <c r="U151" s="31"/>
      <c r="V151" s="101"/>
      <c r="X151" s="59"/>
      <c r="Y151" s="59"/>
    </row>
    <row r="152" spans="1:25" x14ac:dyDescent="0.25">
      <c r="A152" s="26">
        <f t="shared" si="15"/>
        <v>141</v>
      </c>
      <c r="B152" s="11"/>
      <c r="C152" s="8" t="s">
        <v>266</v>
      </c>
      <c r="D152" s="8" t="s">
        <v>267</v>
      </c>
      <c r="E152" s="9" t="s">
        <v>268</v>
      </c>
      <c r="F152" s="49">
        <v>5302194729</v>
      </c>
      <c r="G152" s="41" t="s">
        <v>550</v>
      </c>
      <c r="H152" s="10"/>
      <c r="I152" s="10"/>
      <c r="J152" s="10"/>
      <c r="K152" s="10"/>
      <c r="L152" s="11"/>
      <c r="M152" s="11"/>
      <c r="N152" s="11"/>
      <c r="O152" s="109">
        <f t="shared" si="16"/>
        <v>0</v>
      </c>
      <c r="P152" s="11"/>
      <c r="Q152" s="99"/>
      <c r="R152" s="113" t="str">
        <f t="shared" si="17"/>
        <v/>
      </c>
      <c r="S152" s="113" t="str">
        <f t="shared" si="18"/>
        <v/>
      </c>
      <c r="T152" s="114">
        <f>H152*[0]!FMainPool1Fee+I152*[0]!FMainPool2Fee+J152*[0]!FMainPool3Fee+K152*[0]!FMainPool4Fee+B152*[0]!FMainEntryFee</f>
        <v>0</v>
      </c>
      <c r="U152" s="28"/>
      <c r="V152" s="101"/>
      <c r="X152" s="59"/>
      <c r="Y152" s="59"/>
    </row>
    <row r="153" spans="1:25" x14ac:dyDescent="0.25">
      <c r="A153" s="26">
        <f t="shared" si="15"/>
        <v>142</v>
      </c>
      <c r="B153" s="11"/>
      <c r="C153" s="8" t="s">
        <v>129</v>
      </c>
      <c r="D153" s="8" t="s">
        <v>130</v>
      </c>
      <c r="E153" s="9" t="s">
        <v>178</v>
      </c>
      <c r="F153" s="49"/>
      <c r="G153" s="5" t="s">
        <v>424</v>
      </c>
      <c r="H153" s="10"/>
      <c r="I153" s="11"/>
      <c r="J153" s="11"/>
      <c r="K153" s="11"/>
      <c r="L153" s="11"/>
      <c r="M153" s="11"/>
      <c r="N153" s="11"/>
      <c r="O153" s="109">
        <f t="shared" si="16"/>
        <v>0</v>
      </c>
      <c r="P153" s="11"/>
      <c r="Q153" s="11"/>
      <c r="R153" s="113" t="str">
        <f t="shared" si="17"/>
        <v/>
      </c>
      <c r="S153" s="113" t="str">
        <f t="shared" si="18"/>
        <v/>
      </c>
      <c r="T153" s="114">
        <f>H153*[0]!FMainPool1Fee+I153*[0]!FMainPool2Fee+J153*[0]!FMainPool3Fee+K153*[0]!FMainPool4Fee+B153*[0]!FMainEntryFee</f>
        <v>0</v>
      </c>
      <c r="U153" s="28"/>
      <c r="V153" s="100"/>
      <c r="X153" s="59"/>
      <c r="Y153" s="59"/>
    </row>
    <row r="154" spans="1:25" x14ac:dyDescent="0.25">
      <c r="A154" s="26">
        <f t="shared" si="15"/>
        <v>143</v>
      </c>
      <c r="B154" s="3"/>
      <c r="C154" s="7" t="s">
        <v>662</v>
      </c>
      <c r="D154" s="7" t="s">
        <v>79</v>
      </c>
      <c r="E154" s="48" t="s">
        <v>663</v>
      </c>
      <c r="F154" s="7"/>
      <c r="G154" s="41" t="s">
        <v>664</v>
      </c>
      <c r="H154" s="10"/>
      <c r="I154" s="11"/>
      <c r="J154" s="11"/>
      <c r="K154" s="11"/>
      <c r="L154" s="11"/>
      <c r="M154" s="11"/>
      <c r="N154" s="11"/>
      <c r="O154" s="109">
        <f t="shared" si="16"/>
        <v>0</v>
      </c>
      <c r="P154" s="11"/>
      <c r="Q154" s="11"/>
      <c r="R154" s="113" t="str">
        <f t="shared" si="17"/>
        <v/>
      </c>
      <c r="S154" s="113" t="str">
        <f t="shared" si="18"/>
        <v/>
      </c>
      <c r="T154" s="114">
        <f>H154*[0]!FMainPool1Fee+I154*[0]!FMainPool2Fee+J154*[0]!FMainPool3Fee+K154*[0]!FMainPool4Fee+B154*[0]!FMainEntryFee</f>
        <v>0</v>
      </c>
      <c r="U154" s="28"/>
      <c r="V154" s="100"/>
      <c r="X154" s="59"/>
      <c r="Y154" s="59"/>
    </row>
    <row r="155" spans="1:25" x14ac:dyDescent="0.25">
      <c r="A155" s="26">
        <f t="shared" si="15"/>
        <v>144</v>
      </c>
      <c r="B155" s="11"/>
      <c r="C155" s="8" t="s">
        <v>113</v>
      </c>
      <c r="D155" s="8" t="s">
        <v>7</v>
      </c>
      <c r="E155" s="9" t="s">
        <v>214</v>
      </c>
      <c r="F155" s="49"/>
      <c r="G155" s="5"/>
      <c r="H155" s="10"/>
      <c r="I155" s="10"/>
      <c r="J155" s="10"/>
      <c r="K155" s="10"/>
      <c r="L155" s="11"/>
      <c r="M155" s="11"/>
      <c r="N155" s="11"/>
      <c r="O155" s="109">
        <f t="shared" si="16"/>
        <v>0</v>
      </c>
      <c r="P155" s="11"/>
      <c r="Q155" s="11"/>
      <c r="R155" s="113" t="str">
        <f t="shared" si="17"/>
        <v/>
      </c>
      <c r="S155" s="113" t="str">
        <f t="shared" si="18"/>
        <v/>
      </c>
      <c r="T155" s="114">
        <f>H155*[0]!FMainPool1Fee+I155*[0]!FMainPool2Fee+J155*[0]!FMainPool3Fee+K155*[0]!FMainPool4Fee+B155*[0]!FMainEntryFee</f>
        <v>0</v>
      </c>
      <c r="U155" s="28"/>
      <c r="V155" s="100"/>
      <c r="X155" s="59"/>
      <c r="Y155" s="59"/>
    </row>
    <row r="156" spans="1:25" x14ac:dyDescent="0.25">
      <c r="A156" s="26">
        <f t="shared" si="15"/>
        <v>145</v>
      </c>
      <c r="B156" s="11"/>
      <c r="C156" s="8" t="s">
        <v>377</v>
      </c>
      <c r="D156" s="8" t="s">
        <v>44</v>
      </c>
      <c r="E156" s="9" t="s">
        <v>378</v>
      </c>
      <c r="F156" s="49">
        <v>7075991826</v>
      </c>
      <c r="G156" s="5" t="s">
        <v>395</v>
      </c>
      <c r="H156" s="10"/>
      <c r="I156" s="11"/>
      <c r="J156" s="11"/>
      <c r="K156" s="11"/>
      <c r="L156" s="11"/>
      <c r="M156" s="11"/>
      <c r="N156" s="11"/>
      <c r="O156" s="109">
        <f t="shared" si="16"/>
        <v>0</v>
      </c>
      <c r="P156" s="11"/>
      <c r="Q156" s="11"/>
      <c r="R156" s="113" t="str">
        <f t="shared" si="17"/>
        <v/>
      </c>
      <c r="S156" s="113" t="str">
        <f t="shared" si="18"/>
        <v/>
      </c>
      <c r="T156" s="114">
        <f>H156*[0]!FMainPool1Fee+I156*[0]!FMainPool2Fee+J156*[0]!FMainPool3Fee+K156*[0]!FMainPool4Fee+B156*[0]!FMainEntryFee</f>
        <v>0</v>
      </c>
      <c r="U156" s="28"/>
      <c r="V156" s="100"/>
      <c r="X156" s="59"/>
      <c r="Y156" s="59"/>
    </row>
    <row r="157" spans="1:25" x14ac:dyDescent="0.25">
      <c r="A157" s="26">
        <f t="shared" si="15"/>
        <v>146</v>
      </c>
      <c r="B157" s="11"/>
      <c r="C157" s="1" t="s">
        <v>43</v>
      </c>
      <c r="D157" s="1" t="s">
        <v>44</v>
      </c>
      <c r="E157" s="2" t="s">
        <v>210</v>
      </c>
      <c r="F157" s="50">
        <v>7075994605</v>
      </c>
      <c r="G157" s="7" t="s">
        <v>551</v>
      </c>
      <c r="H157" s="10"/>
      <c r="I157" s="11"/>
      <c r="J157" s="11"/>
      <c r="K157" s="11"/>
      <c r="L157" s="11"/>
      <c r="M157" s="11"/>
      <c r="N157" s="11"/>
      <c r="O157" s="109">
        <f t="shared" si="16"/>
        <v>0</v>
      </c>
      <c r="P157" s="11"/>
      <c r="Q157" s="99"/>
      <c r="R157" s="113" t="str">
        <f t="shared" si="17"/>
        <v/>
      </c>
      <c r="S157" s="113" t="str">
        <f t="shared" si="18"/>
        <v/>
      </c>
      <c r="T157" s="114">
        <f>H157*[0]!FMainPool1Fee+I157*[0]!FMainPool2Fee+J157*[0]!FMainPool3Fee+K157*[0]!FMainPool4Fee+B157*[0]!FMainEntryFee</f>
        <v>0</v>
      </c>
      <c r="U157" s="28"/>
      <c r="V157" s="6"/>
      <c r="W157"/>
      <c r="X157" s="59"/>
      <c r="Y157" s="59"/>
    </row>
    <row r="158" spans="1:25" ht="15.75" x14ac:dyDescent="0.25">
      <c r="A158" s="26">
        <f t="shared" si="15"/>
        <v>147</v>
      </c>
      <c r="B158" s="3"/>
      <c r="C158" s="37" t="s">
        <v>100</v>
      </c>
      <c r="D158" s="37" t="s">
        <v>101</v>
      </c>
      <c r="E158" s="9"/>
      <c r="F158" s="49"/>
      <c r="G158" s="5" t="s">
        <v>102</v>
      </c>
      <c r="H158" s="3"/>
      <c r="I158" s="3"/>
      <c r="J158" s="3"/>
      <c r="K158" s="4"/>
      <c r="L158" s="4"/>
      <c r="M158" s="4"/>
      <c r="N158" s="4"/>
      <c r="O158" s="109">
        <f t="shared" si="16"/>
        <v>0</v>
      </c>
      <c r="P158" s="99"/>
      <c r="Q158" s="99"/>
      <c r="R158" s="113" t="str">
        <f t="shared" si="17"/>
        <v/>
      </c>
      <c r="S158" s="113" t="str">
        <f t="shared" si="18"/>
        <v/>
      </c>
      <c r="T158" s="114">
        <f>H158*[0]!FMainPool1Fee+I158*[0]!FMainPool2Fee+J158*[0]!FMainPool3Fee+K158*[0]!FMainPool4Fee+B158*[0]!FMainEntryFee</f>
        <v>0</v>
      </c>
      <c r="U158" s="40"/>
      <c r="V158" s="100"/>
      <c r="X158" s="59"/>
      <c r="Y158" s="59"/>
    </row>
    <row r="159" spans="1:25" x14ac:dyDescent="0.25">
      <c r="A159" s="26">
        <f t="shared" si="15"/>
        <v>148</v>
      </c>
      <c r="B159" s="11"/>
      <c r="C159" s="8" t="s">
        <v>471</v>
      </c>
      <c r="D159" s="8" t="s">
        <v>494</v>
      </c>
      <c r="E159" s="9" t="s">
        <v>470</v>
      </c>
      <c r="F159" s="49">
        <v>7073490481</v>
      </c>
      <c r="G159" s="41" t="s">
        <v>552</v>
      </c>
      <c r="H159" s="10"/>
      <c r="I159" s="11"/>
      <c r="J159" s="11"/>
      <c r="K159" s="11"/>
      <c r="L159" s="11"/>
      <c r="M159" s="11"/>
      <c r="N159" s="11"/>
      <c r="O159" s="109">
        <f t="shared" si="16"/>
        <v>0</v>
      </c>
      <c r="P159" s="11"/>
      <c r="Q159" s="11"/>
      <c r="R159" s="113" t="str">
        <f t="shared" si="17"/>
        <v/>
      </c>
      <c r="S159" s="113" t="str">
        <f t="shared" si="18"/>
        <v/>
      </c>
      <c r="T159" s="114">
        <f>H159*[0]!FMainPool1Fee+I159*[0]!FMainPool2Fee+J159*[0]!FMainPool3Fee+K159*[0]!FMainPool4Fee+B159*[0]!FMainEntryFee</f>
        <v>0</v>
      </c>
      <c r="U159" s="28"/>
      <c r="V159" s="100"/>
      <c r="X159" s="59"/>
      <c r="Y159" s="59"/>
    </row>
    <row r="160" spans="1:25" x14ac:dyDescent="0.25">
      <c r="A160" s="26">
        <f t="shared" si="15"/>
        <v>149</v>
      </c>
      <c r="B160" s="11"/>
      <c r="C160" s="7" t="s">
        <v>665</v>
      </c>
      <c r="D160" s="7" t="s">
        <v>5</v>
      </c>
      <c r="E160" s="48" t="s">
        <v>666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09">
        <f t="shared" si="16"/>
        <v>0</v>
      </c>
      <c r="P160" s="11"/>
      <c r="Q160" s="11"/>
      <c r="R160" s="113" t="str">
        <f t="shared" si="17"/>
        <v/>
      </c>
      <c r="S160" s="113" t="str">
        <f t="shared" si="18"/>
        <v/>
      </c>
      <c r="T160" s="114">
        <f>H160*[0]!FMainPool1Fee+I160*[0]!FMainPool2Fee+J160*[0]!FMainPool3Fee+K160*[0]!FMainPool4Fee+B160*[0]!FMainEntryFee</f>
        <v>0</v>
      </c>
      <c r="U160" s="28"/>
      <c r="V160" s="100"/>
      <c r="X160" s="59"/>
      <c r="Y160" s="59"/>
    </row>
    <row r="161" spans="1:25" ht="15.75" x14ac:dyDescent="0.25">
      <c r="A161" s="26">
        <f t="shared" si="15"/>
        <v>150</v>
      </c>
      <c r="B161" s="11"/>
      <c r="C161" s="37" t="s">
        <v>108</v>
      </c>
      <c r="D161" s="37" t="s">
        <v>7</v>
      </c>
      <c r="E161" s="9" t="s">
        <v>242</v>
      </c>
      <c r="F161" s="49"/>
      <c r="G161" s="5" t="s">
        <v>425</v>
      </c>
      <c r="H161" s="10"/>
      <c r="I161" s="11"/>
      <c r="J161" s="11"/>
      <c r="K161" s="11"/>
      <c r="L161" s="11"/>
      <c r="M161" s="11"/>
      <c r="N161" s="11"/>
      <c r="O161" s="109">
        <f t="shared" si="16"/>
        <v>0</v>
      </c>
      <c r="P161" s="11"/>
      <c r="Q161" s="11"/>
      <c r="R161" s="113" t="str">
        <f t="shared" si="17"/>
        <v/>
      </c>
      <c r="S161" s="113" t="str">
        <f t="shared" si="18"/>
        <v/>
      </c>
      <c r="T161" s="114">
        <f>H161*[0]!FMainPool1Fee+I161*[0]!FMainPool2Fee+J161*[0]!FMainPool3Fee+K161*[0]!FMainPool4Fee+B161*[0]!FMainEntryFee</f>
        <v>0</v>
      </c>
      <c r="U161" s="28"/>
      <c r="V161" s="100"/>
      <c r="X161" s="59"/>
      <c r="Y161" s="59"/>
    </row>
    <row r="162" spans="1:25" x14ac:dyDescent="0.25">
      <c r="A162" s="26">
        <f t="shared" si="15"/>
        <v>151</v>
      </c>
      <c r="B162" s="3"/>
      <c r="C162" s="8" t="s">
        <v>472</v>
      </c>
      <c r="D162" s="8" t="s">
        <v>495</v>
      </c>
      <c r="E162" s="9" t="s">
        <v>522</v>
      </c>
      <c r="F162" s="49">
        <v>2093653232</v>
      </c>
      <c r="G162" s="41" t="s">
        <v>553</v>
      </c>
      <c r="H162" s="3"/>
      <c r="I162" s="3"/>
      <c r="J162" s="3"/>
      <c r="K162" s="4"/>
      <c r="L162" s="4"/>
      <c r="M162" s="4"/>
      <c r="N162" s="4"/>
      <c r="O162" s="109">
        <f t="shared" si="16"/>
        <v>0</v>
      </c>
      <c r="P162" s="99"/>
      <c r="Q162" s="99"/>
      <c r="R162" s="113" t="str">
        <f t="shared" si="17"/>
        <v/>
      </c>
      <c r="S162" s="113" t="str">
        <f t="shared" si="18"/>
        <v/>
      </c>
      <c r="T162" s="114">
        <f>H162*[0]!FMainPool1Fee+I162*[0]!FMainPool2Fee+J162*[0]!FMainPool3Fee+K162*[0]!FMainPool4Fee+B162*[0]!FMainEntryFee</f>
        <v>0</v>
      </c>
      <c r="U162" s="31"/>
      <c r="V162" s="100"/>
      <c r="X162" s="59"/>
      <c r="Y162" s="59"/>
    </row>
    <row r="163" spans="1:25" x14ac:dyDescent="0.25">
      <c r="A163" s="26">
        <f t="shared" si="15"/>
        <v>152</v>
      </c>
      <c r="B163" s="11"/>
      <c r="C163" s="8" t="s">
        <v>509</v>
      </c>
      <c r="D163" s="8" t="s">
        <v>523</v>
      </c>
      <c r="E163" s="9" t="s">
        <v>510</v>
      </c>
      <c r="F163" s="49">
        <v>7076641532</v>
      </c>
      <c r="G163" s="41" t="s">
        <v>554</v>
      </c>
      <c r="H163" s="10"/>
      <c r="I163" s="11"/>
      <c r="J163" s="11"/>
      <c r="K163" s="11"/>
      <c r="L163" s="11"/>
      <c r="M163" s="11"/>
      <c r="N163" s="11"/>
      <c r="O163" s="109">
        <f t="shared" si="16"/>
        <v>0</v>
      </c>
      <c r="P163" s="11"/>
      <c r="Q163" s="11"/>
      <c r="R163" s="113" t="str">
        <f t="shared" si="17"/>
        <v/>
      </c>
      <c r="S163" s="113" t="str">
        <f t="shared" si="18"/>
        <v/>
      </c>
      <c r="T163" s="114">
        <f>H163*[0]!FMainPool1Fee+I163*[0]!FMainPool2Fee+J163*[0]!FMainPool3Fee+K163*[0]!FMainPool4Fee+B163*[0]!FMainEntryFee</f>
        <v>0</v>
      </c>
      <c r="U163" s="28"/>
      <c r="V163" s="100"/>
      <c r="W163" s="98"/>
      <c r="X163" s="59"/>
      <c r="Y163" s="59"/>
    </row>
    <row r="164" spans="1:25" x14ac:dyDescent="0.25">
      <c r="A164" s="26">
        <f t="shared" si="15"/>
        <v>153</v>
      </c>
      <c r="B164" s="11"/>
      <c r="C164" s="8" t="s">
        <v>473</v>
      </c>
      <c r="D164" s="8" t="s">
        <v>5</v>
      </c>
      <c r="E164" s="9" t="s">
        <v>474</v>
      </c>
      <c r="F164" s="48" t="s">
        <v>555</v>
      </c>
      <c r="G164" s="5" t="s">
        <v>556</v>
      </c>
      <c r="H164" s="10"/>
      <c r="I164" s="11"/>
      <c r="J164" s="11"/>
      <c r="K164" s="11"/>
      <c r="L164" s="11"/>
      <c r="M164" s="11"/>
      <c r="N164" s="11"/>
      <c r="O164" s="109">
        <f t="shared" si="16"/>
        <v>0</v>
      </c>
      <c r="P164" s="11"/>
      <c r="Q164" s="11"/>
      <c r="R164" s="113" t="str">
        <f t="shared" si="17"/>
        <v/>
      </c>
      <c r="S164" s="113" t="str">
        <f t="shared" si="18"/>
        <v/>
      </c>
      <c r="T164" s="114">
        <f>H164*[0]!FMainPool1Fee+I164*[0]!FMainPool2Fee+J164*[0]!FMainPool3Fee+K164*[0]!FMainPool4Fee+B164*[0]!FMainEntryFee</f>
        <v>0</v>
      </c>
      <c r="U164" s="28"/>
      <c r="V164" s="102"/>
      <c r="X164" s="59"/>
      <c r="Y164" s="59"/>
    </row>
    <row r="165" spans="1:25" x14ac:dyDescent="0.25">
      <c r="A165" s="26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0"/>
      <c r="G165" s="5" t="s">
        <v>165</v>
      </c>
      <c r="H165" s="3"/>
      <c r="I165" s="3"/>
      <c r="J165" s="3"/>
      <c r="K165" s="4"/>
      <c r="L165" s="4"/>
      <c r="M165" s="4"/>
      <c r="N165" s="4"/>
      <c r="O165" s="109">
        <f t="shared" si="16"/>
        <v>0</v>
      </c>
      <c r="P165" s="99"/>
      <c r="Q165" s="99"/>
      <c r="R165" s="113" t="str">
        <f t="shared" si="17"/>
        <v/>
      </c>
      <c r="S165" s="113" t="str">
        <f t="shared" si="18"/>
        <v/>
      </c>
      <c r="T165" s="114">
        <f>H165*[0]!FMainPool1Fee+I165*[0]!FMainPool2Fee+J165*[0]!FMainPool3Fee+K165*[0]!FMainPool4Fee+B165*[0]!FMainEntryFee</f>
        <v>0</v>
      </c>
      <c r="U165" s="31"/>
      <c r="V165" s="100"/>
      <c r="X165" s="59"/>
      <c r="Y165" s="59"/>
    </row>
    <row r="166" spans="1:25" x14ac:dyDescent="0.25">
      <c r="A166" s="26">
        <f t="shared" si="15"/>
        <v>155</v>
      </c>
      <c r="B166" s="11"/>
      <c r="C166" s="8" t="s">
        <v>448</v>
      </c>
      <c r="D166" s="8" t="s">
        <v>450</v>
      </c>
      <c r="E166" s="9" t="s">
        <v>449</v>
      </c>
      <c r="F166" s="49"/>
      <c r="G166" s="5" t="s">
        <v>451</v>
      </c>
      <c r="H166" s="10"/>
      <c r="I166" s="11"/>
      <c r="J166" s="11"/>
      <c r="K166" s="11"/>
      <c r="L166" s="11"/>
      <c r="M166" s="11"/>
      <c r="N166" s="11"/>
      <c r="O166" s="109">
        <f t="shared" si="16"/>
        <v>0</v>
      </c>
      <c r="P166" s="11"/>
      <c r="Q166" s="11"/>
      <c r="R166" s="113" t="str">
        <f t="shared" si="17"/>
        <v/>
      </c>
      <c r="S166" s="113" t="str">
        <f t="shared" si="18"/>
        <v/>
      </c>
      <c r="T166" s="114">
        <f>H166*[0]!FMainPool1Fee+I166*[0]!FMainPool2Fee+J166*[0]!FMainPool3Fee+K166*[0]!FMainPool4Fee+B166*[0]!FMainEntryFee</f>
        <v>0</v>
      </c>
      <c r="U166" s="28"/>
      <c r="V166" s="100"/>
      <c r="X166" s="59"/>
      <c r="Y166" s="59"/>
    </row>
    <row r="167" spans="1:25" x14ac:dyDescent="0.25">
      <c r="A167" s="26">
        <f t="shared" si="15"/>
        <v>156</v>
      </c>
      <c r="B167" s="11"/>
      <c r="C167" s="8" t="s">
        <v>370</v>
      </c>
      <c r="D167" s="8" t="s">
        <v>101</v>
      </c>
      <c r="E167" s="9"/>
      <c r="F167" s="49"/>
      <c r="G167" s="5" t="s">
        <v>369</v>
      </c>
      <c r="H167" s="10"/>
      <c r="I167" s="11"/>
      <c r="J167" s="11"/>
      <c r="K167" s="11"/>
      <c r="L167" s="11"/>
      <c r="M167" s="11"/>
      <c r="N167" s="11"/>
      <c r="O167" s="109">
        <f t="shared" si="16"/>
        <v>0</v>
      </c>
      <c r="P167" s="11"/>
      <c r="Q167" s="11"/>
      <c r="R167" s="113" t="str">
        <f t="shared" si="17"/>
        <v/>
      </c>
      <c r="S167" s="113" t="str">
        <f t="shared" si="18"/>
        <v/>
      </c>
      <c r="T167" s="114">
        <f>H167*[0]!FMainPool1Fee+I167*[0]!FMainPool2Fee+J167*[0]!FMainPool3Fee+K167*[0]!FMainPool4Fee+B167*[0]!FMainEntryFee</f>
        <v>0</v>
      </c>
      <c r="U167" s="28"/>
      <c r="V167" s="100"/>
      <c r="X167" s="59"/>
      <c r="Y167" s="59"/>
    </row>
    <row r="168" spans="1:25" x14ac:dyDescent="0.25">
      <c r="A168" s="26">
        <f t="shared" si="15"/>
        <v>157</v>
      </c>
      <c r="B168" s="11"/>
      <c r="C168" s="8" t="s">
        <v>475</v>
      </c>
      <c r="D168" s="8" t="s">
        <v>5</v>
      </c>
      <c r="E168" s="9" t="s">
        <v>476</v>
      </c>
      <c r="F168" s="49">
        <v>5303666465</v>
      </c>
      <c r="G168" s="41" t="s">
        <v>557</v>
      </c>
      <c r="H168" s="10"/>
      <c r="I168" s="11"/>
      <c r="J168" s="11"/>
      <c r="K168" s="11"/>
      <c r="L168" s="11"/>
      <c r="M168" s="11"/>
      <c r="N168" s="11"/>
      <c r="O168" s="109">
        <f t="shared" si="16"/>
        <v>0</v>
      </c>
      <c r="P168" s="11"/>
      <c r="Q168" s="11"/>
      <c r="R168" s="113" t="str">
        <f t="shared" si="17"/>
        <v/>
      </c>
      <c r="S168" s="113" t="str">
        <f t="shared" si="18"/>
        <v/>
      </c>
      <c r="T168" s="114">
        <f>H168*[0]!FMainPool1Fee+I168*[0]!FMainPool2Fee+J168*[0]!FMainPool3Fee+K168*[0]!FMainPool4Fee+B168*[0]!FMainEntryFee</f>
        <v>0</v>
      </c>
      <c r="U168" s="28"/>
      <c r="V168" s="100"/>
      <c r="W168" s="98"/>
      <c r="X168" s="59"/>
      <c r="Y168" s="59"/>
    </row>
    <row r="169" spans="1:25" x14ac:dyDescent="0.25">
      <c r="A169" s="26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49"/>
      <c r="G169" s="5" t="s">
        <v>396</v>
      </c>
      <c r="H169" s="3"/>
      <c r="I169" s="3"/>
      <c r="J169" s="3"/>
      <c r="K169" s="4"/>
      <c r="L169" s="4"/>
      <c r="M169" s="4"/>
      <c r="N169" s="4"/>
      <c r="O169" s="109">
        <f t="shared" si="16"/>
        <v>0</v>
      </c>
      <c r="P169" s="99"/>
      <c r="Q169" s="99"/>
      <c r="R169" s="113" t="str">
        <f t="shared" si="17"/>
        <v/>
      </c>
      <c r="S169" s="113" t="str">
        <f t="shared" si="18"/>
        <v/>
      </c>
      <c r="T169" s="114">
        <f>H169*[0]!FMainPool1Fee+I169*[0]!FMainPool2Fee+J169*[0]!FMainPool3Fee+K169*[0]!FMainPool4Fee+B169*[0]!FMainEntryFee</f>
        <v>0</v>
      </c>
      <c r="U169" s="31"/>
      <c r="V169" s="100"/>
      <c r="W169" s="98"/>
      <c r="X169" s="59"/>
      <c r="Y169" s="59"/>
    </row>
    <row r="170" spans="1:25" x14ac:dyDescent="0.25">
      <c r="A170" s="26">
        <f t="shared" si="15"/>
        <v>159</v>
      </c>
      <c r="B170" s="11"/>
      <c r="C170" s="7" t="s">
        <v>667</v>
      </c>
      <c r="D170" s="7" t="s">
        <v>11</v>
      </c>
      <c r="E170" s="7" t="s">
        <v>640</v>
      </c>
      <c r="F170" s="7"/>
      <c r="G170" s="41" t="s">
        <v>668</v>
      </c>
      <c r="H170" s="10"/>
      <c r="I170" s="11"/>
      <c r="J170" s="11"/>
      <c r="K170" s="11"/>
      <c r="L170" s="11"/>
      <c r="M170" s="11"/>
      <c r="N170" s="11"/>
      <c r="O170" s="109">
        <f t="shared" si="16"/>
        <v>0</v>
      </c>
      <c r="P170" s="11"/>
      <c r="Q170" s="11"/>
      <c r="R170" s="113" t="str">
        <f t="shared" si="17"/>
        <v/>
      </c>
      <c r="S170" s="113" t="str">
        <f t="shared" si="18"/>
        <v/>
      </c>
      <c r="T170" s="114">
        <f>H170*[0]!FMainPool1Fee+I170*[0]!FMainPool2Fee+J170*[0]!FMainPool3Fee+K170*[0]!FMainPool4Fee+B170*[0]!FMainEntryFee</f>
        <v>0</v>
      </c>
      <c r="U170" s="28"/>
      <c r="V170" s="100"/>
      <c r="X170" s="59"/>
      <c r="Y170" s="59"/>
    </row>
    <row r="171" spans="1:25" x14ac:dyDescent="0.25">
      <c r="A171" s="26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2"/>
      <c r="G171" s="5" t="s">
        <v>426</v>
      </c>
      <c r="H171" s="3"/>
      <c r="I171" s="3"/>
      <c r="J171" s="3"/>
      <c r="K171" s="4"/>
      <c r="L171" s="4"/>
      <c r="M171" s="4"/>
      <c r="N171" s="4"/>
      <c r="O171" s="109">
        <f t="shared" si="16"/>
        <v>0</v>
      </c>
      <c r="P171" s="99"/>
      <c r="Q171" s="99"/>
      <c r="R171" s="113" t="str">
        <f t="shared" si="17"/>
        <v/>
      </c>
      <c r="S171" s="113" t="str">
        <f t="shared" si="18"/>
        <v/>
      </c>
      <c r="T171" s="114">
        <f>H171*[0]!FMainPool1Fee+I171*[0]!FMainPool2Fee+J171*[0]!FMainPool3Fee+K171*[0]!FMainPool4Fee+B171*[0]!FMainEntryFee</f>
        <v>0</v>
      </c>
      <c r="U171" s="31"/>
      <c r="V171" s="6"/>
      <c r="X171" s="59"/>
      <c r="Y171" s="59"/>
    </row>
    <row r="172" spans="1:25" x14ac:dyDescent="0.25">
      <c r="A172" s="26">
        <f t="shared" si="15"/>
        <v>161</v>
      </c>
      <c r="B172" s="3"/>
      <c r="C172" s="1" t="s">
        <v>41</v>
      </c>
      <c r="D172" s="1" t="s">
        <v>5</v>
      </c>
      <c r="E172" s="2" t="s">
        <v>212</v>
      </c>
      <c r="F172" s="50">
        <v>7072524331</v>
      </c>
      <c r="G172" s="5" t="s">
        <v>397</v>
      </c>
      <c r="H172" s="3"/>
      <c r="I172" s="3"/>
      <c r="J172" s="3"/>
      <c r="K172" s="4"/>
      <c r="L172" s="4"/>
      <c r="M172" s="4"/>
      <c r="N172" s="4"/>
      <c r="O172" s="109">
        <f t="shared" ref="O172:O195" si="19">T172*N172</f>
        <v>0</v>
      </c>
      <c r="P172" s="99"/>
      <c r="Q172" s="99"/>
      <c r="R172" s="113" t="str">
        <f t="shared" ref="R172:R195" si="20">IF(OR(P172="c",P172="C"),+T172,"")</f>
        <v/>
      </c>
      <c r="S172" s="113" t="str">
        <f t="shared" ref="S172:S195" si="21">IF(OR(P172="$",N172=1),+T172,"")</f>
        <v/>
      </c>
      <c r="T172" s="114">
        <f>H172*[0]!FMainPool1Fee+I172*[0]!FMainPool2Fee+J172*[0]!FMainPool3Fee+K172*[0]!FMainPool4Fee+B172*[0]!FMainEntryFee</f>
        <v>0</v>
      </c>
      <c r="U172" s="31"/>
      <c r="V172" s="108"/>
      <c r="W172"/>
      <c r="X172" s="59"/>
      <c r="Y172" s="59"/>
    </row>
    <row r="173" spans="1:25" x14ac:dyDescent="0.25">
      <c r="A173" s="26">
        <f t="shared" si="15"/>
        <v>162</v>
      </c>
      <c r="B173" s="11"/>
      <c r="C173" s="1" t="s">
        <v>64</v>
      </c>
      <c r="D173" s="1" t="s">
        <v>5</v>
      </c>
      <c r="E173" s="2" t="s">
        <v>213</v>
      </c>
      <c r="F173" s="50" t="s">
        <v>558</v>
      </c>
      <c r="G173" s="5" t="s">
        <v>398</v>
      </c>
      <c r="H173" s="10"/>
      <c r="I173" s="11"/>
      <c r="J173" s="11"/>
      <c r="K173" s="11"/>
      <c r="L173" s="11"/>
      <c r="M173" s="11"/>
      <c r="N173" s="11"/>
      <c r="O173" s="109">
        <f t="shared" si="19"/>
        <v>0</v>
      </c>
      <c r="P173" s="11"/>
      <c r="Q173" s="11"/>
      <c r="R173" s="113" t="str">
        <f t="shared" si="20"/>
        <v/>
      </c>
      <c r="S173" s="113" t="str">
        <f t="shared" si="21"/>
        <v/>
      </c>
      <c r="T173" s="114">
        <f>H173*[0]!FMainPool1Fee+I173*[0]!FMainPool2Fee+J173*[0]!FMainPool3Fee+K173*[0]!FMainPool4Fee+B173*[0]!FMainEntryFee</f>
        <v>0</v>
      </c>
      <c r="U173" s="28"/>
      <c r="W173"/>
      <c r="X173" s="59"/>
      <c r="Y173" s="59"/>
    </row>
    <row r="174" spans="1:25" x14ac:dyDescent="0.25">
      <c r="A174" s="26">
        <f t="shared" si="15"/>
        <v>163</v>
      </c>
      <c r="B174" s="3"/>
      <c r="C174" s="1" t="s">
        <v>80</v>
      </c>
      <c r="D174" s="1" t="s">
        <v>81</v>
      </c>
      <c r="E174" s="2" t="s">
        <v>179</v>
      </c>
      <c r="F174" s="50"/>
      <c r="G174" s="5" t="s">
        <v>399</v>
      </c>
      <c r="H174" s="4"/>
      <c r="I174" s="4"/>
      <c r="J174" s="4"/>
      <c r="K174" s="4"/>
      <c r="L174" s="4"/>
      <c r="M174" s="4"/>
      <c r="N174" s="4"/>
      <c r="O174" s="109">
        <f t="shared" si="19"/>
        <v>0</v>
      </c>
      <c r="P174" s="99"/>
      <c r="Q174" s="99"/>
      <c r="R174" s="113" t="str">
        <f t="shared" si="20"/>
        <v/>
      </c>
      <c r="S174" s="113" t="str">
        <f t="shared" si="21"/>
        <v/>
      </c>
      <c r="T174" s="114">
        <f>H174*[0]!FMainPool1Fee+I174*[0]!FMainPool2Fee+J174*[0]!FMainPool3Fee+K174*[0]!FMainPool4Fee+B174*[0]!FMainEntryFee</f>
        <v>0</v>
      </c>
      <c r="U174" s="31"/>
      <c r="W174"/>
      <c r="X174" s="59"/>
      <c r="Y174" s="59"/>
    </row>
    <row r="175" spans="1:25" x14ac:dyDescent="0.25">
      <c r="A175" s="26">
        <f t="shared" si="15"/>
        <v>164</v>
      </c>
      <c r="B175" s="11"/>
      <c r="C175" s="8" t="s">
        <v>269</v>
      </c>
      <c r="D175" s="8" t="s">
        <v>270</v>
      </c>
      <c r="E175" s="9" t="s">
        <v>271</v>
      </c>
      <c r="F175" s="49"/>
      <c r="G175" s="5" t="s">
        <v>427</v>
      </c>
      <c r="H175" s="10"/>
      <c r="I175" s="11"/>
      <c r="J175" s="11"/>
      <c r="K175" s="11"/>
      <c r="L175" s="11"/>
      <c r="M175" s="11"/>
      <c r="N175" s="11"/>
      <c r="O175" s="109">
        <f t="shared" si="19"/>
        <v>0</v>
      </c>
      <c r="P175" s="11"/>
      <c r="Q175" s="11"/>
      <c r="R175" s="113" t="str">
        <f t="shared" si="20"/>
        <v/>
      </c>
      <c r="S175" s="113" t="str">
        <f t="shared" si="21"/>
        <v/>
      </c>
      <c r="T175" s="114">
        <f>H175*[0]!FMainPool1Fee+I175*[0]!FMainPool2Fee+J175*[0]!FMainPool3Fee+K175*[0]!FMainPool4Fee+B175*[0]!FMainEntryFee</f>
        <v>0</v>
      </c>
      <c r="U175" s="28"/>
      <c r="W175"/>
      <c r="X175" s="59"/>
      <c r="Y175" s="59"/>
    </row>
    <row r="176" spans="1:25" x14ac:dyDescent="0.25">
      <c r="A176" s="26">
        <f t="shared" si="15"/>
        <v>165</v>
      </c>
      <c r="B176" s="11"/>
      <c r="C176" s="1" t="s">
        <v>93</v>
      </c>
      <c r="D176" s="1" t="s">
        <v>94</v>
      </c>
      <c r="E176" s="2" t="s">
        <v>184</v>
      </c>
      <c r="F176" s="49"/>
      <c r="G176" s="5" t="s">
        <v>99</v>
      </c>
      <c r="H176" s="10"/>
      <c r="I176" s="11"/>
      <c r="J176" s="11"/>
      <c r="K176" s="11"/>
      <c r="L176" s="11"/>
      <c r="M176" s="11"/>
      <c r="N176" s="11"/>
      <c r="O176" s="109">
        <f t="shared" si="19"/>
        <v>0</v>
      </c>
      <c r="P176" s="11"/>
      <c r="Q176" s="11"/>
      <c r="R176" s="113" t="str">
        <f t="shared" si="20"/>
        <v/>
      </c>
      <c r="S176" s="113" t="str">
        <f t="shared" si="21"/>
        <v/>
      </c>
      <c r="T176" s="114">
        <f>H176*[0]!FMainPool1Fee+I176*[0]!FMainPool2Fee+J176*[0]!FMainPool3Fee+K176*[0]!FMainPool4Fee+B176*[0]!FMainEntryFee</f>
        <v>0</v>
      </c>
      <c r="U176" s="28"/>
      <c r="W176"/>
      <c r="X176" s="59"/>
      <c r="Y176" s="59"/>
    </row>
    <row r="177" spans="1:25" x14ac:dyDescent="0.25">
      <c r="A177" s="26">
        <f t="shared" si="15"/>
        <v>166</v>
      </c>
      <c r="B177" s="11"/>
      <c r="C177" s="8" t="s">
        <v>354</v>
      </c>
      <c r="D177" s="8" t="s">
        <v>149</v>
      </c>
      <c r="E177" s="9" t="s">
        <v>355</v>
      </c>
      <c r="F177" s="49"/>
      <c r="G177" s="5" t="s">
        <v>400</v>
      </c>
      <c r="H177" s="10"/>
      <c r="I177" s="11"/>
      <c r="J177" s="11"/>
      <c r="K177" s="11"/>
      <c r="L177" s="11"/>
      <c r="M177" s="11"/>
      <c r="N177" s="11"/>
      <c r="O177" s="109">
        <f t="shared" si="19"/>
        <v>0</v>
      </c>
      <c r="P177" s="11"/>
      <c r="Q177" s="11"/>
      <c r="R177" s="113" t="str">
        <f t="shared" si="20"/>
        <v/>
      </c>
      <c r="S177" s="113" t="str">
        <f t="shared" si="21"/>
        <v/>
      </c>
      <c r="T177" s="114">
        <f>H177*[0]!FMainPool1Fee+I177*[0]!FMainPool2Fee+J177*[0]!FMainPool3Fee+K177*[0]!FMainPool4Fee+B177*[0]!FMainEntryFee</f>
        <v>0</v>
      </c>
      <c r="U177" s="28"/>
      <c r="W177"/>
      <c r="X177" s="59"/>
      <c r="Y177" s="59"/>
    </row>
    <row r="178" spans="1:25" x14ac:dyDescent="0.25">
      <c r="A178" s="26">
        <f t="shared" si="15"/>
        <v>167</v>
      </c>
      <c r="B178" s="11"/>
      <c r="C178" s="1" t="s">
        <v>73</v>
      </c>
      <c r="D178" s="1" t="s">
        <v>75</v>
      </c>
      <c r="E178" s="2" t="s">
        <v>244</v>
      </c>
      <c r="F178" s="49"/>
      <c r="G178" s="5" t="s">
        <v>374</v>
      </c>
      <c r="H178" s="10"/>
      <c r="I178" s="11"/>
      <c r="J178" s="11"/>
      <c r="K178" s="11"/>
      <c r="L178" s="11"/>
      <c r="M178" s="11"/>
      <c r="N178" s="11"/>
      <c r="O178" s="109">
        <f t="shared" si="19"/>
        <v>0</v>
      </c>
      <c r="P178" s="11"/>
      <c r="Q178" s="11"/>
      <c r="R178" s="113" t="str">
        <f t="shared" si="20"/>
        <v/>
      </c>
      <c r="S178" s="113" t="str">
        <f t="shared" si="21"/>
        <v/>
      </c>
      <c r="T178" s="114">
        <f>H178*[0]!FMainPool1Fee+I178*[0]!FMainPool2Fee+J178*[0]!FMainPool3Fee+K178*[0]!FMainPool4Fee+B178*[0]!FMainEntryFee</f>
        <v>0</v>
      </c>
      <c r="U178" s="28"/>
      <c r="W178"/>
      <c r="X178" s="59"/>
      <c r="Y178" s="59"/>
    </row>
    <row r="179" spans="1:25" x14ac:dyDescent="0.25">
      <c r="A179" s="26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48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09">
        <f t="shared" si="19"/>
        <v>0</v>
      </c>
      <c r="P179" s="11"/>
      <c r="Q179" s="11"/>
      <c r="R179" s="113" t="str">
        <f t="shared" si="20"/>
        <v/>
      </c>
      <c r="S179" s="113" t="str">
        <f t="shared" si="21"/>
        <v/>
      </c>
      <c r="T179" s="114">
        <f>H179*[0]!FMainPool1Fee+I179*[0]!FMainPool2Fee+J179*[0]!FMainPool3Fee+K179*[0]!FMainPool4Fee+B179*[0]!FMainEntryFee</f>
        <v>0</v>
      </c>
      <c r="U179" s="28"/>
      <c r="W179"/>
      <c r="X179" s="59"/>
      <c r="Y179" s="59"/>
    </row>
    <row r="180" spans="1:25" x14ac:dyDescent="0.25">
      <c r="A180" s="26">
        <f t="shared" si="15"/>
        <v>169</v>
      </c>
      <c r="B180" s="11"/>
      <c r="C180" s="8" t="s">
        <v>274</v>
      </c>
      <c r="D180" s="8" t="s">
        <v>61</v>
      </c>
      <c r="E180" s="9" t="s">
        <v>322</v>
      </c>
      <c r="F180" s="49"/>
      <c r="G180" s="5"/>
      <c r="H180" s="10"/>
      <c r="I180" s="11"/>
      <c r="J180" s="11"/>
      <c r="K180" s="11"/>
      <c r="L180" s="11"/>
      <c r="M180" s="11"/>
      <c r="N180" s="11"/>
      <c r="O180" s="109">
        <f t="shared" si="19"/>
        <v>0</v>
      </c>
      <c r="P180" s="11"/>
      <c r="Q180" s="11"/>
      <c r="R180" s="113" t="str">
        <f t="shared" si="20"/>
        <v/>
      </c>
      <c r="S180" s="113" t="str">
        <f t="shared" si="21"/>
        <v/>
      </c>
      <c r="T180" s="114">
        <f>H180*[0]!FMainPool1Fee+I180*[0]!FMainPool2Fee+J180*[0]!FMainPool3Fee+K180*[0]!FMainPool4Fee+B180*[0]!FMainEntryFee</f>
        <v>0</v>
      </c>
      <c r="U180" s="28"/>
      <c r="W180"/>
      <c r="X180" s="59"/>
      <c r="Y180" s="59"/>
    </row>
    <row r="181" spans="1:25" x14ac:dyDescent="0.25">
      <c r="A181" s="26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49"/>
      <c r="G181" s="5"/>
      <c r="H181" s="3"/>
      <c r="I181" s="3"/>
      <c r="J181" s="3"/>
      <c r="K181" s="4"/>
      <c r="L181" s="4"/>
      <c r="M181" s="4"/>
      <c r="N181" s="4"/>
      <c r="O181" s="109">
        <f t="shared" si="19"/>
        <v>0</v>
      </c>
      <c r="P181" s="99"/>
      <c r="Q181" s="99"/>
      <c r="R181" s="113" t="str">
        <f t="shared" si="20"/>
        <v/>
      </c>
      <c r="S181" s="113" t="str">
        <f t="shared" si="21"/>
        <v/>
      </c>
      <c r="T181" s="114">
        <f>H181*[0]!FMainPool1Fee+I181*[0]!FMainPool2Fee+J181*[0]!FMainPool3Fee+K181*[0]!FMainPool4Fee+B181*[0]!FMainEntryFee</f>
        <v>0</v>
      </c>
      <c r="U181" s="40"/>
      <c r="V181" s="35"/>
      <c r="W181"/>
      <c r="X181" s="59"/>
      <c r="Y181" s="59"/>
    </row>
    <row r="182" spans="1:25" x14ac:dyDescent="0.25">
      <c r="A182" s="26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49"/>
      <c r="G182" s="5" t="s">
        <v>401</v>
      </c>
      <c r="H182" s="3"/>
      <c r="I182" s="3"/>
      <c r="J182" s="3"/>
      <c r="K182" s="4"/>
      <c r="L182" s="4"/>
      <c r="M182" s="4"/>
      <c r="N182" s="4"/>
      <c r="O182" s="109">
        <f t="shared" si="19"/>
        <v>0</v>
      </c>
      <c r="P182" s="99"/>
      <c r="Q182" s="99"/>
      <c r="R182" s="113" t="str">
        <f t="shared" si="20"/>
        <v/>
      </c>
      <c r="S182" s="113" t="str">
        <f t="shared" si="21"/>
        <v/>
      </c>
      <c r="T182" s="114">
        <f>H182*[0]!FMainPool1Fee+I182*[0]!FMainPool2Fee+J182*[0]!FMainPool3Fee+K182*[0]!FMainPool4Fee+B182*[0]!FMainEntryFee</f>
        <v>0</v>
      </c>
      <c r="U182" s="31"/>
      <c r="W182"/>
      <c r="X182" s="59"/>
      <c r="Y182" s="59"/>
    </row>
    <row r="183" spans="1:25" x14ac:dyDescent="0.25">
      <c r="A183" s="26">
        <f t="shared" si="15"/>
        <v>172</v>
      </c>
      <c r="B183" s="11"/>
      <c r="C183" s="8" t="s">
        <v>479</v>
      </c>
      <c r="D183" s="8" t="s">
        <v>494</v>
      </c>
      <c r="E183" s="9" t="s">
        <v>480</v>
      </c>
      <c r="F183" s="49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09">
        <f t="shared" si="19"/>
        <v>0</v>
      </c>
      <c r="P183" s="11"/>
      <c r="Q183" s="11"/>
      <c r="R183" s="113" t="str">
        <f t="shared" si="20"/>
        <v/>
      </c>
      <c r="S183" s="113" t="str">
        <f t="shared" si="21"/>
        <v/>
      </c>
      <c r="T183" s="114">
        <f>H183*[0]!FMainPool1Fee+I183*[0]!FMainPool2Fee+J183*[0]!FMainPool3Fee+K183*[0]!FMainPool4Fee+B183*[0]!FMainEntryFee</f>
        <v>0</v>
      </c>
      <c r="U183" s="28"/>
      <c r="W183"/>
      <c r="X183" s="59"/>
      <c r="Y183" s="59"/>
    </row>
    <row r="184" spans="1:25" x14ac:dyDescent="0.25">
      <c r="A184" s="26">
        <f t="shared" si="15"/>
        <v>173</v>
      </c>
      <c r="B184" s="11"/>
      <c r="C184" s="8" t="s">
        <v>106</v>
      </c>
      <c r="D184" s="8" t="s">
        <v>107</v>
      </c>
      <c r="E184" s="9" t="s">
        <v>245</v>
      </c>
      <c r="F184" s="49"/>
      <c r="G184" s="5" t="s">
        <v>428</v>
      </c>
      <c r="H184" s="10"/>
      <c r="I184" s="11"/>
      <c r="J184" s="11"/>
      <c r="K184" s="11"/>
      <c r="L184" s="11"/>
      <c r="M184" s="11"/>
      <c r="N184" s="11"/>
      <c r="O184" s="109">
        <f t="shared" si="19"/>
        <v>0</v>
      </c>
      <c r="P184" s="11"/>
      <c r="Q184" s="11"/>
      <c r="R184" s="113" t="str">
        <f t="shared" si="20"/>
        <v/>
      </c>
      <c r="S184" s="113" t="str">
        <f t="shared" si="21"/>
        <v/>
      </c>
      <c r="T184" s="114">
        <f>H184*[0]!FMainPool1Fee+I184*[0]!FMainPool2Fee+J184*[0]!FMainPool3Fee+K184*[0]!FMainPool4Fee+B184*[0]!FMainEntryFee</f>
        <v>0</v>
      </c>
      <c r="U184" s="28"/>
      <c r="W184"/>
      <c r="X184" s="59"/>
      <c r="Y184" s="59"/>
    </row>
    <row r="185" spans="1:25" x14ac:dyDescent="0.25">
      <c r="A185" s="26">
        <f t="shared" si="15"/>
        <v>174</v>
      </c>
      <c r="B185" s="3"/>
      <c r="C185" s="8" t="s">
        <v>481</v>
      </c>
      <c r="D185" s="8" t="s">
        <v>16</v>
      </c>
      <c r="E185" s="9" t="s">
        <v>496</v>
      </c>
      <c r="F185" s="49">
        <v>7075290228</v>
      </c>
      <c r="G185" s="41" t="s">
        <v>561</v>
      </c>
      <c r="H185" s="3"/>
      <c r="I185" s="3"/>
      <c r="J185" s="3"/>
      <c r="K185" s="4"/>
      <c r="L185" s="4"/>
      <c r="M185" s="4"/>
      <c r="N185" s="4"/>
      <c r="O185" s="109">
        <f t="shared" si="19"/>
        <v>0</v>
      </c>
      <c r="P185" s="99"/>
      <c r="Q185" s="99"/>
      <c r="R185" s="113" t="str">
        <f t="shared" si="20"/>
        <v/>
      </c>
      <c r="S185" s="113" t="str">
        <f t="shared" si="21"/>
        <v/>
      </c>
      <c r="T185" s="114">
        <f>H185*[0]!FMainPool1Fee+I185*[0]!FMainPool2Fee+J185*[0]!FMainPool3Fee+K185*[0]!FMainPool4Fee+B185*[0]!FMainEntryFee</f>
        <v>0</v>
      </c>
      <c r="U185" s="31"/>
      <c r="V185" s="59"/>
      <c r="W185"/>
      <c r="X185" s="59"/>
      <c r="Y185" s="59"/>
    </row>
    <row r="186" spans="1:25" x14ac:dyDescent="0.25">
      <c r="A186" s="26">
        <f t="shared" si="15"/>
        <v>175</v>
      </c>
      <c r="B186" s="11"/>
      <c r="C186" s="1" t="s">
        <v>21</v>
      </c>
      <c r="D186" s="1" t="s">
        <v>20</v>
      </c>
      <c r="E186" s="2" t="s">
        <v>246</v>
      </c>
      <c r="F186" s="52"/>
      <c r="G186" s="5" t="s">
        <v>418</v>
      </c>
      <c r="H186" s="10"/>
      <c r="I186" s="10"/>
      <c r="J186" s="10"/>
      <c r="K186" s="10"/>
      <c r="L186" s="11"/>
      <c r="M186" s="11"/>
      <c r="N186" s="11"/>
      <c r="O186" s="109">
        <f t="shared" si="19"/>
        <v>0</v>
      </c>
      <c r="P186" s="11"/>
      <c r="Q186" s="11"/>
      <c r="R186" s="113" t="str">
        <f t="shared" si="20"/>
        <v/>
      </c>
      <c r="S186" s="113" t="str">
        <f t="shared" si="21"/>
        <v/>
      </c>
      <c r="T186" s="114">
        <f>H186*[0]!FMainPool1Fee+I186*[0]!FMainPool2Fee+J186*[0]!FMainPool3Fee+K186*[0]!FMainPool4Fee+B186*[0]!FMainEntryFee</f>
        <v>0</v>
      </c>
      <c r="U186" s="28"/>
      <c r="V186" s="59"/>
      <c r="W186"/>
      <c r="X186" s="59"/>
      <c r="Y186" s="59"/>
    </row>
    <row r="187" spans="1:25" x14ac:dyDescent="0.25">
      <c r="A187" s="26">
        <f t="shared" si="15"/>
        <v>176</v>
      </c>
      <c r="B187" s="11"/>
      <c r="C187" s="8" t="s">
        <v>261</v>
      </c>
      <c r="D187" s="8" t="s">
        <v>23</v>
      </c>
      <c r="E187" s="9" t="s">
        <v>262</v>
      </c>
      <c r="F187" s="49"/>
      <c r="G187" s="5" t="s">
        <v>429</v>
      </c>
      <c r="H187" s="10"/>
      <c r="I187" s="11"/>
      <c r="J187" s="11"/>
      <c r="K187" s="11"/>
      <c r="L187" s="11"/>
      <c r="M187" s="11"/>
      <c r="N187" s="11"/>
      <c r="O187" s="109">
        <f t="shared" si="19"/>
        <v>0</v>
      </c>
      <c r="P187" s="11"/>
      <c r="Q187" s="11"/>
      <c r="R187" s="113" t="str">
        <f t="shared" si="20"/>
        <v/>
      </c>
      <c r="S187" s="113" t="str">
        <f t="shared" si="21"/>
        <v/>
      </c>
      <c r="T187" s="114">
        <f>H187*[0]!FMainPool1Fee+I187*[0]!FMainPool2Fee+J187*[0]!FMainPool3Fee+K187*[0]!FMainPool4Fee+B187*[0]!FMainEntryFee</f>
        <v>0</v>
      </c>
      <c r="U187" s="28"/>
      <c r="W187"/>
      <c r="X187" s="59"/>
      <c r="Y187" s="59"/>
    </row>
    <row r="188" spans="1:25" x14ac:dyDescent="0.25">
      <c r="A188" s="26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49"/>
      <c r="G188" s="5" t="s">
        <v>435</v>
      </c>
      <c r="H188" s="3"/>
      <c r="I188" s="3"/>
      <c r="J188" s="3"/>
      <c r="K188" s="4"/>
      <c r="L188" s="4"/>
      <c r="M188" s="4"/>
      <c r="N188" s="4"/>
      <c r="O188" s="109">
        <f t="shared" si="19"/>
        <v>0</v>
      </c>
      <c r="P188" s="99"/>
      <c r="Q188" s="99"/>
      <c r="R188" s="113" t="str">
        <f t="shared" si="20"/>
        <v/>
      </c>
      <c r="S188" s="113" t="str">
        <f t="shared" si="21"/>
        <v/>
      </c>
      <c r="T188" s="114">
        <f>H188*[0]!FMainPool1Fee+I188*[0]!FMainPool2Fee+J188*[0]!FMainPool3Fee+K188*[0]!FMainPool4Fee+B188*[0]!FMainEntryFee</f>
        <v>0</v>
      </c>
      <c r="U188" s="31"/>
      <c r="W188"/>
      <c r="X188" s="59"/>
      <c r="Y188" s="59"/>
    </row>
    <row r="189" spans="1:25" x14ac:dyDescent="0.25">
      <c r="A189" s="26">
        <f t="shared" si="15"/>
        <v>178</v>
      </c>
      <c r="B189" s="11"/>
      <c r="C189" s="8" t="s">
        <v>121</v>
      </c>
      <c r="D189" s="8" t="s">
        <v>122</v>
      </c>
      <c r="E189" s="9" t="s">
        <v>247</v>
      </c>
      <c r="F189" s="49"/>
      <c r="G189" s="5"/>
      <c r="H189" s="10"/>
      <c r="I189" s="11"/>
      <c r="J189" s="11"/>
      <c r="K189" s="11"/>
      <c r="L189" s="11"/>
      <c r="M189" s="11"/>
      <c r="N189" s="11"/>
      <c r="O189" s="109">
        <f t="shared" si="19"/>
        <v>0</v>
      </c>
      <c r="P189" s="11"/>
      <c r="Q189" s="11"/>
      <c r="R189" s="113" t="str">
        <f t="shared" si="20"/>
        <v/>
      </c>
      <c r="S189" s="113" t="str">
        <f t="shared" si="21"/>
        <v/>
      </c>
      <c r="T189" s="114">
        <f>H189*[0]!FMainPool1Fee+I189*[0]!FMainPool2Fee+J189*[0]!FMainPool3Fee+K189*[0]!FMainPool4Fee+B189*[0]!FMainEntryFee</f>
        <v>0</v>
      </c>
      <c r="U189" s="28"/>
      <c r="W189"/>
      <c r="X189" s="59"/>
      <c r="Y189" s="59"/>
    </row>
    <row r="190" spans="1:25" x14ac:dyDescent="0.25">
      <c r="A190" s="26">
        <f t="shared" si="15"/>
        <v>179</v>
      </c>
      <c r="B190" s="11"/>
      <c r="C190" s="8" t="s">
        <v>482</v>
      </c>
      <c r="D190" s="8" t="s">
        <v>5</v>
      </c>
      <c r="E190" s="9" t="s">
        <v>483</v>
      </c>
      <c r="F190" s="49">
        <v>7078150886</v>
      </c>
      <c r="G190" s="41" t="s">
        <v>562</v>
      </c>
      <c r="H190" s="10"/>
      <c r="I190" s="11"/>
      <c r="J190" s="11"/>
      <c r="K190" s="11"/>
      <c r="L190" s="11"/>
      <c r="M190" s="11"/>
      <c r="N190" s="11"/>
      <c r="O190" s="109">
        <f t="shared" si="19"/>
        <v>0</v>
      </c>
      <c r="P190" s="11"/>
      <c r="Q190" s="11"/>
      <c r="R190" s="113" t="str">
        <f t="shared" si="20"/>
        <v/>
      </c>
      <c r="S190" s="113" t="str">
        <f t="shared" si="21"/>
        <v/>
      </c>
      <c r="T190" s="114">
        <f>H190*[0]!FMainPool1Fee+I190*[0]!FMainPool2Fee+J190*[0]!FMainPool3Fee+K190*[0]!FMainPool4Fee+B190*[0]!FMainEntryFee</f>
        <v>0</v>
      </c>
      <c r="U190" s="28"/>
      <c r="W190"/>
      <c r="X190" s="59"/>
      <c r="Y190" s="59"/>
    </row>
    <row r="191" spans="1:25" x14ac:dyDescent="0.25">
      <c r="A191" s="26">
        <f t="shared" si="15"/>
        <v>180</v>
      </c>
      <c r="B191" s="11"/>
      <c r="C191" s="8" t="s">
        <v>484</v>
      </c>
      <c r="D191" s="8" t="s">
        <v>497</v>
      </c>
      <c r="E191" s="9" t="s">
        <v>485</v>
      </c>
      <c r="F191" s="49">
        <v>5106764872</v>
      </c>
      <c r="G191" s="41" t="s">
        <v>563</v>
      </c>
      <c r="H191" s="10"/>
      <c r="I191" s="11"/>
      <c r="J191" s="11"/>
      <c r="K191" s="11"/>
      <c r="L191" s="11"/>
      <c r="M191" s="11"/>
      <c r="N191" s="11"/>
      <c r="O191" s="109">
        <f t="shared" si="19"/>
        <v>0</v>
      </c>
      <c r="P191" s="11"/>
      <c r="Q191" s="11"/>
      <c r="R191" s="113" t="str">
        <f t="shared" si="20"/>
        <v/>
      </c>
      <c r="S191" s="113" t="str">
        <f t="shared" si="21"/>
        <v/>
      </c>
      <c r="T191" s="114">
        <f>H191*[0]!FMainPool1Fee+I191*[0]!FMainPool2Fee+J191*[0]!FMainPool3Fee+K191*[0]!FMainPool4Fee+B191*[0]!FMainEntryFee</f>
        <v>0</v>
      </c>
      <c r="U191" s="28"/>
      <c r="W191"/>
      <c r="X191" s="59"/>
      <c r="Y191" s="59"/>
    </row>
    <row r="192" spans="1:25" x14ac:dyDescent="0.25">
      <c r="A192" s="26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49"/>
      <c r="G192" s="5"/>
      <c r="H192" s="3"/>
      <c r="I192" s="3"/>
      <c r="J192" s="3"/>
      <c r="K192" s="4"/>
      <c r="L192" s="4"/>
      <c r="M192" s="4"/>
      <c r="N192" s="4"/>
      <c r="O192" s="109">
        <f t="shared" si="19"/>
        <v>0</v>
      </c>
      <c r="P192" s="99"/>
      <c r="Q192" s="99"/>
      <c r="R192" s="113" t="str">
        <f t="shared" si="20"/>
        <v/>
      </c>
      <c r="S192" s="113" t="str">
        <f t="shared" si="21"/>
        <v/>
      </c>
      <c r="T192" s="114">
        <f>H192*[0]!FMainPool1Fee+I192*[0]!FMainPool2Fee+J192*[0]!FMainPool3Fee+K192*[0]!FMainPool4Fee+B192*[0]!FMainEntryFee</f>
        <v>0</v>
      </c>
      <c r="U192" s="40"/>
      <c r="W192"/>
      <c r="X192" s="59"/>
      <c r="Y192" s="59"/>
    </row>
    <row r="193" spans="1:25" x14ac:dyDescent="0.25">
      <c r="A193" s="26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48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09">
        <f t="shared" si="19"/>
        <v>0</v>
      </c>
      <c r="P193" s="99"/>
      <c r="Q193" s="99"/>
      <c r="R193" s="113" t="str">
        <f t="shared" si="20"/>
        <v/>
      </c>
      <c r="S193" s="113" t="str">
        <f t="shared" si="21"/>
        <v/>
      </c>
      <c r="T193" s="114">
        <f>H193*[0]!FMainPool1Fee+I193*[0]!FMainPool2Fee+J193*[0]!FMainPool3Fee+K193*[0]!FMainPool4Fee+B193*[0]!FMainEntryFee</f>
        <v>0</v>
      </c>
      <c r="U193" s="31"/>
      <c r="W193"/>
      <c r="X193" s="59"/>
      <c r="Y193" s="59"/>
    </row>
    <row r="194" spans="1:25" x14ac:dyDescent="0.25">
      <c r="A194" s="26">
        <f t="shared" si="15"/>
        <v>183</v>
      </c>
      <c r="B194" s="11"/>
      <c r="C194" s="7" t="s">
        <v>669</v>
      </c>
      <c r="D194" s="7" t="s">
        <v>670</v>
      </c>
      <c r="E194" s="7" t="s">
        <v>671</v>
      </c>
      <c r="F194" s="7"/>
      <c r="G194" s="7"/>
      <c r="H194" s="10"/>
      <c r="I194" s="11"/>
      <c r="J194" s="11"/>
      <c r="K194" s="11"/>
      <c r="L194" s="11"/>
      <c r="M194" s="11"/>
      <c r="N194" s="11"/>
      <c r="O194" s="109">
        <f t="shared" si="19"/>
        <v>0</v>
      </c>
      <c r="P194" s="11"/>
      <c r="Q194" s="11"/>
      <c r="R194" s="113" t="str">
        <f t="shared" si="20"/>
        <v/>
      </c>
      <c r="S194" s="113" t="str">
        <f t="shared" si="21"/>
        <v/>
      </c>
      <c r="T194" s="114">
        <f>H194*[0]!FMainPool1Fee+I194*[0]!FMainPool2Fee+J194*[0]!FMainPool3Fee+K194*[0]!FMainPool4Fee+B194*[0]!FMainEntryFee</f>
        <v>0</v>
      </c>
      <c r="U194" s="28"/>
      <c r="W194"/>
      <c r="X194" s="59"/>
      <c r="Y194" s="59"/>
    </row>
    <row r="195" spans="1:25" x14ac:dyDescent="0.25">
      <c r="A195" s="26">
        <f t="shared" si="15"/>
        <v>184</v>
      </c>
      <c r="B195" s="11"/>
      <c r="C195" s="7" t="s">
        <v>672</v>
      </c>
      <c r="D195" s="7" t="s">
        <v>51</v>
      </c>
      <c r="E195" s="7" t="s">
        <v>673</v>
      </c>
      <c r="F195" s="7"/>
      <c r="G195" s="41" t="s">
        <v>674</v>
      </c>
      <c r="H195" s="10"/>
      <c r="I195" s="11"/>
      <c r="J195" s="11"/>
      <c r="K195" s="11"/>
      <c r="L195" s="11"/>
      <c r="M195" s="11"/>
      <c r="N195" s="11"/>
      <c r="O195" s="109">
        <f t="shared" si="19"/>
        <v>0</v>
      </c>
      <c r="P195" s="11"/>
      <c r="Q195" s="11"/>
      <c r="R195" s="113" t="str">
        <f t="shared" si="20"/>
        <v/>
      </c>
      <c r="S195" s="113" t="str">
        <f t="shared" si="21"/>
        <v/>
      </c>
      <c r="T195" s="114">
        <f>H195*[0]!FMainPool1Fee+I195*[0]!FMainPool2Fee+J195*[0]!FMainPool3Fee+K195*[0]!FMainPool4Fee+B195*[0]!FMainEntryFee</f>
        <v>0</v>
      </c>
      <c r="U195" s="28"/>
      <c r="W195"/>
      <c r="X195" s="59"/>
      <c r="Y195" s="59"/>
    </row>
    <row r="196" spans="1:25" x14ac:dyDescent="0.25">
      <c r="A196" s="26">
        <f t="shared" si="15"/>
        <v>185</v>
      </c>
      <c r="B196" s="11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09">
        <f t="shared" ref="O196:O201" si="22">T196*N196</f>
        <v>0</v>
      </c>
      <c r="P196" s="11"/>
      <c r="Q196" s="11"/>
      <c r="R196" s="113" t="str">
        <f t="shared" ref="R196:R202" si="23">IF(OR(P196="c",P196="C"),+T196,"")</f>
        <v/>
      </c>
      <c r="S196" s="113" t="str">
        <f t="shared" ref="S196:S201" si="24">IF(OR(P196="$",N196=1),+T196,"")</f>
        <v/>
      </c>
      <c r="T196" s="114">
        <f>H196*[0]!FMainPool1Fee+I196*[0]!FMainPool2Fee+J196*[0]!FMainPool3Fee+K196*[0]!FMainPool4Fee+B196*[0]!FMainEntryFee</f>
        <v>0</v>
      </c>
      <c r="U196" s="28"/>
      <c r="W196"/>
      <c r="X196" s="59"/>
      <c r="Y196" s="59"/>
    </row>
    <row r="197" spans="1:25" x14ac:dyDescent="0.25">
      <c r="A197" s="26">
        <f t="shared" si="15"/>
        <v>186</v>
      </c>
      <c r="B197" s="11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09">
        <f t="shared" si="22"/>
        <v>0</v>
      </c>
      <c r="P197" s="11"/>
      <c r="Q197" s="11"/>
      <c r="R197" s="113" t="str">
        <f t="shared" si="23"/>
        <v/>
      </c>
      <c r="S197" s="113" t="str">
        <f t="shared" si="24"/>
        <v/>
      </c>
      <c r="T197" s="114">
        <f>H197*[0]!FMainPool1Fee+I197*[0]!FMainPool2Fee+J197*[0]!FMainPool3Fee+K197*[0]!FMainPool4Fee+B197*[0]!FMainEntryFee</f>
        <v>0</v>
      </c>
      <c r="U197" s="28"/>
      <c r="W197"/>
      <c r="X197" s="59"/>
      <c r="Y197" s="59"/>
    </row>
    <row r="198" spans="1:25" x14ac:dyDescent="0.25">
      <c r="A198" s="26">
        <f t="shared" si="15"/>
        <v>187</v>
      </c>
      <c r="B198" s="11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09">
        <f t="shared" si="22"/>
        <v>0</v>
      </c>
      <c r="P198" s="11"/>
      <c r="Q198" s="11"/>
      <c r="R198" s="113" t="str">
        <f t="shared" si="23"/>
        <v/>
      </c>
      <c r="S198" s="113" t="str">
        <f t="shared" si="24"/>
        <v/>
      </c>
      <c r="T198" s="114">
        <f>H198*[0]!FMainPool1Fee+I198*[0]!FMainPool2Fee+J198*[0]!FMainPool3Fee+K198*[0]!FMainPool4Fee+B198*[0]!FMainEntryFee</f>
        <v>0</v>
      </c>
      <c r="U198" s="28"/>
      <c r="W198"/>
      <c r="X198" s="59"/>
      <c r="Y198" s="59"/>
    </row>
    <row r="199" spans="1:25" x14ac:dyDescent="0.25">
      <c r="A199" s="26">
        <f t="shared" si="15"/>
        <v>188</v>
      </c>
      <c r="B199" s="11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09">
        <f t="shared" si="22"/>
        <v>0</v>
      </c>
      <c r="P199" s="11"/>
      <c r="Q199" s="11"/>
      <c r="R199" s="113" t="str">
        <f t="shared" si="23"/>
        <v/>
      </c>
      <c r="S199" s="113" t="str">
        <f t="shared" si="24"/>
        <v/>
      </c>
      <c r="T199" s="114">
        <f>H199*[0]!FMainPool1Fee+I199*[0]!FMainPool2Fee+J199*[0]!FMainPool3Fee+K199*[0]!FMainPool4Fee+B199*[0]!FMainEntryFee</f>
        <v>0</v>
      </c>
      <c r="U199" s="28"/>
      <c r="W199"/>
      <c r="X199" s="59"/>
      <c r="Y199" s="59"/>
    </row>
    <row r="200" spans="1:25" x14ac:dyDescent="0.25">
      <c r="A200" s="26">
        <f t="shared" si="15"/>
        <v>189</v>
      </c>
      <c r="B200" s="11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09">
        <f t="shared" si="22"/>
        <v>0</v>
      </c>
      <c r="P200" s="11"/>
      <c r="Q200" s="11"/>
      <c r="R200" s="113" t="str">
        <f t="shared" si="23"/>
        <v/>
      </c>
      <c r="S200" s="113" t="str">
        <f t="shared" si="24"/>
        <v/>
      </c>
      <c r="T200" s="114">
        <f>H200*[0]!FMainPool1Fee+I200*[0]!FMainPool2Fee+J200*[0]!FMainPool3Fee+K200*[0]!FMainPool4Fee+B200*[0]!FMainEntryFee</f>
        <v>0</v>
      </c>
      <c r="U200" s="28"/>
      <c r="W200"/>
      <c r="X200" s="59"/>
      <c r="Y200" s="59"/>
    </row>
    <row r="201" spans="1:25" x14ac:dyDescent="0.25">
      <c r="A201" s="26">
        <f t="shared" si="15"/>
        <v>190</v>
      </c>
      <c r="B201" s="11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09">
        <f t="shared" si="22"/>
        <v>0</v>
      </c>
      <c r="P201" s="11"/>
      <c r="Q201" s="11"/>
      <c r="R201" s="113" t="str">
        <f t="shared" si="23"/>
        <v/>
      </c>
      <c r="S201" s="113" t="str">
        <f t="shared" si="24"/>
        <v/>
      </c>
      <c r="T201" s="114">
        <f>H201*[0]!FMainPool1Fee+I201*[0]!FMainPool2Fee+J201*[0]!FMainPool3Fee+K201*[0]!FMainPool4Fee+B201*[0]!FMainEntryFee</f>
        <v>0</v>
      </c>
      <c r="U201" s="28"/>
      <c r="W201"/>
      <c r="X201" s="59"/>
      <c r="Y201" s="59"/>
    </row>
    <row r="202" spans="1:25" x14ac:dyDescent="0.25">
      <c r="A202" s="26">
        <f t="shared" ref="A202:A265" si="25">ROW() - ROW(FRegEntriesEnteredHdr)</f>
        <v>191</v>
      </c>
      <c r="B202" s="11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09">
        <f t="shared" ref="O202" si="26">T202*N202</f>
        <v>0</v>
      </c>
      <c r="P202" s="11"/>
      <c r="Q202" s="11"/>
      <c r="R202" s="113" t="str">
        <f t="shared" si="23"/>
        <v/>
      </c>
      <c r="S202" s="113" t="str">
        <f t="shared" ref="S202" si="27">IF(OR(P202="$",N202=1),+T202,"")</f>
        <v/>
      </c>
      <c r="T202" s="114">
        <f>H202*[0]!FMainPool1Fee+I202*[0]!FMainPool2Fee+J202*[0]!FMainPool3Fee+K202*[0]!FMainPool4Fee+B202*[0]!FMainEntryFee</f>
        <v>0</v>
      </c>
      <c r="U202" s="28"/>
      <c r="W202"/>
      <c r="X202" s="59"/>
      <c r="Y202" s="59"/>
    </row>
    <row r="203" spans="1:25" x14ac:dyDescent="0.25">
      <c r="A203" s="26">
        <f t="shared" si="25"/>
        <v>192</v>
      </c>
      <c r="B203" s="11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09">
        <f t="shared" ref="O203:O266" si="28">T203*N203</f>
        <v>0</v>
      </c>
      <c r="P203" s="11"/>
      <c r="Q203" s="11"/>
      <c r="R203" s="113" t="str">
        <f t="shared" ref="R203:R266" si="29">IF(OR(P203="c",P203="C"),+T203,"")</f>
        <v/>
      </c>
      <c r="S203" s="113" t="str">
        <f t="shared" ref="S203:S266" si="30">IF(OR(P203="$",N203=1),+T203,"")</f>
        <v/>
      </c>
      <c r="T203" s="114">
        <f>H203*[0]!FMainPool1Fee+I203*[0]!FMainPool2Fee+J203*[0]!FMainPool3Fee+K203*[0]!FMainPool4Fee+B203*[0]!FMainEntryFee</f>
        <v>0</v>
      </c>
      <c r="U203" s="28"/>
      <c r="W203"/>
      <c r="X203" s="59"/>
      <c r="Y203" s="59"/>
    </row>
    <row r="204" spans="1:25" x14ac:dyDescent="0.25">
      <c r="A204" s="26">
        <f t="shared" si="25"/>
        <v>193</v>
      </c>
      <c r="B204" s="11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09">
        <f t="shared" si="28"/>
        <v>0</v>
      </c>
      <c r="P204" s="11"/>
      <c r="Q204" s="11"/>
      <c r="R204" s="113" t="str">
        <f t="shared" si="29"/>
        <v/>
      </c>
      <c r="S204" s="113" t="str">
        <f t="shared" si="30"/>
        <v/>
      </c>
      <c r="T204" s="114">
        <f>H204*[0]!FMainPool1Fee+I204*[0]!FMainPool2Fee+J204*[0]!FMainPool3Fee+K204*[0]!FMainPool4Fee+B204*[0]!FMainEntryFee</f>
        <v>0</v>
      </c>
      <c r="U204" s="28"/>
      <c r="W204"/>
      <c r="X204" s="59"/>
      <c r="Y204" s="59"/>
    </row>
    <row r="205" spans="1:25" x14ac:dyDescent="0.25">
      <c r="A205" s="26">
        <f t="shared" si="25"/>
        <v>194</v>
      </c>
      <c r="B205" s="11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09">
        <f t="shared" si="28"/>
        <v>0</v>
      </c>
      <c r="P205" s="11"/>
      <c r="Q205" s="11"/>
      <c r="R205" s="113" t="str">
        <f t="shared" si="29"/>
        <v/>
      </c>
      <c r="S205" s="113" t="str">
        <f t="shared" si="30"/>
        <v/>
      </c>
      <c r="T205" s="114">
        <f>H205*[0]!FMainPool1Fee+I205*[0]!FMainPool2Fee+J205*[0]!FMainPool3Fee+K205*[0]!FMainPool4Fee+B205*[0]!FMainEntryFee</f>
        <v>0</v>
      </c>
      <c r="U205" s="28"/>
      <c r="W205"/>
      <c r="X205" s="59"/>
      <c r="Y205" s="59"/>
    </row>
    <row r="206" spans="1:25" x14ac:dyDescent="0.25">
      <c r="A206" s="26">
        <f t="shared" si="25"/>
        <v>195</v>
      </c>
      <c r="B206" s="11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09">
        <f t="shared" si="28"/>
        <v>0</v>
      </c>
      <c r="P206" s="11"/>
      <c r="Q206" s="11"/>
      <c r="R206" s="113" t="str">
        <f t="shared" si="29"/>
        <v/>
      </c>
      <c r="S206" s="113" t="str">
        <f t="shared" si="30"/>
        <v/>
      </c>
      <c r="T206" s="114">
        <f>H206*[0]!FMainPool1Fee+I206*[0]!FMainPool2Fee+J206*[0]!FMainPool3Fee+K206*[0]!FMainPool4Fee+B206*[0]!FMainEntryFee</f>
        <v>0</v>
      </c>
      <c r="U206" s="28"/>
      <c r="W206"/>
      <c r="X206" s="59"/>
      <c r="Y206" s="59"/>
    </row>
    <row r="207" spans="1:25" x14ac:dyDescent="0.25">
      <c r="A207" s="26">
        <f t="shared" si="25"/>
        <v>196</v>
      </c>
      <c r="B207" s="11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09">
        <f t="shared" si="28"/>
        <v>0</v>
      </c>
      <c r="P207" s="11"/>
      <c r="Q207" s="11"/>
      <c r="R207" s="113" t="str">
        <f t="shared" si="29"/>
        <v/>
      </c>
      <c r="S207" s="113" t="str">
        <f t="shared" si="30"/>
        <v/>
      </c>
      <c r="T207" s="114">
        <f>H207*[0]!FMainPool1Fee+I207*[0]!FMainPool2Fee+J207*[0]!FMainPool3Fee+K207*[0]!FMainPool4Fee+B207*[0]!FMainEntryFee</f>
        <v>0</v>
      </c>
      <c r="U207" s="28"/>
      <c r="W207"/>
      <c r="X207" s="59"/>
      <c r="Y207" s="59"/>
    </row>
    <row r="208" spans="1:25" x14ac:dyDescent="0.25">
      <c r="A208" s="26">
        <f t="shared" si="25"/>
        <v>197</v>
      </c>
      <c r="B208" s="11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09">
        <f t="shared" si="28"/>
        <v>0</v>
      </c>
      <c r="P208" s="11"/>
      <c r="Q208" s="11"/>
      <c r="R208" s="113" t="str">
        <f t="shared" si="29"/>
        <v/>
      </c>
      <c r="S208" s="113" t="str">
        <f t="shared" si="30"/>
        <v/>
      </c>
      <c r="T208" s="114">
        <f>H208*[0]!FMainPool1Fee+I208*[0]!FMainPool2Fee+J208*[0]!FMainPool3Fee+K208*[0]!FMainPool4Fee+B208*[0]!FMainEntryFee</f>
        <v>0</v>
      </c>
      <c r="U208" s="28"/>
      <c r="W208"/>
      <c r="X208" s="59"/>
      <c r="Y208" s="59"/>
    </row>
    <row r="209" spans="1:25" x14ac:dyDescent="0.25">
      <c r="A209" s="26">
        <f t="shared" si="25"/>
        <v>198</v>
      </c>
      <c r="B209" s="11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09">
        <f t="shared" si="28"/>
        <v>0</v>
      </c>
      <c r="P209" s="11"/>
      <c r="Q209" s="11"/>
      <c r="R209" s="113" t="str">
        <f t="shared" si="29"/>
        <v/>
      </c>
      <c r="S209" s="113" t="str">
        <f t="shared" si="30"/>
        <v/>
      </c>
      <c r="T209" s="114">
        <f>H209*[0]!FMainPool1Fee+I209*[0]!FMainPool2Fee+J209*[0]!FMainPool3Fee+K209*[0]!FMainPool4Fee+B209*[0]!FMainEntryFee</f>
        <v>0</v>
      </c>
      <c r="U209" s="28"/>
      <c r="W209"/>
      <c r="X209" s="59"/>
      <c r="Y209" s="59"/>
    </row>
    <row r="210" spans="1:25" x14ac:dyDescent="0.25">
      <c r="A210" s="26">
        <f t="shared" si="25"/>
        <v>199</v>
      </c>
      <c r="B210" s="11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09">
        <f t="shared" si="28"/>
        <v>0</v>
      </c>
      <c r="P210" s="11"/>
      <c r="Q210" s="11"/>
      <c r="R210" s="113" t="str">
        <f t="shared" si="29"/>
        <v/>
      </c>
      <c r="S210" s="113" t="str">
        <f t="shared" si="30"/>
        <v/>
      </c>
      <c r="T210" s="114">
        <f>H210*[0]!FMainPool1Fee+I210*[0]!FMainPool2Fee+J210*[0]!FMainPool3Fee+K210*[0]!FMainPool4Fee+B210*[0]!FMainEntryFee</f>
        <v>0</v>
      </c>
      <c r="U210" s="28"/>
      <c r="W210"/>
      <c r="X210" s="59"/>
      <c r="Y210" s="59"/>
    </row>
    <row r="211" spans="1:25" x14ac:dyDescent="0.25">
      <c r="A211" s="26">
        <f t="shared" si="25"/>
        <v>200</v>
      </c>
      <c r="B211" s="11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09">
        <f t="shared" si="28"/>
        <v>0</v>
      </c>
      <c r="P211" s="11"/>
      <c r="Q211" s="11"/>
      <c r="R211" s="113" t="str">
        <f t="shared" si="29"/>
        <v/>
      </c>
      <c r="S211" s="113" t="str">
        <f t="shared" si="30"/>
        <v/>
      </c>
      <c r="T211" s="114">
        <f>H211*[0]!FMainPool1Fee+I211*[0]!FMainPool2Fee+J211*[0]!FMainPool3Fee+K211*[0]!FMainPool4Fee+B211*[0]!FMainEntryFee</f>
        <v>0</v>
      </c>
      <c r="U211" s="28"/>
      <c r="W211"/>
      <c r="X211" s="59"/>
      <c r="Y211" s="59"/>
    </row>
    <row r="212" spans="1:25" x14ac:dyDescent="0.25">
      <c r="A212" s="26">
        <f t="shared" si="25"/>
        <v>201</v>
      </c>
      <c r="B212" s="11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09">
        <f t="shared" si="28"/>
        <v>0</v>
      </c>
      <c r="P212" s="11"/>
      <c r="Q212" s="11"/>
      <c r="R212" s="113" t="str">
        <f t="shared" si="29"/>
        <v/>
      </c>
      <c r="S212" s="113" t="str">
        <f t="shared" si="30"/>
        <v/>
      </c>
      <c r="T212" s="114">
        <f>H212*[0]!FMainPool1Fee+I212*[0]!FMainPool2Fee+J212*[0]!FMainPool3Fee+K212*[0]!FMainPool4Fee+B212*[0]!FMainEntryFee</f>
        <v>0</v>
      </c>
      <c r="U212" s="28"/>
      <c r="W212"/>
      <c r="X212" s="59"/>
      <c r="Y212" s="59"/>
    </row>
    <row r="213" spans="1:25" x14ac:dyDescent="0.25">
      <c r="A213" s="26">
        <f t="shared" si="25"/>
        <v>202</v>
      </c>
      <c r="B213" s="11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09">
        <f t="shared" si="28"/>
        <v>0</v>
      </c>
      <c r="P213" s="11"/>
      <c r="Q213" s="11"/>
      <c r="R213" s="113" t="str">
        <f t="shared" si="29"/>
        <v/>
      </c>
      <c r="S213" s="113" t="str">
        <f t="shared" si="30"/>
        <v/>
      </c>
      <c r="T213" s="114">
        <f>H213*[0]!FMainPool1Fee+I213*[0]!FMainPool2Fee+J213*[0]!FMainPool3Fee+K213*[0]!FMainPool4Fee+B213*[0]!FMainEntryFee</f>
        <v>0</v>
      </c>
      <c r="U213" s="28"/>
      <c r="W213"/>
      <c r="X213" s="59"/>
      <c r="Y213" s="59"/>
    </row>
    <row r="214" spans="1:25" x14ac:dyDescent="0.25">
      <c r="A214" s="26">
        <f t="shared" si="25"/>
        <v>203</v>
      </c>
      <c r="B214" s="11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09">
        <f t="shared" si="28"/>
        <v>0</v>
      </c>
      <c r="P214" s="11"/>
      <c r="Q214" s="11"/>
      <c r="R214" s="113" t="str">
        <f t="shared" si="29"/>
        <v/>
      </c>
      <c r="S214" s="113" t="str">
        <f t="shared" si="30"/>
        <v/>
      </c>
      <c r="T214" s="114">
        <f>H214*[0]!FMainPool1Fee+I214*[0]!FMainPool2Fee+J214*[0]!FMainPool3Fee+K214*[0]!FMainPool4Fee+B214*[0]!FMainEntryFee</f>
        <v>0</v>
      </c>
      <c r="U214" s="28"/>
      <c r="W214"/>
      <c r="X214" s="59"/>
      <c r="Y214" s="59"/>
    </row>
    <row r="215" spans="1:25" x14ac:dyDescent="0.25">
      <c r="A215" s="26">
        <f t="shared" si="25"/>
        <v>204</v>
      </c>
      <c r="B215" s="11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09">
        <f t="shared" si="28"/>
        <v>0</v>
      </c>
      <c r="P215" s="11"/>
      <c r="Q215" s="11"/>
      <c r="R215" s="113" t="str">
        <f t="shared" si="29"/>
        <v/>
      </c>
      <c r="S215" s="113" t="str">
        <f t="shared" si="30"/>
        <v/>
      </c>
      <c r="T215" s="114">
        <f>H215*[0]!FMainPool1Fee+I215*[0]!FMainPool2Fee+J215*[0]!FMainPool3Fee+K215*[0]!FMainPool4Fee+B215*[0]!FMainEntryFee</f>
        <v>0</v>
      </c>
      <c r="U215" s="28"/>
      <c r="W215"/>
      <c r="X215" s="59"/>
      <c r="Y215" s="59"/>
    </row>
    <row r="216" spans="1:25" x14ac:dyDescent="0.25">
      <c r="A216" s="26">
        <f t="shared" si="25"/>
        <v>205</v>
      </c>
      <c r="B216" s="11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09">
        <f t="shared" si="28"/>
        <v>0</v>
      </c>
      <c r="P216" s="11"/>
      <c r="Q216" s="11"/>
      <c r="R216" s="113" t="str">
        <f t="shared" si="29"/>
        <v/>
      </c>
      <c r="S216" s="113" t="str">
        <f t="shared" si="30"/>
        <v/>
      </c>
      <c r="T216" s="114">
        <f>H216*[0]!FMainPool1Fee+I216*[0]!FMainPool2Fee+J216*[0]!FMainPool3Fee+K216*[0]!FMainPool4Fee+B216*[0]!FMainEntryFee</f>
        <v>0</v>
      </c>
      <c r="U216" s="28"/>
      <c r="W216"/>
      <c r="X216" s="59"/>
      <c r="Y216" s="59"/>
    </row>
    <row r="217" spans="1:25" x14ac:dyDescent="0.25">
      <c r="A217" s="26">
        <f t="shared" si="25"/>
        <v>206</v>
      </c>
      <c r="B217" s="11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09">
        <f t="shared" si="28"/>
        <v>0</v>
      </c>
      <c r="P217" s="11"/>
      <c r="Q217" s="11"/>
      <c r="R217" s="113" t="str">
        <f t="shared" si="29"/>
        <v/>
      </c>
      <c r="S217" s="113" t="str">
        <f t="shared" si="30"/>
        <v/>
      </c>
      <c r="T217" s="114">
        <f>H217*[0]!FMainPool1Fee+I217*[0]!FMainPool2Fee+J217*[0]!FMainPool3Fee+K217*[0]!FMainPool4Fee+B217*[0]!FMainEntryFee</f>
        <v>0</v>
      </c>
      <c r="U217" s="28"/>
      <c r="W217"/>
      <c r="X217" s="59"/>
      <c r="Y217" s="59"/>
    </row>
    <row r="218" spans="1:25" x14ac:dyDescent="0.25">
      <c r="A218" s="26">
        <f t="shared" si="25"/>
        <v>207</v>
      </c>
      <c r="B218" s="11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09">
        <f t="shared" si="28"/>
        <v>0</v>
      </c>
      <c r="P218" s="11"/>
      <c r="Q218" s="11"/>
      <c r="R218" s="113" t="str">
        <f t="shared" si="29"/>
        <v/>
      </c>
      <c r="S218" s="113" t="str">
        <f t="shared" si="30"/>
        <v/>
      </c>
      <c r="T218" s="114">
        <f>H218*[0]!FMainPool1Fee+I218*[0]!FMainPool2Fee+J218*[0]!FMainPool3Fee+K218*[0]!FMainPool4Fee+B218*[0]!FMainEntryFee</f>
        <v>0</v>
      </c>
      <c r="U218" s="28"/>
      <c r="W218"/>
      <c r="X218" s="59"/>
      <c r="Y218" s="59"/>
    </row>
    <row r="219" spans="1:25" x14ac:dyDescent="0.25">
      <c r="A219" s="26">
        <f t="shared" si="25"/>
        <v>208</v>
      </c>
      <c r="B219" s="11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09">
        <f t="shared" si="28"/>
        <v>0</v>
      </c>
      <c r="P219" s="11"/>
      <c r="Q219" s="11"/>
      <c r="R219" s="113" t="str">
        <f t="shared" si="29"/>
        <v/>
      </c>
      <c r="S219" s="113" t="str">
        <f t="shared" si="30"/>
        <v/>
      </c>
      <c r="T219" s="114">
        <f>H219*[0]!FMainPool1Fee+I219*[0]!FMainPool2Fee+J219*[0]!FMainPool3Fee+K219*[0]!FMainPool4Fee+B219*[0]!FMainEntryFee</f>
        <v>0</v>
      </c>
      <c r="U219" s="28"/>
      <c r="W219"/>
      <c r="X219" s="59"/>
      <c r="Y219" s="59"/>
    </row>
    <row r="220" spans="1:25" x14ac:dyDescent="0.25">
      <c r="A220" s="26">
        <f t="shared" si="25"/>
        <v>209</v>
      </c>
      <c r="B220" s="11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09">
        <f t="shared" si="28"/>
        <v>0</v>
      </c>
      <c r="P220" s="11"/>
      <c r="Q220" s="11"/>
      <c r="R220" s="113" t="str">
        <f t="shared" si="29"/>
        <v/>
      </c>
      <c r="S220" s="113" t="str">
        <f t="shared" si="30"/>
        <v/>
      </c>
      <c r="T220" s="114">
        <f>H220*[0]!FMainPool1Fee+I220*[0]!FMainPool2Fee+J220*[0]!FMainPool3Fee+K220*[0]!FMainPool4Fee+B220*[0]!FMainEntryFee</f>
        <v>0</v>
      </c>
      <c r="U220" s="28"/>
      <c r="W220"/>
      <c r="X220" s="59"/>
      <c r="Y220" s="59"/>
    </row>
    <row r="221" spans="1:25" x14ac:dyDescent="0.25">
      <c r="A221" s="26">
        <f t="shared" si="25"/>
        <v>210</v>
      </c>
      <c r="B221" s="11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09">
        <f t="shared" si="28"/>
        <v>0</v>
      </c>
      <c r="P221" s="11"/>
      <c r="Q221" s="11"/>
      <c r="R221" s="113" t="str">
        <f t="shared" si="29"/>
        <v/>
      </c>
      <c r="S221" s="113" t="str">
        <f t="shared" si="30"/>
        <v/>
      </c>
      <c r="T221" s="114">
        <f>H221*[0]!FMainPool1Fee+I221*[0]!FMainPool2Fee+J221*[0]!FMainPool3Fee+K221*[0]!FMainPool4Fee+B221*[0]!FMainEntryFee</f>
        <v>0</v>
      </c>
      <c r="U221" s="28"/>
      <c r="W221"/>
      <c r="X221" s="59"/>
      <c r="Y221" s="59"/>
    </row>
    <row r="222" spans="1:25" x14ac:dyDescent="0.25">
      <c r="A222" s="26">
        <f t="shared" si="25"/>
        <v>211</v>
      </c>
      <c r="B222" s="11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09">
        <f t="shared" si="28"/>
        <v>0</v>
      </c>
      <c r="P222" s="11"/>
      <c r="Q222" s="11"/>
      <c r="R222" s="113" t="str">
        <f t="shared" si="29"/>
        <v/>
      </c>
      <c r="S222" s="113" t="str">
        <f t="shared" si="30"/>
        <v/>
      </c>
      <c r="T222" s="114">
        <f>H222*[0]!FMainPool1Fee+I222*[0]!FMainPool2Fee+J222*[0]!FMainPool3Fee+K222*[0]!FMainPool4Fee+B222*[0]!FMainEntryFee</f>
        <v>0</v>
      </c>
      <c r="U222" s="28"/>
      <c r="W222"/>
      <c r="X222" s="59"/>
      <c r="Y222" s="59"/>
    </row>
    <row r="223" spans="1:25" x14ac:dyDescent="0.25">
      <c r="A223" s="26">
        <f t="shared" si="25"/>
        <v>212</v>
      </c>
      <c r="B223" s="11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09">
        <f t="shared" si="28"/>
        <v>0</v>
      </c>
      <c r="P223" s="11"/>
      <c r="Q223" s="11"/>
      <c r="R223" s="113" t="str">
        <f t="shared" si="29"/>
        <v/>
      </c>
      <c r="S223" s="113" t="str">
        <f t="shared" si="30"/>
        <v/>
      </c>
      <c r="T223" s="114">
        <f>H223*[0]!FMainPool1Fee+I223*[0]!FMainPool2Fee+J223*[0]!FMainPool3Fee+K223*[0]!FMainPool4Fee+B223*[0]!FMainEntryFee</f>
        <v>0</v>
      </c>
      <c r="U223" s="28"/>
      <c r="W223"/>
      <c r="X223" s="59"/>
      <c r="Y223" s="59"/>
    </row>
    <row r="224" spans="1:25" x14ac:dyDescent="0.25">
      <c r="A224" s="26">
        <f t="shared" si="25"/>
        <v>213</v>
      </c>
      <c r="B224" s="11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09">
        <f t="shared" si="28"/>
        <v>0</v>
      </c>
      <c r="P224" s="11"/>
      <c r="Q224" s="11"/>
      <c r="R224" s="113" t="str">
        <f t="shared" si="29"/>
        <v/>
      </c>
      <c r="S224" s="113" t="str">
        <f t="shared" si="30"/>
        <v/>
      </c>
      <c r="T224" s="114">
        <f>H224*[0]!FMainPool1Fee+I224*[0]!FMainPool2Fee+J224*[0]!FMainPool3Fee+K224*[0]!FMainPool4Fee+B224*[0]!FMainEntryFee</f>
        <v>0</v>
      </c>
      <c r="U224" s="28"/>
      <c r="W224"/>
      <c r="X224" s="59"/>
      <c r="Y224" s="59"/>
    </row>
    <row r="225" spans="1:25" x14ac:dyDescent="0.25">
      <c r="A225" s="26">
        <f t="shared" si="25"/>
        <v>214</v>
      </c>
      <c r="B225" s="11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09">
        <f t="shared" si="28"/>
        <v>0</v>
      </c>
      <c r="P225" s="11"/>
      <c r="Q225" s="11"/>
      <c r="R225" s="113" t="str">
        <f t="shared" si="29"/>
        <v/>
      </c>
      <c r="S225" s="113" t="str">
        <f t="shared" si="30"/>
        <v/>
      </c>
      <c r="T225" s="114">
        <f>H225*[0]!FMainPool1Fee+I225*[0]!FMainPool2Fee+J225*[0]!FMainPool3Fee+K225*[0]!FMainPool4Fee+B225*[0]!FMainEntryFee</f>
        <v>0</v>
      </c>
      <c r="U225" s="28"/>
      <c r="W225"/>
      <c r="X225" s="59"/>
      <c r="Y225" s="59"/>
    </row>
    <row r="226" spans="1:25" x14ac:dyDescent="0.25">
      <c r="A226" s="26">
        <f t="shared" si="25"/>
        <v>215</v>
      </c>
      <c r="B226" s="11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09">
        <f t="shared" si="28"/>
        <v>0</v>
      </c>
      <c r="P226" s="11"/>
      <c r="Q226" s="11"/>
      <c r="R226" s="113" t="str">
        <f t="shared" si="29"/>
        <v/>
      </c>
      <c r="S226" s="113" t="str">
        <f t="shared" si="30"/>
        <v/>
      </c>
      <c r="T226" s="114">
        <f>H226*[0]!FMainPool1Fee+I226*[0]!FMainPool2Fee+J226*[0]!FMainPool3Fee+K226*[0]!FMainPool4Fee+B226*[0]!FMainEntryFee</f>
        <v>0</v>
      </c>
      <c r="U226" s="28"/>
      <c r="W226"/>
      <c r="X226" s="59"/>
      <c r="Y226" s="59"/>
    </row>
    <row r="227" spans="1:25" x14ac:dyDescent="0.25">
      <c r="A227" s="26">
        <f t="shared" si="25"/>
        <v>216</v>
      </c>
      <c r="B227" s="11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09">
        <f t="shared" si="28"/>
        <v>0</v>
      </c>
      <c r="P227" s="11"/>
      <c r="Q227" s="11"/>
      <c r="R227" s="113" t="str">
        <f t="shared" si="29"/>
        <v/>
      </c>
      <c r="S227" s="113" t="str">
        <f t="shared" si="30"/>
        <v/>
      </c>
      <c r="T227" s="114">
        <f>H227*[0]!FMainPool1Fee+I227*[0]!FMainPool2Fee+J227*[0]!FMainPool3Fee+K227*[0]!FMainPool4Fee+B227*[0]!FMainEntryFee</f>
        <v>0</v>
      </c>
      <c r="U227" s="28"/>
      <c r="W227"/>
      <c r="X227" s="59"/>
      <c r="Y227" s="59"/>
    </row>
    <row r="228" spans="1:25" x14ac:dyDescent="0.25">
      <c r="A228" s="26">
        <f t="shared" si="25"/>
        <v>217</v>
      </c>
      <c r="B228" s="11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09">
        <f t="shared" si="28"/>
        <v>0</v>
      </c>
      <c r="P228" s="11"/>
      <c r="Q228" s="11"/>
      <c r="R228" s="113" t="str">
        <f t="shared" si="29"/>
        <v/>
      </c>
      <c r="S228" s="113" t="str">
        <f t="shared" si="30"/>
        <v/>
      </c>
      <c r="T228" s="114">
        <f>H228*[0]!FMainPool1Fee+I228*[0]!FMainPool2Fee+J228*[0]!FMainPool3Fee+K228*[0]!FMainPool4Fee+B228*[0]!FMainEntryFee</f>
        <v>0</v>
      </c>
      <c r="U228" s="28"/>
      <c r="W228"/>
      <c r="X228" s="59"/>
      <c r="Y228" s="59"/>
    </row>
    <row r="229" spans="1:25" x14ac:dyDescent="0.25">
      <c r="A229" s="26">
        <f t="shared" si="25"/>
        <v>218</v>
      </c>
      <c r="B229" s="11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09">
        <f t="shared" si="28"/>
        <v>0</v>
      </c>
      <c r="P229" s="11"/>
      <c r="Q229" s="11"/>
      <c r="R229" s="113" t="str">
        <f t="shared" si="29"/>
        <v/>
      </c>
      <c r="S229" s="113" t="str">
        <f t="shared" si="30"/>
        <v/>
      </c>
      <c r="T229" s="114">
        <f>H229*[0]!FMainPool1Fee+I229*[0]!FMainPool2Fee+J229*[0]!FMainPool3Fee+K229*[0]!FMainPool4Fee+B229*[0]!FMainEntryFee</f>
        <v>0</v>
      </c>
      <c r="U229" s="28"/>
      <c r="W229"/>
      <c r="X229" s="59"/>
      <c r="Y229" s="59"/>
    </row>
    <row r="230" spans="1:25" x14ac:dyDescent="0.25">
      <c r="A230" s="26">
        <f t="shared" si="25"/>
        <v>219</v>
      </c>
      <c r="B230" s="11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09">
        <f t="shared" si="28"/>
        <v>0</v>
      </c>
      <c r="P230" s="11"/>
      <c r="Q230" s="11"/>
      <c r="R230" s="113" t="str">
        <f t="shared" si="29"/>
        <v/>
      </c>
      <c r="S230" s="113" t="str">
        <f t="shared" si="30"/>
        <v/>
      </c>
      <c r="T230" s="114">
        <f>H230*[0]!FMainPool1Fee+I230*[0]!FMainPool2Fee+J230*[0]!FMainPool3Fee+K230*[0]!FMainPool4Fee+B230*[0]!FMainEntryFee</f>
        <v>0</v>
      </c>
      <c r="U230" s="28"/>
      <c r="W230"/>
      <c r="X230" s="59"/>
      <c r="Y230" s="59"/>
    </row>
    <row r="231" spans="1:25" x14ac:dyDescent="0.25">
      <c r="A231" s="26">
        <f t="shared" si="25"/>
        <v>220</v>
      </c>
      <c r="B231" s="11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09">
        <f t="shared" si="28"/>
        <v>0</v>
      </c>
      <c r="P231" s="11"/>
      <c r="Q231" s="11"/>
      <c r="R231" s="113" t="str">
        <f t="shared" si="29"/>
        <v/>
      </c>
      <c r="S231" s="113" t="str">
        <f t="shared" si="30"/>
        <v/>
      </c>
      <c r="T231" s="114">
        <f>H231*[0]!FMainPool1Fee+I231*[0]!FMainPool2Fee+J231*[0]!FMainPool3Fee+K231*[0]!FMainPool4Fee+B231*[0]!FMainEntryFee</f>
        <v>0</v>
      </c>
      <c r="U231" s="28"/>
      <c r="W231"/>
      <c r="X231" s="59"/>
      <c r="Y231" s="59"/>
    </row>
    <row r="232" spans="1:25" x14ac:dyDescent="0.25">
      <c r="A232" s="26">
        <f t="shared" si="25"/>
        <v>221</v>
      </c>
      <c r="B232" s="11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09">
        <f t="shared" si="28"/>
        <v>0</v>
      </c>
      <c r="P232" s="11"/>
      <c r="Q232" s="11"/>
      <c r="R232" s="113" t="str">
        <f t="shared" si="29"/>
        <v/>
      </c>
      <c r="S232" s="113" t="str">
        <f t="shared" si="30"/>
        <v/>
      </c>
      <c r="T232" s="114">
        <f>H232*[0]!FMainPool1Fee+I232*[0]!FMainPool2Fee+J232*[0]!FMainPool3Fee+K232*[0]!FMainPool4Fee+B232*[0]!FMainEntryFee</f>
        <v>0</v>
      </c>
      <c r="U232" s="28"/>
      <c r="W232"/>
      <c r="X232" s="59"/>
      <c r="Y232" s="59"/>
    </row>
    <row r="233" spans="1:25" x14ac:dyDescent="0.25">
      <c r="A233" s="26">
        <f t="shared" si="25"/>
        <v>222</v>
      </c>
      <c r="B233" s="11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09">
        <f t="shared" si="28"/>
        <v>0</v>
      </c>
      <c r="P233" s="11"/>
      <c r="Q233" s="11"/>
      <c r="R233" s="113" t="str">
        <f t="shared" si="29"/>
        <v/>
      </c>
      <c r="S233" s="113" t="str">
        <f t="shared" si="30"/>
        <v/>
      </c>
      <c r="T233" s="114">
        <f>H233*[0]!FMainPool1Fee+I233*[0]!FMainPool2Fee+J233*[0]!FMainPool3Fee+K233*[0]!FMainPool4Fee+B233*[0]!FMainEntryFee</f>
        <v>0</v>
      </c>
      <c r="U233" s="28"/>
      <c r="W233"/>
      <c r="X233" s="59"/>
      <c r="Y233" s="59"/>
    </row>
    <row r="234" spans="1:25" x14ac:dyDescent="0.25">
      <c r="A234" s="26">
        <f t="shared" si="25"/>
        <v>223</v>
      </c>
      <c r="B234" s="11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09">
        <f t="shared" si="28"/>
        <v>0</v>
      </c>
      <c r="P234" s="11"/>
      <c r="Q234" s="11"/>
      <c r="R234" s="113" t="str">
        <f t="shared" si="29"/>
        <v/>
      </c>
      <c r="S234" s="113" t="str">
        <f t="shared" si="30"/>
        <v/>
      </c>
      <c r="T234" s="114">
        <f>H234*[0]!FMainPool1Fee+I234*[0]!FMainPool2Fee+J234*[0]!FMainPool3Fee+K234*[0]!FMainPool4Fee+B234*[0]!FMainEntryFee</f>
        <v>0</v>
      </c>
      <c r="U234" s="28"/>
      <c r="W234"/>
      <c r="X234" s="59"/>
      <c r="Y234" s="59"/>
    </row>
    <row r="235" spans="1:25" x14ac:dyDescent="0.25">
      <c r="A235" s="26">
        <f t="shared" si="25"/>
        <v>224</v>
      </c>
      <c r="B235" s="11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09">
        <f t="shared" si="28"/>
        <v>0</v>
      </c>
      <c r="P235" s="11"/>
      <c r="Q235" s="11"/>
      <c r="R235" s="113" t="str">
        <f t="shared" si="29"/>
        <v/>
      </c>
      <c r="S235" s="113" t="str">
        <f t="shared" si="30"/>
        <v/>
      </c>
      <c r="T235" s="114">
        <f>H235*[0]!FMainPool1Fee+I235*[0]!FMainPool2Fee+J235*[0]!FMainPool3Fee+K235*[0]!FMainPool4Fee+B235*[0]!FMainEntryFee</f>
        <v>0</v>
      </c>
      <c r="U235" s="28"/>
      <c r="W235"/>
      <c r="X235" s="59"/>
      <c r="Y235" s="59"/>
    </row>
    <row r="236" spans="1:25" x14ac:dyDescent="0.25">
      <c r="A236" s="26">
        <f t="shared" si="25"/>
        <v>225</v>
      </c>
      <c r="B236" s="11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09">
        <f t="shared" si="28"/>
        <v>0</v>
      </c>
      <c r="P236" s="11"/>
      <c r="Q236" s="11"/>
      <c r="R236" s="113" t="str">
        <f t="shared" si="29"/>
        <v/>
      </c>
      <c r="S236" s="113" t="str">
        <f t="shared" si="30"/>
        <v/>
      </c>
      <c r="T236" s="114">
        <f>H236*[0]!FMainPool1Fee+I236*[0]!FMainPool2Fee+J236*[0]!FMainPool3Fee+K236*[0]!FMainPool4Fee+B236*[0]!FMainEntryFee</f>
        <v>0</v>
      </c>
      <c r="U236" s="28"/>
      <c r="W236"/>
      <c r="X236" s="59"/>
      <c r="Y236" s="59"/>
    </row>
    <row r="237" spans="1:25" x14ac:dyDescent="0.25">
      <c r="A237" s="26">
        <f t="shared" si="25"/>
        <v>226</v>
      </c>
      <c r="B237" s="11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09">
        <f t="shared" si="28"/>
        <v>0</v>
      </c>
      <c r="P237" s="11"/>
      <c r="Q237" s="11"/>
      <c r="R237" s="113" t="str">
        <f t="shared" si="29"/>
        <v/>
      </c>
      <c r="S237" s="113" t="str">
        <f t="shared" si="30"/>
        <v/>
      </c>
      <c r="T237" s="114">
        <f>H237*[0]!FMainPool1Fee+I237*[0]!FMainPool2Fee+J237*[0]!FMainPool3Fee+K237*[0]!FMainPool4Fee+B237*[0]!FMainEntryFee</f>
        <v>0</v>
      </c>
      <c r="U237" s="28"/>
      <c r="W237"/>
      <c r="X237" s="59"/>
      <c r="Y237" s="59"/>
    </row>
    <row r="238" spans="1:25" x14ac:dyDescent="0.25">
      <c r="A238" s="26">
        <f t="shared" si="25"/>
        <v>227</v>
      </c>
      <c r="B238" s="11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09">
        <f t="shared" si="28"/>
        <v>0</v>
      </c>
      <c r="P238" s="11"/>
      <c r="Q238" s="11"/>
      <c r="R238" s="113" t="str">
        <f t="shared" si="29"/>
        <v/>
      </c>
      <c r="S238" s="113" t="str">
        <f t="shared" si="30"/>
        <v/>
      </c>
      <c r="T238" s="114">
        <f>H238*[0]!FMainPool1Fee+I238*[0]!FMainPool2Fee+J238*[0]!FMainPool3Fee+K238*[0]!FMainPool4Fee+B238*[0]!FMainEntryFee</f>
        <v>0</v>
      </c>
      <c r="U238" s="28"/>
      <c r="W238"/>
      <c r="X238" s="59"/>
      <c r="Y238" s="59"/>
    </row>
    <row r="239" spans="1:25" x14ac:dyDescent="0.25">
      <c r="A239" s="26">
        <f t="shared" si="25"/>
        <v>228</v>
      </c>
      <c r="B239" s="11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09">
        <f t="shared" si="28"/>
        <v>0</v>
      </c>
      <c r="P239" s="11"/>
      <c r="Q239" s="11"/>
      <c r="R239" s="113" t="str">
        <f t="shared" si="29"/>
        <v/>
      </c>
      <c r="S239" s="113" t="str">
        <f t="shared" si="30"/>
        <v/>
      </c>
      <c r="T239" s="114">
        <f>H239*[0]!FMainPool1Fee+I239*[0]!FMainPool2Fee+J239*[0]!FMainPool3Fee+K239*[0]!FMainPool4Fee+B239*[0]!FMainEntryFee</f>
        <v>0</v>
      </c>
      <c r="U239" s="28"/>
      <c r="W239"/>
      <c r="X239" s="59"/>
      <c r="Y239" s="59"/>
    </row>
    <row r="240" spans="1:25" x14ac:dyDescent="0.25">
      <c r="A240" s="26">
        <f t="shared" si="25"/>
        <v>229</v>
      </c>
      <c r="B240" s="11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09">
        <f t="shared" si="28"/>
        <v>0</v>
      </c>
      <c r="P240" s="11"/>
      <c r="Q240" s="11"/>
      <c r="R240" s="113" t="str">
        <f t="shared" si="29"/>
        <v/>
      </c>
      <c r="S240" s="113" t="str">
        <f t="shared" si="30"/>
        <v/>
      </c>
      <c r="T240" s="114">
        <f>H240*[0]!FMainPool1Fee+I240*[0]!FMainPool2Fee+J240*[0]!FMainPool3Fee+K240*[0]!FMainPool4Fee+B240*[0]!FMainEntryFee</f>
        <v>0</v>
      </c>
      <c r="U240" s="28"/>
      <c r="W240"/>
      <c r="X240" s="59"/>
      <c r="Y240" s="59"/>
    </row>
    <row r="241" spans="1:25" x14ac:dyDescent="0.25">
      <c r="A241" s="26">
        <f t="shared" si="25"/>
        <v>230</v>
      </c>
      <c r="B241" s="11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09">
        <f t="shared" si="28"/>
        <v>0</v>
      </c>
      <c r="P241" s="11"/>
      <c r="Q241" s="11"/>
      <c r="R241" s="113" t="str">
        <f t="shared" si="29"/>
        <v/>
      </c>
      <c r="S241" s="113" t="str">
        <f t="shared" si="30"/>
        <v/>
      </c>
      <c r="T241" s="114">
        <f>H241*[0]!FMainPool1Fee+I241*[0]!FMainPool2Fee+J241*[0]!FMainPool3Fee+K241*[0]!FMainPool4Fee+B241*[0]!FMainEntryFee</f>
        <v>0</v>
      </c>
      <c r="U241" s="28"/>
      <c r="W241"/>
      <c r="X241" s="59"/>
      <c r="Y241" s="59"/>
    </row>
    <row r="242" spans="1:25" x14ac:dyDescent="0.25">
      <c r="A242" s="26">
        <f t="shared" si="25"/>
        <v>231</v>
      </c>
      <c r="B242" s="11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09">
        <f t="shared" si="28"/>
        <v>0</v>
      </c>
      <c r="P242" s="11"/>
      <c r="Q242" s="11"/>
      <c r="R242" s="113" t="str">
        <f t="shared" si="29"/>
        <v/>
      </c>
      <c r="S242" s="113" t="str">
        <f t="shared" si="30"/>
        <v/>
      </c>
      <c r="T242" s="114">
        <f>H242*[0]!FMainPool1Fee+I242*[0]!FMainPool2Fee+J242*[0]!FMainPool3Fee+K242*[0]!FMainPool4Fee+B242*[0]!FMainEntryFee</f>
        <v>0</v>
      </c>
      <c r="U242" s="28"/>
      <c r="W242"/>
      <c r="X242" s="59"/>
      <c r="Y242" s="59"/>
    </row>
    <row r="243" spans="1:25" x14ac:dyDescent="0.25">
      <c r="A243" s="26">
        <f t="shared" si="25"/>
        <v>232</v>
      </c>
      <c r="B243" s="11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09">
        <f t="shared" si="28"/>
        <v>0</v>
      </c>
      <c r="P243" s="11"/>
      <c r="Q243" s="11"/>
      <c r="R243" s="113" t="str">
        <f t="shared" si="29"/>
        <v/>
      </c>
      <c r="S243" s="113" t="str">
        <f t="shared" si="30"/>
        <v/>
      </c>
      <c r="T243" s="114">
        <f>H243*[0]!FMainPool1Fee+I243*[0]!FMainPool2Fee+J243*[0]!FMainPool3Fee+K243*[0]!FMainPool4Fee+B243*[0]!FMainEntryFee</f>
        <v>0</v>
      </c>
      <c r="U243" s="28"/>
      <c r="W243"/>
      <c r="X243" s="59"/>
      <c r="Y243" s="59"/>
    </row>
    <row r="244" spans="1:25" x14ac:dyDescent="0.25">
      <c r="A244" s="26">
        <f t="shared" si="25"/>
        <v>233</v>
      </c>
      <c r="B244" s="11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09">
        <f t="shared" si="28"/>
        <v>0</v>
      </c>
      <c r="P244" s="11"/>
      <c r="Q244" s="11"/>
      <c r="R244" s="113" t="str">
        <f t="shared" si="29"/>
        <v/>
      </c>
      <c r="S244" s="113" t="str">
        <f t="shared" si="30"/>
        <v/>
      </c>
      <c r="T244" s="114">
        <f>H244*[0]!FMainPool1Fee+I244*[0]!FMainPool2Fee+J244*[0]!FMainPool3Fee+K244*[0]!FMainPool4Fee+B244*[0]!FMainEntryFee</f>
        <v>0</v>
      </c>
      <c r="U244" s="28"/>
      <c r="W244"/>
      <c r="X244" s="59"/>
      <c r="Y244" s="59"/>
    </row>
    <row r="245" spans="1:25" x14ac:dyDescent="0.25">
      <c r="A245" s="26">
        <f t="shared" si="25"/>
        <v>234</v>
      </c>
      <c r="B245" s="11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09">
        <f t="shared" si="28"/>
        <v>0</v>
      </c>
      <c r="P245" s="11"/>
      <c r="Q245" s="11"/>
      <c r="R245" s="113" t="str">
        <f t="shared" si="29"/>
        <v/>
      </c>
      <c r="S245" s="113" t="str">
        <f t="shared" si="30"/>
        <v/>
      </c>
      <c r="T245" s="114">
        <f>H245*[0]!FMainPool1Fee+I245*[0]!FMainPool2Fee+J245*[0]!FMainPool3Fee+K245*[0]!FMainPool4Fee+B245*[0]!FMainEntryFee</f>
        <v>0</v>
      </c>
      <c r="U245" s="28"/>
      <c r="W245"/>
      <c r="X245" s="59"/>
      <c r="Y245" s="59"/>
    </row>
    <row r="246" spans="1:25" x14ac:dyDescent="0.25">
      <c r="A246" s="26">
        <f t="shared" si="25"/>
        <v>235</v>
      </c>
      <c r="B246" s="11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09">
        <f t="shared" si="28"/>
        <v>0</v>
      </c>
      <c r="P246" s="11"/>
      <c r="Q246" s="11"/>
      <c r="R246" s="113" t="str">
        <f t="shared" si="29"/>
        <v/>
      </c>
      <c r="S246" s="113" t="str">
        <f t="shared" si="30"/>
        <v/>
      </c>
      <c r="T246" s="114">
        <f>H246*[0]!FMainPool1Fee+I246*[0]!FMainPool2Fee+J246*[0]!FMainPool3Fee+K246*[0]!FMainPool4Fee+B246*[0]!FMainEntryFee</f>
        <v>0</v>
      </c>
      <c r="U246" s="28"/>
      <c r="W246"/>
      <c r="X246" s="59"/>
      <c r="Y246" s="59"/>
    </row>
    <row r="247" spans="1:25" x14ac:dyDescent="0.25">
      <c r="A247" s="26">
        <f t="shared" si="25"/>
        <v>236</v>
      </c>
      <c r="B247" s="11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09">
        <f t="shared" si="28"/>
        <v>0</v>
      </c>
      <c r="P247" s="11"/>
      <c r="Q247" s="11"/>
      <c r="R247" s="113" t="str">
        <f t="shared" si="29"/>
        <v/>
      </c>
      <c r="S247" s="113" t="str">
        <f t="shared" si="30"/>
        <v/>
      </c>
      <c r="T247" s="114">
        <f>H247*[0]!FMainPool1Fee+I247*[0]!FMainPool2Fee+J247*[0]!FMainPool3Fee+K247*[0]!FMainPool4Fee+B247*[0]!FMainEntryFee</f>
        <v>0</v>
      </c>
      <c r="U247" s="28"/>
      <c r="W247"/>
      <c r="X247" s="59"/>
      <c r="Y247" s="59"/>
    </row>
    <row r="248" spans="1:25" x14ac:dyDescent="0.25">
      <c r="A248" s="26">
        <f t="shared" si="25"/>
        <v>237</v>
      </c>
      <c r="B248" s="11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09">
        <f t="shared" si="28"/>
        <v>0</v>
      </c>
      <c r="P248" s="11"/>
      <c r="Q248" s="11"/>
      <c r="R248" s="113" t="str">
        <f t="shared" si="29"/>
        <v/>
      </c>
      <c r="S248" s="113" t="str">
        <f t="shared" si="30"/>
        <v/>
      </c>
      <c r="T248" s="114">
        <f>H248*[0]!FMainPool1Fee+I248*[0]!FMainPool2Fee+J248*[0]!FMainPool3Fee+K248*[0]!FMainPool4Fee+B248*[0]!FMainEntryFee</f>
        <v>0</v>
      </c>
      <c r="U248" s="28"/>
      <c r="W248"/>
      <c r="X248" s="59"/>
      <c r="Y248" s="59"/>
    </row>
    <row r="249" spans="1:25" x14ac:dyDescent="0.25">
      <c r="A249" s="26">
        <f t="shared" si="25"/>
        <v>238</v>
      </c>
      <c r="B249" s="11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09">
        <f t="shared" si="28"/>
        <v>0</v>
      </c>
      <c r="P249" s="11"/>
      <c r="Q249" s="11"/>
      <c r="R249" s="113" t="str">
        <f t="shared" si="29"/>
        <v/>
      </c>
      <c r="S249" s="113" t="str">
        <f t="shared" si="30"/>
        <v/>
      </c>
      <c r="T249" s="114">
        <f>H249*[0]!FMainPool1Fee+I249*[0]!FMainPool2Fee+J249*[0]!FMainPool3Fee+K249*[0]!FMainPool4Fee+B249*[0]!FMainEntryFee</f>
        <v>0</v>
      </c>
      <c r="U249" s="28"/>
      <c r="W249"/>
      <c r="X249" s="59"/>
      <c r="Y249" s="59"/>
    </row>
    <row r="250" spans="1:25" x14ac:dyDescent="0.25">
      <c r="A250" s="26">
        <f t="shared" si="25"/>
        <v>239</v>
      </c>
      <c r="B250" s="11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09">
        <f t="shared" si="28"/>
        <v>0</v>
      </c>
      <c r="P250" s="11"/>
      <c r="Q250" s="11"/>
      <c r="R250" s="113" t="str">
        <f t="shared" si="29"/>
        <v/>
      </c>
      <c r="S250" s="113" t="str">
        <f t="shared" si="30"/>
        <v/>
      </c>
      <c r="T250" s="114">
        <f>H250*[0]!FMainPool1Fee+I250*[0]!FMainPool2Fee+J250*[0]!FMainPool3Fee+K250*[0]!FMainPool4Fee+B250*[0]!FMainEntryFee</f>
        <v>0</v>
      </c>
      <c r="U250" s="28"/>
      <c r="W250"/>
      <c r="X250" s="59"/>
      <c r="Y250" s="59"/>
    </row>
    <row r="251" spans="1:25" x14ac:dyDescent="0.25">
      <c r="A251" s="26">
        <f t="shared" si="25"/>
        <v>240</v>
      </c>
      <c r="B251" s="11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09">
        <f t="shared" si="28"/>
        <v>0</v>
      </c>
      <c r="P251" s="11"/>
      <c r="Q251" s="11"/>
      <c r="R251" s="113" t="str">
        <f t="shared" si="29"/>
        <v/>
      </c>
      <c r="S251" s="113" t="str">
        <f t="shared" si="30"/>
        <v/>
      </c>
      <c r="T251" s="114">
        <f>H251*[0]!FMainPool1Fee+I251*[0]!FMainPool2Fee+J251*[0]!FMainPool3Fee+K251*[0]!FMainPool4Fee+B251*[0]!FMainEntryFee</f>
        <v>0</v>
      </c>
      <c r="U251" s="28"/>
      <c r="W251"/>
      <c r="X251" s="59"/>
      <c r="Y251" s="59"/>
    </row>
    <row r="252" spans="1:25" x14ac:dyDescent="0.25">
      <c r="A252" s="26">
        <f t="shared" si="25"/>
        <v>241</v>
      </c>
      <c r="B252" s="11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09">
        <f t="shared" si="28"/>
        <v>0</v>
      </c>
      <c r="P252" s="11"/>
      <c r="Q252" s="11"/>
      <c r="R252" s="113" t="str">
        <f t="shared" si="29"/>
        <v/>
      </c>
      <c r="S252" s="113" t="str">
        <f t="shared" si="30"/>
        <v/>
      </c>
      <c r="T252" s="114">
        <f>H252*[0]!FMainPool1Fee+I252*[0]!FMainPool2Fee+J252*[0]!FMainPool3Fee+K252*[0]!FMainPool4Fee+B252*[0]!FMainEntryFee</f>
        <v>0</v>
      </c>
      <c r="U252" s="28"/>
      <c r="W252"/>
      <c r="X252" s="59"/>
      <c r="Y252" s="59"/>
    </row>
    <row r="253" spans="1:25" x14ac:dyDescent="0.25">
      <c r="A253" s="26">
        <f t="shared" si="25"/>
        <v>242</v>
      </c>
      <c r="B253" s="11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09">
        <f t="shared" si="28"/>
        <v>0</v>
      </c>
      <c r="P253" s="11"/>
      <c r="Q253" s="11"/>
      <c r="R253" s="113" t="str">
        <f t="shared" si="29"/>
        <v/>
      </c>
      <c r="S253" s="113" t="str">
        <f t="shared" si="30"/>
        <v/>
      </c>
      <c r="T253" s="114">
        <f>H253*[0]!FMainPool1Fee+I253*[0]!FMainPool2Fee+J253*[0]!FMainPool3Fee+K253*[0]!FMainPool4Fee+B253*[0]!FMainEntryFee</f>
        <v>0</v>
      </c>
      <c r="U253" s="28"/>
      <c r="W253"/>
      <c r="X253" s="59"/>
      <c r="Y253" s="59"/>
    </row>
    <row r="254" spans="1:25" x14ac:dyDescent="0.25">
      <c r="A254" s="26">
        <f t="shared" si="25"/>
        <v>243</v>
      </c>
      <c r="B254" s="11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09">
        <f t="shared" si="28"/>
        <v>0</v>
      </c>
      <c r="P254" s="11"/>
      <c r="Q254" s="11"/>
      <c r="R254" s="113" t="str">
        <f t="shared" si="29"/>
        <v/>
      </c>
      <c r="S254" s="113" t="str">
        <f t="shared" si="30"/>
        <v/>
      </c>
      <c r="T254" s="114">
        <f>H254*[0]!FMainPool1Fee+I254*[0]!FMainPool2Fee+J254*[0]!FMainPool3Fee+K254*[0]!FMainPool4Fee+B254*[0]!FMainEntryFee</f>
        <v>0</v>
      </c>
      <c r="U254" s="28"/>
      <c r="W254"/>
      <c r="X254" s="59"/>
      <c r="Y254" s="59"/>
    </row>
    <row r="255" spans="1:25" x14ac:dyDescent="0.25">
      <c r="A255" s="26">
        <f t="shared" si="25"/>
        <v>244</v>
      </c>
      <c r="B255" s="11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09">
        <f t="shared" si="28"/>
        <v>0</v>
      </c>
      <c r="P255" s="11"/>
      <c r="Q255" s="11"/>
      <c r="R255" s="113" t="str">
        <f t="shared" si="29"/>
        <v/>
      </c>
      <c r="S255" s="113" t="str">
        <f t="shared" si="30"/>
        <v/>
      </c>
      <c r="T255" s="114">
        <f>H255*[0]!FMainPool1Fee+I255*[0]!FMainPool2Fee+J255*[0]!FMainPool3Fee+K255*[0]!FMainPool4Fee+B255*[0]!FMainEntryFee</f>
        <v>0</v>
      </c>
      <c r="U255" s="28"/>
      <c r="W255"/>
      <c r="X255" s="59"/>
      <c r="Y255" s="59"/>
    </row>
    <row r="256" spans="1:25" x14ac:dyDescent="0.25">
      <c r="A256" s="26">
        <f t="shared" si="25"/>
        <v>245</v>
      </c>
      <c r="B256" s="11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09">
        <f t="shared" si="28"/>
        <v>0</v>
      </c>
      <c r="P256" s="11"/>
      <c r="Q256" s="11"/>
      <c r="R256" s="113" t="str">
        <f t="shared" si="29"/>
        <v/>
      </c>
      <c r="S256" s="113" t="str">
        <f t="shared" si="30"/>
        <v/>
      </c>
      <c r="T256" s="114">
        <f>H256*[0]!FMainPool1Fee+I256*[0]!FMainPool2Fee+J256*[0]!FMainPool3Fee+K256*[0]!FMainPool4Fee+B256*[0]!FMainEntryFee</f>
        <v>0</v>
      </c>
      <c r="U256" s="28"/>
      <c r="W256"/>
      <c r="X256" s="59"/>
      <c r="Y256" s="59"/>
    </row>
    <row r="257" spans="1:25" x14ac:dyDescent="0.25">
      <c r="A257" s="26">
        <f t="shared" si="25"/>
        <v>246</v>
      </c>
      <c r="B257" s="11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09">
        <f t="shared" si="28"/>
        <v>0</v>
      </c>
      <c r="P257" s="11"/>
      <c r="Q257" s="11"/>
      <c r="R257" s="113" t="str">
        <f t="shared" si="29"/>
        <v/>
      </c>
      <c r="S257" s="113" t="str">
        <f t="shared" si="30"/>
        <v/>
      </c>
      <c r="T257" s="114">
        <f>H257*[0]!FMainPool1Fee+I257*[0]!FMainPool2Fee+J257*[0]!FMainPool3Fee+K257*[0]!FMainPool4Fee+B257*[0]!FMainEntryFee</f>
        <v>0</v>
      </c>
      <c r="U257" s="28"/>
      <c r="W257"/>
      <c r="X257" s="59"/>
      <c r="Y257" s="59"/>
    </row>
    <row r="258" spans="1:25" x14ac:dyDescent="0.25">
      <c r="A258" s="26">
        <f t="shared" si="25"/>
        <v>247</v>
      </c>
      <c r="B258" s="11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09">
        <f t="shared" si="28"/>
        <v>0</v>
      </c>
      <c r="P258" s="11"/>
      <c r="Q258" s="11"/>
      <c r="R258" s="113" t="str">
        <f t="shared" si="29"/>
        <v/>
      </c>
      <c r="S258" s="113" t="str">
        <f t="shared" si="30"/>
        <v/>
      </c>
      <c r="T258" s="114">
        <f>H258*[0]!FMainPool1Fee+I258*[0]!FMainPool2Fee+J258*[0]!FMainPool3Fee+K258*[0]!FMainPool4Fee+B258*[0]!FMainEntryFee</f>
        <v>0</v>
      </c>
      <c r="U258" s="28"/>
      <c r="W258"/>
      <c r="X258" s="59"/>
      <c r="Y258" s="59"/>
    </row>
    <row r="259" spans="1:25" x14ac:dyDescent="0.25">
      <c r="A259" s="26">
        <f t="shared" si="25"/>
        <v>248</v>
      </c>
      <c r="B259" s="11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09">
        <f t="shared" si="28"/>
        <v>0</v>
      </c>
      <c r="P259" s="11"/>
      <c r="Q259" s="11"/>
      <c r="R259" s="113" t="str">
        <f t="shared" si="29"/>
        <v/>
      </c>
      <c r="S259" s="113" t="str">
        <f t="shared" si="30"/>
        <v/>
      </c>
      <c r="T259" s="114">
        <f>H259*[0]!FMainPool1Fee+I259*[0]!FMainPool2Fee+J259*[0]!FMainPool3Fee+K259*[0]!FMainPool4Fee+B259*[0]!FMainEntryFee</f>
        <v>0</v>
      </c>
      <c r="U259" s="28"/>
      <c r="W259"/>
      <c r="X259" s="59"/>
      <c r="Y259" s="59"/>
    </row>
    <row r="260" spans="1:25" x14ac:dyDescent="0.25">
      <c r="A260" s="26">
        <f t="shared" si="25"/>
        <v>249</v>
      </c>
      <c r="B260" s="11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09">
        <f t="shared" si="28"/>
        <v>0</v>
      </c>
      <c r="P260" s="11"/>
      <c r="Q260" s="11"/>
      <c r="R260" s="113" t="str">
        <f t="shared" si="29"/>
        <v/>
      </c>
      <c r="S260" s="113" t="str">
        <f t="shared" si="30"/>
        <v/>
      </c>
      <c r="T260" s="114">
        <f>H260*[0]!FMainPool1Fee+I260*[0]!FMainPool2Fee+J260*[0]!FMainPool3Fee+K260*[0]!FMainPool4Fee+B260*[0]!FMainEntryFee</f>
        <v>0</v>
      </c>
      <c r="U260" s="28"/>
      <c r="W260"/>
      <c r="X260" s="59"/>
      <c r="Y260" s="59"/>
    </row>
    <row r="261" spans="1:25" x14ac:dyDescent="0.25">
      <c r="A261" s="26">
        <f t="shared" si="25"/>
        <v>250</v>
      </c>
      <c r="B261" s="11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09">
        <f t="shared" si="28"/>
        <v>0</v>
      </c>
      <c r="P261" s="11"/>
      <c r="Q261" s="11"/>
      <c r="R261" s="113" t="str">
        <f t="shared" si="29"/>
        <v/>
      </c>
      <c r="S261" s="113" t="str">
        <f t="shared" si="30"/>
        <v/>
      </c>
      <c r="T261" s="114">
        <f>H261*[0]!FMainPool1Fee+I261*[0]!FMainPool2Fee+J261*[0]!FMainPool3Fee+K261*[0]!FMainPool4Fee+B261*[0]!FMainEntryFee</f>
        <v>0</v>
      </c>
      <c r="U261" s="28"/>
      <c r="W261"/>
      <c r="X261" s="59"/>
      <c r="Y261" s="59"/>
    </row>
    <row r="262" spans="1:25" x14ac:dyDescent="0.25">
      <c r="A262" s="26">
        <f t="shared" si="25"/>
        <v>251</v>
      </c>
      <c r="B262" s="11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09">
        <f t="shared" si="28"/>
        <v>0</v>
      </c>
      <c r="P262" s="11"/>
      <c r="Q262" s="11"/>
      <c r="R262" s="113" t="str">
        <f t="shared" si="29"/>
        <v/>
      </c>
      <c r="S262" s="113" t="str">
        <f t="shared" si="30"/>
        <v/>
      </c>
      <c r="T262" s="114">
        <f>H262*[0]!FMainPool1Fee+I262*[0]!FMainPool2Fee+J262*[0]!FMainPool3Fee+K262*[0]!FMainPool4Fee+B262*[0]!FMainEntryFee</f>
        <v>0</v>
      </c>
      <c r="U262" s="28"/>
      <c r="W262"/>
      <c r="X262" s="59"/>
      <c r="Y262" s="59"/>
    </row>
    <row r="263" spans="1:25" x14ac:dyDescent="0.25">
      <c r="A263" s="26">
        <f t="shared" si="25"/>
        <v>252</v>
      </c>
      <c r="B263" s="11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09">
        <f t="shared" si="28"/>
        <v>0</v>
      </c>
      <c r="P263" s="11"/>
      <c r="Q263" s="11"/>
      <c r="R263" s="113" t="str">
        <f t="shared" si="29"/>
        <v/>
      </c>
      <c r="S263" s="113" t="str">
        <f t="shared" si="30"/>
        <v/>
      </c>
      <c r="T263" s="114">
        <f>H263*[0]!FMainPool1Fee+I263*[0]!FMainPool2Fee+J263*[0]!FMainPool3Fee+K263*[0]!FMainPool4Fee+B263*[0]!FMainEntryFee</f>
        <v>0</v>
      </c>
      <c r="U263" s="28"/>
      <c r="W263"/>
      <c r="X263" s="59"/>
      <c r="Y263" s="59"/>
    </row>
    <row r="264" spans="1:25" x14ac:dyDescent="0.25">
      <c r="A264" s="26">
        <f t="shared" si="25"/>
        <v>253</v>
      </c>
      <c r="B264" s="11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09">
        <f t="shared" si="28"/>
        <v>0</v>
      </c>
      <c r="P264" s="11"/>
      <c r="Q264" s="11"/>
      <c r="R264" s="113" t="str">
        <f t="shared" si="29"/>
        <v/>
      </c>
      <c r="S264" s="113" t="str">
        <f t="shared" si="30"/>
        <v/>
      </c>
      <c r="T264" s="114">
        <f>H264*[0]!FMainPool1Fee+I264*[0]!FMainPool2Fee+J264*[0]!FMainPool3Fee+K264*[0]!FMainPool4Fee+B264*[0]!FMainEntryFee</f>
        <v>0</v>
      </c>
      <c r="U264" s="28"/>
      <c r="W264"/>
      <c r="X264" s="59"/>
      <c r="Y264" s="59"/>
    </row>
    <row r="265" spans="1:25" x14ac:dyDescent="0.25">
      <c r="A265" s="26">
        <f t="shared" si="25"/>
        <v>254</v>
      </c>
      <c r="B265" s="11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09">
        <f t="shared" si="28"/>
        <v>0</v>
      </c>
      <c r="P265" s="11"/>
      <c r="Q265" s="11"/>
      <c r="R265" s="113" t="str">
        <f t="shared" si="29"/>
        <v/>
      </c>
      <c r="S265" s="113" t="str">
        <f t="shared" si="30"/>
        <v/>
      </c>
      <c r="T265" s="114">
        <f>H265*[0]!FMainPool1Fee+I265*[0]!FMainPool2Fee+J265*[0]!FMainPool3Fee+K265*[0]!FMainPool4Fee+B265*[0]!FMainEntryFee</f>
        <v>0</v>
      </c>
      <c r="U265" s="28"/>
      <c r="W265"/>
      <c r="X265" s="59"/>
      <c r="Y265" s="59"/>
    </row>
    <row r="266" spans="1:25" x14ac:dyDescent="0.25">
      <c r="A266" s="26">
        <f t="shared" ref="A266:A329" si="31">ROW() - ROW(FRegEntriesEnteredHdr)</f>
        <v>255</v>
      </c>
      <c r="B266" s="11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09">
        <f t="shared" si="28"/>
        <v>0</v>
      </c>
      <c r="P266" s="11"/>
      <c r="Q266" s="11"/>
      <c r="R266" s="113" t="str">
        <f t="shared" si="29"/>
        <v/>
      </c>
      <c r="S266" s="113" t="str">
        <f t="shared" si="30"/>
        <v/>
      </c>
      <c r="T266" s="114">
        <f>H266*[0]!FMainPool1Fee+I266*[0]!FMainPool2Fee+J266*[0]!FMainPool3Fee+K266*[0]!FMainPool4Fee+B266*[0]!FMainEntryFee</f>
        <v>0</v>
      </c>
      <c r="U266" s="28"/>
      <c r="W266"/>
      <c r="X266" s="59"/>
      <c r="Y266" s="59"/>
    </row>
    <row r="267" spans="1:25" x14ac:dyDescent="0.25">
      <c r="A267" s="26">
        <f t="shared" si="31"/>
        <v>256</v>
      </c>
      <c r="B267" s="11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09">
        <f t="shared" ref="O267:O330" si="32">T267*N267</f>
        <v>0</v>
      </c>
      <c r="P267" s="11"/>
      <c r="Q267" s="11"/>
      <c r="R267" s="113" t="str">
        <f t="shared" ref="R267:R311" si="33">IF(OR(P267="c",P267="C"),+T267,"")</f>
        <v/>
      </c>
      <c r="S267" s="113" t="str">
        <f t="shared" ref="S267:S311" si="34">IF(OR(P267="$",N267=1),+T267,"")</f>
        <v/>
      </c>
      <c r="T267" s="114">
        <f>H267*[0]!FMainPool1Fee+I267*[0]!FMainPool2Fee+J267*[0]!FMainPool3Fee+K267*[0]!FMainPool4Fee+B267*[0]!FMainEntryFee</f>
        <v>0</v>
      </c>
      <c r="U267" s="28"/>
      <c r="W267"/>
      <c r="X267" s="59"/>
      <c r="Y267" s="59"/>
    </row>
    <row r="268" spans="1:25" x14ac:dyDescent="0.25">
      <c r="A268" s="26">
        <f t="shared" si="31"/>
        <v>257</v>
      </c>
      <c r="B268" s="11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09">
        <f t="shared" si="32"/>
        <v>0</v>
      </c>
      <c r="P268" s="11"/>
      <c r="Q268" s="11"/>
      <c r="R268" s="113" t="str">
        <f t="shared" si="33"/>
        <v/>
      </c>
      <c r="S268" s="113" t="str">
        <f t="shared" si="34"/>
        <v/>
      </c>
      <c r="T268" s="114">
        <f>H268*[0]!FMainPool1Fee+I268*[0]!FMainPool2Fee+J268*[0]!FMainPool3Fee+K268*[0]!FMainPool4Fee+B268*[0]!FMainEntryFee</f>
        <v>0</v>
      </c>
      <c r="U268" s="28"/>
      <c r="W268"/>
      <c r="X268" s="59"/>
      <c r="Y268" s="59"/>
    </row>
    <row r="269" spans="1:25" x14ac:dyDescent="0.25">
      <c r="A269" s="26">
        <f t="shared" si="31"/>
        <v>258</v>
      </c>
      <c r="B269" s="11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09">
        <f t="shared" si="32"/>
        <v>0</v>
      </c>
      <c r="P269" s="11"/>
      <c r="Q269" s="11"/>
      <c r="R269" s="113" t="str">
        <f t="shared" si="33"/>
        <v/>
      </c>
      <c r="S269" s="113" t="str">
        <f t="shared" si="34"/>
        <v/>
      </c>
      <c r="T269" s="114">
        <f>H269*[0]!FMainPool1Fee+I269*[0]!FMainPool2Fee+J269*[0]!FMainPool3Fee+K269*[0]!FMainPool4Fee+B269*[0]!FMainEntryFee</f>
        <v>0</v>
      </c>
      <c r="U269" s="28"/>
      <c r="W269"/>
      <c r="X269" s="59"/>
      <c r="Y269" s="59"/>
    </row>
    <row r="270" spans="1:25" x14ac:dyDescent="0.25">
      <c r="A270" s="26">
        <f t="shared" si="31"/>
        <v>259</v>
      </c>
      <c r="B270" s="11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09">
        <f t="shared" si="32"/>
        <v>0</v>
      </c>
      <c r="P270" s="11"/>
      <c r="Q270" s="11"/>
      <c r="R270" s="113" t="str">
        <f t="shared" si="33"/>
        <v/>
      </c>
      <c r="S270" s="113" t="str">
        <f t="shared" si="34"/>
        <v/>
      </c>
      <c r="T270" s="114">
        <f>H270*[0]!FMainPool1Fee+I270*[0]!FMainPool2Fee+J270*[0]!FMainPool3Fee+K270*[0]!FMainPool4Fee+B270*[0]!FMainEntryFee</f>
        <v>0</v>
      </c>
      <c r="U270" s="28"/>
      <c r="W270"/>
      <c r="X270" s="59"/>
      <c r="Y270" s="59"/>
    </row>
    <row r="271" spans="1:25" x14ac:dyDescent="0.25">
      <c r="A271" s="26">
        <f t="shared" si="31"/>
        <v>260</v>
      </c>
      <c r="B271" s="11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09">
        <f t="shared" si="32"/>
        <v>0</v>
      </c>
      <c r="P271" s="11"/>
      <c r="Q271" s="11"/>
      <c r="R271" s="113" t="str">
        <f t="shared" si="33"/>
        <v/>
      </c>
      <c r="S271" s="113" t="str">
        <f t="shared" si="34"/>
        <v/>
      </c>
      <c r="T271" s="114">
        <f>H271*[0]!FMainPool1Fee+I271*[0]!FMainPool2Fee+J271*[0]!FMainPool3Fee+K271*[0]!FMainPool4Fee+B271*[0]!FMainEntryFee</f>
        <v>0</v>
      </c>
      <c r="U271" s="28"/>
      <c r="W271"/>
      <c r="X271" s="59"/>
      <c r="Y271" s="59"/>
    </row>
    <row r="272" spans="1:25" x14ac:dyDescent="0.25">
      <c r="A272" s="26">
        <f t="shared" si="31"/>
        <v>261</v>
      </c>
      <c r="B272" s="11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09">
        <f t="shared" si="32"/>
        <v>0</v>
      </c>
      <c r="P272" s="11"/>
      <c r="Q272" s="11"/>
      <c r="R272" s="113" t="str">
        <f t="shared" si="33"/>
        <v/>
      </c>
      <c r="S272" s="113" t="str">
        <f t="shared" si="34"/>
        <v/>
      </c>
      <c r="T272" s="114">
        <f>H272*[0]!FMainPool1Fee+I272*[0]!FMainPool2Fee+J272*[0]!FMainPool3Fee+K272*[0]!FMainPool4Fee+B272*[0]!FMainEntryFee</f>
        <v>0</v>
      </c>
      <c r="U272" s="28"/>
      <c r="W272"/>
      <c r="X272" s="59"/>
      <c r="Y272" s="59"/>
    </row>
    <row r="273" spans="1:25" x14ac:dyDescent="0.25">
      <c r="A273" s="26">
        <f t="shared" si="31"/>
        <v>262</v>
      </c>
      <c r="B273" s="11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09">
        <f t="shared" si="32"/>
        <v>0</v>
      </c>
      <c r="P273" s="11"/>
      <c r="Q273" s="11"/>
      <c r="R273" s="113" t="str">
        <f t="shared" si="33"/>
        <v/>
      </c>
      <c r="S273" s="113" t="str">
        <f t="shared" si="34"/>
        <v/>
      </c>
      <c r="T273" s="114">
        <f>H273*[0]!FMainPool1Fee+I273*[0]!FMainPool2Fee+J273*[0]!FMainPool3Fee+K273*[0]!FMainPool4Fee+B273*[0]!FMainEntryFee</f>
        <v>0</v>
      </c>
      <c r="U273" s="28"/>
      <c r="W273"/>
      <c r="X273" s="59"/>
      <c r="Y273" s="59"/>
    </row>
    <row r="274" spans="1:25" x14ac:dyDescent="0.25">
      <c r="A274" s="26">
        <f t="shared" si="31"/>
        <v>263</v>
      </c>
      <c r="B274" s="11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09">
        <f t="shared" si="32"/>
        <v>0</v>
      </c>
      <c r="P274" s="11"/>
      <c r="Q274" s="11"/>
      <c r="R274" s="113" t="str">
        <f t="shared" si="33"/>
        <v/>
      </c>
      <c r="S274" s="113" t="str">
        <f t="shared" si="34"/>
        <v/>
      </c>
      <c r="T274" s="114">
        <f>H274*[0]!FMainPool1Fee+I274*[0]!FMainPool2Fee+J274*[0]!FMainPool3Fee+K274*[0]!FMainPool4Fee+B274*[0]!FMainEntryFee</f>
        <v>0</v>
      </c>
      <c r="U274" s="28"/>
      <c r="W274"/>
      <c r="X274" s="59"/>
      <c r="Y274" s="59"/>
    </row>
    <row r="275" spans="1:25" x14ac:dyDescent="0.25">
      <c r="A275" s="26">
        <f t="shared" si="31"/>
        <v>264</v>
      </c>
      <c r="B275" s="11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09">
        <f t="shared" si="32"/>
        <v>0</v>
      </c>
      <c r="P275" s="11"/>
      <c r="Q275" s="11"/>
      <c r="R275" s="113" t="str">
        <f t="shared" si="33"/>
        <v/>
      </c>
      <c r="S275" s="113" t="str">
        <f t="shared" si="34"/>
        <v/>
      </c>
      <c r="T275" s="114">
        <f>H275*[0]!FMainPool1Fee+I275*[0]!FMainPool2Fee+J275*[0]!FMainPool3Fee+K275*[0]!FMainPool4Fee+B275*[0]!FMainEntryFee</f>
        <v>0</v>
      </c>
      <c r="U275" s="28"/>
      <c r="W275"/>
      <c r="X275" s="59"/>
      <c r="Y275" s="59"/>
    </row>
    <row r="276" spans="1:25" x14ac:dyDescent="0.25">
      <c r="A276" s="26">
        <f t="shared" si="31"/>
        <v>265</v>
      </c>
      <c r="B276" s="11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09">
        <f t="shared" si="32"/>
        <v>0</v>
      </c>
      <c r="P276" s="11"/>
      <c r="Q276" s="11"/>
      <c r="R276" s="113" t="str">
        <f t="shared" si="33"/>
        <v/>
      </c>
      <c r="S276" s="113" t="str">
        <f t="shared" si="34"/>
        <v/>
      </c>
      <c r="T276" s="114">
        <f>H276*[0]!FMainPool1Fee+I276*[0]!FMainPool2Fee+J276*[0]!FMainPool3Fee+K276*[0]!FMainPool4Fee+B276*[0]!FMainEntryFee</f>
        <v>0</v>
      </c>
      <c r="U276" s="28"/>
      <c r="W276"/>
      <c r="X276" s="59"/>
      <c r="Y276" s="59"/>
    </row>
    <row r="277" spans="1:25" x14ac:dyDescent="0.25">
      <c r="A277" s="26">
        <f t="shared" si="31"/>
        <v>266</v>
      </c>
      <c r="B277" s="11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09">
        <f t="shared" si="32"/>
        <v>0</v>
      </c>
      <c r="P277" s="11"/>
      <c r="Q277" s="11"/>
      <c r="R277" s="113" t="str">
        <f t="shared" si="33"/>
        <v/>
      </c>
      <c r="S277" s="113" t="str">
        <f t="shared" si="34"/>
        <v/>
      </c>
      <c r="T277" s="114">
        <f>H277*[0]!FMainPool1Fee+I277*[0]!FMainPool2Fee+J277*[0]!FMainPool3Fee+K277*[0]!FMainPool4Fee+B277*[0]!FMainEntryFee</f>
        <v>0</v>
      </c>
      <c r="U277" s="28"/>
      <c r="W277"/>
      <c r="X277" s="59"/>
      <c r="Y277" s="59"/>
    </row>
    <row r="278" spans="1:25" x14ac:dyDescent="0.25">
      <c r="A278" s="26">
        <f t="shared" si="31"/>
        <v>267</v>
      </c>
      <c r="B278" s="11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09">
        <f t="shared" si="32"/>
        <v>0</v>
      </c>
      <c r="P278" s="11"/>
      <c r="Q278" s="11"/>
      <c r="R278" s="113" t="str">
        <f t="shared" si="33"/>
        <v/>
      </c>
      <c r="S278" s="113" t="str">
        <f t="shared" si="34"/>
        <v/>
      </c>
      <c r="T278" s="114">
        <f>H278*[0]!FMainPool1Fee+I278*[0]!FMainPool2Fee+J278*[0]!FMainPool3Fee+K278*[0]!FMainPool4Fee+B278*[0]!FMainEntryFee</f>
        <v>0</v>
      </c>
      <c r="U278" s="28"/>
      <c r="W278"/>
      <c r="X278" s="59"/>
      <c r="Y278" s="59"/>
    </row>
    <row r="279" spans="1:25" x14ac:dyDescent="0.25">
      <c r="A279" s="26">
        <f t="shared" si="31"/>
        <v>268</v>
      </c>
      <c r="B279" s="11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09">
        <f t="shared" si="32"/>
        <v>0</v>
      </c>
      <c r="P279" s="11"/>
      <c r="Q279" s="11"/>
      <c r="R279" s="113" t="str">
        <f t="shared" si="33"/>
        <v/>
      </c>
      <c r="S279" s="113" t="str">
        <f t="shared" si="34"/>
        <v/>
      </c>
      <c r="T279" s="114">
        <f>H279*[0]!FMainPool1Fee+I279*[0]!FMainPool2Fee+J279*[0]!FMainPool3Fee+K279*[0]!FMainPool4Fee+B279*[0]!FMainEntryFee</f>
        <v>0</v>
      </c>
      <c r="U279" s="28"/>
      <c r="W279"/>
      <c r="X279" s="59"/>
      <c r="Y279" s="59"/>
    </row>
    <row r="280" spans="1:25" x14ac:dyDescent="0.25">
      <c r="A280" s="26">
        <f t="shared" si="31"/>
        <v>269</v>
      </c>
      <c r="B280" s="11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09">
        <f t="shared" si="32"/>
        <v>0</v>
      </c>
      <c r="P280" s="11"/>
      <c r="Q280" s="11"/>
      <c r="R280" s="113" t="str">
        <f t="shared" si="33"/>
        <v/>
      </c>
      <c r="S280" s="113" t="str">
        <f t="shared" si="34"/>
        <v/>
      </c>
      <c r="T280" s="114">
        <f>H280*[0]!FMainPool1Fee+I280*[0]!FMainPool2Fee+J280*[0]!FMainPool3Fee+K280*[0]!FMainPool4Fee+B280*[0]!FMainEntryFee</f>
        <v>0</v>
      </c>
      <c r="U280" s="28"/>
      <c r="W280"/>
      <c r="X280" s="59"/>
      <c r="Y280" s="59"/>
    </row>
    <row r="281" spans="1:25" x14ac:dyDescent="0.25">
      <c r="A281" s="26">
        <f t="shared" si="31"/>
        <v>270</v>
      </c>
      <c r="B281" s="11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09">
        <f t="shared" si="32"/>
        <v>0</v>
      </c>
      <c r="P281" s="11"/>
      <c r="Q281" s="11"/>
      <c r="R281" s="113" t="str">
        <f t="shared" si="33"/>
        <v/>
      </c>
      <c r="S281" s="113" t="str">
        <f t="shared" si="34"/>
        <v/>
      </c>
      <c r="T281" s="114">
        <f>H281*[0]!FMainPool1Fee+I281*[0]!FMainPool2Fee+J281*[0]!FMainPool3Fee+K281*[0]!FMainPool4Fee+B281*[0]!FMainEntryFee</f>
        <v>0</v>
      </c>
      <c r="U281" s="28"/>
      <c r="W281"/>
      <c r="X281" s="59"/>
      <c r="Y281" s="59"/>
    </row>
    <row r="282" spans="1:25" x14ac:dyDescent="0.25">
      <c r="A282" s="26">
        <f t="shared" si="31"/>
        <v>271</v>
      </c>
      <c r="B282" s="11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09">
        <f t="shared" si="32"/>
        <v>0</v>
      </c>
      <c r="P282" s="11"/>
      <c r="Q282" s="11"/>
      <c r="R282" s="113" t="str">
        <f t="shared" si="33"/>
        <v/>
      </c>
      <c r="S282" s="113" t="str">
        <f t="shared" si="34"/>
        <v/>
      </c>
      <c r="T282" s="114">
        <f>H282*[0]!FMainPool1Fee+I282*[0]!FMainPool2Fee+J282*[0]!FMainPool3Fee+K282*[0]!FMainPool4Fee+B282*[0]!FMainEntryFee</f>
        <v>0</v>
      </c>
      <c r="U282" s="28"/>
      <c r="W282"/>
      <c r="X282" s="59"/>
      <c r="Y282" s="59"/>
    </row>
    <row r="283" spans="1:25" x14ac:dyDescent="0.25">
      <c r="A283" s="26">
        <f t="shared" si="31"/>
        <v>272</v>
      </c>
      <c r="B283" s="11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09">
        <f t="shared" si="32"/>
        <v>0</v>
      </c>
      <c r="P283" s="11"/>
      <c r="Q283" s="11"/>
      <c r="R283" s="113" t="str">
        <f t="shared" si="33"/>
        <v/>
      </c>
      <c r="S283" s="113" t="str">
        <f t="shared" si="34"/>
        <v/>
      </c>
      <c r="T283" s="114">
        <f>H283*[0]!FMainPool1Fee+I283*[0]!FMainPool2Fee+J283*[0]!FMainPool3Fee+K283*[0]!FMainPool4Fee+B283*[0]!FMainEntryFee</f>
        <v>0</v>
      </c>
      <c r="U283" s="28"/>
      <c r="W283"/>
      <c r="X283" s="59"/>
      <c r="Y283" s="59"/>
    </row>
    <row r="284" spans="1:25" x14ac:dyDescent="0.25">
      <c r="A284" s="26">
        <f t="shared" si="31"/>
        <v>273</v>
      </c>
      <c r="B284" s="11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09">
        <f t="shared" si="32"/>
        <v>0</v>
      </c>
      <c r="P284" s="11"/>
      <c r="Q284" s="11"/>
      <c r="R284" s="113" t="str">
        <f t="shared" si="33"/>
        <v/>
      </c>
      <c r="S284" s="113" t="str">
        <f t="shared" si="34"/>
        <v/>
      </c>
      <c r="T284" s="114">
        <f>H284*[0]!FMainPool1Fee+I284*[0]!FMainPool2Fee+J284*[0]!FMainPool3Fee+K284*[0]!FMainPool4Fee+B284*[0]!FMainEntryFee</f>
        <v>0</v>
      </c>
      <c r="U284" s="28"/>
      <c r="W284"/>
      <c r="X284" s="59"/>
      <c r="Y284" s="59"/>
    </row>
    <row r="285" spans="1:25" x14ac:dyDescent="0.25">
      <c r="A285" s="26">
        <f t="shared" si="31"/>
        <v>274</v>
      </c>
      <c r="B285" s="11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09">
        <f t="shared" si="32"/>
        <v>0</v>
      </c>
      <c r="P285" s="11"/>
      <c r="Q285" s="11"/>
      <c r="R285" s="113" t="str">
        <f t="shared" si="33"/>
        <v/>
      </c>
      <c r="S285" s="113" t="str">
        <f t="shared" si="34"/>
        <v/>
      </c>
      <c r="T285" s="114">
        <f>H285*[0]!FMainPool1Fee+I285*[0]!FMainPool2Fee+J285*[0]!FMainPool3Fee+K285*[0]!FMainPool4Fee+B285*[0]!FMainEntryFee</f>
        <v>0</v>
      </c>
      <c r="U285" s="28"/>
      <c r="W285"/>
      <c r="X285" s="59"/>
      <c r="Y285" s="59"/>
    </row>
    <row r="286" spans="1:25" x14ac:dyDescent="0.25">
      <c r="A286" s="26">
        <f t="shared" si="31"/>
        <v>275</v>
      </c>
      <c r="B286" s="11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09">
        <f t="shared" si="32"/>
        <v>0</v>
      </c>
      <c r="P286" s="11"/>
      <c r="Q286" s="11"/>
      <c r="R286" s="113" t="str">
        <f t="shared" si="33"/>
        <v/>
      </c>
      <c r="S286" s="113" t="str">
        <f t="shared" si="34"/>
        <v/>
      </c>
      <c r="T286" s="114">
        <f>H286*[0]!FMainPool1Fee+I286*[0]!FMainPool2Fee+J286*[0]!FMainPool3Fee+K286*[0]!FMainPool4Fee+B286*[0]!FMainEntryFee</f>
        <v>0</v>
      </c>
      <c r="U286" s="28"/>
      <c r="W286"/>
      <c r="X286" s="59"/>
      <c r="Y286" s="59"/>
    </row>
    <row r="287" spans="1:25" x14ac:dyDescent="0.25">
      <c r="A287" s="26">
        <f t="shared" si="31"/>
        <v>276</v>
      </c>
      <c r="B287" s="11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09">
        <f t="shared" si="32"/>
        <v>0</v>
      </c>
      <c r="P287" s="11"/>
      <c r="Q287" s="11"/>
      <c r="R287" s="113" t="str">
        <f t="shared" si="33"/>
        <v/>
      </c>
      <c r="S287" s="113" t="str">
        <f t="shared" si="34"/>
        <v/>
      </c>
      <c r="T287" s="114">
        <f>H287*[0]!FMainPool1Fee+I287*[0]!FMainPool2Fee+J287*[0]!FMainPool3Fee+K287*[0]!FMainPool4Fee+B287*[0]!FMainEntryFee</f>
        <v>0</v>
      </c>
      <c r="U287" s="28"/>
      <c r="W287"/>
      <c r="X287" s="59"/>
      <c r="Y287" s="59"/>
    </row>
    <row r="288" spans="1:25" x14ac:dyDescent="0.25">
      <c r="A288" s="26">
        <f t="shared" si="31"/>
        <v>277</v>
      </c>
      <c r="B288" s="11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09">
        <f t="shared" si="32"/>
        <v>0</v>
      </c>
      <c r="P288" s="11"/>
      <c r="Q288" s="11"/>
      <c r="R288" s="113" t="str">
        <f t="shared" si="33"/>
        <v/>
      </c>
      <c r="S288" s="113" t="str">
        <f t="shared" si="34"/>
        <v/>
      </c>
      <c r="T288" s="114">
        <f>H288*[0]!FMainPool1Fee+I288*[0]!FMainPool2Fee+J288*[0]!FMainPool3Fee+K288*[0]!FMainPool4Fee+B288*[0]!FMainEntryFee</f>
        <v>0</v>
      </c>
      <c r="U288" s="28"/>
      <c r="W288"/>
      <c r="X288" s="59"/>
      <c r="Y288" s="59"/>
    </row>
    <row r="289" spans="1:25" x14ac:dyDescent="0.25">
      <c r="A289" s="26">
        <f t="shared" si="31"/>
        <v>278</v>
      </c>
      <c r="B289" s="11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09">
        <f t="shared" si="32"/>
        <v>0</v>
      </c>
      <c r="P289" s="11"/>
      <c r="Q289" s="11"/>
      <c r="R289" s="113" t="str">
        <f t="shared" si="33"/>
        <v/>
      </c>
      <c r="S289" s="113" t="str">
        <f t="shared" si="34"/>
        <v/>
      </c>
      <c r="T289" s="114">
        <f>H289*[0]!FMainPool1Fee+I289*[0]!FMainPool2Fee+J289*[0]!FMainPool3Fee+K289*[0]!FMainPool4Fee+B289*[0]!FMainEntryFee</f>
        <v>0</v>
      </c>
      <c r="U289" s="28"/>
      <c r="W289"/>
      <c r="X289" s="59"/>
      <c r="Y289" s="59"/>
    </row>
    <row r="290" spans="1:25" x14ac:dyDescent="0.25">
      <c r="A290" s="26">
        <f t="shared" si="31"/>
        <v>279</v>
      </c>
      <c r="B290" s="11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09">
        <f t="shared" si="32"/>
        <v>0</v>
      </c>
      <c r="P290" s="11"/>
      <c r="Q290" s="11"/>
      <c r="R290" s="113" t="str">
        <f t="shared" si="33"/>
        <v/>
      </c>
      <c r="S290" s="113" t="str">
        <f t="shared" si="34"/>
        <v/>
      </c>
      <c r="T290" s="114">
        <f>H290*[0]!FMainPool1Fee+I290*[0]!FMainPool2Fee+J290*[0]!FMainPool3Fee+K290*[0]!FMainPool4Fee+B290*[0]!FMainEntryFee</f>
        <v>0</v>
      </c>
      <c r="U290" s="28"/>
      <c r="W290"/>
      <c r="X290" s="59"/>
      <c r="Y290" s="59"/>
    </row>
    <row r="291" spans="1:25" x14ac:dyDescent="0.25">
      <c r="A291" s="26">
        <f t="shared" si="31"/>
        <v>280</v>
      </c>
      <c r="B291" s="11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09">
        <f t="shared" si="32"/>
        <v>0</v>
      </c>
      <c r="P291" s="11"/>
      <c r="Q291" s="11"/>
      <c r="R291" s="113" t="str">
        <f t="shared" si="33"/>
        <v/>
      </c>
      <c r="S291" s="113" t="str">
        <f t="shared" si="34"/>
        <v/>
      </c>
      <c r="T291" s="114">
        <f>H291*[0]!FMainPool1Fee+I291*[0]!FMainPool2Fee+J291*[0]!FMainPool3Fee+K291*[0]!FMainPool4Fee+B291*[0]!FMainEntryFee</f>
        <v>0</v>
      </c>
      <c r="U291" s="28"/>
      <c r="W291"/>
      <c r="X291" s="59"/>
      <c r="Y291" s="59"/>
    </row>
    <row r="292" spans="1:25" x14ac:dyDescent="0.25">
      <c r="A292" s="26">
        <f t="shared" si="31"/>
        <v>281</v>
      </c>
      <c r="B292" s="11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09">
        <f t="shared" si="32"/>
        <v>0</v>
      </c>
      <c r="P292" s="11"/>
      <c r="Q292" s="11"/>
      <c r="R292" s="113" t="str">
        <f t="shared" si="33"/>
        <v/>
      </c>
      <c r="S292" s="113" t="str">
        <f t="shared" si="34"/>
        <v/>
      </c>
      <c r="T292" s="114">
        <f>H292*[0]!FMainPool1Fee+I292*[0]!FMainPool2Fee+J292*[0]!FMainPool3Fee+K292*[0]!FMainPool4Fee+B292*[0]!FMainEntryFee</f>
        <v>0</v>
      </c>
      <c r="U292" s="28"/>
      <c r="W292"/>
      <c r="X292" s="59"/>
      <c r="Y292" s="59"/>
    </row>
    <row r="293" spans="1:25" x14ac:dyDescent="0.25">
      <c r="A293" s="26">
        <f t="shared" si="31"/>
        <v>282</v>
      </c>
      <c r="B293" s="11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09">
        <f t="shared" si="32"/>
        <v>0</v>
      </c>
      <c r="P293" s="11"/>
      <c r="Q293" s="11"/>
      <c r="R293" s="113" t="str">
        <f t="shared" si="33"/>
        <v/>
      </c>
      <c r="S293" s="113" t="str">
        <f t="shared" si="34"/>
        <v/>
      </c>
      <c r="T293" s="114">
        <f>H293*[0]!FMainPool1Fee+I293*[0]!FMainPool2Fee+J293*[0]!FMainPool3Fee+K293*[0]!FMainPool4Fee+B293*[0]!FMainEntryFee</f>
        <v>0</v>
      </c>
      <c r="U293" s="28"/>
      <c r="W293"/>
      <c r="X293" s="59"/>
      <c r="Y293" s="59"/>
    </row>
    <row r="294" spans="1:25" x14ac:dyDescent="0.25">
      <c r="A294" s="26">
        <f t="shared" si="31"/>
        <v>283</v>
      </c>
      <c r="B294" s="11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09">
        <f t="shared" si="32"/>
        <v>0</v>
      </c>
      <c r="P294" s="11"/>
      <c r="Q294" s="11"/>
      <c r="R294" s="113" t="str">
        <f t="shared" si="33"/>
        <v/>
      </c>
      <c r="S294" s="113" t="str">
        <f t="shared" si="34"/>
        <v/>
      </c>
      <c r="T294" s="114">
        <f>H294*[0]!FMainPool1Fee+I294*[0]!FMainPool2Fee+J294*[0]!FMainPool3Fee+K294*[0]!FMainPool4Fee+B294*[0]!FMainEntryFee</f>
        <v>0</v>
      </c>
      <c r="U294" s="28"/>
      <c r="W294"/>
      <c r="X294" s="59"/>
      <c r="Y294" s="59"/>
    </row>
    <row r="295" spans="1:25" x14ac:dyDescent="0.25">
      <c r="A295" s="26">
        <f t="shared" si="31"/>
        <v>284</v>
      </c>
      <c r="B295" s="11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09">
        <f t="shared" si="32"/>
        <v>0</v>
      </c>
      <c r="P295" s="11"/>
      <c r="Q295" s="11"/>
      <c r="R295" s="113" t="str">
        <f t="shared" si="33"/>
        <v/>
      </c>
      <c r="S295" s="113" t="str">
        <f t="shared" si="34"/>
        <v/>
      </c>
      <c r="T295" s="114">
        <f>H295*[0]!FMainPool1Fee+I295*[0]!FMainPool2Fee+J295*[0]!FMainPool3Fee+K295*[0]!FMainPool4Fee+B295*[0]!FMainEntryFee</f>
        <v>0</v>
      </c>
      <c r="U295" s="28"/>
      <c r="W295"/>
      <c r="X295" s="59"/>
      <c r="Y295" s="59"/>
    </row>
    <row r="296" spans="1:25" x14ac:dyDescent="0.25">
      <c r="A296" s="26">
        <f t="shared" si="31"/>
        <v>285</v>
      </c>
      <c r="B296" s="11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09">
        <f t="shared" si="32"/>
        <v>0</v>
      </c>
      <c r="P296" s="11"/>
      <c r="Q296" s="11"/>
      <c r="R296" s="113" t="str">
        <f t="shared" si="33"/>
        <v/>
      </c>
      <c r="S296" s="113" t="str">
        <f t="shared" si="34"/>
        <v/>
      </c>
      <c r="T296" s="114">
        <f>H296*[0]!FMainPool1Fee+I296*[0]!FMainPool2Fee+J296*[0]!FMainPool3Fee+K296*[0]!FMainPool4Fee+B296*[0]!FMainEntryFee</f>
        <v>0</v>
      </c>
      <c r="U296" s="28"/>
      <c r="W296"/>
      <c r="X296" s="59"/>
      <c r="Y296" s="59"/>
    </row>
    <row r="297" spans="1:25" x14ac:dyDescent="0.25">
      <c r="A297" s="26">
        <f t="shared" si="31"/>
        <v>286</v>
      </c>
      <c r="B297" s="11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09">
        <f t="shared" si="32"/>
        <v>0</v>
      </c>
      <c r="P297" s="11"/>
      <c r="Q297" s="11"/>
      <c r="R297" s="113" t="str">
        <f t="shared" si="33"/>
        <v/>
      </c>
      <c r="S297" s="113" t="str">
        <f t="shared" si="34"/>
        <v/>
      </c>
      <c r="T297" s="114">
        <f>H297*[0]!FMainPool1Fee+I297*[0]!FMainPool2Fee+J297*[0]!FMainPool3Fee+K297*[0]!FMainPool4Fee+B297*[0]!FMainEntryFee</f>
        <v>0</v>
      </c>
      <c r="U297" s="28"/>
      <c r="W297"/>
      <c r="X297" s="59"/>
      <c r="Y297" s="59"/>
    </row>
    <row r="298" spans="1:25" x14ac:dyDescent="0.25">
      <c r="A298" s="26">
        <f t="shared" si="31"/>
        <v>287</v>
      </c>
      <c r="B298" s="11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09">
        <f t="shared" si="32"/>
        <v>0</v>
      </c>
      <c r="P298" s="11"/>
      <c r="Q298" s="11"/>
      <c r="R298" s="113" t="str">
        <f t="shared" si="33"/>
        <v/>
      </c>
      <c r="S298" s="113" t="str">
        <f t="shared" si="34"/>
        <v/>
      </c>
      <c r="T298" s="114">
        <f>H298*[0]!FMainPool1Fee+I298*[0]!FMainPool2Fee+J298*[0]!FMainPool3Fee+K298*[0]!FMainPool4Fee+B298*[0]!FMainEntryFee</f>
        <v>0</v>
      </c>
      <c r="U298" s="28"/>
      <c r="W298"/>
      <c r="X298" s="59"/>
      <c r="Y298" s="59"/>
    </row>
    <row r="299" spans="1:25" x14ac:dyDescent="0.25">
      <c r="A299" s="26">
        <f t="shared" si="31"/>
        <v>288</v>
      </c>
      <c r="B299" s="11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09">
        <f t="shared" si="32"/>
        <v>0</v>
      </c>
      <c r="P299" s="11"/>
      <c r="Q299" s="11"/>
      <c r="R299" s="113" t="str">
        <f t="shared" si="33"/>
        <v/>
      </c>
      <c r="S299" s="113" t="str">
        <f t="shared" si="34"/>
        <v/>
      </c>
      <c r="T299" s="114">
        <f>H299*[0]!FMainPool1Fee+I299*[0]!FMainPool2Fee+J299*[0]!FMainPool3Fee+K299*[0]!FMainPool4Fee+B299*[0]!FMainEntryFee</f>
        <v>0</v>
      </c>
      <c r="U299" s="28"/>
      <c r="W299"/>
      <c r="X299" s="59"/>
      <c r="Y299" s="59"/>
    </row>
    <row r="300" spans="1:25" x14ac:dyDescent="0.25">
      <c r="A300" s="26">
        <f t="shared" si="31"/>
        <v>289</v>
      </c>
      <c r="B300" s="11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09">
        <f t="shared" si="32"/>
        <v>0</v>
      </c>
      <c r="P300" s="11"/>
      <c r="Q300" s="11"/>
      <c r="R300" s="113" t="str">
        <f t="shared" si="33"/>
        <v/>
      </c>
      <c r="S300" s="113" t="str">
        <f t="shared" si="34"/>
        <v/>
      </c>
      <c r="T300" s="114">
        <f>H300*[0]!FMainPool1Fee+I300*[0]!FMainPool2Fee+J300*[0]!FMainPool3Fee+K300*[0]!FMainPool4Fee+B300*[0]!FMainEntryFee</f>
        <v>0</v>
      </c>
      <c r="U300" s="28"/>
      <c r="W300"/>
      <c r="X300" s="59"/>
      <c r="Y300" s="59"/>
    </row>
    <row r="301" spans="1:25" x14ac:dyDescent="0.25">
      <c r="A301" s="26">
        <f t="shared" si="31"/>
        <v>290</v>
      </c>
      <c r="B301" s="11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09">
        <f t="shared" si="32"/>
        <v>0</v>
      </c>
      <c r="P301" s="11"/>
      <c r="Q301" s="11"/>
      <c r="R301" s="113" t="str">
        <f t="shared" si="33"/>
        <v/>
      </c>
      <c r="S301" s="113" t="str">
        <f t="shared" si="34"/>
        <v/>
      </c>
      <c r="T301" s="114">
        <f>H301*[0]!FMainPool1Fee+I301*[0]!FMainPool2Fee+J301*[0]!FMainPool3Fee+K301*[0]!FMainPool4Fee+B301*[0]!FMainEntryFee</f>
        <v>0</v>
      </c>
      <c r="U301" s="28"/>
      <c r="W301"/>
      <c r="X301" s="59"/>
      <c r="Y301" s="59"/>
    </row>
    <row r="302" spans="1:25" x14ac:dyDescent="0.25">
      <c r="A302" s="26">
        <f t="shared" si="31"/>
        <v>291</v>
      </c>
      <c r="B302" s="11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09">
        <f t="shared" si="32"/>
        <v>0</v>
      </c>
      <c r="P302" s="11"/>
      <c r="Q302" s="11"/>
      <c r="R302" s="113" t="str">
        <f t="shared" si="33"/>
        <v/>
      </c>
      <c r="S302" s="113" t="str">
        <f t="shared" si="34"/>
        <v/>
      </c>
      <c r="T302" s="114">
        <f>H302*[0]!FMainPool1Fee+I302*[0]!FMainPool2Fee+J302*[0]!FMainPool3Fee+K302*[0]!FMainPool4Fee+B302*[0]!FMainEntryFee</f>
        <v>0</v>
      </c>
      <c r="U302" s="28"/>
      <c r="W302"/>
      <c r="X302" s="59"/>
      <c r="Y302" s="59"/>
    </row>
    <row r="303" spans="1:25" x14ac:dyDescent="0.25">
      <c r="A303" s="26">
        <f t="shared" si="31"/>
        <v>292</v>
      </c>
      <c r="B303" s="11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09">
        <f t="shared" si="32"/>
        <v>0</v>
      </c>
      <c r="P303" s="11"/>
      <c r="Q303" s="11"/>
      <c r="R303" s="113" t="str">
        <f t="shared" si="33"/>
        <v/>
      </c>
      <c r="S303" s="113" t="str">
        <f t="shared" si="34"/>
        <v/>
      </c>
      <c r="T303" s="114">
        <f>H303*[0]!FMainPool1Fee+I303*[0]!FMainPool2Fee+J303*[0]!FMainPool3Fee+K303*[0]!FMainPool4Fee+B303*[0]!FMainEntryFee</f>
        <v>0</v>
      </c>
      <c r="U303" s="28"/>
      <c r="W303"/>
      <c r="X303" s="59"/>
      <c r="Y303" s="59"/>
    </row>
    <row r="304" spans="1:25" x14ac:dyDescent="0.25">
      <c r="A304" s="26">
        <f t="shared" si="31"/>
        <v>293</v>
      </c>
      <c r="B304" s="11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09">
        <f t="shared" si="32"/>
        <v>0</v>
      </c>
      <c r="P304" s="11"/>
      <c r="Q304" s="11"/>
      <c r="R304" s="113" t="str">
        <f t="shared" si="33"/>
        <v/>
      </c>
      <c r="S304" s="113" t="str">
        <f t="shared" si="34"/>
        <v/>
      </c>
      <c r="T304" s="114">
        <f>H304*[0]!FMainPool1Fee+I304*[0]!FMainPool2Fee+J304*[0]!FMainPool3Fee+K304*[0]!FMainPool4Fee+B304*[0]!FMainEntryFee</f>
        <v>0</v>
      </c>
      <c r="U304" s="28"/>
      <c r="W304"/>
      <c r="X304" s="59"/>
      <c r="Y304" s="59"/>
    </row>
    <row r="305" spans="1:25" x14ac:dyDescent="0.25">
      <c r="A305" s="26">
        <f t="shared" si="31"/>
        <v>294</v>
      </c>
      <c r="B305" s="11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09">
        <f t="shared" si="32"/>
        <v>0</v>
      </c>
      <c r="P305" s="11"/>
      <c r="Q305" s="11"/>
      <c r="R305" s="113" t="str">
        <f t="shared" si="33"/>
        <v/>
      </c>
      <c r="S305" s="113" t="str">
        <f t="shared" si="34"/>
        <v/>
      </c>
      <c r="T305" s="114">
        <f>H305*[0]!FMainPool1Fee+I305*[0]!FMainPool2Fee+J305*[0]!FMainPool3Fee+K305*[0]!FMainPool4Fee+B305*[0]!FMainEntryFee</f>
        <v>0</v>
      </c>
      <c r="U305" s="28"/>
      <c r="W305"/>
      <c r="X305" s="59"/>
      <c r="Y305" s="59"/>
    </row>
    <row r="306" spans="1:25" x14ac:dyDescent="0.25">
      <c r="A306" s="26">
        <f t="shared" si="31"/>
        <v>295</v>
      </c>
      <c r="B306" s="11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09">
        <f t="shared" si="32"/>
        <v>0</v>
      </c>
      <c r="P306" s="11"/>
      <c r="Q306" s="11"/>
      <c r="R306" s="113" t="str">
        <f t="shared" si="33"/>
        <v/>
      </c>
      <c r="S306" s="113" t="str">
        <f t="shared" si="34"/>
        <v/>
      </c>
      <c r="T306" s="114">
        <f>H306*[0]!FMainPool1Fee+I306*[0]!FMainPool2Fee+J306*[0]!FMainPool3Fee+K306*[0]!FMainPool4Fee+B306*[0]!FMainEntryFee</f>
        <v>0</v>
      </c>
      <c r="U306" s="28"/>
      <c r="W306"/>
      <c r="X306" s="59"/>
      <c r="Y306" s="59"/>
    </row>
    <row r="307" spans="1:25" x14ac:dyDescent="0.25">
      <c r="A307" s="26">
        <f t="shared" si="31"/>
        <v>296</v>
      </c>
      <c r="B307" s="11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09">
        <f t="shared" si="32"/>
        <v>0</v>
      </c>
      <c r="P307" s="11"/>
      <c r="Q307" s="11"/>
      <c r="R307" s="113" t="str">
        <f t="shared" si="33"/>
        <v/>
      </c>
      <c r="S307" s="113" t="str">
        <f t="shared" si="34"/>
        <v/>
      </c>
      <c r="T307" s="114">
        <f>H307*[0]!FMainPool1Fee+I307*[0]!FMainPool2Fee+J307*[0]!FMainPool3Fee+K307*[0]!FMainPool4Fee+B307*[0]!FMainEntryFee</f>
        <v>0</v>
      </c>
      <c r="U307" s="28"/>
      <c r="W307"/>
      <c r="X307" s="59"/>
      <c r="Y307" s="59"/>
    </row>
    <row r="308" spans="1:25" x14ac:dyDescent="0.25">
      <c r="A308" s="26">
        <f t="shared" si="31"/>
        <v>297</v>
      </c>
      <c r="B308" s="11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09">
        <f t="shared" si="32"/>
        <v>0</v>
      </c>
      <c r="P308" s="11"/>
      <c r="Q308" s="11"/>
      <c r="R308" s="113" t="str">
        <f t="shared" si="33"/>
        <v/>
      </c>
      <c r="S308" s="113" t="str">
        <f t="shared" si="34"/>
        <v/>
      </c>
      <c r="T308" s="114">
        <f>H308*[0]!FMainPool1Fee+I308*[0]!FMainPool2Fee+J308*[0]!FMainPool3Fee+K308*[0]!FMainPool4Fee+B308*[0]!FMainEntryFee</f>
        <v>0</v>
      </c>
      <c r="U308" s="28"/>
      <c r="X308" s="59"/>
      <c r="Y308" s="59"/>
    </row>
    <row r="309" spans="1:25" x14ac:dyDescent="0.25">
      <c r="A309" s="26">
        <f t="shared" si="31"/>
        <v>298</v>
      </c>
      <c r="B309" s="11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09">
        <f t="shared" si="32"/>
        <v>0</v>
      </c>
      <c r="P309" s="11"/>
      <c r="Q309" s="11"/>
      <c r="R309" s="113" t="str">
        <f t="shared" si="33"/>
        <v/>
      </c>
      <c r="S309" s="113" t="str">
        <f t="shared" si="34"/>
        <v/>
      </c>
      <c r="T309" s="114">
        <f>H309*[0]!FMainPool1Fee+I309*[0]!FMainPool2Fee+J309*[0]!FMainPool3Fee+K309*[0]!FMainPool4Fee+B309*[0]!FMainEntryFee</f>
        <v>0</v>
      </c>
      <c r="U309" s="28"/>
      <c r="X309" s="59"/>
      <c r="Y309" s="59"/>
    </row>
    <row r="310" spans="1:25" x14ac:dyDescent="0.25">
      <c r="A310" s="26">
        <f t="shared" si="31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09">
        <f t="shared" si="32"/>
        <v>0</v>
      </c>
      <c r="P310" s="11"/>
      <c r="Q310" s="11"/>
      <c r="R310" s="113" t="str">
        <f t="shared" si="33"/>
        <v/>
      </c>
      <c r="S310" s="113" t="str">
        <f t="shared" si="34"/>
        <v/>
      </c>
      <c r="T310" s="114">
        <f>H310*[0]!FMainPool1Fee+I310*[0]!FMainPool2Fee+J310*[0]!FMainPool3Fee+K310*[0]!FMainPool4Fee+B310*[0]!FMainEntryFee</f>
        <v>0</v>
      </c>
      <c r="U310" s="28"/>
      <c r="X310" s="59"/>
      <c r="Y310" s="59"/>
    </row>
    <row r="311" spans="1:25" x14ac:dyDescent="0.25">
      <c r="A311" s="26">
        <f t="shared" si="31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09">
        <f t="shared" si="32"/>
        <v>0</v>
      </c>
      <c r="P311" s="11"/>
      <c r="Q311" s="11"/>
      <c r="R311" s="113" t="str">
        <f t="shared" si="33"/>
        <v/>
      </c>
      <c r="S311" s="113" t="str">
        <f t="shared" si="34"/>
        <v/>
      </c>
      <c r="T311" s="114">
        <f>H311*[0]!FMainPool1Fee+I311*[0]!FMainPool2Fee+J311*[0]!FMainPool3Fee+K311*[0]!FMainPool4Fee+B311*[0]!FMainEntryFee</f>
        <v>0</v>
      </c>
      <c r="U311" s="28"/>
    </row>
    <row r="312" spans="1:25" x14ac:dyDescent="0.25">
      <c r="A312" s="26">
        <f t="shared" si="31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09">
        <f t="shared" si="32"/>
        <v>0</v>
      </c>
      <c r="P312" s="11"/>
      <c r="Q312" s="11"/>
      <c r="R312" s="113" t="str">
        <f t="shared" ref="R312:R375" si="35">IF(OR(P312="c",P312="C"),+T312,"")</f>
        <v/>
      </c>
      <c r="S312" s="113" t="str">
        <f t="shared" ref="S312:S375" si="36">IF(OR(P312="$",N312=1),+T312,"")</f>
        <v/>
      </c>
      <c r="T312" s="114">
        <f>H312*[0]!FMainPool1Fee+I312*[0]!FMainPool2Fee+J312*[0]!FMainPool3Fee+K312*[0]!FMainPool4Fee+B312*[0]!FMainEntryFee</f>
        <v>0</v>
      </c>
      <c r="U312" s="28"/>
    </row>
    <row r="313" spans="1:25" x14ac:dyDescent="0.25">
      <c r="A313" s="26">
        <f t="shared" si="31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09">
        <f t="shared" si="32"/>
        <v>0</v>
      </c>
      <c r="P313" s="11"/>
      <c r="Q313" s="11"/>
      <c r="R313" s="113" t="str">
        <f t="shared" si="35"/>
        <v/>
      </c>
      <c r="S313" s="113" t="str">
        <f t="shared" si="36"/>
        <v/>
      </c>
      <c r="T313" s="114">
        <f>H313*[0]!FMainPool1Fee+I313*[0]!FMainPool2Fee+J313*[0]!FMainPool3Fee+K313*[0]!FMainPool4Fee+B313*[0]!FMainEntryFee</f>
        <v>0</v>
      </c>
      <c r="U313" s="28"/>
    </row>
    <row r="314" spans="1:25" x14ac:dyDescent="0.25">
      <c r="A314" s="26">
        <f t="shared" si="31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09">
        <f t="shared" si="32"/>
        <v>0</v>
      </c>
      <c r="P314" s="11"/>
      <c r="Q314" s="11"/>
      <c r="R314" s="113" t="str">
        <f t="shared" si="35"/>
        <v/>
      </c>
      <c r="S314" s="113" t="str">
        <f t="shared" si="36"/>
        <v/>
      </c>
      <c r="T314" s="114">
        <f>H314*[0]!FMainPool1Fee+I314*[0]!FMainPool2Fee+J314*[0]!FMainPool3Fee+K314*[0]!FMainPool4Fee+B314*[0]!FMainEntryFee</f>
        <v>0</v>
      </c>
      <c r="U314" s="28"/>
    </row>
    <row r="315" spans="1:25" x14ac:dyDescent="0.25">
      <c r="A315" s="26">
        <f t="shared" si="31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09">
        <f t="shared" si="32"/>
        <v>0</v>
      </c>
      <c r="P315" s="11"/>
      <c r="Q315" s="11"/>
      <c r="R315" s="113" t="str">
        <f t="shared" si="35"/>
        <v/>
      </c>
      <c r="S315" s="113" t="str">
        <f t="shared" si="36"/>
        <v/>
      </c>
      <c r="T315" s="114">
        <f>H315*[0]!FMainPool1Fee+I315*[0]!FMainPool2Fee+J315*[0]!FMainPool3Fee+K315*[0]!FMainPool4Fee+B315*[0]!FMainEntryFee</f>
        <v>0</v>
      </c>
      <c r="U315" s="28"/>
    </row>
    <row r="316" spans="1:25" x14ac:dyDescent="0.25">
      <c r="A316" s="26">
        <f t="shared" si="31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09">
        <f t="shared" si="32"/>
        <v>0</v>
      </c>
      <c r="P316" s="11"/>
      <c r="Q316" s="11"/>
      <c r="R316" s="113" t="str">
        <f t="shared" si="35"/>
        <v/>
      </c>
      <c r="S316" s="113" t="str">
        <f t="shared" si="36"/>
        <v/>
      </c>
      <c r="T316" s="114">
        <f>H316*[0]!FMainPool1Fee+I316*[0]!FMainPool2Fee+J316*[0]!FMainPool3Fee+K316*[0]!FMainPool4Fee+B316*[0]!FMainEntryFee</f>
        <v>0</v>
      </c>
      <c r="U316" s="28"/>
    </row>
    <row r="317" spans="1:25" x14ac:dyDescent="0.25">
      <c r="A317" s="26">
        <f t="shared" si="31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09">
        <f t="shared" si="32"/>
        <v>0</v>
      </c>
      <c r="P317" s="11"/>
      <c r="Q317" s="11"/>
      <c r="R317" s="113" t="str">
        <f t="shared" si="35"/>
        <v/>
      </c>
      <c r="S317" s="113" t="str">
        <f t="shared" si="36"/>
        <v/>
      </c>
      <c r="T317" s="114">
        <f>H317*[0]!FMainPool1Fee+I317*[0]!FMainPool2Fee+J317*[0]!FMainPool3Fee+K317*[0]!FMainPool4Fee+B317*[0]!FMainEntryFee</f>
        <v>0</v>
      </c>
      <c r="U317" s="28"/>
    </row>
    <row r="318" spans="1:25" x14ac:dyDescent="0.25">
      <c r="A318" s="26">
        <f t="shared" si="31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09">
        <f t="shared" si="32"/>
        <v>0</v>
      </c>
      <c r="P318" s="11"/>
      <c r="Q318" s="11"/>
      <c r="R318" s="113" t="str">
        <f t="shared" si="35"/>
        <v/>
      </c>
      <c r="S318" s="113" t="str">
        <f t="shared" si="36"/>
        <v/>
      </c>
      <c r="T318" s="114">
        <f>H318*[0]!FMainPool1Fee+I318*[0]!FMainPool2Fee+J318*[0]!FMainPool3Fee+K318*[0]!FMainPool4Fee+B318*[0]!FMainEntryFee</f>
        <v>0</v>
      </c>
      <c r="U318" s="28"/>
    </row>
    <row r="319" spans="1:25" x14ac:dyDescent="0.25">
      <c r="A319" s="26">
        <f t="shared" si="31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09">
        <f t="shared" si="32"/>
        <v>0</v>
      </c>
      <c r="P319" s="11"/>
      <c r="Q319" s="11"/>
      <c r="R319" s="113" t="str">
        <f t="shared" si="35"/>
        <v/>
      </c>
      <c r="S319" s="113" t="str">
        <f t="shared" si="36"/>
        <v/>
      </c>
      <c r="T319" s="114">
        <f>H319*[0]!FMainPool1Fee+I319*[0]!FMainPool2Fee+J319*[0]!FMainPool3Fee+K319*[0]!FMainPool4Fee+B319*[0]!FMainEntryFee</f>
        <v>0</v>
      </c>
      <c r="U319" s="28"/>
    </row>
    <row r="320" spans="1:25" x14ac:dyDescent="0.25">
      <c r="A320" s="26">
        <f t="shared" si="31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09">
        <f t="shared" si="32"/>
        <v>0</v>
      </c>
      <c r="P320" s="11"/>
      <c r="Q320" s="11"/>
      <c r="R320" s="113" t="str">
        <f t="shared" si="35"/>
        <v/>
      </c>
      <c r="S320" s="113" t="str">
        <f t="shared" si="36"/>
        <v/>
      </c>
      <c r="T320" s="114">
        <f>H320*[0]!FMainPool1Fee+I320*[0]!FMainPool2Fee+J320*[0]!FMainPool3Fee+K320*[0]!FMainPool4Fee+B320*[0]!FMainEntryFee</f>
        <v>0</v>
      </c>
      <c r="U320" s="28"/>
    </row>
    <row r="321" spans="1:21" x14ac:dyDescent="0.25">
      <c r="A321" s="26">
        <f t="shared" si="31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09">
        <f t="shared" si="32"/>
        <v>0</v>
      </c>
      <c r="P321" s="11"/>
      <c r="Q321" s="11"/>
      <c r="R321" s="113" t="str">
        <f t="shared" si="35"/>
        <v/>
      </c>
      <c r="S321" s="113" t="str">
        <f t="shared" si="36"/>
        <v/>
      </c>
      <c r="T321" s="114">
        <f>H321*[0]!FMainPool1Fee+I321*[0]!FMainPool2Fee+J321*[0]!FMainPool3Fee+K321*[0]!FMainPool4Fee+B321*[0]!FMainEntryFee</f>
        <v>0</v>
      </c>
      <c r="U321" s="28"/>
    </row>
    <row r="322" spans="1:21" x14ac:dyDescent="0.25">
      <c r="A322" s="26">
        <f t="shared" si="31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09">
        <f t="shared" si="32"/>
        <v>0</v>
      </c>
      <c r="P322" s="11"/>
      <c r="Q322" s="11"/>
      <c r="R322" s="113" t="str">
        <f t="shared" si="35"/>
        <v/>
      </c>
      <c r="S322" s="113" t="str">
        <f t="shared" si="36"/>
        <v/>
      </c>
      <c r="T322" s="114">
        <f>H322*[0]!FMainPool1Fee+I322*[0]!FMainPool2Fee+J322*[0]!FMainPool3Fee+K322*[0]!FMainPool4Fee+B322*[0]!FMainEntryFee</f>
        <v>0</v>
      </c>
      <c r="U322" s="28"/>
    </row>
    <row r="323" spans="1:21" x14ac:dyDescent="0.25">
      <c r="A323" s="26">
        <f t="shared" si="31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09">
        <f t="shared" si="32"/>
        <v>0</v>
      </c>
      <c r="P323" s="11"/>
      <c r="Q323" s="11"/>
      <c r="R323" s="113" t="str">
        <f t="shared" si="35"/>
        <v/>
      </c>
      <c r="S323" s="113" t="str">
        <f t="shared" si="36"/>
        <v/>
      </c>
      <c r="T323" s="114">
        <f>H323*[0]!FMainPool1Fee+I323*[0]!FMainPool2Fee+J323*[0]!FMainPool3Fee+K323*[0]!FMainPool4Fee+B323*[0]!FMainEntryFee</f>
        <v>0</v>
      </c>
      <c r="U323" s="28"/>
    </row>
    <row r="324" spans="1:21" x14ac:dyDescent="0.25">
      <c r="A324" s="26">
        <f t="shared" si="31"/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09">
        <f t="shared" si="32"/>
        <v>0</v>
      </c>
      <c r="P324" s="11"/>
      <c r="Q324" s="11"/>
      <c r="R324" s="113" t="str">
        <f t="shared" si="35"/>
        <v/>
      </c>
      <c r="S324" s="113" t="str">
        <f t="shared" si="36"/>
        <v/>
      </c>
      <c r="T324" s="114">
        <f>H324*[0]!FMainPool1Fee+I324*[0]!FMainPool2Fee+J324*[0]!FMainPool3Fee+K324*[0]!FMainPool4Fee+B324*[0]!FMainEntryFee</f>
        <v>0</v>
      </c>
      <c r="U324" s="28"/>
    </row>
    <row r="325" spans="1:21" x14ac:dyDescent="0.25">
      <c r="A325" s="26">
        <f t="shared" si="31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09">
        <f t="shared" si="32"/>
        <v>0</v>
      </c>
      <c r="P325" s="11"/>
      <c r="Q325" s="11"/>
      <c r="R325" s="113" t="str">
        <f t="shared" si="35"/>
        <v/>
      </c>
      <c r="S325" s="113" t="str">
        <f t="shared" si="36"/>
        <v/>
      </c>
      <c r="T325" s="114">
        <f>H325*[0]!FMainPool1Fee+I325*[0]!FMainPool2Fee+J325*[0]!FMainPool3Fee+K325*[0]!FMainPool4Fee+B325*[0]!FMainEntryFee</f>
        <v>0</v>
      </c>
      <c r="U325" s="28"/>
    </row>
    <row r="326" spans="1:21" x14ac:dyDescent="0.25">
      <c r="A326" s="26">
        <f t="shared" si="31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09">
        <f t="shared" si="32"/>
        <v>0</v>
      </c>
      <c r="P326" s="11"/>
      <c r="Q326" s="11"/>
      <c r="R326" s="113" t="str">
        <f t="shared" si="35"/>
        <v/>
      </c>
      <c r="S326" s="113" t="str">
        <f t="shared" si="36"/>
        <v/>
      </c>
      <c r="T326" s="114">
        <f>H326*[0]!FMainPool1Fee+I326*[0]!FMainPool2Fee+J326*[0]!FMainPool3Fee+K326*[0]!FMainPool4Fee+B326*[0]!FMainEntryFee</f>
        <v>0</v>
      </c>
      <c r="U326" s="28"/>
    </row>
    <row r="327" spans="1:21" x14ac:dyDescent="0.25">
      <c r="A327" s="26">
        <f t="shared" si="31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09">
        <f t="shared" si="32"/>
        <v>0</v>
      </c>
      <c r="P327" s="11"/>
      <c r="Q327" s="11"/>
      <c r="R327" s="113" t="str">
        <f t="shared" si="35"/>
        <v/>
      </c>
      <c r="S327" s="113" t="str">
        <f t="shared" si="36"/>
        <v/>
      </c>
      <c r="T327" s="114">
        <f>H327*[0]!FMainPool1Fee+I327*[0]!FMainPool2Fee+J327*[0]!FMainPool3Fee+K327*[0]!FMainPool4Fee+B327*[0]!FMainEntryFee</f>
        <v>0</v>
      </c>
      <c r="U327" s="28"/>
    </row>
    <row r="328" spans="1:21" x14ac:dyDescent="0.25">
      <c r="A328" s="26">
        <f t="shared" si="31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09">
        <f t="shared" si="32"/>
        <v>0</v>
      </c>
      <c r="P328" s="11"/>
      <c r="Q328" s="11"/>
      <c r="R328" s="113" t="str">
        <f t="shared" si="35"/>
        <v/>
      </c>
      <c r="S328" s="113" t="str">
        <f t="shared" si="36"/>
        <v/>
      </c>
      <c r="T328" s="114">
        <f>H328*[0]!FMainPool1Fee+I328*[0]!FMainPool2Fee+J328*[0]!FMainPool3Fee+K328*[0]!FMainPool4Fee+B328*[0]!FMainEntryFee</f>
        <v>0</v>
      </c>
      <c r="U328" s="28"/>
    </row>
    <row r="329" spans="1:21" x14ac:dyDescent="0.25">
      <c r="A329" s="26">
        <f t="shared" si="31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09">
        <f t="shared" si="32"/>
        <v>0</v>
      </c>
      <c r="P329" s="11"/>
      <c r="Q329" s="11"/>
      <c r="R329" s="113" t="str">
        <f t="shared" si="35"/>
        <v/>
      </c>
      <c r="S329" s="113" t="str">
        <f t="shared" si="36"/>
        <v/>
      </c>
      <c r="T329" s="114">
        <f>H329*[0]!FMainPool1Fee+I329*[0]!FMainPool2Fee+J329*[0]!FMainPool3Fee+K329*[0]!FMainPool4Fee+B329*[0]!FMainEntryFee</f>
        <v>0</v>
      </c>
      <c r="U329" s="28"/>
    </row>
    <row r="330" spans="1:21" x14ac:dyDescent="0.25">
      <c r="A330" s="26">
        <f t="shared" ref="A330:A393" si="37">ROW() - ROW(FRegEntriesEnteredHdr)</f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09">
        <f t="shared" si="32"/>
        <v>0</v>
      </c>
      <c r="P330" s="11"/>
      <c r="Q330" s="11"/>
      <c r="R330" s="113" t="str">
        <f t="shared" si="35"/>
        <v/>
      </c>
      <c r="S330" s="113" t="str">
        <f t="shared" si="36"/>
        <v/>
      </c>
      <c r="T330" s="114">
        <f>H330*[0]!FMainPool1Fee+I330*[0]!FMainPool2Fee+J330*[0]!FMainPool3Fee+K330*[0]!FMainPool4Fee+B330*[0]!FMainEntryFee</f>
        <v>0</v>
      </c>
      <c r="U330" s="28"/>
    </row>
    <row r="331" spans="1:21" x14ac:dyDescent="0.25">
      <c r="A331" s="26">
        <f t="shared" si="37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09">
        <f t="shared" ref="O331:O394" si="38">T331*N331</f>
        <v>0</v>
      </c>
      <c r="P331" s="11"/>
      <c r="Q331" s="11"/>
      <c r="R331" s="113" t="str">
        <f t="shared" si="35"/>
        <v/>
      </c>
      <c r="S331" s="113" t="str">
        <f t="shared" si="36"/>
        <v/>
      </c>
      <c r="T331" s="114">
        <f>H331*[0]!FMainPool1Fee+I331*[0]!FMainPool2Fee+J331*[0]!FMainPool3Fee+K331*[0]!FMainPool4Fee+B331*[0]!FMainEntryFee</f>
        <v>0</v>
      </c>
      <c r="U331" s="28"/>
    </row>
    <row r="332" spans="1:21" x14ac:dyDescent="0.25">
      <c r="A332" s="26">
        <f t="shared" si="37"/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09">
        <f t="shared" si="38"/>
        <v>0</v>
      </c>
      <c r="P332" s="11"/>
      <c r="Q332" s="11"/>
      <c r="R332" s="113" t="str">
        <f t="shared" si="35"/>
        <v/>
      </c>
      <c r="S332" s="113" t="str">
        <f t="shared" si="36"/>
        <v/>
      </c>
      <c r="T332" s="114">
        <f>H332*[0]!FMainPool1Fee+I332*[0]!FMainPool2Fee+J332*[0]!FMainPool3Fee+K332*[0]!FMainPool4Fee+B332*[0]!FMainEntryFee</f>
        <v>0</v>
      </c>
      <c r="U332" s="28"/>
    </row>
    <row r="333" spans="1:21" x14ac:dyDescent="0.25">
      <c r="A333" s="26">
        <f t="shared" si="37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09">
        <f t="shared" si="38"/>
        <v>0</v>
      </c>
      <c r="P333" s="11"/>
      <c r="Q333" s="11"/>
      <c r="R333" s="113" t="str">
        <f t="shared" si="35"/>
        <v/>
      </c>
      <c r="S333" s="113" t="str">
        <f t="shared" si="36"/>
        <v/>
      </c>
      <c r="T333" s="114">
        <f>H333*[0]!FMainPool1Fee+I333*[0]!FMainPool2Fee+J333*[0]!FMainPool3Fee+K333*[0]!FMainPool4Fee+B333*[0]!FMainEntryFee</f>
        <v>0</v>
      </c>
      <c r="U333" s="28"/>
    </row>
    <row r="334" spans="1:21" x14ac:dyDescent="0.25">
      <c r="A334" s="26">
        <f t="shared" si="37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09">
        <f t="shared" si="38"/>
        <v>0</v>
      </c>
      <c r="P334" s="11"/>
      <c r="Q334" s="11"/>
      <c r="R334" s="113" t="str">
        <f t="shared" si="35"/>
        <v/>
      </c>
      <c r="S334" s="113" t="str">
        <f t="shared" si="36"/>
        <v/>
      </c>
      <c r="T334" s="114">
        <f>H334*[0]!FMainPool1Fee+I334*[0]!FMainPool2Fee+J334*[0]!FMainPool3Fee+K334*[0]!FMainPool4Fee+B334*[0]!FMainEntryFee</f>
        <v>0</v>
      </c>
      <c r="U334" s="28"/>
    </row>
    <row r="335" spans="1:21" x14ac:dyDescent="0.25">
      <c r="A335" s="26">
        <f t="shared" si="37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09">
        <f t="shared" si="38"/>
        <v>0</v>
      </c>
      <c r="P335" s="11"/>
      <c r="Q335" s="11"/>
      <c r="R335" s="113" t="str">
        <f t="shared" si="35"/>
        <v/>
      </c>
      <c r="S335" s="113" t="str">
        <f t="shared" si="36"/>
        <v/>
      </c>
      <c r="T335" s="114">
        <f>H335*[0]!FMainPool1Fee+I335*[0]!FMainPool2Fee+J335*[0]!FMainPool3Fee+K335*[0]!FMainPool4Fee+B335*[0]!FMainEntryFee</f>
        <v>0</v>
      </c>
      <c r="U335" s="28"/>
    </row>
    <row r="336" spans="1:21" x14ac:dyDescent="0.25">
      <c r="A336" s="26">
        <f t="shared" si="37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09">
        <f t="shared" si="38"/>
        <v>0</v>
      </c>
      <c r="P336" s="11"/>
      <c r="Q336" s="11"/>
      <c r="R336" s="113" t="str">
        <f t="shared" si="35"/>
        <v/>
      </c>
      <c r="S336" s="113" t="str">
        <f t="shared" si="36"/>
        <v/>
      </c>
      <c r="T336" s="114">
        <f>H336*[0]!FMainPool1Fee+I336*[0]!FMainPool2Fee+J336*[0]!FMainPool3Fee+K336*[0]!FMainPool4Fee+B336*[0]!FMainEntryFee</f>
        <v>0</v>
      </c>
      <c r="U336" s="28"/>
    </row>
    <row r="337" spans="1:21" x14ac:dyDescent="0.25">
      <c r="A337" s="26">
        <f t="shared" si="37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09">
        <f t="shared" si="38"/>
        <v>0</v>
      </c>
      <c r="P337" s="11"/>
      <c r="Q337" s="11"/>
      <c r="R337" s="113" t="str">
        <f t="shared" si="35"/>
        <v/>
      </c>
      <c r="S337" s="113" t="str">
        <f t="shared" si="36"/>
        <v/>
      </c>
      <c r="T337" s="114">
        <f>H337*[0]!FMainPool1Fee+I337*[0]!FMainPool2Fee+J337*[0]!FMainPool3Fee+K337*[0]!FMainPool4Fee+B337*[0]!FMainEntryFee</f>
        <v>0</v>
      </c>
      <c r="U337" s="28"/>
    </row>
    <row r="338" spans="1:21" x14ac:dyDescent="0.25">
      <c r="A338" s="26">
        <f t="shared" si="37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09">
        <f t="shared" si="38"/>
        <v>0</v>
      </c>
      <c r="P338" s="11"/>
      <c r="Q338" s="11"/>
      <c r="R338" s="113" t="str">
        <f t="shared" si="35"/>
        <v/>
      </c>
      <c r="S338" s="113" t="str">
        <f t="shared" si="36"/>
        <v/>
      </c>
      <c r="T338" s="114">
        <f>H338*[0]!FMainPool1Fee+I338*[0]!FMainPool2Fee+J338*[0]!FMainPool3Fee+K338*[0]!FMainPool4Fee+B338*[0]!FMainEntryFee</f>
        <v>0</v>
      </c>
      <c r="U338" s="28"/>
    </row>
    <row r="339" spans="1:21" x14ac:dyDescent="0.25">
      <c r="A339" s="26">
        <f t="shared" si="37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09">
        <f t="shared" si="38"/>
        <v>0</v>
      </c>
      <c r="P339" s="11"/>
      <c r="Q339" s="11"/>
      <c r="R339" s="113" t="str">
        <f t="shared" si="35"/>
        <v/>
      </c>
      <c r="S339" s="113" t="str">
        <f t="shared" si="36"/>
        <v/>
      </c>
      <c r="T339" s="114">
        <f>H339*[0]!FMainPool1Fee+I339*[0]!FMainPool2Fee+J339*[0]!FMainPool3Fee+K339*[0]!FMainPool4Fee+B339*[0]!FMainEntryFee</f>
        <v>0</v>
      </c>
      <c r="U339" s="28"/>
    </row>
    <row r="340" spans="1:21" x14ac:dyDescent="0.25">
      <c r="A340" s="26">
        <f t="shared" si="37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09">
        <f t="shared" si="38"/>
        <v>0</v>
      </c>
      <c r="P340" s="11"/>
      <c r="Q340" s="11"/>
      <c r="R340" s="113" t="str">
        <f t="shared" si="35"/>
        <v/>
      </c>
      <c r="S340" s="113" t="str">
        <f t="shared" si="36"/>
        <v/>
      </c>
      <c r="T340" s="114">
        <f>H340*[0]!FMainPool1Fee+I340*[0]!FMainPool2Fee+J340*[0]!FMainPool3Fee+K340*[0]!FMainPool4Fee+B340*[0]!FMainEntryFee</f>
        <v>0</v>
      </c>
      <c r="U340" s="28"/>
    </row>
    <row r="341" spans="1:21" x14ac:dyDescent="0.25">
      <c r="A341" s="26">
        <f t="shared" si="37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09">
        <f t="shared" si="38"/>
        <v>0</v>
      </c>
      <c r="P341" s="11"/>
      <c r="Q341" s="11"/>
      <c r="R341" s="113" t="str">
        <f t="shared" si="35"/>
        <v/>
      </c>
      <c r="S341" s="113" t="str">
        <f t="shared" si="36"/>
        <v/>
      </c>
      <c r="T341" s="114">
        <f>H341*[0]!FMainPool1Fee+I341*[0]!FMainPool2Fee+J341*[0]!FMainPool3Fee+K341*[0]!FMainPool4Fee+B341*[0]!FMainEntryFee</f>
        <v>0</v>
      </c>
      <c r="U341" s="28"/>
    </row>
    <row r="342" spans="1:21" x14ac:dyDescent="0.25">
      <c r="A342" s="26">
        <f t="shared" si="37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09">
        <f t="shared" si="38"/>
        <v>0</v>
      </c>
      <c r="P342" s="11"/>
      <c r="Q342" s="11"/>
      <c r="R342" s="113" t="str">
        <f t="shared" si="35"/>
        <v/>
      </c>
      <c r="S342" s="113" t="str">
        <f t="shared" si="36"/>
        <v/>
      </c>
      <c r="T342" s="114">
        <f>H342*[0]!FMainPool1Fee+I342*[0]!FMainPool2Fee+J342*[0]!FMainPool3Fee+K342*[0]!FMainPool4Fee+B342*[0]!FMainEntryFee</f>
        <v>0</v>
      </c>
      <c r="U342" s="28"/>
    </row>
    <row r="343" spans="1:21" x14ac:dyDescent="0.25">
      <c r="A343" s="26">
        <f t="shared" si="37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09">
        <f t="shared" si="38"/>
        <v>0</v>
      </c>
      <c r="P343" s="11"/>
      <c r="Q343" s="11"/>
      <c r="R343" s="113" t="str">
        <f t="shared" si="35"/>
        <v/>
      </c>
      <c r="S343" s="113" t="str">
        <f t="shared" si="36"/>
        <v/>
      </c>
      <c r="T343" s="114">
        <f>H343*[0]!FMainPool1Fee+I343*[0]!FMainPool2Fee+J343*[0]!FMainPool3Fee+K343*[0]!FMainPool4Fee+B343*[0]!FMainEntryFee</f>
        <v>0</v>
      </c>
      <c r="U343" s="28"/>
    </row>
    <row r="344" spans="1:21" x14ac:dyDescent="0.25">
      <c r="A344" s="26">
        <f t="shared" si="37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09">
        <f t="shared" si="38"/>
        <v>0</v>
      </c>
      <c r="P344" s="11"/>
      <c r="Q344" s="11"/>
      <c r="R344" s="113" t="str">
        <f t="shared" si="35"/>
        <v/>
      </c>
      <c r="S344" s="113" t="str">
        <f t="shared" si="36"/>
        <v/>
      </c>
      <c r="T344" s="114">
        <f>H344*[0]!FMainPool1Fee+I344*[0]!FMainPool2Fee+J344*[0]!FMainPool3Fee+K344*[0]!FMainPool4Fee+B344*[0]!FMainEntryFee</f>
        <v>0</v>
      </c>
      <c r="U344" s="28"/>
    </row>
    <row r="345" spans="1:21" x14ac:dyDescent="0.25">
      <c r="A345" s="26">
        <f t="shared" si="37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09">
        <f t="shared" si="38"/>
        <v>0</v>
      </c>
      <c r="P345" s="11"/>
      <c r="Q345" s="11"/>
      <c r="R345" s="113" t="str">
        <f t="shared" si="35"/>
        <v/>
      </c>
      <c r="S345" s="113" t="str">
        <f t="shared" si="36"/>
        <v/>
      </c>
      <c r="T345" s="114">
        <f>H345*[0]!FMainPool1Fee+I345*[0]!FMainPool2Fee+J345*[0]!FMainPool3Fee+K345*[0]!FMainPool4Fee+B345*[0]!FMainEntryFee</f>
        <v>0</v>
      </c>
      <c r="U345" s="28"/>
    </row>
    <row r="346" spans="1:21" x14ac:dyDescent="0.25">
      <c r="A346" s="26">
        <f t="shared" si="37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09">
        <f t="shared" si="38"/>
        <v>0</v>
      </c>
      <c r="P346" s="11"/>
      <c r="Q346" s="11"/>
      <c r="R346" s="113" t="str">
        <f t="shared" si="35"/>
        <v/>
      </c>
      <c r="S346" s="113" t="str">
        <f t="shared" si="36"/>
        <v/>
      </c>
      <c r="T346" s="114">
        <f>H346*[0]!FMainPool1Fee+I346*[0]!FMainPool2Fee+J346*[0]!FMainPool3Fee+K346*[0]!FMainPool4Fee+B346*[0]!FMainEntryFee</f>
        <v>0</v>
      </c>
      <c r="U346" s="28"/>
    </row>
    <row r="347" spans="1:21" x14ac:dyDescent="0.25">
      <c r="A347" s="26">
        <f t="shared" si="37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09">
        <f t="shared" si="38"/>
        <v>0</v>
      </c>
      <c r="P347" s="11"/>
      <c r="Q347" s="11"/>
      <c r="R347" s="113" t="str">
        <f t="shared" si="35"/>
        <v/>
      </c>
      <c r="S347" s="113" t="str">
        <f t="shared" si="36"/>
        <v/>
      </c>
      <c r="T347" s="114">
        <f>H347*[0]!FMainPool1Fee+I347*[0]!FMainPool2Fee+J347*[0]!FMainPool3Fee+K347*[0]!FMainPool4Fee+B347*[0]!FMainEntryFee</f>
        <v>0</v>
      </c>
      <c r="U347" s="28"/>
    </row>
    <row r="348" spans="1:21" x14ac:dyDescent="0.25">
      <c r="A348" s="26">
        <f t="shared" si="37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09">
        <f t="shared" si="38"/>
        <v>0</v>
      </c>
      <c r="P348" s="11"/>
      <c r="Q348" s="11"/>
      <c r="R348" s="113" t="str">
        <f t="shared" si="35"/>
        <v/>
      </c>
      <c r="S348" s="113" t="str">
        <f t="shared" si="36"/>
        <v/>
      </c>
      <c r="T348" s="114">
        <f>H348*[0]!FMainPool1Fee+I348*[0]!FMainPool2Fee+J348*[0]!FMainPool3Fee+K348*[0]!FMainPool4Fee+B348*[0]!FMainEntryFee</f>
        <v>0</v>
      </c>
      <c r="U348" s="28"/>
    </row>
    <row r="349" spans="1:21" x14ac:dyDescent="0.25">
      <c r="A349" s="26">
        <f t="shared" si="37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09">
        <f t="shared" si="38"/>
        <v>0</v>
      </c>
      <c r="P349" s="11"/>
      <c r="Q349" s="11"/>
      <c r="R349" s="113" t="str">
        <f t="shared" si="35"/>
        <v/>
      </c>
      <c r="S349" s="113" t="str">
        <f t="shared" si="36"/>
        <v/>
      </c>
      <c r="T349" s="114">
        <f>H349*[0]!FMainPool1Fee+I349*[0]!FMainPool2Fee+J349*[0]!FMainPool3Fee+K349*[0]!FMainPool4Fee+B349*[0]!FMainEntryFee</f>
        <v>0</v>
      </c>
      <c r="U349" s="28"/>
    </row>
    <row r="350" spans="1:21" x14ac:dyDescent="0.25">
      <c r="A350" s="26">
        <f t="shared" si="37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09">
        <f t="shared" si="38"/>
        <v>0</v>
      </c>
      <c r="P350" s="11"/>
      <c r="Q350" s="11"/>
      <c r="R350" s="113" t="str">
        <f t="shared" si="35"/>
        <v/>
      </c>
      <c r="S350" s="113" t="str">
        <f t="shared" si="36"/>
        <v/>
      </c>
      <c r="T350" s="114">
        <f>H350*[0]!FMainPool1Fee+I350*[0]!FMainPool2Fee+J350*[0]!FMainPool3Fee+K350*[0]!FMainPool4Fee+B350*[0]!FMainEntryFee</f>
        <v>0</v>
      </c>
      <c r="U350" s="28"/>
    </row>
    <row r="351" spans="1:21" x14ac:dyDescent="0.25">
      <c r="A351" s="26">
        <f t="shared" si="37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09">
        <f t="shared" si="38"/>
        <v>0</v>
      </c>
      <c r="P351" s="11"/>
      <c r="Q351" s="11"/>
      <c r="R351" s="113" t="str">
        <f t="shared" si="35"/>
        <v/>
      </c>
      <c r="S351" s="113" t="str">
        <f t="shared" si="36"/>
        <v/>
      </c>
      <c r="T351" s="114">
        <f>H351*[0]!FMainPool1Fee+I351*[0]!FMainPool2Fee+J351*[0]!FMainPool3Fee+K351*[0]!FMainPool4Fee+B351*[0]!FMainEntryFee</f>
        <v>0</v>
      </c>
      <c r="U351" s="28"/>
    </row>
    <row r="352" spans="1:21" x14ac:dyDescent="0.25">
      <c r="A352" s="26">
        <f t="shared" si="37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09">
        <f t="shared" si="38"/>
        <v>0</v>
      </c>
      <c r="P352" s="11"/>
      <c r="Q352" s="11"/>
      <c r="R352" s="113" t="str">
        <f t="shared" si="35"/>
        <v/>
      </c>
      <c r="S352" s="113" t="str">
        <f t="shared" si="36"/>
        <v/>
      </c>
      <c r="T352" s="114">
        <f>H352*[0]!FMainPool1Fee+I352*[0]!FMainPool2Fee+J352*[0]!FMainPool3Fee+K352*[0]!FMainPool4Fee+B352*[0]!FMainEntryFee</f>
        <v>0</v>
      </c>
      <c r="U352" s="28"/>
    </row>
    <row r="353" spans="1:21" x14ac:dyDescent="0.25">
      <c r="A353" s="26">
        <f t="shared" si="37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09">
        <f t="shared" si="38"/>
        <v>0</v>
      </c>
      <c r="P353" s="11"/>
      <c r="Q353" s="11"/>
      <c r="R353" s="113" t="str">
        <f t="shared" si="35"/>
        <v/>
      </c>
      <c r="S353" s="113" t="str">
        <f t="shared" si="36"/>
        <v/>
      </c>
      <c r="T353" s="114">
        <f>H353*[0]!FMainPool1Fee+I353*[0]!FMainPool2Fee+J353*[0]!FMainPool3Fee+K353*[0]!FMainPool4Fee+B353*[0]!FMainEntryFee</f>
        <v>0</v>
      </c>
      <c r="U353" s="28"/>
    </row>
    <row r="354" spans="1:21" x14ac:dyDescent="0.25">
      <c r="A354" s="26">
        <f t="shared" si="37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09">
        <f t="shared" si="38"/>
        <v>0</v>
      </c>
      <c r="P354" s="11"/>
      <c r="Q354" s="11"/>
      <c r="R354" s="113" t="str">
        <f t="shared" si="35"/>
        <v/>
      </c>
      <c r="S354" s="113" t="str">
        <f t="shared" si="36"/>
        <v/>
      </c>
      <c r="T354" s="114">
        <f>H354*[0]!FMainPool1Fee+I354*[0]!FMainPool2Fee+J354*[0]!FMainPool3Fee+K354*[0]!FMainPool4Fee+B354*[0]!FMainEntryFee</f>
        <v>0</v>
      </c>
      <c r="U354" s="28"/>
    </row>
    <row r="355" spans="1:21" x14ac:dyDescent="0.25">
      <c r="A355" s="26">
        <f t="shared" si="37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09">
        <f t="shared" si="38"/>
        <v>0</v>
      </c>
      <c r="P355" s="11"/>
      <c r="Q355" s="11"/>
      <c r="R355" s="113" t="str">
        <f t="shared" si="35"/>
        <v/>
      </c>
      <c r="S355" s="113" t="str">
        <f t="shared" si="36"/>
        <v/>
      </c>
      <c r="T355" s="114">
        <f>H355*[0]!FMainPool1Fee+I355*[0]!FMainPool2Fee+J355*[0]!FMainPool3Fee+K355*[0]!FMainPool4Fee+B355*[0]!FMainEntryFee</f>
        <v>0</v>
      </c>
      <c r="U355" s="28"/>
    </row>
    <row r="356" spans="1:21" x14ac:dyDescent="0.25">
      <c r="A356" s="26">
        <f t="shared" si="37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09">
        <f t="shared" si="38"/>
        <v>0</v>
      </c>
      <c r="P356" s="11"/>
      <c r="Q356" s="11"/>
      <c r="R356" s="113" t="str">
        <f t="shared" si="35"/>
        <v/>
      </c>
      <c r="S356" s="113" t="str">
        <f t="shared" si="36"/>
        <v/>
      </c>
      <c r="T356" s="114">
        <f>H356*[0]!FMainPool1Fee+I356*[0]!FMainPool2Fee+J356*[0]!FMainPool3Fee+K356*[0]!FMainPool4Fee+B356*[0]!FMainEntryFee</f>
        <v>0</v>
      </c>
      <c r="U356" s="28"/>
    </row>
    <row r="357" spans="1:21" x14ac:dyDescent="0.25">
      <c r="A357" s="26">
        <f t="shared" si="37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09">
        <f t="shared" si="38"/>
        <v>0</v>
      </c>
      <c r="P357" s="11"/>
      <c r="Q357" s="11"/>
      <c r="R357" s="113" t="str">
        <f t="shared" si="35"/>
        <v/>
      </c>
      <c r="S357" s="113" t="str">
        <f t="shared" si="36"/>
        <v/>
      </c>
      <c r="T357" s="114">
        <f>H357*[0]!FMainPool1Fee+I357*[0]!FMainPool2Fee+J357*[0]!FMainPool3Fee+K357*[0]!FMainPool4Fee+B357*[0]!FMainEntryFee</f>
        <v>0</v>
      </c>
      <c r="U357" s="28"/>
    </row>
    <row r="358" spans="1:21" x14ac:dyDescent="0.25">
      <c r="A358" s="26">
        <f t="shared" si="37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09">
        <f t="shared" si="38"/>
        <v>0</v>
      </c>
      <c r="P358" s="11"/>
      <c r="Q358" s="11"/>
      <c r="R358" s="113" t="str">
        <f t="shared" si="35"/>
        <v/>
      </c>
      <c r="S358" s="113" t="str">
        <f t="shared" si="36"/>
        <v/>
      </c>
      <c r="T358" s="114">
        <f>H358*[0]!FMainPool1Fee+I358*[0]!FMainPool2Fee+J358*[0]!FMainPool3Fee+K358*[0]!FMainPool4Fee+B358*[0]!FMainEntryFee</f>
        <v>0</v>
      </c>
      <c r="U358" s="28"/>
    </row>
    <row r="359" spans="1:21" x14ac:dyDescent="0.25">
      <c r="A359" s="26">
        <f t="shared" si="37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09">
        <f t="shared" si="38"/>
        <v>0</v>
      </c>
      <c r="P359" s="11"/>
      <c r="Q359" s="11"/>
      <c r="R359" s="113" t="str">
        <f t="shared" si="35"/>
        <v/>
      </c>
      <c r="S359" s="113" t="str">
        <f t="shared" si="36"/>
        <v/>
      </c>
      <c r="T359" s="114">
        <f>H359*[0]!FMainPool1Fee+I359*[0]!FMainPool2Fee+J359*[0]!FMainPool3Fee+K359*[0]!FMainPool4Fee+B359*[0]!FMainEntryFee</f>
        <v>0</v>
      </c>
      <c r="U359" s="28"/>
    </row>
    <row r="360" spans="1:21" x14ac:dyDescent="0.25">
      <c r="A360" s="26">
        <f t="shared" si="37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09">
        <f t="shared" si="38"/>
        <v>0</v>
      </c>
      <c r="P360" s="11"/>
      <c r="Q360" s="11"/>
      <c r="R360" s="113" t="str">
        <f t="shared" si="35"/>
        <v/>
      </c>
      <c r="S360" s="113" t="str">
        <f t="shared" si="36"/>
        <v/>
      </c>
      <c r="T360" s="114">
        <f>H360*[0]!FMainPool1Fee+I360*[0]!FMainPool2Fee+J360*[0]!FMainPool3Fee+K360*[0]!FMainPool4Fee+B360*[0]!FMainEntryFee</f>
        <v>0</v>
      </c>
      <c r="U360" s="28"/>
    </row>
    <row r="361" spans="1:21" x14ac:dyDescent="0.25">
      <c r="A361" s="26">
        <f t="shared" si="37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09">
        <f t="shared" si="38"/>
        <v>0</v>
      </c>
      <c r="P361" s="11"/>
      <c r="Q361" s="11"/>
      <c r="R361" s="113" t="str">
        <f t="shared" si="35"/>
        <v/>
      </c>
      <c r="S361" s="113" t="str">
        <f t="shared" si="36"/>
        <v/>
      </c>
      <c r="T361" s="114">
        <f>H361*[0]!FMainPool1Fee+I361*[0]!FMainPool2Fee+J361*[0]!FMainPool3Fee+K361*[0]!FMainPool4Fee+B361*[0]!FMainEntryFee</f>
        <v>0</v>
      </c>
      <c r="U361" s="28"/>
    </row>
    <row r="362" spans="1:21" x14ac:dyDescent="0.25">
      <c r="A362" s="26">
        <f t="shared" si="37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09">
        <f t="shared" si="38"/>
        <v>0</v>
      </c>
      <c r="P362" s="11"/>
      <c r="Q362" s="11"/>
      <c r="R362" s="113" t="str">
        <f t="shared" si="35"/>
        <v/>
      </c>
      <c r="S362" s="113" t="str">
        <f t="shared" si="36"/>
        <v/>
      </c>
      <c r="T362" s="114">
        <f>H362*[0]!FMainPool1Fee+I362*[0]!FMainPool2Fee+J362*[0]!FMainPool3Fee+K362*[0]!FMainPool4Fee+B362*[0]!FMainEntryFee</f>
        <v>0</v>
      </c>
      <c r="U362" s="28"/>
    </row>
    <row r="363" spans="1:21" x14ac:dyDescent="0.25">
      <c r="A363" s="26">
        <f t="shared" si="37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09">
        <f t="shared" si="38"/>
        <v>0</v>
      </c>
      <c r="P363" s="11"/>
      <c r="Q363" s="11"/>
      <c r="R363" s="113" t="str">
        <f t="shared" si="35"/>
        <v/>
      </c>
      <c r="S363" s="113" t="str">
        <f t="shared" si="36"/>
        <v/>
      </c>
      <c r="T363" s="114">
        <f>H363*[0]!FMainPool1Fee+I363*[0]!FMainPool2Fee+J363*[0]!FMainPool3Fee+K363*[0]!FMainPool4Fee+B363*[0]!FMainEntryFee</f>
        <v>0</v>
      </c>
      <c r="U363" s="28"/>
    </row>
    <row r="364" spans="1:21" x14ac:dyDescent="0.25">
      <c r="A364" s="26">
        <f t="shared" si="37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09">
        <f t="shared" si="38"/>
        <v>0</v>
      </c>
      <c r="P364" s="11"/>
      <c r="Q364" s="11"/>
      <c r="R364" s="113" t="str">
        <f t="shared" si="35"/>
        <v/>
      </c>
      <c r="S364" s="113" t="str">
        <f t="shared" si="36"/>
        <v/>
      </c>
      <c r="T364" s="114">
        <f>H364*[0]!FMainPool1Fee+I364*[0]!FMainPool2Fee+J364*[0]!FMainPool3Fee+K364*[0]!FMainPool4Fee+B364*[0]!FMainEntryFee</f>
        <v>0</v>
      </c>
      <c r="U364" s="28"/>
    </row>
    <row r="365" spans="1:21" x14ac:dyDescent="0.25">
      <c r="A365" s="26">
        <f t="shared" si="37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09">
        <f t="shared" si="38"/>
        <v>0</v>
      </c>
      <c r="P365" s="11"/>
      <c r="Q365" s="11"/>
      <c r="R365" s="113" t="str">
        <f t="shared" si="35"/>
        <v/>
      </c>
      <c r="S365" s="113" t="str">
        <f t="shared" si="36"/>
        <v/>
      </c>
      <c r="T365" s="114">
        <f>H365*[0]!FMainPool1Fee+I365*[0]!FMainPool2Fee+J365*[0]!FMainPool3Fee+K365*[0]!FMainPool4Fee+B365*[0]!FMainEntryFee</f>
        <v>0</v>
      </c>
      <c r="U365" s="28"/>
    </row>
    <row r="366" spans="1:21" x14ac:dyDescent="0.25">
      <c r="A366" s="26">
        <f t="shared" si="37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09">
        <f t="shared" si="38"/>
        <v>0</v>
      </c>
      <c r="P366" s="11"/>
      <c r="Q366" s="11"/>
      <c r="R366" s="113" t="str">
        <f t="shared" si="35"/>
        <v/>
      </c>
      <c r="S366" s="113" t="str">
        <f t="shared" si="36"/>
        <v/>
      </c>
      <c r="T366" s="114">
        <f>H366*[0]!FMainPool1Fee+I366*[0]!FMainPool2Fee+J366*[0]!FMainPool3Fee+K366*[0]!FMainPool4Fee+B366*[0]!FMainEntryFee</f>
        <v>0</v>
      </c>
      <c r="U366" s="28"/>
    </row>
    <row r="367" spans="1:21" x14ac:dyDescent="0.25">
      <c r="A367" s="26">
        <f t="shared" si="37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09">
        <f t="shared" si="38"/>
        <v>0</v>
      </c>
      <c r="P367" s="11"/>
      <c r="Q367" s="11"/>
      <c r="R367" s="113" t="str">
        <f t="shared" si="35"/>
        <v/>
      </c>
      <c r="S367" s="113" t="str">
        <f t="shared" si="36"/>
        <v/>
      </c>
      <c r="T367" s="114">
        <f>H367*[0]!FMainPool1Fee+I367*[0]!FMainPool2Fee+J367*[0]!FMainPool3Fee+K367*[0]!FMainPool4Fee+B367*[0]!FMainEntryFee</f>
        <v>0</v>
      </c>
      <c r="U367" s="28"/>
    </row>
    <row r="368" spans="1:21" x14ac:dyDescent="0.25">
      <c r="A368" s="26">
        <f t="shared" si="37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09">
        <f t="shared" si="38"/>
        <v>0</v>
      </c>
      <c r="P368" s="11"/>
      <c r="Q368" s="11"/>
      <c r="R368" s="113" t="str">
        <f t="shared" si="35"/>
        <v/>
      </c>
      <c r="S368" s="113" t="str">
        <f t="shared" si="36"/>
        <v/>
      </c>
      <c r="T368" s="114">
        <f>H368*[0]!FMainPool1Fee+I368*[0]!FMainPool2Fee+J368*[0]!FMainPool3Fee+K368*[0]!FMainPool4Fee+B368*[0]!FMainEntryFee</f>
        <v>0</v>
      </c>
      <c r="U368" s="28"/>
    </row>
    <row r="369" spans="1:21" x14ac:dyDescent="0.25">
      <c r="A369" s="26">
        <f t="shared" si="37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09">
        <f t="shared" si="38"/>
        <v>0</v>
      </c>
      <c r="P369" s="11"/>
      <c r="Q369" s="11"/>
      <c r="R369" s="113" t="str">
        <f t="shared" si="35"/>
        <v/>
      </c>
      <c r="S369" s="113" t="str">
        <f t="shared" si="36"/>
        <v/>
      </c>
      <c r="T369" s="114">
        <f>H369*[0]!FMainPool1Fee+I369*[0]!FMainPool2Fee+J369*[0]!FMainPool3Fee+K369*[0]!FMainPool4Fee+B369*[0]!FMainEntryFee</f>
        <v>0</v>
      </c>
      <c r="U369" s="28"/>
    </row>
    <row r="370" spans="1:21" x14ac:dyDescent="0.25">
      <c r="A370" s="26">
        <f t="shared" si="37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09">
        <f t="shared" si="38"/>
        <v>0</v>
      </c>
      <c r="P370" s="11"/>
      <c r="Q370" s="11"/>
      <c r="R370" s="113" t="str">
        <f t="shared" si="35"/>
        <v/>
      </c>
      <c r="S370" s="113" t="str">
        <f t="shared" si="36"/>
        <v/>
      </c>
      <c r="T370" s="114">
        <f>H370*[0]!FMainPool1Fee+I370*[0]!FMainPool2Fee+J370*[0]!FMainPool3Fee+K370*[0]!FMainPool4Fee+B370*[0]!FMainEntryFee</f>
        <v>0</v>
      </c>
      <c r="U370" s="28"/>
    </row>
    <row r="371" spans="1:21" x14ac:dyDescent="0.25">
      <c r="A371" s="26">
        <f t="shared" si="37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09">
        <f t="shared" si="38"/>
        <v>0</v>
      </c>
      <c r="P371" s="11"/>
      <c r="Q371" s="11"/>
      <c r="R371" s="113" t="str">
        <f t="shared" si="35"/>
        <v/>
      </c>
      <c r="S371" s="113" t="str">
        <f t="shared" si="36"/>
        <v/>
      </c>
      <c r="T371" s="114">
        <f>H371*[0]!FMainPool1Fee+I371*[0]!FMainPool2Fee+J371*[0]!FMainPool3Fee+K371*[0]!FMainPool4Fee+B371*[0]!FMainEntryFee</f>
        <v>0</v>
      </c>
      <c r="U371" s="28"/>
    </row>
    <row r="372" spans="1:21" x14ac:dyDescent="0.25">
      <c r="A372" s="26">
        <f t="shared" si="37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09">
        <f t="shared" si="38"/>
        <v>0</v>
      </c>
      <c r="P372" s="11"/>
      <c r="Q372" s="11"/>
      <c r="R372" s="113" t="str">
        <f t="shared" si="35"/>
        <v/>
      </c>
      <c r="S372" s="113" t="str">
        <f t="shared" si="36"/>
        <v/>
      </c>
      <c r="T372" s="114">
        <f>H372*[0]!FMainPool1Fee+I372*[0]!FMainPool2Fee+J372*[0]!FMainPool3Fee+K372*[0]!FMainPool4Fee+B372*[0]!FMainEntryFee</f>
        <v>0</v>
      </c>
      <c r="U372" s="28"/>
    </row>
    <row r="373" spans="1:21" x14ac:dyDescent="0.25">
      <c r="A373" s="26">
        <f t="shared" si="37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09">
        <f t="shared" si="38"/>
        <v>0</v>
      </c>
      <c r="P373" s="11"/>
      <c r="Q373" s="11"/>
      <c r="R373" s="113" t="str">
        <f t="shared" si="35"/>
        <v/>
      </c>
      <c r="S373" s="113" t="str">
        <f t="shared" si="36"/>
        <v/>
      </c>
      <c r="T373" s="114">
        <f>H373*[0]!FMainPool1Fee+I373*[0]!FMainPool2Fee+J373*[0]!FMainPool3Fee+K373*[0]!FMainPool4Fee+B373*[0]!FMainEntryFee</f>
        <v>0</v>
      </c>
      <c r="U373" s="28"/>
    </row>
    <row r="374" spans="1:21" x14ac:dyDescent="0.25">
      <c r="A374" s="26">
        <f t="shared" si="37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09">
        <f t="shared" si="38"/>
        <v>0</v>
      </c>
      <c r="P374" s="11"/>
      <c r="Q374" s="11"/>
      <c r="R374" s="113" t="str">
        <f t="shared" si="35"/>
        <v/>
      </c>
      <c r="S374" s="113" t="str">
        <f t="shared" si="36"/>
        <v/>
      </c>
      <c r="T374" s="114">
        <f>H374*[0]!FMainPool1Fee+I374*[0]!FMainPool2Fee+J374*[0]!FMainPool3Fee+K374*[0]!FMainPool4Fee+B374*[0]!FMainEntryFee</f>
        <v>0</v>
      </c>
      <c r="U374" s="28"/>
    </row>
    <row r="375" spans="1:21" x14ac:dyDescent="0.25">
      <c r="A375" s="26">
        <f t="shared" si="37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09">
        <f t="shared" si="38"/>
        <v>0</v>
      </c>
      <c r="P375" s="11"/>
      <c r="Q375" s="11"/>
      <c r="R375" s="113" t="str">
        <f t="shared" si="35"/>
        <v/>
      </c>
      <c r="S375" s="113" t="str">
        <f t="shared" si="36"/>
        <v/>
      </c>
      <c r="T375" s="114">
        <f>H375*[0]!FMainPool1Fee+I375*[0]!FMainPool2Fee+J375*[0]!FMainPool3Fee+K375*[0]!FMainPool4Fee+B375*[0]!FMainEntryFee</f>
        <v>0</v>
      </c>
      <c r="U375" s="28"/>
    </row>
    <row r="376" spans="1:21" x14ac:dyDescent="0.25">
      <c r="A376" s="26">
        <f t="shared" si="37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09">
        <f t="shared" si="38"/>
        <v>0</v>
      </c>
      <c r="P376" s="11"/>
      <c r="Q376" s="11"/>
      <c r="R376" s="113" t="str">
        <f t="shared" ref="R376:R408" si="39">IF(OR(P376="c",P376="C"),+T376,"")</f>
        <v/>
      </c>
      <c r="S376" s="113" t="str">
        <f t="shared" ref="S376:S408" si="40">IF(OR(P376="$",N376=1),+T376,"")</f>
        <v/>
      </c>
      <c r="T376" s="114">
        <f>H376*[0]!FMainPool1Fee+I376*[0]!FMainPool2Fee+J376*[0]!FMainPool3Fee+K376*[0]!FMainPool4Fee+B376*[0]!FMainEntryFee</f>
        <v>0</v>
      </c>
      <c r="U376" s="28"/>
    </row>
    <row r="377" spans="1:21" x14ac:dyDescent="0.25">
      <c r="A377" s="26">
        <f t="shared" si="37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09">
        <f t="shared" si="38"/>
        <v>0</v>
      </c>
      <c r="P377" s="11"/>
      <c r="Q377" s="11"/>
      <c r="R377" s="113" t="str">
        <f t="shared" si="39"/>
        <v/>
      </c>
      <c r="S377" s="113" t="str">
        <f t="shared" si="40"/>
        <v/>
      </c>
      <c r="T377" s="114">
        <f>H377*[0]!FMainPool1Fee+I377*[0]!FMainPool2Fee+J377*[0]!FMainPool3Fee+K377*[0]!FMainPool4Fee+B377*[0]!FMainEntryFee</f>
        <v>0</v>
      </c>
      <c r="U377" s="28"/>
    </row>
    <row r="378" spans="1:21" x14ac:dyDescent="0.25">
      <c r="A378" s="26">
        <f t="shared" si="37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09">
        <f t="shared" si="38"/>
        <v>0</v>
      </c>
      <c r="P378" s="11"/>
      <c r="Q378" s="11"/>
      <c r="R378" s="113" t="str">
        <f t="shared" si="39"/>
        <v/>
      </c>
      <c r="S378" s="113" t="str">
        <f t="shared" si="40"/>
        <v/>
      </c>
      <c r="T378" s="114">
        <f>H378*[0]!FMainPool1Fee+I378*[0]!FMainPool2Fee+J378*[0]!FMainPool3Fee+K378*[0]!FMainPool4Fee+B378*[0]!FMainEntryFee</f>
        <v>0</v>
      </c>
      <c r="U378" s="28"/>
    </row>
    <row r="379" spans="1:21" x14ac:dyDescent="0.25">
      <c r="A379" s="26">
        <f t="shared" si="37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09">
        <f t="shared" si="38"/>
        <v>0</v>
      </c>
      <c r="P379" s="11"/>
      <c r="Q379" s="11"/>
      <c r="R379" s="113" t="str">
        <f t="shared" si="39"/>
        <v/>
      </c>
      <c r="S379" s="113" t="str">
        <f t="shared" si="40"/>
        <v/>
      </c>
      <c r="T379" s="114">
        <f>H379*[0]!FMainPool1Fee+I379*[0]!FMainPool2Fee+J379*[0]!FMainPool3Fee+K379*[0]!FMainPool4Fee+B379*[0]!FMainEntryFee</f>
        <v>0</v>
      </c>
      <c r="U379" s="28"/>
    </row>
    <row r="380" spans="1:21" x14ac:dyDescent="0.25">
      <c r="A380" s="26">
        <f t="shared" si="37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09">
        <f t="shared" si="38"/>
        <v>0</v>
      </c>
      <c r="P380" s="11"/>
      <c r="Q380" s="11"/>
      <c r="R380" s="113" t="str">
        <f t="shared" si="39"/>
        <v/>
      </c>
      <c r="S380" s="113" t="str">
        <f t="shared" si="40"/>
        <v/>
      </c>
      <c r="T380" s="114">
        <f>H380*[0]!FMainPool1Fee+I380*[0]!FMainPool2Fee+J380*[0]!FMainPool3Fee+K380*[0]!FMainPool4Fee+B380*[0]!FMainEntryFee</f>
        <v>0</v>
      </c>
      <c r="U380" s="28"/>
    </row>
    <row r="381" spans="1:21" x14ac:dyDescent="0.25">
      <c r="A381" s="26">
        <f t="shared" si="37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09">
        <f t="shared" si="38"/>
        <v>0</v>
      </c>
      <c r="P381" s="11"/>
      <c r="Q381" s="11"/>
      <c r="R381" s="113" t="str">
        <f t="shared" si="39"/>
        <v/>
      </c>
      <c r="S381" s="113" t="str">
        <f t="shared" si="40"/>
        <v/>
      </c>
      <c r="T381" s="114">
        <f>H381*[0]!FMainPool1Fee+I381*[0]!FMainPool2Fee+J381*[0]!FMainPool3Fee+K381*[0]!FMainPool4Fee+B381*[0]!FMainEntryFee</f>
        <v>0</v>
      </c>
      <c r="U381" s="28"/>
    </row>
    <row r="382" spans="1:21" x14ac:dyDescent="0.25">
      <c r="A382" s="26">
        <f t="shared" si="37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09">
        <f t="shared" si="38"/>
        <v>0</v>
      </c>
      <c r="P382" s="11"/>
      <c r="Q382" s="11"/>
      <c r="R382" s="113" t="str">
        <f t="shared" si="39"/>
        <v/>
      </c>
      <c r="S382" s="113" t="str">
        <f t="shared" si="40"/>
        <v/>
      </c>
      <c r="T382" s="114">
        <f>H382*[0]!FMainPool1Fee+I382*[0]!FMainPool2Fee+J382*[0]!FMainPool3Fee+K382*[0]!FMainPool4Fee+B382*[0]!FMainEntryFee</f>
        <v>0</v>
      </c>
      <c r="U382" s="28"/>
    </row>
    <row r="383" spans="1:21" x14ac:dyDescent="0.25">
      <c r="A383" s="26">
        <f t="shared" si="37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09">
        <f t="shared" si="38"/>
        <v>0</v>
      </c>
      <c r="P383" s="11"/>
      <c r="Q383" s="11"/>
      <c r="R383" s="113" t="str">
        <f t="shared" si="39"/>
        <v/>
      </c>
      <c r="S383" s="113" t="str">
        <f t="shared" si="40"/>
        <v/>
      </c>
      <c r="T383" s="114">
        <f>H383*[0]!FMainPool1Fee+I383*[0]!FMainPool2Fee+J383*[0]!FMainPool3Fee+K383*[0]!FMainPool4Fee+B383*[0]!FMainEntryFee</f>
        <v>0</v>
      </c>
      <c r="U383" s="28"/>
    </row>
    <row r="384" spans="1:21" x14ac:dyDescent="0.25">
      <c r="A384" s="26">
        <f t="shared" si="37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09">
        <f t="shared" si="38"/>
        <v>0</v>
      </c>
      <c r="P384" s="11"/>
      <c r="Q384" s="11"/>
      <c r="R384" s="113" t="str">
        <f t="shared" si="39"/>
        <v/>
      </c>
      <c r="S384" s="113" t="str">
        <f t="shared" si="40"/>
        <v/>
      </c>
      <c r="T384" s="114">
        <f>H384*[0]!FMainPool1Fee+I384*[0]!FMainPool2Fee+J384*[0]!FMainPool3Fee+K384*[0]!FMainPool4Fee+B384*[0]!FMainEntryFee</f>
        <v>0</v>
      </c>
      <c r="U384" s="28"/>
    </row>
    <row r="385" spans="1:21" x14ac:dyDescent="0.25">
      <c r="A385" s="26">
        <f t="shared" si="37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09">
        <f t="shared" si="38"/>
        <v>0</v>
      </c>
      <c r="P385" s="11"/>
      <c r="Q385" s="11"/>
      <c r="R385" s="113" t="str">
        <f t="shared" si="39"/>
        <v/>
      </c>
      <c r="S385" s="113" t="str">
        <f t="shared" si="40"/>
        <v/>
      </c>
      <c r="T385" s="114">
        <f>H385*[0]!FMainPool1Fee+I385*[0]!FMainPool2Fee+J385*[0]!FMainPool3Fee+K385*[0]!FMainPool4Fee+B385*[0]!FMainEntryFee</f>
        <v>0</v>
      </c>
      <c r="U385" s="28"/>
    </row>
    <row r="386" spans="1:21" x14ac:dyDescent="0.25">
      <c r="A386" s="26">
        <f t="shared" si="37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09">
        <f t="shared" si="38"/>
        <v>0</v>
      </c>
      <c r="P386" s="11"/>
      <c r="Q386" s="11"/>
      <c r="R386" s="113" t="str">
        <f t="shared" si="39"/>
        <v/>
      </c>
      <c r="S386" s="113" t="str">
        <f t="shared" si="40"/>
        <v/>
      </c>
      <c r="T386" s="114">
        <f>H386*[0]!FMainPool1Fee+I386*[0]!FMainPool2Fee+J386*[0]!FMainPool3Fee+K386*[0]!FMainPool4Fee+B386*[0]!FMainEntryFee</f>
        <v>0</v>
      </c>
      <c r="U386" s="28"/>
    </row>
    <row r="387" spans="1:21" x14ac:dyDescent="0.25">
      <c r="A387" s="26">
        <f t="shared" si="37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09">
        <f t="shared" si="38"/>
        <v>0</v>
      </c>
      <c r="P387" s="11"/>
      <c r="Q387" s="11"/>
      <c r="R387" s="113" t="str">
        <f t="shared" si="39"/>
        <v/>
      </c>
      <c r="S387" s="113" t="str">
        <f t="shared" si="40"/>
        <v/>
      </c>
      <c r="T387" s="114">
        <f>H387*[0]!FMainPool1Fee+I387*[0]!FMainPool2Fee+J387*[0]!FMainPool3Fee+K387*[0]!FMainPool4Fee+B387*[0]!FMainEntryFee</f>
        <v>0</v>
      </c>
      <c r="U387" s="28"/>
    </row>
    <row r="388" spans="1:21" x14ac:dyDescent="0.25">
      <c r="A388" s="26">
        <f t="shared" si="37"/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09">
        <f t="shared" si="38"/>
        <v>0</v>
      </c>
      <c r="P388" s="11"/>
      <c r="Q388" s="11"/>
      <c r="R388" s="113" t="str">
        <f t="shared" si="39"/>
        <v/>
      </c>
      <c r="S388" s="113" t="str">
        <f t="shared" si="40"/>
        <v/>
      </c>
      <c r="T388" s="114">
        <f>H388*[0]!FMainPool1Fee+I388*[0]!FMainPool2Fee+J388*[0]!FMainPool3Fee+K388*[0]!FMainPool4Fee+B388*[0]!FMainEntryFee</f>
        <v>0</v>
      </c>
      <c r="U388" s="28"/>
    </row>
    <row r="389" spans="1:21" x14ac:dyDescent="0.25">
      <c r="A389" s="26">
        <f t="shared" si="37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09">
        <f t="shared" si="38"/>
        <v>0</v>
      </c>
      <c r="P389" s="11"/>
      <c r="Q389" s="11"/>
      <c r="R389" s="113" t="str">
        <f t="shared" si="39"/>
        <v/>
      </c>
      <c r="S389" s="113" t="str">
        <f t="shared" si="40"/>
        <v/>
      </c>
      <c r="T389" s="114">
        <f>H389*[0]!FMainPool1Fee+I389*[0]!FMainPool2Fee+J389*[0]!FMainPool3Fee+K389*[0]!FMainPool4Fee+B389*[0]!FMainEntryFee</f>
        <v>0</v>
      </c>
      <c r="U389" s="28"/>
    </row>
    <row r="390" spans="1:21" x14ac:dyDescent="0.25">
      <c r="A390" s="26">
        <f t="shared" si="37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09">
        <f t="shared" si="38"/>
        <v>0</v>
      </c>
      <c r="P390" s="11"/>
      <c r="Q390" s="11"/>
      <c r="R390" s="113" t="str">
        <f t="shared" si="39"/>
        <v/>
      </c>
      <c r="S390" s="113" t="str">
        <f t="shared" si="40"/>
        <v/>
      </c>
      <c r="T390" s="114">
        <f>H390*[0]!FMainPool1Fee+I390*[0]!FMainPool2Fee+J390*[0]!FMainPool3Fee+K390*[0]!FMainPool4Fee+B390*[0]!FMainEntryFee</f>
        <v>0</v>
      </c>
      <c r="U390" s="28"/>
    </row>
    <row r="391" spans="1:21" x14ac:dyDescent="0.25">
      <c r="A391" s="26">
        <f t="shared" si="37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09">
        <f t="shared" si="38"/>
        <v>0</v>
      </c>
      <c r="P391" s="11"/>
      <c r="Q391" s="11"/>
      <c r="R391" s="113" t="str">
        <f t="shared" si="39"/>
        <v/>
      </c>
      <c r="S391" s="113" t="str">
        <f t="shared" si="40"/>
        <v/>
      </c>
      <c r="T391" s="114">
        <f>H391*[0]!FMainPool1Fee+I391*[0]!FMainPool2Fee+J391*[0]!FMainPool3Fee+K391*[0]!FMainPool4Fee+B391*[0]!FMainEntryFee</f>
        <v>0</v>
      </c>
      <c r="U391" s="28"/>
    </row>
    <row r="392" spans="1:21" x14ac:dyDescent="0.25">
      <c r="A392" s="26">
        <f t="shared" si="37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09">
        <f t="shared" si="38"/>
        <v>0</v>
      </c>
      <c r="P392" s="11"/>
      <c r="Q392" s="11"/>
      <c r="R392" s="113" t="str">
        <f t="shared" si="39"/>
        <v/>
      </c>
      <c r="S392" s="113" t="str">
        <f t="shared" si="40"/>
        <v/>
      </c>
      <c r="T392" s="114">
        <f>H392*[0]!FMainPool1Fee+I392*[0]!FMainPool2Fee+J392*[0]!FMainPool3Fee+K392*[0]!FMainPool4Fee+B392*[0]!FMainEntryFee</f>
        <v>0</v>
      </c>
      <c r="U392" s="28"/>
    </row>
    <row r="393" spans="1:21" x14ac:dyDescent="0.25">
      <c r="A393" s="26">
        <f t="shared" si="37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09">
        <f t="shared" si="38"/>
        <v>0</v>
      </c>
      <c r="P393" s="11"/>
      <c r="Q393" s="11"/>
      <c r="R393" s="113" t="str">
        <f t="shared" si="39"/>
        <v/>
      </c>
      <c r="S393" s="113" t="str">
        <f t="shared" si="40"/>
        <v/>
      </c>
      <c r="T393" s="114">
        <f>H393*[0]!FMainPool1Fee+I393*[0]!FMainPool2Fee+J393*[0]!FMainPool3Fee+K393*[0]!FMainPool4Fee+B393*[0]!FMainEntryFee</f>
        <v>0</v>
      </c>
      <c r="U393" s="28"/>
    </row>
    <row r="394" spans="1:21" x14ac:dyDescent="0.25">
      <c r="A394" s="26">
        <f t="shared" ref="A394:A408" si="41">ROW() - ROW(FRegEntriesEnteredHdr)</f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09">
        <f t="shared" si="38"/>
        <v>0</v>
      </c>
      <c r="P394" s="11"/>
      <c r="Q394" s="11"/>
      <c r="R394" s="113" t="str">
        <f t="shared" si="39"/>
        <v/>
      </c>
      <c r="S394" s="113" t="str">
        <f t="shared" si="40"/>
        <v/>
      </c>
      <c r="T394" s="114">
        <f>H394*[0]!FMainPool1Fee+I394*[0]!FMainPool2Fee+J394*[0]!FMainPool3Fee+K394*[0]!FMainPool4Fee+B394*[0]!FMainEntryFee</f>
        <v>0</v>
      </c>
      <c r="U394" s="28"/>
    </row>
    <row r="395" spans="1:21" x14ac:dyDescent="0.25">
      <c r="A395" s="26">
        <f t="shared" si="41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09">
        <f t="shared" ref="O395:O408" si="42">T395*N395</f>
        <v>0</v>
      </c>
      <c r="P395" s="11"/>
      <c r="Q395" s="11"/>
      <c r="R395" s="113" t="str">
        <f t="shared" si="39"/>
        <v/>
      </c>
      <c r="S395" s="113" t="str">
        <f t="shared" si="40"/>
        <v/>
      </c>
      <c r="T395" s="114">
        <f>H395*[0]!FMainPool1Fee+I395*[0]!FMainPool2Fee+J395*[0]!FMainPool3Fee+K395*[0]!FMainPool4Fee+B395*[0]!FMainEntryFee</f>
        <v>0</v>
      </c>
      <c r="U395" s="28"/>
    </row>
    <row r="396" spans="1:21" x14ac:dyDescent="0.25">
      <c r="A396" s="26">
        <f t="shared" si="41"/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09">
        <f t="shared" si="42"/>
        <v>0</v>
      </c>
      <c r="P396" s="11"/>
      <c r="Q396" s="11"/>
      <c r="R396" s="113" t="str">
        <f t="shared" si="39"/>
        <v/>
      </c>
      <c r="S396" s="113" t="str">
        <f t="shared" si="40"/>
        <v/>
      </c>
      <c r="T396" s="114">
        <f>H396*[0]!FMainPool1Fee+I396*[0]!FMainPool2Fee+J396*[0]!FMainPool3Fee+K396*[0]!FMainPool4Fee+B396*[0]!FMainEntryFee</f>
        <v>0</v>
      </c>
      <c r="U396" s="28"/>
    </row>
    <row r="397" spans="1:21" x14ac:dyDescent="0.25">
      <c r="A397" s="26">
        <f t="shared" si="41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09">
        <f t="shared" si="42"/>
        <v>0</v>
      </c>
      <c r="P397" s="11"/>
      <c r="Q397" s="11"/>
      <c r="R397" s="113" t="str">
        <f t="shared" si="39"/>
        <v/>
      </c>
      <c r="S397" s="113" t="str">
        <f t="shared" si="40"/>
        <v/>
      </c>
      <c r="T397" s="114">
        <f>H397*[0]!FMainPool1Fee+I397*[0]!FMainPool2Fee+J397*[0]!FMainPool3Fee+K397*[0]!FMainPool4Fee+B397*[0]!FMainEntryFee</f>
        <v>0</v>
      </c>
      <c r="U397" s="28"/>
    </row>
    <row r="398" spans="1:21" x14ac:dyDescent="0.25">
      <c r="A398" s="26">
        <f t="shared" si="41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09">
        <f t="shared" si="42"/>
        <v>0</v>
      </c>
      <c r="P398" s="11"/>
      <c r="Q398" s="11"/>
      <c r="R398" s="113" t="str">
        <f t="shared" si="39"/>
        <v/>
      </c>
      <c r="S398" s="113" t="str">
        <f t="shared" si="40"/>
        <v/>
      </c>
      <c r="T398" s="114">
        <f>H398*[0]!FMainPool1Fee+I398*[0]!FMainPool2Fee+J398*[0]!FMainPool3Fee+K398*[0]!FMainPool4Fee+B398*[0]!FMainEntryFee</f>
        <v>0</v>
      </c>
      <c r="U398" s="28"/>
    </row>
    <row r="399" spans="1:21" x14ac:dyDescent="0.25">
      <c r="A399" s="26">
        <f t="shared" si="41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09">
        <f t="shared" si="42"/>
        <v>0</v>
      </c>
      <c r="P399" s="11"/>
      <c r="Q399" s="11"/>
      <c r="R399" s="113" t="str">
        <f t="shared" si="39"/>
        <v/>
      </c>
      <c r="S399" s="113" t="str">
        <f t="shared" si="40"/>
        <v/>
      </c>
      <c r="T399" s="114">
        <f>H399*[0]!FMainPool1Fee+I399*[0]!FMainPool2Fee+J399*[0]!FMainPool3Fee+K399*[0]!FMainPool4Fee+B399*[0]!FMainEntryFee</f>
        <v>0</v>
      </c>
      <c r="U399" s="28"/>
    </row>
    <row r="400" spans="1:21" x14ac:dyDescent="0.25">
      <c r="A400" s="26">
        <f t="shared" si="41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09">
        <f t="shared" si="42"/>
        <v>0</v>
      </c>
      <c r="P400" s="11"/>
      <c r="Q400" s="11"/>
      <c r="R400" s="113" t="str">
        <f t="shared" si="39"/>
        <v/>
      </c>
      <c r="S400" s="113" t="str">
        <f t="shared" si="40"/>
        <v/>
      </c>
      <c r="T400" s="114">
        <f>H400*[0]!FMainPool1Fee+I400*[0]!FMainPool2Fee+J400*[0]!FMainPool3Fee+K400*[0]!FMainPool4Fee+B400*[0]!FMainEntryFee</f>
        <v>0</v>
      </c>
      <c r="U400" s="28"/>
    </row>
    <row r="401" spans="1:21" x14ac:dyDescent="0.25">
      <c r="A401" s="26">
        <f t="shared" si="41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09">
        <f t="shared" si="42"/>
        <v>0</v>
      </c>
      <c r="P401" s="11"/>
      <c r="Q401" s="11"/>
      <c r="R401" s="113" t="str">
        <f t="shared" si="39"/>
        <v/>
      </c>
      <c r="S401" s="113" t="str">
        <f t="shared" si="40"/>
        <v/>
      </c>
      <c r="T401" s="114">
        <f>H401*[0]!FMainPool1Fee+I401*[0]!FMainPool2Fee+J401*[0]!FMainPool3Fee+K401*[0]!FMainPool4Fee+B401*[0]!FMainEntryFee</f>
        <v>0</v>
      </c>
      <c r="U401" s="28"/>
    </row>
    <row r="402" spans="1:21" x14ac:dyDescent="0.25">
      <c r="A402" s="26">
        <f t="shared" si="41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09">
        <f t="shared" si="42"/>
        <v>0</v>
      </c>
      <c r="P402" s="11"/>
      <c r="Q402" s="11"/>
      <c r="R402" s="113" t="str">
        <f t="shared" si="39"/>
        <v/>
      </c>
      <c r="S402" s="113" t="str">
        <f t="shared" si="40"/>
        <v/>
      </c>
      <c r="T402" s="114">
        <f>H402*[0]!FMainPool1Fee+I402*[0]!FMainPool2Fee+J402*[0]!FMainPool3Fee+K402*[0]!FMainPool4Fee+B402*[0]!FMainEntryFee</f>
        <v>0</v>
      </c>
      <c r="U402" s="28"/>
    </row>
    <row r="403" spans="1:21" x14ac:dyDescent="0.25">
      <c r="A403" s="26">
        <f t="shared" si="41"/>
        <v>392</v>
      </c>
      <c r="B403" s="11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09">
        <f t="shared" si="42"/>
        <v>0</v>
      </c>
      <c r="P403" s="11"/>
      <c r="Q403" s="11"/>
      <c r="R403" s="113" t="str">
        <f t="shared" si="39"/>
        <v/>
      </c>
      <c r="S403" s="113" t="str">
        <f t="shared" si="40"/>
        <v/>
      </c>
      <c r="T403" s="114">
        <f>H403*[0]!FMainPool1Fee+I403*[0]!FMainPool2Fee+J403*[0]!FMainPool3Fee+K403*[0]!FMainPool4Fee+B403*[0]!FMainEntryFee</f>
        <v>0</v>
      </c>
      <c r="U403" s="28"/>
    </row>
    <row r="404" spans="1:21" x14ac:dyDescent="0.25">
      <c r="A404" s="26">
        <f t="shared" si="41"/>
        <v>393</v>
      </c>
      <c r="B404" s="11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09">
        <f t="shared" si="42"/>
        <v>0</v>
      </c>
      <c r="P404" s="11"/>
      <c r="Q404" s="11"/>
      <c r="R404" s="113" t="str">
        <f t="shared" si="39"/>
        <v/>
      </c>
      <c r="S404" s="113" t="str">
        <f t="shared" si="40"/>
        <v/>
      </c>
      <c r="T404" s="114">
        <f>H404*[0]!FMainPool1Fee+I404*[0]!FMainPool2Fee+J404*[0]!FMainPool3Fee+K404*[0]!FMainPool4Fee+B404*[0]!FMainEntryFee</f>
        <v>0</v>
      </c>
      <c r="U404" s="28"/>
    </row>
    <row r="405" spans="1:21" x14ac:dyDescent="0.25">
      <c r="A405" s="26">
        <f t="shared" si="41"/>
        <v>394</v>
      </c>
      <c r="B405" s="11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09">
        <f t="shared" si="42"/>
        <v>0</v>
      </c>
      <c r="P405" s="11"/>
      <c r="Q405" s="11"/>
      <c r="R405" s="113" t="str">
        <f t="shared" si="39"/>
        <v/>
      </c>
      <c r="S405" s="113" t="str">
        <f t="shared" si="40"/>
        <v/>
      </c>
      <c r="T405" s="114">
        <f>H405*[0]!FMainPool1Fee+I405*[0]!FMainPool2Fee+J405*[0]!FMainPool3Fee+K405*[0]!FMainPool4Fee+B405*[0]!FMainEntryFee</f>
        <v>0</v>
      </c>
      <c r="U405" s="28"/>
    </row>
    <row r="406" spans="1:21" x14ac:dyDescent="0.25">
      <c r="A406" s="26">
        <f t="shared" si="41"/>
        <v>395</v>
      </c>
      <c r="B406" s="11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09">
        <f t="shared" si="42"/>
        <v>0</v>
      </c>
      <c r="P406" s="11"/>
      <c r="Q406" s="11"/>
      <c r="R406" s="113" t="str">
        <f t="shared" si="39"/>
        <v/>
      </c>
      <c r="S406" s="113" t="str">
        <f t="shared" si="40"/>
        <v/>
      </c>
      <c r="T406" s="114">
        <f>H406*[0]!FMainPool1Fee+I406*[0]!FMainPool2Fee+J406*[0]!FMainPool3Fee+K406*[0]!FMainPool4Fee+B406*[0]!FMainEntryFee</f>
        <v>0</v>
      </c>
      <c r="U406" s="28"/>
    </row>
    <row r="407" spans="1:21" x14ac:dyDescent="0.25">
      <c r="A407" s="26">
        <f t="shared" si="41"/>
        <v>396</v>
      </c>
      <c r="B407" s="11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09">
        <f t="shared" si="42"/>
        <v>0</v>
      </c>
      <c r="P407" s="11"/>
      <c r="Q407" s="11"/>
      <c r="R407" s="113" t="str">
        <f t="shared" si="39"/>
        <v/>
      </c>
      <c r="S407" s="113" t="str">
        <f t="shared" si="40"/>
        <v/>
      </c>
      <c r="T407" s="114">
        <f>H407*[0]!FMainPool1Fee+I407*[0]!FMainPool2Fee+J407*[0]!FMainPool3Fee+K407*[0]!FMainPool4Fee+B407*[0]!FMainEntryFee</f>
        <v>0</v>
      </c>
      <c r="U407" s="28"/>
    </row>
    <row r="408" spans="1:21" x14ac:dyDescent="0.25">
      <c r="A408" s="26">
        <f t="shared" si="41"/>
        <v>397</v>
      </c>
      <c r="B408" s="11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09">
        <f t="shared" si="42"/>
        <v>0</v>
      </c>
      <c r="P408" s="11"/>
      <c r="Q408" s="11"/>
      <c r="R408" s="113" t="str">
        <f t="shared" si="39"/>
        <v/>
      </c>
      <c r="S408" s="113" t="str">
        <f t="shared" si="40"/>
        <v/>
      </c>
      <c r="T408" s="114">
        <f>H408*[0]!FMainPool1Fee+I408*[0]!FMainPool2Fee+J408*[0]!FMainPool3Fee+K408*[0]!FMainPool4Fee+B408*[0]!FMainEntryFee</f>
        <v>0</v>
      </c>
      <c r="U408" s="28"/>
    </row>
    <row r="409" spans="1:21" x14ac:dyDescent="0.25">
      <c r="A409" s="34"/>
    </row>
    <row r="410" spans="1:21" x14ac:dyDescent="0.25">
      <c r="A410" s="34"/>
    </row>
    <row r="411" spans="1:21" x14ac:dyDescent="0.25">
      <c r="A411" s="34"/>
    </row>
    <row r="412" spans="1:21" x14ac:dyDescent="0.25">
      <c r="A412" s="34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5" name="Button 46">
              <controlPr defaultSize="0" print="0" autoFill="0" autoPict="0" macro="[0]!ThisWorkbook.ClearPlayerInput_Click">
                <anchor moveWithCells="1" sizeWithCells="1">
                  <from>
                    <xdr:col>21</xdr:col>
                    <xdr:colOff>57150</xdr:colOff>
                    <xdr:row>3</xdr:row>
                    <xdr:rowOff>152400</xdr:rowOff>
                  </from>
                  <to>
                    <xdr:col>21</xdr:col>
                    <xdr:colOff>1133475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2"/>
      <c r="K3" s="62"/>
      <c r="L3" s="92"/>
    </row>
    <row r="5" spans="1:12" x14ac:dyDescent="0.25">
      <c r="K5" s="118"/>
    </row>
    <row r="7" spans="1:12" ht="21" x14ac:dyDescent="0.35">
      <c r="A7" s="32" t="s">
        <v>620</v>
      </c>
    </row>
    <row r="8" spans="1:12" x14ac:dyDescent="0.25">
      <c r="K8" s="45"/>
    </row>
    <row r="9" spans="1:12" ht="30" x14ac:dyDescent="0.25">
      <c r="A9" s="20" t="s">
        <v>0</v>
      </c>
      <c r="B9" s="21" t="s">
        <v>1</v>
      </c>
      <c r="C9" s="22" t="s">
        <v>2</v>
      </c>
      <c r="D9" s="19" t="s">
        <v>87</v>
      </c>
      <c r="E9" s="19" t="s">
        <v>88</v>
      </c>
      <c r="F9" s="19" t="s">
        <v>89</v>
      </c>
      <c r="G9" s="19" t="s">
        <v>90</v>
      </c>
      <c r="H9" s="19" t="s">
        <v>3</v>
      </c>
      <c r="I9" s="19" t="s">
        <v>86</v>
      </c>
      <c r="J9" s="19" t="s">
        <v>4</v>
      </c>
      <c r="K9" s="39" t="s">
        <v>91</v>
      </c>
      <c r="L9" s="44" t="s">
        <v>92</v>
      </c>
    </row>
    <row r="10" spans="1:12" x14ac:dyDescent="0.25">
      <c r="A10" s="7"/>
      <c r="B10" s="111"/>
      <c r="C10" s="78"/>
      <c r="D10" s="10"/>
      <c r="E10" s="11"/>
      <c r="F10" s="11"/>
      <c r="G10" s="11"/>
      <c r="H10" s="11"/>
      <c r="I10" s="11"/>
      <c r="J10" s="11"/>
      <c r="K10" s="43">
        <f t="shared" ref="K10:K50" si="0">D10*FMainPool1Fee + E10*FMainPool2Fee + F10*FMainPool3Fee+ G10*FMainPool4Fee + IF(A10&lt;&gt;"",1,0) * FMainEntryFee</f>
        <v>0</v>
      </c>
      <c r="L10" s="80"/>
    </row>
    <row r="11" spans="1:12" x14ac:dyDescent="0.25">
      <c r="A11" s="7"/>
      <c r="B11" s="7"/>
      <c r="C11" s="48"/>
      <c r="D11" s="10"/>
      <c r="E11" s="10"/>
      <c r="F11" s="10"/>
      <c r="G11" s="10"/>
      <c r="H11" s="11"/>
      <c r="I11" s="11"/>
      <c r="J11" s="11"/>
      <c r="K11" s="43">
        <f t="shared" si="0"/>
        <v>0</v>
      </c>
      <c r="L11" s="80"/>
    </row>
    <row r="12" spans="1:12" x14ac:dyDescent="0.25">
      <c r="A12" s="80"/>
      <c r="B12" s="80"/>
      <c r="C12" s="99"/>
      <c r="D12" s="10"/>
      <c r="E12" s="11"/>
      <c r="F12" s="11"/>
      <c r="G12" s="11"/>
      <c r="H12" s="11"/>
      <c r="I12" s="11"/>
      <c r="J12" s="11"/>
      <c r="K12" s="43">
        <f t="shared" si="0"/>
        <v>0</v>
      </c>
      <c r="L12" s="80"/>
    </row>
    <row r="13" spans="1:12" x14ac:dyDescent="0.25">
      <c r="A13" s="7"/>
      <c r="B13" s="7"/>
      <c r="C13" s="48"/>
      <c r="D13" s="10"/>
      <c r="E13" s="11"/>
      <c r="F13" s="11"/>
      <c r="G13" s="11"/>
      <c r="H13" s="11"/>
      <c r="I13" s="11"/>
      <c r="J13" s="11"/>
      <c r="K13" s="43">
        <f t="shared" si="0"/>
        <v>0</v>
      </c>
      <c r="L13" s="80"/>
    </row>
    <row r="14" spans="1:12" x14ac:dyDescent="0.25">
      <c r="A14" s="1"/>
      <c r="B14" s="1"/>
      <c r="C14" s="2"/>
      <c r="D14" s="3"/>
      <c r="E14" s="3"/>
      <c r="F14" s="3"/>
      <c r="G14" s="4"/>
      <c r="H14" s="4"/>
      <c r="I14" s="4"/>
      <c r="J14" s="4"/>
      <c r="K14" s="43">
        <f t="shared" si="0"/>
        <v>0</v>
      </c>
      <c r="L14" s="80"/>
    </row>
    <row r="15" spans="1:12" x14ac:dyDescent="0.25">
      <c r="A15" s="7"/>
      <c r="B15" s="7"/>
      <c r="C15" s="48"/>
      <c r="D15" s="10"/>
      <c r="E15" s="11"/>
      <c r="F15" s="11"/>
      <c r="G15" s="11"/>
      <c r="H15" s="11"/>
      <c r="I15" s="11"/>
      <c r="J15" s="11"/>
      <c r="K15" s="43">
        <f t="shared" si="0"/>
        <v>0</v>
      </c>
      <c r="L15" s="80"/>
    </row>
    <row r="16" spans="1:12" x14ac:dyDescent="0.25">
      <c r="A16" s="7"/>
      <c r="B16" s="7"/>
      <c r="C16" s="48"/>
      <c r="D16" s="10"/>
      <c r="E16" s="11"/>
      <c r="F16" s="11"/>
      <c r="G16" s="11"/>
      <c r="H16" s="11"/>
      <c r="I16" s="11"/>
      <c r="J16" s="11"/>
      <c r="K16" s="43">
        <f t="shared" si="0"/>
        <v>0</v>
      </c>
      <c r="L16" s="80"/>
    </row>
    <row r="17" spans="1:12" x14ac:dyDescent="0.25">
      <c r="A17" s="8"/>
      <c r="B17" s="8"/>
      <c r="C17" s="9"/>
      <c r="D17" s="3"/>
      <c r="E17" s="3"/>
      <c r="F17" s="3"/>
      <c r="G17" s="4"/>
      <c r="H17" s="4"/>
      <c r="I17" s="4"/>
      <c r="J17" s="4"/>
      <c r="K17" s="43">
        <f t="shared" si="0"/>
        <v>0</v>
      </c>
      <c r="L17" s="80"/>
    </row>
    <row r="18" spans="1:12" x14ac:dyDescent="0.25">
      <c r="A18" s="7"/>
      <c r="B18" s="7"/>
      <c r="C18" s="48"/>
      <c r="D18" s="3"/>
      <c r="E18" s="3"/>
      <c r="F18" s="3"/>
      <c r="G18" s="4"/>
      <c r="H18" s="4"/>
      <c r="I18" s="4"/>
      <c r="J18" s="4"/>
      <c r="K18" s="43">
        <f t="shared" si="0"/>
        <v>0</v>
      </c>
      <c r="L18" s="80"/>
    </row>
    <row r="19" spans="1:12" x14ac:dyDescent="0.25">
      <c r="A19" s="8"/>
      <c r="B19" s="8"/>
      <c r="C19" s="9"/>
      <c r="D19" s="3"/>
      <c r="E19" s="3"/>
      <c r="F19" s="3"/>
      <c r="G19" s="4"/>
      <c r="H19" s="4"/>
      <c r="I19" s="4"/>
      <c r="J19" s="4"/>
      <c r="K19" s="43">
        <f t="shared" si="0"/>
        <v>0</v>
      </c>
      <c r="L19" s="80"/>
    </row>
    <row r="20" spans="1:12" x14ac:dyDescent="0.25">
      <c r="A20" s="1"/>
      <c r="B20" s="5"/>
      <c r="C20" s="2"/>
      <c r="D20" s="10"/>
      <c r="E20" s="11"/>
      <c r="F20" s="11"/>
      <c r="G20" s="11"/>
      <c r="H20" s="11"/>
      <c r="I20" s="11"/>
      <c r="J20" s="11"/>
      <c r="K20" s="43">
        <f t="shared" si="0"/>
        <v>0</v>
      </c>
      <c r="L20" s="80"/>
    </row>
    <row r="21" spans="1:12" x14ac:dyDescent="0.25">
      <c r="A21" s="7"/>
      <c r="B21" s="7"/>
      <c r="C21" s="48"/>
      <c r="D21" s="10"/>
      <c r="E21" s="11"/>
      <c r="F21" s="11"/>
      <c r="G21" s="11"/>
      <c r="H21" s="11"/>
      <c r="I21" s="11"/>
      <c r="J21" s="11"/>
      <c r="K21" s="43">
        <f t="shared" si="0"/>
        <v>0</v>
      </c>
      <c r="L21" s="80"/>
    </row>
    <row r="22" spans="1:12" x14ac:dyDescent="0.25">
      <c r="A22" s="7"/>
      <c r="B22" s="7"/>
      <c r="C22" s="48"/>
      <c r="D22" s="10"/>
      <c r="E22" s="11"/>
      <c r="F22" s="11"/>
      <c r="G22" s="11"/>
      <c r="H22" s="11"/>
      <c r="I22" s="11"/>
      <c r="J22" s="11"/>
      <c r="K22" s="43">
        <f t="shared" si="0"/>
        <v>0</v>
      </c>
      <c r="L22" s="80"/>
    </row>
    <row r="23" spans="1:12" x14ac:dyDescent="0.25">
      <c r="A23" s="7"/>
      <c r="B23" s="7"/>
      <c r="C23" s="48"/>
      <c r="D23" s="10"/>
      <c r="E23" s="11"/>
      <c r="F23" s="11"/>
      <c r="G23" s="11"/>
      <c r="H23" s="11"/>
      <c r="I23" s="11"/>
      <c r="J23" s="11"/>
      <c r="K23" s="43">
        <f t="shared" si="0"/>
        <v>0</v>
      </c>
      <c r="L23" s="80"/>
    </row>
    <row r="24" spans="1:12" x14ac:dyDescent="0.25">
      <c r="A24" s="7"/>
      <c r="B24" s="7"/>
      <c r="C24" s="48"/>
      <c r="D24" s="3"/>
      <c r="E24" s="3"/>
      <c r="F24" s="3"/>
      <c r="G24" s="4"/>
      <c r="H24" s="4"/>
      <c r="I24" s="4"/>
      <c r="J24" s="4"/>
      <c r="K24" s="43">
        <f t="shared" si="0"/>
        <v>0</v>
      </c>
      <c r="L24" s="80"/>
    </row>
    <row r="25" spans="1:12" x14ac:dyDescent="0.25">
      <c r="A25" s="8"/>
      <c r="B25" s="8"/>
      <c r="C25" s="9"/>
      <c r="D25" s="3"/>
      <c r="E25" s="3"/>
      <c r="F25" s="3"/>
      <c r="G25" s="4"/>
      <c r="H25" s="4"/>
      <c r="I25" s="4"/>
      <c r="J25" s="4"/>
      <c r="K25" s="43">
        <f t="shared" si="0"/>
        <v>0</v>
      </c>
      <c r="L25" s="80"/>
    </row>
    <row r="26" spans="1:12" x14ac:dyDescent="0.25">
      <c r="A26" s="7"/>
      <c r="B26" s="7"/>
      <c r="C26" s="48"/>
      <c r="D26" s="10"/>
      <c r="E26" s="11"/>
      <c r="F26" s="11"/>
      <c r="G26" s="11"/>
      <c r="H26" s="11"/>
      <c r="I26" s="11"/>
      <c r="J26" s="11"/>
      <c r="K26" s="43">
        <f t="shared" si="0"/>
        <v>0</v>
      </c>
      <c r="L26" s="80"/>
    </row>
    <row r="27" spans="1:12" x14ac:dyDescent="0.25">
      <c r="A27" s="7"/>
      <c r="B27" s="7"/>
      <c r="C27" s="48"/>
      <c r="D27" s="10"/>
      <c r="E27" s="11"/>
      <c r="F27" s="11"/>
      <c r="G27" s="11"/>
      <c r="H27" s="11"/>
      <c r="I27" s="11"/>
      <c r="J27" s="11"/>
      <c r="K27" s="43">
        <f t="shared" si="0"/>
        <v>0</v>
      </c>
      <c r="L27" s="80"/>
    </row>
    <row r="28" spans="1:12" x14ac:dyDescent="0.25">
      <c r="A28" s="8"/>
      <c r="B28" s="8"/>
      <c r="C28" s="9"/>
      <c r="D28" s="3"/>
      <c r="E28" s="3"/>
      <c r="F28" s="3"/>
      <c r="G28" s="4"/>
      <c r="H28" s="4"/>
      <c r="I28" s="4"/>
      <c r="J28" s="4"/>
      <c r="K28" s="43">
        <f t="shared" si="0"/>
        <v>0</v>
      </c>
      <c r="L28" s="80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3">
        <f t="shared" si="0"/>
        <v>0</v>
      </c>
      <c r="L29" s="80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3">
        <f t="shared" si="0"/>
        <v>0</v>
      </c>
      <c r="L30" s="80"/>
    </row>
    <row r="31" spans="1:12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43">
        <f t="shared" si="0"/>
        <v>0</v>
      </c>
      <c r="L31" s="80"/>
    </row>
    <row r="32" spans="1:12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43">
        <f t="shared" si="0"/>
        <v>0</v>
      </c>
      <c r="L32" s="80"/>
    </row>
    <row r="33" spans="1:12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43">
        <f t="shared" si="0"/>
        <v>0</v>
      </c>
      <c r="L33" s="80"/>
    </row>
    <row r="34" spans="1:12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43">
        <f t="shared" si="0"/>
        <v>0</v>
      </c>
      <c r="L34" s="80"/>
    </row>
    <row r="35" spans="1:12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43">
        <f t="shared" si="0"/>
        <v>0</v>
      </c>
      <c r="L35" s="80"/>
    </row>
    <row r="36" spans="1:12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43">
        <f t="shared" si="0"/>
        <v>0</v>
      </c>
      <c r="L36" s="80"/>
    </row>
    <row r="37" spans="1:12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43">
        <f t="shared" si="0"/>
        <v>0</v>
      </c>
      <c r="L37" s="80"/>
    </row>
    <row r="38" spans="1:12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43">
        <f t="shared" si="0"/>
        <v>0</v>
      </c>
      <c r="L38" s="80"/>
    </row>
    <row r="39" spans="1:12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43">
        <f t="shared" si="0"/>
        <v>0</v>
      </c>
      <c r="L39" s="80"/>
    </row>
    <row r="40" spans="1:12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43">
        <f t="shared" si="0"/>
        <v>0</v>
      </c>
      <c r="L40" s="80"/>
    </row>
    <row r="41" spans="1:12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43">
        <f t="shared" si="0"/>
        <v>0</v>
      </c>
      <c r="L41" s="80"/>
    </row>
    <row r="42" spans="1:12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43">
        <f t="shared" si="0"/>
        <v>0</v>
      </c>
      <c r="L42" s="80"/>
    </row>
    <row r="43" spans="1:12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43">
        <f t="shared" si="0"/>
        <v>0</v>
      </c>
      <c r="L43" s="80"/>
    </row>
    <row r="44" spans="1:12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43">
        <f t="shared" si="0"/>
        <v>0</v>
      </c>
      <c r="L44" s="80"/>
    </row>
    <row r="45" spans="1:12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43">
        <f t="shared" si="0"/>
        <v>0</v>
      </c>
      <c r="L45" s="80"/>
    </row>
    <row r="46" spans="1:12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43">
        <f t="shared" si="0"/>
        <v>0</v>
      </c>
      <c r="L46" s="80"/>
    </row>
    <row r="47" spans="1:12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43">
        <f t="shared" si="0"/>
        <v>0</v>
      </c>
      <c r="L47" s="80"/>
    </row>
    <row r="48" spans="1:12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43">
        <f t="shared" si="0"/>
        <v>0</v>
      </c>
      <c r="L48" s="80"/>
    </row>
    <row r="49" spans="1:12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43">
        <f t="shared" si="0"/>
        <v>0</v>
      </c>
      <c r="L49" s="80"/>
    </row>
    <row r="50" spans="1:12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43">
        <f t="shared" si="0"/>
        <v>0</v>
      </c>
      <c r="L50" s="80"/>
    </row>
    <row r="51" spans="1:12" x14ac:dyDescent="0.25">
      <c r="L51" s="81"/>
    </row>
    <row r="52" spans="1:12" x14ac:dyDescent="0.25">
      <c r="L52" s="81"/>
    </row>
    <row r="53" spans="1:12" x14ac:dyDescent="0.25">
      <c r="L53" s="81"/>
    </row>
    <row r="54" spans="1:12" x14ac:dyDescent="0.25">
      <c r="L54" s="81"/>
    </row>
    <row r="55" spans="1:12" x14ac:dyDescent="0.25">
      <c r="L55" s="81"/>
    </row>
    <row r="56" spans="1:12" x14ac:dyDescent="0.25">
      <c r="L56" s="81"/>
    </row>
    <row r="57" spans="1:12" x14ac:dyDescent="0.25">
      <c r="L57" s="81"/>
    </row>
    <row r="58" spans="1:12" x14ac:dyDescent="0.25">
      <c r="L58" s="81"/>
    </row>
    <row r="59" spans="1:12" x14ac:dyDescent="0.25">
      <c r="L59" s="81"/>
    </row>
    <row r="60" spans="1:12" x14ac:dyDescent="0.25">
      <c r="L60" s="81"/>
    </row>
    <row r="61" spans="1:12" x14ac:dyDescent="0.25">
      <c r="L61" s="81"/>
    </row>
    <row r="62" spans="1:12" x14ac:dyDescent="0.25">
      <c r="L62" s="81"/>
    </row>
    <row r="63" spans="1:12" x14ac:dyDescent="0.25">
      <c r="L63" s="81"/>
    </row>
    <row r="64" spans="1:12" x14ac:dyDescent="0.25">
      <c r="L64" s="81"/>
    </row>
    <row r="65" spans="12:12" x14ac:dyDescent="0.25">
      <c r="L65" s="81"/>
    </row>
    <row r="66" spans="12:12" x14ac:dyDescent="0.25">
      <c r="L66" s="81"/>
    </row>
    <row r="67" spans="12:12" x14ac:dyDescent="0.25">
      <c r="L67" s="81"/>
    </row>
    <row r="68" spans="12:12" x14ac:dyDescent="0.25">
      <c r="L68" s="81"/>
    </row>
    <row r="69" spans="12:12" x14ac:dyDescent="0.25">
      <c r="L69" s="81"/>
    </row>
    <row r="70" spans="12:12" x14ac:dyDescent="0.25">
      <c r="L70" s="81"/>
    </row>
    <row r="71" spans="12:12" x14ac:dyDescent="0.25">
      <c r="L71" s="81"/>
    </row>
    <row r="72" spans="12:12" x14ac:dyDescent="0.25">
      <c r="L72" s="81"/>
    </row>
    <row r="73" spans="12:12" x14ac:dyDescent="0.25">
      <c r="L73" s="81"/>
    </row>
    <row r="74" spans="12:12" x14ac:dyDescent="0.25">
      <c r="L74" s="81"/>
    </row>
    <row r="75" spans="12:12" x14ac:dyDescent="0.25">
      <c r="L75" s="81"/>
    </row>
    <row r="76" spans="12:12" x14ac:dyDescent="0.25">
      <c r="L76" s="81"/>
    </row>
    <row r="77" spans="12:12" x14ac:dyDescent="0.25">
      <c r="L77" s="81"/>
    </row>
    <row r="78" spans="12:12" x14ac:dyDescent="0.25">
      <c r="L78" s="81"/>
    </row>
    <row r="79" spans="12:12" x14ac:dyDescent="0.25">
      <c r="L79" s="81"/>
    </row>
    <row r="80" spans="12:12" x14ac:dyDescent="0.25">
      <c r="L80" s="81"/>
    </row>
    <row r="81" spans="12:12" x14ac:dyDescent="0.25">
      <c r="L81" s="81"/>
    </row>
    <row r="82" spans="12:12" x14ac:dyDescent="0.25">
      <c r="L82" s="81"/>
    </row>
    <row r="83" spans="12:12" x14ac:dyDescent="0.25">
      <c r="L83" s="81"/>
    </row>
    <row r="84" spans="12:12" x14ac:dyDescent="0.25">
      <c r="L84" s="81"/>
    </row>
    <row r="85" spans="12:12" x14ac:dyDescent="0.25">
      <c r="L85" s="81"/>
    </row>
    <row r="86" spans="12:12" x14ac:dyDescent="0.25">
      <c r="L86" s="81"/>
    </row>
    <row r="87" spans="12:12" x14ac:dyDescent="0.25">
      <c r="L87" s="81"/>
    </row>
    <row r="88" spans="12:12" x14ac:dyDescent="0.25">
      <c r="L88" s="81"/>
    </row>
    <row r="89" spans="12:12" x14ac:dyDescent="0.25">
      <c r="L89" s="81"/>
    </row>
    <row r="90" spans="12:12" x14ac:dyDescent="0.25">
      <c r="L90" s="81"/>
    </row>
    <row r="91" spans="12:12" x14ac:dyDescent="0.25">
      <c r="L91" s="81"/>
    </row>
    <row r="92" spans="12:12" x14ac:dyDescent="0.25">
      <c r="L92" s="81"/>
    </row>
    <row r="93" spans="12:12" x14ac:dyDescent="0.25">
      <c r="L93" s="81"/>
    </row>
    <row r="94" spans="12:12" x14ac:dyDescent="0.25">
      <c r="L94" s="81"/>
    </row>
    <row r="95" spans="12:12" x14ac:dyDescent="0.25">
      <c r="L95" s="81"/>
    </row>
    <row r="96" spans="12:12" x14ac:dyDescent="0.25">
      <c r="L96" s="81"/>
    </row>
    <row r="97" spans="12:12" x14ac:dyDescent="0.25">
      <c r="L97" s="81"/>
    </row>
    <row r="98" spans="12:12" x14ac:dyDescent="0.25">
      <c r="L98" s="81"/>
    </row>
    <row r="99" spans="12:12" x14ac:dyDescent="0.25">
      <c r="L99" s="81"/>
    </row>
    <row r="100" spans="12:12" x14ac:dyDescent="0.25">
      <c r="L100" s="81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2" t="s">
        <v>124</v>
      </c>
    </row>
    <row r="6" spans="3:10" ht="15.75" thickBot="1" x14ac:dyDescent="0.3">
      <c r="C6" s="95" t="s">
        <v>676</v>
      </c>
      <c r="D6" s="95" t="s">
        <v>1</v>
      </c>
      <c r="E6" s="96" t="s">
        <v>677</v>
      </c>
      <c r="F6" s="62"/>
      <c r="G6" s="92"/>
      <c r="H6" s="62"/>
      <c r="I6" s="62"/>
      <c r="J6" s="92"/>
    </row>
    <row r="7" spans="3:10" x14ac:dyDescent="0.25">
      <c r="C7" s="1"/>
      <c r="D7" s="1"/>
      <c r="E7" s="2"/>
      <c r="G7" s="6"/>
      <c r="J7" s="6"/>
    </row>
    <row r="8" spans="3:10" x14ac:dyDescent="0.25">
      <c r="C8" s="80"/>
      <c r="D8" s="80"/>
      <c r="E8" s="99"/>
      <c r="F8" s="93"/>
      <c r="G8" s="94"/>
      <c r="H8" s="93"/>
      <c r="I8" s="93"/>
      <c r="J8" s="94"/>
    </row>
    <row r="9" spans="3:10" x14ac:dyDescent="0.25">
      <c r="C9" s="8"/>
      <c r="D9" s="8"/>
      <c r="E9" s="9"/>
      <c r="F9" s="93"/>
      <c r="G9" s="94"/>
      <c r="H9" s="93"/>
      <c r="I9" s="93"/>
      <c r="J9" s="94"/>
    </row>
    <row r="10" spans="3:10" x14ac:dyDescent="0.25">
      <c r="C10" s="1"/>
      <c r="D10" s="1"/>
      <c r="E10" s="2"/>
      <c r="G10" s="6"/>
      <c r="J10" s="6"/>
    </row>
    <row r="11" spans="3:10" x14ac:dyDescent="0.25">
      <c r="C11" s="80"/>
      <c r="D11" s="80"/>
      <c r="E11" s="99"/>
      <c r="F11" s="62"/>
      <c r="G11" s="92"/>
      <c r="H11" s="62"/>
      <c r="I11" s="62"/>
      <c r="J11" s="92"/>
    </row>
    <row r="12" spans="3:10" x14ac:dyDescent="0.25">
      <c r="C12" s="8"/>
      <c r="D12" s="8"/>
      <c r="E12" s="9"/>
      <c r="F12" s="93"/>
      <c r="G12" s="94"/>
      <c r="H12" s="93"/>
      <c r="I12" s="93"/>
      <c r="J12" s="94"/>
    </row>
    <row r="13" spans="3:10" x14ac:dyDescent="0.25">
      <c r="C13" s="1"/>
      <c r="D13" s="1"/>
      <c r="E13" s="2"/>
      <c r="F13" s="93"/>
      <c r="G13" s="93"/>
      <c r="H13" s="93"/>
      <c r="I13" s="93"/>
      <c r="J13" s="94"/>
    </row>
    <row r="14" spans="3:10" x14ac:dyDescent="0.25">
      <c r="C14" s="1"/>
      <c r="D14" s="1"/>
      <c r="E14" s="2"/>
      <c r="F14" s="93"/>
      <c r="G14" s="93"/>
      <c r="H14" s="93"/>
      <c r="I14" s="93"/>
      <c r="J14" s="94"/>
    </row>
    <row r="15" spans="3:10" x14ac:dyDescent="0.25">
      <c r="C15" s="8"/>
      <c r="D15" s="8"/>
      <c r="E15" s="9"/>
      <c r="F15" s="62"/>
      <c r="G15" s="62"/>
      <c r="H15" s="62"/>
      <c r="I15" s="62"/>
      <c r="J15" s="92"/>
    </row>
    <row r="16" spans="3:10" x14ac:dyDescent="0.25">
      <c r="C16" s="1"/>
      <c r="D16" s="1"/>
      <c r="E16" s="2"/>
      <c r="F16" s="93"/>
      <c r="G16" s="93"/>
      <c r="H16" s="93"/>
      <c r="I16" s="93"/>
      <c r="J16" s="94"/>
    </row>
    <row r="17" spans="3:10" x14ac:dyDescent="0.25">
      <c r="C17" s="80"/>
      <c r="D17" s="80"/>
      <c r="E17" s="80"/>
    </row>
    <row r="18" spans="3:10" x14ac:dyDescent="0.25">
      <c r="C18" s="80"/>
      <c r="D18" s="80"/>
      <c r="E18" s="80"/>
    </row>
    <row r="19" spans="3:10" x14ac:dyDescent="0.25">
      <c r="C19" s="1"/>
      <c r="D19" s="1"/>
      <c r="E19" s="2"/>
      <c r="F19" s="93"/>
      <c r="G19" s="93"/>
      <c r="H19" s="93"/>
      <c r="I19" s="93"/>
      <c r="J19" s="94"/>
    </row>
    <row r="20" spans="3:10" x14ac:dyDescent="0.25">
      <c r="C20" s="1"/>
      <c r="D20" s="1"/>
      <c r="E20" s="2"/>
      <c r="F20" s="93"/>
      <c r="G20" s="93"/>
      <c r="H20" s="93"/>
      <c r="I20" s="93"/>
      <c r="J20" s="94"/>
    </row>
    <row r="21" spans="3:10" x14ac:dyDescent="0.25">
      <c r="C21" s="8"/>
      <c r="D21" s="8"/>
      <c r="E21" s="9"/>
      <c r="F21" s="62"/>
      <c r="G21" s="62"/>
      <c r="H21" s="62"/>
      <c r="I21" s="62"/>
      <c r="J21" s="92"/>
    </row>
    <row r="22" spans="3:10" x14ac:dyDescent="0.25">
      <c r="C22" s="1"/>
      <c r="D22" s="1"/>
      <c r="E22" s="2"/>
      <c r="F22" s="93"/>
      <c r="G22" s="93"/>
      <c r="H22" s="93"/>
      <c r="I22" s="93"/>
      <c r="J22" s="94"/>
    </row>
    <row r="23" spans="3:10" x14ac:dyDescent="0.25">
      <c r="C23" s="80"/>
      <c r="D23" s="80"/>
      <c r="E23" s="80"/>
    </row>
    <row r="24" spans="3:10" x14ac:dyDescent="0.25">
      <c r="C24" s="80"/>
      <c r="D24" s="80"/>
      <c r="E24" s="80"/>
    </row>
    <row r="25" spans="3:10" x14ac:dyDescent="0.25">
      <c r="C25" s="1"/>
      <c r="D25" s="1"/>
      <c r="E25" s="2"/>
      <c r="F25" s="93"/>
      <c r="G25" s="93"/>
      <c r="H25" s="93"/>
      <c r="I25" s="93"/>
      <c r="J25" s="94"/>
    </row>
    <row r="26" spans="3:10" x14ac:dyDescent="0.25">
      <c r="C26" s="1"/>
      <c r="D26" s="1"/>
      <c r="E26" s="2"/>
      <c r="F26" s="93"/>
      <c r="G26" s="93"/>
      <c r="H26" s="93"/>
      <c r="I26" s="93"/>
      <c r="J26" s="94"/>
    </row>
    <row r="27" spans="3:10" x14ac:dyDescent="0.25">
      <c r="C27" s="8"/>
      <c r="D27" s="8"/>
      <c r="E27" s="9"/>
      <c r="F27" s="62"/>
      <c r="G27" s="62"/>
      <c r="H27" s="62"/>
      <c r="I27" s="62"/>
      <c r="J27" s="92"/>
    </row>
    <row r="28" spans="3:10" x14ac:dyDescent="0.25">
      <c r="C28" s="1"/>
      <c r="D28" s="1"/>
      <c r="E28" s="2"/>
      <c r="F28" s="93"/>
      <c r="G28" s="93"/>
      <c r="H28" s="93"/>
      <c r="I28" s="93"/>
      <c r="J28" s="94"/>
    </row>
    <row r="29" spans="3:10" x14ac:dyDescent="0.25">
      <c r="C29" s="80"/>
      <c r="D29" s="80"/>
      <c r="E29" s="80"/>
    </row>
    <row r="30" spans="3:10" x14ac:dyDescent="0.25">
      <c r="C30" s="80"/>
      <c r="D30" s="80"/>
      <c r="E30" s="80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3" t="s">
        <v>356</v>
      </c>
    </row>
    <row r="6" spans="3:5" ht="15.75" thickBot="1" x14ac:dyDescent="0.3">
      <c r="C6" s="95" t="s">
        <v>676</v>
      </c>
      <c r="D6" s="95" t="s">
        <v>1</v>
      </c>
      <c r="E6" s="96" t="s">
        <v>677</v>
      </c>
    </row>
    <row r="7" spans="3:5" x14ac:dyDescent="0.25">
      <c r="C7" s="1"/>
      <c r="D7" s="1"/>
      <c r="E7" s="2"/>
    </row>
    <row r="8" spans="3:5" x14ac:dyDescent="0.25">
      <c r="C8" s="1"/>
      <c r="D8" s="5"/>
      <c r="E8" s="2"/>
    </row>
    <row r="9" spans="3:5" x14ac:dyDescent="0.25">
      <c r="C9" s="80"/>
      <c r="D9" s="80"/>
      <c r="E9" s="99"/>
    </row>
    <row r="10" spans="3:5" x14ac:dyDescent="0.25">
      <c r="C10" s="1"/>
      <c r="D10" s="1"/>
      <c r="E10" s="2"/>
    </row>
    <row r="11" spans="3:5" x14ac:dyDescent="0.25">
      <c r="C11" s="80"/>
      <c r="D11" s="80"/>
      <c r="E11" s="99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FRegEntriesCheckOrCash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2023-08-10T15:08:10Z</cp:lastPrinted>
  <dcterms:created xsi:type="dcterms:W3CDTF">2014-07-30T14:06:58Z</dcterms:created>
  <dcterms:modified xsi:type="dcterms:W3CDTF">2026-01-05T05:13:15Z</dcterms:modified>
</cp:coreProperties>
</file>