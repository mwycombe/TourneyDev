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C27F3571-252B-4B9C-8270-F0BBF591242B}" xr6:coauthVersionLast="47" xr6:coauthVersionMax="47" xr10:uidLastSave="{00000000-0000-0000-0000-000000000000}"/>
  <bookViews>
    <workbookView xWindow="-28920" yWindow="-120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ameHdr">Pool4!$B$5</definedName>
    <definedName name="FMRPool4Number">Pool4!$B$5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R26" i="1" l="1"/>
  <c r="R71" i="1"/>
  <c r="R70" i="1"/>
  <c r="R35" i="1"/>
  <c r="R16" i="1"/>
  <c r="R44" i="1"/>
  <c r="R67" i="1"/>
  <c r="R32" i="1"/>
  <c r="R20" i="1"/>
  <c r="R61" i="1"/>
  <c r="R39" i="1"/>
  <c r="R19" i="1"/>
  <c r="R55" i="1"/>
  <c r="R37" i="1"/>
  <c r="R49" i="1"/>
  <c r="Q47" i="1"/>
  <c r="Q26" i="1"/>
  <c r="Q71" i="1"/>
  <c r="Q70" i="1"/>
  <c r="Q46" i="1"/>
  <c r="Q45" i="1"/>
  <c r="Q69" i="1"/>
  <c r="Q35" i="1"/>
  <c r="Q16" i="1"/>
  <c r="Q44" i="1"/>
  <c r="Q25" i="1"/>
  <c r="Q24" i="1"/>
  <c r="Q68" i="1"/>
  <c r="Q43" i="1"/>
  <c r="Q15" i="1"/>
  <c r="Q34" i="1"/>
  <c r="Q42" i="1"/>
  <c r="Q67" i="1"/>
  <c r="Q41" i="1"/>
  <c r="Q23" i="1"/>
  <c r="Q33" i="1"/>
  <c r="Q32" i="1"/>
  <c r="Q22" i="1"/>
  <c r="Q14" i="1"/>
  <c r="Q66" i="1"/>
  <c r="Q31" i="1"/>
  <c r="Q65" i="1"/>
  <c r="Q64" i="1"/>
  <c r="Q30" i="1"/>
  <c r="Q27" i="1"/>
  <c r="Q21" i="1"/>
  <c r="Q13" i="1"/>
  <c r="Q63" i="1"/>
  <c r="Q40" i="1"/>
  <c r="Q62" i="1"/>
  <c r="Q20" i="1"/>
  <c r="Q61" i="1"/>
  <c r="Q39" i="1"/>
  <c r="Q19" i="1"/>
  <c r="Q60" i="1"/>
  <c r="Q59" i="1"/>
  <c r="Q58" i="1"/>
  <c r="Q57" i="1"/>
  <c r="Q56" i="1"/>
  <c r="Q29" i="1"/>
  <c r="Q55" i="1"/>
  <c r="Q54" i="1"/>
  <c r="Q28" i="1"/>
  <c r="Q38" i="1"/>
  <c r="Q53" i="1"/>
  <c r="Q52" i="1"/>
  <c r="Q51" i="1"/>
  <c r="Q37" i="1"/>
  <c r="Q18" i="1"/>
  <c r="Q50" i="1"/>
  <c r="Q36" i="1"/>
  <c r="Q49" i="1"/>
  <c r="Q48" i="1"/>
  <c r="Q17" i="1"/>
  <c r="R12" i="1"/>
  <c r="Q12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22" i="1" a="1"/>
  <c r="S49" i="1" a="1"/>
  <c r="S64" i="1" a="1"/>
  <c r="S18" i="1" a="1"/>
  <c r="S25" i="1" a="1"/>
  <c r="S62" i="1" a="1"/>
  <c r="S59" i="1" a="1"/>
  <c r="S41" i="1" a="1"/>
  <c r="S32" i="1" a="1"/>
  <c r="S34" i="1" a="1"/>
  <c r="S68" i="1" a="1"/>
  <c r="S21" i="1" a="1"/>
  <c r="S61" i="1" a="1"/>
  <c r="S35" i="1" a="1"/>
  <c r="S46" i="1" a="1"/>
  <c r="S33" i="1" a="1"/>
  <c r="S15" i="1" a="1"/>
  <c r="S51" i="1" a="1"/>
  <c r="S42" i="1" a="1"/>
  <c r="S28" i="1" a="1"/>
  <c r="S48" i="1" a="1"/>
  <c r="S20" i="1" a="1"/>
  <c r="S43" i="1" a="1"/>
  <c r="S23" i="1" a="1"/>
  <c r="S30" i="1" a="1"/>
  <c r="S29" i="1" a="1"/>
  <c r="S38" i="1" a="1"/>
  <c r="S70" i="1" a="1"/>
  <c r="S58" i="1" a="1"/>
  <c r="S26" i="1" a="1"/>
  <c r="S60" i="1" a="1"/>
  <c r="S63" i="1" a="1"/>
  <c r="S40" i="1" a="1"/>
  <c r="S67" i="1" a="1"/>
  <c r="S19" i="1" a="1"/>
  <c r="S24" i="1" a="1"/>
  <c r="S54" i="1" a="1"/>
  <c r="S31" i="1" a="1"/>
  <c r="S14" i="1" a="1"/>
  <c r="S13" i="1" a="1"/>
  <c r="S12" i="1" a="1"/>
  <c r="S44" i="1" a="1"/>
  <c r="S50" i="1" a="1"/>
  <c r="S65" i="1" a="1"/>
  <c r="S45" i="1" a="1"/>
  <c r="S53" i="1" a="1"/>
  <c r="S56" i="1" a="1"/>
  <c r="S17" i="1" a="1"/>
  <c r="S16" i="1" a="1"/>
  <c r="S57" i="1" a="1"/>
  <c r="S36" i="1" a="1"/>
  <c r="S39" i="1" a="1"/>
  <c r="S47" i="1" a="1"/>
  <c r="S71" i="1" a="1"/>
  <c r="S69" i="1" a="1"/>
  <c r="S66" i="1" a="1"/>
  <c r="S27" i="1" a="1"/>
  <c r="S55" i="1" a="1"/>
  <c r="S37" i="1" a="1"/>
  <c r="S52" i="1" a="1"/>
  <c r="S21" i="1" l="1"/>
  <c r="N21" i="1" s="1"/>
  <c r="S37" i="1"/>
  <c r="N37" i="1" s="1"/>
  <c r="S31" i="1"/>
  <c r="R31" i="1" s="1"/>
  <c r="S50" i="1"/>
  <c r="S63" i="1"/>
  <c r="N63" i="1" s="1"/>
  <c r="S53" i="1"/>
  <c r="S17" i="1"/>
  <c r="N17" i="1" s="1"/>
  <c r="S41" i="1"/>
  <c r="S59" i="1"/>
  <c r="S28" i="1"/>
  <c r="S69" i="1"/>
  <c r="S47" i="1"/>
  <c r="S64" i="1"/>
  <c r="R64" i="1" s="1"/>
  <c r="S23" i="1"/>
  <c r="N23" i="1" s="1"/>
  <c r="S27" i="1"/>
  <c r="N27" i="1" s="1"/>
  <c r="S68" i="1"/>
  <c r="R68" i="1" s="1"/>
  <c r="S40" i="1"/>
  <c r="S61" i="1"/>
  <c r="N61" i="1" s="1"/>
  <c r="S20" i="1"/>
  <c r="N20" i="1" s="1"/>
  <c r="S56" i="1"/>
  <c r="S65" i="1"/>
  <c r="S32" i="1"/>
  <c r="N32" i="1" s="1"/>
  <c r="S43" i="1"/>
  <c r="S62" i="1"/>
  <c r="N62" i="1" s="1"/>
  <c r="S12" i="1"/>
  <c r="N12" i="1" s="1"/>
  <c r="S22" i="1"/>
  <c r="S58" i="1"/>
  <c r="N58" i="1" s="1"/>
  <c r="S35" i="1"/>
  <c r="N35" i="1" s="1"/>
  <c r="S16" i="1"/>
  <c r="N16" i="1" s="1"/>
  <c r="S49" i="1"/>
  <c r="N49" i="1" s="1"/>
  <c r="S54" i="1"/>
  <c r="S30" i="1"/>
  <c r="R30" i="1" s="1"/>
  <c r="S34" i="1"/>
  <c r="N34" i="1" s="1"/>
  <c r="S42" i="1"/>
  <c r="S51" i="1"/>
  <c r="S45" i="1"/>
  <c r="N45" i="1" s="1"/>
  <c r="S67" i="1"/>
  <c r="N67" i="1" s="1"/>
  <c r="S46" i="1"/>
  <c r="S36" i="1"/>
  <c r="R36" i="1" s="1"/>
  <c r="S19" i="1"/>
  <c r="N19" i="1" s="1"/>
  <c r="S15" i="1"/>
  <c r="S66" i="1"/>
  <c r="S18" i="1"/>
  <c r="S44" i="1"/>
  <c r="N44" i="1" s="1"/>
  <c r="S57" i="1"/>
  <c r="N57" i="1" s="1"/>
  <c r="S71" i="1"/>
  <c r="N71" i="1" s="1"/>
  <c r="S60" i="1"/>
  <c r="S25" i="1"/>
  <c r="N25" i="1" s="1"/>
  <c r="S48" i="1"/>
  <c r="N48" i="1" s="1"/>
  <c r="S38" i="1"/>
  <c r="R38" i="1" s="1"/>
  <c r="S52" i="1"/>
  <c r="N52" i="1" s="1"/>
  <c r="S24" i="1"/>
  <c r="R24" i="1" s="1"/>
  <c r="S70" i="1"/>
  <c r="N70" i="1" s="1"/>
  <c r="S55" i="1"/>
  <c r="N55" i="1" s="1"/>
  <c r="S29" i="1"/>
  <c r="S39" i="1"/>
  <c r="N39" i="1" s="1"/>
  <c r="S26" i="1"/>
  <c r="N26" i="1" s="1"/>
  <c r="S13" i="1"/>
  <c r="S33" i="1"/>
  <c r="S14" i="1"/>
  <c r="N14" i="1" s="1"/>
  <c r="R21" i="1"/>
  <c r="R63" i="1"/>
  <c r="R34" i="1"/>
  <c r="R57" i="1"/>
  <c r="E222" i="3"/>
  <c r="N64" i="1" l="1"/>
  <c r="N69" i="1"/>
  <c r="R69" i="1"/>
  <c r="N46" i="1"/>
  <c r="R46" i="1"/>
  <c r="N29" i="1"/>
  <c r="R29" i="1"/>
  <c r="N43" i="1"/>
  <c r="R43" i="1"/>
  <c r="N53" i="1"/>
  <c r="R53" i="1"/>
  <c r="N18" i="1"/>
  <c r="R18" i="1"/>
  <c r="N13" i="1"/>
  <c r="R13" i="1"/>
  <c r="N56" i="1"/>
  <c r="R56" i="1"/>
  <c r="N47" i="1"/>
  <c r="R47" i="1"/>
  <c r="N41" i="1"/>
  <c r="R41" i="1"/>
  <c r="N50" i="1"/>
  <c r="R50" i="1"/>
  <c r="N51" i="1"/>
  <c r="R51" i="1"/>
  <c r="N66" i="1"/>
  <c r="R66" i="1"/>
  <c r="N28" i="1"/>
  <c r="R28" i="1"/>
  <c r="N33" i="1"/>
  <c r="R33" i="1"/>
  <c r="N60" i="1"/>
  <c r="R60" i="1"/>
  <c r="N15" i="1"/>
  <c r="R15" i="1"/>
  <c r="N65" i="1"/>
  <c r="R65" i="1"/>
  <c r="N40" i="1"/>
  <c r="R40" i="1"/>
  <c r="N42" i="1"/>
  <c r="R42" i="1"/>
  <c r="N54" i="1"/>
  <c r="R54" i="1"/>
  <c r="N22" i="1"/>
  <c r="R22" i="1"/>
  <c r="N59" i="1"/>
  <c r="R59" i="1"/>
  <c r="N68" i="1"/>
  <c r="R17" i="1"/>
  <c r="R48" i="1"/>
  <c r="R27" i="1"/>
  <c r="N31" i="1"/>
  <c r="R58" i="1"/>
  <c r="N24" i="1"/>
  <c r="S10" i="1"/>
  <c r="N30" i="1"/>
  <c r="R14" i="1"/>
  <c r="R62" i="1"/>
  <c r="R45" i="1"/>
  <c r="R25" i="1"/>
  <c r="N36" i="1"/>
  <c r="N38" i="1"/>
  <c r="R23" i="1"/>
  <c r="R52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<sst xmlns="http://schemas.openxmlformats.org/spreadsheetml/2006/main" count="356" uniqueCount="240">
  <si>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</si>
  <si>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</si>
  <si>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</si>
  <si>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</si>
  <si>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</si>
  <si>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</si>
  <si>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</si>
  <si>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</si>
  <si>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</si>
  <si>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</si>
  <si>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</si>
  <si>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</si>
  <si>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</si>
  <si>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</si>
  <si>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</si>
  <si>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</si>
  <si>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</si>
  <si>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</si>
  <si>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</si>
  <si>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</si>
  <si>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</si>
  <si>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</si>
  <si>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</si>
  <si>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</si>
  <si>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</si>
  <si>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</si>
  <si>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</si>
  <si>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</si>
  <si>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</si>
  <si>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</si>
  <si>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</si>
  <si>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</si>
  <si>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</si>
  <si>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</si>
  <si>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</si>
  <si>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</si>
  <si>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</si>
  <si>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</si>
  <si>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</si>
  <si>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</si>
  <si>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</si>
  <si>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</si>
  <si>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</si>
  <si>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</si>
  <si>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</si>
  <si>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</si>
  <si>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</si>
  <si>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</si>
  <si>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</si>
  <si>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</si>
  <si>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</si>
  <si>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</si>
  <si>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</si>
  <si>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</si>
  <si>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</si>
  <si>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</si>
  <si>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</si>
  <si>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</si>
  <si>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</si>
  <si>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</si>
  <si>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</si>
  <si>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</si>
  <si>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</si>
  <si>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</si>
  <si>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</si>
  <si>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</si>
  <si>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</si>
  <si>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</si>
  <si>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</si>
  <si>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</si>
  <si>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</si>
  <si>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</si>
  <si>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</si>
  <si>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</si>
  <si>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</si>
  <si>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</si>
  <si>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</si>
  <si>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</si>
  <si>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</si>
  <si>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</si>
  <si>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</si>
  <si>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</si>
  <si>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</si>
  <si>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</si>
  <si>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</si>
  <si>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</si>
  <si>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</si>
  <si>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</si>
  <si>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</si>
  <si>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</si>
  <si>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</si>
  <si>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Alechus Jr., James</t>
  </si>
  <si>
    <t>CA-3942</t>
  </si>
  <si>
    <t>Alechus Sr., James</t>
  </si>
  <si>
    <t>Fair Oaks, CA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</si>
  <si>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</si>
  <si>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</si>
  <si>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</si>
  <si>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</si>
  <si>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</si>
  <si>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</si>
  <si>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</si>
  <si>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</si>
  <si>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Sacramento, CA</t>
  </si>
  <si>
    <t>CA-3939</t>
  </si>
  <si>
    <t>Boyer, Lori</t>
  </si>
  <si>
    <t>Chico, CA</t>
  </si>
  <si>
    <t>CA-7198</t>
  </si>
  <si>
    <t>Brekke, Sheryl</t>
  </si>
  <si>
    <t>Eureka, CA</t>
  </si>
  <si>
    <t>CA-6872</t>
  </si>
  <si>
    <t>Cox, Robert</t>
  </si>
  <si>
    <t>Santa Rosa, CA</t>
  </si>
  <si>
    <t>CA-6616</t>
  </si>
  <si>
    <t>Dalton, Sue</t>
  </si>
  <si>
    <t>Napa, CA</t>
  </si>
  <si>
    <t>CA-8075</t>
  </si>
  <si>
    <t>Davis, Pat</t>
  </si>
  <si>
    <t>CA-7063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</si>
  <si>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</si>
  <si>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</si>
  <si>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</si>
  <si>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</si>
  <si>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</si>
  <si>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</si>
  <si>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</si>
  <si>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</si>
  <si>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Fernandez, Cres</t>
  </si>
  <si>
    <t>CA-2690</t>
  </si>
  <si>
    <t>Flatto, Richard</t>
  </si>
  <si>
    <t>CA-735</t>
  </si>
  <si>
    <t>Fritschen, John</t>
  </si>
  <si>
    <t>CA-6363</t>
  </si>
  <si>
    <t>Fucile, Joyce</t>
  </si>
  <si>
    <t>Concord, CA</t>
  </si>
  <si>
    <t>CA-5936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</si>
  <si>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</si>
  <si>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</si>
  <si>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</si>
  <si>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</si>
  <si>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</si>
  <si>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</si>
  <si>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</si>
  <si>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</si>
  <si>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Harding, Chase</t>
  </si>
  <si>
    <t>Quincy, CA</t>
  </si>
  <si>
    <t>CA-7206</t>
  </si>
  <si>
    <t>Harding, Denise</t>
  </si>
  <si>
    <t>CA-7205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</si>
  <si>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</si>
  <si>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</si>
  <si>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</si>
  <si>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</si>
  <si>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</si>
  <si>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</si>
  <si>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</si>
  <si>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CA-4206</t>
  </si>
  <si>
    <t>Jarzombek, Chris</t>
  </si>
  <si>
    <t>CA-6318</t>
  </si>
  <si>
    <t>Johnston, Dennis</t>
  </si>
  <si>
    <t>CA-4788</t>
  </si>
  <si>
    <t>Katzman, Stan</t>
  </si>
  <si>
    <t>CA-4499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</si>
  <si>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</si>
  <si>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</si>
  <si>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</si>
  <si>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</si>
  <si>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</si>
  <si>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</si>
  <si>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</si>
  <si>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</si>
  <si>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</si>
  <si>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</si>
  <si>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</si>
  <si>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</si>
  <si>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</si>
  <si>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</si>
  <si>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Martignoni, Tony</t>
  </si>
  <si>
    <t>CA-7639</t>
  </si>
  <si>
    <t>Meza, Nicole</t>
  </si>
  <si>
    <t>Rohnert  Park, CA</t>
  </si>
  <si>
    <t>CA-8037</t>
  </si>
  <si>
    <t>Moore, Denny</t>
  </si>
  <si>
    <t>CA-793</t>
  </si>
  <si>
    <t>Morin, Dennis</t>
  </si>
  <si>
    <t>CA-5923</t>
  </si>
  <si>
    <t>Moy, Albert</t>
  </si>
  <si>
    <t>CA-3765</t>
  </si>
  <si>
    <t>Njaa, H.Ross</t>
  </si>
  <si>
    <t>Salinas, CA</t>
  </si>
  <si>
    <t>CA-3226</t>
  </si>
  <si>
    <t>Pilecki, Tad</t>
  </si>
  <si>
    <t>Martinez, CA</t>
  </si>
  <si>
    <t>CA-3377</t>
  </si>
  <si>
    <t>Reynolds, Karl</t>
  </si>
  <si>
    <t>CA-5886</t>
  </si>
  <si>
    <t>Rockwell, Barry</t>
  </si>
  <si>
    <t>CA-4932L</t>
  </si>
  <si>
    <t>Rogers, Michael</t>
  </si>
  <si>
    <t>CA-6999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</si>
  <si>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</si>
  <si>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</si>
  <si>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</si>
  <si>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</si>
  <si>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</si>
  <si>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</si>
  <si>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</si>
  <si>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</si>
  <si>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Shea, Peggy</t>
  </si>
  <si>
    <t>CA-3048</t>
  </si>
  <si>
    <t>Shea, Rick</t>
  </si>
  <si>
    <t>CA-4103</t>
  </si>
  <si>
    <t>Shumate, Jason</t>
  </si>
  <si>
    <t>Paradise, CA.</t>
  </si>
  <si>
    <t>CA-3361</t>
  </si>
  <si>
    <t>Spero, Denny</t>
  </si>
  <si>
    <t>CA-6237</t>
  </si>
  <si>
    <t>Spurgeon, Donald</t>
  </si>
  <si>
    <t>CA-7974</t>
  </si>
  <si>
    <t>Steen, David</t>
  </si>
  <si>
    <t>CA-8173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</si>
  <si>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</si>
  <si>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</si>
  <si>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</si>
  <si>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</si>
  <si>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</si>
  <si>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</si>
  <si>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</si>
  <si>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</si>
  <si>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Wilder, Jim</t>
  </si>
  <si>
    <t>CA-7932</t>
  </si>
  <si>
    <t>Witt, Carol</t>
  </si>
  <si>
    <t>CA-7677</t>
  </si>
  <si>
    <t>Yepson, Bud</t>
  </si>
  <si>
    <t>CA-5454</t>
  </si>
  <si>
    <t>Ziari, Farokh</t>
  </si>
  <si>
    <t>CA-5731</t>
  </si>
  <si>
    <t>Napa Wine Country Open</t>
  </si>
  <si>
    <t>The Moose Lodge</t>
  </si>
  <si>
    <t>Napa, Ca 94558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</si>
</sst>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1" sqref="B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1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237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238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239</v>
      </c>
      <c r="E5" s="172"/>
      <c r="F5" s="15"/>
      <c r="G5" s="17"/>
      <c r="L5" s="21"/>
      <c r="M5" s="22"/>
      <c r="N5" s="152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7">
        <v>45402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60</v>
      </c>
      <c r="C10" s="51">
        <f>COUNTIF(C12:C322,"&lt;&gt;"&amp;"")</f>
        <v>0</v>
      </c>
      <c r="G10" s="51">
        <f t="shared" ref="G10:M10" si="0">COUNTIF(G12:G322,"&lt;&gt;"&amp;"")</f>
        <v>50</v>
      </c>
      <c r="H10" s="51">
        <f t="shared" si="0"/>
        <v>32</v>
      </c>
      <c r="I10" s="51">
        <f t="shared" si="0"/>
        <v>36</v>
      </c>
      <c r="J10" s="51">
        <f t="shared" si="0"/>
        <v>16</v>
      </c>
      <c r="K10" s="51">
        <f t="shared" si="0"/>
        <v>13</v>
      </c>
      <c r="L10" s="51">
        <f t="shared" si="0"/>
        <v>3</v>
      </c>
      <c r="M10" s="51">
        <f t="shared" si="0"/>
        <v>10</v>
      </c>
      <c r="N10" s="150">
        <f>SUM(N12:N211)</f>
        <v>920</v>
      </c>
      <c r="Q10" s="84">
        <f>SUM(Q12:Q211)</f>
        <v>0</v>
      </c>
      <c r="R10" s="150">
        <f>SUM(R12:R211)</f>
        <v>920</v>
      </c>
      <c r="S10" s="150">
        <f>SUM(S12:S211)</f>
        <v>6540</v>
      </c>
      <c r="T10" s="51">
        <f>COUNTIF(T12:T411,"&lt;&gt;"&amp;"")</f>
        <v>4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/>
      <c r="D12" s="146" t="s">
        <v>91</v>
      </c>
      <c r="E12" s="146"/>
      <c r="F12" s="114" t="s">
        <v>92</v>
      </c>
      <c r="G12" s="106">
        <v>1</v>
      </c>
      <c r="H12" s="106"/>
      <c r="I12" s="106">
        <v>1</v>
      </c>
      <c r="J12" s="106"/>
      <c r="K12" s="106"/>
      <c r="L12" s="144"/>
      <c r="M12" s="108"/>
      <c r="N12" s="108">
        <f t="shared" ref="N12:N43" si="1">M12*S12</f>
        <v>0</v>
      </c>
      <c r="O12" s="54"/>
      <c r="P12" s="7"/>
      <c r="Q12" s="145" t="str">
        <f t="shared" ref="Q12:Q43" si="2">IF(OR(O12="c",O12="C"),+S12,"")</f>
        <v/>
      </c>
      <c r="R12" s="115" t="str">
        <f t="shared" ref="R12:R43" si="3">IF(OR(O12="$",M12=1),+S12,"")</f>
        <v/>
      </c>
      <c r="S12" s="54" cm="1">
        <f t="array" ref="S12">B12*MainEntryFee()+G12*MPool1Fee()+H12*MPool2Fee()+I12*MPool3Fee()+J12*MPool4Fee()</f>
        <v>100</v>
      </c>
      <c r="T12" s="145"/>
      <c r="W12" s="1"/>
      <c r="X12" s="1"/>
      <c r="Y12" s="1"/>
      <c r="Z12" s="126"/>
      <c r="AA12" s="83"/>
      <c r="AC12" s="21"/>
    </row>
    <row r="13" spans="1:31" x14ac:dyDescent="0.25">
      <c r="A13" s="7"/>
      <c r="B13" s="106">
        <v>1</v>
      </c>
      <c r="C13" s="105"/>
      <c r="D13" s="146" t="s">
        <v>93</v>
      </c>
      <c r="E13" s="146" t="s">
        <v>94</v>
      </c>
      <c r="F13" s="114" t="s">
        <v>95</v>
      </c>
      <c r="G13" s="106">
        <v>1</v>
      </c>
      <c r="H13" s="106"/>
      <c r="I13" s="106">
        <v>1</v>
      </c>
      <c r="J13" s="106"/>
      <c r="K13" s="106"/>
      <c r="L13" s="144"/>
      <c r="M13" s="108"/>
      <c r="N13" s="108">
        <f t="shared" si="1"/>
        <v>0</v>
      </c>
      <c r="O13" s="54"/>
      <c r="P13" s="7"/>
      <c r="Q13" s="145" t="str">
        <f t="shared" si="2"/>
        <v/>
      </c>
      <c r="R13" s="115" t="str">
        <f t="shared" si="3"/>
        <v/>
      </c>
      <c r="S13" s="54" cm="1">
        <f t="array" ref="S13">B13*MainEntryFee()+G13*MPool1Fee()+H13*MPool2Fee()+I13*MPool3Fee()+J13*MPool4Fee()</f>
        <v>100</v>
      </c>
      <c r="T13" s="145"/>
      <c r="W13" s="1"/>
      <c r="X13" s="1"/>
      <c r="Y13" s="1"/>
      <c r="Z13" s="126"/>
      <c r="AA13" s="83"/>
      <c r="AC13" s="21"/>
    </row>
    <row r="14" spans="1:31" x14ac:dyDescent="0.25">
      <c r="A14" s="7"/>
      <c r="B14" s="94">
        <v>1</v>
      </c>
      <c r="C14" s="105"/>
      <c r="D14" s="146" t="s">
        <v>96</v>
      </c>
      <c r="E14" s="146" t="s">
        <v>97</v>
      </c>
      <c r="F14" s="111" t="s">
        <v>98</v>
      </c>
      <c r="G14" s="94">
        <v>1</v>
      </c>
      <c r="H14" s="105"/>
      <c r="I14" s="105"/>
      <c r="J14" s="105"/>
      <c r="K14" s="105"/>
      <c r="L14" s="144"/>
      <c r="M14" s="67">
        <v>1</v>
      </c>
      <c r="N14" s="108">
        <f t="shared" si="1"/>
        <v>80</v>
      </c>
      <c r="O14" s="54"/>
      <c r="P14" s="7"/>
      <c r="Q14" s="145" t="str">
        <f t="shared" si="2"/>
        <v/>
      </c>
      <c r="R14" s="115">
        <f t="shared" si="3"/>
        <v>80</v>
      </c>
      <c r="S14" s="54" cm="1">
        <f t="array" ref="S14">B14*MainEntryFee()+G14*MPool1Fee()+H14*MPool2Fee()+I14*MPool3Fee()+J14*MPool4Fee()</f>
        <v>80</v>
      </c>
      <c r="T14" s="145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/>
      <c r="D15" s="146" t="s">
        <v>99</v>
      </c>
      <c r="E15" s="146" t="s">
        <v>100</v>
      </c>
      <c r="F15" s="114" t="s">
        <v>101</v>
      </c>
      <c r="G15" s="94">
        <v>1</v>
      </c>
      <c r="H15" s="105">
        <v>1</v>
      </c>
      <c r="I15" s="105">
        <v>1</v>
      </c>
      <c r="J15" s="105">
        <v>1</v>
      </c>
      <c r="K15" s="105">
        <v>1</v>
      </c>
      <c r="L15" s="144"/>
      <c r="M15" s="135"/>
      <c r="N15" s="108">
        <f t="shared" si="1"/>
        <v>0</v>
      </c>
      <c r="O15" s="54"/>
      <c r="P15" s="7"/>
      <c r="Q15" s="145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160</v>
      </c>
      <c r="T15" s="145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/>
      <c r="D16" s="146" t="s">
        <v>102</v>
      </c>
      <c r="E16" s="146" t="s">
        <v>103</v>
      </c>
      <c r="F16" s="114" t="s">
        <v>104</v>
      </c>
      <c r="G16" s="106">
        <v>1</v>
      </c>
      <c r="H16" s="106">
        <v>1</v>
      </c>
      <c r="I16" s="106">
        <v>1</v>
      </c>
      <c r="J16" s="106">
        <v>1</v>
      </c>
      <c r="K16" s="106"/>
      <c r="L16" s="144"/>
      <c r="M16" s="108"/>
      <c r="N16" s="108">
        <f t="shared" si="1"/>
        <v>0</v>
      </c>
      <c r="O16" s="54"/>
      <c r="P16" s="7"/>
      <c r="Q16" s="145" t="str">
        <f t="shared" si="2"/>
        <v/>
      </c>
      <c r="R16" s="115" t="str">
        <f t="shared" si="3"/>
        <v/>
      </c>
      <c r="S16" s="54" cm="1">
        <f t="array" ref="S16">B16*MainEntryFee()+G16*MPool1Fee()+H16*MPool2Fee()+I16*MPool3Fee()+J16*MPool4Fee()</f>
        <v>160</v>
      </c>
      <c r="T16" s="145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/>
      <c r="D17" s="146" t="s">
        <v>105</v>
      </c>
      <c r="E17" s="146" t="s">
        <v>106</v>
      </c>
      <c r="F17" s="111" t="s">
        <v>107</v>
      </c>
      <c r="G17" s="94">
        <v>1</v>
      </c>
      <c r="H17" s="105"/>
      <c r="I17" s="105"/>
      <c r="J17" s="105"/>
      <c r="K17" s="105">
        <v>1</v>
      </c>
      <c r="L17" s="144"/>
      <c r="M17" s="67"/>
      <c r="N17" s="108">
        <f t="shared" si="1"/>
        <v>0</v>
      </c>
      <c r="O17" s="54"/>
      <c r="P17" s="7"/>
      <c r="Q17" s="145" t="str">
        <f t="shared" si="2"/>
        <v/>
      </c>
      <c r="R17" s="115" t="str">
        <f t="shared" si="3"/>
        <v/>
      </c>
      <c r="S17" s="54" cm="1">
        <f t="array" ref="S17">B17*MainEntryFee()+G17*MPool1Fee()+H17*MPool2Fee()+I17*MPool3Fee()+J17*MPool4Fee()</f>
        <v>80</v>
      </c>
      <c r="T17" s="145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/>
      <c r="D18" s="146" t="s">
        <v>108</v>
      </c>
      <c r="E18" s="146" t="s">
        <v>109</v>
      </c>
      <c r="F18" s="114" t="s">
        <v>110</v>
      </c>
      <c r="G18" s="94">
        <v>1</v>
      </c>
      <c r="H18" s="105">
        <v>1</v>
      </c>
      <c r="I18" s="105">
        <v>1</v>
      </c>
      <c r="J18" s="105"/>
      <c r="K18" s="105">
        <v>1</v>
      </c>
      <c r="L18" s="144"/>
      <c r="M18" s="67"/>
      <c r="N18" s="108">
        <f t="shared" si="1"/>
        <v>0</v>
      </c>
      <c r="O18" s="54"/>
      <c r="P18" s="7"/>
      <c r="Q18" s="145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110</v>
      </c>
      <c r="T18" s="145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/>
      <c r="D19" s="146" t="s">
        <v>111</v>
      </c>
      <c r="E19" s="146" t="s">
        <v>112</v>
      </c>
      <c r="F19" s="114" t="s">
        <v>113</v>
      </c>
      <c r="G19" s="94">
        <v>1</v>
      </c>
      <c r="H19" s="105"/>
      <c r="I19" s="105"/>
      <c r="J19" s="105"/>
      <c r="K19" s="105"/>
      <c r="L19" s="144">
        <v>1</v>
      </c>
      <c r="M19" s="67"/>
      <c r="N19" s="108">
        <f t="shared" si="1"/>
        <v>0</v>
      </c>
      <c r="O19" s="54"/>
      <c r="P19" s="7"/>
      <c r="Q19" s="145" t="str">
        <f t="shared" si="2"/>
        <v/>
      </c>
      <c r="R19" s="115" t="str">
        <f t="shared" si="3"/>
        <v/>
      </c>
      <c r="S19" s="54" cm="1">
        <f t="array" ref="S19">B19*MainEntryFee()+G19*MPool1Fee()+H19*MPool2Fee()+I19*MPool3Fee()+J19*MPool4Fee()</f>
        <v>80</v>
      </c>
      <c r="T19" s="145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/>
      <c r="D20" s="146" t="s">
        <v>114</v>
      </c>
      <c r="E20" s="146" t="s">
        <v>115</v>
      </c>
      <c r="F20" s="114" t="s">
        <v>116</v>
      </c>
      <c r="G20" s="106"/>
      <c r="H20" s="106"/>
      <c r="I20" s="106"/>
      <c r="J20" s="106"/>
      <c r="K20" s="106"/>
      <c r="L20" s="167"/>
      <c r="M20" s="108"/>
      <c r="N20" s="108">
        <f t="shared" si="1"/>
        <v>0</v>
      </c>
      <c r="O20" s="54"/>
      <c r="P20" s="7"/>
      <c r="Q20" s="145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70</v>
      </c>
      <c r="T20" s="145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/>
      <c r="D21" s="146" t="s">
        <v>117</v>
      </c>
      <c r="E21" s="146" t="s">
        <v>109</v>
      </c>
      <c r="F21" s="114" t="s">
        <v>118</v>
      </c>
      <c r="G21" s="94">
        <v>1</v>
      </c>
      <c r="H21" s="105">
        <v>1</v>
      </c>
      <c r="I21" s="105">
        <v>1</v>
      </c>
      <c r="J21" s="105"/>
      <c r="K21" s="105"/>
      <c r="L21" s="167"/>
      <c r="M21" s="67"/>
      <c r="N21" s="108">
        <f t="shared" si="1"/>
        <v>0</v>
      </c>
      <c r="O21" s="54"/>
      <c r="P21" s="7"/>
      <c r="Q21" s="145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110</v>
      </c>
      <c r="T21" s="145"/>
      <c r="W21" s="1"/>
      <c r="X21" s="1"/>
      <c r="Y21" s="1"/>
      <c r="Z21" s="126"/>
      <c r="AA21" s="83"/>
      <c r="AC21" s="21"/>
    </row>
    <row r="22" spans="1:30" x14ac:dyDescent="0.25">
      <c r="A22" s="7"/>
      <c r="B22" s="106">
        <v>1</v>
      </c>
      <c r="C22" s="105"/>
      <c r="D22" s="146" t="s">
        <v>119</v>
      </c>
      <c r="E22" s="146" t="s">
        <v>120</v>
      </c>
      <c r="F22" s="111" t="s">
        <v>121</v>
      </c>
      <c r="G22" s="94">
        <v>1</v>
      </c>
      <c r="H22" s="105"/>
      <c r="I22" s="105">
        <v>1</v>
      </c>
      <c r="J22" s="105"/>
      <c r="K22" s="105"/>
      <c r="L22" s="167"/>
      <c r="M22" s="67"/>
      <c r="N22" s="108">
        <f t="shared" si="1"/>
        <v>0</v>
      </c>
      <c r="O22" s="54"/>
      <c r="P22" s="7"/>
      <c r="Q22" s="145" t="str">
        <f t="shared" si="2"/>
        <v/>
      </c>
      <c r="R22" s="115" t="str">
        <f t="shared" si="3"/>
        <v/>
      </c>
      <c r="S22" s="54" cm="1">
        <f t="array" ref="S22">B22*MainEntryFee()+G22*MPool1Fee()+H22*MPool2Fee()+I22*MPool3Fee()+J22*MPool4Fee()</f>
        <v>100</v>
      </c>
      <c r="T22" s="145"/>
      <c r="W22" s="1"/>
      <c r="X22" s="1"/>
      <c r="Y22" s="1"/>
      <c r="Z22" s="126"/>
      <c r="AA22" s="83"/>
      <c r="AC22" s="21"/>
    </row>
    <row r="23" spans="1:30" x14ac:dyDescent="0.25">
      <c r="A23" s="7"/>
      <c r="B23" s="94">
        <v>1</v>
      </c>
      <c r="C23" s="105"/>
      <c r="D23" s="146" t="s">
        <v>122</v>
      </c>
      <c r="E23" s="146" t="s">
        <v>123</v>
      </c>
      <c r="F23" s="114" t="s">
        <v>124</v>
      </c>
      <c r="G23" s="106">
        <v>1</v>
      </c>
      <c r="H23" s="106">
        <v>1</v>
      </c>
      <c r="I23" s="106">
        <v>1</v>
      </c>
      <c r="J23" s="106"/>
      <c r="K23" s="106">
        <v>1</v>
      </c>
      <c r="L23" s="167"/>
      <c r="M23" s="108"/>
      <c r="N23" s="108">
        <f t="shared" si="1"/>
        <v>0</v>
      </c>
      <c r="O23" s="54"/>
      <c r="P23" s="7"/>
      <c r="Q23" s="145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110</v>
      </c>
      <c r="T23" s="145"/>
      <c r="W23" s="1"/>
      <c r="X23" s="1"/>
      <c r="Y23" s="1"/>
      <c r="Z23" s="126"/>
      <c r="AA23" s="83"/>
      <c r="AC23" s="21"/>
    </row>
    <row r="24" spans="1:30" x14ac:dyDescent="0.25">
      <c r="A24" s="7"/>
      <c r="B24" s="94">
        <v>1</v>
      </c>
      <c r="C24" s="94"/>
      <c r="D24" s="147" t="s">
        <v>125</v>
      </c>
      <c r="E24" s="147" t="s">
        <v>112</v>
      </c>
      <c r="F24" s="114" t="s">
        <v>126</v>
      </c>
      <c r="G24" s="106">
        <v>1</v>
      </c>
      <c r="H24" s="106">
        <v>1</v>
      </c>
      <c r="I24" s="106">
        <v>1</v>
      </c>
      <c r="J24" s="106"/>
      <c r="K24" s="106"/>
      <c r="L24" s="167"/>
      <c r="M24" s="108"/>
      <c r="N24" s="108">
        <f t="shared" si="1"/>
        <v>0</v>
      </c>
      <c r="O24" s="54"/>
      <c r="P24" s="7"/>
      <c r="Q24" s="145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110</v>
      </c>
      <c r="T24" s="145"/>
      <c r="W24" s="1"/>
      <c r="X24" s="1"/>
      <c r="Y24" s="1"/>
      <c r="Z24" s="126"/>
      <c r="AA24" s="83"/>
      <c r="AC24" s="21"/>
    </row>
    <row r="25" spans="1:30" x14ac:dyDescent="0.25">
      <c r="A25" s="7"/>
      <c r="B25" s="106">
        <v>1</v>
      </c>
      <c r="C25" s="105"/>
      <c r="D25" s="146" t="s">
        <v>127</v>
      </c>
      <c r="E25" s="146" t="s">
        <v>112</v>
      </c>
      <c r="F25" s="104" t="s">
        <v>128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67"/>
      <c r="M25" s="108"/>
      <c r="N25" s="108">
        <f t="shared" si="1"/>
        <v>0</v>
      </c>
      <c r="O25" s="54"/>
      <c r="P25" s="7"/>
      <c r="Q25" s="145" t="str">
        <f t="shared" si="2"/>
        <v/>
      </c>
      <c r="R25" s="115" t="str">
        <f t="shared" si="3"/>
        <v/>
      </c>
      <c r="S25" s="54" cm="1">
        <f t="array" ref="S25">B25*MainEntryFee()+G25*MPool1Fee()+H25*MPool2Fee()+I25*MPool3Fee()+J25*MPool4Fee()</f>
        <v>160</v>
      </c>
      <c r="T25" s="145"/>
      <c r="W25" s="1"/>
      <c r="X25" s="1"/>
      <c r="Y25" s="1"/>
      <c r="Z25" s="126"/>
      <c r="AA25" s="83"/>
      <c r="AC25" s="21"/>
    </row>
    <row r="26" spans="1:30" x14ac:dyDescent="0.25">
      <c r="A26" s="7"/>
      <c r="B26" s="106">
        <v>1</v>
      </c>
      <c r="C26" s="105"/>
      <c r="D26" s="146" t="s">
        <v>129</v>
      </c>
      <c r="E26" s="146" t="s">
        <v>112</v>
      </c>
      <c r="F26" s="114" t="s">
        <v>130</v>
      </c>
      <c r="G26" s="106">
        <v>1</v>
      </c>
      <c r="H26" s="106">
        <v>1</v>
      </c>
      <c r="I26" s="106">
        <v>1</v>
      </c>
      <c r="J26" s="106">
        <v>1</v>
      </c>
      <c r="K26" s="106"/>
      <c r="L26" s="167"/>
      <c r="M26" s="108"/>
      <c r="N26" s="108">
        <f t="shared" si="1"/>
        <v>0</v>
      </c>
      <c r="O26" s="54"/>
      <c r="P26" s="7"/>
      <c r="Q26" s="145" t="str">
        <f t="shared" si="2"/>
        <v/>
      </c>
      <c r="R26" s="115" t="str">
        <f t="shared" si="3"/>
        <v/>
      </c>
      <c r="S26" s="54" cm="1">
        <f t="array" ref="S26">B26*MainEntryFee()+G26*MPool1Fee()+H26*MPool2Fee()+I26*MPool3Fee()+J26*MPool4Fee()</f>
        <v>160</v>
      </c>
      <c r="T26" s="145"/>
      <c r="W26" s="1"/>
      <c r="X26" s="1"/>
      <c r="Y26" s="1"/>
      <c r="Z26" s="126"/>
      <c r="AA26" s="83"/>
      <c r="AC26" s="21"/>
    </row>
    <row r="27" spans="1:30" x14ac:dyDescent="0.25">
      <c r="A27" s="7"/>
      <c r="B27" s="106">
        <v>1</v>
      </c>
      <c r="C27" s="105"/>
      <c r="D27" s="146" t="s">
        <v>131</v>
      </c>
      <c r="E27" s="146" t="s">
        <v>112</v>
      </c>
      <c r="F27" s="114" t="s">
        <v>132</v>
      </c>
      <c r="G27" s="106"/>
      <c r="H27" s="106"/>
      <c r="I27" s="106"/>
      <c r="J27" s="106"/>
      <c r="K27" s="106"/>
      <c r="L27" s="144"/>
      <c r="M27" s="108"/>
      <c r="N27" s="108">
        <f t="shared" si="1"/>
        <v>0</v>
      </c>
      <c r="O27" s="54"/>
      <c r="P27" s="7"/>
      <c r="Q27" s="145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70</v>
      </c>
      <c r="T27" s="145"/>
      <c r="W27" s="1"/>
      <c r="X27" s="1"/>
      <c r="Y27" s="1"/>
      <c r="Z27" s="126"/>
      <c r="AA27" s="83"/>
      <c r="AC27" s="21"/>
    </row>
    <row r="28" spans="1:30" x14ac:dyDescent="0.25">
      <c r="A28" s="7"/>
      <c r="B28" s="106">
        <v>1</v>
      </c>
      <c r="C28" s="105"/>
      <c r="D28" s="146" t="s">
        <v>133</v>
      </c>
      <c r="E28" s="146" t="s">
        <v>134</v>
      </c>
      <c r="F28" s="111" t="s">
        <v>135</v>
      </c>
      <c r="G28" s="105">
        <v>1</v>
      </c>
      <c r="H28" s="105"/>
      <c r="I28" s="105"/>
      <c r="J28" s="105"/>
      <c r="K28" s="105"/>
      <c r="L28" s="144"/>
      <c r="M28" s="67"/>
      <c r="N28" s="108">
        <f t="shared" si="1"/>
        <v>0</v>
      </c>
      <c r="O28" s="54"/>
      <c r="P28" s="7"/>
      <c r="Q28" s="145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80</v>
      </c>
      <c r="T28" s="145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6" t="s">
        <v>136</v>
      </c>
      <c r="E29" s="146" t="s">
        <v>137</v>
      </c>
      <c r="F29" s="111" t="s">
        <v>138</v>
      </c>
      <c r="G29" s="94">
        <v>1</v>
      </c>
      <c r="H29" s="105">
        <v>1</v>
      </c>
      <c r="I29" s="105">
        <v>1</v>
      </c>
      <c r="J29" s="105">
        <v>1</v>
      </c>
      <c r="K29" s="105">
        <v>1</v>
      </c>
      <c r="L29" s="144"/>
      <c r="M29" s="67">
        <v>1</v>
      </c>
      <c r="N29" s="108">
        <f t="shared" si="1"/>
        <v>160</v>
      </c>
      <c r="O29" s="54"/>
      <c r="P29" s="7"/>
      <c r="Q29" s="145" t="str">
        <f t="shared" si="2"/>
        <v/>
      </c>
      <c r="R29" s="115">
        <f t="shared" si="3"/>
        <v>160</v>
      </c>
      <c r="S29" s="54" cm="1">
        <f t="array" ref="S29">B29*MainEntryFee()+G29*MPool1Fee()+H29*MPool2Fee()+I29*MPool3Fee()+J29*MPool4Fee()</f>
        <v>160</v>
      </c>
      <c r="T29" s="145"/>
      <c r="W29" s="1"/>
      <c r="X29" s="1"/>
      <c r="Y29" s="1"/>
      <c r="Z29" s="126"/>
      <c r="AA29" s="127"/>
      <c r="AC29" s="21"/>
    </row>
    <row r="30" spans="1:30" x14ac:dyDescent="0.25">
      <c r="A30" s="7"/>
      <c r="B30" s="94">
        <v>1</v>
      </c>
      <c r="C30" s="105"/>
      <c r="D30" s="146" t="s">
        <v>139</v>
      </c>
      <c r="E30" s="146" t="s">
        <v>115</v>
      </c>
      <c r="F30" s="114" t="s">
        <v>140</v>
      </c>
      <c r="G30" s="94">
        <v>1</v>
      </c>
      <c r="H30" s="105">
        <v>1</v>
      </c>
      <c r="I30" s="105">
        <v>1</v>
      </c>
      <c r="J30" s="105">
        <v>1</v>
      </c>
      <c r="K30" s="105">
        <v>1</v>
      </c>
      <c r="L30" s="144"/>
      <c r="M30" s="67"/>
      <c r="N30" s="108">
        <f t="shared" si="1"/>
        <v>0</v>
      </c>
      <c r="O30" s="54"/>
      <c r="P30" s="7"/>
      <c r="Q30" s="145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160</v>
      </c>
      <c r="T30" s="145"/>
      <c r="W30" s="1"/>
      <c r="X30" s="1"/>
      <c r="Y30" s="1"/>
      <c r="Z30" s="126"/>
      <c r="AA30" s="127"/>
      <c r="AC30" s="21"/>
    </row>
    <row r="31" spans="1:30" x14ac:dyDescent="0.25">
      <c r="A31" s="7"/>
      <c r="B31" s="94">
        <v>1</v>
      </c>
      <c r="C31" s="105"/>
      <c r="D31" s="146" t="s">
        <v>141</v>
      </c>
      <c r="E31" s="146" t="s">
        <v>142</v>
      </c>
      <c r="F31" s="114" t="s">
        <v>143</v>
      </c>
      <c r="G31" s="106">
        <v>1</v>
      </c>
      <c r="H31" s="106"/>
      <c r="I31" s="106"/>
      <c r="J31" s="106"/>
      <c r="K31" s="106"/>
      <c r="L31" s="144"/>
      <c r="M31" s="108">
        <v>1</v>
      </c>
      <c r="N31" s="108">
        <f t="shared" si="1"/>
        <v>80</v>
      </c>
      <c r="O31" s="54"/>
      <c r="P31" s="7"/>
      <c r="Q31" s="145" t="str">
        <f t="shared" si="2"/>
        <v/>
      </c>
      <c r="R31" s="115">
        <f t="shared" si="3"/>
        <v>80</v>
      </c>
      <c r="S31" s="54" cm="1">
        <f t="array" ref="S31">B31*MainEntryFee()+G31*MPool1Fee()+H31*MPool2Fee()+I31*MPool3Fee()+J31*MPool4Fee()</f>
        <v>80</v>
      </c>
      <c r="T31" s="145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6" t="s">
        <v>144</v>
      </c>
      <c r="E32" s="146" t="s">
        <v>145</v>
      </c>
      <c r="F32" s="111" t="s">
        <v>146</v>
      </c>
      <c r="G32" s="94">
        <v>1</v>
      </c>
      <c r="H32" s="105">
        <v>1</v>
      </c>
      <c r="I32" s="105">
        <v>1</v>
      </c>
      <c r="J32" s="105">
        <v>1</v>
      </c>
      <c r="K32" s="105"/>
      <c r="L32" s="144"/>
      <c r="M32" s="67"/>
      <c r="N32" s="108">
        <f t="shared" si="1"/>
        <v>0</v>
      </c>
      <c r="O32" s="54"/>
      <c r="P32" s="7"/>
      <c r="Q32" s="145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160</v>
      </c>
      <c r="T32" s="145"/>
      <c r="W32" s="1"/>
      <c r="X32" s="1"/>
      <c r="Y32" s="1"/>
      <c r="Z32" s="126"/>
      <c r="AA32" s="127"/>
      <c r="AC32" s="21"/>
    </row>
    <row r="33" spans="1:29" x14ac:dyDescent="0.25">
      <c r="A33" s="7"/>
      <c r="B33" s="94">
        <v>1</v>
      </c>
      <c r="C33" s="105"/>
      <c r="D33" s="146" t="s">
        <v>147</v>
      </c>
      <c r="E33" s="146" t="s">
        <v>145</v>
      </c>
      <c r="F33" s="111" t="s">
        <v>148</v>
      </c>
      <c r="G33" s="94">
        <v>1</v>
      </c>
      <c r="H33" s="105">
        <v>1</v>
      </c>
      <c r="I33" s="105">
        <v>1</v>
      </c>
      <c r="J33" s="105">
        <v>1</v>
      </c>
      <c r="K33" s="105"/>
      <c r="L33" s="144"/>
      <c r="M33" s="67"/>
      <c r="N33" s="108">
        <f t="shared" si="1"/>
        <v>0</v>
      </c>
      <c r="O33" s="54"/>
      <c r="P33" s="7"/>
      <c r="Q33" s="145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160</v>
      </c>
      <c r="T33" s="145"/>
      <c r="W33" s="1"/>
      <c r="X33" s="1"/>
      <c r="Y33" s="1"/>
      <c r="Z33" s="126"/>
      <c r="AA33" s="127"/>
      <c r="AC33" s="21"/>
    </row>
    <row r="34" spans="1:29" x14ac:dyDescent="0.25">
      <c r="A34" s="7"/>
      <c r="B34" s="94">
        <v>1</v>
      </c>
      <c r="C34" s="105"/>
      <c r="D34" s="146" t="s">
        <v>149</v>
      </c>
      <c r="E34" s="146" t="s">
        <v>150</v>
      </c>
      <c r="F34" s="114" t="s">
        <v>151</v>
      </c>
      <c r="G34" s="106">
        <v>1</v>
      </c>
      <c r="H34" s="106">
        <v>1</v>
      </c>
      <c r="I34" s="106">
        <v>1</v>
      </c>
      <c r="J34" s="106"/>
      <c r="K34" s="106"/>
      <c r="L34" s="144"/>
      <c r="M34" s="108"/>
      <c r="N34" s="108">
        <f t="shared" si="1"/>
        <v>0</v>
      </c>
      <c r="O34" s="54"/>
      <c r="P34" s="7"/>
      <c r="Q34" s="145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110</v>
      </c>
      <c r="T34" s="145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6" t="s">
        <v>152</v>
      </c>
      <c r="E35" s="146" t="s">
        <v>153</v>
      </c>
      <c r="F35" s="111" t="s">
        <v>154</v>
      </c>
      <c r="G35" s="94">
        <v>1</v>
      </c>
      <c r="H35" s="105"/>
      <c r="I35" s="105"/>
      <c r="J35" s="105"/>
      <c r="K35" s="105"/>
      <c r="L35" s="144"/>
      <c r="M35" s="67"/>
      <c r="N35" s="108">
        <f t="shared" si="1"/>
        <v>0</v>
      </c>
      <c r="O35" s="54"/>
      <c r="P35" s="7"/>
      <c r="Q35" s="145" t="str">
        <f t="shared" si="2"/>
        <v/>
      </c>
      <c r="R35" s="115" t="str">
        <f t="shared" si="3"/>
        <v/>
      </c>
      <c r="S35" s="54" cm="1">
        <f t="array" ref="S35">B35*MainEntryFee()+G35*MPool1Fee()+H35*MPool2Fee()+I35*MPool3Fee()+J35*MPool4Fee()</f>
        <v>80</v>
      </c>
      <c r="T35" s="145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6" t="s">
        <v>155</v>
      </c>
      <c r="E36" s="146" t="s">
        <v>106</v>
      </c>
      <c r="F36" s="114" t="s">
        <v>156</v>
      </c>
      <c r="G36" s="106">
        <v>1</v>
      </c>
      <c r="H36" s="106">
        <v>1</v>
      </c>
      <c r="I36" s="106">
        <v>1</v>
      </c>
      <c r="J36" s="106"/>
      <c r="K36" s="106"/>
      <c r="L36" s="144"/>
      <c r="M36" s="108"/>
      <c r="N36" s="108">
        <f t="shared" si="1"/>
        <v>0</v>
      </c>
      <c r="O36" s="54"/>
      <c r="P36" s="7"/>
      <c r="Q36" s="145" t="str">
        <f t="shared" si="2"/>
        <v/>
      </c>
      <c r="R36" s="115" t="str">
        <f t="shared" si="3"/>
        <v/>
      </c>
      <c r="S36" s="54" cm="1">
        <f t="array" ref="S36">B36*MainEntryFee()+G36*MPool1Fee()+H36*MPool2Fee()+I36*MPool3Fee()+J36*MPool4Fee()</f>
        <v>110</v>
      </c>
      <c r="T36" s="145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6" t="s">
        <v>157</v>
      </c>
      <c r="E37" s="146" t="s">
        <v>112</v>
      </c>
      <c r="F37" s="111" t="s">
        <v>158</v>
      </c>
      <c r="G37" s="106">
        <v>1</v>
      </c>
      <c r="H37" s="106"/>
      <c r="I37" s="106"/>
      <c r="J37" s="106"/>
      <c r="K37" s="106"/>
      <c r="L37" s="144"/>
      <c r="M37" s="108"/>
      <c r="N37" s="108">
        <f t="shared" si="1"/>
        <v>0</v>
      </c>
      <c r="O37" s="54"/>
      <c r="P37" s="7"/>
      <c r="Q37" s="145" t="str">
        <f t="shared" si="2"/>
        <v/>
      </c>
      <c r="R37" s="115" t="str">
        <f t="shared" si="3"/>
        <v/>
      </c>
      <c r="S37" s="54" cm="1">
        <f t="array" ref="S37">B37*MainEntryFee()+G37*MPool1Fee()+H37*MPool2Fee()+I37*MPool3Fee()+J37*MPool4Fee()</f>
        <v>80</v>
      </c>
      <c r="T37" s="145"/>
      <c r="W37" s="1"/>
      <c r="X37" s="1"/>
      <c r="Y37" s="1"/>
      <c r="Z37" s="126"/>
      <c r="AA37" s="83"/>
      <c r="AC37" s="21"/>
    </row>
    <row r="38" spans="1:29" x14ac:dyDescent="0.25">
      <c r="A38" s="7"/>
      <c r="B38" s="94">
        <v>1</v>
      </c>
      <c r="C38" s="105"/>
      <c r="D38" s="146" t="s">
        <v>159</v>
      </c>
      <c r="E38" s="146" t="s">
        <v>134</v>
      </c>
      <c r="F38" s="111" t="s">
        <v>160</v>
      </c>
      <c r="G38" s="94">
        <v>1</v>
      </c>
      <c r="H38" s="105"/>
      <c r="I38" s="105"/>
      <c r="J38" s="105"/>
      <c r="K38" s="105"/>
      <c r="L38" s="144"/>
      <c r="M38" s="67">
        <v>1</v>
      </c>
      <c r="N38" s="108">
        <f t="shared" si="1"/>
        <v>80</v>
      </c>
      <c r="O38" s="54"/>
      <c r="P38" s="7"/>
      <c r="Q38" s="145" t="str">
        <f t="shared" si="2"/>
        <v/>
      </c>
      <c r="R38" s="115">
        <f t="shared" si="3"/>
        <v>80</v>
      </c>
      <c r="S38" s="54" cm="1">
        <f t="array" ref="S38">B38*MainEntryFee()+G38*MPool1Fee()+H38*MPool2Fee()+I38*MPool3Fee()+J38*MPool4Fee()</f>
        <v>80</v>
      </c>
      <c r="T38" s="145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6" t="s">
        <v>161</v>
      </c>
      <c r="E39" s="146" t="s">
        <v>120</v>
      </c>
      <c r="F39" s="114" t="s">
        <v>162</v>
      </c>
      <c r="G39" s="106">
        <v>1</v>
      </c>
      <c r="H39" s="106">
        <v>1</v>
      </c>
      <c r="I39" s="106">
        <v>1</v>
      </c>
      <c r="J39" s="106">
        <v>1</v>
      </c>
      <c r="K39" s="106"/>
      <c r="L39" s="144"/>
      <c r="M39" s="108"/>
      <c r="N39" s="108">
        <f t="shared" si="1"/>
        <v>0</v>
      </c>
      <c r="O39" s="54"/>
      <c r="P39" s="7"/>
      <c r="Q39" s="145" t="str">
        <f t="shared" si="2"/>
        <v/>
      </c>
      <c r="R39" s="115" t="str">
        <f t="shared" si="3"/>
        <v/>
      </c>
      <c r="S39" s="54" cm="1">
        <f t="array" ref="S39">B39*MainEntryFee()+G39*MPool1Fee()+H39*MPool2Fee()+I39*MPool3Fee()+J39*MPool4Fee()</f>
        <v>160</v>
      </c>
      <c r="T39" s="145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6" t="s">
        <v>163</v>
      </c>
      <c r="E40" s="146" t="s">
        <v>164</v>
      </c>
      <c r="F40" s="114" t="s">
        <v>165</v>
      </c>
      <c r="G40" s="106">
        <v>1</v>
      </c>
      <c r="H40" s="106"/>
      <c r="I40" s="106"/>
      <c r="J40" s="106"/>
      <c r="K40" s="106">
        <v>1</v>
      </c>
      <c r="L40" s="144"/>
      <c r="M40" s="108"/>
      <c r="N40" s="108">
        <f t="shared" si="1"/>
        <v>0</v>
      </c>
      <c r="O40" s="54"/>
      <c r="P40" s="7"/>
      <c r="Q40" s="145" t="str">
        <f t="shared" si="2"/>
        <v/>
      </c>
      <c r="R40" s="115" t="str">
        <f t="shared" si="3"/>
        <v/>
      </c>
      <c r="S40" s="54" cm="1">
        <f t="array" ref="S40">B40*MainEntryFee()+G40*MPool1Fee()+H40*MPool2Fee()+I40*MPool3Fee()+J40*MPool4Fee()</f>
        <v>80</v>
      </c>
      <c r="T40" s="145"/>
      <c r="W40" s="1"/>
      <c r="X40" s="1"/>
      <c r="Y40" s="1"/>
      <c r="Z40" s="126"/>
      <c r="AA40" s="83"/>
      <c r="AC40" s="21"/>
    </row>
    <row r="41" spans="1:29" x14ac:dyDescent="0.25">
      <c r="A41" s="7"/>
      <c r="B41" s="94">
        <v>1</v>
      </c>
      <c r="C41" s="105"/>
      <c r="D41" s="146" t="s">
        <v>166</v>
      </c>
      <c r="E41" s="146" t="s">
        <v>167</v>
      </c>
      <c r="F41" s="111" t="s">
        <v>168</v>
      </c>
      <c r="G41" s="105">
        <v>1</v>
      </c>
      <c r="H41" s="105"/>
      <c r="I41" s="105"/>
      <c r="J41" s="105"/>
      <c r="K41" s="105">
        <v>1</v>
      </c>
      <c r="L41" s="144"/>
      <c r="M41" s="67"/>
      <c r="N41" s="108">
        <f t="shared" si="1"/>
        <v>0</v>
      </c>
      <c r="O41" s="54"/>
      <c r="P41" s="7"/>
      <c r="Q41" s="145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80</v>
      </c>
      <c r="T41" s="145">
        <v>1</v>
      </c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6" t="s">
        <v>169</v>
      </c>
      <c r="E42" s="146" t="s">
        <v>170</v>
      </c>
      <c r="F42" s="111" t="s">
        <v>171</v>
      </c>
      <c r="G42" s="105">
        <v>1</v>
      </c>
      <c r="H42" s="105"/>
      <c r="I42" s="105"/>
      <c r="J42" s="105"/>
      <c r="K42" s="105"/>
      <c r="L42" s="144"/>
      <c r="M42" s="67"/>
      <c r="N42" s="108">
        <f t="shared" si="1"/>
        <v>0</v>
      </c>
      <c r="O42" s="54"/>
      <c r="P42" s="7"/>
      <c r="Q42" s="145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80</v>
      </c>
      <c r="T42" s="145"/>
      <c r="W42" s="1"/>
      <c r="X42" s="1"/>
      <c r="Y42" s="1"/>
      <c r="Z42" s="126"/>
      <c r="AA42" s="83"/>
      <c r="AC42" s="21"/>
    </row>
    <row r="43" spans="1:29" x14ac:dyDescent="0.25">
      <c r="A43" s="7"/>
      <c r="B43" s="106">
        <v>1</v>
      </c>
      <c r="C43" s="105"/>
      <c r="D43" s="146" t="s">
        <v>172</v>
      </c>
      <c r="E43" s="146" t="s">
        <v>150</v>
      </c>
      <c r="F43" s="111" t="s">
        <v>173</v>
      </c>
      <c r="G43" s="94">
        <v>1</v>
      </c>
      <c r="H43" s="105"/>
      <c r="I43" s="105"/>
      <c r="J43" s="105"/>
      <c r="K43" s="105">
        <v>1</v>
      </c>
      <c r="L43" s="144"/>
      <c r="M43" s="67">
        <v>1</v>
      </c>
      <c r="N43" s="108">
        <f t="shared" si="1"/>
        <v>80</v>
      </c>
      <c r="O43" s="54"/>
      <c r="P43" s="7"/>
      <c r="Q43" s="145" t="str">
        <f t="shared" si="2"/>
        <v/>
      </c>
      <c r="R43" s="115">
        <f t="shared" si="3"/>
        <v>80</v>
      </c>
      <c r="S43" s="54" cm="1">
        <f t="array" ref="S43">B43*MainEntryFee()+G43*MPool1Fee()+H43*MPool2Fee()+I43*MPool3Fee()+J43*MPool4Fee()</f>
        <v>80</v>
      </c>
      <c r="T43" s="145"/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6" t="s">
        <v>174</v>
      </c>
      <c r="E44" s="146" t="s">
        <v>175</v>
      </c>
      <c r="F44" s="114" t="s">
        <v>176</v>
      </c>
      <c r="G44" s="106">
        <v>1</v>
      </c>
      <c r="H44" s="106">
        <v>1</v>
      </c>
      <c r="I44" s="106">
        <v>1</v>
      </c>
      <c r="J44" s="106">
        <v>1</v>
      </c>
      <c r="K44" s="106">
        <v>1</v>
      </c>
      <c r="L44" s="144"/>
      <c r="M44" s="108"/>
      <c r="N44" s="108">
        <f t="shared" ref="N44:N71" si="4">M44*S44</f>
        <v>0</v>
      </c>
      <c r="O44" s="54"/>
      <c r="P44" s="7"/>
      <c r="Q44" s="145" t="str">
        <f t="shared" ref="Q44:Q71" si="5">IF(OR(O44="c",O44="C"),+S44,"")</f>
        <v/>
      </c>
      <c r="R44" s="115" t="str">
        <f t="shared" ref="R44:R71" si="6">IF(OR(O44="$",M44=1),+S44,"")</f>
        <v/>
      </c>
      <c r="S44" s="54" cm="1">
        <f t="array" ref="S44">B44*MainEntryFee()+G44*MPool1Fee()+H44*MPool2Fee()+I44*MPool3Fee()+J44*MPool4Fee()</f>
        <v>160</v>
      </c>
      <c r="T44" s="145"/>
      <c r="W44" s="1"/>
      <c r="X44" s="1"/>
      <c r="Y44" s="1"/>
      <c r="Z44" s="126"/>
      <c r="AA44" s="83"/>
      <c r="AC44" s="21"/>
    </row>
    <row r="45" spans="1:29" x14ac:dyDescent="0.25">
      <c r="A45" s="7"/>
      <c r="B45" s="94">
        <v>1</v>
      </c>
      <c r="C45" s="105"/>
      <c r="D45" s="146" t="s">
        <v>177</v>
      </c>
      <c r="E45" s="146" t="s">
        <v>115</v>
      </c>
      <c r="F45" s="111" t="s">
        <v>178</v>
      </c>
      <c r="G45" s="106">
        <v>1</v>
      </c>
      <c r="H45" s="106">
        <v>1</v>
      </c>
      <c r="I45" s="106">
        <v>1</v>
      </c>
      <c r="J45" s="106">
        <v>1</v>
      </c>
      <c r="K45" s="106"/>
      <c r="L45" s="144"/>
      <c r="M45" s="108"/>
      <c r="N45" s="108">
        <f t="shared" si="4"/>
        <v>0</v>
      </c>
      <c r="O45" s="54"/>
      <c r="P45" s="7"/>
      <c r="Q45" s="145" t="str">
        <f t="shared" si="5"/>
        <v/>
      </c>
      <c r="R45" s="115" t="str">
        <f t="shared" si="6"/>
        <v/>
      </c>
      <c r="S45" s="54" cm="1">
        <f t="array" ref="S45">B45*MainEntryFee()+G45*MPool1Fee()+H45*MPool2Fee()+I45*MPool3Fee()+J45*MPool4Fee()</f>
        <v>160</v>
      </c>
      <c r="T45" s="145"/>
      <c r="W45" s="1"/>
      <c r="X45" s="1"/>
      <c r="Y45" s="1"/>
      <c r="Z45" s="126"/>
      <c r="AA45" s="127"/>
      <c r="AC45" s="21"/>
    </row>
    <row r="46" spans="1:29" x14ac:dyDescent="0.25">
      <c r="A46" s="7"/>
      <c r="B46" s="106">
        <v>1</v>
      </c>
      <c r="C46" s="105"/>
      <c r="D46" s="146" t="s">
        <v>179</v>
      </c>
      <c r="E46" s="146" t="s">
        <v>180</v>
      </c>
      <c r="F46" s="114" t="s">
        <v>181</v>
      </c>
      <c r="G46" s="106">
        <v>1</v>
      </c>
      <c r="H46" s="106">
        <v>1</v>
      </c>
      <c r="I46" s="106">
        <v>1</v>
      </c>
      <c r="J46" s="106"/>
      <c r="K46" s="106"/>
      <c r="L46" s="144"/>
      <c r="M46" s="108">
        <v>1</v>
      </c>
      <c r="N46" s="108">
        <f t="shared" si="4"/>
        <v>110</v>
      </c>
      <c r="O46" s="54"/>
      <c r="P46" s="7"/>
      <c r="Q46" s="145" t="str">
        <f t="shared" si="5"/>
        <v/>
      </c>
      <c r="R46" s="115">
        <f t="shared" si="6"/>
        <v>110</v>
      </c>
      <c r="S46" s="54" cm="1">
        <f t="array" ref="S46">B46*MainEntryFee()+G46*MPool1Fee()+H46*MPool2Fee()+I46*MPool3Fee()+J46*MPool4Fee()</f>
        <v>110</v>
      </c>
      <c r="T46" s="145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6" t="s">
        <v>182</v>
      </c>
      <c r="E47" s="146" t="s">
        <v>115</v>
      </c>
      <c r="F47" s="114" t="s">
        <v>183</v>
      </c>
      <c r="G47" s="106">
        <v>1</v>
      </c>
      <c r="H47" s="106">
        <v>1</v>
      </c>
      <c r="I47" s="106">
        <v>1</v>
      </c>
      <c r="J47" s="106">
        <v>1</v>
      </c>
      <c r="K47" s="106"/>
      <c r="L47" s="144"/>
      <c r="M47" s="108"/>
      <c r="N47" s="108">
        <f t="shared" si="4"/>
        <v>0</v>
      </c>
      <c r="O47" s="54"/>
      <c r="P47" s="7"/>
      <c r="Q47" s="145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160</v>
      </c>
      <c r="T47" s="145"/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6" t="s">
        <v>184</v>
      </c>
      <c r="E48" s="146"/>
      <c r="F48" s="114" t="s">
        <v>185</v>
      </c>
      <c r="G48" s="106"/>
      <c r="H48" s="106"/>
      <c r="I48" s="106">
        <v>1</v>
      </c>
      <c r="J48" s="106"/>
      <c r="K48" s="106"/>
      <c r="L48" s="144"/>
      <c r="M48" s="108">
        <v>1</v>
      </c>
      <c r="N48" s="108">
        <f t="shared" si="4"/>
        <v>90</v>
      </c>
      <c r="O48" s="54"/>
      <c r="P48" s="7"/>
      <c r="Q48" s="145" t="str">
        <f t="shared" si="5"/>
        <v/>
      </c>
      <c r="R48" s="115">
        <f t="shared" si="6"/>
        <v>90</v>
      </c>
      <c r="S48" s="54" cm="1">
        <f t="array" ref="S48">B48*MainEntryFee()+G48*MPool1Fee()+H48*MPool2Fee()+I48*MPool3Fee()+J48*MPool4Fee()</f>
        <v>90</v>
      </c>
      <c r="T48" s="145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6" t="s">
        <v>186</v>
      </c>
      <c r="E49" s="146" t="s">
        <v>167</v>
      </c>
      <c r="F49" s="111" t="s">
        <v>187</v>
      </c>
      <c r="G49" s="94">
        <v>1</v>
      </c>
      <c r="H49" s="105"/>
      <c r="I49" s="105"/>
      <c r="J49" s="105"/>
      <c r="K49" s="105"/>
      <c r="L49" s="144"/>
      <c r="M49" s="67"/>
      <c r="N49" s="108">
        <f t="shared" si="4"/>
        <v>0</v>
      </c>
      <c r="O49" s="54"/>
      <c r="P49" s="7"/>
      <c r="Q49" s="145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80</v>
      </c>
      <c r="T49" s="145"/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6" t="s">
        <v>188</v>
      </c>
      <c r="E50" s="146" t="s">
        <v>189</v>
      </c>
      <c r="F50" s="114" t="s">
        <v>190</v>
      </c>
      <c r="G50" s="106">
        <v>1</v>
      </c>
      <c r="H50" s="106">
        <v>1</v>
      </c>
      <c r="I50" s="106">
        <v>1</v>
      </c>
      <c r="J50" s="106"/>
      <c r="K50" s="106"/>
      <c r="L50" s="144">
        <v>1</v>
      </c>
      <c r="M50" s="108"/>
      <c r="N50" s="108">
        <f t="shared" si="4"/>
        <v>0</v>
      </c>
      <c r="O50" s="54"/>
      <c r="P50" s="7"/>
      <c r="Q50" s="145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110</v>
      </c>
      <c r="T50" s="145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6" t="s">
        <v>191</v>
      </c>
      <c r="E51" s="146" t="s">
        <v>192</v>
      </c>
      <c r="F51" s="114" t="s">
        <v>193</v>
      </c>
      <c r="G51" s="94">
        <v>1</v>
      </c>
      <c r="H51" s="105">
        <v>1</v>
      </c>
      <c r="I51" s="105">
        <v>1</v>
      </c>
      <c r="J51" s="105"/>
      <c r="K51" s="105"/>
      <c r="L51" s="144"/>
      <c r="M51" s="67"/>
      <c r="N51" s="108">
        <f t="shared" si="4"/>
        <v>0</v>
      </c>
      <c r="O51" s="54"/>
      <c r="P51" s="7"/>
      <c r="Q51" s="145" t="str">
        <f t="shared" si="5"/>
        <v/>
      </c>
      <c r="R51" s="115" t="str">
        <f t="shared" si="6"/>
        <v/>
      </c>
      <c r="S51" s="54" cm="1">
        <f t="array" ref="S51">B51*MainEntryFee()+G51*MPool1Fee()+H51*MPool2Fee()+I51*MPool3Fee()+J51*MPool4Fee()</f>
        <v>110</v>
      </c>
      <c r="T51" s="145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106">
        <v>1</v>
      </c>
      <c r="C52" s="105"/>
      <c r="D52" s="146" t="s">
        <v>194</v>
      </c>
      <c r="E52" s="146" t="s">
        <v>112</v>
      </c>
      <c r="F52" s="114" t="s">
        <v>195</v>
      </c>
      <c r="G52" s="106">
        <v>1</v>
      </c>
      <c r="H52" s="106">
        <v>1</v>
      </c>
      <c r="I52" s="106">
        <v>1</v>
      </c>
      <c r="J52" s="106"/>
      <c r="K52" s="106"/>
      <c r="L52" s="144"/>
      <c r="M52" s="108"/>
      <c r="N52" s="108">
        <f t="shared" si="4"/>
        <v>0</v>
      </c>
      <c r="O52" s="54"/>
      <c r="P52" s="7"/>
      <c r="Q52" s="145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110</v>
      </c>
      <c r="T52" s="145"/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6" t="s">
        <v>196</v>
      </c>
      <c r="E53" s="146" t="s">
        <v>153</v>
      </c>
      <c r="F53" s="114" t="s">
        <v>197</v>
      </c>
      <c r="G53" s="106">
        <v>1</v>
      </c>
      <c r="H53" s="106"/>
      <c r="I53" s="106">
        <v>1</v>
      </c>
      <c r="J53" s="106"/>
      <c r="K53" s="106"/>
      <c r="L53" s="144"/>
      <c r="M53" s="108">
        <v>1</v>
      </c>
      <c r="N53" s="108">
        <f t="shared" si="4"/>
        <v>100</v>
      </c>
      <c r="O53" s="54"/>
      <c r="P53" s="7"/>
      <c r="Q53" s="145" t="str">
        <f t="shared" si="5"/>
        <v/>
      </c>
      <c r="R53" s="115">
        <f t="shared" si="6"/>
        <v>100</v>
      </c>
      <c r="S53" s="54" cm="1">
        <f t="array" ref="S53">B53*MainEntryFee()+G53*MPool1Fee()+H53*MPool2Fee()+I53*MPool3Fee()+J53*MPool4Fee()</f>
        <v>100</v>
      </c>
      <c r="T53" s="145"/>
      <c r="W53" s="1"/>
      <c r="X53" s="1"/>
      <c r="Y53" s="1"/>
      <c r="Z53" s="126"/>
      <c r="AA53" s="83"/>
      <c r="AC53" s="21"/>
    </row>
    <row r="54" spans="1:29" x14ac:dyDescent="0.25">
      <c r="A54" s="7"/>
      <c r="B54" s="106">
        <v>1</v>
      </c>
      <c r="C54" s="105"/>
      <c r="D54" s="146" t="s">
        <v>198</v>
      </c>
      <c r="E54" s="146" t="s">
        <v>115</v>
      </c>
      <c r="F54" s="114" t="s">
        <v>199</v>
      </c>
      <c r="G54" s="106">
        <v>1</v>
      </c>
      <c r="H54" s="106">
        <v>1</v>
      </c>
      <c r="I54" s="106">
        <v>1</v>
      </c>
      <c r="J54" s="106">
        <v>1</v>
      </c>
      <c r="K54" s="106">
        <v>1</v>
      </c>
      <c r="L54" s="144"/>
      <c r="M54" s="108"/>
      <c r="N54" s="108">
        <f t="shared" si="4"/>
        <v>0</v>
      </c>
      <c r="O54" s="54"/>
      <c r="P54" s="7"/>
      <c r="Q54" s="145" t="str">
        <f t="shared" si="5"/>
        <v/>
      </c>
      <c r="R54" s="115" t="str">
        <f t="shared" si="6"/>
        <v/>
      </c>
      <c r="S54" s="54" cm="1">
        <f t="array" ref="S54">B54*MainEntryFee()+G54*MPool1Fee()+H54*MPool2Fee()+I54*MPool3Fee()+J54*MPool4Fee()</f>
        <v>160</v>
      </c>
      <c r="T54" s="145">
        <v>1</v>
      </c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6" t="s">
        <v>200</v>
      </c>
      <c r="E55" s="146" t="s">
        <v>201</v>
      </c>
      <c r="F55" s="111" t="s">
        <v>202</v>
      </c>
      <c r="G55" s="94">
        <v>1</v>
      </c>
      <c r="H55" s="105">
        <v>1</v>
      </c>
      <c r="I55" s="105">
        <v>1</v>
      </c>
      <c r="J55" s="105">
        <v>1</v>
      </c>
      <c r="K55" s="105"/>
      <c r="L55" s="144"/>
      <c r="M55" s="67"/>
      <c r="N55" s="108">
        <f t="shared" si="4"/>
        <v>0</v>
      </c>
      <c r="O55" s="54"/>
      <c r="P55" s="7"/>
      <c r="Q55" s="145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160</v>
      </c>
      <c r="T55" s="145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6" t="s">
        <v>203</v>
      </c>
      <c r="E56" s="146" t="s">
        <v>204</v>
      </c>
      <c r="F56" s="114" t="s">
        <v>205</v>
      </c>
      <c r="G56" s="106"/>
      <c r="H56" s="106"/>
      <c r="I56" s="106"/>
      <c r="J56" s="106"/>
      <c r="K56" s="106"/>
      <c r="L56" s="144"/>
      <c r="M56" s="108"/>
      <c r="N56" s="108">
        <f t="shared" si="4"/>
        <v>0</v>
      </c>
      <c r="O56" s="54"/>
      <c r="P56" s="7"/>
      <c r="Q56" s="145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70</v>
      </c>
      <c r="T56" s="145"/>
      <c r="W56" s="1"/>
      <c r="X56" s="1"/>
      <c r="Y56" s="1"/>
      <c r="Z56" s="126"/>
      <c r="AA56" s="83"/>
      <c r="AC56" s="21"/>
    </row>
    <row r="57" spans="1:29" x14ac:dyDescent="0.25">
      <c r="A57" s="7"/>
      <c r="B57" s="106">
        <v>1</v>
      </c>
      <c r="C57" s="105"/>
      <c r="D57" s="146" t="s">
        <v>206</v>
      </c>
      <c r="E57" s="146" t="s">
        <v>115</v>
      </c>
      <c r="F57" s="111" t="s">
        <v>207</v>
      </c>
      <c r="G57" s="94">
        <v>1</v>
      </c>
      <c r="H57" s="105"/>
      <c r="I57" s="105"/>
      <c r="J57" s="105"/>
      <c r="K57" s="105"/>
      <c r="L57" s="144"/>
      <c r="M57" s="67"/>
      <c r="N57" s="108">
        <f t="shared" si="4"/>
        <v>0</v>
      </c>
      <c r="O57" s="54"/>
      <c r="P57" s="7"/>
      <c r="Q57" s="145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80</v>
      </c>
      <c r="T57" s="145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6" t="s">
        <v>208</v>
      </c>
      <c r="E58" s="146" t="s">
        <v>109</v>
      </c>
      <c r="F58" s="114" t="s">
        <v>209</v>
      </c>
      <c r="G58" s="106">
        <v>1</v>
      </c>
      <c r="H58" s="106">
        <v>1</v>
      </c>
      <c r="I58" s="106">
        <v>1</v>
      </c>
      <c r="J58" s="106">
        <v>1</v>
      </c>
      <c r="K58" s="106">
        <v>1</v>
      </c>
      <c r="L58" s="144"/>
      <c r="M58" s="108"/>
      <c r="N58" s="108">
        <f t="shared" si="4"/>
        <v>0</v>
      </c>
      <c r="O58" s="54"/>
      <c r="P58" s="7"/>
      <c r="Q58" s="145" t="str">
        <f t="shared" si="5"/>
        <v/>
      </c>
      <c r="R58" s="115" t="str">
        <f t="shared" si="6"/>
        <v/>
      </c>
      <c r="S58" s="54" cm="1">
        <f t="array" ref="S58">B58*MainEntryFee()+G58*MPool1Fee()+H58*MPool2Fee()+I58*MPool3Fee()+J58*MPool4Fee()</f>
        <v>160</v>
      </c>
      <c r="T58" s="145"/>
      <c r="W58" s="1"/>
      <c r="X58" s="1"/>
      <c r="Y58" s="1"/>
      <c r="Z58" s="126"/>
      <c r="AA58" s="83"/>
      <c r="AC58" s="21"/>
    </row>
    <row r="59" spans="1:29" x14ac:dyDescent="0.25">
      <c r="A59" s="7"/>
      <c r="B59" s="106">
        <v>1</v>
      </c>
      <c r="C59" s="105"/>
      <c r="D59" s="146" t="s">
        <v>210</v>
      </c>
      <c r="E59" s="146" t="s">
        <v>109</v>
      </c>
      <c r="F59" s="114" t="s">
        <v>211</v>
      </c>
      <c r="G59" s="106">
        <v>1</v>
      </c>
      <c r="H59" s="106">
        <v>1</v>
      </c>
      <c r="I59" s="106">
        <v>1</v>
      </c>
      <c r="J59" s="106">
        <v>1</v>
      </c>
      <c r="K59" s="106">
        <v>1</v>
      </c>
      <c r="L59" s="144"/>
      <c r="M59" s="108"/>
      <c r="N59" s="108">
        <f t="shared" si="4"/>
        <v>0</v>
      </c>
      <c r="O59" s="54"/>
      <c r="P59" s="7"/>
      <c r="Q59" s="145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160</v>
      </c>
      <c r="T59" s="145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6" t="s">
        <v>212</v>
      </c>
      <c r="E60" s="146" t="s">
        <v>213</v>
      </c>
      <c r="F60" s="114" t="s">
        <v>214</v>
      </c>
      <c r="G60" s="106">
        <v>1</v>
      </c>
      <c r="H60" s="106"/>
      <c r="I60" s="106"/>
      <c r="J60" s="106"/>
      <c r="K60" s="106"/>
      <c r="L60" s="144"/>
      <c r="M60" s="108"/>
      <c r="N60" s="108">
        <f t="shared" si="4"/>
        <v>0</v>
      </c>
      <c r="O60" s="54"/>
      <c r="P60" s="7"/>
      <c r="Q60" s="145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80</v>
      </c>
      <c r="T60" s="145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6" t="s">
        <v>215</v>
      </c>
      <c r="E61" s="146" t="s">
        <v>180</v>
      </c>
      <c r="F61" s="114" t="s">
        <v>216</v>
      </c>
      <c r="G61" s="106"/>
      <c r="H61" s="106">
        <v>1</v>
      </c>
      <c r="I61" s="106">
        <v>1</v>
      </c>
      <c r="J61" s="106"/>
      <c r="K61" s="106"/>
      <c r="L61" s="167"/>
      <c r="M61" s="108"/>
      <c r="N61" s="108">
        <f t="shared" si="4"/>
        <v>0</v>
      </c>
      <c r="O61" s="54"/>
      <c r="P61" s="7"/>
      <c r="Q61" s="145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100</v>
      </c>
      <c r="T61" s="145"/>
      <c r="W61" s="1"/>
      <c r="X61" s="1"/>
      <c r="Y61" s="1"/>
      <c r="Z61" s="126"/>
      <c r="AA61" s="83"/>
      <c r="AC61" s="21"/>
    </row>
    <row r="62" spans="1:29" x14ac:dyDescent="0.25">
      <c r="A62" s="7"/>
      <c r="B62" s="94">
        <v>1</v>
      </c>
      <c r="C62" s="105"/>
      <c r="D62" s="146" t="s">
        <v>217</v>
      </c>
      <c r="E62" s="146" t="s">
        <v>115</v>
      </c>
      <c r="F62" s="114" t="s">
        <v>218</v>
      </c>
      <c r="G62" s="106">
        <v>1</v>
      </c>
      <c r="H62" s="106">
        <v>1</v>
      </c>
      <c r="I62" s="106">
        <v>1</v>
      </c>
      <c r="J62" s="106"/>
      <c r="K62" s="106"/>
      <c r="L62" s="167"/>
      <c r="M62" s="108"/>
      <c r="N62" s="108">
        <f t="shared" si="4"/>
        <v>0</v>
      </c>
      <c r="O62" s="54"/>
      <c r="P62" s="7"/>
      <c r="Q62" s="145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110</v>
      </c>
      <c r="T62" s="145"/>
      <c r="W62" s="1"/>
      <c r="X62" s="1"/>
      <c r="Y62" s="1"/>
      <c r="Z62" s="126"/>
      <c r="AA62" s="127"/>
      <c r="AC62" s="21"/>
    </row>
    <row r="63" spans="1:29" x14ac:dyDescent="0.25">
      <c r="A63" s="7"/>
      <c r="B63" s="94">
        <v>1</v>
      </c>
      <c r="C63" s="105"/>
      <c r="D63" s="146" t="s">
        <v>219</v>
      </c>
      <c r="E63" s="146" t="s">
        <v>115</v>
      </c>
      <c r="F63" s="153" t="s">
        <v>220</v>
      </c>
      <c r="G63" s="94"/>
      <c r="H63" s="105"/>
      <c r="I63" s="105"/>
      <c r="J63" s="105"/>
      <c r="K63" s="105"/>
      <c r="L63" s="167"/>
      <c r="M63" s="67"/>
      <c r="N63" s="108">
        <f t="shared" si="4"/>
        <v>0</v>
      </c>
      <c r="O63" s="54"/>
      <c r="P63" s="7"/>
      <c r="Q63" s="145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70</v>
      </c>
      <c r="T63" s="145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6" t="s">
        <v>221</v>
      </c>
      <c r="E64" s="146" t="s">
        <v>115</v>
      </c>
      <c r="F64" s="114" t="s">
        <v>222</v>
      </c>
      <c r="G64" s="94"/>
      <c r="H64" s="105">
        <v>1</v>
      </c>
      <c r="I64" s="105">
        <v>1</v>
      </c>
      <c r="J64" s="105"/>
      <c r="K64" s="105"/>
      <c r="L64" s="167"/>
      <c r="M64" s="67"/>
      <c r="N64" s="108">
        <f t="shared" si="4"/>
        <v>0</v>
      </c>
      <c r="O64" s="54"/>
      <c r="P64" s="7"/>
      <c r="Q64" s="145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100</v>
      </c>
      <c r="T64" s="145"/>
      <c r="W64" s="1"/>
      <c r="X64" s="1"/>
      <c r="Y64" s="1"/>
      <c r="Z64" s="126"/>
      <c r="AA64" s="83"/>
      <c r="AC64" s="21"/>
    </row>
    <row r="65" spans="1:29" x14ac:dyDescent="0.25">
      <c r="A65" s="7"/>
      <c r="B65" s="94">
        <v>1</v>
      </c>
      <c r="C65" s="105"/>
      <c r="D65" s="146" t="s">
        <v>223</v>
      </c>
      <c r="E65" s="146" t="s">
        <v>115</v>
      </c>
      <c r="F65" s="114" t="s">
        <v>224</v>
      </c>
      <c r="G65" s="106">
        <v>1</v>
      </c>
      <c r="H65" s="106">
        <v>1</v>
      </c>
      <c r="I65" s="106">
        <v>1</v>
      </c>
      <c r="J65" s="106"/>
      <c r="K65" s="106"/>
      <c r="L65" s="167"/>
      <c r="M65" s="108"/>
      <c r="N65" s="108">
        <f t="shared" si="4"/>
        <v>0</v>
      </c>
      <c r="O65" s="54"/>
      <c r="P65" s="7"/>
      <c r="Q65" s="145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110</v>
      </c>
      <c r="T65" s="145"/>
      <c r="W65" s="1"/>
      <c r="X65" s="1"/>
      <c r="Y65" s="1"/>
      <c r="Z65" s="126"/>
      <c r="AA65" s="83"/>
      <c r="AC65" s="21"/>
    </row>
    <row r="66" spans="1:29" x14ac:dyDescent="0.25">
      <c r="A66" s="7"/>
      <c r="B66" s="106">
        <v>1</v>
      </c>
      <c r="C66" s="105"/>
      <c r="D66" s="146" t="s">
        <v>225</v>
      </c>
      <c r="E66" s="146" t="s">
        <v>115</v>
      </c>
      <c r="F66" s="111" t="s">
        <v>226</v>
      </c>
      <c r="G66" s="94">
        <v>1</v>
      </c>
      <c r="H66" s="105"/>
      <c r="I66" s="105"/>
      <c r="J66" s="105"/>
      <c r="K66" s="105"/>
      <c r="L66" s="167">
        <v>1</v>
      </c>
      <c r="M66" s="67"/>
      <c r="N66" s="108">
        <f t="shared" si="4"/>
        <v>0</v>
      </c>
      <c r="O66" s="54"/>
      <c r="P66" s="7"/>
      <c r="Q66" s="145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80</v>
      </c>
      <c r="T66" s="145"/>
      <c r="W66" s="1"/>
      <c r="X66" s="1"/>
      <c r="Y66" s="1"/>
      <c r="Z66" s="126"/>
      <c r="AA66" s="83"/>
      <c r="AC66" s="21"/>
    </row>
    <row r="67" spans="1:29" x14ac:dyDescent="0.25">
      <c r="A67" s="7"/>
      <c r="B67" s="94">
        <v>1</v>
      </c>
      <c r="C67" s="105"/>
      <c r="D67" s="146" t="s">
        <v>227</v>
      </c>
      <c r="E67" s="146" t="s">
        <v>94</v>
      </c>
      <c r="F67" s="114" t="s">
        <v>228</v>
      </c>
      <c r="G67" s="106">
        <v>1</v>
      </c>
      <c r="H67" s="106"/>
      <c r="I67" s="106"/>
      <c r="J67" s="106"/>
      <c r="K67" s="106"/>
      <c r="L67" s="167"/>
      <c r="M67" s="108"/>
      <c r="N67" s="108">
        <f t="shared" si="4"/>
        <v>0</v>
      </c>
      <c r="O67" s="54"/>
      <c r="P67" s="7"/>
      <c r="Q67" s="145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80</v>
      </c>
      <c r="T67" s="145"/>
      <c r="W67" s="1"/>
      <c r="X67" s="1"/>
      <c r="Y67" s="1"/>
      <c r="Z67" s="126"/>
      <c r="AA67" s="127"/>
      <c r="AC67" s="21"/>
    </row>
    <row r="68" spans="1:29" x14ac:dyDescent="0.25">
      <c r="A68" s="7"/>
      <c r="B68" s="106">
        <v>1</v>
      </c>
      <c r="C68" s="105"/>
      <c r="D68" s="146" t="s">
        <v>229</v>
      </c>
      <c r="E68" s="146" t="s">
        <v>112</v>
      </c>
      <c r="F68" s="114" t="s">
        <v>230</v>
      </c>
      <c r="G68" s="106"/>
      <c r="H68" s="106"/>
      <c r="I68" s="106"/>
      <c r="J68" s="106"/>
      <c r="K68" s="106"/>
      <c r="L68" s="167"/>
      <c r="M68" s="108">
        <v>1</v>
      </c>
      <c r="N68" s="108">
        <f t="shared" si="4"/>
        <v>70</v>
      </c>
      <c r="O68" s="54"/>
      <c r="P68" s="7"/>
      <c r="Q68" s="145" t="str">
        <f t="shared" si="5"/>
        <v/>
      </c>
      <c r="R68" s="115">
        <f t="shared" si="6"/>
        <v>70</v>
      </c>
      <c r="S68" s="54" cm="1">
        <f t="array" ref="S68">B68*MainEntryFee()+G68*MPool1Fee()+H68*MPool2Fee()+I68*MPool3Fee()+J68*MPool4Fee()</f>
        <v>70</v>
      </c>
      <c r="T68" s="145"/>
      <c r="W68" s="1"/>
      <c r="X68" s="1"/>
      <c r="Y68" s="1"/>
      <c r="Z68" s="126"/>
      <c r="AA68" s="127"/>
      <c r="AC68" s="21"/>
    </row>
    <row r="69" spans="1:29" x14ac:dyDescent="0.25">
      <c r="A69" s="7"/>
      <c r="B69" s="106">
        <v>1</v>
      </c>
      <c r="C69" s="105"/>
      <c r="D69" s="146" t="s">
        <v>231</v>
      </c>
      <c r="E69" s="146" t="s">
        <v>142</v>
      </c>
      <c r="F69" s="111" t="s">
        <v>232</v>
      </c>
      <c r="G69" s="94"/>
      <c r="H69" s="105"/>
      <c r="I69" s="105"/>
      <c r="J69" s="105"/>
      <c r="K69" s="105"/>
      <c r="L69" s="167"/>
      <c r="M69" s="67">
        <v>1</v>
      </c>
      <c r="N69" s="108">
        <f t="shared" si="4"/>
        <v>70</v>
      </c>
      <c r="O69" s="54"/>
      <c r="P69" s="7"/>
      <c r="Q69" s="145" t="str">
        <f t="shared" si="5"/>
        <v/>
      </c>
      <c r="R69" s="115">
        <f t="shared" si="6"/>
        <v>70</v>
      </c>
      <c r="S69" s="54" cm="1">
        <f t="array" ref="S69">B69*MainEntryFee()+G69*MPool1Fee()+H69*MPool2Fee()+I69*MPool3Fee()+J69*MPool4Fee()</f>
        <v>70</v>
      </c>
      <c r="T69" s="145"/>
      <c r="W69" s="1"/>
      <c r="X69" s="1"/>
      <c r="Y69" s="1"/>
      <c r="Z69" s="126"/>
      <c r="AA69" s="127"/>
      <c r="AC69" s="21"/>
    </row>
    <row r="70" spans="1:29" x14ac:dyDescent="0.25">
      <c r="A70" s="7"/>
      <c r="B70" s="94">
        <v>1</v>
      </c>
      <c r="C70" s="105"/>
      <c r="D70" s="146" t="s">
        <v>233</v>
      </c>
      <c r="E70" s="146" t="s">
        <v>115</v>
      </c>
      <c r="F70" s="114" t="s">
        <v>234</v>
      </c>
      <c r="G70" s="106"/>
      <c r="H70" s="106">
        <v>1</v>
      </c>
      <c r="I70" s="106">
        <v>1</v>
      </c>
      <c r="J70" s="106"/>
      <c r="K70" s="106"/>
      <c r="L70" s="167"/>
      <c r="M70" s="108"/>
      <c r="N70" s="108">
        <f t="shared" si="4"/>
        <v>0</v>
      </c>
      <c r="O70" s="54"/>
      <c r="P70" s="7"/>
      <c r="Q70" s="145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100</v>
      </c>
      <c r="T70" s="145"/>
      <c r="W70" s="1"/>
      <c r="X70" s="1"/>
      <c r="Y70" s="1"/>
      <c r="Z70" s="126"/>
      <c r="AA70" s="127"/>
      <c r="AC70" s="21"/>
    </row>
    <row r="71" spans="1:29" x14ac:dyDescent="0.25">
      <c r="A71" s="7"/>
      <c r="B71" s="106">
        <v>1</v>
      </c>
      <c r="C71" s="105"/>
      <c r="D71" s="146" t="s">
        <v>235</v>
      </c>
      <c r="E71" s="146" t="s">
        <v>150</v>
      </c>
      <c r="F71" s="114" t="s">
        <v>236</v>
      </c>
      <c r="G71" s="106">
        <v>1</v>
      </c>
      <c r="H71" s="106">
        <v>1</v>
      </c>
      <c r="I71" s="106"/>
      <c r="J71" s="106"/>
      <c r="K71" s="106"/>
      <c r="L71" s="167"/>
      <c r="M71" s="108"/>
      <c r="N71" s="108">
        <f t="shared" si="4"/>
        <v>0</v>
      </c>
      <c r="O71" s="54"/>
      <c r="P71" s="7"/>
      <c r="Q71" s="145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90</v>
      </c>
      <c r="T71" s="145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8"/>
      <c r="E72" s="148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5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8"/>
      <c r="E73" s="148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5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8"/>
      <c r="E74" s="148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5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9"/>
      <c r="E75" s="149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5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9"/>
      <c r="E76" s="149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5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8"/>
      <c r="E77" s="148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5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9"/>
      <c r="E78" s="149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5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9"/>
      <c r="E79" s="149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5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8"/>
      <c r="E80" s="148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5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8"/>
      <c r="E81" s="148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5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8"/>
      <c r="E82" s="148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5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9"/>
      <c r="E83" s="149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5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8"/>
      <c r="E84" s="148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5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8"/>
      <c r="E85" s="148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5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6"/>
      <c r="E86" s="146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5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8"/>
      <c r="E87" s="148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5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9"/>
      <c r="E88" s="149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5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9"/>
      <c r="E89" s="149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5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9"/>
      <c r="E90" s="149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5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9"/>
      <c r="E91" s="149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5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9"/>
      <c r="E92" s="149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5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9"/>
      <c r="E93" s="149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5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9"/>
      <c r="E94" s="149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5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9"/>
      <c r="E95" s="149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5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9"/>
      <c r="E96" s="149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5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9"/>
      <c r="E97" s="149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5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9"/>
      <c r="E98" s="149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5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9"/>
      <c r="E99" s="149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5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9"/>
      <c r="E100" s="149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5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9"/>
      <c r="E101" s="149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5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9"/>
      <c r="E102" s="149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5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9"/>
      <c r="E103" s="149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5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9"/>
      <c r="E104" s="149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5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9"/>
      <c r="E105" s="149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5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9"/>
      <c r="E106" s="149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5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9"/>
      <c r="E107" s="149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5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9"/>
      <c r="E108" s="149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5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9"/>
      <c r="E109" s="149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5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9"/>
      <c r="E110" s="149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5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9"/>
      <c r="E111" s="149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5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9"/>
      <c r="E112" s="149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5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9"/>
      <c r="E113" s="149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5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9"/>
      <c r="E114" s="149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5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9"/>
      <c r="E115" s="149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5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9"/>
      <c r="E116" s="149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5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9"/>
      <c r="E117" s="149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5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9"/>
      <c r="E118" s="149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5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9"/>
      <c r="E119" s="149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5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9"/>
      <c r="E120" s="149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5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9"/>
      <c r="E121" s="149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5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9"/>
      <c r="E122" s="149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5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9"/>
      <c r="E123" s="149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5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9"/>
      <c r="E124" s="149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5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9"/>
      <c r="E125" s="149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5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9"/>
      <c r="E126" s="149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5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9"/>
      <c r="E127" s="149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5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9"/>
      <c r="E128" s="149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5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9"/>
      <c r="E129" s="149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5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9"/>
      <c r="E130" s="149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5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9"/>
      <c r="E131" s="149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5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9"/>
      <c r="E132" s="149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5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9"/>
      <c r="E133" s="149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5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9"/>
      <c r="E134" s="149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5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9"/>
      <c r="E135" s="149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5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9"/>
      <c r="E136" s="149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5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9"/>
      <c r="E137" s="149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5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9"/>
      <c r="E138" s="149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5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9"/>
      <c r="E139" s="149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5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9"/>
      <c r="E140" s="149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5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9"/>
      <c r="E141" s="149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5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9"/>
      <c r="E142" s="149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5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9"/>
      <c r="E143" s="149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5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9"/>
      <c r="E144" s="149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5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9"/>
      <c r="E145" s="149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5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9"/>
      <c r="E146" s="149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5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9"/>
      <c r="E147" s="149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5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9"/>
      <c r="E148" s="149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5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9"/>
      <c r="E149" s="149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5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9"/>
      <c r="E150" s="149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5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9"/>
      <c r="E151" s="149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5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9"/>
      <c r="E152" s="149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5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9"/>
      <c r="E153" s="149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5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9"/>
      <c r="E154" s="149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5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9"/>
      <c r="E155" s="149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5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9"/>
      <c r="E156" s="149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5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9"/>
      <c r="E157" s="149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5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9"/>
      <c r="E158" s="149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5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9"/>
      <c r="E159" s="149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5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9"/>
      <c r="E160" s="149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5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9"/>
      <c r="E161" s="149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5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9"/>
      <c r="E162" s="149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5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9"/>
      <c r="E163" s="149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5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9"/>
      <c r="E164" s="149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5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9"/>
      <c r="E165" s="149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5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9"/>
      <c r="E166" s="149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5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9"/>
      <c r="E167" s="149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5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9"/>
      <c r="E168" s="149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5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9"/>
      <c r="E169" s="149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5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9"/>
      <c r="E170" s="149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5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9"/>
      <c r="E171" s="149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5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9"/>
      <c r="E172" s="149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5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9"/>
      <c r="E173" s="149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5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9"/>
      <c r="E174" s="149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5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9"/>
      <c r="E175" s="149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5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9"/>
      <c r="E176" s="149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5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9"/>
      <c r="E177" s="149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5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9"/>
      <c r="E178" s="149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5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9"/>
      <c r="E179" s="149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5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9"/>
      <c r="E180" s="149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5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9"/>
      <c r="E181" s="149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5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9"/>
      <c r="E182" s="149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5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9"/>
      <c r="E183" s="149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5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9"/>
      <c r="E184" s="149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5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9"/>
      <c r="E185" s="149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5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9"/>
      <c r="E186" s="149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5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9"/>
      <c r="E187" s="149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5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9"/>
      <c r="E188" s="149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5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9"/>
      <c r="E189" s="149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5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9"/>
      <c r="E190" s="149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5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9"/>
      <c r="E191" s="149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5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9"/>
      <c r="E192" s="149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5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9"/>
      <c r="E193" s="149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5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9"/>
      <c r="E194" s="149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5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9"/>
      <c r="E195" s="149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5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9"/>
      <c r="E196" s="149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5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9"/>
      <c r="E197" s="149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5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9"/>
      <c r="E198" s="149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5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9"/>
      <c r="E199" s="149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5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9"/>
      <c r="E200" s="149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5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9"/>
      <c r="E201" s="149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5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9"/>
      <c r="E202" s="149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5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9"/>
      <c r="E203" s="149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5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9"/>
      <c r="E204" s="149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5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9"/>
      <c r="E205" s="149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5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9"/>
      <c r="E206" s="149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5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9"/>
      <c r="E207" s="149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5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9"/>
      <c r="E208" s="149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5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9"/>
      <c r="E209" s="149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5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9"/>
      <c r="E210" s="149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5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9"/>
      <c r="E211" s="149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5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237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238</v>
      </c>
      <c r="D4" s="171"/>
      <c r="E4" s="88"/>
      <c r="F4" s="88"/>
      <c r="G4" s="14"/>
      <c r="H4" s="14"/>
      <c r="I4" t="s">
        <v>85</v>
      </c>
      <c r="M4" s="136"/>
      <c r="P4"/>
    </row>
    <row r="5" spans="1:22" x14ac:dyDescent="0.25">
      <c r="B5" s="133" t="s">
        <v>62</v>
      </c>
      <c r="C5" s="171" t="s">
        <v>239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45402</v>
      </c>
      <c r="D6" s="154"/>
      <c r="E6" s="154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5"/>
      <c r="C7" s="44"/>
      <c r="D7" s="89"/>
      <c r="E7" s="156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4"/>
      <c r="C8" s="154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8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12"/>
      <c r="D10" s="106"/>
      <c r="E10" s="115"/>
      <c r="F10" s="115"/>
      <c r="G10" s="115"/>
      <c r="H10" s="115"/>
      <c r="I10" s="106"/>
      <c r="J10" s="106"/>
      <c r="K10" s="115"/>
      <c r="L10" s="115"/>
      <c r="M10" s="106"/>
      <c r="N10" s="106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/>
      <c r="C11" s="115"/>
      <c r="D11" s="115"/>
      <c r="E11" s="115"/>
      <c r="F11" s="115"/>
      <c r="G11" s="115"/>
      <c r="H11" s="115"/>
      <c r="I11" s="106"/>
      <c r="J11" s="106"/>
      <c r="K11" s="115"/>
      <c r="L11" s="115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06"/>
      <c r="D12" s="106"/>
      <c r="E12" s="115"/>
      <c r="F12" s="115"/>
      <c r="G12" s="115"/>
      <c r="H12" s="115"/>
      <c r="I12" s="106"/>
      <c r="J12" s="106"/>
      <c r="K12" s="115"/>
      <c r="L12" s="115"/>
      <c r="M12" s="106"/>
      <c r="N12" s="106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110"/>
      <c r="D13" s="110"/>
      <c r="E13" s="115"/>
      <c r="F13" s="115"/>
      <c r="G13" s="115"/>
      <c r="H13" s="115"/>
      <c r="I13" s="106"/>
      <c r="J13" s="106"/>
      <c r="K13" s="115"/>
      <c r="L13" s="115"/>
      <c r="M13" s="112"/>
      <c r="N13" s="112"/>
      <c r="O13" s="106"/>
      <c r="P13" s="106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/>
      <c r="C14" s="115"/>
      <c r="D14" s="115"/>
      <c r="E14" s="115"/>
      <c r="F14" s="115"/>
      <c r="G14" s="115"/>
      <c r="H14" s="115"/>
      <c r="I14" s="105"/>
      <c r="J14" s="105"/>
      <c r="K14" s="105"/>
      <c r="L14" s="107"/>
      <c r="M14" s="115"/>
      <c r="N14" s="115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113"/>
      <c r="C15" s="115"/>
      <c r="D15" s="115"/>
      <c r="E15" s="115"/>
      <c r="F15" s="115"/>
      <c r="G15" s="115"/>
      <c r="H15" s="115"/>
      <c r="I15" s="106"/>
      <c r="J15" s="106"/>
      <c r="K15" s="106"/>
      <c r="L15" s="107"/>
      <c r="M15" s="115"/>
      <c r="N15" s="115"/>
      <c r="O15" s="106"/>
      <c r="P15" s="106"/>
      <c r="Q15" s="7" t="s">
        <v>24</v>
      </c>
      <c r="R15" s="139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93"/>
      <c r="C16" s="115"/>
      <c r="D16" s="115"/>
      <c r="E16" s="115"/>
      <c r="F16" s="115"/>
      <c r="G16" s="115"/>
      <c r="H16" s="115"/>
      <c r="I16" s="106"/>
      <c r="J16" s="106"/>
      <c r="K16" s="94"/>
      <c r="L16" s="9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/>
      <c r="C17" s="105"/>
      <c r="D17" s="94"/>
      <c r="E17" s="115"/>
      <c r="F17" s="115"/>
      <c r="G17" s="115"/>
      <c r="H17" s="115"/>
      <c r="I17" s="106"/>
      <c r="J17" s="106"/>
      <c r="K17" s="106"/>
      <c r="L17" s="107"/>
      <c r="M17" s="94"/>
      <c r="N17" s="105"/>
      <c r="O17" s="105"/>
      <c r="P17" s="105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93"/>
      <c r="C18" s="115"/>
      <c r="D18" s="115"/>
      <c r="E18" s="115"/>
      <c r="F18" s="115"/>
      <c r="G18" s="115"/>
      <c r="H18" s="115"/>
      <c r="I18" s="106"/>
      <c r="J18" s="106"/>
      <c r="K18" s="115"/>
      <c r="L18" s="115"/>
      <c r="M18" s="115"/>
      <c r="N18" s="115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15"/>
      <c r="L19" s="115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94"/>
      <c r="D20" s="94"/>
      <c r="E20" s="115"/>
      <c r="F20" s="115"/>
      <c r="G20" s="115"/>
      <c r="H20" s="115"/>
      <c r="I20" s="106"/>
      <c r="J20" s="106"/>
      <c r="K20" s="106"/>
      <c r="L20" s="107"/>
      <c r="M20" s="94"/>
      <c r="N20" s="105"/>
      <c r="O20" s="105"/>
      <c r="P20" s="105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15"/>
      <c r="G21" s="115"/>
      <c r="H21" s="115"/>
      <c r="I21" s="106"/>
      <c r="J21" s="106"/>
      <c r="K21" s="115"/>
      <c r="L21" s="11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5"/>
      <c r="D22" s="115"/>
      <c r="E22" s="110"/>
      <c r="F22" s="110"/>
      <c r="G22" s="112"/>
      <c r="H22" s="112"/>
      <c r="I22" s="106"/>
      <c r="J22" s="106"/>
      <c r="K22" s="115"/>
      <c r="L22" s="115"/>
      <c r="M22" s="115"/>
      <c r="N22" s="115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113"/>
      <c r="C23" s="115"/>
      <c r="D23" s="115"/>
      <c r="E23" s="115"/>
      <c r="F23" s="115"/>
      <c r="G23" s="115"/>
      <c r="H23" s="115"/>
      <c r="I23" s="105"/>
      <c r="J23" s="105"/>
      <c r="K23" s="105"/>
      <c r="L23" s="107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9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6"/>
    </sheetView>
  </sheetViews>
  <sheetFormatPr defaultRowHeight="21" x14ac:dyDescent="0.35"/>
  <cols>
    <col min="1" max="1" width="10.140625" style="44" customWidth="1"/>
    <col min="2" max="2" width="34.85546875" style="43" customWidth="1"/>
    <col min="3" max="3" width="28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40"/>
      <c r="C6" s="141"/>
      <c r="D6" s="142"/>
      <c r="E6" s="70"/>
    </row>
    <row r="7" spans="1:18" x14ac:dyDescent="0.35">
      <c r="A7" s="48" t="str">
        <f>IF(B7&lt;&gt;"",A6+1,"")</f>
        <v/>
      </c>
      <c r="B7" s="140"/>
      <c r="C7" s="140"/>
      <c r="D7" s="143"/>
      <c r="E7" s="70"/>
    </row>
    <row r="8" spans="1:18" x14ac:dyDescent="0.35">
      <c r="A8" s="48" t="str">
        <f t="shared" ref="A8:A30" si="0">IF(B8&lt;&gt;"",A7+1,"")</f>
        <v/>
      </c>
      <c r="B8" s="141"/>
      <c r="C8" s="141"/>
      <c r="D8" s="142"/>
      <c r="E8" s="70"/>
    </row>
    <row r="9" spans="1:18" x14ac:dyDescent="0.35">
      <c r="A9" s="48" t="str">
        <f t="shared" si="0"/>
        <v/>
      </c>
      <c r="B9" s="140"/>
      <c r="C9" s="140"/>
      <c r="D9" s="142"/>
      <c r="E9" s="70"/>
    </row>
    <row r="10" spans="1:18" x14ac:dyDescent="0.35">
      <c r="A10" s="48" t="str">
        <f t="shared" si="0"/>
        <v/>
      </c>
      <c r="B10" s="141"/>
      <c r="C10" s="140"/>
      <c r="D10" s="142"/>
      <c r="E10" s="70"/>
    </row>
    <row r="11" spans="1:18" x14ac:dyDescent="0.35">
      <c r="A11" s="48" t="str">
        <f t="shared" si="0"/>
        <v/>
      </c>
      <c r="B11" s="141"/>
      <c r="C11" s="140"/>
      <c r="D11" s="143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10.140625" style="44" customWidth="1"/>
    <col min="2" max="2" width="34.85546875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7"/>
      <c r="C6" s="158"/>
      <c r="D6" s="159"/>
      <c r="E6" s="166"/>
    </row>
    <row r="7" spans="1:18" ht="23.25" x14ac:dyDescent="0.35">
      <c r="A7" s="50" t="str">
        <f>IF(B7&lt;&gt;"",A6+1,"")</f>
        <v/>
      </c>
      <c r="B7" s="157"/>
      <c r="C7" s="157"/>
      <c r="D7" s="160"/>
      <c r="E7" s="166"/>
    </row>
    <row r="8" spans="1:18" ht="23.25" x14ac:dyDescent="0.35">
      <c r="A8" s="50" t="str">
        <f t="shared" ref="A8:A30" si="0">IF(B8&lt;&gt;"",A7+1,"")</f>
        <v/>
      </c>
      <c r="B8" s="158"/>
      <c r="C8" s="158"/>
      <c r="D8" s="159"/>
      <c r="E8" s="166"/>
    </row>
    <row r="9" spans="1:18" ht="23.25" x14ac:dyDescent="0.35">
      <c r="A9" s="50" t="str">
        <f t="shared" si="0"/>
        <v/>
      </c>
      <c r="B9" s="157"/>
      <c r="C9" s="157"/>
      <c r="D9" s="159"/>
      <c r="E9" s="166"/>
    </row>
    <row r="10" spans="1:18" ht="23.25" x14ac:dyDescent="0.35">
      <c r="A10" s="50" t="str">
        <f t="shared" si="0"/>
        <v/>
      </c>
      <c r="B10" s="161"/>
      <c r="C10" s="161"/>
      <c r="D10" s="162"/>
      <c r="E10" s="166"/>
    </row>
    <row r="11" spans="1:18" ht="23.25" x14ac:dyDescent="0.35">
      <c r="A11" s="50" t="str">
        <f t="shared" si="0"/>
        <v/>
      </c>
      <c r="B11" s="161"/>
      <c r="C11" s="161"/>
      <c r="D11" s="162"/>
      <c r="E11" s="163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1"/>
    </sheetView>
  </sheetViews>
  <sheetFormatPr defaultRowHeight="21" x14ac:dyDescent="0.35"/>
  <cols>
    <col min="1" max="1" width="10.140625" style="44" customWidth="1"/>
    <col min="2" max="2" width="34.85546875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7"/>
      <c r="C6" s="158"/>
      <c r="D6" s="159"/>
      <c r="E6" s="166"/>
    </row>
    <row r="7" spans="1:7" ht="21" customHeight="1" x14ac:dyDescent="0.35">
      <c r="A7" s="50" t="str">
        <f>IF(B7&lt;&gt;"",A6+1,"")</f>
        <v/>
      </c>
      <c r="B7" s="157"/>
      <c r="C7" s="157"/>
      <c r="D7" s="160"/>
      <c r="E7" s="166"/>
    </row>
    <row r="8" spans="1:7" ht="21" customHeight="1" x14ac:dyDescent="0.35">
      <c r="A8" s="50" t="str">
        <f t="shared" ref="A8:A30" si="0">IF(B8&lt;&gt;"",A7+1,"")</f>
        <v/>
      </c>
      <c r="B8" s="158"/>
      <c r="C8" s="158"/>
      <c r="D8" s="159"/>
      <c r="E8" s="166"/>
    </row>
    <row r="9" spans="1:7" ht="21" customHeight="1" x14ac:dyDescent="0.35">
      <c r="A9" s="50" t="str">
        <f t="shared" si="0"/>
        <v/>
      </c>
      <c r="B9" s="161"/>
      <c r="C9" s="161"/>
      <c r="D9" s="162"/>
      <c r="E9" s="163"/>
    </row>
    <row r="10" spans="1:7" ht="23.25" x14ac:dyDescent="0.35">
      <c r="A10" s="50" t="str">
        <f t="shared" si="0"/>
        <v/>
      </c>
      <c r="B10" s="161"/>
      <c r="C10" s="161"/>
      <c r="D10" s="162"/>
      <c r="E10" s="163"/>
    </row>
    <row r="11" spans="1:7" ht="23.25" x14ac:dyDescent="0.35">
      <c r="A11" s="50" t="str">
        <f t="shared" si="0"/>
        <v/>
      </c>
      <c r="B11" s="161"/>
      <c r="C11" s="161"/>
      <c r="D11" s="162"/>
      <c r="E11" s="163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10.140625" style="57" customWidth="1"/>
    <col min="2" max="2" width="34.85546875" style="43" customWidth="1"/>
    <col min="3" max="3" width="28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4" t="s">
        <v>44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7"/>
      <c r="C6" s="158"/>
      <c r="D6" s="159"/>
      <c r="E6" s="166"/>
    </row>
    <row r="7" spans="1:12" ht="23.25" x14ac:dyDescent="0.35">
      <c r="A7" s="59" t="str">
        <f>IF(B7&lt;&gt;"",A6+1,"")</f>
        <v/>
      </c>
      <c r="B7" s="157"/>
      <c r="C7" s="157"/>
      <c r="D7" s="160"/>
      <c r="E7" s="166"/>
    </row>
    <row r="8" spans="1:12" ht="23.25" x14ac:dyDescent="0.35">
      <c r="A8" s="59" t="str">
        <f t="shared" ref="A8:A30" si="0">IF(B8&lt;&gt;"",A7+1,"")</f>
        <v/>
      </c>
      <c r="B8" s="165"/>
      <c r="C8" s="165"/>
      <c r="D8" s="165"/>
      <c r="E8" s="163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60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60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2022-12-10T21:52:42Z</cp:lastPrinted>
  <dcterms:created xsi:type="dcterms:W3CDTF">2014-07-12T17:55:34Z</dcterms:created>
  <dcterms:modified xsi:type="dcterms:W3CDTF">2025-03-12T21:28:20Z</dcterms:modified>
</cp:coreProperties>
</file>