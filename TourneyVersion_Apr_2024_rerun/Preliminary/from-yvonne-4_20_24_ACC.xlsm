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4" codeName="{A21196BD-C3A1-11ED-6554-D22D5F7347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yvonnebowers/Desktop/"/>
    </mc:Choice>
  </mc:AlternateContent>
  <xr:revisionPtr revIDLastSave="0" documentId="13_ncr:1_{3FBCCD8C-4BB8-DE4E-8F54-1A485AEC1256}" xr6:coauthVersionLast="47" xr6:coauthVersionMax="47" xr10:uidLastSave="{00000000-0000-0000-0000-000000000000}"/>
  <bookViews>
    <workbookView xWindow="6900" yWindow="1060" windowWidth="36580" windowHeight="26220" activeTab="2" xr2:uid="{00000000-000D-0000-FFFF-FFFF00000000}"/>
  </bookViews>
  <sheets>
    <sheet name="Tourney" sheetId="16" r:id="rId1"/>
    <sheet name="Main Setup" sheetId="14" r:id="rId2"/>
    <sheet name="Entries" sheetId="1" r:id="rId3"/>
    <sheet name="UnPaid" sheetId="8" r:id="rId4"/>
    <sheet name="Anchors" sheetId="11" r:id="rId5"/>
    <sheet name="Veggies" sheetId="17" r:id="rId6"/>
  </sheets>
  <functionGroups builtInGroupCount="19"/>
  <definedNames>
    <definedName name="FConsyPoolWarningMessage">Entries!$J$8</definedName>
    <definedName name="FConsySetUpTourneyInfo">#REF!,#REF!,#REF!,#REF!</definedName>
    <definedName name="FConsySetUpUserInputFields">#REF!,#REF!,#REF!,#REF!,#REF!,#REF!,#REF!,#REF!,#REF!,#REF!,#REF!,#REF!,#REF!,#REF!</definedName>
    <definedName name="FMainAccFee">'Main Setup'!$B$10</definedName>
    <definedName name="FMainEntryFee">'Main Setup'!$D$10</definedName>
    <definedName name="FMainFixedDonation">'Main Setup'!$B$25</definedName>
    <definedName name="FMainFixedFee">'Main Setup'!$B$25</definedName>
    <definedName name="FMainGames">'Main Setup'!$B$12</definedName>
    <definedName name="FMainNumberOfDays">'Main Setup'!$B$14</definedName>
    <definedName name="FMainPerCapitaDonation">'Main Setup'!$B$23</definedName>
    <definedName name="FMainPool1Fee">'Main Setup'!$C$18</definedName>
    <definedName name="FMainPool1Type">'Main Setup'!$C$17</definedName>
    <definedName name="FMainPool2Fee">'Main Setup'!$D$18</definedName>
    <definedName name="FMainPool2type">'Main Setup'!$D$17</definedName>
    <definedName name="FMainPool3Fee">'Main Setup'!$E$18</definedName>
    <definedName name="FMainPool3Type">'Main Setup'!$E$17</definedName>
    <definedName name="FMainPool4Fee">'Main Setup'!$F$18</definedName>
    <definedName name="FMainPool4Type">'Main Setup'!$F$17</definedName>
    <definedName name="FMainPoolEntryFees">'Main Setup'!$C$18:$F$18</definedName>
    <definedName name="FMainPoolsSpecs">'Main Setup'!$C$17:$F$18</definedName>
    <definedName name="FMainPoolTypes">'Main Setup'!$C$17:$F$17</definedName>
    <definedName name="FMainPoolWarningMessage">Entries!$J$7</definedName>
    <definedName name="FMainSetUpGames">'Main Setup'!$B$12</definedName>
    <definedName name="FMainSetUpNumberOfDays">'Main Setup'!$B$14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NumberOfDays">'Main Setup'!$B$14</definedName>
    <definedName name="FRegAllAnchors">Anchors!$C$7:$E$14</definedName>
    <definedName name="FRegAllUnpaid">UnPaid!#REF!</definedName>
    <definedName name="FRegAllVeggies">Veggies!$C$7:$C$13</definedName>
    <definedName name="FRegAnchors">Entries!$M$10</definedName>
    <definedName name="FRegAnchorsAccNoHdr">Anchors!$E$6</definedName>
    <definedName name="FRegAnchorsCityHdr">Anchors!$D$6</definedName>
    <definedName name="FRegAnchorsNameHdr">Anchors!$C$6</definedName>
    <definedName name="FRegAnchorsUserInput">Anchors!$C$7:$F$14</definedName>
    <definedName name="FRegCash">Entries!$S$10</definedName>
    <definedName name="FRegChecks">Entries!$R$10</definedName>
    <definedName name="FRegDueAtDoor">Entries!$O$10</definedName>
    <definedName name="FRegentiresEneteredHdr">Entries!$B$11</definedName>
    <definedName name="FRegEntriesAccNoHdr">Entries!$E$11</definedName>
    <definedName name="FRegEntriesAllEntered">Entries!$B$12:$B$73</definedName>
    <definedName name="FRegEntriesAllInput">Entries!$H$12:$N$73</definedName>
    <definedName name="FRegEntriesAllVeggies">Entries!$U$12:$U$73</definedName>
    <definedName name="FRegEntriesAnchorHdr">Entries!$M$11</definedName>
    <definedName name="FRegEntriesDueAtDoorHdr">Entries!$O$11</definedName>
    <definedName name="FRegEntries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Hdr">Entries!$U$11</definedName>
    <definedName name="FRegEntryCount">Entries!$B$10</definedName>
    <definedName name="FRegFirstAnchorName">Anchors!$C$7</definedName>
    <definedName name="FRegFirstPlayer">Entries!$B$12</definedName>
    <definedName name="FRegFirstUnpaidName">UnPaid!#REF!</definedName>
    <definedName name="FRegFirstVeggieName">Veggies!$C$7</definedName>
    <definedName name="FRegJudges">Entries!$L$10</definedName>
    <definedName name="FRegNotPaidCount">Entries!$N$10</definedName>
    <definedName name="FRegPool1Count">Entries!$H$10</definedName>
    <definedName name="FRegPool2Count">Entries!$I$10</definedName>
    <definedName name="FRegPool3Count">Entries!$J$10</definedName>
    <definedName name="FRegPool4Count">Entries!$K$10</definedName>
    <definedName name="FRegQualiferCount">Entries!$B$10</definedName>
    <definedName name="FRegTotalRevenue">Entries!$T$10</definedName>
    <definedName name="FRegTourneyCity">Tourney!$C$7</definedName>
    <definedName name="FRegTourneyDate">Tourney!$C$9</definedName>
    <definedName name="FRegTourneyInfo">Entries!$K$2,Entries!$K$3,Entries!$K$4,Entries!$K$5</definedName>
    <definedName name="FRegTourneyLocation">Tourney!$C$5</definedName>
    <definedName name="FRegTourneyName">Tourney!$C$3</definedName>
    <definedName name="FRegUnPaidAccNoHdr">UnPaid!$C$9</definedName>
    <definedName name="FRegUnPaidCheckOffHdr">UnPaid!$J$9</definedName>
    <definedName name="FRegUnPaidCityHdr">UnPaid!$B$9</definedName>
    <definedName name="FRegUnPaidDueAtDoorHdr">UnPaid!$I$9</definedName>
    <definedName name="FRegUnPaidNameHdr">UnPaid!$A$9</definedName>
    <definedName name="FRegUnPaidPool1Hdr">UnPaid!$D$9</definedName>
    <definedName name="FRegUnpaidUserInput">UnPaid!$A$10:$I$59</definedName>
    <definedName name="FRegVeggiesAccNoHdr">Veggies!#REF!</definedName>
    <definedName name="FRegVeggiesCityHdr">Veggies!#REF!</definedName>
    <definedName name="FRegVeggiesCount">Entries!$U$10</definedName>
    <definedName name="FRegVeggiesNameHdr">Veggies!$C$6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Phone1">Tourney!$C$13</definedName>
    <definedName name="FTourneyPhone2">Tourney!$E$13</definedName>
    <definedName name="FTourneyPhone3">Tourney!$G$13</definedName>
    <definedName name="FTourneyTabEntries">Tourney!$C$3:$H$15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MainPool4Header">Entries!$K$11</definedName>
    <definedName name="NextOperation">"NexOperation"</definedName>
    <definedName name="_xlnm.Print_Area" localSheetId="4">Anchors!$C$5:$F$13</definedName>
    <definedName name="_xlnm.Print_Area" localSheetId="2">Entries!$A$6:$O$73</definedName>
    <definedName name="_xlnm.Print_Area" localSheetId="3">UnPaid!$A$7:$J$9</definedName>
    <definedName name="RegistrationEnteredCount">Entries!$B$11</definedName>
    <definedName name="SortSpec">Entries!$A$3</definedName>
    <definedName name="x">Tourney!$G$13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5" i="1" l="1"/>
  <c r="K4" i="1"/>
  <c r="K3" i="1"/>
  <c r="K2" i="1"/>
  <c r="A71" i="1"/>
  <c r="R71" i="1"/>
  <c r="T71" i="1"/>
  <c r="O71" i="1" s="1"/>
  <c r="A70" i="1"/>
  <c r="R70" i="1"/>
  <c r="T70" i="1"/>
  <c r="O70" i="1" s="1"/>
  <c r="B7" i="14"/>
  <c r="B6" i="14"/>
  <c r="B5" i="14"/>
  <c r="B4" i="14"/>
  <c r="S71" i="1" l="1"/>
  <c r="S70" i="1"/>
  <c r="A32" i="1"/>
  <c r="R32" i="1"/>
  <c r="T32" i="1"/>
  <c r="O32" i="1" s="1"/>
  <c r="A45" i="1"/>
  <c r="R45" i="1"/>
  <c r="S45" i="1"/>
  <c r="T45" i="1"/>
  <c r="O45" i="1" s="1"/>
  <c r="A29" i="1"/>
  <c r="T29" i="1"/>
  <c r="S29" i="1" s="1"/>
  <c r="R51" i="1"/>
  <c r="S51" i="1"/>
  <c r="S32" i="1" l="1"/>
  <c r="R29" i="1"/>
  <c r="A51" i="1"/>
  <c r="A19" i="1"/>
  <c r="S19" i="1"/>
  <c r="T19" i="1"/>
  <c r="O19" i="1" s="1"/>
  <c r="A47" i="1"/>
  <c r="R47" i="1"/>
  <c r="T47" i="1"/>
  <c r="O47" i="1" s="1"/>
  <c r="A12" i="1"/>
  <c r="S12" i="1"/>
  <c r="T12" i="1"/>
  <c r="O12" i="1" s="1"/>
  <c r="T34" i="1"/>
  <c r="T33" i="1"/>
  <c r="A22" i="1"/>
  <c r="T22" i="1"/>
  <c r="S22" i="1" s="1"/>
  <c r="A58" i="1"/>
  <c r="S58" i="1"/>
  <c r="T58" i="1"/>
  <c r="O58" i="1" s="1"/>
  <c r="A59" i="1"/>
  <c r="S59" i="1"/>
  <c r="T59" i="1"/>
  <c r="O59" i="1" s="1"/>
  <c r="A18" i="1"/>
  <c r="R18" i="1"/>
  <c r="T18" i="1"/>
  <c r="A65" i="1"/>
  <c r="R65" i="1"/>
  <c r="T65" i="1"/>
  <c r="O65" i="1" s="1"/>
  <c r="A50" i="1"/>
  <c r="R50" i="1"/>
  <c r="T50" i="1"/>
  <c r="S50" i="1" s="1"/>
  <c r="A62" i="1"/>
  <c r="R62" i="1"/>
  <c r="T62" i="1"/>
  <c r="O62" i="1" s="1"/>
  <c r="R14" i="1"/>
  <c r="T14" i="1"/>
  <c r="O14" i="1" s="1"/>
  <c r="S15" i="1"/>
  <c r="T15" i="1"/>
  <c r="O15" i="1" s="1"/>
  <c r="S16" i="1"/>
  <c r="T16" i="1"/>
  <c r="O16" i="1" s="1"/>
  <c r="S17" i="1"/>
  <c r="T17" i="1"/>
  <c r="O17" i="1" s="1"/>
  <c r="S20" i="1"/>
  <c r="T20" i="1"/>
  <c r="O20" i="1" s="1"/>
  <c r="S21" i="1"/>
  <c r="T21" i="1"/>
  <c r="O21" i="1" s="1"/>
  <c r="R23" i="1"/>
  <c r="T23" i="1"/>
  <c r="O23" i="1" s="1"/>
  <c r="S24" i="1"/>
  <c r="T24" i="1"/>
  <c r="O24" i="1" s="1"/>
  <c r="S25" i="1"/>
  <c r="T25" i="1"/>
  <c r="O25" i="1" s="1"/>
  <c r="S26" i="1"/>
  <c r="T26" i="1"/>
  <c r="O26" i="1" s="1"/>
  <c r="S27" i="1"/>
  <c r="T27" i="1"/>
  <c r="O27" i="1" s="1"/>
  <c r="S28" i="1"/>
  <c r="T28" i="1"/>
  <c r="O28" i="1" s="1"/>
  <c r="R30" i="1"/>
  <c r="T30" i="1"/>
  <c r="O30" i="1" s="1"/>
  <c r="R31" i="1"/>
  <c r="T31" i="1"/>
  <c r="O31" i="1" s="1"/>
  <c r="S35" i="1"/>
  <c r="T35" i="1"/>
  <c r="O35" i="1" s="1"/>
  <c r="S36" i="1"/>
  <c r="T36" i="1"/>
  <c r="O36" i="1" s="1"/>
  <c r="S37" i="1"/>
  <c r="T37" i="1"/>
  <c r="O37" i="1" s="1"/>
  <c r="S38" i="1"/>
  <c r="T38" i="1"/>
  <c r="O38" i="1" s="1"/>
  <c r="R39" i="1"/>
  <c r="T39" i="1"/>
  <c r="S39" i="1" s="1"/>
  <c r="S40" i="1"/>
  <c r="T40" i="1"/>
  <c r="O40" i="1" s="1"/>
  <c r="S41" i="1"/>
  <c r="T41" i="1"/>
  <c r="O41" i="1" s="1"/>
  <c r="S42" i="1"/>
  <c r="T42" i="1"/>
  <c r="O42" i="1" s="1"/>
  <c r="R43" i="1"/>
  <c r="T43" i="1"/>
  <c r="O43" i="1" s="1"/>
  <c r="S44" i="1"/>
  <c r="T44" i="1"/>
  <c r="O44" i="1" s="1"/>
  <c r="S46" i="1"/>
  <c r="T46" i="1"/>
  <c r="O46" i="1" s="1"/>
  <c r="R48" i="1"/>
  <c r="T48" i="1"/>
  <c r="S48" i="1" s="1"/>
  <c r="S49" i="1"/>
  <c r="T49" i="1"/>
  <c r="O49" i="1" s="1"/>
  <c r="S52" i="1"/>
  <c r="T52" i="1"/>
  <c r="O52" i="1" s="1"/>
  <c r="S53" i="1"/>
  <c r="T53" i="1"/>
  <c r="O53" i="1" s="1"/>
  <c r="S54" i="1"/>
  <c r="T54" i="1"/>
  <c r="O54" i="1" s="1"/>
  <c r="R55" i="1"/>
  <c r="T55" i="1"/>
  <c r="O55" i="1" s="1"/>
  <c r="S56" i="1"/>
  <c r="T56" i="1"/>
  <c r="O56" i="1" s="1"/>
  <c r="S57" i="1"/>
  <c r="T57" i="1"/>
  <c r="O57" i="1" s="1"/>
  <c r="S60" i="1"/>
  <c r="T60" i="1"/>
  <c r="O60" i="1" s="1"/>
  <c r="S61" i="1"/>
  <c r="T61" i="1"/>
  <c r="O61" i="1" s="1"/>
  <c r="S63" i="1"/>
  <c r="T63" i="1"/>
  <c r="O63" i="1" s="1"/>
  <c r="R64" i="1"/>
  <c r="T64" i="1"/>
  <c r="O64" i="1" s="1"/>
  <c r="S66" i="1"/>
  <c r="T66" i="1"/>
  <c r="O66" i="1" s="1"/>
  <c r="S67" i="1"/>
  <c r="T67" i="1"/>
  <c r="O67" i="1" s="1"/>
  <c r="S68" i="1"/>
  <c r="T68" i="1"/>
  <c r="O68" i="1" s="1"/>
  <c r="S69" i="1"/>
  <c r="T69" i="1"/>
  <c r="O69" i="1" s="1"/>
  <c r="S72" i="1"/>
  <c r="T72" i="1"/>
  <c r="O72" i="1" s="1"/>
  <c r="S73" i="1"/>
  <c r="T73" i="1"/>
  <c r="O73" i="1" s="1"/>
  <c r="S23" i="1" l="1"/>
  <c r="R72" i="1"/>
  <c r="R63" i="1"/>
  <c r="S43" i="1"/>
  <c r="S47" i="1"/>
  <c r="R19" i="1"/>
  <c r="R69" i="1"/>
  <c r="S55" i="1"/>
  <c r="R44" i="1"/>
  <c r="S14" i="1"/>
  <c r="S30" i="1"/>
  <c r="R52" i="1"/>
  <c r="R40" i="1"/>
  <c r="R17" i="1"/>
  <c r="R53" i="1"/>
  <c r="R54" i="1"/>
  <c r="R12" i="1"/>
  <c r="R35" i="1"/>
  <c r="R26" i="1"/>
  <c r="R42" i="1"/>
  <c r="R27" i="1"/>
  <c r="R20" i="1"/>
  <c r="R67" i="1"/>
  <c r="S31" i="1"/>
  <c r="R38" i="1"/>
  <c r="R36" i="1"/>
  <c r="R21" i="1"/>
  <c r="R24" i="1"/>
  <c r="R22" i="1"/>
  <c r="R60" i="1"/>
  <c r="R57" i="1"/>
  <c r="R58" i="1"/>
  <c r="S64" i="1"/>
  <c r="R68" i="1"/>
  <c r="R66" i="1"/>
  <c r="R28" i="1"/>
  <c r="R15" i="1"/>
  <c r="S65" i="1"/>
  <c r="R25" i="1"/>
  <c r="R16" i="1"/>
  <c r="R59" i="1"/>
  <c r="R73" i="1"/>
  <c r="R46" i="1"/>
  <c r="R56" i="1"/>
  <c r="R37" i="1"/>
  <c r="R49" i="1"/>
  <c r="S62" i="1"/>
  <c r="R41" i="1"/>
  <c r="U10" i="1"/>
  <c r="N10" i="1" l="1"/>
  <c r="M10" i="1"/>
  <c r="L10" i="1"/>
  <c r="K10" i="1"/>
  <c r="J10" i="1"/>
  <c r="I10" i="1"/>
  <c r="H10" i="1"/>
  <c r="K11" i="1"/>
  <c r="J11" i="1"/>
  <c r="I11" i="1"/>
  <c r="H11" i="1"/>
  <c r="T13" i="1"/>
  <c r="R13" i="1" s="1"/>
  <c r="S13" i="1"/>
  <c r="O13" i="1" l="1"/>
  <c r="O10" i="1" s="1"/>
  <c r="T10" i="1"/>
  <c r="A73" i="1"/>
  <c r="A72" i="1"/>
  <c r="A69" i="1"/>
  <c r="A68" i="1"/>
  <c r="A67" i="1"/>
  <c r="A66" i="1"/>
  <c r="A64" i="1"/>
  <c r="A63" i="1"/>
  <c r="A61" i="1"/>
  <c r="A60" i="1"/>
  <c r="A57" i="1"/>
  <c r="A56" i="1"/>
  <c r="A55" i="1"/>
  <c r="A54" i="1"/>
  <c r="A53" i="1"/>
  <c r="A52" i="1"/>
  <c r="A49" i="1"/>
  <c r="A48" i="1"/>
  <c r="A46" i="1"/>
  <c r="A44" i="1"/>
  <c r="A43" i="1"/>
  <c r="A42" i="1"/>
  <c r="A41" i="1"/>
  <c r="A40" i="1"/>
  <c r="A39" i="1"/>
  <c r="A38" i="1"/>
  <c r="A37" i="1"/>
  <c r="A36" i="1"/>
  <c r="A35" i="1"/>
  <c r="A31" i="1"/>
  <c r="A30" i="1"/>
  <c r="A28" i="1"/>
  <c r="A27" i="1"/>
  <c r="A26" i="1"/>
  <c r="A25" i="1"/>
  <c r="A24" i="1"/>
  <c r="A23" i="1"/>
  <c r="A21" i="1"/>
  <c r="A20" i="1"/>
  <c r="A17" i="1"/>
  <c r="A16" i="1"/>
  <c r="A15" i="1"/>
  <c r="A14" i="1"/>
  <c r="A13" i="1"/>
  <c r="S10" i="1" l="1"/>
  <c r="R10" i="1"/>
  <c r="B10" i="1"/>
</calcChain>
</file>

<file path=xl/sharedStrings.xml><?xml version="1.0" encoding="utf-8"?>
<sst xmlns="http://schemas.openxmlformats.org/spreadsheetml/2006/main" count="448" uniqueCount="302">
  <si>
    <t>Name (Last, First)</t>
  </si>
  <si>
    <t>City/St</t>
  </si>
  <si>
    <t>ACC No.</t>
  </si>
  <si>
    <t>Judge</t>
  </si>
  <si>
    <t>Not Paid</t>
  </si>
  <si>
    <t>Napa, CA</t>
  </si>
  <si>
    <t>Bowers, Yvonne</t>
  </si>
  <si>
    <t>Doppelt, Jackie</t>
  </si>
  <si>
    <t>Sacramento, CA</t>
  </si>
  <si>
    <t>Santa Rosa, CA</t>
  </si>
  <si>
    <t>"C" or "$"</t>
  </si>
  <si>
    <t>Concord, CA</t>
  </si>
  <si>
    <t>Rogers, Michael</t>
  </si>
  <si>
    <t>Pilecki, Tad</t>
  </si>
  <si>
    <t>Martinez, CA</t>
  </si>
  <si>
    <t>Allen, Dennis</t>
  </si>
  <si>
    <t>Discovery Bay, CA</t>
  </si>
  <si>
    <t>Katzman, Stan</t>
  </si>
  <si>
    <t>Rio Vista, CA</t>
  </si>
  <si>
    <t>Van Scyoc, Cheryl</t>
  </si>
  <si>
    <t>Fairfield, CA</t>
  </si>
  <si>
    <t>Shea, Rick</t>
  </si>
  <si>
    <t>Eureka, CA</t>
  </si>
  <si>
    <t>Santa Clara, CA</t>
  </si>
  <si>
    <t>Pittsburg, CA</t>
  </si>
  <si>
    <t>Holder, Ben</t>
  </si>
  <si>
    <t>Fremont, CA</t>
  </si>
  <si>
    <t>Gregson, Paul</t>
  </si>
  <si>
    <t>Antioch, CA</t>
  </si>
  <si>
    <t>Cox, Robert</t>
  </si>
  <si>
    <t>Emerson, Mike</t>
  </si>
  <si>
    <t>Van Scyoc, Garrett</t>
  </si>
  <si>
    <t>Moore, Denny</t>
  </si>
  <si>
    <t>Checks</t>
  </si>
  <si>
    <t>Cash</t>
  </si>
  <si>
    <t>Washington, Carolyn</t>
  </si>
  <si>
    <t>Fair Oaks, CA</t>
  </si>
  <si>
    <t>Njaa, H.Ross</t>
  </si>
  <si>
    <t>Salinas, CA</t>
  </si>
  <si>
    <t>Check Off</t>
  </si>
  <si>
    <t>Jackson, Peter A.</t>
  </si>
  <si>
    <t>Chico, CA</t>
  </si>
  <si>
    <t>Hall, Roland</t>
  </si>
  <si>
    <t>Hom, Jones</t>
  </si>
  <si>
    <t>Madrone, Cy</t>
  </si>
  <si>
    <t>Santa Barbara</t>
  </si>
  <si>
    <t>Anchors</t>
  </si>
  <si>
    <t>Lens, Christy</t>
  </si>
  <si>
    <t>Carmel, CA</t>
  </si>
  <si>
    <t>pjackson@csuchico.edu</t>
  </si>
  <si>
    <t>tadcrib@sbcglobal.net</t>
  </si>
  <si>
    <t>Flatto, Richard</t>
  </si>
  <si>
    <t>joneshom@att.net</t>
  </si>
  <si>
    <t>richard.flatto@gmail.com</t>
  </si>
  <si>
    <t>cymadrone@icloud.com</t>
  </si>
  <si>
    <t>Reynolds, Karl</t>
  </si>
  <si>
    <t>karlreynolds@comcast.net</t>
  </si>
  <si>
    <t>CA-87</t>
  </si>
  <si>
    <t>CA-735</t>
  </si>
  <si>
    <t>CA-4206</t>
  </si>
  <si>
    <t>CA-6646</t>
  </si>
  <si>
    <t>CA-3226</t>
  </si>
  <si>
    <t>CA-3377</t>
  </si>
  <si>
    <t>CA-1582</t>
  </si>
  <si>
    <t>CA-4499</t>
  </si>
  <si>
    <t>CA-4090L</t>
  </si>
  <si>
    <t>CA-2690</t>
  </si>
  <si>
    <t>CA-4627</t>
  </si>
  <si>
    <t>CA-4103</t>
  </si>
  <si>
    <t>CA-1638</t>
  </si>
  <si>
    <t>CA-5859</t>
  </si>
  <si>
    <t>CA-5886</t>
  </si>
  <si>
    <t>CA-6371</t>
  </si>
  <si>
    <t>CA-6616</t>
  </si>
  <si>
    <t>CA-2183</t>
  </si>
  <si>
    <t>CA-1222L</t>
  </si>
  <si>
    <t>CA-1737</t>
  </si>
  <si>
    <t>CA-6999</t>
  </si>
  <si>
    <t>CA-6863</t>
  </si>
  <si>
    <t>Johnston, Dennis</t>
  </si>
  <si>
    <t>CA-4788</t>
  </si>
  <si>
    <t>Rojas, Nancy</t>
  </si>
  <si>
    <t>CA-3077</t>
  </si>
  <si>
    <t>Citrus Heights, CA</t>
  </si>
  <si>
    <t>Levy, Adrian</t>
  </si>
  <si>
    <t>CA-2258</t>
  </si>
  <si>
    <t>Lafayette, CA</t>
  </si>
  <si>
    <t>nanrojas77@gmail.com</t>
  </si>
  <si>
    <t>Roseville, CA</t>
  </si>
  <si>
    <t>Bolles, Jennifer</t>
  </si>
  <si>
    <t>CA-3939</t>
  </si>
  <si>
    <t>jenniferbolles1@gmail.com</t>
  </si>
  <si>
    <t>Rancho Cordova, CA</t>
  </si>
  <si>
    <t>CA-3942</t>
  </si>
  <si>
    <t>mee1946@att.net</t>
  </si>
  <si>
    <t>email2adrian@yahoo.com</t>
  </si>
  <si>
    <t>Laurence, Andrew</t>
  </si>
  <si>
    <t>Alameda, CA</t>
  </si>
  <si>
    <t>CA-2929</t>
  </si>
  <si>
    <t>Veggies</t>
  </si>
  <si>
    <t>Bloom, Ed</t>
  </si>
  <si>
    <t>Cupertino, CA</t>
  </si>
  <si>
    <t>ed@peoplegreeters.com</t>
  </si>
  <si>
    <t>carolyn.washington24@yahoo.com</t>
  </si>
  <si>
    <t>Shea, Peggy</t>
  </si>
  <si>
    <t>CA-3048</t>
  </si>
  <si>
    <t>roland29h@yahoo.com</t>
  </si>
  <si>
    <t>christycharlieann@comcast.net</t>
  </si>
  <si>
    <t>dennym29@gmail.com</t>
  </si>
  <si>
    <t>grasshopper60@aol.com</t>
  </si>
  <si>
    <t>pugarbs@att.net</t>
  </si>
  <si>
    <t>wcbandit02@aol.com</t>
  </si>
  <si>
    <t>paulgregson@gmail.com</t>
  </si>
  <si>
    <t>CA-6318</t>
  </si>
  <si>
    <t>Jarzombek, Chris</t>
  </si>
  <si>
    <t>Fritschen, John</t>
  </si>
  <si>
    <t>Spurgeon, Donald</t>
  </si>
  <si>
    <t>CA-7974</t>
  </si>
  <si>
    <t>Tellez, Barbara</t>
  </si>
  <si>
    <t>CA-5378</t>
  </si>
  <si>
    <t>Wilder, Jim</t>
  </si>
  <si>
    <t>CA-5454</t>
  </si>
  <si>
    <t>CA-6363</t>
  </si>
  <si>
    <t>CA-7932</t>
  </si>
  <si>
    <t>Spero, Denny</t>
  </si>
  <si>
    <t>CA-6237</t>
  </si>
  <si>
    <t>Phone</t>
  </si>
  <si>
    <t>Email Address</t>
  </si>
  <si>
    <t>Fernandez, Cres</t>
  </si>
  <si>
    <t>CA-925L</t>
  </si>
  <si>
    <t>CA-793</t>
  </si>
  <si>
    <t>Rohnert  Park, CA</t>
  </si>
  <si>
    <t>(707) 470-6329</t>
  </si>
  <si>
    <t>No Email</t>
  </si>
  <si>
    <t>fritschen57@gmail.com</t>
  </si>
  <si>
    <t>(925) 755-8085</t>
  </si>
  <si>
    <t>(707) 738-0799‬</t>
  </si>
  <si>
    <t>(510) 796-7894</t>
  </si>
  <si>
    <t>(925) 682-1758</t>
  </si>
  <si>
    <t>stankatzman917@gmail.com</t>
  </si>
  <si>
    <t>andrew@kramerthecat.com</t>
  </si>
  <si>
    <t>mlr94549@yahoo.com</t>
  </si>
  <si>
    <t>(916) 212-6802</t>
  </si>
  <si>
    <t>31for14@gmail.com</t>
  </si>
  <si>
    <t>dsspero@comcast.net</t>
  </si>
  <si>
    <t>(707) 628-3523</t>
  </si>
  <si>
    <t>bowlerdon299@gmail.com</t>
  </si>
  <si>
    <t>barcyt@hotmail.com</t>
  </si>
  <si>
    <t>‭(707) 815-5018‬</t>
  </si>
  <si>
    <t>jim@pfpros.com</t>
  </si>
  <si>
    <t>bigcalfan4@hotmail.com</t>
  </si>
  <si>
    <t>(510) 304-8002</t>
  </si>
  <si>
    <t>Dennis.allen58@gmail.com</t>
  </si>
  <si>
    <t>jeanetteD761@gmail.com</t>
  </si>
  <si>
    <t>(707) 230-3840</t>
  </si>
  <si>
    <t xml:space="preserve"> </t>
  </si>
  <si>
    <t>Registration</t>
  </si>
  <si>
    <t>Entered</t>
  </si>
  <si>
    <t>Check Id</t>
  </si>
  <si>
    <t>Anchor</t>
  </si>
  <si>
    <t>Tourney Information</t>
  </si>
  <si>
    <t>Tourney Name</t>
  </si>
  <si>
    <t>Location</t>
  </si>
  <si>
    <t>City, State, Zip</t>
  </si>
  <si>
    <t>Tourney Date</t>
  </si>
  <si>
    <t>Director Names</t>
  </si>
  <si>
    <t>Email</t>
  </si>
  <si>
    <t>Main Tourney</t>
  </si>
  <si>
    <t>Tourney Date:</t>
  </si>
  <si>
    <t>Tourney Name:</t>
  </si>
  <si>
    <t>No. of Days</t>
  </si>
  <si>
    <t>Optional Pools</t>
  </si>
  <si>
    <t>Tourney City</t>
  </si>
  <si>
    <t>Tourney Location</t>
  </si>
  <si>
    <t>Main Games</t>
  </si>
  <si>
    <t>Type:</t>
  </si>
  <si>
    <t>Entry Fee:</t>
  </si>
  <si>
    <t>1 = Equal</t>
  </si>
  <si>
    <t>2 = 1:6 Graduated</t>
  </si>
  <si>
    <t>Blue Boxes - User Entry</t>
  </si>
  <si>
    <t>Main Pool Number</t>
  </si>
  <si>
    <t>Tourney Location:</t>
  </si>
  <si>
    <t>Acc Fee:</t>
  </si>
  <si>
    <t>Tourney City:</t>
  </si>
  <si>
    <t>Per Capita Donation</t>
  </si>
  <si>
    <t>Fixed Donation</t>
  </si>
  <si>
    <t>Location Fees Paid for Venue</t>
  </si>
  <si>
    <t>or</t>
  </si>
  <si>
    <t>the Other, not Both</t>
  </si>
  <si>
    <t>Usually One</t>
  </si>
  <si>
    <t>Due at Door</t>
  </si>
  <si>
    <t>Total Revenue</t>
  </si>
  <si>
    <t>Main pools not yet set up</t>
  </si>
  <si>
    <t>Consy pools not yet set up</t>
  </si>
  <si>
    <t>UnPaid Entries</t>
  </si>
  <si>
    <t>Boyer, Lori</t>
  </si>
  <si>
    <t>CA-7198</t>
  </si>
  <si>
    <t>Dalton, Sue</t>
  </si>
  <si>
    <t>CA-8075</t>
  </si>
  <si>
    <t>numbercruncher@live.com</t>
  </si>
  <si>
    <t>Dresbach, Doug</t>
  </si>
  <si>
    <t>CA-5254</t>
  </si>
  <si>
    <t>CA-7287</t>
  </si>
  <si>
    <t>Lind, Dick</t>
  </si>
  <si>
    <t>Spreckels, CA</t>
  </si>
  <si>
    <t>CA-6780</t>
  </si>
  <si>
    <t>Meza, Nicole</t>
  </si>
  <si>
    <t>CA-8037</t>
  </si>
  <si>
    <t>Rockwell, Barry</t>
  </si>
  <si>
    <t>CA-4932L</t>
  </si>
  <si>
    <t>Ziari, Farokh</t>
  </si>
  <si>
    <t>CA-5731</t>
  </si>
  <si>
    <t>fziari@yahoo.com</t>
  </si>
  <si>
    <t>Name</t>
  </si>
  <si>
    <t>Acc No</t>
  </si>
  <si>
    <t>Napa Wine Country Open</t>
  </si>
  <si>
    <t>The Moose Lodge</t>
  </si>
  <si>
    <t>Napa, Ca, 94558</t>
  </si>
  <si>
    <t>Roland Hall</t>
  </si>
  <si>
    <t>Yvonne Bowers</t>
  </si>
  <si>
    <t>Michael Rogers</t>
  </si>
  <si>
    <t>707-738-0799</t>
  </si>
  <si>
    <t>707-843-0109</t>
  </si>
  <si>
    <t>510-504-6905</t>
  </si>
  <si>
    <t>cribbageclub100@gmail.com</t>
  </si>
  <si>
    <t>C</t>
  </si>
  <si>
    <t>Shumate, Jason</t>
  </si>
  <si>
    <t>Paradise, CA.</t>
  </si>
  <si>
    <t>CA-3361</t>
  </si>
  <si>
    <t>mrcribking@yahoo.com</t>
  </si>
  <si>
    <t>$</t>
  </si>
  <si>
    <t>Morin, Dennis</t>
  </si>
  <si>
    <t>CA-5923</t>
  </si>
  <si>
    <t>ddmwingrider@yahoo.com</t>
  </si>
  <si>
    <t>Steen, David</t>
  </si>
  <si>
    <t>CA-8173</t>
  </si>
  <si>
    <t>dave7150@me.com</t>
  </si>
  <si>
    <t>Brekke, Sheryl</t>
  </si>
  <si>
    <t>CA-6872</t>
  </si>
  <si>
    <t>eurekapanda@yahoo.com</t>
  </si>
  <si>
    <t>Salinas, Amy</t>
  </si>
  <si>
    <t>amysalinas@comcast.net</t>
  </si>
  <si>
    <t>CA-8116</t>
  </si>
  <si>
    <t>CA-0072CL</t>
  </si>
  <si>
    <t>Ross, Judy</t>
  </si>
  <si>
    <t>CA-6522</t>
  </si>
  <si>
    <t>jross4711@gmail.com</t>
  </si>
  <si>
    <t>Davis, Pat</t>
  </si>
  <si>
    <t>CA-7063</t>
  </si>
  <si>
    <t>Notes</t>
  </si>
  <si>
    <t>Venmo</t>
  </si>
  <si>
    <t>jarzman1@sbcglobal.net</t>
  </si>
  <si>
    <t>Harding, Chase</t>
  </si>
  <si>
    <t>Quincy, CA</t>
  </si>
  <si>
    <t>CA-7206</t>
  </si>
  <si>
    <t>Harding, Denise</t>
  </si>
  <si>
    <t>CA-7205</t>
  </si>
  <si>
    <t>dnhharding@gmail.com</t>
  </si>
  <si>
    <t>chardingis@hotmail.com</t>
  </si>
  <si>
    <t>pat.a.davis1954@gmail.com</t>
  </si>
  <si>
    <t>End Seat - Walker</t>
  </si>
  <si>
    <t>With Ross Njaa</t>
  </si>
  <si>
    <t>jim.carmen71@outlook.com</t>
  </si>
  <si>
    <t>Alechus Sr., James</t>
  </si>
  <si>
    <t>Alechus Jr., James</t>
  </si>
  <si>
    <t>CA3773L</t>
  </si>
  <si>
    <t>Martignoni, Tony</t>
  </si>
  <si>
    <t>CA-7639</t>
  </si>
  <si>
    <t>tdmartignoni@gmail.com</t>
  </si>
  <si>
    <t>Apple Pay</t>
  </si>
  <si>
    <t>Cheney, Virginia</t>
  </si>
  <si>
    <t>CA-4147</t>
  </si>
  <si>
    <t>rjlind@redshift.com</t>
  </si>
  <si>
    <t>elmolover0904@yahoo.com</t>
  </si>
  <si>
    <t>0708</t>
  </si>
  <si>
    <t>Zelle</t>
  </si>
  <si>
    <t>Due</t>
  </si>
  <si>
    <t>Yepson, Neil "Bud"</t>
  </si>
  <si>
    <t>Moy, Al</t>
  </si>
  <si>
    <t>CA-3765</t>
  </si>
  <si>
    <t>Fucile, Joyce</t>
  </si>
  <si>
    <t>CA-5936</t>
  </si>
  <si>
    <t>Lookabill, Loren</t>
  </si>
  <si>
    <t>CA-6746</t>
  </si>
  <si>
    <t>Hammock, Richard</t>
  </si>
  <si>
    <t>Newark, CA.</t>
  </si>
  <si>
    <t>CA-7489</t>
  </si>
  <si>
    <t>Witt, Carol</t>
  </si>
  <si>
    <t>CA-7677</t>
  </si>
  <si>
    <t>carolpwitt@gmail.com</t>
  </si>
  <si>
    <t>(510)304-3540</t>
  </si>
  <si>
    <t>winesteward@comcast.net</t>
  </si>
  <si>
    <t>sylvurhfox@comcast.net</t>
  </si>
  <si>
    <t>nicole@designer-graphics.net </t>
  </si>
  <si>
    <t>amoy07@comcast.net</t>
  </si>
  <si>
    <t>(925) 284-7044 </t>
  </si>
  <si>
    <t>(510) 797-7679 </t>
  </si>
  <si>
    <t>EQ</t>
  </si>
  <si>
    <t>Grad 1</t>
  </si>
  <si>
    <t>Grad 2</t>
  </si>
  <si>
    <t>Grad 3</t>
  </si>
  <si>
    <t>joycieb28@gmail.com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</si>
</sst>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_(&quot;$&quot;* #,##0_);_(&quot;$&quot;* \(#,##0\);_(&quot;$&quot;* &quot;-&quot;??_);_(@_)"/>
    <numFmt numFmtId="166" formatCode="[&lt;=9999999]###\-####;\(###\)\ ###\-####"/>
    <numFmt numFmtId="167" formatCode="\ &quot;$&quot;#,##0;\-&quot;$&quot;#,##0;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4"/>
      <color theme="1"/>
      <name val="Calibri"/>
      <family val="2"/>
    </font>
    <font>
      <sz val="12"/>
      <color rgb="FF000000"/>
      <name val="Calibri"/>
      <family val="2"/>
    </font>
    <font>
      <u/>
      <sz val="11"/>
      <color theme="10"/>
      <name val="Calibri"/>
      <family val="2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sz val="14"/>
      <color theme="3" tint="0.59999389629810485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FF0000"/>
      <name val="Calibri"/>
      <family val="2"/>
    </font>
    <font>
      <b/>
      <sz val="11"/>
      <color rgb="FFFFFFFF"/>
      <name val="Calibri"/>
      <family val="2"/>
    </font>
    <font>
      <sz val="24"/>
      <color theme="1"/>
      <name val="Calibri"/>
      <family val="2"/>
      <scheme val="minor"/>
    </font>
    <font>
      <b/>
      <sz val="20"/>
      <color rgb="FF000000"/>
      <name val="Calibri (Body)"/>
    </font>
    <font>
      <sz val="20"/>
      <color theme="1"/>
      <name val="Calibri (Body)"/>
    </font>
    <font>
      <sz val="20"/>
      <color rgb="FF000000"/>
      <name val="Calibri (Body)"/>
    </font>
    <font>
      <b/>
      <sz val="24"/>
      <color theme="1"/>
      <name val="Calibri"/>
      <family val="2"/>
    </font>
    <font>
      <b/>
      <sz val="20"/>
      <color theme="1"/>
      <name val="Calibri (Body)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/>
      <top/>
      <bottom style="thin">
        <color rgb="FF92D050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</borders>
  <cellStyleXfs count="3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  <xf numFmtId="44" fontId="11" fillId="0" borderId="0" applyFont="0" applyFill="0" applyBorder="0" applyAlignment="0" applyProtection="0"/>
  </cellStyleXfs>
  <cellXfs count="146">
    <xf numFmtId="0" fontId="0" fillId="0" borderId="0" xfId="0"/>
    <xf numFmtId="49" fontId="1" fillId="0" borderId="1" xfId="0" applyNumberFormat="1" applyFont="1" applyBorder="1" applyProtection="1">
      <protection locked="0"/>
    </xf>
    <xf numFmtId="49" fontId="1" fillId="0" borderId="1" xfId="0" applyNumberFormat="1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49" fontId="5" fillId="0" borderId="1" xfId="0" applyNumberFormat="1" applyFont="1" applyBorder="1" applyProtection="1">
      <protection locked="0"/>
    </xf>
    <xf numFmtId="49" fontId="5" fillId="0" borderId="1" xfId="0" applyNumberFormat="1" applyFont="1" applyBorder="1" applyAlignment="1" applyProtection="1">
      <alignment horizontal="center"/>
      <protection locked="0"/>
    </xf>
    <xf numFmtId="0" fontId="7" fillId="0" borderId="0" xfId="0" applyFont="1" applyAlignment="1">
      <alignment horizontal="left"/>
    </xf>
    <xf numFmtId="0" fontId="1" fillId="0" borderId="0" xfId="0" applyFont="1"/>
    <xf numFmtId="0" fontId="3" fillId="0" borderId="0" xfId="0" applyFont="1"/>
    <xf numFmtId="16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wrapText="1"/>
    </xf>
    <xf numFmtId="164" fontId="3" fillId="0" borderId="1" xfId="0" applyNumberFormat="1" applyFont="1" applyBorder="1" applyAlignment="1">
      <alignment horizontal="center"/>
    </xf>
    <xf numFmtId="1" fontId="4" fillId="0" borderId="1" xfId="0" applyNumberFormat="1" applyFont="1" applyBorder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49" fontId="4" fillId="0" borderId="1" xfId="0" applyNumberFormat="1" applyFont="1" applyBorder="1" applyAlignment="1">
      <alignment horizontal="left"/>
    </xf>
    <xf numFmtId="49" fontId="4" fillId="0" borderId="1" xfId="0" applyNumberFormat="1" applyFont="1" applyBorder="1"/>
    <xf numFmtId="49" fontId="4" fillId="0" borderId="1" xfId="0" applyNumberFormat="1" applyFont="1" applyBorder="1" applyAlignment="1">
      <alignment horizontal="center" wrapText="1"/>
    </xf>
    <xf numFmtId="164" fontId="4" fillId="0" borderId="1" xfId="0" applyNumberFormat="1" applyFont="1" applyBorder="1" applyAlignment="1">
      <alignment horizontal="center" wrapText="1"/>
    </xf>
    <xf numFmtId="0" fontId="2" fillId="0" borderId="1" xfId="0" applyFont="1" applyBorder="1" applyAlignment="1">
      <alignment horizontal="center" wrapText="1"/>
    </xf>
    <xf numFmtId="164" fontId="2" fillId="0" borderId="1" xfId="0" applyNumberFormat="1" applyFont="1" applyBorder="1" applyAlignment="1">
      <alignment horizontal="center"/>
    </xf>
    <xf numFmtId="1" fontId="2" fillId="0" borderId="0" xfId="0" applyNumberFormat="1" applyFont="1" applyAlignment="1">
      <alignment horizontal="center"/>
    </xf>
    <xf numFmtId="0" fontId="1" fillId="0" borderId="0" xfId="0" applyFont="1" applyAlignment="1">
      <alignment horizontal="center" wrapText="1"/>
    </xf>
    <xf numFmtId="1" fontId="2" fillId="0" borderId="3" xfId="0" applyNumberFormat="1" applyFont="1" applyBorder="1" applyAlignment="1">
      <alignment horizontal="center" wrapText="1"/>
    </xf>
    <xf numFmtId="0" fontId="4" fillId="0" borderId="0" xfId="0" applyFont="1"/>
    <xf numFmtId="0" fontId="5" fillId="0" borderId="4" xfId="0" applyFont="1" applyBorder="1" applyAlignment="1">
      <alignment horizontal="center"/>
    </xf>
    <xf numFmtId="1" fontId="3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quotePrefix="1" applyFont="1"/>
    <xf numFmtId="1" fontId="2" fillId="0" borderId="0" xfId="0" applyNumberFormat="1" applyFont="1" applyAlignment="1">
      <alignment horizontal="center" wrapText="1"/>
    </xf>
    <xf numFmtId="165" fontId="0" fillId="0" borderId="0" xfId="2" applyNumberFormat="1" applyFont="1"/>
    <xf numFmtId="0" fontId="4" fillId="0" borderId="1" xfId="0" applyFont="1" applyBorder="1"/>
    <xf numFmtId="1" fontId="6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6" xfId="0" applyBorder="1" applyAlignment="1">
      <alignment horizontal="center"/>
    </xf>
    <xf numFmtId="49" fontId="5" fillId="0" borderId="0" xfId="0" applyNumberFormat="1" applyFont="1" applyProtection="1">
      <protection locked="0"/>
    </xf>
    <xf numFmtId="0" fontId="3" fillId="0" borderId="5" xfId="0" applyFont="1" applyBorder="1"/>
    <xf numFmtId="0" fontId="6" fillId="0" borderId="0" xfId="0" applyFont="1"/>
    <xf numFmtId="0" fontId="12" fillId="0" borderId="0" xfId="0" applyFont="1"/>
    <xf numFmtId="0" fontId="8" fillId="0" borderId="0" xfId="0" applyFont="1" applyAlignment="1">
      <alignment horizontal="left"/>
    </xf>
    <xf numFmtId="0" fontId="0" fillId="0" borderId="7" xfId="0" applyBorder="1"/>
    <xf numFmtId="1" fontId="2" fillId="0" borderId="1" xfId="0" applyNumberFormat="1" applyFont="1" applyBorder="1" applyAlignment="1">
      <alignment horizontal="center" wrapText="1"/>
    </xf>
    <xf numFmtId="0" fontId="4" fillId="0" borderId="0" xfId="0" applyFont="1" applyAlignment="1">
      <alignment horizontal="right"/>
    </xf>
    <xf numFmtId="0" fontId="4" fillId="0" borderId="0" xfId="0" quotePrefix="1" applyFont="1" applyAlignment="1">
      <alignment horizontal="center"/>
    </xf>
    <xf numFmtId="0" fontId="13" fillId="0" borderId="0" xfId="0" applyFont="1" applyAlignment="1">
      <alignment horizontal="left"/>
    </xf>
    <xf numFmtId="0" fontId="15" fillId="0" borderId="0" xfId="0" applyFont="1" applyAlignment="1">
      <alignment horizontal="left"/>
    </xf>
    <xf numFmtId="14" fontId="0" fillId="0" borderId="0" xfId="0" applyNumberFormat="1"/>
    <xf numFmtId="0" fontId="16" fillId="0" borderId="0" xfId="0" applyFont="1"/>
    <xf numFmtId="1" fontId="0" fillId="0" borderId="8" xfId="0" applyNumberFormat="1" applyBorder="1" applyProtection="1">
      <protection locked="0"/>
    </xf>
    <xf numFmtId="1" fontId="4" fillId="0" borderId="8" xfId="0" applyNumberFormat="1" applyFont="1" applyBorder="1" applyAlignment="1" applyProtection="1">
      <alignment horizontal="center"/>
      <protection locked="0"/>
    </xf>
    <xf numFmtId="0" fontId="1" fillId="0" borderId="12" xfId="0" applyFont="1" applyBorder="1"/>
    <xf numFmtId="0" fontId="1" fillId="0" borderId="1" xfId="0" applyFont="1" applyBorder="1" applyAlignment="1">
      <alignment horizontal="center"/>
    </xf>
    <xf numFmtId="0" fontId="1" fillId="0" borderId="0" xfId="0" applyFont="1" applyAlignment="1" applyProtection="1">
      <alignment horizontal="center"/>
      <protection hidden="1"/>
    </xf>
    <xf numFmtId="0" fontId="0" fillId="0" borderId="1" xfId="0" applyBorder="1" applyProtection="1">
      <protection locked="0"/>
    </xf>
    <xf numFmtId="0" fontId="0" fillId="0" borderId="0" xfId="0" applyProtection="1">
      <protection locked="0"/>
    </xf>
    <xf numFmtId="0" fontId="17" fillId="0" borderId="0" xfId="0" applyFont="1"/>
    <xf numFmtId="14" fontId="0" fillId="0" borderId="0" xfId="0" applyNumberFormat="1" applyAlignment="1" applyProtection="1">
      <alignment horizontal="left"/>
      <protection locked="0"/>
    </xf>
    <xf numFmtId="0" fontId="19" fillId="0" borderId="0" xfId="0" applyFont="1"/>
    <xf numFmtId="0" fontId="19" fillId="0" borderId="0" xfId="0" applyFont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/>
      <protection hidden="1"/>
    </xf>
    <xf numFmtId="0" fontId="12" fillId="0" borderId="0" xfId="0" applyFont="1" applyAlignment="1">
      <alignment horizontal="center"/>
    </xf>
    <xf numFmtId="49" fontId="4" fillId="0" borderId="0" xfId="0" applyNumberFormat="1" applyFont="1" applyAlignment="1">
      <alignment horizontal="center"/>
    </xf>
    <xf numFmtId="49" fontId="5" fillId="0" borderId="0" xfId="0" applyNumberFormat="1" applyFont="1" applyAlignment="1" applyProtection="1">
      <alignment horizontal="center"/>
      <protection locked="0"/>
    </xf>
    <xf numFmtId="49" fontId="1" fillId="0" borderId="0" xfId="0" applyNumberFormat="1" applyFont="1" applyProtection="1">
      <protection locked="0"/>
    </xf>
    <xf numFmtId="49" fontId="1" fillId="0" borderId="0" xfId="0" applyNumberFormat="1" applyFont="1" applyAlignment="1" applyProtection="1">
      <alignment horizontal="center"/>
      <protection locked="0"/>
    </xf>
    <xf numFmtId="49" fontId="2" fillId="0" borderId="13" xfId="0" applyNumberFormat="1" applyFont="1" applyBorder="1" applyProtection="1">
      <protection locked="0"/>
    </xf>
    <xf numFmtId="49" fontId="2" fillId="0" borderId="13" xfId="0" applyNumberFormat="1" applyFon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14" fontId="0" fillId="0" borderId="8" xfId="0" applyNumberFormat="1" applyBorder="1" applyProtection="1">
      <protection locked="0"/>
    </xf>
    <xf numFmtId="164" fontId="4" fillId="0" borderId="8" xfId="2" applyNumberFormat="1" applyFont="1" applyBorder="1" applyAlignment="1" applyProtection="1">
      <alignment horizontal="center"/>
      <protection locked="0"/>
    </xf>
    <xf numFmtId="164" fontId="0" fillId="0" borderId="8" xfId="2" applyNumberFormat="1" applyFont="1" applyBorder="1" applyProtection="1">
      <protection locked="0"/>
    </xf>
    <xf numFmtId="164" fontId="0" fillId="0" borderId="8" xfId="0" applyNumberFormat="1" applyBorder="1" applyProtection="1">
      <protection locked="0"/>
    </xf>
    <xf numFmtId="167" fontId="3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1" xfId="0" applyFont="1" applyBorder="1" applyAlignment="1" applyProtection="1">
      <alignment horizontal="center"/>
      <protection locked="0"/>
    </xf>
    <xf numFmtId="166" fontId="5" fillId="0" borderId="1" xfId="0" applyNumberFormat="1" applyFont="1" applyBorder="1" applyAlignment="1" applyProtection="1">
      <alignment horizontal="center"/>
      <protection locked="0"/>
    </xf>
    <xf numFmtId="0" fontId="10" fillId="0" borderId="1" xfId="1" applyFill="1" applyBorder="1" applyAlignment="1" applyProtection="1">
      <protection locked="0"/>
    </xf>
    <xf numFmtId="1" fontId="5" fillId="0" borderId="1" xfId="0" applyNumberFormat="1" applyFont="1" applyBorder="1" applyAlignment="1" applyProtection="1">
      <alignment horizontal="center"/>
      <protection locked="0"/>
    </xf>
    <xf numFmtId="167" fontId="0" fillId="0" borderId="1" xfId="0" applyNumberFormat="1" applyBorder="1" applyAlignment="1" applyProtection="1">
      <alignment horizontal="center"/>
      <protection locked="0"/>
    </xf>
    <xf numFmtId="164" fontId="0" fillId="0" borderId="1" xfId="0" applyNumberFormat="1" applyBorder="1" applyAlignment="1">
      <alignment horizontal="center"/>
    </xf>
    <xf numFmtId="167" fontId="4" fillId="0" borderId="1" xfId="0" applyNumberFormat="1" applyFont="1" applyBorder="1" applyAlignment="1">
      <alignment horizontal="center"/>
    </xf>
    <xf numFmtId="1" fontId="2" fillId="0" borderId="1" xfId="0" applyNumberFormat="1" applyFont="1" applyBorder="1" applyAlignment="1" applyProtection="1">
      <alignment horizontal="center"/>
      <protection locked="0"/>
    </xf>
    <xf numFmtId="166" fontId="5" fillId="0" borderId="1" xfId="0" applyNumberFormat="1" applyFont="1" applyBorder="1" applyAlignment="1">
      <alignment horizontal="center"/>
    </xf>
    <xf numFmtId="1" fontId="1" fillId="0" borderId="0" xfId="0" applyNumberFormat="1" applyFont="1" applyAlignment="1">
      <alignment horizontal="center"/>
    </xf>
    <xf numFmtId="0" fontId="1" fillId="0" borderId="1" xfId="0" applyFont="1" applyBorder="1" applyProtection="1">
      <protection locked="0"/>
    </xf>
    <xf numFmtId="0" fontId="0" fillId="0" borderId="1" xfId="0" applyBorder="1" applyAlignment="1">
      <alignment horizontal="center"/>
    </xf>
    <xf numFmtId="1" fontId="4" fillId="0" borderId="0" xfId="0" applyNumberFormat="1" applyFont="1" applyAlignment="1">
      <alignment horizontal="center"/>
    </xf>
    <xf numFmtId="0" fontId="10" fillId="0" borderId="0" xfId="1" applyFill="1" applyBorder="1" applyAlignment="1" applyProtection="1"/>
    <xf numFmtId="166" fontId="1" fillId="0" borderId="1" xfId="0" applyNumberFormat="1" applyFont="1" applyBorder="1" applyAlignment="1" applyProtection="1">
      <alignment horizontal="center"/>
      <protection locked="0"/>
    </xf>
    <xf numFmtId="166" fontId="1" fillId="0" borderId="1" xfId="0" applyNumberFormat="1" applyFont="1" applyBorder="1" applyAlignment="1">
      <alignment horizontal="center"/>
    </xf>
    <xf numFmtId="0" fontId="0" fillId="0" borderId="1" xfId="0" applyBorder="1"/>
    <xf numFmtId="166" fontId="0" fillId="0" borderId="3" xfId="0" applyNumberFormat="1" applyBorder="1" applyAlignment="1">
      <alignment horizontal="center"/>
    </xf>
    <xf numFmtId="166" fontId="5" fillId="0" borderId="3" xfId="0" applyNumberFormat="1" applyFont="1" applyBorder="1" applyAlignment="1" applyProtection="1">
      <alignment horizontal="center"/>
      <protection locked="0"/>
    </xf>
    <xf numFmtId="166" fontId="0" fillId="0" borderId="1" xfId="0" applyNumberFormat="1" applyBorder="1" applyAlignment="1">
      <alignment horizontal="center"/>
    </xf>
    <xf numFmtId="166" fontId="0" fillId="0" borderId="3" xfId="0" applyNumberFormat="1" applyBorder="1" applyAlignment="1" applyProtection="1">
      <alignment horizontal="center"/>
      <protection locked="0"/>
    </xf>
    <xf numFmtId="0" fontId="1" fillId="0" borderId="0" xfId="0" applyFont="1" applyProtection="1">
      <protection locked="0"/>
    </xf>
    <xf numFmtId="0" fontId="10" fillId="0" borderId="1" xfId="1" applyFill="1" applyBorder="1" applyAlignment="1" applyProtection="1"/>
    <xf numFmtId="0" fontId="5" fillId="0" borderId="1" xfId="0" quotePrefix="1" applyFont="1" applyBorder="1" applyAlignment="1" applyProtection="1">
      <alignment horizontal="center"/>
      <protection locked="0"/>
    </xf>
    <xf numFmtId="166" fontId="0" fillId="0" borderId="1" xfId="0" applyNumberFormat="1" applyBorder="1" applyAlignment="1" applyProtection="1">
      <alignment horizontal="center"/>
      <protection locked="0"/>
    </xf>
    <xf numFmtId="49" fontId="9" fillId="0" borderId="1" xfId="0" applyNumberFormat="1" applyFont="1" applyBorder="1" applyProtection="1">
      <protection locked="0"/>
    </xf>
    <xf numFmtId="1" fontId="2" fillId="0" borderId="1" xfId="0" applyNumberFormat="1" applyFont="1" applyBorder="1" applyAlignment="1">
      <alignment horizontal="center"/>
    </xf>
    <xf numFmtId="1" fontId="4" fillId="0" borderId="1" xfId="0" applyNumberFormat="1" applyFont="1" applyBorder="1" applyAlignment="1">
      <alignment horizontal="center"/>
    </xf>
    <xf numFmtId="0" fontId="20" fillId="0" borderId="0" xfId="0" applyFont="1"/>
    <xf numFmtId="49" fontId="21" fillId="0" borderId="13" xfId="0" applyNumberFormat="1" applyFont="1" applyBorder="1" applyProtection="1">
      <protection locked="0"/>
    </xf>
    <xf numFmtId="49" fontId="22" fillId="0" borderId="1" xfId="0" applyNumberFormat="1" applyFont="1" applyBorder="1" applyProtection="1">
      <protection locked="0"/>
    </xf>
    <xf numFmtId="0" fontId="22" fillId="0" borderId="1" xfId="0" applyFont="1" applyBorder="1"/>
    <xf numFmtId="49" fontId="23" fillId="0" borderId="1" xfId="0" applyNumberFormat="1" applyFont="1" applyBorder="1" applyProtection="1">
      <protection locked="0"/>
    </xf>
    <xf numFmtId="0" fontId="24" fillId="0" borderId="0" xfId="0" applyFont="1" applyAlignment="1">
      <alignment horizontal="left"/>
    </xf>
    <xf numFmtId="49" fontId="25" fillId="0" borderId="1" xfId="0" applyNumberFormat="1" applyFont="1" applyBorder="1" applyAlignment="1">
      <alignment horizontal="left"/>
    </xf>
    <xf numFmtId="49" fontId="25" fillId="0" borderId="1" xfId="0" applyNumberFormat="1" applyFont="1" applyBorder="1" applyAlignment="1">
      <alignment horizontal="center"/>
    </xf>
    <xf numFmtId="49" fontId="25" fillId="0" borderId="1" xfId="0" applyNumberFormat="1" applyFont="1" applyBorder="1" applyAlignment="1">
      <alignment horizontal="center" wrapText="1"/>
    </xf>
    <xf numFmtId="0" fontId="25" fillId="0" borderId="1" xfId="0" applyFont="1" applyBorder="1" applyAlignment="1">
      <alignment horizontal="center" wrapText="1"/>
    </xf>
    <xf numFmtId="164" fontId="25" fillId="0" borderId="14" xfId="0" applyNumberFormat="1" applyFont="1" applyBorder="1" applyAlignment="1">
      <alignment horizontal="center" wrapText="1"/>
    </xf>
    <xf numFmtId="0" fontId="25" fillId="0" borderId="2" xfId="0" applyFont="1" applyBorder="1" applyAlignment="1">
      <alignment horizontal="center" wrapText="1"/>
    </xf>
    <xf numFmtId="166" fontId="22" fillId="0" borderId="1" xfId="0" applyNumberFormat="1" applyFont="1" applyBorder="1" applyAlignment="1">
      <alignment horizontal="center"/>
    </xf>
    <xf numFmtId="0" fontId="22" fillId="0" borderId="1" xfId="0" applyFont="1" applyBorder="1" applyAlignment="1">
      <alignment horizontal="center"/>
    </xf>
    <xf numFmtId="1" fontId="23" fillId="0" borderId="1" xfId="0" applyNumberFormat="1" applyFont="1" applyBorder="1" applyAlignment="1" applyProtection="1">
      <alignment horizontal="center"/>
      <protection locked="0"/>
    </xf>
    <xf numFmtId="0" fontId="23" fillId="0" borderId="1" xfId="0" applyFont="1" applyBorder="1" applyAlignment="1" applyProtection="1">
      <alignment horizontal="center"/>
      <protection locked="0"/>
    </xf>
    <xf numFmtId="164" fontId="22" fillId="0" borderId="1" xfId="0" applyNumberFormat="1" applyFont="1" applyBorder="1"/>
    <xf numFmtId="49" fontId="22" fillId="0" borderId="1" xfId="0" applyNumberFormat="1" applyFont="1" applyBorder="1" applyAlignment="1" applyProtection="1">
      <alignment horizontal="center"/>
      <protection locked="0"/>
    </xf>
    <xf numFmtId="49" fontId="23" fillId="0" borderId="1" xfId="0" applyNumberFormat="1" applyFont="1" applyBorder="1" applyAlignment="1" applyProtection="1">
      <alignment horizontal="center"/>
      <protection locked="0"/>
    </xf>
    <xf numFmtId="166" fontId="22" fillId="0" borderId="1" xfId="0" applyNumberFormat="1" applyFont="1" applyBorder="1" applyAlignment="1" applyProtection="1">
      <alignment horizontal="center"/>
      <protection locked="0"/>
    </xf>
    <xf numFmtId="166" fontId="23" fillId="0" borderId="1" xfId="0" applyNumberFormat="1" applyFont="1" applyBorder="1" applyAlignment="1" applyProtection="1">
      <alignment horizontal="center"/>
      <protection locked="0"/>
    </xf>
    <xf numFmtId="0" fontId="10" fillId="0" borderId="1" xfId="1" applyBorder="1" applyAlignment="1" applyProtection="1">
      <protection locked="0"/>
    </xf>
    <xf numFmtId="166" fontId="23" fillId="0" borderId="0" xfId="0" applyNumberFormat="1" applyFont="1" applyAlignment="1" applyProtection="1">
      <alignment horizontal="center"/>
      <protection locked="0"/>
    </xf>
    <xf numFmtId="166" fontId="0" fillId="0" borderId="0" xfId="0" applyNumberFormat="1" applyAlignment="1">
      <alignment horizontal="center"/>
    </xf>
    <xf numFmtId="166" fontId="5" fillId="0" borderId="0" xfId="0" applyNumberFormat="1" applyFont="1" applyAlignment="1" applyProtection="1">
      <alignment horizontal="center"/>
      <protection locked="0"/>
    </xf>
    <xf numFmtId="0" fontId="15" fillId="0" borderId="9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0" fontId="15" fillId="0" borderId="11" xfId="0" applyFont="1" applyBorder="1" applyAlignment="1">
      <alignment horizontal="center"/>
    </xf>
    <xf numFmtId="0" fontId="0" fillId="0" borderId="9" xfId="0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left"/>
      <protection locked="0"/>
    </xf>
    <xf numFmtId="0" fontId="0" fillId="0" borderId="10" xfId="0" applyBorder="1" applyAlignment="1" applyProtection="1">
      <alignment horizontal="left"/>
      <protection locked="0"/>
    </xf>
    <xf numFmtId="0" fontId="0" fillId="0" borderId="11" xfId="0" applyBorder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14" fillId="0" borderId="9" xfId="0" applyFont="1" applyBorder="1" applyAlignment="1">
      <alignment horizontal="left"/>
    </xf>
    <xf numFmtId="0" fontId="14" fillId="0" borderId="10" xfId="0" applyFont="1" applyBorder="1" applyAlignment="1">
      <alignment horizontal="left"/>
    </xf>
    <xf numFmtId="0" fontId="14" fillId="0" borderId="11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Protection="1">
      <protection locked="0"/>
    </xf>
    <xf numFmtId="0" fontId="1" fillId="0" borderId="0" xfId="0" applyFont="1" applyAlignment="1">
      <alignment horizontal="left"/>
    </xf>
    <xf numFmtId="14" fontId="1" fillId="0" borderId="0" xfId="0" applyNumberFormat="1" applyFont="1" applyAlignment="1">
      <alignment horizontal="left"/>
    </xf>
    <xf numFmtId="0" fontId="5" fillId="0" borderId="1" xfId="0" applyFont="1" applyFill="1" applyBorder="1" applyAlignment="1" applyProtection="1">
      <alignment horizontal="center"/>
      <protection locked="0"/>
    </xf>
  </cellXfs>
  <cellStyles count="3">
    <cellStyle name="Currency" xfId="2" builtinId="4"/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596900</xdr:colOff>
          <xdr:row>5</xdr:row>
          <xdr:rowOff>25400</xdr:rowOff>
        </xdr:from>
        <xdr:to>
          <xdr:col>11</xdr:col>
          <xdr:colOff>25400</xdr:colOff>
          <xdr:row>7</xdr:row>
          <xdr:rowOff>25400</xdr:rowOff>
        </xdr:to>
        <xdr:sp macro="" textlink="">
          <xdr:nvSpPr>
            <xdr:cNvPr id="2051" name="GoToRegistrationEntrie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</xdr:row>
          <xdr:rowOff>165100</xdr:rowOff>
        </xdr:from>
        <xdr:to>
          <xdr:col>14</xdr:col>
          <xdr:colOff>76200</xdr:colOff>
          <xdr:row>3</xdr:row>
          <xdr:rowOff>165100</xdr:rowOff>
        </xdr:to>
        <xdr:sp macro="" textlink="">
          <xdr:nvSpPr>
            <xdr:cNvPr id="2054" name="SaveAllOfTourney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Save All  Info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596900</xdr:colOff>
          <xdr:row>1</xdr:row>
          <xdr:rowOff>165100</xdr:rowOff>
        </xdr:from>
        <xdr:to>
          <xdr:col>11</xdr:col>
          <xdr:colOff>25400</xdr:colOff>
          <xdr:row>3</xdr:row>
          <xdr:rowOff>165100</xdr:rowOff>
        </xdr:to>
        <xdr:sp macro="" textlink="">
          <xdr:nvSpPr>
            <xdr:cNvPr id="2055" name="GoToMainSetUp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5</xdr:row>
          <xdr:rowOff>25400</xdr:rowOff>
        </xdr:from>
        <xdr:to>
          <xdr:col>14</xdr:col>
          <xdr:colOff>76200</xdr:colOff>
          <xdr:row>7</xdr:row>
          <xdr:rowOff>25400</xdr:rowOff>
        </xdr:to>
        <xdr:sp macro="" textlink="">
          <xdr:nvSpPr>
            <xdr:cNvPr id="2058" name="SaveEverythingAndClose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8</xdr:row>
          <xdr:rowOff>12700</xdr:rowOff>
        </xdr:from>
        <xdr:to>
          <xdr:col>14</xdr:col>
          <xdr:colOff>76200</xdr:colOff>
          <xdr:row>10</xdr:row>
          <xdr:rowOff>12700</xdr:rowOff>
        </xdr:to>
        <xdr:sp macro="" textlink="">
          <xdr:nvSpPr>
            <xdr:cNvPr id="2059" name="ClearTourneyDetail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Tourney Details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25400</xdr:colOff>
          <xdr:row>3</xdr:row>
          <xdr:rowOff>12700</xdr:rowOff>
        </xdr:from>
        <xdr:to>
          <xdr:col>7</xdr:col>
          <xdr:colOff>977900</xdr:colOff>
          <xdr:row>5</xdr:row>
          <xdr:rowOff>25400</xdr:rowOff>
        </xdr:to>
        <xdr:sp macro="" textlink="">
          <xdr:nvSpPr>
            <xdr:cNvPr id="4098" name="MainTourneySetUp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Validate Main Tourney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25400</xdr:colOff>
          <xdr:row>6</xdr:row>
          <xdr:rowOff>88900</xdr:rowOff>
        </xdr:from>
        <xdr:to>
          <xdr:col>7</xdr:col>
          <xdr:colOff>977900</xdr:colOff>
          <xdr:row>8</xdr:row>
          <xdr:rowOff>101600</xdr:rowOff>
        </xdr:to>
        <xdr:sp macro="" textlink="">
          <xdr:nvSpPr>
            <xdr:cNvPr id="4100" name="MainTourneySetUp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Validate Main Pool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25400</xdr:colOff>
          <xdr:row>9</xdr:row>
          <xdr:rowOff>165100</xdr:rowOff>
        </xdr:from>
        <xdr:to>
          <xdr:col>7</xdr:col>
          <xdr:colOff>977900</xdr:colOff>
          <xdr:row>11</xdr:row>
          <xdr:rowOff>165100</xdr:rowOff>
        </xdr:to>
        <xdr:sp macro="" textlink="">
          <xdr:nvSpPr>
            <xdr:cNvPr id="4101" name="MainTourneySetUp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Main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Pool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50800</xdr:colOff>
          <xdr:row>1</xdr:row>
          <xdr:rowOff>12700</xdr:rowOff>
        </xdr:from>
        <xdr:to>
          <xdr:col>20</xdr:col>
          <xdr:colOff>304800</xdr:colOff>
          <xdr:row>3</xdr:row>
          <xdr:rowOff>25400</xdr:rowOff>
        </xdr:to>
        <xdr:sp macro="" textlink="">
          <xdr:nvSpPr>
            <xdr:cNvPr id="1027" name="WhereAmI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50800</xdr:colOff>
          <xdr:row>3</xdr:row>
          <xdr:rowOff>152400</xdr:rowOff>
        </xdr:from>
        <xdr:to>
          <xdr:col>20</xdr:col>
          <xdr:colOff>304800</xdr:colOff>
          <xdr:row>5</xdr:row>
          <xdr:rowOff>177800</xdr:rowOff>
        </xdr:to>
        <xdr:sp macro="" textlink="">
          <xdr:nvSpPr>
            <xdr:cNvPr id="1037" name="WhoAmI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330200</xdr:colOff>
          <xdr:row>1</xdr:row>
          <xdr:rowOff>12700</xdr:rowOff>
        </xdr:from>
        <xdr:to>
          <xdr:col>2</xdr:col>
          <xdr:colOff>977900</xdr:colOff>
          <xdr:row>2</xdr:row>
          <xdr:rowOff>139700</xdr:rowOff>
        </xdr:to>
        <xdr:sp macro="" textlink="">
          <xdr:nvSpPr>
            <xdr:cNvPr id="1040" name="SetupTourney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2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330200</xdr:colOff>
          <xdr:row>3</xdr:row>
          <xdr:rowOff>25400</xdr:rowOff>
        </xdr:from>
        <xdr:to>
          <xdr:col>2</xdr:col>
          <xdr:colOff>977900</xdr:colOff>
          <xdr:row>4</xdr:row>
          <xdr:rowOff>152400</xdr:rowOff>
        </xdr:to>
        <xdr:sp macro="" textlink="">
          <xdr:nvSpPr>
            <xdr:cNvPr id="1042" name="SetupMain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2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1206500</xdr:colOff>
          <xdr:row>3</xdr:row>
          <xdr:rowOff>38100</xdr:rowOff>
        </xdr:from>
        <xdr:to>
          <xdr:col>3</xdr:col>
          <xdr:colOff>673100</xdr:colOff>
          <xdr:row>4</xdr:row>
          <xdr:rowOff>177800</xdr:rowOff>
        </xdr:to>
        <xdr:sp macro="" textlink="">
          <xdr:nvSpPr>
            <xdr:cNvPr id="1045" name="SortEntered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2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1206500</xdr:colOff>
          <xdr:row>1</xdr:row>
          <xdr:rowOff>12700</xdr:rowOff>
        </xdr:from>
        <xdr:to>
          <xdr:col>3</xdr:col>
          <xdr:colOff>673100</xdr:colOff>
          <xdr:row>2</xdr:row>
          <xdr:rowOff>139700</xdr:rowOff>
        </xdr:to>
        <xdr:sp macro="" textlink="">
          <xdr:nvSpPr>
            <xdr:cNvPr id="1046" name="SortAlpha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2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1206500</xdr:colOff>
          <xdr:row>5</xdr:row>
          <xdr:rowOff>38100</xdr:rowOff>
        </xdr:from>
        <xdr:to>
          <xdr:col>3</xdr:col>
          <xdr:colOff>673100</xdr:colOff>
          <xdr:row>6</xdr:row>
          <xdr:rowOff>190500</xdr:rowOff>
        </xdr:to>
        <xdr:sp macro="" textlink="">
          <xdr:nvSpPr>
            <xdr:cNvPr id="1047" name="SortUnpaid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2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3</xdr:row>
          <xdr:rowOff>25400</xdr:rowOff>
        </xdr:from>
        <xdr:to>
          <xdr:col>4</xdr:col>
          <xdr:colOff>482600</xdr:colOff>
          <xdr:row>4</xdr:row>
          <xdr:rowOff>165100</xdr:rowOff>
        </xdr:to>
        <xdr:sp macro="" textlink="">
          <xdr:nvSpPr>
            <xdr:cNvPr id="1048" name="SortVeggies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2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1</xdr:row>
          <xdr:rowOff>12700</xdr:rowOff>
        </xdr:from>
        <xdr:to>
          <xdr:col>4</xdr:col>
          <xdr:colOff>482600</xdr:colOff>
          <xdr:row>2</xdr:row>
          <xdr:rowOff>139700</xdr:rowOff>
        </xdr:to>
        <xdr:sp macro="" textlink="">
          <xdr:nvSpPr>
            <xdr:cNvPr id="1049" name="SortAnchors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2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5</xdr:row>
          <xdr:rowOff>38100</xdr:rowOff>
        </xdr:from>
        <xdr:to>
          <xdr:col>4</xdr:col>
          <xdr:colOff>482600</xdr:colOff>
          <xdr:row>6</xdr:row>
          <xdr:rowOff>190500</xdr:rowOff>
        </xdr:to>
        <xdr:sp macro="" textlink="">
          <xdr:nvSpPr>
            <xdr:cNvPr id="1050" name="ShowHid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2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25400</xdr:colOff>
          <xdr:row>3</xdr:row>
          <xdr:rowOff>152400</xdr:rowOff>
        </xdr:from>
        <xdr:to>
          <xdr:col>18</xdr:col>
          <xdr:colOff>279400</xdr:colOff>
          <xdr:row>5</xdr:row>
          <xdr:rowOff>177800</xdr:rowOff>
        </xdr:to>
        <xdr:sp macro="" textlink="">
          <xdr:nvSpPr>
            <xdr:cNvPr id="1051" name="SaveAndClose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2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25400</xdr:colOff>
          <xdr:row>1</xdr:row>
          <xdr:rowOff>12700</xdr:rowOff>
        </xdr:from>
        <xdr:to>
          <xdr:col>15</xdr:col>
          <xdr:colOff>330200</xdr:colOff>
          <xdr:row>3</xdr:row>
          <xdr:rowOff>25400</xdr:rowOff>
        </xdr:to>
        <xdr:sp macro="" textlink="">
          <xdr:nvSpPr>
            <xdr:cNvPr id="1054" name="SaveAndContinue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2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25400</xdr:colOff>
          <xdr:row>1</xdr:row>
          <xdr:rowOff>12700</xdr:rowOff>
        </xdr:from>
        <xdr:to>
          <xdr:col>18</xdr:col>
          <xdr:colOff>279400</xdr:colOff>
          <xdr:row>3</xdr:row>
          <xdr:rowOff>25400</xdr:rowOff>
        </xdr:to>
        <xdr:sp macro="" textlink="">
          <xdr:nvSpPr>
            <xdr:cNvPr id="1061" name="ClearRegistration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2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25400</xdr:colOff>
          <xdr:row>3</xdr:row>
          <xdr:rowOff>152400</xdr:rowOff>
        </xdr:from>
        <xdr:to>
          <xdr:col>15</xdr:col>
          <xdr:colOff>330200</xdr:colOff>
          <xdr:row>5</xdr:row>
          <xdr:rowOff>177800</xdr:rowOff>
        </xdr:to>
        <xdr:sp macro="" textlink="">
          <xdr:nvSpPr>
            <xdr:cNvPr id="1062" name="Valida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2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Validation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</xdr:row>
          <xdr:rowOff>12700</xdr:rowOff>
        </xdr:from>
        <xdr:to>
          <xdr:col>21</xdr:col>
          <xdr:colOff>1130300</xdr:colOff>
          <xdr:row>3</xdr:row>
          <xdr:rowOff>25400</xdr:rowOff>
        </xdr:to>
        <xdr:sp macro="" textlink="">
          <xdr:nvSpPr>
            <xdr:cNvPr id="1064" name="WhereAmI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2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Erase All of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317500</xdr:colOff>
          <xdr:row>5</xdr:row>
          <xdr:rowOff>38100</xdr:rowOff>
        </xdr:from>
        <xdr:to>
          <xdr:col>2</xdr:col>
          <xdr:colOff>965200</xdr:colOff>
          <xdr:row>6</xdr:row>
          <xdr:rowOff>190500</xdr:rowOff>
        </xdr:to>
        <xdr:sp macro="" textlink="">
          <xdr:nvSpPr>
            <xdr:cNvPr id="1066" name="UnlockSheet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2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317500</xdr:colOff>
          <xdr:row>5</xdr:row>
          <xdr:rowOff>38100</xdr:rowOff>
        </xdr:from>
        <xdr:to>
          <xdr:col>2</xdr:col>
          <xdr:colOff>965200</xdr:colOff>
          <xdr:row>6</xdr:row>
          <xdr:rowOff>190500</xdr:rowOff>
        </xdr:to>
        <xdr:sp macro="" textlink="">
          <xdr:nvSpPr>
            <xdr:cNvPr id="1069" name="LockSheet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mailto:ddmwingrider@yahoo.com" TargetMode="External"/><Relationship Id="rId18" Type="http://schemas.openxmlformats.org/officeDocument/2006/relationships/hyperlink" Target="mailto:jarzman1@sbcglobal.net" TargetMode="External"/><Relationship Id="rId26" Type="http://schemas.openxmlformats.org/officeDocument/2006/relationships/hyperlink" Target="mailto:carolpwitt@gmail.com" TargetMode="External"/><Relationship Id="rId39" Type="http://schemas.openxmlformats.org/officeDocument/2006/relationships/ctrlProp" Target="../ctrlProps/ctrlProp16.xml"/><Relationship Id="rId21" Type="http://schemas.openxmlformats.org/officeDocument/2006/relationships/hyperlink" Target="mailto:pat.a.davis1954@gmail.com" TargetMode="External"/><Relationship Id="rId34" Type="http://schemas.openxmlformats.org/officeDocument/2006/relationships/ctrlProp" Target="../ctrlProps/ctrlProp11.xml"/><Relationship Id="rId42" Type="http://schemas.openxmlformats.org/officeDocument/2006/relationships/ctrlProp" Target="../ctrlProps/ctrlProp19.xml"/><Relationship Id="rId47" Type="http://schemas.openxmlformats.org/officeDocument/2006/relationships/ctrlProp" Target="../ctrlProps/ctrlProp24.xml"/><Relationship Id="rId7" Type="http://schemas.openxmlformats.org/officeDocument/2006/relationships/hyperlink" Target="mailto:barcyt@hotmail.com" TargetMode="External"/><Relationship Id="rId2" Type="http://schemas.openxmlformats.org/officeDocument/2006/relationships/hyperlink" Target="mailto:jeanetteD761@gmail.com" TargetMode="External"/><Relationship Id="rId16" Type="http://schemas.openxmlformats.org/officeDocument/2006/relationships/hyperlink" Target="mailto:amysalinas@comcast.net" TargetMode="External"/><Relationship Id="rId29" Type="http://schemas.openxmlformats.org/officeDocument/2006/relationships/printerSettings" Target="../printerSettings/printerSettings3.bin"/><Relationship Id="rId1" Type="http://schemas.openxmlformats.org/officeDocument/2006/relationships/hyperlink" Target="mailto:dsspero@comcast.net" TargetMode="External"/><Relationship Id="rId6" Type="http://schemas.openxmlformats.org/officeDocument/2006/relationships/hyperlink" Target="mailto:mlr94549@yahoo.com" TargetMode="External"/><Relationship Id="rId11" Type="http://schemas.openxmlformats.org/officeDocument/2006/relationships/hyperlink" Target="mailto:fziari@yahoo.com" TargetMode="External"/><Relationship Id="rId24" Type="http://schemas.openxmlformats.org/officeDocument/2006/relationships/hyperlink" Target="mailto:elmolover0904@yahoo.com" TargetMode="External"/><Relationship Id="rId32" Type="http://schemas.openxmlformats.org/officeDocument/2006/relationships/ctrlProp" Target="../ctrlProps/ctrlProp9.xml"/><Relationship Id="rId37" Type="http://schemas.openxmlformats.org/officeDocument/2006/relationships/ctrlProp" Target="../ctrlProps/ctrlProp14.xml"/><Relationship Id="rId40" Type="http://schemas.openxmlformats.org/officeDocument/2006/relationships/ctrlProp" Target="../ctrlProps/ctrlProp17.xml"/><Relationship Id="rId45" Type="http://schemas.openxmlformats.org/officeDocument/2006/relationships/ctrlProp" Target="../ctrlProps/ctrlProp22.xml"/><Relationship Id="rId5" Type="http://schemas.openxmlformats.org/officeDocument/2006/relationships/hyperlink" Target="mailto:andrew@kramerthecat.com" TargetMode="External"/><Relationship Id="rId15" Type="http://schemas.openxmlformats.org/officeDocument/2006/relationships/hyperlink" Target="mailto:eurekapanda@yahoo.com" TargetMode="External"/><Relationship Id="rId23" Type="http://schemas.openxmlformats.org/officeDocument/2006/relationships/hyperlink" Target="mailto:tdmartignoni@gmail.com" TargetMode="External"/><Relationship Id="rId28" Type="http://schemas.openxmlformats.org/officeDocument/2006/relationships/hyperlink" Target="mailto:joycieb28@gmail.com" TargetMode="External"/><Relationship Id="rId36" Type="http://schemas.openxmlformats.org/officeDocument/2006/relationships/ctrlProp" Target="../ctrlProps/ctrlProp13.xml"/><Relationship Id="rId10" Type="http://schemas.openxmlformats.org/officeDocument/2006/relationships/hyperlink" Target="mailto:rjlind@redshift.com" TargetMode="External"/><Relationship Id="rId19" Type="http://schemas.openxmlformats.org/officeDocument/2006/relationships/hyperlink" Target="mailto:chardingis@hotmail.com" TargetMode="External"/><Relationship Id="rId31" Type="http://schemas.openxmlformats.org/officeDocument/2006/relationships/vmlDrawing" Target="../drawings/vmlDrawing3.vml"/><Relationship Id="rId44" Type="http://schemas.openxmlformats.org/officeDocument/2006/relationships/ctrlProp" Target="../ctrlProps/ctrlProp21.xml"/><Relationship Id="rId4" Type="http://schemas.openxmlformats.org/officeDocument/2006/relationships/hyperlink" Target="mailto:stankatzman917@gmail.com" TargetMode="External"/><Relationship Id="rId9" Type="http://schemas.openxmlformats.org/officeDocument/2006/relationships/hyperlink" Target="mailto:numbercruncher@live.com" TargetMode="External"/><Relationship Id="rId14" Type="http://schemas.openxmlformats.org/officeDocument/2006/relationships/hyperlink" Target="mailto:dave7150@me.com" TargetMode="External"/><Relationship Id="rId22" Type="http://schemas.openxmlformats.org/officeDocument/2006/relationships/hyperlink" Target="mailto:jim.carmen71@outlook.com" TargetMode="External"/><Relationship Id="rId27" Type="http://schemas.openxmlformats.org/officeDocument/2006/relationships/hyperlink" Target="mailto:winesteward@comcast.net" TargetMode="External"/><Relationship Id="rId30" Type="http://schemas.openxmlformats.org/officeDocument/2006/relationships/drawing" Target="../drawings/drawing3.xml"/><Relationship Id="rId35" Type="http://schemas.openxmlformats.org/officeDocument/2006/relationships/ctrlProp" Target="../ctrlProps/ctrlProp12.xml"/><Relationship Id="rId43" Type="http://schemas.openxmlformats.org/officeDocument/2006/relationships/ctrlProp" Target="../ctrlProps/ctrlProp20.xml"/><Relationship Id="rId48" Type="http://schemas.openxmlformats.org/officeDocument/2006/relationships/ctrlProp" Target="../ctrlProps/ctrlProp25.xml"/><Relationship Id="rId8" Type="http://schemas.openxmlformats.org/officeDocument/2006/relationships/hyperlink" Target="mailto:bigcalfan4@hotmail.com" TargetMode="External"/><Relationship Id="rId3" Type="http://schemas.openxmlformats.org/officeDocument/2006/relationships/hyperlink" Target="mailto:fritschen57@gmail.com" TargetMode="External"/><Relationship Id="rId12" Type="http://schemas.openxmlformats.org/officeDocument/2006/relationships/hyperlink" Target="mailto:mrcribking@yahoo.com" TargetMode="External"/><Relationship Id="rId17" Type="http://schemas.openxmlformats.org/officeDocument/2006/relationships/hyperlink" Target="mailto:jross4711@gmail.com" TargetMode="External"/><Relationship Id="rId25" Type="http://schemas.openxmlformats.org/officeDocument/2006/relationships/hyperlink" Target="mailto:jim@pfpros.com" TargetMode="External"/><Relationship Id="rId33" Type="http://schemas.openxmlformats.org/officeDocument/2006/relationships/ctrlProp" Target="../ctrlProps/ctrlProp10.xml"/><Relationship Id="rId38" Type="http://schemas.openxmlformats.org/officeDocument/2006/relationships/ctrlProp" Target="../ctrlProps/ctrlProp15.xml"/><Relationship Id="rId46" Type="http://schemas.openxmlformats.org/officeDocument/2006/relationships/ctrlProp" Target="../ctrlProps/ctrlProp23.xml"/><Relationship Id="rId20" Type="http://schemas.openxmlformats.org/officeDocument/2006/relationships/hyperlink" Target="mailto:dnhharding@gmail.com" TargetMode="External"/><Relationship Id="rId41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K20"/>
  <sheetViews>
    <sheetView workbookViewId="0">
      <selection activeCell="D9" sqref="D9"/>
    </sheetView>
  </sheetViews>
  <sheetFormatPr baseColWidth="10" defaultColWidth="8.83203125" defaultRowHeight="15" x14ac:dyDescent="0.2"/>
  <cols>
    <col min="1" max="1" width="18.83203125" customWidth="1"/>
    <col min="3" max="3" width="13.5" customWidth="1"/>
    <col min="4" max="4" width="15.5" customWidth="1"/>
    <col min="6" max="6" width="18.1640625" customWidth="1"/>
    <col min="8" max="8" width="17.83203125" customWidth="1"/>
  </cols>
  <sheetData>
    <row r="1" spans="1:8" ht="20" thickBot="1" x14ac:dyDescent="0.3">
      <c r="A1" s="38" t="s">
        <v>160</v>
      </c>
      <c r="C1" s="129" t="s">
        <v>179</v>
      </c>
      <c r="D1" s="130"/>
      <c r="E1" s="131"/>
      <c r="F1" s="45"/>
      <c r="G1" s="45"/>
      <c r="H1" s="45"/>
    </row>
    <row r="2" spans="1:8" ht="16" thickBot="1" x14ac:dyDescent="0.25"/>
    <row r="3" spans="1:8" ht="17" thickBot="1" x14ac:dyDescent="0.25">
      <c r="A3" s="37" t="s">
        <v>161</v>
      </c>
      <c r="C3" s="134" t="s">
        <v>215</v>
      </c>
      <c r="D3" s="135"/>
      <c r="E3" s="135"/>
      <c r="F3" s="135"/>
      <c r="G3" s="136"/>
    </row>
    <row r="4" spans="1:8" ht="16" thickBot="1" x14ac:dyDescent="0.25"/>
    <row r="5" spans="1:8" ht="17" thickBot="1" x14ac:dyDescent="0.25">
      <c r="A5" s="37" t="s">
        <v>162</v>
      </c>
      <c r="C5" s="134" t="s">
        <v>216</v>
      </c>
      <c r="D5" s="135"/>
      <c r="E5" s="135"/>
      <c r="F5" s="135"/>
      <c r="G5" s="136"/>
    </row>
    <row r="6" spans="1:8" ht="16" thickBot="1" x14ac:dyDescent="0.25"/>
    <row r="7" spans="1:8" ht="17" thickBot="1" x14ac:dyDescent="0.25">
      <c r="A7" s="37" t="s">
        <v>163</v>
      </c>
      <c r="C7" s="134" t="s">
        <v>217</v>
      </c>
      <c r="D7" s="135"/>
      <c r="E7" s="135"/>
      <c r="F7" s="135"/>
      <c r="G7" s="136"/>
    </row>
    <row r="8" spans="1:8" ht="16" thickBot="1" x14ac:dyDescent="0.25"/>
    <row r="9" spans="1:8" ht="17" thickBot="1" x14ac:dyDescent="0.25">
      <c r="A9" s="37" t="s">
        <v>164</v>
      </c>
      <c r="C9" s="68">
        <v>45402</v>
      </c>
    </row>
    <row r="10" spans="1:8" ht="16" thickBot="1" x14ac:dyDescent="0.25"/>
    <row r="11" spans="1:8" ht="17" thickBot="1" x14ac:dyDescent="0.25">
      <c r="A11" s="37" t="s">
        <v>165</v>
      </c>
      <c r="C11" s="132" t="s">
        <v>218</v>
      </c>
      <c r="D11" s="133"/>
      <c r="E11" s="132" t="s">
        <v>219</v>
      </c>
      <c r="F11" s="133"/>
      <c r="G11" s="132" t="s">
        <v>220</v>
      </c>
      <c r="H11" s="133"/>
    </row>
    <row r="12" spans="1:8" ht="17" thickBot="1" x14ac:dyDescent="0.25">
      <c r="A12" s="37"/>
      <c r="C12" s="3"/>
      <c r="D12" s="3"/>
      <c r="E12" s="3"/>
      <c r="F12" s="3"/>
      <c r="G12" s="3"/>
      <c r="H12" s="3"/>
    </row>
    <row r="13" spans="1:8" ht="17" thickBot="1" x14ac:dyDescent="0.25">
      <c r="A13" s="37" t="s">
        <v>126</v>
      </c>
      <c r="C13" s="132" t="s">
        <v>221</v>
      </c>
      <c r="D13" s="133"/>
      <c r="E13" s="132" t="s">
        <v>222</v>
      </c>
      <c r="F13" s="133"/>
      <c r="G13" s="132" t="s">
        <v>223</v>
      </c>
      <c r="H13" s="133"/>
    </row>
    <row r="14" spans="1:8" ht="17" thickBot="1" x14ac:dyDescent="0.25">
      <c r="A14" s="37"/>
      <c r="C14" s="3"/>
      <c r="D14" s="3"/>
      <c r="E14" s="3"/>
      <c r="F14" s="3"/>
      <c r="G14" s="3"/>
      <c r="H14" s="3"/>
    </row>
    <row r="15" spans="1:8" ht="16.5" customHeight="1" thickBot="1" x14ac:dyDescent="0.25">
      <c r="A15" s="37" t="s">
        <v>166</v>
      </c>
      <c r="C15" s="132" t="s">
        <v>106</v>
      </c>
      <c r="D15" s="133"/>
      <c r="E15" s="132" t="s">
        <v>224</v>
      </c>
      <c r="F15" s="133"/>
      <c r="G15" s="132" t="s">
        <v>141</v>
      </c>
      <c r="H15" s="133"/>
    </row>
    <row r="20" spans="11:11" x14ac:dyDescent="0.2">
      <c r="K20" s="40"/>
    </row>
  </sheetData>
  <sheetProtection selectLockedCells="1"/>
  <dataConsolidate link="1"/>
  <mergeCells count="13">
    <mergeCell ref="C1:E1"/>
    <mergeCell ref="C15:D15"/>
    <mergeCell ref="E15:F15"/>
    <mergeCell ref="G15:H15"/>
    <mergeCell ref="C13:D13"/>
    <mergeCell ref="E13:F13"/>
    <mergeCell ref="G13:H13"/>
    <mergeCell ref="C3:G3"/>
    <mergeCell ref="C5:G5"/>
    <mergeCell ref="C7:G7"/>
    <mergeCell ref="C11:D11"/>
    <mergeCell ref="E11:F11"/>
    <mergeCell ref="G11:H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596900</xdr:colOff>
                    <xdr:row>5</xdr:row>
                    <xdr:rowOff>25400</xdr:rowOff>
                  </from>
                  <to>
                    <xdr:col>11</xdr:col>
                    <xdr:colOff>25400</xdr:colOff>
                    <xdr:row>7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SaveAllOfTourney">
              <controlPr defaultSize="0" print="0" autoFill="0" autoPict="0" macro="[0]!SaveEverything_Click">
                <anchor moveWithCells="1" sizeWithCells="1">
                  <from>
                    <xdr:col>12</xdr:col>
                    <xdr:colOff>38100</xdr:colOff>
                    <xdr:row>1</xdr:row>
                    <xdr:rowOff>165100</xdr:rowOff>
                  </from>
                  <to>
                    <xdr:col>14</xdr:col>
                    <xdr:colOff>76200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596900</xdr:colOff>
                    <xdr:row>1</xdr:row>
                    <xdr:rowOff>165100</xdr:rowOff>
                  </from>
                  <to>
                    <xdr:col>11</xdr:col>
                    <xdr:colOff>25400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" name="SaveEverythingAndClose">
              <controlPr defaultSize="0" print="0" autoFill="0" autoPict="0" macro="[0]!SaveAndClose_Click">
                <anchor moveWithCells="1" sizeWithCells="1">
                  <from>
                    <xdr:col>12</xdr:col>
                    <xdr:colOff>38100</xdr:colOff>
                    <xdr:row>5</xdr:row>
                    <xdr:rowOff>25400</xdr:rowOff>
                  </from>
                  <to>
                    <xdr:col>14</xdr:col>
                    <xdr:colOff>76200</xdr:colOff>
                    <xdr:row>7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ClearTourneyDetails">
              <controlPr defaultSize="0" print="0" autoFill="0" autoPict="0" macro="[0]!Sheet4.ClearTourneyDetails">
                <anchor moveWithCells="1" sizeWithCells="1">
                  <from>
                    <xdr:col>12</xdr:col>
                    <xdr:colOff>38100</xdr:colOff>
                    <xdr:row>8</xdr:row>
                    <xdr:rowOff>12700</xdr:rowOff>
                  </from>
                  <to>
                    <xdr:col>14</xdr:col>
                    <xdr:colOff>76200</xdr:colOff>
                    <xdr:row>10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zoomScaleNormal="100" workbookViewId="0">
      <selection activeCell="B25" sqref="B25"/>
    </sheetView>
  </sheetViews>
  <sheetFormatPr baseColWidth="10" defaultColWidth="8.83203125" defaultRowHeight="15" x14ac:dyDescent="0.2"/>
  <cols>
    <col min="1" max="1" width="18.6640625" customWidth="1"/>
    <col min="2" max="2" width="11.33203125" customWidth="1"/>
    <col min="3" max="6" width="11" customWidth="1"/>
    <col min="8" max="8" width="16.33203125" customWidth="1"/>
  </cols>
  <sheetData>
    <row r="1" spans="1:7" ht="20" thickBot="1" x14ac:dyDescent="0.3">
      <c r="A1" s="38" t="s">
        <v>167</v>
      </c>
    </row>
    <row r="2" spans="1:7" ht="20" thickBot="1" x14ac:dyDescent="0.3">
      <c r="C2" s="138" t="s">
        <v>179</v>
      </c>
      <c r="D2" s="139"/>
      <c r="E2" s="139"/>
      <c r="F2" s="139"/>
      <c r="G2" s="140"/>
    </row>
    <row r="3" spans="1:7" ht="19" x14ac:dyDescent="0.25">
      <c r="C3" s="44"/>
      <c r="D3" s="44"/>
      <c r="E3" s="44"/>
      <c r="F3" s="44"/>
      <c r="G3" s="44"/>
    </row>
    <row r="4" spans="1:7" x14ac:dyDescent="0.2">
      <c r="A4" s="23" t="s">
        <v>169</v>
      </c>
      <c r="B4" s="137" t="str">
        <f>Tourney!$C$3</f>
        <v>Napa Wine Country Open</v>
      </c>
      <c r="C4" s="137"/>
      <c r="D4" s="137"/>
      <c r="E4" s="137"/>
      <c r="F4" s="137"/>
    </row>
    <row r="5" spans="1:7" x14ac:dyDescent="0.2">
      <c r="A5" s="23" t="s">
        <v>181</v>
      </c>
      <c r="B5" s="142" t="str">
        <f>Tourney!$C$5</f>
        <v>The Moose Lodge</v>
      </c>
      <c r="C5" s="142"/>
      <c r="D5" s="142"/>
      <c r="E5" s="142"/>
      <c r="F5" s="142"/>
    </row>
    <row r="6" spans="1:7" x14ac:dyDescent="0.2">
      <c r="A6" s="23" t="s">
        <v>183</v>
      </c>
      <c r="B6" s="142" t="str">
        <f>Tourney!$C$7</f>
        <v>Napa, Ca, 94558</v>
      </c>
      <c r="C6" s="142"/>
      <c r="D6" s="142"/>
      <c r="E6" s="142"/>
      <c r="F6" s="142"/>
    </row>
    <row r="7" spans="1:7" x14ac:dyDescent="0.2">
      <c r="A7" s="23" t="s">
        <v>168</v>
      </c>
      <c r="B7" s="56">
        <f>Tourney!$C$9</f>
        <v>45402</v>
      </c>
      <c r="C7" s="3"/>
      <c r="D7" s="3"/>
      <c r="E7" s="3"/>
      <c r="F7" s="3"/>
    </row>
    <row r="9" spans="1:7" ht="16" thickBot="1" x14ac:dyDescent="0.25">
      <c r="A9" s="23"/>
      <c r="B9" s="46"/>
    </row>
    <row r="10" spans="1:7" ht="16" thickBot="1" x14ac:dyDescent="0.25">
      <c r="A10" s="23" t="s">
        <v>182</v>
      </c>
      <c r="B10" s="70">
        <v>3</v>
      </c>
      <c r="C10" s="23" t="s">
        <v>176</v>
      </c>
      <c r="D10" s="70">
        <v>70</v>
      </c>
    </row>
    <row r="11" spans="1:7" ht="16" thickBot="1" x14ac:dyDescent="0.25"/>
    <row r="12" spans="1:7" ht="16" thickBot="1" x14ac:dyDescent="0.25">
      <c r="A12" s="23" t="s">
        <v>174</v>
      </c>
      <c r="B12" s="48">
        <v>14</v>
      </c>
    </row>
    <row r="13" spans="1:7" ht="16" thickBot="1" x14ac:dyDescent="0.25"/>
    <row r="14" spans="1:7" ht="16" thickBot="1" x14ac:dyDescent="0.25">
      <c r="A14" s="23" t="s">
        <v>170</v>
      </c>
      <c r="B14" s="48">
        <v>1</v>
      </c>
    </row>
    <row r="15" spans="1:7" x14ac:dyDescent="0.2">
      <c r="C15" s="141" t="s">
        <v>180</v>
      </c>
      <c r="D15" s="141"/>
      <c r="E15" s="141"/>
      <c r="F15" s="141"/>
    </row>
    <row r="16" spans="1:7" ht="20" thickBot="1" x14ac:dyDescent="0.3">
      <c r="A16" s="23" t="s">
        <v>171</v>
      </c>
      <c r="B16" s="23"/>
      <c r="C16" s="60">
        <v>1</v>
      </c>
      <c r="D16" s="60">
        <v>2</v>
      </c>
      <c r="E16" s="60">
        <v>3</v>
      </c>
      <c r="F16" s="60">
        <v>4</v>
      </c>
    </row>
    <row r="17" spans="1:8" ht="16" thickBot="1" x14ac:dyDescent="0.25">
      <c r="B17" s="42" t="s">
        <v>175</v>
      </c>
      <c r="C17" s="49">
        <v>1</v>
      </c>
      <c r="D17" s="49">
        <v>2</v>
      </c>
      <c r="E17" s="49">
        <v>2</v>
      </c>
      <c r="F17" s="49">
        <v>2</v>
      </c>
      <c r="H17" s="43" t="s">
        <v>177</v>
      </c>
    </row>
    <row r="18" spans="1:8" ht="16" thickBot="1" x14ac:dyDescent="0.25">
      <c r="B18" s="42" t="s">
        <v>176</v>
      </c>
      <c r="C18" s="69">
        <v>10</v>
      </c>
      <c r="D18" s="69">
        <v>10</v>
      </c>
      <c r="E18" s="69">
        <v>20</v>
      </c>
      <c r="F18" s="69">
        <v>50</v>
      </c>
      <c r="H18" s="43" t="s">
        <v>178</v>
      </c>
    </row>
    <row r="21" spans="1:8" x14ac:dyDescent="0.2">
      <c r="A21" s="47" t="s">
        <v>186</v>
      </c>
    </row>
    <row r="22" spans="1:8" ht="16" thickBot="1" x14ac:dyDescent="0.25"/>
    <row r="23" spans="1:8" ht="16" thickBot="1" x14ac:dyDescent="0.25">
      <c r="A23" s="23" t="s">
        <v>184</v>
      </c>
      <c r="B23" s="71">
        <v>5</v>
      </c>
      <c r="D23" t="s">
        <v>189</v>
      </c>
    </row>
    <row r="24" spans="1:8" ht="16" thickBot="1" x14ac:dyDescent="0.25">
      <c r="D24" t="s">
        <v>187</v>
      </c>
    </row>
    <row r="25" spans="1:8" ht="16" thickBot="1" x14ac:dyDescent="0.25">
      <c r="A25" s="23" t="s">
        <v>185</v>
      </c>
      <c r="B25" s="48"/>
      <c r="D25" t="s">
        <v>188</v>
      </c>
    </row>
  </sheetData>
  <sheetProtection sheet="1" objects="1" scenarios="1" selectLockedCells="1"/>
  <mergeCells count="5">
    <mergeCell ref="B4:F4"/>
    <mergeCell ref="C2:G2"/>
    <mergeCell ref="C15:F15"/>
    <mergeCell ref="B5:F5"/>
    <mergeCell ref="B6:F6"/>
  </mergeCells>
  <dataValidations count="2">
    <dataValidation type="list" allowBlank="1" showInputMessage="1" showErrorMessage="1" sqref="D18:F18 C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"0,1,2"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MainTourneySetUp">
              <controlPr defaultSize="0" print="0" autoFill="0" autoPict="0" macro="[0]!Sheet5.MainTourneySetUp_Click">
                <anchor moveWithCells="1" sizeWithCells="1">
                  <from>
                    <xdr:col>7</xdr:col>
                    <xdr:colOff>25400</xdr:colOff>
                    <xdr:row>3</xdr:row>
                    <xdr:rowOff>12700</xdr:rowOff>
                  </from>
                  <to>
                    <xdr:col>7</xdr:col>
                    <xdr:colOff>977900</xdr:colOff>
                    <xdr:row>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Sheet5.ValidateMainTourneyPools_Click">
                <anchor moveWithCells="1" sizeWithCells="1">
                  <from>
                    <xdr:col>7</xdr:col>
                    <xdr:colOff>25400</xdr:colOff>
                    <xdr:row>6</xdr:row>
                    <xdr:rowOff>88900</xdr:rowOff>
                  </from>
                  <to>
                    <xdr:col>7</xdr:col>
                    <xdr:colOff>977900</xdr:colOff>
                    <xdr:row>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Sheet5.ClearMainPoolSetUp_Click">
                <anchor moveWithCells="1" sizeWithCells="1">
                  <from>
                    <xdr:col>7</xdr:col>
                    <xdr:colOff>25400</xdr:colOff>
                    <xdr:row>9</xdr:row>
                    <xdr:rowOff>165100</xdr:rowOff>
                  </from>
                  <to>
                    <xdr:col>7</xdr:col>
                    <xdr:colOff>977900</xdr:colOff>
                    <xdr:row>11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pageSetUpPr fitToPage="1"/>
  </sheetPr>
  <dimension ref="A1:Z75"/>
  <sheetViews>
    <sheetView tabSelected="1" zoomScaleNormal="100" workbookViewId="0">
      <pane xSplit="1" ySplit="11" topLeftCell="B12" activePane="bottomRight" state="frozen"/>
      <selection pane="topRight" activeCell="B1" sqref="B1"/>
      <selection pane="bottomLeft" activeCell="A2" sqref="A2"/>
      <selection pane="bottomRight" activeCell="A31" sqref="A31:XFD31"/>
    </sheetView>
  </sheetViews>
  <sheetFormatPr baseColWidth="10" defaultColWidth="9.1640625" defaultRowHeight="15" x14ac:dyDescent="0.2"/>
  <cols>
    <col min="1" max="1" width="5.33203125" style="7" customWidth="1"/>
    <col min="2" max="2" width="8.5" style="7" customWidth="1"/>
    <col min="3" max="3" width="24.33203125" style="7" customWidth="1"/>
    <col min="4" max="4" width="22.1640625" style="7" customWidth="1"/>
    <col min="5" max="5" width="9.83203125" style="26" customWidth="1"/>
    <col min="6" max="6" width="15.5" style="26" customWidth="1"/>
    <col min="7" max="7" width="33.1640625" style="26" customWidth="1"/>
    <col min="8" max="8" width="6.5" style="7" customWidth="1"/>
    <col min="9" max="9" width="7.6640625" style="7" customWidth="1"/>
    <col min="10" max="10" width="8.6640625" style="7" customWidth="1"/>
    <col min="11" max="11" width="7" style="7" customWidth="1"/>
    <col min="12" max="12" width="6.5" style="7" customWidth="1"/>
    <col min="13" max="13" width="8.1640625" style="7" customWidth="1"/>
    <col min="14" max="14" width="11.1640625" style="7" customWidth="1"/>
    <col min="15" max="15" width="11.5" style="7" customWidth="1"/>
    <col min="16" max="16" width="8.1640625" style="8" customWidth="1"/>
    <col min="17" max="17" width="7.1640625" style="9" customWidth="1"/>
    <col min="18" max="18" width="12.33203125" style="7" customWidth="1"/>
    <col min="19" max="19" width="12.33203125" style="9" customWidth="1"/>
    <col min="20" max="20" width="12.33203125" style="20" customWidth="1"/>
    <col min="21" max="21" width="9.33203125" style="20" customWidth="1"/>
    <col min="22" max="22" width="17.5" style="20" customWidth="1"/>
    <col min="23" max="23" width="30.5" style="7" customWidth="1"/>
    <col min="24" max="25" width="9.1640625" style="7" customWidth="1"/>
    <col min="26" max="16384" width="9.1640625" style="7"/>
  </cols>
  <sheetData>
    <row r="1" spans="1:25" ht="17.25" customHeight="1" x14ac:dyDescent="0.25">
      <c r="A1" s="39" t="s">
        <v>156</v>
      </c>
      <c r="D1" s="8"/>
      <c r="L1" s="27"/>
    </row>
    <row r="2" spans="1:25" ht="16.5" customHeight="1" x14ac:dyDescent="0.2">
      <c r="A2" s="6"/>
      <c r="D2" s="8"/>
      <c r="H2" s="8" t="s">
        <v>161</v>
      </c>
      <c r="I2" s="8"/>
      <c r="K2" s="143" t="str">
        <f>Tourney!$C$3</f>
        <v>Napa Wine Country Open</v>
      </c>
      <c r="L2" s="143"/>
      <c r="M2" s="143"/>
      <c r="N2" s="143"/>
    </row>
    <row r="3" spans="1:25" ht="16.5" customHeight="1" x14ac:dyDescent="0.2">
      <c r="A3" s="61" t="s">
        <v>155</v>
      </c>
      <c r="B3"/>
      <c r="C3"/>
      <c r="H3" s="8" t="s">
        <v>173</v>
      </c>
      <c r="I3" s="8"/>
      <c r="K3" s="143" t="str">
        <f>Tourney!$C$5</f>
        <v>The Moose Lodge</v>
      </c>
      <c r="L3" s="143"/>
      <c r="M3" s="143"/>
      <c r="N3" s="143"/>
    </row>
    <row r="4" spans="1:25" ht="16.5" customHeight="1" x14ac:dyDescent="0.2">
      <c r="A4" s="6"/>
      <c r="H4" s="8" t="s">
        <v>172</v>
      </c>
      <c r="I4" s="8"/>
      <c r="K4" s="143" t="str">
        <f>Tourney!$C$7</f>
        <v>Napa, Ca, 94558</v>
      </c>
      <c r="L4" s="143"/>
      <c r="M4" s="143"/>
      <c r="N4" s="143"/>
    </row>
    <row r="5" spans="1:25" ht="16.5" customHeight="1" x14ac:dyDescent="0.2">
      <c r="A5" s="6"/>
      <c r="H5" s="8" t="s">
        <v>164</v>
      </c>
      <c r="I5" s="8"/>
      <c r="K5" s="144">
        <f>Tourney!$C$9</f>
        <v>45402</v>
      </c>
      <c r="L5" s="144"/>
    </row>
    <row r="6" spans="1:25" x14ac:dyDescent="0.2">
      <c r="Q6" s="10"/>
      <c r="U6" s="28"/>
      <c r="V6" s="28"/>
    </row>
    <row r="7" spans="1:25" ht="15.75" customHeight="1" x14ac:dyDescent="0.2">
      <c r="C7" s="8"/>
      <c r="D7" s="8"/>
      <c r="H7" s="59"/>
      <c r="J7" s="58" t="s">
        <v>192</v>
      </c>
      <c r="Q7" s="10"/>
      <c r="U7" s="28"/>
      <c r="V7" s="28"/>
    </row>
    <row r="8" spans="1:25" ht="15.75" customHeight="1" x14ac:dyDescent="0.2">
      <c r="C8" s="8"/>
      <c r="D8" s="8"/>
      <c r="J8" s="57" t="s">
        <v>193</v>
      </c>
      <c r="Q8" s="10"/>
      <c r="U8" s="28"/>
      <c r="V8" s="28"/>
    </row>
    <row r="9" spans="1:25" ht="15.75" customHeight="1" x14ac:dyDescent="0.2">
      <c r="C9" s="8"/>
      <c r="D9" s="8"/>
      <c r="N9" s="52"/>
      <c r="Q9" s="10"/>
      <c r="U9" s="28"/>
      <c r="V9" s="28"/>
    </row>
    <row r="10" spans="1:25" ht="15.75" customHeight="1" x14ac:dyDescent="0.2">
      <c r="A10" s="50"/>
      <c r="B10" s="51">
        <f>COUNTIF(B12:B73,"&lt;&gt;" &amp; "")</f>
        <v>62</v>
      </c>
      <c r="C10" s="36"/>
      <c r="D10" s="36"/>
      <c r="H10" s="51">
        <f t="shared" ref="H10:N10" si="0">COUNTIF(H12:H73,"&lt;&gt;" &amp; "")</f>
        <v>51</v>
      </c>
      <c r="I10" s="51">
        <f t="shared" si="0"/>
        <v>33</v>
      </c>
      <c r="J10" s="51">
        <f t="shared" si="0"/>
        <v>37</v>
      </c>
      <c r="K10" s="51">
        <f t="shared" si="0"/>
        <v>17</v>
      </c>
      <c r="L10" s="51">
        <f t="shared" si="0"/>
        <v>14</v>
      </c>
      <c r="M10" s="51">
        <f t="shared" si="0"/>
        <v>3</v>
      </c>
      <c r="N10" s="51">
        <f t="shared" si="0"/>
        <v>10</v>
      </c>
      <c r="O10" s="72">
        <f>SUM(O12:O73)</f>
        <v>920</v>
      </c>
      <c r="P10" s="25"/>
      <c r="Q10" s="10"/>
      <c r="R10" s="11">
        <f>SUM(R12:R73)</f>
        <v>4870</v>
      </c>
      <c r="S10" s="11">
        <f>SUM(S12:S73)</f>
        <v>1900</v>
      </c>
      <c r="T10" s="11">
        <f>SUM(T12:T73)</f>
        <v>6770</v>
      </c>
      <c r="U10" s="51">
        <f>COUNTIF(U12:U73,"&lt;&gt;" &amp; "")</f>
        <v>4</v>
      </c>
      <c r="V10" s="25"/>
      <c r="X10" s="31"/>
      <c r="Y10" s="32"/>
    </row>
    <row r="11" spans="1:25" ht="32" x14ac:dyDescent="0.2">
      <c r="A11" s="34"/>
      <c r="B11" s="12" t="s">
        <v>157</v>
      </c>
      <c r="C11" s="14" t="s">
        <v>0</v>
      </c>
      <c r="D11" s="15" t="s">
        <v>1</v>
      </c>
      <c r="E11" s="16" t="s">
        <v>2</v>
      </c>
      <c r="F11" s="73" t="s">
        <v>126</v>
      </c>
      <c r="G11" s="30" t="s">
        <v>127</v>
      </c>
      <c r="H11" s="13" t="str">
        <f>IF([0]!FMainPool1Type=1,"Equal Pool",IF([0]!FMainPool1Type=2,"!:6 Grad",""))</f>
        <v>Equal Pool</v>
      </c>
      <c r="I11" s="13" t="str">
        <f>IF([0]!FMainPool2type=1,"Equal Pool", IF([0]!FMainPool2type=2,"1:6 Grad",""))</f>
        <v>1:6 Grad</v>
      </c>
      <c r="J11" s="13" t="str">
        <f>IF([0]!FMainPool3Type=1,"Equal Pool",IF([0]!FMainPool3Type=2,"!:6 Grad",""))</f>
        <v>!:6 Grad</v>
      </c>
      <c r="K11" s="13" t="str">
        <f>IF([0]!FMainPool4Type=1,"Equal Pool",IF([0]!FMainPool4Type=2,"!:6 Grad",""))</f>
        <v>!:6 Grad</v>
      </c>
      <c r="L11" s="13" t="s">
        <v>3</v>
      </c>
      <c r="M11" s="13" t="s">
        <v>159</v>
      </c>
      <c r="N11" s="13" t="s">
        <v>4</v>
      </c>
      <c r="O11" s="17" t="s">
        <v>190</v>
      </c>
      <c r="P11" s="18" t="s">
        <v>10</v>
      </c>
      <c r="Q11" s="18" t="s">
        <v>158</v>
      </c>
      <c r="R11" s="19" t="s">
        <v>33</v>
      </c>
      <c r="S11" s="19" t="s">
        <v>34</v>
      </c>
      <c r="T11" s="22" t="s">
        <v>191</v>
      </c>
      <c r="U11" s="41" t="s">
        <v>99</v>
      </c>
      <c r="V11" s="74" t="s">
        <v>249</v>
      </c>
      <c r="W11" s="8"/>
      <c r="X11" s="21"/>
      <c r="Y11" s="33"/>
    </row>
    <row r="12" spans="1:25" ht="15" customHeight="1" x14ac:dyDescent="0.2">
      <c r="A12" s="75">
        <f t="shared" ref="A12:A32" si="1">ROW() - ROW(FRegentiresEneteredHdr)</f>
        <v>1</v>
      </c>
      <c r="B12" s="76">
        <v>1</v>
      </c>
      <c r="C12" s="4" t="s">
        <v>264</v>
      </c>
      <c r="D12" s="4"/>
      <c r="E12" s="5" t="s">
        <v>93</v>
      </c>
      <c r="F12" s="77"/>
      <c r="G12" s="78"/>
      <c r="H12" s="79">
        <v>1</v>
      </c>
      <c r="I12" s="76"/>
      <c r="J12" s="76">
        <v>1</v>
      </c>
      <c r="K12" s="76"/>
      <c r="L12" s="76"/>
      <c r="M12" s="76"/>
      <c r="N12" s="76"/>
      <c r="O12" s="80">
        <f t="shared" ref="O12:O17" si="2">T12*N12</f>
        <v>0</v>
      </c>
      <c r="P12" s="76" t="s">
        <v>225</v>
      </c>
      <c r="Q12" s="76">
        <v>909</v>
      </c>
      <c r="R12" s="81">
        <f t="shared" ref="R12:R32" si="3">IF(OR(P12="c",P12="C"),+T12,"")</f>
        <v>100</v>
      </c>
      <c r="S12" s="81" t="str">
        <f t="shared" ref="S12:S17" si="4">IF(OR(P12="$",N12=1),+T12,"")</f>
        <v/>
      </c>
      <c r="T12" s="82">
        <f>H12*[0]!FMainPool1Fee+I12*[0]!FMainPool2Fee+J12*[0]!FMainPool3Fee+K12*[0]!FMainPool4Fee+B12*[0]!FMainEntryFee</f>
        <v>100</v>
      </c>
      <c r="U12" s="83"/>
      <c r="V12" s="84"/>
      <c r="X12" s="85"/>
      <c r="Y12" s="85"/>
    </row>
    <row r="13" spans="1:25" ht="15" customHeight="1" x14ac:dyDescent="0.2">
      <c r="A13" s="75">
        <f t="shared" si="1"/>
        <v>2</v>
      </c>
      <c r="B13" s="76">
        <v>1</v>
      </c>
      <c r="C13" s="4" t="s">
        <v>263</v>
      </c>
      <c r="D13" s="4" t="s">
        <v>36</v>
      </c>
      <c r="E13" s="5" t="s">
        <v>265</v>
      </c>
      <c r="F13" s="77">
        <v>9169894301</v>
      </c>
      <c r="G13" s="78" t="s">
        <v>262</v>
      </c>
      <c r="H13" s="79">
        <v>1</v>
      </c>
      <c r="I13" s="76"/>
      <c r="J13" s="76">
        <v>1</v>
      </c>
      <c r="K13" s="76"/>
      <c r="L13" s="76"/>
      <c r="M13" s="76"/>
      <c r="N13" s="76"/>
      <c r="O13" s="80">
        <f t="shared" si="2"/>
        <v>0</v>
      </c>
      <c r="P13" s="76" t="s">
        <v>225</v>
      </c>
      <c r="Q13" s="76">
        <v>909</v>
      </c>
      <c r="R13" s="81">
        <f t="shared" si="3"/>
        <v>100</v>
      </c>
      <c r="S13" s="81" t="str">
        <f t="shared" si="4"/>
        <v/>
      </c>
      <c r="T13" s="82">
        <f>H13*[0]!FMainPool1Fee+I13*[0]!FMainPool2Fee+J13*[0]!FMainPool3Fee+K13*[0]!FMainPool4Fee+B13*[0]!FMainEntryFee</f>
        <v>100</v>
      </c>
      <c r="U13" s="83"/>
      <c r="V13" s="84"/>
      <c r="X13" s="85"/>
      <c r="Y13" s="85"/>
    </row>
    <row r="14" spans="1:25" ht="15" customHeight="1" x14ac:dyDescent="0.2">
      <c r="A14" s="75">
        <f t="shared" si="1"/>
        <v>3</v>
      </c>
      <c r="B14" s="76">
        <v>1</v>
      </c>
      <c r="C14" s="1" t="s">
        <v>15</v>
      </c>
      <c r="D14" s="1" t="s">
        <v>16</v>
      </c>
      <c r="E14" s="2" t="s">
        <v>72</v>
      </c>
      <c r="F14" s="127" t="s">
        <v>151</v>
      </c>
      <c r="G14" s="86" t="s">
        <v>152</v>
      </c>
      <c r="H14" s="79">
        <v>1</v>
      </c>
      <c r="I14" s="76"/>
      <c r="J14" s="76"/>
      <c r="K14" s="76"/>
      <c r="L14" s="76"/>
      <c r="M14" s="76"/>
      <c r="N14" s="76">
        <v>1</v>
      </c>
      <c r="O14" s="80">
        <f t="shared" si="2"/>
        <v>80</v>
      </c>
      <c r="P14" s="76" t="s">
        <v>230</v>
      </c>
      <c r="Q14" s="76"/>
      <c r="R14" s="81" t="str">
        <f t="shared" si="3"/>
        <v/>
      </c>
      <c r="S14" s="81">
        <f t="shared" si="4"/>
        <v>80</v>
      </c>
      <c r="T14" s="82">
        <f>H14*[0]!FMainPool1Fee+I14*[0]!FMainPool2Fee+J14*[0]!FMainPool3Fee+K14*[0]!FMainPool4Fee+B14*[0]!FMainEntryFee</f>
        <v>80</v>
      </c>
      <c r="U14" s="83"/>
      <c r="V14" s="87"/>
      <c r="X14" s="88"/>
      <c r="Y14" s="88"/>
    </row>
    <row r="15" spans="1:25" ht="15" customHeight="1" x14ac:dyDescent="0.2">
      <c r="A15" s="75">
        <f t="shared" si="1"/>
        <v>4</v>
      </c>
      <c r="B15" s="76">
        <v>1</v>
      </c>
      <c r="C15" s="4" t="s">
        <v>100</v>
      </c>
      <c r="D15" s="4" t="s">
        <v>101</v>
      </c>
      <c r="E15" s="5" t="s">
        <v>243</v>
      </c>
      <c r="F15" s="77">
        <v>4087325550</v>
      </c>
      <c r="G15" s="86" t="s">
        <v>102</v>
      </c>
      <c r="H15" s="79">
        <v>1</v>
      </c>
      <c r="I15" s="76">
        <v>1</v>
      </c>
      <c r="J15" s="76">
        <v>1</v>
      </c>
      <c r="K15" s="76">
        <v>1</v>
      </c>
      <c r="L15" s="76">
        <v>1</v>
      </c>
      <c r="M15" s="76"/>
      <c r="N15" s="76"/>
      <c r="O15" s="80">
        <f t="shared" si="2"/>
        <v>0</v>
      </c>
      <c r="P15" s="76" t="s">
        <v>225</v>
      </c>
      <c r="Q15" s="76">
        <v>1015</v>
      </c>
      <c r="R15" s="81">
        <f t="shared" si="3"/>
        <v>160</v>
      </c>
      <c r="S15" s="81" t="str">
        <f t="shared" si="4"/>
        <v/>
      </c>
      <c r="T15" s="82">
        <f>H15*[0]!FMainPool1Fee+I15*[0]!FMainPool2Fee+J15*[0]!FMainPool3Fee+K15*[0]!FMainPool4Fee+B15*[0]!FMainEntryFee</f>
        <v>160</v>
      </c>
      <c r="U15" s="83"/>
      <c r="V15" s="95"/>
      <c r="W15" s="89"/>
      <c r="X15" s="88"/>
      <c r="Y15" s="88"/>
    </row>
    <row r="16" spans="1:25" ht="15" customHeight="1" x14ac:dyDescent="0.2">
      <c r="A16" s="75">
        <f t="shared" si="1"/>
        <v>5</v>
      </c>
      <c r="B16" s="76">
        <v>1</v>
      </c>
      <c r="C16" s="4" t="s">
        <v>89</v>
      </c>
      <c r="D16" s="4" t="s">
        <v>8</v>
      </c>
      <c r="E16" s="5" t="s">
        <v>90</v>
      </c>
      <c r="F16" s="77">
        <v>9162036636</v>
      </c>
      <c r="G16" s="86" t="s">
        <v>91</v>
      </c>
      <c r="H16" s="79">
        <v>1</v>
      </c>
      <c r="I16" s="76">
        <v>1</v>
      </c>
      <c r="J16" s="76">
        <v>1</v>
      </c>
      <c r="K16" s="76">
        <v>1</v>
      </c>
      <c r="L16" s="76"/>
      <c r="M16" s="76"/>
      <c r="N16" s="76"/>
      <c r="O16" s="80">
        <f t="shared" si="2"/>
        <v>0</v>
      </c>
      <c r="P16" s="76" t="s">
        <v>225</v>
      </c>
      <c r="Q16" s="76">
        <v>3403</v>
      </c>
      <c r="R16" s="81">
        <f t="shared" si="3"/>
        <v>160</v>
      </c>
      <c r="S16" s="81" t="str">
        <f t="shared" si="4"/>
        <v/>
      </c>
      <c r="T16" s="82">
        <f>H16*[0]!FMainPool1Fee+I16*[0]!FMainPool2Fee+J16*[0]!FMainPool3Fee+K16*[0]!FMainPool4Fee+B16*[0]!FMainEntryFee</f>
        <v>160</v>
      </c>
      <c r="U16" s="83"/>
      <c r="V16" s="84"/>
      <c r="W16"/>
      <c r="X16" s="88"/>
      <c r="Y16" s="88"/>
    </row>
    <row r="17" spans="1:26" ht="15" customHeight="1" x14ac:dyDescent="0.2">
      <c r="A17" s="75">
        <f t="shared" si="1"/>
        <v>6</v>
      </c>
      <c r="B17" s="76">
        <v>1</v>
      </c>
      <c r="C17" s="53" t="s">
        <v>195</v>
      </c>
      <c r="D17" s="53" t="s">
        <v>41</v>
      </c>
      <c r="E17" s="67" t="s">
        <v>196</v>
      </c>
      <c r="F17" s="95">
        <v>5305666454</v>
      </c>
      <c r="G17" s="98" t="s">
        <v>273</v>
      </c>
      <c r="H17" s="79">
        <v>1</v>
      </c>
      <c r="I17" s="76"/>
      <c r="J17" s="76"/>
      <c r="K17" s="76"/>
      <c r="L17" s="76">
        <v>1</v>
      </c>
      <c r="M17" s="76"/>
      <c r="N17" s="76"/>
      <c r="O17" s="80">
        <f t="shared" si="2"/>
        <v>0</v>
      </c>
      <c r="P17" s="76" t="s">
        <v>225</v>
      </c>
      <c r="Q17" s="99" t="s">
        <v>274</v>
      </c>
      <c r="R17" s="81">
        <f t="shared" si="3"/>
        <v>80</v>
      </c>
      <c r="S17" s="81" t="str">
        <f t="shared" si="4"/>
        <v/>
      </c>
      <c r="T17" s="82">
        <f>H17*[0]!FMainPool1Fee+I17*[0]!FMainPool2Fee+J17*[0]!FMainPool3Fee+K17*[0]!FMainPool4Fee+B17*[0]!FMainEntryFee</f>
        <v>80</v>
      </c>
      <c r="U17" s="83"/>
      <c r="V17" s="95"/>
      <c r="X17" s="88"/>
      <c r="Y17" s="88"/>
      <c r="Z17" s="97"/>
    </row>
    <row r="18" spans="1:26" ht="15" customHeight="1" x14ac:dyDescent="0.2">
      <c r="A18" s="75">
        <f t="shared" si="1"/>
        <v>7</v>
      </c>
      <c r="B18" s="76">
        <v>1</v>
      </c>
      <c r="C18" s="1" t="s">
        <v>237</v>
      </c>
      <c r="D18" s="1" t="s">
        <v>22</v>
      </c>
      <c r="E18" s="2" t="s">
        <v>238</v>
      </c>
      <c r="F18" s="100">
        <v>7075994896</v>
      </c>
      <c r="G18" s="98" t="s">
        <v>239</v>
      </c>
      <c r="H18" s="79">
        <v>1</v>
      </c>
      <c r="I18" s="76">
        <v>1</v>
      </c>
      <c r="J18" s="76">
        <v>1</v>
      </c>
      <c r="K18" s="76"/>
      <c r="L18" s="76">
        <v>1</v>
      </c>
      <c r="M18" s="76"/>
      <c r="N18" s="76"/>
      <c r="O18" s="80"/>
      <c r="P18" s="76" t="s">
        <v>230</v>
      </c>
      <c r="Q18" s="76"/>
      <c r="R18" s="81" t="str">
        <f t="shared" si="3"/>
        <v/>
      </c>
      <c r="S18" s="81">
        <v>110</v>
      </c>
      <c r="T18" s="82">
        <f>H18*[0]!FMainPool1Fee+I18*[0]!FMainPool2Fee+J18*[0]!FMainPool3Fee+K18*[0]!FMainPool4Fee+B18*[0]!FMainEntryFee</f>
        <v>110</v>
      </c>
      <c r="U18" s="83"/>
      <c r="V18" s="84" t="s">
        <v>250</v>
      </c>
      <c r="X18" s="88"/>
      <c r="Y18" s="88"/>
    </row>
    <row r="19" spans="1:26" ht="15" customHeight="1" x14ac:dyDescent="0.2">
      <c r="A19" s="75">
        <f t="shared" si="1"/>
        <v>8</v>
      </c>
      <c r="B19" s="76">
        <v>1</v>
      </c>
      <c r="C19" s="4" t="s">
        <v>270</v>
      </c>
      <c r="D19" s="4" t="s">
        <v>24</v>
      </c>
      <c r="E19" s="5" t="s">
        <v>271</v>
      </c>
      <c r="F19" s="77">
        <v>9254322030</v>
      </c>
      <c r="G19" s="86" t="s">
        <v>133</v>
      </c>
      <c r="H19" s="79">
        <v>1</v>
      </c>
      <c r="I19" s="76">
        <v>1</v>
      </c>
      <c r="J19" s="76">
        <v>1</v>
      </c>
      <c r="K19" s="76">
        <v>1</v>
      </c>
      <c r="L19" s="76"/>
      <c r="M19" s="76">
        <v>1</v>
      </c>
      <c r="N19" s="76"/>
      <c r="O19" s="80">
        <f>T19*N19</f>
        <v>0</v>
      </c>
      <c r="P19" s="76" t="s">
        <v>225</v>
      </c>
      <c r="Q19" s="76">
        <v>4818</v>
      </c>
      <c r="R19" s="81">
        <f t="shared" si="3"/>
        <v>160</v>
      </c>
      <c r="S19" s="81" t="str">
        <f t="shared" ref="S19:S32" si="5">IF(OR(P19="$",N19=1),+T19,"")</f>
        <v/>
      </c>
      <c r="T19" s="82">
        <f>H19*[0]!FMainPool1Fee+I19*[0]!FMainPool2Fee+J19*[0]!FMainPool3Fee+K19*[0]!FMainPool4Fee+B19*[0]!FMainEntryFee</f>
        <v>160</v>
      </c>
      <c r="U19" s="83"/>
      <c r="V19" s="84"/>
      <c r="X19" s="88"/>
      <c r="Y19" s="88"/>
      <c r="Z19" s="97"/>
    </row>
    <row r="20" spans="1:26" ht="15" customHeight="1" x14ac:dyDescent="0.2">
      <c r="A20" s="75">
        <f t="shared" si="1"/>
        <v>9</v>
      </c>
      <c r="B20" s="76">
        <v>1</v>
      </c>
      <c r="C20" s="1" t="s">
        <v>29</v>
      </c>
      <c r="D20" s="1" t="s">
        <v>9</v>
      </c>
      <c r="E20" s="2" t="s">
        <v>73</v>
      </c>
      <c r="F20" s="96">
        <v>9705539123</v>
      </c>
      <c r="G20" s="86" t="s">
        <v>133</v>
      </c>
      <c r="H20" s="79">
        <v>1</v>
      </c>
      <c r="I20" s="76"/>
      <c r="J20" s="76"/>
      <c r="K20" s="76"/>
      <c r="L20" s="76">
        <v>1</v>
      </c>
      <c r="M20" s="76"/>
      <c r="N20" s="76"/>
      <c r="O20" s="80">
        <f>T20*N20</f>
        <v>0</v>
      </c>
      <c r="P20" s="76" t="s">
        <v>225</v>
      </c>
      <c r="Q20" s="76">
        <v>171</v>
      </c>
      <c r="R20" s="81">
        <f t="shared" si="3"/>
        <v>80</v>
      </c>
      <c r="S20" s="81" t="str">
        <f t="shared" si="5"/>
        <v/>
      </c>
      <c r="T20" s="82">
        <f>H20*[0]!FMainPool1Fee+I20*[0]!FMainPool2Fee+J20*[0]!FMainPool3Fee+K20*[0]!FMainPool4Fee+B20*[0]!FMainEntryFee</f>
        <v>80</v>
      </c>
      <c r="U20" s="83"/>
      <c r="V20" s="95"/>
      <c r="X20" s="88"/>
      <c r="Y20" s="88"/>
    </row>
    <row r="21" spans="1:26" ht="15" customHeight="1" x14ac:dyDescent="0.2">
      <c r="A21" s="75">
        <f t="shared" si="1"/>
        <v>10</v>
      </c>
      <c r="B21" s="76">
        <v>1</v>
      </c>
      <c r="C21" s="92" t="s">
        <v>197</v>
      </c>
      <c r="D21" s="92" t="s">
        <v>5</v>
      </c>
      <c r="E21" s="87" t="s">
        <v>198</v>
      </c>
      <c r="F21" s="93">
        <v>7079744711</v>
      </c>
      <c r="G21" s="98" t="s">
        <v>199</v>
      </c>
      <c r="H21" s="79"/>
      <c r="I21" s="76"/>
      <c r="J21" s="76"/>
      <c r="K21" s="76"/>
      <c r="L21" s="76"/>
      <c r="M21" s="76"/>
      <c r="N21" s="76"/>
      <c r="O21" s="80">
        <f>T21*N21</f>
        <v>0</v>
      </c>
      <c r="P21" s="76" t="s">
        <v>225</v>
      </c>
      <c r="Q21" s="76">
        <v>1075</v>
      </c>
      <c r="R21" s="81">
        <f t="shared" si="3"/>
        <v>70</v>
      </c>
      <c r="S21" s="81" t="str">
        <f t="shared" si="5"/>
        <v/>
      </c>
      <c r="T21" s="82">
        <f>H21*[0]!FMainPool1Fee+I21*[0]!FMainPool2Fee+J21*[0]!FMainPool3Fee+K21*[0]!FMainPool4Fee+B21*[0]!FMainEntryFee</f>
        <v>70</v>
      </c>
      <c r="U21" s="83"/>
      <c r="V21" s="95"/>
      <c r="X21" s="88"/>
      <c r="Y21" s="88"/>
    </row>
    <row r="22" spans="1:26" ht="15" customHeight="1" x14ac:dyDescent="0.2">
      <c r="A22" s="75">
        <f t="shared" si="1"/>
        <v>11</v>
      </c>
      <c r="B22" s="76">
        <v>1</v>
      </c>
      <c r="C22" s="92" t="s">
        <v>247</v>
      </c>
      <c r="D22" s="92" t="s">
        <v>22</v>
      </c>
      <c r="E22" s="87" t="s">
        <v>248</v>
      </c>
      <c r="F22" s="93">
        <v>7075027980</v>
      </c>
      <c r="G22" s="98" t="s">
        <v>259</v>
      </c>
      <c r="H22" s="79">
        <v>1</v>
      </c>
      <c r="I22" s="76">
        <v>1</v>
      </c>
      <c r="J22" s="76">
        <v>1</v>
      </c>
      <c r="K22" s="76"/>
      <c r="L22" s="76"/>
      <c r="M22" s="76"/>
      <c r="N22" s="76"/>
      <c r="O22" s="80"/>
      <c r="P22" s="76" t="s">
        <v>230</v>
      </c>
      <c r="Q22" s="76"/>
      <c r="R22" s="81" t="str">
        <f t="shared" si="3"/>
        <v/>
      </c>
      <c r="S22" s="81">
        <f t="shared" si="5"/>
        <v>110</v>
      </c>
      <c r="T22" s="82">
        <f>H22*[0]!FMainPool1Fee+I22*[0]!FMainPool2Fee+J22*[0]!FMainPool3Fee+K22*[0]!FMainPool4Fee+B22*[0]!FMainEntryFee</f>
        <v>110</v>
      </c>
      <c r="U22" s="83"/>
      <c r="V22" s="95" t="s">
        <v>250</v>
      </c>
      <c r="X22" s="88"/>
      <c r="Y22" s="88"/>
    </row>
    <row r="23" spans="1:26" ht="15" customHeight="1" x14ac:dyDescent="0.2">
      <c r="A23" s="75">
        <f t="shared" si="1"/>
        <v>12</v>
      </c>
      <c r="B23" s="76">
        <v>1</v>
      </c>
      <c r="C23" s="1" t="s">
        <v>7</v>
      </c>
      <c r="D23" s="1" t="s">
        <v>5</v>
      </c>
      <c r="E23" s="2" t="s">
        <v>63</v>
      </c>
      <c r="F23" s="96">
        <v>7079125214</v>
      </c>
      <c r="G23" s="78" t="s">
        <v>153</v>
      </c>
      <c r="H23" s="79">
        <v>1</v>
      </c>
      <c r="I23" s="76"/>
      <c r="J23" s="76">
        <v>1</v>
      </c>
      <c r="K23" s="76"/>
      <c r="L23" s="76"/>
      <c r="M23" s="76"/>
      <c r="N23" s="76"/>
      <c r="O23" s="80">
        <f t="shared" ref="O23:O28" si="6">T23*N23</f>
        <v>0</v>
      </c>
      <c r="P23" s="76" t="s">
        <v>230</v>
      </c>
      <c r="Q23" s="76"/>
      <c r="R23" s="81" t="str">
        <f t="shared" si="3"/>
        <v/>
      </c>
      <c r="S23" s="81">
        <f t="shared" si="5"/>
        <v>100</v>
      </c>
      <c r="T23" s="82">
        <f>H23*[0]!FMainPool1Fee+I23*[0]!FMainPool2Fee+J23*[0]!FMainPool3Fee+K23*[0]!FMainPool4Fee+B23*[0]!FMainEntryFee</f>
        <v>100</v>
      </c>
      <c r="U23" s="83"/>
      <c r="V23" s="84"/>
      <c r="X23" s="88"/>
      <c r="Y23" s="88"/>
    </row>
    <row r="24" spans="1:26" ht="15" customHeight="1" x14ac:dyDescent="0.2">
      <c r="A24" s="75">
        <f t="shared" si="1"/>
        <v>13</v>
      </c>
      <c r="B24" s="76">
        <v>1</v>
      </c>
      <c r="C24" s="92" t="s">
        <v>200</v>
      </c>
      <c r="D24" s="92" t="s">
        <v>92</v>
      </c>
      <c r="E24" s="87" t="s">
        <v>201</v>
      </c>
      <c r="F24" s="93">
        <v>2793335535</v>
      </c>
      <c r="G24" s="92"/>
      <c r="H24" s="79">
        <v>1</v>
      </c>
      <c r="I24" s="76">
        <v>1</v>
      </c>
      <c r="J24" s="76">
        <v>1</v>
      </c>
      <c r="K24" s="76"/>
      <c r="L24" s="76">
        <v>1</v>
      </c>
      <c r="M24" s="76"/>
      <c r="N24" s="76"/>
      <c r="O24" s="80">
        <f t="shared" si="6"/>
        <v>0</v>
      </c>
      <c r="P24" s="76" t="s">
        <v>225</v>
      </c>
      <c r="Q24" s="76">
        <v>1299</v>
      </c>
      <c r="R24" s="81">
        <f t="shared" si="3"/>
        <v>110</v>
      </c>
      <c r="S24" s="81" t="str">
        <f t="shared" si="5"/>
        <v/>
      </c>
      <c r="T24" s="82">
        <f>H24*[0]!FMainPool1Fee+I24*[0]!FMainPool2Fee+J24*[0]!FMainPool3Fee+K24*[0]!FMainPool4Fee+B24*[0]!FMainEntryFee</f>
        <v>110</v>
      </c>
      <c r="U24" s="83"/>
      <c r="V24" s="87"/>
      <c r="X24" s="88"/>
      <c r="Y24" s="88"/>
    </row>
    <row r="25" spans="1:26" ht="15" customHeight="1" x14ac:dyDescent="0.2">
      <c r="A25" s="75">
        <f t="shared" si="1"/>
        <v>14</v>
      </c>
      <c r="B25" s="76">
        <v>1</v>
      </c>
      <c r="C25" s="1" t="s">
        <v>30</v>
      </c>
      <c r="D25" s="1" t="s">
        <v>9</v>
      </c>
      <c r="E25" s="2" t="s">
        <v>74</v>
      </c>
      <c r="F25" s="127" t="s">
        <v>154</v>
      </c>
      <c r="G25" s="86" t="s">
        <v>94</v>
      </c>
      <c r="H25" s="79">
        <v>1</v>
      </c>
      <c r="I25" s="76">
        <v>1</v>
      </c>
      <c r="J25" s="76">
        <v>1</v>
      </c>
      <c r="K25" s="76"/>
      <c r="L25" s="76"/>
      <c r="M25" s="76"/>
      <c r="N25" s="76"/>
      <c r="O25" s="80">
        <f t="shared" si="6"/>
        <v>0</v>
      </c>
      <c r="P25" s="76" t="s">
        <v>225</v>
      </c>
      <c r="Q25" s="76">
        <v>1974</v>
      </c>
      <c r="R25" s="81">
        <f t="shared" si="3"/>
        <v>110</v>
      </c>
      <c r="S25" s="81" t="str">
        <f t="shared" si="5"/>
        <v/>
      </c>
      <c r="T25" s="82">
        <f>H25*[0]!FMainPool1Fee+I25*[0]!FMainPool2Fee+J25*[0]!FMainPool3Fee+K25*[0]!FMainPool4Fee+B25*[0]!FMainEntryFee</f>
        <v>110</v>
      </c>
      <c r="U25" s="83"/>
      <c r="V25" s="84"/>
      <c r="W25" s="89"/>
      <c r="X25" s="88"/>
      <c r="Y25" s="88"/>
    </row>
    <row r="26" spans="1:26" ht="15" customHeight="1" x14ac:dyDescent="0.2">
      <c r="A26" s="75">
        <f t="shared" si="1"/>
        <v>15</v>
      </c>
      <c r="B26" s="76">
        <v>1</v>
      </c>
      <c r="C26" s="1" t="s">
        <v>128</v>
      </c>
      <c r="D26" s="1" t="s">
        <v>9</v>
      </c>
      <c r="E26" s="2" t="s">
        <v>66</v>
      </c>
      <c r="F26" s="96" t="s">
        <v>132</v>
      </c>
      <c r="G26" s="86" t="s">
        <v>133</v>
      </c>
      <c r="H26" s="79">
        <v>1</v>
      </c>
      <c r="I26" s="76">
        <v>1</v>
      </c>
      <c r="J26" s="76">
        <v>1</v>
      </c>
      <c r="K26" s="76">
        <v>1</v>
      </c>
      <c r="L26" s="76"/>
      <c r="M26" s="76"/>
      <c r="N26" s="76"/>
      <c r="O26" s="80">
        <f t="shared" si="6"/>
        <v>0</v>
      </c>
      <c r="P26" s="76" t="s">
        <v>225</v>
      </c>
      <c r="Q26" s="76">
        <v>2213</v>
      </c>
      <c r="R26" s="81">
        <f t="shared" si="3"/>
        <v>160</v>
      </c>
      <c r="S26" s="81" t="str">
        <f t="shared" si="5"/>
        <v/>
      </c>
      <c r="T26" s="82">
        <f>H26*[0]!FMainPool1Fee+I26*[0]!FMainPool2Fee+J26*[0]!FMainPool3Fee+K26*[0]!FMainPool4Fee+B26*[0]!FMainEntryFee</f>
        <v>160</v>
      </c>
      <c r="U26" s="83"/>
      <c r="V26" s="84"/>
      <c r="X26" s="88"/>
      <c r="Y26" s="88"/>
    </row>
    <row r="27" spans="1:26" ht="15" customHeight="1" x14ac:dyDescent="0.2">
      <c r="A27" s="75">
        <f t="shared" si="1"/>
        <v>16</v>
      </c>
      <c r="B27" s="76">
        <v>1</v>
      </c>
      <c r="C27" s="4" t="s">
        <v>51</v>
      </c>
      <c r="D27" s="4" t="s">
        <v>9</v>
      </c>
      <c r="E27" s="5" t="s">
        <v>58</v>
      </c>
      <c r="F27" s="94">
        <v>7078499317</v>
      </c>
      <c r="G27" s="86" t="s">
        <v>53</v>
      </c>
      <c r="H27" s="79">
        <v>1</v>
      </c>
      <c r="I27" s="76">
        <v>1</v>
      </c>
      <c r="J27" s="76">
        <v>1</v>
      </c>
      <c r="K27" s="76">
        <v>1</v>
      </c>
      <c r="L27" s="76"/>
      <c r="M27" s="76"/>
      <c r="N27" s="76"/>
      <c r="O27" s="80">
        <f t="shared" si="6"/>
        <v>0</v>
      </c>
      <c r="P27" s="76" t="s">
        <v>225</v>
      </c>
      <c r="Q27" s="76">
        <v>4008</v>
      </c>
      <c r="R27" s="81">
        <f t="shared" si="3"/>
        <v>160</v>
      </c>
      <c r="S27" s="81" t="str">
        <f t="shared" si="5"/>
        <v/>
      </c>
      <c r="T27" s="82">
        <f>H27*[0]!FMainPool1Fee+I27*[0]!FMainPool2Fee+J27*[0]!FMainPool3Fee+K27*[0]!FMainPool4Fee+B27*[0]!FMainEntryFee</f>
        <v>160</v>
      </c>
      <c r="U27" s="83"/>
      <c r="V27" s="84"/>
      <c r="W27" s="89"/>
      <c r="X27" s="88"/>
      <c r="Y27" s="88"/>
    </row>
    <row r="28" spans="1:26" x14ac:dyDescent="0.2">
      <c r="A28" s="75">
        <f t="shared" si="1"/>
        <v>17</v>
      </c>
      <c r="B28" s="76">
        <v>1</v>
      </c>
      <c r="C28" s="4" t="s">
        <v>115</v>
      </c>
      <c r="D28" s="4" t="s">
        <v>9</v>
      </c>
      <c r="E28" s="5" t="s">
        <v>122</v>
      </c>
      <c r="F28" s="94">
        <v>7073225806</v>
      </c>
      <c r="G28" s="78" t="s">
        <v>134</v>
      </c>
      <c r="H28" s="79"/>
      <c r="I28" s="76"/>
      <c r="J28" s="76"/>
      <c r="K28" s="76"/>
      <c r="L28" s="76"/>
      <c r="M28" s="76"/>
      <c r="N28" s="76"/>
      <c r="O28" s="80">
        <f t="shared" si="6"/>
        <v>0</v>
      </c>
      <c r="P28" s="76" t="s">
        <v>225</v>
      </c>
      <c r="Q28" s="76">
        <v>1795</v>
      </c>
      <c r="R28" s="81">
        <f t="shared" si="3"/>
        <v>70</v>
      </c>
      <c r="S28" s="81" t="str">
        <f t="shared" si="5"/>
        <v/>
      </c>
      <c r="T28" s="82">
        <f>H28*[0]!FMainPool1Fee+I28*[0]!FMainPool2Fee+J28*[0]!FMainPool3Fee+K28*[0]!FMainPool4Fee+B28*[0]!FMainEntryFee</f>
        <v>70</v>
      </c>
      <c r="U28" s="83"/>
      <c r="V28" s="84"/>
      <c r="X28" s="88"/>
      <c r="Y28" s="88"/>
    </row>
    <row r="29" spans="1:26" x14ac:dyDescent="0.2">
      <c r="A29" s="75">
        <f t="shared" si="1"/>
        <v>18</v>
      </c>
      <c r="B29" s="76">
        <v>1</v>
      </c>
      <c r="C29" s="4" t="s">
        <v>280</v>
      </c>
      <c r="D29" s="4" t="s">
        <v>11</v>
      </c>
      <c r="E29" s="5" t="s">
        <v>281</v>
      </c>
      <c r="F29" s="94">
        <v>9258906622</v>
      </c>
      <c r="G29" s="78" t="s">
        <v>301</v>
      </c>
      <c r="H29" s="79">
        <v>1</v>
      </c>
      <c r="I29" s="76"/>
      <c r="J29" s="76"/>
      <c r="K29" s="76"/>
      <c r="L29" s="76"/>
      <c r="M29" s="76"/>
      <c r="N29" s="76"/>
      <c r="O29" s="80"/>
      <c r="P29" s="76" t="s">
        <v>225</v>
      </c>
      <c r="Q29" s="145">
        <v>1208</v>
      </c>
      <c r="R29" s="81">
        <f t="shared" si="3"/>
        <v>80</v>
      </c>
      <c r="S29" s="81" t="str">
        <f t="shared" si="5"/>
        <v/>
      </c>
      <c r="T29" s="82">
        <f>H29*[0]!FMainPool1Fee+I29*[0]!FMainPool2Fee+J29*[0]!FMainPool3Fee+K29*[0]!FMainPool4Fee+B29*[0]!FMainEntryFee</f>
        <v>80</v>
      </c>
      <c r="U29" s="83"/>
      <c r="V29" s="84"/>
      <c r="X29" s="88"/>
      <c r="Y29" s="88"/>
    </row>
    <row r="30" spans="1:26" x14ac:dyDescent="0.2">
      <c r="A30" s="75">
        <f t="shared" si="1"/>
        <v>19</v>
      </c>
      <c r="B30" s="76">
        <v>1</v>
      </c>
      <c r="C30" s="1" t="s">
        <v>27</v>
      </c>
      <c r="D30" s="1" t="s">
        <v>28</v>
      </c>
      <c r="E30" s="2" t="s">
        <v>67</v>
      </c>
      <c r="F30" s="93" t="s">
        <v>135</v>
      </c>
      <c r="G30" s="86" t="s">
        <v>112</v>
      </c>
      <c r="H30" s="79">
        <v>1</v>
      </c>
      <c r="I30" s="76">
        <v>1</v>
      </c>
      <c r="J30" s="76">
        <v>1</v>
      </c>
      <c r="K30" s="76">
        <v>1</v>
      </c>
      <c r="L30" s="76">
        <v>1</v>
      </c>
      <c r="M30" s="76"/>
      <c r="N30" s="76">
        <v>1</v>
      </c>
      <c r="O30" s="80">
        <f>T30*N30</f>
        <v>160</v>
      </c>
      <c r="P30" s="76" t="s">
        <v>230</v>
      </c>
      <c r="Q30" s="76"/>
      <c r="R30" s="81" t="str">
        <f t="shared" si="3"/>
        <v/>
      </c>
      <c r="S30" s="81">
        <f t="shared" si="5"/>
        <v>160</v>
      </c>
      <c r="T30" s="82">
        <f>H30*[0]!FMainPool1Fee+I30*[0]!FMainPool2Fee+J30*[0]!FMainPool3Fee+K30*[0]!FMainPool4Fee+B30*[0]!FMainEntryFee</f>
        <v>160</v>
      </c>
      <c r="U30" s="83"/>
      <c r="V30" s="84"/>
      <c r="X30" s="88"/>
      <c r="Y30" s="88"/>
    </row>
    <row r="31" spans="1:26" x14ac:dyDescent="0.2">
      <c r="A31" s="75">
        <f t="shared" si="1"/>
        <v>20</v>
      </c>
      <c r="B31" s="76">
        <v>1</v>
      </c>
      <c r="C31" s="4" t="s">
        <v>42</v>
      </c>
      <c r="D31" s="1" t="s">
        <v>5</v>
      </c>
      <c r="E31" s="5" t="s">
        <v>75</v>
      </c>
      <c r="F31" s="94" t="s">
        <v>136</v>
      </c>
      <c r="G31" s="86" t="s">
        <v>106</v>
      </c>
      <c r="H31" s="79">
        <v>1</v>
      </c>
      <c r="I31" s="76">
        <v>1</v>
      </c>
      <c r="J31" s="76">
        <v>1</v>
      </c>
      <c r="K31" s="76">
        <v>1</v>
      </c>
      <c r="L31" s="76">
        <v>1</v>
      </c>
      <c r="M31" s="76"/>
      <c r="N31" s="76"/>
      <c r="O31" s="80">
        <f>T31*N31</f>
        <v>0</v>
      </c>
      <c r="P31" s="76" t="s">
        <v>230</v>
      </c>
      <c r="Q31" s="76"/>
      <c r="R31" s="81" t="str">
        <f t="shared" si="3"/>
        <v/>
      </c>
      <c r="S31" s="81">
        <f t="shared" si="5"/>
        <v>160</v>
      </c>
      <c r="T31" s="82">
        <f>H31*[0]!FMainPool1Fee+I31*[0]!FMainPool2Fee+J31*[0]!FMainPool3Fee+K31*[0]!FMainPool4Fee+B31*[0]!FMainEntryFee</f>
        <v>160</v>
      </c>
      <c r="U31" s="83"/>
      <c r="V31" s="84"/>
      <c r="X31" s="88"/>
      <c r="Y31" s="88"/>
    </row>
    <row r="32" spans="1:26" x14ac:dyDescent="0.2">
      <c r="A32" s="75">
        <f t="shared" si="1"/>
        <v>21</v>
      </c>
      <c r="B32" s="76">
        <v>1</v>
      </c>
      <c r="C32" s="4" t="s">
        <v>284</v>
      </c>
      <c r="D32" s="1" t="s">
        <v>285</v>
      </c>
      <c r="E32" s="5" t="s">
        <v>286</v>
      </c>
      <c r="F32" s="3" t="s">
        <v>290</v>
      </c>
      <c r="G32" s="125" t="s">
        <v>291</v>
      </c>
      <c r="H32" s="79">
        <v>1</v>
      </c>
      <c r="I32" s="76"/>
      <c r="J32" s="76"/>
      <c r="K32" s="76"/>
      <c r="L32" s="76"/>
      <c r="M32" s="76"/>
      <c r="N32" s="76">
        <v>1</v>
      </c>
      <c r="O32" s="80">
        <f>T32*N32</f>
        <v>80</v>
      </c>
      <c r="P32" s="76" t="s">
        <v>230</v>
      </c>
      <c r="Q32" s="76"/>
      <c r="R32" s="81" t="str">
        <f t="shared" si="3"/>
        <v/>
      </c>
      <c r="S32" s="81">
        <f t="shared" si="5"/>
        <v>80</v>
      </c>
      <c r="T32" s="82">
        <f>H32*[0]!FMainPool1Fee+I32*[0]!FMainPool2Fee+J32*[0]!FMainPool3Fee+K32*[0]!FMainPool4Fee+B32*[0]!FMainEntryFee</f>
        <v>80</v>
      </c>
      <c r="U32" s="83"/>
      <c r="V32" s="84"/>
      <c r="X32" s="88"/>
      <c r="Y32" s="88"/>
    </row>
    <row r="33" spans="1:25" x14ac:dyDescent="0.2">
      <c r="A33" s="75">
        <v>63</v>
      </c>
      <c r="B33" s="76">
        <v>1</v>
      </c>
      <c r="C33" s="92" t="s">
        <v>252</v>
      </c>
      <c r="D33" s="92" t="s">
        <v>253</v>
      </c>
      <c r="E33" s="87" t="s">
        <v>254</v>
      </c>
      <c r="F33" s="93">
        <v>5309277047</v>
      </c>
      <c r="G33" s="98" t="s">
        <v>258</v>
      </c>
      <c r="H33" s="79">
        <v>1</v>
      </c>
      <c r="I33" s="76">
        <v>1</v>
      </c>
      <c r="J33" s="76">
        <v>1</v>
      </c>
      <c r="K33" s="76">
        <v>1</v>
      </c>
      <c r="L33" s="76"/>
      <c r="M33" s="76"/>
      <c r="N33" s="76"/>
      <c r="O33" s="80"/>
      <c r="P33" s="76" t="s">
        <v>225</v>
      </c>
      <c r="Q33" s="76">
        <v>6681</v>
      </c>
      <c r="R33" s="81">
        <v>160</v>
      </c>
      <c r="S33" s="81"/>
      <c r="T33" s="82">
        <f>H33*[0]!FMainPool1Fee+I33*[0]!FMainPool2Fee+J33*[0]!FMainPool3Fee+K33*[0]!FMainPool4Fee+B33*[0]!FMainEntryFee</f>
        <v>160</v>
      </c>
      <c r="U33" s="83"/>
      <c r="V33" s="84"/>
      <c r="X33" s="88"/>
      <c r="Y33" s="88"/>
    </row>
    <row r="34" spans="1:25" x14ac:dyDescent="0.2">
      <c r="A34" s="75">
        <v>64</v>
      </c>
      <c r="B34" s="76">
        <v>1</v>
      </c>
      <c r="C34" s="92" t="s">
        <v>255</v>
      </c>
      <c r="D34" s="92" t="s">
        <v>253</v>
      </c>
      <c r="E34" s="87" t="s">
        <v>256</v>
      </c>
      <c r="F34" s="93">
        <v>5309277048</v>
      </c>
      <c r="G34" s="89" t="s">
        <v>257</v>
      </c>
      <c r="H34" s="79">
        <v>1</v>
      </c>
      <c r="I34" s="76">
        <v>1</v>
      </c>
      <c r="J34" s="76">
        <v>1</v>
      </c>
      <c r="K34" s="76">
        <v>1</v>
      </c>
      <c r="L34" s="76"/>
      <c r="M34" s="76"/>
      <c r="N34" s="76"/>
      <c r="O34" s="80"/>
      <c r="P34" s="76" t="s">
        <v>225</v>
      </c>
      <c r="Q34" s="76">
        <v>6681</v>
      </c>
      <c r="R34" s="81">
        <v>160</v>
      </c>
      <c r="S34" s="81"/>
      <c r="T34" s="82">
        <f>H34*[0]!FMainPool1Fee+I34*[0]!FMainPool2Fee+J34*[0]!FMainPool3Fee+K34*[0]!FMainPool4Fee+B34*[0]!FMainEntryFee</f>
        <v>160</v>
      </c>
      <c r="U34" s="83"/>
      <c r="V34" s="84"/>
      <c r="X34" s="88"/>
      <c r="Y34" s="88"/>
    </row>
    <row r="35" spans="1:25" x14ac:dyDescent="0.2">
      <c r="A35" s="75">
        <f t="shared" ref="A35:A73" si="7">ROW() - ROW(FRegentiresEneteredHdr)</f>
        <v>24</v>
      </c>
      <c r="B35" s="76">
        <v>1</v>
      </c>
      <c r="C35" s="1" t="s">
        <v>25</v>
      </c>
      <c r="D35" s="1" t="s">
        <v>26</v>
      </c>
      <c r="E35" s="2" t="s">
        <v>65</v>
      </c>
      <c r="F35" s="93" t="s">
        <v>137</v>
      </c>
      <c r="G35" s="86" t="s">
        <v>133</v>
      </c>
      <c r="H35" s="79">
        <v>1</v>
      </c>
      <c r="I35" s="76">
        <v>1</v>
      </c>
      <c r="J35" s="76">
        <v>1</v>
      </c>
      <c r="K35" s="76"/>
      <c r="L35" s="76"/>
      <c r="M35" s="76"/>
      <c r="N35" s="76"/>
      <c r="O35" s="80">
        <f>T35*N35</f>
        <v>0</v>
      </c>
      <c r="P35" s="76" t="s">
        <v>225</v>
      </c>
      <c r="Q35" s="76">
        <v>8899</v>
      </c>
      <c r="R35" s="81">
        <f t="shared" ref="R35:R60" si="8">IF(OR(P35="c",P35="C"),+T35,"")</f>
        <v>110</v>
      </c>
      <c r="S35" s="81" t="str">
        <f t="shared" ref="S35:S73" si="9">IF(OR(P35="$",N35=1),+T35,"")</f>
        <v/>
      </c>
      <c r="T35" s="82">
        <f>H35*[0]!FMainPool1Fee+I35*[0]!FMainPool2Fee+J35*[0]!FMainPool3Fee+K35*[0]!FMainPool4Fee+B35*[0]!FMainEntryFee</f>
        <v>110</v>
      </c>
      <c r="U35" s="83"/>
      <c r="V35" s="84"/>
      <c r="X35" s="88"/>
      <c r="Y35" s="88"/>
    </row>
    <row r="36" spans="1:25" x14ac:dyDescent="0.2">
      <c r="A36" s="75">
        <f t="shared" si="7"/>
        <v>25</v>
      </c>
      <c r="B36" s="76">
        <v>1</v>
      </c>
      <c r="C36" s="4" t="s">
        <v>43</v>
      </c>
      <c r="D36" s="4" t="s">
        <v>20</v>
      </c>
      <c r="E36" s="5" t="s">
        <v>129</v>
      </c>
      <c r="F36" s="94">
        <v>7074223729</v>
      </c>
      <c r="G36" s="86" t="s">
        <v>52</v>
      </c>
      <c r="H36" s="79">
        <v>1</v>
      </c>
      <c r="I36" s="76"/>
      <c r="J36" s="76"/>
      <c r="K36" s="76"/>
      <c r="L36" s="76"/>
      <c r="M36" s="76"/>
      <c r="N36" s="76"/>
      <c r="O36" s="80">
        <f>T36*N36</f>
        <v>0</v>
      </c>
      <c r="P36" s="76" t="s">
        <v>225</v>
      </c>
      <c r="Q36" s="76">
        <v>2548</v>
      </c>
      <c r="R36" s="81">
        <f t="shared" si="8"/>
        <v>80</v>
      </c>
      <c r="S36" s="81" t="str">
        <f t="shared" si="9"/>
        <v/>
      </c>
      <c r="T36" s="82">
        <f>H36*[0]!FMainPool1Fee+I36*[0]!FMainPool2Fee+J36*[0]!FMainPool3Fee+K36*[0]!FMainPool4Fee+B36*[0]!FMainEntryFee</f>
        <v>80</v>
      </c>
      <c r="U36" s="83"/>
      <c r="V36" s="87"/>
      <c r="W36" s="89"/>
      <c r="X36" s="88"/>
      <c r="Y36" s="88"/>
    </row>
    <row r="37" spans="1:25" x14ac:dyDescent="0.2">
      <c r="A37" s="75">
        <f t="shared" si="7"/>
        <v>26</v>
      </c>
      <c r="B37" s="76">
        <v>1</v>
      </c>
      <c r="C37" s="4" t="s">
        <v>40</v>
      </c>
      <c r="D37" s="4" t="s">
        <v>41</v>
      </c>
      <c r="E37" s="5" t="s">
        <v>59</v>
      </c>
      <c r="F37" s="77">
        <v>5305180274</v>
      </c>
      <c r="G37" s="86" t="s">
        <v>49</v>
      </c>
      <c r="H37" s="79">
        <v>1</v>
      </c>
      <c r="I37" s="76">
        <v>1</v>
      </c>
      <c r="J37" s="76">
        <v>1</v>
      </c>
      <c r="K37" s="76"/>
      <c r="L37" s="76"/>
      <c r="M37" s="76"/>
      <c r="N37" s="76"/>
      <c r="O37" s="80">
        <f>T37*N37</f>
        <v>0</v>
      </c>
      <c r="P37" s="76" t="s">
        <v>225</v>
      </c>
      <c r="Q37" s="76">
        <v>7240</v>
      </c>
      <c r="R37" s="81">
        <f t="shared" si="8"/>
        <v>110</v>
      </c>
      <c r="S37" s="81" t="str">
        <f t="shared" si="9"/>
        <v/>
      </c>
      <c r="T37" s="82">
        <f>H37*[0]!FMainPool1Fee+I37*[0]!FMainPool2Fee+J37*[0]!FMainPool3Fee+K37*[0]!FMainPool4Fee+B37*[0]!FMainEntryFee</f>
        <v>110</v>
      </c>
      <c r="U37" s="83"/>
      <c r="V37" s="95"/>
      <c r="X37" s="88"/>
      <c r="Y37" s="88"/>
    </row>
    <row r="38" spans="1:25" x14ac:dyDescent="0.2">
      <c r="A38" s="75">
        <f t="shared" si="7"/>
        <v>27</v>
      </c>
      <c r="B38" s="76">
        <v>1</v>
      </c>
      <c r="C38" s="4" t="s">
        <v>114</v>
      </c>
      <c r="D38" s="4" t="s">
        <v>9</v>
      </c>
      <c r="E38" s="5" t="s">
        <v>113</v>
      </c>
      <c r="F38" s="77">
        <v>7079536818</v>
      </c>
      <c r="G38" s="78" t="s">
        <v>251</v>
      </c>
      <c r="H38" s="79">
        <v>1</v>
      </c>
      <c r="I38" s="76"/>
      <c r="J38" s="76"/>
      <c r="K38" s="76"/>
      <c r="L38" s="76"/>
      <c r="M38" s="76"/>
      <c r="N38" s="76"/>
      <c r="O38" s="80">
        <f>T38*N38</f>
        <v>0</v>
      </c>
      <c r="P38" s="76" t="s">
        <v>225</v>
      </c>
      <c r="Q38" s="76">
        <v>170</v>
      </c>
      <c r="R38" s="81">
        <f t="shared" si="8"/>
        <v>80</v>
      </c>
      <c r="S38" s="81" t="str">
        <f t="shared" si="9"/>
        <v/>
      </c>
      <c r="T38" s="82">
        <f>H38*[0]!FMainPool1Fee+I38*[0]!FMainPool2Fee+J38*[0]!FMainPool3Fee+K38*[0]!FMainPool4Fee+B38*[0]!FMainEntryFee</f>
        <v>80</v>
      </c>
      <c r="U38" s="83"/>
      <c r="V38" s="84"/>
      <c r="W38" s="89"/>
      <c r="X38" s="88"/>
      <c r="Y38" s="88"/>
    </row>
    <row r="39" spans="1:25" x14ac:dyDescent="0.2">
      <c r="A39" s="75">
        <f t="shared" si="7"/>
        <v>28</v>
      </c>
      <c r="B39" s="76">
        <v>1</v>
      </c>
      <c r="C39" s="4" t="s">
        <v>79</v>
      </c>
      <c r="D39" s="4" t="s">
        <v>11</v>
      </c>
      <c r="E39" s="5" t="s">
        <v>80</v>
      </c>
      <c r="F39" s="95" t="s">
        <v>138</v>
      </c>
      <c r="G39" s="86" t="s">
        <v>133</v>
      </c>
      <c r="H39" s="79">
        <v>1</v>
      </c>
      <c r="I39" s="76"/>
      <c r="J39" s="76"/>
      <c r="K39" s="76"/>
      <c r="L39" s="76"/>
      <c r="M39" s="76"/>
      <c r="N39" s="76">
        <v>1</v>
      </c>
      <c r="O39" s="80">
        <v>80</v>
      </c>
      <c r="P39" s="76" t="s">
        <v>230</v>
      </c>
      <c r="Q39" s="76"/>
      <c r="R39" s="81" t="str">
        <f t="shared" si="8"/>
        <v/>
      </c>
      <c r="S39" s="81">
        <f t="shared" si="9"/>
        <v>80</v>
      </c>
      <c r="T39" s="82">
        <f>H39*[0]!FMainPool1Fee+I39*[0]!FMainPool2Fee+J39*[0]!FMainPool3Fee+K39*[0]!FMainPool4Fee+B39*[0]!FMainEntryFee</f>
        <v>80</v>
      </c>
      <c r="U39" s="83"/>
      <c r="V39" s="95"/>
      <c r="X39" s="88"/>
      <c r="Y39" s="88"/>
    </row>
    <row r="40" spans="1:25" x14ac:dyDescent="0.2">
      <c r="A40" s="75">
        <f t="shared" si="7"/>
        <v>29</v>
      </c>
      <c r="B40" s="76">
        <v>1</v>
      </c>
      <c r="C40" s="1" t="s">
        <v>17</v>
      </c>
      <c r="D40" s="1" t="s">
        <v>18</v>
      </c>
      <c r="E40" s="2" t="s">
        <v>64</v>
      </c>
      <c r="F40" s="100">
        <v>4084722020</v>
      </c>
      <c r="G40" s="78" t="s">
        <v>139</v>
      </c>
      <c r="H40" s="79">
        <v>1</v>
      </c>
      <c r="I40" s="76">
        <v>1</v>
      </c>
      <c r="J40" s="76">
        <v>1</v>
      </c>
      <c r="K40" s="76">
        <v>1</v>
      </c>
      <c r="L40" s="76"/>
      <c r="M40" s="76"/>
      <c r="N40" s="76"/>
      <c r="O40" s="80">
        <f t="shared" ref="O40:O47" si="10">T40*N40</f>
        <v>0</v>
      </c>
      <c r="P40" s="76" t="s">
        <v>225</v>
      </c>
      <c r="Q40" s="76">
        <v>5206</v>
      </c>
      <c r="R40" s="81">
        <f t="shared" si="8"/>
        <v>160</v>
      </c>
      <c r="S40" s="81" t="str">
        <f t="shared" si="9"/>
        <v/>
      </c>
      <c r="T40" s="82">
        <f>H40*[0]!FMainPool1Fee+I40*[0]!FMainPool2Fee+J40*[0]!FMainPool3Fee+K40*[0]!FMainPool4Fee+B40*[0]!FMainEntryFee</f>
        <v>160</v>
      </c>
      <c r="U40" s="83"/>
      <c r="V40" s="84"/>
      <c r="X40" s="88"/>
      <c r="Y40" s="88"/>
    </row>
    <row r="41" spans="1:25" x14ac:dyDescent="0.2">
      <c r="A41" s="75">
        <f t="shared" si="7"/>
        <v>30</v>
      </c>
      <c r="B41" s="76">
        <v>1</v>
      </c>
      <c r="C41" s="4" t="s">
        <v>96</v>
      </c>
      <c r="D41" s="4" t="s">
        <v>97</v>
      </c>
      <c r="E41" s="5" t="s">
        <v>98</v>
      </c>
      <c r="F41" s="77">
        <v>5106819675</v>
      </c>
      <c r="G41" s="78" t="s">
        <v>140</v>
      </c>
      <c r="H41" s="79"/>
      <c r="I41" s="76"/>
      <c r="J41" s="76"/>
      <c r="K41" s="76"/>
      <c r="L41" s="76"/>
      <c r="M41" s="76"/>
      <c r="N41" s="76"/>
      <c r="O41" s="80">
        <f t="shared" si="10"/>
        <v>0</v>
      </c>
      <c r="P41" s="76" t="s">
        <v>225</v>
      </c>
      <c r="Q41" s="76">
        <v>1059</v>
      </c>
      <c r="R41" s="81">
        <f t="shared" si="8"/>
        <v>70</v>
      </c>
      <c r="S41" s="81" t="str">
        <f t="shared" si="9"/>
        <v/>
      </c>
      <c r="T41" s="82">
        <f>H41*[0]!FMainPool1Fee+I41*[0]!FMainPool2Fee+J41*[0]!FMainPool3Fee+K41*[0]!FMainPool4Fee+B41*[0]!FMainEntryFee</f>
        <v>70</v>
      </c>
      <c r="U41" s="83"/>
      <c r="V41" s="84"/>
      <c r="X41" s="88"/>
      <c r="Y41" s="88"/>
    </row>
    <row r="42" spans="1:25" x14ac:dyDescent="0.2">
      <c r="A42" s="75">
        <f t="shared" si="7"/>
        <v>31</v>
      </c>
      <c r="B42" s="76">
        <v>1</v>
      </c>
      <c r="C42" s="4" t="s">
        <v>47</v>
      </c>
      <c r="D42" s="4" t="s">
        <v>48</v>
      </c>
      <c r="E42" s="5" t="s">
        <v>76</v>
      </c>
      <c r="F42" s="77"/>
      <c r="G42" s="86" t="s">
        <v>107</v>
      </c>
      <c r="H42" s="79">
        <v>1</v>
      </c>
      <c r="I42" s="76"/>
      <c r="J42" s="76"/>
      <c r="K42" s="76"/>
      <c r="L42" s="76">
        <v>1</v>
      </c>
      <c r="M42" s="76"/>
      <c r="N42" s="76"/>
      <c r="O42" s="80">
        <f t="shared" si="10"/>
        <v>0</v>
      </c>
      <c r="P42" s="76" t="s">
        <v>225</v>
      </c>
      <c r="Q42" s="76">
        <v>4900</v>
      </c>
      <c r="R42" s="81">
        <f t="shared" si="8"/>
        <v>80</v>
      </c>
      <c r="S42" s="81" t="str">
        <f t="shared" si="9"/>
        <v/>
      </c>
      <c r="T42" s="82">
        <f>H42*[0]!FMainPool1Fee+I42*[0]!FMainPool2Fee+J42*[0]!FMainPool3Fee+K42*[0]!FMainPool4Fee+B42*[0]!FMainEntryFee</f>
        <v>80</v>
      </c>
      <c r="U42" s="83"/>
      <c r="V42" s="87"/>
      <c r="W42"/>
      <c r="X42" s="88"/>
      <c r="Y42" s="88"/>
    </row>
    <row r="43" spans="1:25" x14ac:dyDescent="0.2">
      <c r="A43" s="75">
        <f t="shared" si="7"/>
        <v>32</v>
      </c>
      <c r="B43" s="76">
        <v>1</v>
      </c>
      <c r="C43" s="1" t="s">
        <v>84</v>
      </c>
      <c r="D43" s="86" t="s">
        <v>86</v>
      </c>
      <c r="E43" s="2" t="s">
        <v>85</v>
      </c>
      <c r="F43" s="77"/>
      <c r="G43" s="86" t="s">
        <v>95</v>
      </c>
      <c r="H43" s="79">
        <v>1</v>
      </c>
      <c r="I43" s="76"/>
      <c r="J43" s="76"/>
      <c r="K43" s="76"/>
      <c r="L43" s="76">
        <v>1</v>
      </c>
      <c r="M43" s="76"/>
      <c r="N43" s="76"/>
      <c r="O43" s="80">
        <f t="shared" si="10"/>
        <v>0</v>
      </c>
      <c r="P43" s="76" t="s">
        <v>230</v>
      </c>
      <c r="Q43" s="76"/>
      <c r="R43" s="81" t="str">
        <f t="shared" si="8"/>
        <v/>
      </c>
      <c r="S43" s="81">
        <f t="shared" si="9"/>
        <v>80</v>
      </c>
      <c r="T43" s="82">
        <f>H43*[0]!FMainPool1Fee+I43*[0]!FMainPool2Fee+J43*[0]!FMainPool3Fee+K43*[0]!FMainPool4Fee+B43*[0]!FMainEntryFee</f>
        <v>80</v>
      </c>
      <c r="U43" s="83">
        <v>1</v>
      </c>
      <c r="V43" s="84" t="s">
        <v>275</v>
      </c>
      <c r="W43"/>
      <c r="X43" s="88"/>
      <c r="Y43" s="88"/>
    </row>
    <row r="44" spans="1:25" x14ac:dyDescent="0.2">
      <c r="A44" s="75">
        <f t="shared" si="7"/>
        <v>33</v>
      </c>
      <c r="B44" s="76">
        <v>1</v>
      </c>
      <c r="C44" s="92" t="s">
        <v>203</v>
      </c>
      <c r="D44" s="92" t="s">
        <v>204</v>
      </c>
      <c r="E44" s="87" t="s">
        <v>205</v>
      </c>
      <c r="F44" s="95">
        <v>8315959920</v>
      </c>
      <c r="G44" s="98" t="s">
        <v>272</v>
      </c>
      <c r="H44" s="79">
        <v>1</v>
      </c>
      <c r="I44" s="76"/>
      <c r="J44" s="76"/>
      <c r="K44" s="76"/>
      <c r="L44" s="76"/>
      <c r="M44" s="76"/>
      <c r="N44" s="76"/>
      <c r="O44" s="80">
        <f t="shared" si="10"/>
        <v>0</v>
      </c>
      <c r="P44" s="76" t="s">
        <v>225</v>
      </c>
      <c r="Q44" s="76">
        <v>16285</v>
      </c>
      <c r="R44" s="81">
        <f t="shared" si="8"/>
        <v>80</v>
      </c>
      <c r="S44" s="81" t="str">
        <f t="shared" si="9"/>
        <v/>
      </c>
      <c r="T44" s="82">
        <f>H44*[0]!FMainPool1Fee+I44*[0]!FMainPool2Fee+J44*[0]!FMainPool3Fee+K44*[0]!FMainPool4Fee+B44*[0]!FMainEntryFee</f>
        <v>80</v>
      </c>
      <c r="U44" s="83"/>
      <c r="V44" s="84" t="s">
        <v>261</v>
      </c>
      <c r="X44" s="88"/>
      <c r="Y44" s="88"/>
    </row>
    <row r="45" spans="1:25" x14ac:dyDescent="0.2">
      <c r="A45" s="75">
        <f t="shared" si="7"/>
        <v>34</v>
      </c>
      <c r="B45" s="76">
        <v>1</v>
      </c>
      <c r="C45" s="92" t="s">
        <v>282</v>
      </c>
      <c r="D45" s="92" t="s">
        <v>26</v>
      </c>
      <c r="E45" s="87" t="s">
        <v>283</v>
      </c>
      <c r="F45" s="95">
        <v>5104930824</v>
      </c>
      <c r="G45" t="s">
        <v>292</v>
      </c>
      <c r="H45" s="79">
        <v>1</v>
      </c>
      <c r="I45" s="76"/>
      <c r="J45" s="76"/>
      <c r="K45" s="76"/>
      <c r="L45" s="76">
        <v>1</v>
      </c>
      <c r="M45" s="76"/>
      <c r="N45" s="76">
        <v>1</v>
      </c>
      <c r="O45" s="80">
        <f t="shared" si="10"/>
        <v>80</v>
      </c>
      <c r="P45" s="76" t="s">
        <v>230</v>
      </c>
      <c r="Q45" s="76"/>
      <c r="R45" s="81" t="str">
        <f t="shared" si="8"/>
        <v/>
      </c>
      <c r="S45" s="81">
        <f t="shared" si="9"/>
        <v>80</v>
      </c>
      <c r="T45" s="82">
        <f>H45*[0]!FMainPool1Fee+I45*[0]!FMainPool2Fee+J45*[0]!FMainPool3Fee+K45*[0]!FMainPool4Fee+B45*[0]!FMainEntryFee</f>
        <v>80</v>
      </c>
      <c r="U45" s="83"/>
      <c r="V45" s="84"/>
      <c r="X45" s="88"/>
      <c r="Y45" s="88"/>
    </row>
    <row r="46" spans="1:25" x14ac:dyDescent="0.2">
      <c r="A46" s="75">
        <f t="shared" si="7"/>
        <v>35</v>
      </c>
      <c r="B46" s="76">
        <v>1</v>
      </c>
      <c r="C46" s="1" t="s">
        <v>44</v>
      </c>
      <c r="D46" s="1" t="s">
        <v>45</v>
      </c>
      <c r="E46" s="2" t="s">
        <v>57</v>
      </c>
      <c r="F46" s="77">
        <v>8054556079</v>
      </c>
      <c r="G46" s="86" t="s">
        <v>54</v>
      </c>
      <c r="H46" s="79">
        <v>1</v>
      </c>
      <c r="I46" s="76">
        <v>1</v>
      </c>
      <c r="J46" s="76">
        <v>1</v>
      </c>
      <c r="K46" s="76">
        <v>1</v>
      </c>
      <c r="L46" s="76">
        <v>1</v>
      </c>
      <c r="M46" s="76"/>
      <c r="N46" s="76"/>
      <c r="O46" s="80">
        <f t="shared" si="10"/>
        <v>0</v>
      </c>
      <c r="P46" s="76" t="s">
        <v>225</v>
      </c>
      <c r="Q46" s="76">
        <v>5878</v>
      </c>
      <c r="R46" s="81">
        <f t="shared" si="8"/>
        <v>160</v>
      </c>
      <c r="S46" s="81" t="str">
        <f t="shared" si="9"/>
        <v/>
      </c>
      <c r="T46" s="82">
        <f>H46*[0]!FMainPool1Fee+I46*[0]!FMainPool2Fee+J46*[0]!FMainPool3Fee+K46*[0]!FMainPool4Fee+B46*[0]!FMainEntryFee</f>
        <v>160</v>
      </c>
      <c r="U46" s="83"/>
      <c r="V46" s="84"/>
      <c r="X46" s="88"/>
      <c r="Y46" s="88"/>
    </row>
    <row r="47" spans="1:25" x14ac:dyDescent="0.2">
      <c r="A47" s="75">
        <f t="shared" si="7"/>
        <v>36</v>
      </c>
      <c r="B47" s="76">
        <v>1</v>
      </c>
      <c r="C47" s="4" t="s">
        <v>266</v>
      </c>
      <c r="D47" s="4" t="s">
        <v>5</v>
      </c>
      <c r="E47" s="5" t="s">
        <v>267</v>
      </c>
      <c r="F47" s="95">
        <v>7072279891</v>
      </c>
      <c r="G47" s="78" t="s">
        <v>268</v>
      </c>
      <c r="H47" s="79">
        <v>1</v>
      </c>
      <c r="I47" s="76">
        <v>1</v>
      </c>
      <c r="J47" s="76">
        <v>1</v>
      </c>
      <c r="K47" s="76">
        <v>1</v>
      </c>
      <c r="L47" s="76"/>
      <c r="M47" s="76"/>
      <c r="N47" s="76"/>
      <c r="O47" s="80">
        <f t="shared" si="10"/>
        <v>0</v>
      </c>
      <c r="P47" s="76" t="s">
        <v>230</v>
      </c>
      <c r="Q47" s="76"/>
      <c r="R47" s="81" t="str">
        <f t="shared" si="8"/>
        <v/>
      </c>
      <c r="S47" s="81">
        <f t="shared" si="9"/>
        <v>160</v>
      </c>
      <c r="T47" s="82">
        <f>H47*[0]!FMainPool1Fee+I47*[0]!FMainPool2Fee+J47*[0]!FMainPool3Fee+K47*[0]!FMainPool4Fee+B47*[0]!FMainEntryFee</f>
        <v>160</v>
      </c>
      <c r="U47" s="83"/>
      <c r="V47" s="84" t="s">
        <v>269</v>
      </c>
      <c r="X47" s="88"/>
      <c r="Y47" s="88"/>
    </row>
    <row r="48" spans="1:25" x14ac:dyDescent="0.2">
      <c r="A48" s="75">
        <f t="shared" si="7"/>
        <v>37</v>
      </c>
      <c r="B48" s="76">
        <v>1</v>
      </c>
      <c r="C48" s="92" t="s">
        <v>206</v>
      </c>
      <c r="D48" s="92" t="s">
        <v>131</v>
      </c>
      <c r="E48" s="87" t="s">
        <v>207</v>
      </c>
      <c r="F48" s="95">
        <v>7078892101</v>
      </c>
      <c r="G48" t="s">
        <v>293</v>
      </c>
      <c r="H48" s="79">
        <v>1</v>
      </c>
      <c r="I48" s="76">
        <v>1</v>
      </c>
      <c r="J48" s="76">
        <v>1</v>
      </c>
      <c r="K48" s="76"/>
      <c r="L48" s="76"/>
      <c r="M48" s="76"/>
      <c r="N48" s="76">
        <v>1</v>
      </c>
      <c r="O48" s="80">
        <v>110</v>
      </c>
      <c r="P48" s="76" t="s">
        <v>230</v>
      </c>
      <c r="Q48" s="76"/>
      <c r="R48" s="81" t="str">
        <f t="shared" si="8"/>
        <v/>
      </c>
      <c r="S48" s="81">
        <f t="shared" si="9"/>
        <v>110</v>
      </c>
      <c r="T48" s="82">
        <f>H48*[0]!FMainPool1Fee+I48*[0]!FMainPool2Fee+J48*[0]!FMainPool3Fee+K48*[0]!FMainPool4Fee+B48*[0]!FMainEntryFee</f>
        <v>110</v>
      </c>
      <c r="U48" s="83">
        <v>1</v>
      </c>
      <c r="V48" s="84"/>
      <c r="X48" s="88"/>
      <c r="Y48" s="88"/>
    </row>
    <row r="49" spans="1:25" x14ac:dyDescent="0.2">
      <c r="A49" s="75">
        <f t="shared" si="7"/>
        <v>38</v>
      </c>
      <c r="B49" s="76">
        <v>1</v>
      </c>
      <c r="C49" s="1" t="s">
        <v>32</v>
      </c>
      <c r="D49" s="1" t="s">
        <v>5</v>
      </c>
      <c r="E49" s="2" t="s">
        <v>130</v>
      </c>
      <c r="F49" s="100">
        <v>7072242345</v>
      </c>
      <c r="G49" s="86" t="s">
        <v>108</v>
      </c>
      <c r="H49" s="79">
        <v>1</v>
      </c>
      <c r="I49" s="76">
        <v>1</v>
      </c>
      <c r="J49" s="76">
        <v>1</v>
      </c>
      <c r="K49" s="76">
        <v>1</v>
      </c>
      <c r="L49" s="76"/>
      <c r="M49" s="76"/>
      <c r="N49" s="76"/>
      <c r="O49" s="80">
        <f>T49*N49</f>
        <v>0</v>
      </c>
      <c r="P49" s="76" t="s">
        <v>225</v>
      </c>
      <c r="Q49" s="76">
        <v>2491</v>
      </c>
      <c r="R49" s="81">
        <f t="shared" si="8"/>
        <v>160</v>
      </c>
      <c r="S49" s="81" t="str">
        <f t="shared" si="9"/>
        <v/>
      </c>
      <c r="T49" s="82">
        <f>H49*[0]!FMainPool1Fee+I49*[0]!FMainPool2Fee+J49*[0]!FMainPool3Fee+K49*[0]!FMainPool4Fee+B49*[0]!FMainEntryFee</f>
        <v>160</v>
      </c>
      <c r="U49" s="83"/>
      <c r="V49" s="84"/>
      <c r="X49" s="88"/>
      <c r="Y49" s="88"/>
    </row>
    <row r="50" spans="1:25" x14ac:dyDescent="0.2">
      <c r="A50" s="75">
        <f t="shared" si="7"/>
        <v>39</v>
      </c>
      <c r="B50" s="76">
        <v>1</v>
      </c>
      <c r="C50" s="1" t="s">
        <v>231</v>
      </c>
      <c r="D50" s="1"/>
      <c r="E50" s="2" t="s">
        <v>232</v>
      </c>
      <c r="F50" s="100"/>
      <c r="G50" s="78" t="s">
        <v>233</v>
      </c>
      <c r="H50" s="79"/>
      <c r="I50" s="76"/>
      <c r="J50" s="76">
        <v>1</v>
      </c>
      <c r="K50" s="76"/>
      <c r="L50" s="76"/>
      <c r="M50" s="76"/>
      <c r="N50" s="76">
        <v>1</v>
      </c>
      <c r="O50" s="80">
        <v>90</v>
      </c>
      <c r="P50" s="76" t="s">
        <v>230</v>
      </c>
      <c r="Q50" s="76"/>
      <c r="R50" s="81" t="str">
        <f t="shared" si="8"/>
        <v/>
      </c>
      <c r="S50" s="81">
        <f t="shared" si="9"/>
        <v>90</v>
      </c>
      <c r="T50" s="82">
        <f>H50*[0]!FMainPool1Fee+I50*[0]!FMainPool2Fee+J50*[0]!FMainPool3Fee+K50*[0]!FMainPool4Fee+B50*[0]!FMainEntryFee</f>
        <v>90</v>
      </c>
      <c r="U50" s="83"/>
      <c r="V50" s="84"/>
      <c r="X50" s="88"/>
      <c r="Y50" s="88"/>
    </row>
    <row r="51" spans="1:25" x14ac:dyDescent="0.2">
      <c r="A51" s="75">
        <f t="shared" si="7"/>
        <v>40</v>
      </c>
      <c r="B51" s="76">
        <v>1</v>
      </c>
      <c r="C51" s="1" t="s">
        <v>278</v>
      </c>
      <c r="D51" s="1" t="s">
        <v>86</v>
      </c>
      <c r="E51" s="2" t="s">
        <v>279</v>
      </c>
      <c r="F51" s="3" t="s">
        <v>295</v>
      </c>
      <c r="G51" t="s">
        <v>294</v>
      </c>
      <c r="H51" s="79">
        <v>1</v>
      </c>
      <c r="I51" s="76"/>
      <c r="J51" s="76"/>
      <c r="K51" s="76"/>
      <c r="L51" s="76"/>
      <c r="M51" s="76"/>
      <c r="N51" s="76"/>
      <c r="O51" s="80"/>
      <c r="P51" s="76" t="s">
        <v>225</v>
      </c>
      <c r="Q51" s="145">
        <v>776</v>
      </c>
      <c r="R51" s="81">
        <f t="shared" si="8"/>
        <v>80</v>
      </c>
      <c r="S51" s="81" t="str">
        <f t="shared" si="9"/>
        <v/>
      </c>
      <c r="T51" s="82">
        <v>80</v>
      </c>
      <c r="U51" s="83"/>
      <c r="V51" s="84"/>
      <c r="X51" s="88"/>
      <c r="Y51" s="88"/>
    </row>
    <row r="52" spans="1:25" x14ac:dyDescent="0.2">
      <c r="A52" s="75">
        <f t="shared" si="7"/>
        <v>41</v>
      </c>
      <c r="B52" s="76">
        <v>1</v>
      </c>
      <c r="C52" s="1" t="s">
        <v>37</v>
      </c>
      <c r="D52" s="1" t="s">
        <v>38</v>
      </c>
      <c r="E52" s="2" t="s">
        <v>61</v>
      </c>
      <c r="F52" s="100">
        <v>8315952169</v>
      </c>
      <c r="G52" s="86" t="s">
        <v>133</v>
      </c>
      <c r="H52" s="79">
        <v>1</v>
      </c>
      <c r="I52" s="76">
        <v>1</v>
      </c>
      <c r="J52" s="76">
        <v>1</v>
      </c>
      <c r="K52" s="76"/>
      <c r="L52" s="76"/>
      <c r="M52" s="76">
        <v>1</v>
      </c>
      <c r="N52" s="76"/>
      <c r="O52" s="80">
        <f t="shared" ref="O52:O73" si="11">T52*N52</f>
        <v>0</v>
      </c>
      <c r="P52" s="76" t="s">
        <v>225</v>
      </c>
      <c r="Q52" s="76">
        <v>16285</v>
      </c>
      <c r="R52" s="81">
        <f t="shared" si="8"/>
        <v>110</v>
      </c>
      <c r="S52" s="81" t="str">
        <f t="shared" si="9"/>
        <v/>
      </c>
      <c r="T52" s="82">
        <f>H52*[0]!FMainPool1Fee+I52*[0]!FMainPool2Fee+J52*[0]!FMainPool3Fee+K52*[0]!FMainPool4Fee+B52*[0]!FMainEntryFee</f>
        <v>110</v>
      </c>
      <c r="U52" s="83"/>
      <c r="V52" s="95" t="s">
        <v>260</v>
      </c>
      <c r="X52" s="88"/>
      <c r="Y52" s="88"/>
    </row>
    <row r="53" spans="1:25" x14ac:dyDescent="0.2">
      <c r="A53" s="75">
        <f t="shared" si="7"/>
        <v>42</v>
      </c>
      <c r="B53" s="76">
        <v>1</v>
      </c>
      <c r="C53" s="1" t="s">
        <v>13</v>
      </c>
      <c r="D53" s="1" t="s">
        <v>14</v>
      </c>
      <c r="E53" s="2" t="s">
        <v>62</v>
      </c>
      <c r="F53" s="100">
        <v>9253780132</v>
      </c>
      <c r="G53" s="86" t="s">
        <v>50</v>
      </c>
      <c r="H53" s="79">
        <v>1</v>
      </c>
      <c r="I53" s="76">
        <v>1</v>
      </c>
      <c r="J53" s="76">
        <v>1</v>
      </c>
      <c r="K53" s="76"/>
      <c r="L53" s="76"/>
      <c r="M53" s="76"/>
      <c r="N53" s="76"/>
      <c r="O53" s="80">
        <f t="shared" si="11"/>
        <v>0</v>
      </c>
      <c r="P53" s="76" t="s">
        <v>225</v>
      </c>
      <c r="Q53" s="76">
        <v>5196</v>
      </c>
      <c r="R53" s="81">
        <f t="shared" si="8"/>
        <v>110</v>
      </c>
      <c r="S53" s="81" t="str">
        <f t="shared" si="9"/>
        <v/>
      </c>
      <c r="T53" s="82">
        <f>H53*[0]!FMainPool1Fee+I53*[0]!FMainPool2Fee+J53*[0]!FMainPool3Fee+K53*[0]!FMainPool4Fee+B53*[0]!FMainEntryFee</f>
        <v>110</v>
      </c>
      <c r="U53" s="83">
        <v>1</v>
      </c>
      <c r="V53" s="84"/>
      <c r="X53" s="88"/>
      <c r="Y53" s="88"/>
    </row>
    <row r="54" spans="1:25" x14ac:dyDescent="0.2">
      <c r="A54" s="75">
        <f t="shared" si="7"/>
        <v>43</v>
      </c>
      <c r="B54" s="76">
        <v>1</v>
      </c>
      <c r="C54" s="4" t="s">
        <v>55</v>
      </c>
      <c r="D54" s="4" t="s">
        <v>9</v>
      </c>
      <c r="E54" s="5" t="s">
        <v>71</v>
      </c>
      <c r="F54" s="77">
        <v>7074845031</v>
      </c>
      <c r="G54" s="86" t="s">
        <v>56</v>
      </c>
      <c r="H54" s="79">
        <v>1</v>
      </c>
      <c r="I54" s="76">
        <v>1</v>
      </c>
      <c r="J54" s="76">
        <v>1</v>
      </c>
      <c r="K54" s="76"/>
      <c r="L54" s="76"/>
      <c r="M54" s="76"/>
      <c r="N54" s="76"/>
      <c r="O54" s="80">
        <f t="shared" si="11"/>
        <v>0</v>
      </c>
      <c r="P54" s="76" t="s">
        <v>225</v>
      </c>
      <c r="Q54" s="76">
        <v>7346</v>
      </c>
      <c r="R54" s="81">
        <f t="shared" si="8"/>
        <v>110</v>
      </c>
      <c r="S54" s="81" t="str">
        <f t="shared" si="9"/>
        <v/>
      </c>
      <c r="T54" s="82">
        <f>H54*[0]!FMainPool1Fee+I54*[0]!FMainPool2Fee+J54*[0]!FMainPool3Fee+K54*[0]!FMainPool4Fee+B54*[0]!FMainEntryFee</f>
        <v>110</v>
      </c>
      <c r="U54" s="83"/>
      <c r="V54" s="87"/>
      <c r="X54" s="88"/>
      <c r="Y54" s="88"/>
    </row>
    <row r="55" spans="1:25" x14ac:dyDescent="0.2">
      <c r="A55" s="75">
        <f t="shared" si="7"/>
        <v>44</v>
      </c>
      <c r="B55" s="76">
        <v>1</v>
      </c>
      <c r="C55" s="92" t="s">
        <v>208</v>
      </c>
      <c r="D55" s="92" t="s">
        <v>20</v>
      </c>
      <c r="E55" s="87" t="s">
        <v>209</v>
      </c>
      <c r="F55" s="127">
        <v>7074393166</v>
      </c>
      <c r="G55" s="92" t="s">
        <v>133</v>
      </c>
      <c r="H55" s="79">
        <v>1</v>
      </c>
      <c r="I55" s="76"/>
      <c r="J55" s="76">
        <v>1</v>
      </c>
      <c r="K55" s="76"/>
      <c r="L55" s="76"/>
      <c r="M55" s="76"/>
      <c r="N55" s="76">
        <v>1</v>
      </c>
      <c r="O55" s="80">
        <f t="shared" si="11"/>
        <v>100</v>
      </c>
      <c r="P55" s="76" t="s">
        <v>230</v>
      </c>
      <c r="Q55" s="76"/>
      <c r="R55" s="81" t="str">
        <f t="shared" si="8"/>
        <v/>
      </c>
      <c r="S55" s="81">
        <f t="shared" si="9"/>
        <v>100</v>
      </c>
      <c r="T55" s="82">
        <f>H55*[0]!FMainPool1Fee+I55*[0]!FMainPool2Fee+J55*[0]!FMainPool3Fee+K55*[0]!FMainPool4Fee+B55*[0]!FMainEntryFee</f>
        <v>100</v>
      </c>
      <c r="U55" s="83"/>
      <c r="V55" s="84"/>
      <c r="X55" s="88"/>
      <c r="Y55" s="88"/>
    </row>
    <row r="56" spans="1:25" x14ac:dyDescent="0.2">
      <c r="A56" s="75">
        <f t="shared" si="7"/>
        <v>45</v>
      </c>
      <c r="B56" s="76">
        <v>1</v>
      </c>
      <c r="C56" s="1" t="s">
        <v>12</v>
      </c>
      <c r="D56" s="1" t="s">
        <v>5</v>
      </c>
      <c r="E56" s="2" t="s">
        <v>77</v>
      </c>
      <c r="F56" s="100">
        <v>5105046905</v>
      </c>
      <c r="G56" s="78" t="s">
        <v>141</v>
      </c>
      <c r="H56" s="79">
        <v>1</v>
      </c>
      <c r="I56" s="76">
        <v>1</v>
      </c>
      <c r="J56" s="76">
        <v>1</v>
      </c>
      <c r="K56" s="76">
        <v>1</v>
      </c>
      <c r="L56" s="76">
        <v>1</v>
      </c>
      <c r="M56" s="76"/>
      <c r="N56" s="76"/>
      <c r="O56" s="80">
        <f t="shared" si="11"/>
        <v>0</v>
      </c>
      <c r="P56" s="76" t="s">
        <v>225</v>
      </c>
      <c r="Q56" s="76">
        <v>4939</v>
      </c>
      <c r="R56" s="81">
        <f t="shared" si="8"/>
        <v>160</v>
      </c>
      <c r="S56" s="81" t="str">
        <f t="shared" si="9"/>
        <v/>
      </c>
      <c r="T56" s="82">
        <f>H56*[0]!FMainPool1Fee+I56*[0]!FMainPool2Fee+J56*[0]!FMainPool3Fee+K56*[0]!FMainPool4Fee+B56*[0]!FMainEntryFee</f>
        <v>160</v>
      </c>
      <c r="U56" s="83">
        <v>1</v>
      </c>
      <c r="V56" s="84"/>
      <c r="W56" s="89"/>
      <c r="X56" s="88"/>
      <c r="Y56" s="88"/>
    </row>
    <row r="57" spans="1:25" x14ac:dyDescent="0.2">
      <c r="A57" s="75">
        <f t="shared" si="7"/>
        <v>46</v>
      </c>
      <c r="B57" s="76">
        <v>1</v>
      </c>
      <c r="C57" s="4" t="s">
        <v>81</v>
      </c>
      <c r="D57" s="4" t="s">
        <v>83</v>
      </c>
      <c r="E57" s="5" t="s">
        <v>82</v>
      </c>
      <c r="F57" s="95" t="s">
        <v>142</v>
      </c>
      <c r="G57" s="86" t="s">
        <v>87</v>
      </c>
      <c r="H57" s="79">
        <v>1</v>
      </c>
      <c r="I57" s="76">
        <v>1</v>
      </c>
      <c r="J57" s="76">
        <v>1</v>
      </c>
      <c r="K57" s="76">
        <v>1</v>
      </c>
      <c r="L57" s="76"/>
      <c r="M57" s="76"/>
      <c r="N57" s="76"/>
      <c r="O57" s="80">
        <f t="shared" si="11"/>
        <v>0</v>
      </c>
      <c r="P57" s="76" t="s">
        <v>225</v>
      </c>
      <c r="Q57" s="76">
        <v>141</v>
      </c>
      <c r="R57" s="81">
        <f t="shared" si="8"/>
        <v>160</v>
      </c>
      <c r="S57" s="81" t="str">
        <f t="shared" si="9"/>
        <v/>
      </c>
      <c r="T57" s="82">
        <f>H57*[0]!FMainPool1Fee+I57*[0]!FMainPool2Fee+J57*[0]!FMainPool3Fee+K57*[0]!FMainPool4Fee+B57*[0]!FMainEntryFee</f>
        <v>160</v>
      </c>
      <c r="U57" s="83"/>
      <c r="V57" s="84"/>
      <c r="X57" s="88"/>
      <c r="Y57" s="88"/>
    </row>
    <row r="58" spans="1:25" x14ac:dyDescent="0.2">
      <c r="A58" s="75">
        <f t="shared" si="7"/>
        <v>47</v>
      </c>
      <c r="B58" s="76">
        <v>1</v>
      </c>
      <c r="C58" s="4" t="s">
        <v>244</v>
      </c>
      <c r="D58" s="4" t="s">
        <v>23</v>
      </c>
      <c r="E58" s="5" t="s">
        <v>245</v>
      </c>
      <c r="F58" s="95">
        <v>4086670073</v>
      </c>
      <c r="G58" s="98" t="s">
        <v>246</v>
      </c>
      <c r="H58" s="79"/>
      <c r="I58" s="76"/>
      <c r="J58" s="76"/>
      <c r="K58" s="76"/>
      <c r="L58" s="76"/>
      <c r="M58" s="76"/>
      <c r="N58" s="76"/>
      <c r="O58" s="80">
        <f t="shared" si="11"/>
        <v>0</v>
      </c>
      <c r="P58" s="76" t="s">
        <v>225</v>
      </c>
      <c r="Q58" s="76">
        <v>1034</v>
      </c>
      <c r="R58" s="81">
        <f t="shared" si="8"/>
        <v>70</v>
      </c>
      <c r="S58" s="81" t="str">
        <f t="shared" si="9"/>
        <v/>
      </c>
      <c r="T58" s="82">
        <f>H58*[0]!FMainPool1Fee+I58*[0]!FMainPool2Fee+J58*[0]!FMainPool3Fee+K58*[0]!FMainPool4Fee+B58*[0]!FMainEntryFee</f>
        <v>70</v>
      </c>
      <c r="U58" s="83"/>
      <c r="V58" s="84"/>
      <c r="X58" s="88"/>
      <c r="Y58" s="88"/>
    </row>
    <row r="59" spans="1:25" x14ac:dyDescent="0.2">
      <c r="A59" s="75">
        <f t="shared" si="7"/>
        <v>48</v>
      </c>
      <c r="B59" s="76">
        <v>1</v>
      </c>
      <c r="C59" s="1" t="s">
        <v>240</v>
      </c>
      <c r="D59" s="1" t="s">
        <v>5</v>
      </c>
      <c r="E59" s="2" t="s">
        <v>242</v>
      </c>
      <c r="F59" s="90">
        <v>7072944291</v>
      </c>
      <c r="G59" s="78" t="s">
        <v>241</v>
      </c>
      <c r="H59" s="79">
        <v>1</v>
      </c>
      <c r="I59" s="76"/>
      <c r="J59" s="76"/>
      <c r="K59" s="76"/>
      <c r="L59" s="76"/>
      <c r="M59" s="76"/>
      <c r="N59" s="76"/>
      <c r="O59" s="80">
        <f t="shared" si="11"/>
        <v>0</v>
      </c>
      <c r="P59" s="76" t="s">
        <v>225</v>
      </c>
      <c r="Q59" s="76">
        <v>1376</v>
      </c>
      <c r="R59" s="81">
        <f t="shared" si="8"/>
        <v>80</v>
      </c>
      <c r="S59" s="81" t="str">
        <f t="shared" si="9"/>
        <v/>
      </c>
      <c r="T59" s="82">
        <f>H59*[0]!FMainPool1Fee+I59*[0]!FMainPool2Fee+J59*[0]!FMainPool3Fee+K59*[0]!FMainPool4Fee+B59*[0]!FMainEntryFee</f>
        <v>80</v>
      </c>
      <c r="U59" s="83"/>
      <c r="V59" s="95"/>
      <c r="X59" s="88"/>
      <c r="Y59" s="88"/>
    </row>
    <row r="60" spans="1:25" x14ac:dyDescent="0.2">
      <c r="A60" s="75">
        <f t="shared" si="7"/>
        <v>49</v>
      </c>
      <c r="B60" s="76">
        <v>1</v>
      </c>
      <c r="C60" s="4" t="s">
        <v>104</v>
      </c>
      <c r="D60" s="4" t="s">
        <v>22</v>
      </c>
      <c r="E60" s="5" t="s">
        <v>105</v>
      </c>
      <c r="F60" s="77">
        <v>7075991826</v>
      </c>
      <c r="G60" s="86" t="s">
        <v>109</v>
      </c>
      <c r="H60" s="79">
        <v>1</v>
      </c>
      <c r="I60" s="76">
        <v>1</v>
      </c>
      <c r="J60" s="76">
        <v>1</v>
      </c>
      <c r="K60" s="76">
        <v>1</v>
      </c>
      <c r="L60" s="76">
        <v>1</v>
      </c>
      <c r="M60" s="76"/>
      <c r="N60" s="76"/>
      <c r="O60" s="80">
        <f t="shared" si="11"/>
        <v>0</v>
      </c>
      <c r="P60" s="76" t="s">
        <v>225</v>
      </c>
      <c r="Q60" s="76">
        <v>1508</v>
      </c>
      <c r="R60" s="81">
        <f t="shared" si="8"/>
        <v>160</v>
      </c>
      <c r="S60" s="81" t="str">
        <f t="shared" si="9"/>
        <v/>
      </c>
      <c r="T60" s="82">
        <f>H60*[0]!FMainPool1Fee+I60*[0]!FMainPool2Fee+J60*[0]!FMainPool3Fee+K60*[0]!FMainPool4Fee+B60*[0]!FMainEntryFee</f>
        <v>160</v>
      </c>
      <c r="U60" s="83"/>
      <c r="V60" s="84"/>
      <c r="X60" s="88"/>
      <c r="Y60" s="88"/>
    </row>
    <row r="61" spans="1:25" x14ac:dyDescent="0.2">
      <c r="A61" s="75">
        <f t="shared" si="7"/>
        <v>50</v>
      </c>
      <c r="B61" s="76">
        <v>1</v>
      </c>
      <c r="C61" s="1" t="s">
        <v>21</v>
      </c>
      <c r="D61" s="1" t="s">
        <v>22</v>
      </c>
      <c r="E61" s="2" t="s">
        <v>68</v>
      </c>
      <c r="F61" s="100">
        <v>7075994605</v>
      </c>
      <c r="G61" s="92" t="s">
        <v>143</v>
      </c>
      <c r="H61" s="79">
        <v>1</v>
      </c>
      <c r="I61" s="76">
        <v>1</v>
      </c>
      <c r="J61" s="76">
        <v>1</v>
      </c>
      <c r="K61" s="76">
        <v>1</v>
      </c>
      <c r="L61" s="76">
        <v>1</v>
      </c>
      <c r="M61" s="76"/>
      <c r="N61" s="76"/>
      <c r="O61" s="80">
        <f t="shared" si="11"/>
        <v>0</v>
      </c>
      <c r="P61" s="76" t="s">
        <v>225</v>
      </c>
      <c r="Q61" s="76">
        <v>1508</v>
      </c>
      <c r="R61" s="81">
        <v>160</v>
      </c>
      <c r="S61" s="81" t="str">
        <f t="shared" si="9"/>
        <v/>
      </c>
      <c r="T61" s="82">
        <f>H61*[0]!FMainPool1Fee+I61*[0]!FMainPool2Fee+J61*[0]!FMainPool3Fee+K61*[0]!FMainPool4Fee+B61*[0]!FMainEntryFee</f>
        <v>160</v>
      </c>
      <c r="U61" s="83"/>
      <c r="V61" s="87"/>
      <c r="W61"/>
      <c r="X61" s="88"/>
      <c r="Y61" s="88"/>
    </row>
    <row r="62" spans="1:25" ht="16" x14ac:dyDescent="0.2">
      <c r="A62" s="75">
        <f t="shared" si="7"/>
        <v>51</v>
      </c>
      <c r="B62" s="76">
        <v>1</v>
      </c>
      <c r="C62" s="101" t="s">
        <v>226</v>
      </c>
      <c r="D62" s="101" t="s">
        <v>227</v>
      </c>
      <c r="E62" s="5" t="s">
        <v>228</v>
      </c>
      <c r="F62" s="128">
        <v>7752876408</v>
      </c>
      <c r="G62" s="78" t="s">
        <v>229</v>
      </c>
      <c r="H62" s="79">
        <v>1</v>
      </c>
      <c r="I62" s="76"/>
      <c r="J62" s="76"/>
      <c r="K62" s="76"/>
      <c r="L62" s="76"/>
      <c r="M62" s="76"/>
      <c r="N62" s="76"/>
      <c r="O62" s="80">
        <f t="shared" si="11"/>
        <v>0</v>
      </c>
      <c r="P62" s="76" t="s">
        <v>230</v>
      </c>
      <c r="Q62" s="76"/>
      <c r="R62" s="81" t="str">
        <f t="shared" ref="R62:R73" si="12">IF(OR(P62="c",P62="C"),+T62,"")</f>
        <v/>
      </c>
      <c r="S62" s="81">
        <f t="shared" si="9"/>
        <v>80</v>
      </c>
      <c r="T62" s="82">
        <f>H62*[0]!FMainPool1Fee+I62*[0]!FMainPool2Fee+J62*[0]!FMainPool3Fee+K62*[0]!FMainPool4Fee+B62*[0]!FMainEntryFee</f>
        <v>80</v>
      </c>
      <c r="U62" s="83"/>
      <c r="V62" s="84"/>
      <c r="X62" s="88"/>
      <c r="Y62" s="88"/>
    </row>
    <row r="63" spans="1:25" x14ac:dyDescent="0.2">
      <c r="A63" s="75">
        <f t="shared" si="7"/>
        <v>52</v>
      </c>
      <c r="B63" s="76">
        <v>1</v>
      </c>
      <c r="C63" s="4" t="s">
        <v>124</v>
      </c>
      <c r="D63" s="4" t="s">
        <v>131</v>
      </c>
      <c r="E63" s="5" t="s">
        <v>125</v>
      </c>
      <c r="F63" s="77">
        <v>7076641532</v>
      </c>
      <c r="G63" s="78" t="s">
        <v>144</v>
      </c>
      <c r="H63" s="79"/>
      <c r="I63" s="76">
        <v>1</v>
      </c>
      <c r="J63" s="76">
        <v>1</v>
      </c>
      <c r="K63" s="76"/>
      <c r="L63" s="76"/>
      <c r="M63" s="76"/>
      <c r="N63" s="76"/>
      <c r="O63" s="80">
        <f t="shared" si="11"/>
        <v>0</v>
      </c>
      <c r="P63" s="76" t="s">
        <v>225</v>
      </c>
      <c r="Q63" s="76">
        <v>204</v>
      </c>
      <c r="R63" s="81">
        <f t="shared" si="12"/>
        <v>100</v>
      </c>
      <c r="S63" s="81" t="str">
        <f t="shared" si="9"/>
        <v/>
      </c>
      <c r="T63" s="82">
        <f>H63*[0]!FMainPool1Fee+I63*[0]!FMainPool2Fee+J63*[0]!FMainPool3Fee+K63*[0]!FMainPool4Fee+B63*[0]!FMainEntryFee</f>
        <v>100</v>
      </c>
      <c r="U63" s="83"/>
      <c r="V63" s="84"/>
      <c r="W63" s="89"/>
      <c r="X63" s="88"/>
      <c r="Y63" s="88"/>
    </row>
    <row r="64" spans="1:25" x14ac:dyDescent="0.2">
      <c r="A64" s="75">
        <f t="shared" si="7"/>
        <v>53</v>
      </c>
      <c r="B64" s="76">
        <v>1</v>
      </c>
      <c r="C64" s="4" t="s">
        <v>116</v>
      </c>
      <c r="D64" s="4" t="s">
        <v>5</v>
      </c>
      <c r="E64" s="5" t="s">
        <v>117</v>
      </c>
      <c r="F64" s="95" t="s">
        <v>145</v>
      </c>
      <c r="G64" s="86" t="s">
        <v>146</v>
      </c>
      <c r="H64" s="79">
        <v>1</v>
      </c>
      <c r="I64" s="76">
        <v>1</v>
      </c>
      <c r="J64" s="76">
        <v>1</v>
      </c>
      <c r="K64" s="76"/>
      <c r="L64" s="76"/>
      <c r="M64" s="76"/>
      <c r="N64" s="76"/>
      <c r="O64" s="80">
        <f t="shared" si="11"/>
        <v>0</v>
      </c>
      <c r="P64" s="76" t="s">
        <v>230</v>
      </c>
      <c r="Q64" s="76"/>
      <c r="R64" s="81" t="str">
        <f t="shared" si="12"/>
        <v/>
      </c>
      <c r="S64" s="81">
        <f t="shared" si="9"/>
        <v>110</v>
      </c>
      <c r="T64" s="82">
        <f>H64*[0]!FMainPool1Fee+I64*[0]!FMainPool2Fee+J64*[0]!FMainPool3Fee+K64*[0]!FMainPool4Fee+B64*[0]!FMainEntryFee</f>
        <v>110</v>
      </c>
      <c r="U64" s="83"/>
      <c r="V64" s="91"/>
      <c r="X64" s="88"/>
      <c r="Y64" s="88"/>
    </row>
    <row r="65" spans="1:25" x14ac:dyDescent="0.2">
      <c r="A65" s="75">
        <f t="shared" si="7"/>
        <v>54</v>
      </c>
      <c r="B65" s="76">
        <v>1</v>
      </c>
      <c r="C65" s="4" t="s">
        <v>234</v>
      </c>
      <c r="D65" s="4" t="s">
        <v>5</v>
      </c>
      <c r="E65" s="5" t="s">
        <v>235</v>
      </c>
      <c r="F65" s="127">
        <v>7074804517</v>
      </c>
      <c r="G65" s="78" t="s">
        <v>236</v>
      </c>
      <c r="H65" s="79"/>
      <c r="I65" s="76"/>
      <c r="J65" s="76"/>
      <c r="K65" s="76"/>
      <c r="L65" s="76"/>
      <c r="M65" s="76"/>
      <c r="N65" s="76"/>
      <c r="O65" s="80">
        <f t="shared" si="11"/>
        <v>0</v>
      </c>
      <c r="P65" s="76" t="s">
        <v>230</v>
      </c>
      <c r="Q65" s="76"/>
      <c r="R65" s="81" t="str">
        <f t="shared" si="12"/>
        <v/>
      </c>
      <c r="S65" s="81">
        <f t="shared" si="9"/>
        <v>70</v>
      </c>
      <c r="T65" s="82">
        <f>H65*[0]!FMainPool1Fee+I65*[0]!FMainPool2Fee+J65*[0]!FMainPool3Fee+K65*[0]!FMainPool4Fee+B65*[0]!FMainEntryFee</f>
        <v>70</v>
      </c>
      <c r="U65" s="83"/>
      <c r="V65" s="91"/>
      <c r="X65" s="88"/>
      <c r="Y65" s="88"/>
    </row>
    <row r="66" spans="1:25" x14ac:dyDescent="0.2">
      <c r="A66" s="75">
        <f t="shared" si="7"/>
        <v>55</v>
      </c>
      <c r="B66" s="76">
        <v>1</v>
      </c>
      <c r="C66" s="4" t="s">
        <v>118</v>
      </c>
      <c r="D66" s="4" t="s">
        <v>5</v>
      </c>
      <c r="E66" s="5" t="s">
        <v>119</v>
      </c>
      <c r="F66" s="128">
        <v>5303666465</v>
      </c>
      <c r="G66" s="78" t="s">
        <v>147</v>
      </c>
      <c r="H66" s="79"/>
      <c r="I66" s="76">
        <v>1</v>
      </c>
      <c r="J66" s="76">
        <v>1</v>
      </c>
      <c r="K66" s="76"/>
      <c r="L66" s="76"/>
      <c r="M66" s="76"/>
      <c r="N66" s="76"/>
      <c r="O66" s="80">
        <f t="shared" si="11"/>
        <v>0</v>
      </c>
      <c r="P66" s="76" t="s">
        <v>225</v>
      </c>
      <c r="Q66" s="76">
        <v>8223</v>
      </c>
      <c r="R66" s="81">
        <f t="shared" si="12"/>
        <v>100</v>
      </c>
      <c r="S66" s="81" t="str">
        <f t="shared" si="9"/>
        <v/>
      </c>
      <c r="T66" s="82">
        <f>H66*[0]!FMainPool1Fee+I66*[0]!FMainPool2Fee+J66*[0]!FMainPool3Fee+K66*[0]!FMainPool4Fee+B66*[0]!FMainEntryFee</f>
        <v>100</v>
      </c>
      <c r="U66" s="83"/>
      <c r="V66" s="84"/>
      <c r="W66" s="89"/>
      <c r="X66" s="88"/>
      <c r="Y66" s="88"/>
    </row>
    <row r="67" spans="1:25" x14ac:dyDescent="0.2">
      <c r="A67" s="75">
        <f t="shared" si="7"/>
        <v>56</v>
      </c>
      <c r="B67" s="76">
        <v>1</v>
      </c>
      <c r="C67" s="1" t="s">
        <v>19</v>
      </c>
      <c r="D67" s="1" t="s">
        <v>5</v>
      </c>
      <c r="E67" s="2" t="s">
        <v>69</v>
      </c>
      <c r="F67" s="100">
        <v>7072524331</v>
      </c>
      <c r="G67" s="86" t="s">
        <v>110</v>
      </c>
      <c r="H67" s="79">
        <v>1</v>
      </c>
      <c r="I67" s="76">
        <v>1</v>
      </c>
      <c r="J67" s="76">
        <v>1</v>
      </c>
      <c r="K67" s="76"/>
      <c r="L67" s="76"/>
      <c r="M67" s="76"/>
      <c r="N67" s="76"/>
      <c r="O67" s="80">
        <f t="shared" si="11"/>
        <v>0</v>
      </c>
      <c r="P67" s="76" t="s">
        <v>225</v>
      </c>
      <c r="Q67" s="76">
        <v>677</v>
      </c>
      <c r="R67" s="81">
        <f t="shared" si="12"/>
        <v>110</v>
      </c>
      <c r="S67" s="81" t="str">
        <f t="shared" si="9"/>
        <v/>
      </c>
      <c r="T67" s="82">
        <f>H67*[0]!FMainPool1Fee+I67*[0]!FMainPool2Fee+J67*[0]!FMainPool3Fee+K67*[0]!FMainPool4Fee+B67*[0]!FMainEntryFee</f>
        <v>110</v>
      </c>
      <c r="U67" s="83"/>
      <c r="V67" s="102"/>
      <c r="W67"/>
      <c r="X67" s="88"/>
      <c r="Y67" s="88"/>
    </row>
    <row r="68" spans="1:25" x14ac:dyDescent="0.2">
      <c r="A68" s="75">
        <f t="shared" si="7"/>
        <v>57</v>
      </c>
      <c r="B68" s="76">
        <v>1</v>
      </c>
      <c r="C68" s="1" t="s">
        <v>31</v>
      </c>
      <c r="D68" s="1" t="s">
        <v>5</v>
      </c>
      <c r="E68" s="2" t="s">
        <v>70</v>
      </c>
      <c r="F68" s="100" t="s">
        <v>148</v>
      </c>
      <c r="G68" s="86" t="s">
        <v>111</v>
      </c>
      <c r="H68" s="79">
        <v>1</v>
      </c>
      <c r="I68" s="76"/>
      <c r="J68" s="76"/>
      <c r="K68" s="76"/>
      <c r="L68" s="76"/>
      <c r="M68" s="76">
        <v>1</v>
      </c>
      <c r="N68" s="76"/>
      <c r="O68" s="80">
        <f t="shared" si="11"/>
        <v>0</v>
      </c>
      <c r="P68" s="76" t="s">
        <v>225</v>
      </c>
      <c r="Q68" s="76">
        <v>677</v>
      </c>
      <c r="R68" s="81">
        <f t="shared" si="12"/>
        <v>80</v>
      </c>
      <c r="S68" s="81" t="str">
        <f t="shared" si="9"/>
        <v/>
      </c>
      <c r="T68" s="82">
        <f>H68*[0]!FMainPool1Fee+I68*[0]!FMainPool2Fee+J68*[0]!FMainPool3Fee+K68*[0]!FMainPool4Fee+B68*[0]!FMainEntryFee</f>
        <v>80</v>
      </c>
      <c r="U68" s="83"/>
      <c r="V68" s="102"/>
      <c r="W68"/>
      <c r="X68" s="88"/>
      <c r="Y68" s="88"/>
    </row>
    <row r="69" spans="1:25" x14ac:dyDescent="0.2">
      <c r="A69" s="75">
        <f t="shared" si="7"/>
        <v>58</v>
      </c>
      <c r="B69" s="76">
        <v>1</v>
      </c>
      <c r="C69" s="1" t="s">
        <v>35</v>
      </c>
      <c r="D69" s="1" t="s">
        <v>36</v>
      </c>
      <c r="E69" s="64" t="s">
        <v>78</v>
      </c>
      <c r="F69" s="77"/>
      <c r="G69" s="86" t="s">
        <v>103</v>
      </c>
      <c r="H69" s="79">
        <v>1</v>
      </c>
      <c r="I69" s="76"/>
      <c r="J69" s="76"/>
      <c r="K69" s="76"/>
      <c r="L69" s="76"/>
      <c r="M69" s="76"/>
      <c r="N69" s="76"/>
      <c r="O69" s="80">
        <f t="shared" si="11"/>
        <v>0</v>
      </c>
      <c r="P69" s="76" t="s">
        <v>225</v>
      </c>
      <c r="Q69" s="76">
        <v>2480</v>
      </c>
      <c r="R69" s="81">
        <f t="shared" si="12"/>
        <v>80</v>
      </c>
      <c r="S69" s="81" t="str">
        <f t="shared" si="9"/>
        <v/>
      </c>
      <c r="T69" s="82">
        <f>H69*[0]!FMainPool1Fee+I69*[0]!FMainPool2Fee+J69*[0]!FMainPool3Fee+K69*[0]!FMainPool4Fee+B69*[0]!FMainEntryFee</f>
        <v>80</v>
      </c>
      <c r="U69" s="83"/>
      <c r="V69" s="102"/>
      <c r="W69"/>
      <c r="X69" s="88"/>
      <c r="Y69" s="88"/>
    </row>
    <row r="70" spans="1:25" x14ac:dyDescent="0.2">
      <c r="A70" s="75">
        <f t="shared" si="7"/>
        <v>59</v>
      </c>
      <c r="B70" s="76">
        <v>1</v>
      </c>
      <c r="C70" s="4" t="s">
        <v>120</v>
      </c>
      <c r="D70" s="4" t="s">
        <v>9</v>
      </c>
      <c r="E70" s="5" t="s">
        <v>123</v>
      </c>
      <c r="F70" s="77">
        <v>7075290228</v>
      </c>
      <c r="G70" s="78" t="s">
        <v>149</v>
      </c>
      <c r="H70" s="79"/>
      <c r="I70" s="76"/>
      <c r="J70" s="76"/>
      <c r="K70" s="76"/>
      <c r="L70" s="76"/>
      <c r="M70" s="76"/>
      <c r="N70" s="76">
        <v>1</v>
      </c>
      <c r="O70" s="80">
        <f t="shared" si="11"/>
        <v>70</v>
      </c>
      <c r="P70" s="76" t="s">
        <v>230</v>
      </c>
      <c r="Q70" s="76"/>
      <c r="R70" s="81" t="str">
        <f t="shared" si="12"/>
        <v/>
      </c>
      <c r="S70" s="81">
        <f t="shared" si="9"/>
        <v>70</v>
      </c>
      <c r="T70" s="82">
        <f>H70*[0]!FMainPool1Fee+I70*[0]!FMainPool2Fee+J70*[0]!FMainPool3Fee+K70*[0]!FMainPool4Fee+B70*[0]!FMainEntryFee</f>
        <v>70</v>
      </c>
      <c r="U70" s="83"/>
      <c r="V70" s="103"/>
      <c r="W70"/>
      <c r="X70" s="88"/>
      <c r="Y70" s="88"/>
    </row>
    <row r="71" spans="1:25" x14ac:dyDescent="0.2">
      <c r="A71" s="75">
        <f t="shared" si="7"/>
        <v>60</v>
      </c>
      <c r="B71" s="76">
        <v>1</v>
      </c>
      <c r="C71" s="4" t="s">
        <v>287</v>
      </c>
      <c r="D71" s="4" t="s">
        <v>285</v>
      </c>
      <c r="E71" s="5" t="s">
        <v>288</v>
      </c>
      <c r="F71" s="3" t="s">
        <v>296</v>
      </c>
      <c r="G71" s="78" t="s">
        <v>289</v>
      </c>
      <c r="H71" s="79"/>
      <c r="I71" s="76"/>
      <c r="J71" s="76"/>
      <c r="K71" s="76"/>
      <c r="L71" s="76"/>
      <c r="M71" s="76"/>
      <c r="N71" s="76">
        <v>1</v>
      </c>
      <c r="O71" s="80">
        <f t="shared" si="11"/>
        <v>70</v>
      </c>
      <c r="P71" s="76" t="s">
        <v>230</v>
      </c>
      <c r="Q71" s="76"/>
      <c r="R71" s="81" t="str">
        <f t="shared" si="12"/>
        <v/>
      </c>
      <c r="S71" s="81">
        <f t="shared" si="9"/>
        <v>70</v>
      </c>
      <c r="T71" s="82">
        <f>H71*[0]!FMainPool1Fee+I71*[0]!FMainPool2Fee+J71*[0]!FMainPool3Fee+K71*[0]!FMainPool4Fee+B71*[0]!FMainEntryFee</f>
        <v>70</v>
      </c>
      <c r="U71" s="83"/>
      <c r="V71" s="103"/>
      <c r="W71"/>
      <c r="X71" s="88"/>
      <c r="Y71" s="88"/>
    </row>
    <row r="72" spans="1:25" x14ac:dyDescent="0.2">
      <c r="A72" s="75">
        <f t="shared" si="7"/>
        <v>61</v>
      </c>
      <c r="B72" s="76">
        <v>1</v>
      </c>
      <c r="C72" s="4" t="s">
        <v>277</v>
      </c>
      <c r="D72" s="4" t="s">
        <v>5</v>
      </c>
      <c r="E72" s="5" t="s">
        <v>121</v>
      </c>
      <c r="F72" s="77">
        <v>7078150886</v>
      </c>
      <c r="G72" s="78" t="s">
        <v>150</v>
      </c>
      <c r="H72" s="79"/>
      <c r="I72" s="76">
        <v>1</v>
      </c>
      <c r="J72" s="76">
        <v>1</v>
      </c>
      <c r="K72" s="76"/>
      <c r="L72" s="76"/>
      <c r="M72" s="76"/>
      <c r="N72" s="76"/>
      <c r="O72" s="80">
        <f t="shared" si="11"/>
        <v>0</v>
      </c>
      <c r="P72" s="76" t="s">
        <v>225</v>
      </c>
      <c r="Q72" s="76">
        <v>3948</v>
      </c>
      <c r="R72" s="81">
        <f t="shared" si="12"/>
        <v>100</v>
      </c>
      <c r="S72" s="81" t="str">
        <f t="shared" si="9"/>
        <v/>
      </c>
      <c r="T72" s="82">
        <f>H72*[0]!FMainPool1Fee+I72*[0]!FMainPool2Fee+J72*[0]!FMainPool3Fee+K72*[0]!FMainPool4Fee+B72*[0]!FMainEntryFee</f>
        <v>100</v>
      </c>
      <c r="U72" s="83"/>
      <c r="V72" s="102"/>
      <c r="W72"/>
      <c r="X72" s="88"/>
      <c r="Y72" s="88"/>
    </row>
    <row r="73" spans="1:25" x14ac:dyDescent="0.2">
      <c r="A73" s="75">
        <f t="shared" si="7"/>
        <v>62</v>
      </c>
      <c r="B73" s="76">
        <v>1</v>
      </c>
      <c r="C73" s="92" t="s">
        <v>210</v>
      </c>
      <c r="D73" s="92" t="s">
        <v>26</v>
      </c>
      <c r="E73" s="87" t="s">
        <v>211</v>
      </c>
      <c r="F73" s="95">
        <v>5103661378</v>
      </c>
      <c r="G73" s="78" t="s">
        <v>212</v>
      </c>
      <c r="H73" s="79">
        <v>1</v>
      </c>
      <c r="I73" s="76">
        <v>1</v>
      </c>
      <c r="J73" s="76"/>
      <c r="K73" s="76"/>
      <c r="L73" s="76"/>
      <c r="M73" s="76"/>
      <c r="N73" s="76"/>
      <c r="O73" s="80">
        <f t="shared" si="11"/>
        <v>0</v>
      </c>
      <c r="P73" s="76" t="s">
        <v>225</v>
      </c>
      <c r="Q73" s="76">
        <v>317</v>
      </c>
      <c r="R73" s="81">
        <f t="shared" si="12"/>
        <v>90</v>
      </c>
      <c r="S73" s="81" t="str">
        <f t="shared" si="9"/>
        <v/>
      </c>
      <c r="T73" s="82">
        <f>H73*[0]!FMainPool1Fee+I73*[0]!FMainPool2Fee+J73*[0]!FMainPool3Fee+K73*[0]!FMainPool4Fee+B73*[0]!FMainEntryFee</f>
        <v>90</v>
      </c>
      <c r="U73" s="83"/>
      <c r="V73" s="102"/>
      <c r="W73"/>
      <c r="X73" s="88"/>
      <c r="Y73" s="88"/>
    </row>
    <row r="74" spans="1:25" x14ac:dyDescent="0.2">
      <c r="A74" s="24"/>
    </row>
    <row r="75" spans="1:25" x14ac:dyDescent="0.2">
      <c r="A75" s="24"/>
    </row>
  </sheetData>
  <sheetProtection selectLockedCells="1"/>
  <sortState xmlns:xlrd2="http://schemas.microsoft.com/office/spreadsheetml/2017/richdata2" ref="A12:Z73">
    <sortCondition ref="C12:C73"/>
  </sortState>
  <dataConsolidate/>
  <mergeCells count="4">
    <mergeCell ref="K2:N2"/>
    <mergeCell ref="K3:N3"/>
    <mergeCell ref="K4:N4"/>
    <mergeCell ref="K5:L5"/>
  </mergeCells>
  <hyperlinks>
    <hyperlink ref="G63" r:id="rId1" xr:uid="{00000000-0004-0000-0200-000001000000}"/>
    <hyperlink ref="G23" r:id="rId2" xr:uid="{00000000-0004-0000-0200-000005000000}"/>
    <hyperlink ref="G28" r:id="rId3" xr:uid="{00000000-0004-0000-0200-000006000000}"/>
    <hyperlink ref="G40" r:id="rId4" xr:uid="{00000000-0004-0000-0200-00000B000000}"/>
    <hyperlink ref="G41" r:id="rId5" xr:uid="{00000000-0004-0000-0200-00000D000000}"/>
    <hyperlink ref="G56" r:id="rId6" xr:uid="{00000000-0004-0000-0200-00000E000000}"/>
    <hyperlink ref="G66" r:id="rId7" xr:uid="{00000000-0004-0000-0200-000012000000}"/>
    <hyperlink ref="G72" r:id="rId8" xr:uid="{00000000-0004-0000-0200-000014000000}"/>
    <hyperlink ref="G21" r:id="rId9" xr:uid="{00000000-0004-0000-0200-000018000000}"/>
    <hyperlink ref="G44" r:id="rId10" xr:uid="{00000000-0004-0000-0200-000019000000}"/>
    <hyperlink ref="G73" r:id="rId11" xr:uid="{00000000-0004-0000-0200-000021000000}"/>
    <hyperlink ref="G62" r:id="rId12" xr:uid="{C9FC4D91-6CDD-1D4B-A4F6-3CC4DD985103}"/>
    <hyperlink ref="G50" r:id="rId13" xr:uid="{8CC2D16E-A360-EA40-9446-7C67566D1B72}"/>
    <hyperlink ref="G65" r:id="rId14" xr:uid="{BDDCC081-09A8-A24D-935F-78D4BC5084FF}"/>
    <hyperlink ref="G18" r:id="rId15" xr:uid="{F05D68B8-E23C-BA47-8F12-51FB1817BF4D}"/>
    <hyperlink ref="G59" r:id="rId16" xr:uid="{2998ED75-3559-EF4F-AEF6-140E8C4C066B}"/>
    <hyperlink ref="G58" r:id="rId17" xr:uid="{4A142947-CF52-A847-875E-734EBD617487}"/>
    <hyperlink ref="G38" r:id="rId18" xr:uid="{A641355E-E6A1-C44E-86C5-7F2697961AA7}"/>
    <hyperlink ref="G33" r:id="rId19" xr:uid="{93374F1D-18A2-C948-B565-37C19D65A8AA}"/>
    <hyperlink ref="G34" r:id="rId20" xr:uid="{4A7F4F62-FF30-AB40-88A0-EF8D4F320D99}"/>
    <hyperlink ref="G22" r:id="rId21" xr:uid="{DFCC0718-A5F8-F248-86EE-E83FA2DD44D6}"/>
    <hyperlink ref="G13" r:id="rId22" xr:uid="{2A3E5490-CF3A-C94D-B79F-25C116027C1C}"/>
    <hyperlink ref="G47" r:id="rId23" xr:uid="{35679D76-BBCD-6C40-8909-63073594D66A}"/>
    <hyperlink ref="G17" r:id="rId24" xr:uid="{72038E91-6EB8-A84A-9FAB-B13D5E98C5E6}"/>
    <hyperlink ref="G70" r:id="rId25" xr:uid="{00000000-0004-0000-0200-000013000000}"/>
    <hyperlink ref="G71" r:id="rId26" xr:uid="{F9E30B5D-A845-7240-B63A-A6C2B79A0C5B}"/>
    <hyperlink ref="G32" r:id="rId27" xr:uid="{87A67BE0-D1DF-604A-9F98-DD754845B303}"/>
    <hyperlink ref="G29" r:id="rId28" xr:uid="{6ECF9D50-3BEE-D84A-8F0F-0F5E6D859CD1}"/>
  </hyperlinks>
  <pageMargins left="0.25" right="0.25" top="0.75" bottom="0.75" header="0.3" footer="0.3"/>
  <pageSetup scale="51" orientation="landscape" r:id="rId29"/>
  <drawing r:id="rId30"/>
  <legacyDrawing r:id="rId3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2" name="WhereAmI">
              <controlPr defaultSize="0" print="0" autoFill="0" autoPict="0" macro="[0]!ThisWorkbook.WhereAmI_Click">
                <anchor moveWithCells="1" sizeWithCells="1">
                  <from>
                    <xdr:col>19</xdr:col>
                    <xdr:colOff>50800</xdr:colOff>
                    <xdr:row>1</xdr:row>
                    <xdr:rowOff>12700</xdr:rowOff>
                  </from>
                  <to>
                    <xdr:col>20</xdr:col>
                    <xdr:colOff>304800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33" name="WhoAmI">
              <controlPr defaultSize="0" print="0" autoFill="0" autoPict="0" macro="[0]!Sheet1.WhoAmI_Click">
                <anchor moveWithCells="1">
                  <from>
                    <xdr:col>19</xdr:col>
                    <xdr:colOff>50800</xdr:colOff>
                    <xdr:row>3</xdr:row>
                    <xdr:rowOff>152400</xdr:rowOff>
                  </from>
                  <to>
                    <xdr:col>20</xdr:col>
                    <xdr:colOff>304800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34" name="SetupTourney">
              <controlPr defaultSize="0" print="0" autoFill="0" autoPict="0" macro="[0]!Sheet1.SetUpTourney_Click">
                <anchor moveWithCells="1" sizeWithCells="1">
                  <from>
                    <xdr:col>1</xdr:col>
                    <xdr:colOff>330200</xdr:colOff>
                    <xdr:row>1</xdr:row>
                    <xdr:rowOff>12700</xdr:rowOff>
                  </from>
                  <to>
                    <xdr:col>2</xdr:col>
                    <xdr:colOff>977900</xdr:colOff>
                    <xdr:row>2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35" name="SetupMain">
              <controlPr defaultSize="0" print="0" autoFill="0" autoPict="0" macro="[0]!Sheet1.SetupMain_Click">
                <anchor moveWithCells="1" sizeWithCells="1">
                  <from>
                    <xdr:col>1</xdr:col>
                    <xdr:colOff>330200</xdr:colOff>
                    <xdr:row>3</xdr:row>
                    <xdr:rowOff>25400</xdr:rowOff>
                  </from>
                  <to>
                    <xdr:col>2</xdr:col>
                    <xdr:colOff>977900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36" name="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1206500</xdr:colOff>
                    <xdr:row>3</xdr:row>
                    <xdr:rowOff>38100</xdr:rowOff>
                  </from>
                  <to>
                    <xdr:col>3</xdr:col>
                    <xdr:colOff>673100</xdr:colOff>
                    <xdr:row>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37" name="SortAlpha">
              <controlPr defaultSize="0" print="0" autoFill="0" autoPict="0" macro="[0]!SortAlpha_Click">
                <anchor moveWithCells="1" sizeWithCells="1">
                  <from>
                    <xdr:col>2</xdr:col>
                    <xdr:colOff>1206500</xdr:colOff>
                    <xdr:row>1</xdr:row>
                    <xdr:rowOff>12700</xdr:rowOff>
                  </from>
                  <to>
                    <xdr:col>3</xdr:col>
                    <xdr:colOff>673100</xdr:colOff>
                    <xdr:row>2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38" name="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1206500</xdr:colOff>
                    <xdr:row>5</xdr:row>
                    <xdr:rowOff>38100</xdr:rowOff>
                  </from>
                  <to>
                    <xdr:col>3</xdr:col>
                    <xdr:colOff>673100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39" name="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876300</xdr:colOff>
                    <xdr:row>3</xdr:row>
                    <xdr:rowOff>25400</xdr:rowOff>
                  </from>
                  <to>
                    <xdr:col>4</xdr:col>
                    <xdr:colOff>482600</xdr:colOff>
                    <xdr:row>4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40" name="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876300</xdr:colOff>
                    <xdr:row>1</xdr:row>
                    <xdr:rowOff>12700</xdr:rowOff>
                  </from>
                  <to>
                    <xdr:col>4</xdr:col>
                    <xdr:colOff>482600</xdr:colOff>
                    <xdr:row>2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41" name="ShowHide">
              <controlPr defaultSize="0" print="0" autoFill="0" autoPict="0" macro="[0]!Sheet1.showhide_Click">
                <anchor moveWithCells="1" sizeWithCells="1">
                  <from>
                    <xdr:col>3</xdr:col>
                    <xdr:colOff>876300</xdr:colOff>
                    <xdr:row>5</xdr:row>
                    <xdr:rowOff>38100</xdr:rowOff>
                  </from>
                  <to>
                    <xdr:col>4</xdr:col>
                    <xdr:colOff>482600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42" name="SaveAndClose">
              <controlPr defaultSize="0" print="0" autoFill="0" autoPict="0" macro="[0]!SaveAndClose_Click">
                <anchor moveWithCells="1" sizeWithCells="1">
                  <from>
                    <xdr:col>17</xdr:col>
                    <xdr:colOff>25400</xdr:colOff>
                    <xdr:row>3</xdr:row>
                    <xdr:rowOff>152400</xdr:rowOff>
                  </from>
                  <to>
                    <xdr:col>18</xdr:col>
                    <xdr:colOff>279400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43" name="SaveAndContinue">
              <controlPr defaultSize="0" print="0" autoFill="0" autoPict="0" macro="[0]!SaveEverything_Click">
                <anchor moveWithCells="1" sizeWithCells="1">
                  <from>
                    <xdr:col>14</xdr:col>
                    <xdr:colOff>25400</xdr:colOff>
                    <xdr:row>1</xdr:row>
                    <xdr:rowOff>12700</xdr:rowOff>
                  </from>
                  <to>
                    <xdr:col>15</xdr:col>
                    <xdr:colOff>330200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44" name="ClearRegistration">
              <controlPr defaultSize="0" print="0" autoFill="0" autoPict="0" macro="[0]!ClearRegistration_Click">
                <anchor moveWithCells="1" sizeWithCells="1">
                  <from>
                    <xdr:col>17</xdr:col>
                    <xdr:colOff>25400</xdr:colOff>
                    <xdr:row>1</xdr:row>
                    <xdr:rowOff>12700</xdr:rowOff>
                  </from>
                  <to>
                    <xdr:col>18</xdr:col>
                    <xdr:colOff>279400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45" name="Validation">
              <controlPr defaultSize="0" print="0" autoFill="0" autoPict="0" macro="[0]!Validation_Click">
                <anchor moveWithCells="1" sizeWithCells="1">
                  <from>
                    <xdr:col>14</xdr:col>
                    <xdr:colOff>25400</xdr:colOff>
                    <xdr:row>3</xdr:row>
                    <xdr:rowOff>152400</xdr:rowOff>
                  </from>
                  <to>
                    <xdr:col>15</xdr:col>
                    <xdr:colOff>330200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46" name="Button 40">
              <controlPr defaultSize="0" print="0" autoFill="0" autoPict="0" macro="[0]!ThisWorkbook.ClearEverything_Click">
                <anchor moveWithCells="1" sizeWithCells="1">
                  <from>
                    <xdr:col>21</xdr:col>
                    <xdr:colOff>63500</xdr:colOff>
                    <xdr:row>1</xdr:row>
                    <xdr:rowOff>12700</xdr:rowOff>
                  </from>
                  <to>
                    <xdr:col>21</xdr:col>
                    <xdr:colOff>1130300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47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317500</xdr:colOff>
                    <xdr:row>5</xdr:row>
                    <xdr:rowOff>38100</xdr:rowOff>
                  </from>
                  <to>
                    <xdr:col>2</xdr:col>
                    <xdr:colOff>965200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48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317500</xdr:colOff>
                    <xdr:row>5</xdr:row>
                    <xdr:rowOff>38100</xdr:rowOff>
                  </from>
                  <to>
                    <xdr:col>2</xdr:col>
                    <xdr:colOff>965200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3:J59"/>
  <sheetViews>
    <sheetView workbookViewId="0">
      <selection activeCell="A10" sqref="A10:XFD19"/>
    </sheetView>
  </sheetViews>
  <sheetFormatPr baseColWidth="10" defaultColWidth="8.83203125" defaultRowHeight="15" x14ac:dyDescent="0.2"/>
  <cols>
    <col min="1" max="1" width="38.83203125" customWidth="1"/>
    <col min="2" max="2" width="30.33203125" customWidth="1"/>
    <col min="3" max="3" width="21.83203125" customWidth="1"/>
    <col min="4" max="4" width="12.33203125" customWidth="1"/>
    <col min="5" max="5" width="11.83203125" customWidth="1"/>
    <col min="6" max="6" width="10.6640625" customWidth="1"/>
    <col min="7" max="7" width="15.1640625" customWidth="1"/>
    <col min="8" max="8" width="6.5" hidden="1" customWidth="1"/>
    <col min="9" max="9" width="15" customWidth="1"/>
    <col min="10" max="10" width="17.33203125" customWidth="1"/>
    <col min="13" max="13" width="19.5" customWidth="1"/>
  </cols>
  <sheetData>
    <row r="3" spans="1:10" x14ac:dyDescent="0.2">
      <c r="I3" s="35"/>
      <c r="J3" s="62"/>
    </row>
    <row r="7" spans="1:10" ht="31" x14ac:dyDescent="0.35">
      <c r="A7" s="109" t="s">
        <v>194</v>
      </c>
    </row>
    <row r="8" spans="1:10" x14ac:dyDescent="0.2">
      <c r="I8" s="29"/>
    </row>
    <row r="9" spans="1:10" ht="36" customHeight="1" x14ac:dyDescent="0.3">
      <c r="A9" s="110" t="s">
        <v>0</v>
      </c>
      <c r="B9" s="111" t="s">
        <v>126</v>
      </c>
      <c r="C9" s="112" t="s">
        <v>2</v>
      </c>
      <c r="D9" s="113" t="s">
        <v>297</v>
      </c>
      <c r="E9" s="113" t="s">
        <v>298</v>
      </c>
      <c r="F9" s="113" t="s">
        <v>299</v>
      </c>
      <c r="G9" s="113" t="s">
        <v>300</v>
      </c>
      <c r="H9" s="113" t="s">
        <v>3</v>
      </c>
      <c r="I9" s="114" t="s">
        <v>276</v>
      </c>
      <c r="J9" s="115" t="s">
        <v>39</v>
      </c>
    </row>
    <row r="10" spans="1:10" ht="26" x14ac:dyDescent="0.3">
      <c r="A10" s="106" t="s">
        <v>155</v>
      </c>
      <c r="B10" s="116" t="s">
        <v>151</v>
      </c>
      <c r="C10" s="121" t="s">
        <v>72</v>
      </c>
      <c r="D10" s="118">
        <v>1</v>
      </c>
      <c r="E10" s="119"/>
      <c r="F10" s="119"/>
      <c r="G10" s="119"/>
      <c r="H10" s="119"/>
      <c r="I10" s="120">
        <v>80</v>
      </c>
      <c r="J10" s="107"/>
    </row>
    <row r="11" spans="1:10" ht="26" x14ac:dyDescent="0.3">
      <c r="A11" s="106" t="s">
        <v>27</v>
      </c>
      <c r="B11" s="116" t="s">
        <v>135</v>
      </c>
      <c r="C11" s="121" t="s">
        <v>67</v>
      </c>
      <c r="D11" s="118">
        <v>1</v>
      </c>
      <c r="E11" s="119">
        <v>1</v>
      </c>
      <c r="F11" s="119">
        <v>1</v>
      </c>
      <c r="G11" s="119">
        <v>1</v>
      </c>
      <c r="H11" s="119">
        <v>1</v>
      </c>
      <c r="I11" s="120">
        <v>160</v>
      </c>
      <c r="J11" s="107"/>
    </row>
    <row r="12" spans="1:10" ht="26" x14ac:dyDescent="0.3">
      <c r="A12" s="108" t="s">
        <v>284</v>
      </c>
      <c r="B12" s="126">
        <v>5103043540</v>
      </c>
      <c r="C12" s="122" t="s">
        <v>286</v>
      </c>
      <c r="D12" s="118">
        <v>1</v>
      </c>
      <c r="E12" s="119"/>
      <c r="F12" s="119"/>
      <c r="G12" s="119"/>
      <c r="H12" s="119"/>
      <c r="I12" s="120">
        <v>80</v>
      </c>
      <c r="J12" s="107"/>
    </row>
    <row r="13" spans="1:10" ht="26" x14ac:dyDescent="0.3">
      <c r="A13" s="108" t="s">
        <v>79</v>
      </c>
      <c r="B13" s="116" t="s">
        <v>138</v>
      </c>
      <c r="C13" s="122" t="s">
        <v>80</v>
      </c>
      <c r="D13" s="118">
        <v>1</v>
      </c>
      <c r="E13" s="119"/>
      <c r="F13" s="119"/>
      <c r="G13" s="119"/>
      <c r="H13" s="119"/>
      <c r="I13" s="120">
        <v>80</v>
      </c>
      <c r="J13" s="107"/>
    </row>
    <row r="14" spans="1:10" ht="26" x14ac:dyDescent="0.3">
      <c r="A14" s="108" t="s">
        <v>282</v>
      </c>
      <c r="B14" s="124">
        <v>5104930824</v>
      </c>
      <c r="C14" s="122" t="s">
        <v>283</v>
      </c>
      <c r="D14" s="118">
        <v>1</v>
      </c>
      <c r="E14" s="119"/>
      <c r="F14" s="119"/>
      <c r="G14" s="119"/>
      <c r="H14" s="119"/>
      <c r="I14" s="120">
        <v>80</v>
      </c>
      <c r="J14" s="107"/>
    </row>
    <row r="15" spans="1:10" ht="26" x14ac:dyDescent="0.3">
      <c r="A15" s="107" t="s">
        <v>206</v>
      </c>
      <c r="B15" s="116">
        <v>7078892101</v>
      </c>
      <c r="C15" s="117" t="s">
        <v>207</v>
      </c>
      <c r="D15" s="118">
        <v>1</v>
      </c>
      <c r="E15" s="119">
        <v>1</v>
      </c>
      <c r="F15" s="119">
        <v>1</v>
      </c>
      <c r="G15" s="119"/>
      <c r="H15" s="119"/>
      <c r="I15" s="120">
        <v>110</v>
      </c>
      <c r="J15" s="107"/>
    </row>
    <row r="16" spans="1:10" ht="26" x14ac:dyDescent="0.3">
      <c r="A16" s="106" t="s">
        <v>231</v>
      </c>
      <c r="B16" s="123"/>
      <c r="C16" s="121" t="s">
        <v>232</v>
      </c>
      <c r="D16" s="118"/>
      <c r="E16" s="119"/>
      <c r="F16" s="119">
        <v>1</v>
      </c>
      <c r="G16" s="119"/>
      <c r="H16" s="119"/>
      <c r="I16" s="120">
        <v>90</v>
      </c>
      <c r="J16" s="107"/>
    </row>
    <row r="17" spans="1:10" ht="26" x14ac:dyDescent="0.3">
      <c r="A17" s="107" t="s">
        <v>208</v>
      </c>
      <c r="B17" s="116">
        <v>7074393166</v>
      </c>
      <c r="C17" s="117" t="s">
        <v>209</v>
      </c>
      <c r="D17" s="118">
        <v>1</v>
      </c>
      <c r="E17" s="119"/>
      <c r="F17" s="119">
        <v>1</v>
      </c>
      <c r="G17" s="119"/>
      <c r="H17" s="119"/>
      <c r="I17" s="120">
        <v>100</v>
      </c>
      <c r="J17" s="107"/>
    </row>
    <row r="18" spans="1:10" ht="26" x14ac:dyDescent="0.3">
      <c r="A18" s="108" t="s">
        <v>120</v>
      </c>
      <c r="B18" s="124">
        <v>7075290228</v>
      </c>
      <c r="C18" s="122" t="s">
        <v>123</v>
      </c>
      <c r="D18" s="118"/>
      <c r="E18" s="119"/>
      <c r="F18" s="119"/>
      <c r="G18" s="119"/>
      <c r="H18" s="119"/>
      <c r="I18" s="120">
        <v>70</v>
      </c>
      <c r="J18" s="107"/>
    </row>
    <row r="19" spans="1:10" ht="26" x14ac:dyDescent="0.3">
      <c r="A19" s="108" t="s">
        <v>287</v>
      </c>
      <c r="B19" s="124"/>
      <c r="C19" s="122" t="s">
        <v>288</v>
      </c>
      <c r="D19" s="118"/>
      <c r="E19" s="119"/>
      <c r="F19" s="119"/>
      <c r="G19" s="119"/>
      <c r="H19" s="119"/>
      <c r="I19" s="120">
        <v>70</v>
      </c>
      <c r="J19" s="107"/>
    </row>
    <row r="20" spans="1:10" x14ac:dyDescent="0.2">
      <c r="J20" s="54"/>
    </row>
    <row r="21" spans="1:10" x14ac:dyDescent="0.2">
      <c r="J21" s="54"/>
    </row>
    <row r="22" spans="1:10" x14ac:dyDescent="0.2">
      <c r="J22" s="54"/>
    </row>
    <row r="23" spans="1:10" x14ac:dyDescent="0.2">
      <c r="J23" s="54"/>
    </row>
    <row r="24" spans="1:10" x14ac:dyDescent="0.2">
      <c r="J24" s="54"/>
    </row>
    <row r="25" spans="1:10" x14ac:dyDescent="0.2">
      <c r="J25" s="54"/>
    </row>
    <row r="26" spans="1:10" x14ac:dyDescent="0.2">
      <c r="J26" s="54"/>
    </row>
    <row r="27" spans="1:10" x14ac:dyDescent="0.2">
      <c r="J27" s="54"/>
    </row>
    <row r="28" spans="1:10" x14ac:dyDescent="0.2">
      <c r="J28" s="54"/>
    </row>
    <row r="29" spans="1:10" x14ac:dyDescent="0.2">
      <c r="J29" s="54"/>
    </row>
    <row r="30" spans="1:10" x14ac:dyDescent="0.2">
      <c r="J30" s="54"/>
    </row>
    <row r="31" spans="1:10" x14ac:dyDescent="0.2">
      <c r="J31" s="54"/>
    </row>
    <row r="32" spans="1:10" x14ac:dyDescent="0.2">
      <c r="J32" s="54"/>
    </row>
    <row r="33" spans="10:10" x14ac:dyDescent="0.2">
      <c r="J33" s="54"/>
    </row>
    <row r="34" spans="10:10" x14ac:dyDescent="0.2">
      <c r="J34" s="54"/>
    </row>
    <row r="35" spans="10:10" x14ac:dyDescent="0.2">
      <c r="J35" s="54"/>
    </row>
    <row r="36" spans="10:10" x14ac:dyDescent="0.2">
      <c r="J36" s="54"/>
    </row>
    <row r="37" spans="10:10" x14ac:dyDescent="0.2">
      <c r="J37" s="54"/>
    </row>
    <row r="38" spans="10:10" x14ac:dyDescent="0.2">
      <c r="J38" s="54"/>
    </row>
    <row r="39" spans="10:10" x14ac:dyDescent="0.2">
      <c r="J39" s="54"/>
    </row>
    <row r="40" spans="10:10" x14ac:dyDescent="0.2">
      <c r="J40" s="54"/>
    </row>
    <row r="41" spans="10:10" x14ac:dyDescent="0.2">
      <c r="J41" s="54"/>
    </row>
    <row r="42" spans="10:10" x14ac:dyDescent="0.2">
      <c r="J42" s="54"/>
    </row>
    <row r="43" spans="10:10" x14ac:dyDescent="0.2">
      <c r="J43" s="54"/>
    </row>
    <row r="44" spans="10:10" x14ac:dyDescent="0.2">
      <c r="J44" s="54"/>
    </row>
    <row r="45" spans="10:10" x14ac:dyDescent="0.2">
      <c r="J45" s="54"/>
    </row>
    <row r="46" spans="10:10" x14ac:dyDescent="0.2">
      <c r="J46" s="54"/>
    </row>
    <row r="47" spans="10:10" x14ac:dyDescent="0.2">
      <c r="J47" s="54"/>
    </row>
    <row r="48" spans="10:10" x14ac:dyDescent="0.2">
      <c r="J48" s="54"/>
    </row>
    <row r="49" spans="10:10" x14ac:dyDescent="0.2">
      <c r="J49" s="54"/>
    </row>
    <row r="50" spans="10:10" x14ac:dyDescent="0.2">
      <c r="J50" s="54"/>
    </row>
    <row r="51" spans="10:10" x14ac:dyDescent="0.2">
      <c r="J51" s="54"/>
    </row>
    <row r="52" spans="10:10" x14ac:dyDescent="0.2">
      <c r="J52" s="54"/>
    </row>
    <row r="53" spans="10:10" x14ac:dyDescent="0.2">
      <c r="J53" s="54"/>
    </row>
    <row r="54" spans="10:10" x14ac:dyDescent="0.2">
      <c r="J54" s="54"/>
    </row>
    <row r="55" spans="10:10" x14ac:dyDescent="0.2">
      <c r="J55" s="54"/>
    </row>
    <row r="56" spans="10:10" x14ac:dyDescent="0.2">
      <c r="J56" s="54"/>
    </row>
    <row r="57" spans="10:10" x14ac:dyDescent="0.2">
      <c r="J57" s="54"/>
    </row>
    <row r="58" spans="10:10" x14ac:dyDescent="0.2">
      <c r="J58" s="54"/>
    </row>
    <row r="59" spans="10:10" x14ac:dyDescent="0.2">
      <c r="J59" s="54"/>
    </row>
  </sheetData>
  <sortState xmlns:xlrd2="http://schemas.microsoft.com/office/spreadsheetml/2017/richdata2" ref="A11:J19">
    <sortCondition ref="A11:A19"/>
  </sortState>
  <pageMargins left="0.25" right="0.25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C5:J14"/>
  <sheetViews>
    <sheetView zoomScale="109" zoomScaleNormal="109" workbookViewId="0">
      <selection activeCell="D37" sqref="D37"/>
    </sheetView>
  </sheetViews>
  <sheetFormatPr baseColWidth="10" defaultColWidth="8.83203125" defaultRowHeight="15" x14ac:dyDescent="0.2"/>
  <cols>
    <col min="3" max="3" width="24" customWidth="1"/>
    <col min="4" max="4" width="25.1640625" customWidth="1"/>
    <col min="5" max="5" width="13.1640625" customWidth="1"/>
  </cols>
  <sheetData>
    <row r="5" spans="3:10" ht="22" thickBot="1" x14ac:dyDescent="0.3">
      <c r="C5" s="55" t="s">
        <v>46</v>
      </c>
    </row>
    <row r="6" spans="3:10" ht="16" thickBot="1" x14ac:dyDescent="0.25">
      <c r="C6" s="65" t="s">
        <v>213</v>
      </c>
      <c r="D6" s="65" t="s">
        <v>1</v>
      </c>
      <c r="E6" s="66" t="s">
        <v>214</v>
      </c>
      <c r="F6" s="35"/>
      <c r="G6" s="62"/>
      <c r="H6" s="35"/>
      <c r="I6" s="35"/>
      <c r="J6" s="62"/>
    </row>
    <row r="7" spans="3:10" x14ac:dyDescent="0.2">
      <c r="C7" s="4" t="s">
        <v>270</v>
      </c>
      <c r="D7" s="1" t="s">
        <v>8</v>
      </c>
      <c r="E7" s="2" t="s">
        <v>60</v>
      </c>
      <c r="G7" s="3"/>
      <c r="J7" s="3"/>
    </row>
    <row r="8" spans="3:10" x14ac:dyDescent="0.2">
      <c r="C8" s="1" t="s">
        <v>37</v>
      </c>
      <c r="D8" s="53" t="s">
        <v>88</v>
      </c>
      <c r="E8" s="67" t="s">
        <v>202</v>
      </c>
      <c r="F8" s="63"/>
      <c r="G8" s="64"/>
      <c r="H8" s="63"/>
      <c r="I8" s="63"/>
      <c r="J8" s="64"/>
    </row>
    <row r="9" spans="3:10" x14ac:dyDescent="0.2">
      <c r="C9" s="1" t="s">
        <v>31</v>
      </c>
      <c r="D9" s="4" t="s">
        <v>48</v>
      </c>
      <c r="E9" s="5" t="s">
        <v>76</v>
      </c>
      <c r="F9" s="63"/>
      <c r="G9" s="64"/>
      <c r="H9" s="63"/>
      <c r="I9" s="63"/>
      <c r="J9" s="64"/>
    </row>
    <row r="10" spans="3:10" x14ac:dyDescent="0.2">
      <c r="C10" s="1"/>
      <c r="D10" s="1"/>
      <c r="E10" s="2"/>
      <c r="G10" s="3"/>
      <c r="J10" s="3"/>
    </row>
    <row r="11" spans="3:10" x14ac:dyDescent="0.2">
      <c r="C11" s="53"/>
      <c r="D11" s="53"/>
      <c r="E11" s="67"/>
      <c r="F11" s="35"/>
      <c r="G11" s="62"/>
      <c r="H11" s="35"/>
      <c r="I11" s="35"/>
      <c r="J11" s="62"/>
    </row>
    <row r="12" spans="3:10" x14ac:dyDescent="0.2">
      <c r="C12" s="4"/>
      <c r="D12" s="4"/>
      <c r="E12" s="5"/>
      <c r="F12" s="63"/>
      <c r="G12" s="64"/>
      <c r="H12" s="63"/>
      <c r="I12" s="63"/>
      <c r="J12" s="64"/>
    </row>
    <row r="13" spans="3:10" x14ac:dyDescent="0.2">
      <c r="C13" s="1"/>
      <c r="D13" s="1"/>
      <c r="E13" s="2"/>
      <c r="F13" s="63"/>
      <c r="G13" s="63"/>
      <c r="H13" s="63"/>
      <c r="I13" s="63"/>
      <c r="J13" s="64"/>
    </row>
    <row r="14" spans="3:10" x14ac:dyDescent="0.2">
      <c r="C14" s="1"/>
      <c r="D14" s="1"/>
      <c r="E14" s="2"/>
      <c r="F14" s="63"/>
      <c r="G14" s="63"/>
      <c r="H14" s="63"/>
      <c r="I14" s="63"/>
      <c r="J14" s="64"/>
    </row>
  </sheetData>
  <pageMargins left="0.7" right="0.7" top="0.75" bottom="0.75" header="0.3" footer="0.3"/>
  <pageSetup orientation="portrait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C5:C13"/>
  <sheetViews>
    <sheetView workbookViewId="0">
      <selection activeCell="C31" sqref="C31"/>
    </sheetView>
  </sheetViews>
  <sheetFormatPr baseColWidth="10" defaultColWidth="8.83203125" defaultRowHeight="15" x14ac:dyDescent="0.2"/>
  <cols>
    <col min="3" max="3" width="30.6640625" customWidth="1"/>
  </cols>
  <sheetData>
    <row r="5" spans="3:3" ht="32" thickBot="1" x14ac:dyDescent="0.4">
      <c r="C5" s="104" t="s">
        <v>99</v>
      </c>
    </row>
    <row r="6" spans="3:3" ht="27" thickBot="1" x14ac:dyDescent="0.35">
      <c r="C6" s="105" t="s">
        <v>213</v>
      </c>
    </row>
    <row r="7" spans="3:3" ht="26" x14ac:dyDescent="0.3">
      <c r="C7" s="106" t="s">
        <v>6</v>
      </c>
    </row>
    <row r="8" spans="3:3" ht="26" x14ac:dyDescent="0.3">
      <c r="C8" s="106" t="s">
        <v>84</v>
      </c>
    </row>
    <row r="9" spans="3:3" ht="26" x14ac:dyDescent="0.3">
      <c r="C9" s="107" t="s">
        <v>206</v>
      </c>
    </row>
    <row r="10" spans="3:3" ht="26" x14ac:dyDescent="0.3">
      <c r="C10" s="106" t="s">
        <v>13</v>
      </c>
    </row>
    <row r="11" spans="3:3" ht="26" x14ac:dyDescent="0.3">
      <c r="C11" s="106" t="s">
        <v>12</v>
      </c>
    </row>
    <row r="12" spans="3:3" ht="26" x14ac:dyDescent="0.3">
      <c r="C12" s="108"/>
    </row>
    <row r="13" spans="3:3" ht="26" x14ac:dyDescent="0.3">
      <c r="C13" s="106"/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113</vt:i4>
      </vt:variant>
    </vt:vector>
  </HeadingPairs>
  <TitlesOfParts>
    <vt:vector size="119" baseType="lpstr">
      <vt:lpstr>Tourney</vt:lpstr>
      <vt:lpstr>Main Setup</vt:lpstr>
      <vt:lpstr>Entries</vt:lpstr>
      <vt:lpstr>UnPaid</vt:lpstr>
      <vt:lpstr>Anchors</vt:lpstr>
      <vt:lpstr>Veggies</vt:lpstr>
      <vt:lpstr>FConsyPoolWarningMessage</vt:lpstr>
      <vt:lpstr>FMainAccFee</vt:lpstr>
      <vt:lpstr>FMainEntryFee</vt:lpstr>
      <vt:lpstr>FMainFixedDonation</vt:lpstr>
      <vt:lpstr>FMainFixedFee</vt:lpstr>
      <vt:lpstr>FMainGames</vt:lpstr>
      <vt:lpstr>FMainNumberOfDays</vt:lpstr>
      <vt:lpstr>FMainPerCapitaDonation</vt:lpstr>
      <vt:lpstr>FMainPool1Fee</vt:lpstr>
      <vt:lpstr>FMainPool1Type</vt:lpstr>
      <vt:lpstr>FMainPool2Fee</vt:lpstr>
      <vt:lpstr>FMainPool2type</vt:lpstr>
      <vt:lpstr>FMainPool3Fee</vt:lpstr>
      <vt:lpstr>FMainPool3Type</vt:lpstr>
      <vt:lpstr>FMainPool4Fee</vt:lpstr>
      <vt:lpstr>FMainPool4Type</vt:lpstr>
      <vt:lpstr>FMainPoolEntryFees</vt:lpstr>
      <vt:lpstr>FMainPoolsSpecs</vt:lpstr>
      <vt:lpstr>FMainPoolTypes</vt:lpstr>
      <vt:lpstr>FMainPoolWarningMessage</vt:lpstr>
      <vt:lpstr>FMainSetUpGames</vt:lpstr>
      <vt:lpstr>FMainSetUpNumberOfDays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FNumberOfDays</vt:lpstr>
      <vt:lpstr>FRegAllAnchors</vt:lpstr>
      <vt:lpstr>FRegAllVeggies</vt:lpstr>
      <vt:lpstr>FRegAnchors</vt:lpstr>
      <vt:lpstr>FRegAnchorsAccNoHdr</vt:lpstr>
      <vt:lpstr>FRegAnchorsCityHdr</vt:lpstr>
      <vt:lpstr>FRegAnchorsNameHdr</vt:lpstr>
      <vt:lpstr>FRegAnchorsUserInput</vt:lpstr>
      <vt:lpstr>FRegCash</vt:lpstr>
      <vt:lpstr>FRegChecks</vt:lpstr>
      <vt:lpstr>FRegDueAtDoor</vt:lpstr>
      <vt:lpstr>FRegentiresEneteredHdr</vt:lpstr>
      <vt:lpstr>FRegEntriesAccNoHdr</vt:lpstr>
      <vt:lpstr>FRegEntriesAllEntered</vt:lpstr>
      <vt:lpstr>FRegEntriesAllInput</vt:lpstr>
      <vt:lpstr>FRegEntriesAllVeggies</vt:lpstr>
      <vt:lpstr>FRegEntriesAnchorHdr</vt:lpstr>
      <vt:lpstr>FRegEntriesDueAtDoorHdr</vt:lpstr>
      <vt:lpstr>FRegEntriesJudgeHdr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FRegEntriesVeggiesHdr</vt:lpstr>
      <vt:lpstr>FRegEntryCount</vt:lpstr>
      <vt:lpstr>FRegFirstAnchorName</vt:lpstr>
      <vt:lpstr>FRegFirstPlayer</vt:lpstr>
      <vt:lpstr>FRegFirstVeggieName</vt:lpstr>
      <vt:lpstr>FRegJudges</vt:lpstr>
      <vt:lpstr>FRegNotPaidCount</vt:lpstr>
      <vt:lpstr>FRegPool1Count</vt:lpstr>
      <vt:lpstr>FRegPool2Count</vt:lpstr>
      <vt:lpstr>FRegPool3Count</vt:lpstr>
      <vt:lpstr>FRegPool4Count</vt:lpstr>
      <vt:lpstr>FRegQualiferCount</vt:lpstr>
      <vt:lpstr>FRegTotalRevenue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FRegUnPaidCheckOffHdr</vt:lpstr>
      <vt:lpstr>FRegUnPaidCityHdr</vt:lpstr>
      <vt:lpstr>FRegUnPaidDueAtDoorHdr</vt:lpstr>
      <vt:lpstr>FRegUnPaidNameHdr</vt:lpstr>
      <vt:lpstr>FRegUnPaidPool1Hdr</vt:lpstr>
      <vt:lpstr>FRegUnpaidUserInput</vt:lpstr>
      <vt:lpstr>FRegVeggiesCount</vt:lpstr>
      <vt:lpstr>FRegVeggiesNameHdr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FTourneyPhone1</vt:lpstr>
      <vt:lpstr>FTourneyPhone2</vt:lpstr>
      <vt:lpstr>FTourneyPhone3</vt:lpstr>
      <vt:lpstr>FTourneyTabEntries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MainPool4Header</vt:lpstr>
      <vt:lpstr>Anchors!Print_Area</vt:lpstr>
      <vt:lpstr>Entries!Print_Area</vt:lpstr>
      <vt:lpstr>UnPaid!Print_Area</vt:lpstr>
      <vt:lpstr>RegistrationEnteredCount</vt:lpstr>
      <vt:lpstr>SortSpec</vt:lpstr>
      <vt:lpstr>x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Yvonne Bowers</cp:lastModifiedBy>
  <cp:lastPrinted>2024-04-12T21:56:30Z</cp:lastPrinted>
  <dcterms:created xsi:type="dcterms:W3CDTF">2014-07-30T14:06:58Z</dcterms:created>
  <dcterms:modified xsi:type="dcterms:W3CDTF">2024-04-19T18:08:38Z</dcterms:modified>
</cp:coreProperties>
</file>