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72559091-94FD-4C6B-A7E7-24DED9D37C52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01" i="1" l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S131" i="1" s="1"/>
  <c r="R131" i="1"/>
  <c r="T130" i="1"/>
  <c r="O130" i="1" s="1"/>
  <c r="S130" i="1"/>
  <c r="T129" i="1"/>
  <c r="O129" i="1" s="1"/>
  <c r="S129" i="1"/>
  <c r="T128" i="1"/>
  <c r="O128" i="1" s="1"/>
  <c r="S128" i="1"/>
  <c r="T127" i="1"/>
  <c r="S127" i="1" s="1"/>
  <c r="R127" i="1"/>
  <c r="T126" i="1"/>
  <c r="O126" i="1" s="1"/>
  <c r="S126" i="1"/>
  <c r="T125" i="1"/>
  <c r="O125" i="1" s="1"/>
  <c r="S125" i="1"/>
  <c r="T124" i="1"/>
  <c r="O124" i="1" s="1"/>
  <c r="S124" i="1"/>
  <c r="T123" i="1"/>
  <c r="S123" i="1" s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S94" i="1" s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T12" i="1"/>
  <c r="R12" i="1" s="1"/>
  <c r="S12" i="1"/>
  <c r="R63" i="1" l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23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<sst xmlns="http://schemas.openxmlformats.org/spreadsheetml/2006/main" count="1771" uniqueCount="763">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</sst>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969696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4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5" fillId="0" borderId="7" xfId="0" applyNumberFormat="1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ibbageDev/TourneyDev/TourneyVersion_Apr_20_2024/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8" t="s">
        <v>609</v>
      </c>
      <c r="D1" s="119"/>
      <c r="E1" s="120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1" t="s">
        <v>702</v>
      </c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1" t="s">
        <v>610</v>
      </c>
      <c r="C5" s="121" t="s">
        <v>699</v>
      </c>
      <c r="D5" s="122"/>
      <c r="E5" s="122"/>
      <c r="F5" s="122"/>
      <c r="G5" s="123"/>
    </row>
    <row r="6" spans="1:8" ht="15.75" thickBot="1" x14ac:dyDescent="0.3">
      <c r="H6" s="72"/>
    </row>
    <row r="7" spans="1:8" ht="16.5" thickBot="1" x14ac:dyDescent="0.3">
      <c r="A7" s="71" t="s">
        <v>611</v>
      </c>
      <c r="C7" s="121" t="s">
        <v>700</v>
      </c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16" t="s">
        <v>703</v>
      </c>
      <c r="D11" s="117"/>
      <c r="E11" s="116" t="s">
        <v>704</v>
      </c>
      <c r="F11" s="117"/>
      <c r="G11" s="116" t="s">
        <v>705</v>
      </c>
      <c r="H11" s="117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6" t="s">
        <v>706</v>
      </c>
      <c r="D13" s="117"/>
      <c r="E13" s="116" t="s">
        <v>707</v>
      </c>
      <c r="F13" s="117"/>
      <c r="G13" s="116" t="s">
        <v>562</v>
      </c>
      <c r="H13" s="117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6" t="s">
        <v>708</v>
      </c>
      <c r="D15" s="117"/>
      <c r="E15" s="116"/>
      <c r="F15" s="117"/>
      <c r="G15" s="116"/>
      <c r="H15" s="117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4" t="s">
        <v>609</v>
      </c>
      <c r="D2" s="125"/>
      <c r="E2" s="125"/>
      <c r="F2" s="125"/>
      <c r="G2" s="126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 t="s">
        <v>702</v>
      </c>
      <c r="C4" s="127"/>
      <c r="D4" s="127"/>
      <c r="E4" s="127"/>
      <c r="F4" s="127"/>
    </row>
    <row r="5" spans="1:7" x14ac:dyDescent="0.25">
      <c r="A5" s="4" t="s">
        <v>616</v>
      </c>
      <c r="B5" s="128" t="s">
        <v>699</v>
      </c>
      <c r="C5" s="128"/>
      <c r="D5" s="128"/>
      <c r="E5" s="128"/>
      <c r="F5" s="128"/>
    </row>
    <row r="6" spans="1:7" x14ac:dyDescent="0.25">
      <c r="A6" s="4" t="s">
        <v>617</v>
      </c>
      <c r="B6" s="128" t="s">
        <v>700</v>
      </c>
      <c r="C6" s="128"/>
      <c r="D6" s="128"/>
      <c r="E6" s="128"/>
      <c r="F6" s="128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9" t="s">
        <v>623</v>
      </c>
      <c r="D15" s="129"/>
      <c r="E15" s="129"/>
      <c r="F15" s="129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 t="s">
        <v>702</v>
      </c>
      <c r="C4" s="127"/>
      <c r="D4" s="127"/>
      <c r="E4" s="127"/>
      <c r="F4" s="127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9" t="s">
        <v>636</v>
      </c>
      <c r="D15" s="129"/>
      <c r="E15" s="129"/>
      <c r="F15" s="129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topLeftCell="A157" workbookViewId="0">
      <selection activeCell="T184" sqref="T184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3" t="s">
        <v>702</v>
      </c>
      <c r="L2" s="133"/>
      <c r="M2" s="133"/>
      <c r="N2" s="133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3" t="s">
        <v>699</v>
      </c>
      <c r="L3" s="133"/>
      <c r="M3" s="133"/>
      <c r="N3" s="133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3" t="s">
        <v>700</v>
      </c>
      <c r="L4" s="133"/>
      <c r="M4" s="133"/>
      <c r="N4" s="133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4">
        <v>45402</v>
      </c>
      <c r="L5" s="134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709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>T12*N12</f>
        <v>0</v>
      </c>
      <c r="P12" s="47" t="s">
        <v>701</v>
      </c>
      <c r="Q12" s="47">
        <v>909</v>
      </c>
      <c r="R12" s="95">
        <f>IF(OR(P12="c",P12="C"),+T12,"")</f>
        <v>100</v>
      </c>
      <c r="S12" s="95" t="str">
        <f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710</v>
      </c>
      <c r="D13" s="5" t="s">
        <v>103</v>
      </c>
      <c r="E13" s="6" t="s">
        <v>711</v>
      </c>
      <c r="F13" s="48">
        <v>9169894301</v>
      </c>
      <c r="G13" s="109" t="s">
        <v>712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701</v>
      </c>
      <c r="Q13" s="47">
        <v>909</v>
      </c>
      <c r="R13" s="95">
        <f>IF(OR(P13="c",P13="C"),+T13,"")</f>
        <v>100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>T14*N14</f>
        <v>80</v>
      </c>
      <c r="P14" s="47" t="s">
        <v>713</v>
      </c>
      <c r="Q14" s="47"/>
      <c r="R14" s="95" t="str">
        <f>IF(OR(P14="c",P14="C"),+T14,"")</f>
        <v/>
      </c>
      <c r="S14" s="95">
        <f>IF(OR(P14="$",N14=1),+T14,"")</f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>T15*N15</f>
        <v>0</v>
      </c>
      <c r="P15" s="47" t="s">
        <v>701</v>
      </c>
      <c r="Q15" s="47"/>
      <c r="R15" s="95">
        <f>IF(OR(P15="c",P15="C"),+T15,"")</f>
        <v>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9" t="s">
        <v>448</v>
      </c>
      <c r="H16" s="49"/>
      <c r="I16" s="47"/>
      <c r="J16" s="47"/>
      <c r="K16" s="47"/>
      <c r="L16" s="47"/>
      <c r="M16" s="47"/>
      <c r="N16" s="47"/>
      <c r="O16" s="94">
        <f>T16*N16</f>
        <v>0</v>
      </c>
      <c r="P16" s="47" t="s">
        <v>701</v>
      </c>
      <c r="Q16" s="47"/>
      <c r="R16" s="95">
        <f>IF(OR(P16="c",P16="C"),+T16,"")</f>
        <v>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701</v>
      </c>
      <c r="Q17" s="47"/>
      <c r="R17" s="95">
        <f>IF(OR(P17="c",P17="C"),+T17,"")</f>
        <v>0</v>
      </c>
      <c r="S17" s="95" t="str">
        <f>IF(OR(P17="$",N17=1),+T17,"")</f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>T18*N18</f>
        <v>0</v>
      </c>
      <c r="P18" s="47" t="s">
        <v>701</v>
      </c>
      <c r="Q18" s="47"/>
      <c r="R18" s="95">
        <f>IF(OR(P18="c",P18="C"),+T18,"")</f>
        <v>0</v>
      </c>
      <c r="S18" s="95" t="str">
        <f>IF(OR(P18="$",N18=1),+T18,"")</f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9" t="s">
        <v>451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 t="s">
        <v>701</v>
      </c>
      <c r="Q19" s="47"/>
      <c r="R19" s="95">
        <f>IF(OR(P19="c",P19="C"),+T19,"")</f>
        <v>0</v>
      </c>
      <c r="S19" s="95" t="str">
        <f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39"/>
      <c r="G20" s="103"/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/>
      <c r="R20" s="95">
        <f>IF(OR(P20="c",P20="C"),+T20,"")</f>
        <v>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10"/>
      <c r="G21" s="15"/>
      <c r="H21" s="49"/>
      <c r="I21" s="47"/>
      <c r="J21" s="47"/>
      <c r="K21" s="47"/>
      <c r="L21" s="47"/>
      <c r="M21" s="47"/>
      <c r="N21" s="47"/>
      <c r="O21" s="94">
        <f>T21*N21</f>
        <v>0</v>
      </c>
      <c r="P21" s="47" t="s">
        <v>701</v>
      </c>
      <c r="Q21" s="47"/>
      <c r="R21" s="95">
        <f>IF(OR(P21="c",P21="C"),+T21,"")</f>
        <v>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>
        <v>1</v>
      </c>
      <c r="C22" s="5" t="s">
        <v>27</v>
      </c>
      <c r="D22" s="5" t="s">
        <v>28</v>
      </c>
      <c r="E22" s="6" t="s">
        <v>714</v>
      </c>
      <c r="F22" s="59">
        <v>4087325550</v>
      </c>
      <c r="G22" s="12" t="s">
        <v>452</v>
      </c>
      <c r="H22" s="49">
        <v>1</v>
      </c>
      <c r="I22" s="47">
        <v>1</v>
      </c>
      <c r="J22" s="47">
        <v>1</v>
      </c>
      <c r="K22" s="47">
        <v>1</v>
      </c>
      <c r="L22" s="47">
        <v>1</v>
      </c>
      <c r="M22" s="47"/>
      <c r="N22" s="47"/>
      <c r="O22" s="94">
        <f>T22*N22</f>
        <v>0</v>
      </c>
      <c r="P22" s="47" t="s">
        <v>701</v>
      </c>
      <c r="Q22" s="47">
        <v>1015</v>
      </c>
      <c r="R22" s="95">
        <f>IF(OR(P22="c",P22="C"),+T22,"")</f>
        <v>160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160</v>
      </c>
      <c r="U22" s="51"/>
    </row>
    <row r="23" spans="1:21" x14ac:dyDescent="0.25">
      <c r="A23" s="46">
        <f t="shared" si="1"/>
        <v>12</v>
      </c>
      <c r="B23" s="47">
        <v>1</v>
      </c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>
        <v>1</v>
      </c>
      <c r="I23" s="47">
        <v>1</v>
      </c>
      <c r="J23" s="47">
        <v>1</v>
      </c>
      <c r="K23" s="47">
        <v>1</v>
      </c>
      <c r="L23" s="47"/>
      <c r="M23" s="47"/>
      <c r="N23" s="47"/>
      <c r="O23" s="94">
        <f>T23*N23</f>
        <v>0</v>
      </c>
      <c r="P23" s="47" t="s">
        <v>701</v>
      </c>
      <c r="Q23" s="47">
        <v>3403</v>
      </c>
      <c r="R23" s="95">
        <f>IF(OR(P23="c",P23="C"),+T23,"")</f>
        <v>160</v>
      </c>
      <c r="S23" s="95" t="str">
        <f>IF(OR(P23="$",N23=1),+T23,"")</f>
        <v/>
      </c>
      <c r="T23" s="96">
        <f>H23*[1]!FMainPool1Fee+I23*[1]!FMainPool2Fee+J23*[1]!FMainPool3Fee+K23*[1]!FMainPool4Fee+B23*[1]!FMainEntryFee</f>
        <v>160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9" t="s">
        <v>454</v>
      </c>
      <c r="H24" s="49"/>
      <c r="I24" s="47"/>
      <c r="J24" s="47"/>
      <c r="K24" s="47"/>
      <c r="L24" s="47"/>
      <c r="M24" s="47"/>
      <c r="N24" s="47"/>
      <c r="O24" s="94">
        <f>T24*N24</f>
        <v>0</v>
      </c>
      <c r="P24" s="47" t="s">
        <v>701</v>
      </c>
      <c r="Q24" s="47"/>
      <c r="R24" s="95">
        <f>IF(OR(P24="c",P24="C"),+T24,"")</f>
        <v>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137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>T25*N25</f>
        <v>0</v>
      </c>
      <c r="P25" s="47" t="s">
        <v>701</v>
      </c>
      <c r="Q25" s="47"/>
      <c r="R25" s="95">
        <f>IF(OR(P25="c",P25="C"),+T25,"")</f>
        <v>0</v>
      </c>
      <c r="S25" s="95" t="str">
        <f>IF(OR(P25="$",N25=1),+T25,"")</f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>
        <v>1</v>
      </c>
      <c r="C26" s="68" t="s">
        <v>643</v>
      </c>
      <c r="D26" s="68" t="s">
        <v>173</v>
      </c>
      <c r="E26" s="92" t="s">
        <v>644</v>
      </c>
      <c r="F26" s="110">
        <v>5305666454</v>
      </c>
      <c r="G26" s="111" t="s">
        <v>715</v>
      </c>
      <c r="H26" s="49">
        <v>1</v>
      </c>
      <c r="I26" s="47"/>
      <c r="J26" s="47"/>
      <c r="K26" s="47"/>
      <c r="L26" s="47">
        <v>1</v>
      </c>
      <c r="M26" s="47"/>
      <c r="N26" s="47"/>
      <c r="O26" s="94">
        <f>T26*N26</f>
        <v>0</v>
      </c>
      <c r="P26" s="47" t="s">
        <v>701</v>
      </c>
      <c r="Q26" s="112" t="s">
        <v>716</v>
      </c>
      <c r="R26" s="95">
        <f>IF(OR(P26="c",P26="C"),+T26,"")</f>
        <v>80</v>
      </c>
      <c r="S26" s="95" t="str">
        <f>IF(OR(P26="$",N26=1),+T26,"")</f>
        <v/>
      </c>
      <c r="T26" s="96">
        <f>H26*[1]!FMainPool1Fee+I26*[1]!FMainPool2Fee+J26*[1]!FMainPool3Fee+K26*[1]!FMainPool4Fee+B26*[1]!FMainEntryFee</f>
        <v>80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>T27*N27</f>
        <v>0</v>
      </c>
      <c r="P27" s="47" t="s">
        <v>701</v>
      </c>
      <c r="Q27" s="47"/>
      <c r="R27" s="95">
        <f>IF(OR(P27="c",P27="C"),+T27,"")</f>
        <v>0</v>
      </c>
      <c r="S27" s="95" t="str">
        <f>IF(OR(P27="$",N27=1),+T27,"")</f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10"/>
      <c r="G28" s="15"/>
      <c r="H28" s="49"/>
      <c r="I28" s="47"/>
      <c r="J28" s="47"/>
      <c r="K28" s="47"/>
      <c r="L28" s="47"/>
      <c r="M28" s="47"/>
      <c r="N28" s="47"/>
      <c r="O28" s="94">
        <f>T28*N28</f>
        <v>0</v>
      </c>
      <c r="P28" s="47" t="s">
        <v>701</v>
      </c>
      <c r="Q28" s="47"/>
      <c r="R28" s="95">
        <f>IF(OR(P28="c",P28="C"),+T28,"")</f>
        <v>0</v>
      </c>
      <c r="S28" s="95" t="str">
        <f>IF(OR(P28="$",N28=1),+T28,"")</f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10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>T29*N29</f>
        <v>0</v>
      </c>
      <c r="P29" s="47" t="s">
        <v>701</v>
      </c>
      <c r="Q29" s="47"/>
      <c r="R29" s="95">
        <f>IF(OR(P29="c",P29="C"),+T29,"")</f>
        <v>0</v>
      </c>
      <c r="S29" s="95" t="str">
        <f>IF(OR(P29="$",N29=1),+T29,"")</f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>T30*N30</f>
        <v>0</v>
      </c>
      <c r="P30" s="47" t="s">
        <v>701</v>
      </c>
      <c r="Q30" s="47"/>
      <c r="R30" s="95">
        <f>IF(OR(P30="c",P30="C"),+T30,"")</f>
        <v>0</v>
      </c>
      <c r="S30" s="95" t="str">
        <f>IF(OR(P30="$",N30=1),+T30,"")</f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>T31*N31</f>
        <v>0</v>
      </c>
      <c r="P31" s="47" t="s">
        <v>701</v>
      </c>
      <c r="Q31" s="47"/>
      <c r="R31" s="95">
        <f>IF(OR(P31="c",P31="C"),+T31,"")</f>
        <v>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>
        <v>1</v>
      </c>
      <c r="C32" s="7" t="s">
        <v>717</v>
      </c>
      <c r="D32" s="7" t="s">
        <v>67</v>
      </c>
      <c r="E32" s="8" t="s">
        <v>718</v>
      </c>
      <c r="F32" s="60">
        <v>7075994896</v>
      </c>
      <c r="G32" s="115" t="s">
        <v>719</v>
      </c>
      <c r="H32" s="49">
        <v>1</v>
      </c>
      <c r="I32" s="47">
        <v>1</v>
      </c>
      <c r="J32" s="47">
        <v>1</v>
      </c>
      <c r="K32" s="47"/>
      <c r="L32" s="47">
        <v>1</v>
      </c>
      <c r="M32" s="47"/>
      <c r="N32" s="47"/>
      <c r="O32" s="94"/>
      <c r="P32" s="47" t="s">
        <v>713</v>
      </c>
      <c r="Q32" s="47"/>
      <c r="R32" s="95" t="str">
        <f>IF(OR(P32="c",P32="C"),+T32,"")</f>
        <v/>
      </c>
      <c r="S32" s="95">
        <v>110</v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>T33*N33</f>
        <v>0</v>
      </c>
      <c r="P33" s="47" t="s">
        <v>701</v>
      </c>
      <c r="Q33" s="47"/>
      <c r="R33" s="95">
        <f>IF(OR(P33="c",P33="C"),+T33,"")</f>
        <v>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 t="s">
        <v>701</v>
      </c>
      <c r="Q34" s="47"/>
      <c r="R34" s="95">
        <f>IF(OR(P34="c",P34="C"),+T34,"")</f>
        <v>0</v>
      </c>
      <c r="S34" s="95" t="str">
        <f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/>
      <c r="R35" s="95">
        <f>IF(OR(P35="c",P35="C"),+T35,"")</f>
        <v>0</v>
      </c>
      <c r="S35" s="95" t="str">
        <f>IF(OR(P35="$",N35=1),+T35,"")</f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720</v>
      </c>
      <c r="D36" s="5" t="s">
        <v>235</v>
      </c>
      <c r="E36" s="6" t="s">
        <v>721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 t="s">
        <v>701</v>
      </c>
      <c r="Q36" s="47">
        <v>4818</v>
      </c>
      <c r="R36" s="95">
        <f>IF(OR(P36="c",P36="C"),+T36,"")</f>
        <v>0</v>
      </c>
      <c r="S36" s="95" t="str">
        <f>IF(OR(P36="$",N36=1),+T36,"")</f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/>
      <c r="R37" s="95">
        <f>IF(OR(P37="c",P37="C"),+T37,"")</f>
        <v>0</v>
      </c>
      <c r="S37" s="95" t="str">
        <f>IF(OR(P37="$",N37=1),+T37,"")</f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701</v>
      </c>
      <c r="Q38" s="47"/>
      <c r="R38" s="95">
        <f>IF(OR(P38="c",P38="C"),+T38,"")</f>
        <v>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>T39*N39</f>
        <v>0</v>
      </c>
      <c r="P39" s="47" t="s">
        <v>701</v>
      </c>
      <c r="Q39" s="47"/>
      <c r="R39" s="95">
        <f>IF(OR(P39="c",P39="C"),+T39,"")</f>
        <v>0</v>
      </c>
      <c r="S39" s="95" t="str">
        <f>IF(OR(P39="$",N39=1),+T39,"")</f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>T40*N40</f>
        <v>0</v>
      </c>
      <c r="P40" s="47" t="s">
        <v>701</v>
      </c>
      <c r="Q40" s="47"/>
      <c r="R40" s="95">
        <f>IF(OR(P40="c",P40="C"),+T40,"")</f>
        <v>0</v>
      </c>
      <c r="S40" s="95" t="str">
        <f>IF(OR(P40="$",N40=1),+T40,"")</f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9" t="s">
        <v>467</v>
      </c>
      <c r="H41" s="49"/>
      <c r="I41" s="47"/>
      <c r="J41" s="47"/>
      <c r="K41" s="47"/>
      <c r="L41" s="47"/>
      <c r="M41" s="47"/>
      <c r="N41" s="47"/>
      <c r="O41" s="94">
        <f>T41*N41</f>
        <v>0</v>
      </c>
      <c r="P41" s="47" t="s">
        <v>701</v>
      </c>
      <c r="Q41" s="47"/>
      <c r="R41" s="95">
        <f>IF(OR(P41="c",P41="C"),+T41,"")</f>
        <v>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>
        <v>1</v>
      </c>
      <c r="I42" s="47"/>
      <c r="J42" s="47"/>
      <c r="K42" s="47"/>
      <c r="L42" s="47">
        <v>1</v>
      </c>
      <c r="M42" s="47"/>
      <c r="N42" s="47"/>
      <c r="O42" s="94">
        <f>T42*N42</f>
        <v>0</v>
      </c>
      <c r="P42" s="47" t="s">
        <v>701</v>
      </c>
      <c r="Q42" s="47">
        <v>171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>T43*N43</f>
        <v>0</v>
      </c>
      <c r="P43" s="47" t="s">
        <v>701</v>
      </c>
      <c r="Q43" s="47"/>
      <c r="R43" s="95">
        <f>IF(OR(P43="c",P43="C"),+T43,"")</f>
        <v>0</v>
      </c>
      <c r="S43" s="95" t="str">
        <f>IF(OR(P43="$",N43=1),+T43,"")</f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3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>T44*N44</f>
        <v>0</v>
      </c>
      <c r="P44" s="47" t="s">
        <v>701</v>
      </c>
      <c r="Q44" s="47"/>
      <c r="R44" s="95">
        <f>IF(OR(P44="c",P44="C"),+T44,"")</f>
        <v>0</v>
      </c>
      <c r="S44" s="95" t="str">
        <f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>
        <v>1</v>
      </c>
      <c r="C45" s="15" t="s">
        <v>647</v>
      </c>
      <c r="D45" s="15" t="s">
        <v>45</v>
      </c>
      <c r="E45" s="10" t="s">
        <v>648</v>
      </c>
      <c r="F45" s="113">
        <v>7079744711</v>
      </c>
      <c r="G45" s="111" t="s">
        <v>649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 t="s">
        <v>701</v>
      </c>
      <c r="Q45" s="47">
        <v>1075</v>
      </c>
      <c r="R45" s="95">
        <f>IF(OR(P45="c",P45="C"),+T45,"")</f>
        <v>70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70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722</v>
      </c>
      <c r="D46" s="15" t="s">
        <v>67</v>
      </c>
      <c r="E46" s="10" t="s">
        <v>723</v>
      </c>
      <c r="F46" s="113">
        <v>7075027980</v>
      </c>
      <c r="G46" s="111" t="s">
        <v>724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4"/>
      <c r="P46" s="47" t="s">
        <v>713</v>
      </c>
      <c r="Q46" s="47"/>
      <c r="R46" s="95" t="str">
        <f>IF(OR(P46="c",P46="C"),+T46,"")</f>
        <v/>
      </c>
      <c r="S46" s="95">
        <f>IF(OR(P46="$",N46=1),+T46,"")</f>
        <v>110</v>
      </c>
      <c r="T46" s="96">
        <f>H46*[1]!FMainPool1Fee+I46*[1]!FMainPool2Fee+J46*[1]!FMainPool3Fee+K46*[1]!FMainPool4Fee+B46*[1]!FMainEntryFee</f>
        <v>110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>T47*N47</f>
        <v>0</v>
      </c>
      <c r="P47" s="47" t="s">
        <v>701</v>
      </c>
      <c r="Q47" s="47"/>
      <c r="R47" s="95">
        <f>IF(OR(P47="c",P47="C"),+T47,"")</f>
        <v>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>T48*N48</f>
        <v>0</v>
      </c>
      <c r="P48" s="47" t="s">
        <v>701</v>
      </c>
      <c r="Q48" s="47"/>
      <c r="R48" s="95">
        <f>IF(OR(P48="c",P48="C"),+T48,"")</f>
        <v>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86</v>
      </c>
      <c r="D49" s="7" t="s">
        <v>64</v>
      </c>
      <c r="E49" s="8" t="s">
        <v>87</v>
      </c>
      <c r="F49" s="55">
        <v>7073175740</v>
      </c>
      <c r="G49" s="109" t="s">
        <v>474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713</v>
      </c>
      <c r="Q49" s="47"/>
      <c r="R49" s="95" t="str">
        <f>IF(OR(P49="c",P49="C"),+T49,"")</f>
        <v/>
      </c>
      <c r="S49" s="95">
        <f>IF(OR(P49="$",N49=1),+T49,"")</f>
        <v>100</v>
      </c>
      <c r="T49" s="96">
        <f>H49*[1]!FMainPool1Fee+I49*[1]!FMainPool2Fee+J49*[1]!FMainPool3Fee+K49*[1]!FMainPool4Fee+B49*[1]!FMainEntryFee</f>
        <v>100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>T50*N50</f>
        <v>0</v>
      </c>
      <c r="P50" s="47" t="s">
        <v>701</v>
      </c>
      <c r="Q50" s="47"/>
      <c r="R50" s="95">
        <f>IF(OR(P50="c",P50="C"),+T50,"")</f>
        <v>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650</v>
      </c>
      <c r="D51" s="15" t="s">
        <v>5</v>
      </c>
      <c r="E51" s="10" t="s">
        <v>651</v>
      </c>
      <c r="F51" s="138">
        <v>2793335535</v>
      </c>
      <c r="G51" s="15"/>
      <c r="H51" s="49">
        <v>1</v>
      </c>
      <c r="I51" s="47">
        <v>1</v>
      </c>
      <c r="J51" s="47">
        <v>1</v>
      </c>
      <c r="K51" s="47"/>
      <c r="L51" s="47">
        <v>1</v>
      </c>
      <c r="M51" s="47"/>
      <c r="N51" s="47"/>
      <c r="O51" s="94">
        <f>T51*N51</f>
        <v>0</v>
      </c>
      <c r="P51" s="47" t="s">
        <v>701</v>
      </c>
      <c r="Q51" s="47">
        <v>1299</v>
      </c>
      <c r="R51" s="95">
        <f>IF(OR(P51="c",P51="C"),+T51,"")</f>
        <v>110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110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>T52*N52</f>
        <v>0</v>
      </c>
      <c r="P52" s="47" t="s">
        <v>701</v>
      </c>
      <c r="Q52" s="47"/>
      <c r="R52" s="95">
        <f>IF(OR(P52="c",P52="C"),+T52,"")</f>
        <v>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>T53*N53</f>
        <v>0</v>
      </c>
      <c r="P53" s="47" t="s">
        <v>701</v>
      </c>
      <c r="Q53" s="47"/>
      <c r="R53" s="95">
        <f>IF(OR(P53="c",P53="C"),+T53,"")</f>
        <v>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>T54*N54</f>
        <v>0</v>
      </c>
      <c r="P54" s="47" t="s">
        <v>701</v>
      </c>
      <c r="Q54" s="47"/>
      <c r="R54" s="95">
        <f>IF(OR(P54="c",P54="C"),+T54,"")</f>
        <v>0</v>
      </c>
      <c r="S54" s="95" t="str">
        <f>IF(OR(P54="$",N54=1),+T54,"")</f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>T55*N55</f>
        <v>0</v>
      </c>
      <c r="P55" s="47" t="s">
        <v>701</v>
      </c>
      <c r="Q55" s="47"/>
      <c r="R55" s="95">
        <f>IF(OR(P55="c",P55="C"),+T55,"")</f>
        <v>0</v>
      </c>
      <c r="S55" s="95" t="str">
        <f>IF(OR(P55="$",N55=1),+T55,"")</f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701</v>
      </c>
      <c r="Q56" s="47"/>
      <c r="R56" s="95">
        <f>IF(OR(P56="c",P56="C"),+T56,"")</f>
        <v>0</v>
      </c>
      <c r="S56" s="95" t="str">
        <f>IF(OR(P56="$",N56=1),+T56,"")</f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108</v>
      </c>
      <c r="D57" s="7" t="s">
        <v>72</v>
      </c>
      <c r="E57" s="8" t="s">
        <v>109</v>
      </c>
      <c r="F57" s="113" t="s">
        <v>483</v>
      </c>
      <c r="G57" s="12" t="s">
        <v>484</v>
      </c>
      <c r="H57" s="49">
        <v>1</v>
      </c>
      <c r="I57" s="47">
        <v>1</v>
      </c>
      <c r="J57" s="47">
        <v>1</v>
      </c>
      <c r="K57" s="47"/>
      <c r="L57" s="47"/>
      <c r="M57" s="47"/>
      <c r="N57" s="47"/>
      <c r="O57" s="94">
        <f>T57*N57</f>
        <v>0</v>
      </c>
      <c r="P57" s="47" t="s">
        <v>701</v>
      </c>
      <c r="Q57" s="47">
        <v>1974</v>
      </c>
      <c r="R57" s="95">
        <f>IF(OR(P57="c",P57="C"),+T57,"")</f>
        <v>110</v>
      </c>
      <c r="S57" s="95" t="str">
        <f>IF(OR(P57="$",N57=1),+T57,"")</f>
        <v/>
      </c>
      <c r="T57" s="96">
        <f>H57*[1]!FMainPool1Fee+I57*[1]!FMainPool2Fee+J57*[1]!FMainPool3Fee+K57*[1]!FMainPool4Fee+B57*[1]!FMainEntryFee</f>
        <v>110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38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>T58*N58</f>
        <v>0</v>
      </c>
      <c r="P58" s="47" t="s">
        <v>701</v>
      </c>
      <c r="Q58" s="47"/>
      <c r="R58" s="95">
        <f>IF(OR(P58="c",P58="C"),+T58,"")</f>
        <v>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>T59*N59</f>
        <v>0</v>
      </c>
      <c r="P59" s="47" t="s">
        <v>701</v>
      </c>
      <c r="Q59" s="47"/>
      <c r="R59" s="95">
        <f>IF(OR(P59="c",P59="C"),+T59,"")</f>
        <v>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>
        <v>1</v>
      </c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>
        <v>1</v>
      </c>
      <c r="I60" s="47">
        <v>1</v>
      </c>
      <c r="J60" s="47">
        <v>1</v>
      </c>
      <c r="K60" s="47">
        <v>1</v>
      </c>
      <c r="L60" s="47"/>
      <c r="M60" s="47"/>
      <c r="N60" s="47"/>
      <c r="O60" s="94">
        <f>T60*N60</f>
        <v>0</v>
      </c>
      <c r="P60" s="47" t="s">
        <v>701</v>
      </c>
      <c r="Q60" s="47">
        <v>2213</v>
      </c>
      <c r="R60" s="95">
        <f>IF(OR(P60="c",P60="C"),+T60,"")</f>
        <v>160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160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137"/>
      <c r="G61" s="12"/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701</v>
      </c>
      <c r="Q61" s="47"/>
      <c r="R61" s="95">
        <f>IF(OR(P61="c",P61="C"),+T61,"")</f>
        <v>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119</v>
      </c>
      <c r="D62" s="5" t="s">
        <v>72</v>
      </c>
      <c r="E62" s="6" t="s">
        <v>120</v>
      </c>
      <c r="F62" s="137">
        <v>7078499317</v>
      </c>
      <c r="G62" s="12" t="s">
        <v>489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701</v>
      </c>
      <c r="Q62" s="47">
        <v>4008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>T63*N63</f>
        <v>0</v>
      </c>
      <c r="P63" s="47" t="s">
        <v>701</v>
      </c>
      <c r="Q63" s="47"/>
      <c r="R63" s="95">
        <f>IF(OR(P63="c",P63="C"),+T63,"")</f>
        <v>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124</v>
      </c>
      <c r="D64" s="5" t="s">
        <v>72</v>
      </c>
      <c r="E64" s="6" t="s">
        <v>125</v>
      </c>
      <c r="F64" s="48">
        <v>7073225806</v>
      </c>
      <c r="G64" s="109" t="s">
        <v>491</v>
      </c>
      <c r="H64" s="49"/>
      <c r="I64" s="47"/>
      <c r="J64" s="47"/>
      <c r="K64" s="47"/>
      <c r="L64" s="47"/>
      <c r="M64" s="47"/>
      <c r="N64" s="47"/>
      <c r="O64" s="94">
        <f>T64*N64</f>
        <v>0</v>
      </c>
      <c r="P64" s="47" t="s">
        <v>701</v>
      </c>
      <c r="Q64" s="47">
        <v>1795</v>
      </c>
      <c r="R64" s="95">
        <f>IF(OR(P64="c",P64="C"),+T64,"")</f>
        <v>70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70</v>
      </c>
      <c r="U64" s="51"/>
    </row>
    <row r="65" spans="1:21" x14ac:dyDescent="0.25">
      <c r="A65" s="46">
        <f t="shared" si="1"/>
        <v>54</v>
      </c>
      <c r="B65" s="47">
        <v>1</v>
      </c>
      <c r="C65" s="5" t="s">
        <v>725</v>
      </c>
      <c r="D65" s="5" t="s">
        <v>185</v>
      </c>
      <c r="E65" s="6" t="s">
        <v>726</v>
      </c>
      <c r="F65" s="48">
        <v>9258406622</v>
      </c>
      <c r="G65" s="109" t="s">
        <v>727</v>
      </c>
      <c r="H65" s="49">
        <v>1</v>
      </c>
      <c r="I65" s="47"/>
      <c r="J65" s="47"/>
      <c r="K65" s="47"/>
      <c r="L65" s="47"/>
      <c r="M65" s="47"/>
      <c r="N65" s="47"/>
      <c r="O65" s="94">
        <f>T65*N65</f>
        <v>0</v>
      </c>
      <c r="P65" s="47" t="s">
        <v>701</v>
      </c>
      <c r="Q65" s="47">
        <v>1208</v>
      </c>
      <c r="R65" s="95">
        <f>IF(OR(P65="c",P65="C"),+T65,"")</f>
        <v>80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80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126</v>
      </c>
      <c r="D66" s="7" t="s">
        <v>127</v>
      </c>
      <c r="E66" s="136" t="s">
        <v>128</v>
      </c>
      <c r="F66" s="113" t="s">
        <v>492</v>
      </c>
      <c r="G66" s="12" t="s">
        <v>493</v>
      </c>
      <c r="H66" s="49">
        <v>1</v>
      </c>
      <c r="I66" s="47">
        <v>1</v>
      </c>
      <c r="J66" s="47">
        <v>1</v>
      </c>
      <c r="K66" s="47">
        <v>1</v>
      </c>
      <c r="L66" s="47">
        <v>1</v>
      </c>
      <c r="M66" s="47"/>
      <c r="N66" s="47">
        <v>1</v>
      </c>
      <c r="O66" s="94">
        <f>T66*N66</f>
        <v>160</v>
      </c>
      <c r="P66" s="47" t="s">
        <v>713</v>
      </c>
      <c r="Q66" s="47"/>
      <c r="R66" s="95" t="str">
        <f>IF(OR(P66="c",P66="C"),+T66,"")</f>
        <v/>
      </c>
      <c r="S66" s="95">
        <f>IF(OR(P66="$",N66=1),+T66,"")</f>
        <v>160</v>
      </c>
      <c r="T66" s="96">
        <f>H66*[1]!FMainPool1Fee+I66*[1]!FMainPool2Fee+J66*[1]!FMainPool3Fee+K66*[1]!FMainPool4Fee+B66*[1]!FMainEntryFee</f>
        <v>160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701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3"/>
      <c r="G68" s="15"/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701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701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9" t="s">
        <v>495</v>
      </c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701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9" t="s">
        <v>496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701</v>
      </c>
      <c r="Q71" s="47"/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3"/>
      <c r="G72" s="15"/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701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137"/>
      <c r="G73" s="12"/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701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>
        <v>1</v>
      </c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>
        <v>1</v>
      </c>
      <c r="I74" s="47">
        <v>1</v>
      </c>
      <c r="J74" s="47">
        <v>1</v>
      </c>
      <c r="K74" s="47">
        <v>1</v>
      </c>
      <c r="L74" s="47">
        <v>1</v>
      </c>
      <c r="M74" s="47"/>
      <c r="N74" s="47"/>
      <c r="O74" s="94">
        <f>T74*N74</f>
        <v>0</v>
      </c>
      <c r="P74" s="47" t="s">
        <v>713</v>
      </c>
      <c r="Q74" s="47"/>
      <c r="R74" s="95" t="str">
        <f>IF(OR(P74="c",P74="C"),+T74,"")</f>
        <v/>
      </c>
      <c r="S74" s="95">
        <f>IF(OR(P74="$",N74=1),+T74,"")</f>
        <v>160</v>
      </c>
      <c r="T74" s="96">
        <f>H74*[1]!FMainPool1Fee+I74*[1]!FMainPool2Fee+J74*[1]!FMainPool3Fee+K74*[1]!FMainPool4Fee+B74*[1]!FMainEntryFee</f>
        <v>160</v>
      </c>
      <c r="U74" s="51"/>
    </row>
    <row r="75" spans="1:21" x14ac:dyDescent="0.25">
      <c r="A75" s="46">
        <f t="shared" si="1"/>
        <v>64</v>
      </c>
      <c r="B75" s="47">
        <v>1</v>
      </c>
      <c r="C75" s="15" t="s">
        <v>656</v>
      </c>
      <c r="D75" s="15" t="s">
        <v>409</v>
      </c>
      <c r="E75" s="10" t="s">
        <v>657</v>
      </c>
      <c r="F75" s="113">
        <v>5103043540</v>
      </c>
      <c r="G75" s="111" t="s">
        <v>728</v>
      </c>
      <c r="H75" s="49">
        <v>1</v>
      </c>
      <c r="I75" s="47"/>
      <c r="J75" s="47"/>
      <c r="K75" s="47"/>
      <c r="L75" s="47"/>
      <c r="M75" s="47"/>
      <c r="N75" s="47">
        <v>1</v>
      </c>
      <c r="O75" s="94">
        <f>T75*N75</f>
        <v>80</v>
      </c>
      <c r="P75" s="47" t="s">
        <v>713</v>
      </c>
      <c r="Q75" s="47"/>
      <c r="R75" s="95" t="str">
        <f>IF(OR(P75="c",P75="C"),+T75,"")</f>
        <v/>
      </c>
      <c r="S75" s="95">
        <f>IF(OR(P75="$",N75=1),+T75,"")</f>
        <v>80</v>
      </c>
      <c r="T75" s="96">
        <f>H75*[1]!FMainPool1Fee+I75*[1]!FMainPool2Fee+J75*[1]!FMainPool3Fee+K75*[1]!FMainPool4Fee+B75*[1]!FMainEntryFee</f>
        <v>80</v>
      </c>
      <c r="U75" s="51"/>
    </row>
    <row r="76" spans="1:21" x14ac:dyDescent="0.25">
      <c r="A76" s="46">
        <f t="shared" ref="A76:A139" si="2">ROW() - ROW(FRegEntriesEnteredHdr)</f>
        <v>65</v>
      </c>
      <c r="B76" s="47">
        <v>1</v>
      </c>
      <c r="C76" s="15" t="s">
        <v>729</v>
      </c>
      <c r="D76" s="15" t="s">
        <v>730</v>
      </c>
      <c r="E76" s="10" t="s">
        <v>731</v>
      </c>
      <c r="F76" s="113">
        <v>5309277047</v>
      </c>
      <c r="G76" s="111" t="s">
        <v>732</v>
      </c>
      <c r="H76" s="49">
        <v>1</v>
      </c>
      <c r="I76" s="47">
        <v>1</v>
      </c>
      <c r="J76" s="47">
        <v>1</v>
      </c>
      <c r="K76" s="47">
        <v>1</v>
      </c>
      <c r="L76" s="47"/>
      <c r="M76" s="47"/>
      <c r="N76" s="47"/>
      <c r="O76" s="94"/>
      <c r="P76" s="47" t="s">
        <v>701</v>
      </c>
      <c r="Q76" s="47">
        <v>6681</v>
      </c>
      <c r="R76" s="95">
        <v>160</v>
      </c>
      <c r="S76" s="95"/>
      <c r="T76" s="96">
        <f>H76*[1]!FMainPool1Fee+I76*[1]!FMainPool2Fee+J76*[1]!FMainPool3Fee+K76*[1]!FMainPool4Fee+B76*[1]!FMainEntryFee</f>
        <v>160</v>
      </c>
      <c r="U76" s="51"/>
    </row>
    <row r="77" spans="1:21" x14ac:dyDescent="0.25">
      <c r="A77" s="46">
        <f t="shared" si="2"/>
        <v>66</v>
      </c>
      <c r="B77" s="47">
        <v>1</v>
      </c>
      <c r="C77" s="15" t="s">
        <v>733</v>
      </c>
      <c r="D77" s="15" t="s">
        <v>730</v>
      </c>
      <c r="E77" s="10" t="s">
        <v>734</v>
      </c>
      <c r="F77" s="113">
        <v>5309277048</v>
      </c>
      <c r="G77" s="111" t="s">
        <v>735</v>
      </c>
      <c r="H77" s="49">
        <v>1</v>
      </c>
      <c r="I77" s="47">
        <v>1</v>
      </c>
      <c r="J77" s="47">
        <v>1</v>
      </c>
      <c r="K77" s="47">
        <v>1</v>
      </c>
      <c r="L77" s="47"/>
      <c r="M77" s="47"/>
      <c r="N77" s="47"/>
      <c r="O77" s="94"/>
      <c r="P77" s="47" t="s">
        <v>701</v>
      </c>
      <c r="Q77" s="47">
        <v>6681</v>
      </c>
      <c r="R77" s="95">
        <v>160</v>
      </c>
      <c r="S77" s="95"/>
      <c r="T77" s="96">
        <f>H77*[1]!FMainPool1Fee+I77*[1]!FMainPool2Fee+J77*[1]!FMainPool3Fee+K77*[1]!FMainPool4Fee+B77*[1]!FMainEntryFee</f>
        <v>160</v>
      </c>
      <c r="U77" s="51"/>
    </row>
    <row r="78" spans="1:21" x14ac:dyDescent="0.25">
      <c r="A78" s="46">
        <f t="shared" si="2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701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9" t="s">
        <v>500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701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15" t="s">
        <v>658</v>
      </c>
      <c r="D80" s="15" t="s">
        <v>191</v>
      </c>
      <c r="E80" s="10" t="s">
        <v>659</v>
      </c>
      <c r="F80" s="113"/>
      <c r="G80" s="109" t="s">
        <v>660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701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15" t="s">
        <v>661</v>
      </c>
      <c r="D81" s="15" t="s">
        <v>33</v>
      </c>
      <c r="E81" s="10" t="s">
        <v>662</v>
      </c>
      <c r="F81" s="113"/>
      <c r="G81" s="109" t="s">
        <v>663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701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9" t="s">
        <v>501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701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701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>
        <v>1</v>
      </c>
      <c r="C84" s="7" t="s">
        <v>158</v>
      </c>
      <c r="D84" s="7" t="s">
        <v>159</v>
      </c>
      <c r="E84" s="8" t="s">
        <v>160</v>
      </c>
      <c r="F84" s="138" t="s">
        <v>504</v>
      </c>
      <c r="G84" s="12" t="s">
        <v>468</v>
      </c>
      <c r="H84" s="49">
        <v>1</v>
      </c>
      <c r="I84" s="47">
        <v>1</v>
      </c>
      <c r="J84" s="47">
        <v>1</v>
      </c>
      <c r="K84" s="47"/>
      <c r="L84" s="47"/>
      <c r="M84" s="47"/>
      <c r="N84" s="47"/>
      <c r="O84" s="94">
        <f>T84*N84</f>
        <v>0</v>
      </c>
      <c r="P84" s="47" t="s">
        <v>701</v>
      </c>
      <c r="Q84" s="47">
        <v>8899</v>
      </c>
      <c r="R84" s="95">
        <f>IF(OR(P84="c",P84="C"),+T84,"")</f>
        <v>110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110</v>
      </c>
      <c r="U84" s="51"/>
    </row>
    <row r="85" spans="1:21" x14ac:dyDescent="0.25">
      <c r="A85" s="46">
        <f t="shared" si="2"/>
        <v>74</v>
      </c>
      <c r="B85" s="47">
        <v>1</v>
      </c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>
        <v>1</v>
      </c>
      <c r="I85" s="47"/>
      <c r="J85" s="47"/>
      <c r="K85" s="47"/>
      <c r="L85" s="47"/>
      <c r="M85" s="47"/>
      <c r="N85" s="47"/>
      <c r="O85" s="94">
        <f>T85*N85</f>
        <v>0</v>
      </c>
      <c r="P85" s="47" t="s">
        <v>701</v>
      </c>
      <c r="Q85" s="47">
        <v>2548</v>
      </c>
      <c r="R85" s="95">
        <f>IF(OR(P85="c",P85="C"),+T85,"")</f>
        <v>80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80</v>
      </c>
      <c r="U85" s="51"/>
    </row>
    <row r="86" spans="1:21" x14ac:dyDescent="0.25">
      <c r="A86" s="46">
        <f t="shared" si="2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>T86*N86</f>
        <v>0</v>
      </c>
      <c r="P86" s="47" t="s">
        <v>701</v>
      </c>
      <c r="Q86" s="47"/>
      <c r="R86" s="95">
        <f>IF(OR(P86="c",P86="C"),+T86,"")</f>
        <v>0</v>
      </c>
      <c r="S86" s="95" t="str">
        <f>IF(OR(P86="$",N86=1),+T86,"")</f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166</v>
      </c>
      <c r="D87" s="5" t="s">
        <v>167</v>
      </c>
      <c r="E87" s="6" t="s">
        <v>168</v>
      </c>
      <c r="F87" s="137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701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701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>
        <v>1</v>
      </c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>
        <v>1</v>
      </c>
      <c r="I89" s="47">
        <v>1</v>
      </c>
      <c r="J89" s="47">
        <v>1</v>
      </c>
      <c r="K89" s="47"/>
      <c r="L89" s="47"/>
      <c r="M89" s="47"/>
      <c r="N89" s="47"/>
      <c r="O89" s="94">
        <f>T89*N89</f>
        <v>0</v>
      </c>
      <c r="P89" s="47" t="s">
        <v>701</v>
      </c>
      <c r="Q89" s="47">
        <v>7240</v>
      </c>
      <c r="R89" s="95">
        <f>IF(OR(P89="c",P89="C"),+T89,"")</f>
        <v>110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110</v>
      </c>
      <c r="U89" s="51"/>
    </row>
    <row r="90" spans="1:21" x14ac:dyDescent="0.25">
      <c r="A90" s="46">
        <f t="shared" si="2"/>
        <v>79</v>
      </c>
      <c r="B90" s="47">
        <v>1</v>
      </c>
      <c r="C90" s="5" t="s">
        <v>175</v>
      </c>
      <c r="D90" s="5" t="s">
        <v>72</v>
      </c>
      <c r="E90" s="6" t="s">
        <v>176</v>
      </c>
      <c r="F90" s="48">
        <v>7079536818</v>
      </c>
      <c r="G90" s="109" t="s">
        <v>736</v>
      </c>
      <c r="H90" s="49">
        <v>1</v>
      </c>
      <c r="I90" s="47"/>
      <c r="J90" s="47"/>
      <c r="K90" s="47"/>
      <c r="L90" s="47"/>
      <c r="M90" s="47"/>
      <c r="N90" s="47"/>
      <c r="O90" s="94">
        <f>T90*N90</f>
        <v>0</v>
      </c>
      <c r="P90" s="47" t="s">
        <v>701</v>
      </c>
      <c r="Q90" s="47">
        <v>170</v>
      </c>
      <c r="R90" s="95">
        <f>IF(OR(P90="c",P90="C"),+T90,"")</f>
        <v>80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2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701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701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701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>
        <v>1</v>
      </c>
      <c r="C94" s="5" t="s">
        <v>184</v>
      </c>
      <c r="D94" s="5" t="s">
        <v>185</v>
      </c>
      <c r="E94" s="6" t="s">
        <v>186</v>
      </c>
      <c r="F94" s="113" t="s">
        <v>513</v>
      </c>
      <c r="G94" s="12" t="s">
        <v>468</v>
      </c>
      <c r="H94" s="49">
        <v>1</v>
      </c>
      <c r="I94" s="47"/>
      <c r="J94" s="47"/>
      <c r="K94" s="47"/>
      <c r="L94" s="47"/>
      <c r="M94" s="47"/>
      <c r="N94" s="47">
        <v>1</v>
      </c>
      <c r="O94" s="94">
        <v>80</v>
      </c>
      <c r="P94" s="47" t="s">
        <v>713</v>
      </c>
      <c r="Q94" s="47"/>
      <c r="R94" s="95" t="str">
        <f>IF(OR(P94="c",P94="C"),+T94,"")</f>
        <v/>
      </c>
      <c r="S94" s="95">
        <f>IF(OR(P94="$",N94=1),+T94,"")</f>
        <v>80</v>
      </c>
      <c r="T94" s="96">
        <f>H94*[1]!FMainPool1Fee+I94*[1]!FMainPool2Fee+J94*[1]!FMainPool3Fee+K94*[1]!FMainPool4Fee+B94*[1]!FMainEntryFee</f>
        <v>80</v>
      </c>
      <c r="U94" s="51"/>
    </row>
    <row r="95" spans="1:21" x14ac:dyDescent="0.25">
      <c r="A95" s="46">
        <f t="shared" si="2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701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2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701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193</v>
      </c>
      <c r="D97" s="5" t="s">
        <v>194</v>
      </c>
      <c r="E97" s="6" t="s">
        <v>195</v>
      </c>
      <c r="F97" s="113" t="s">
        <v>737</v>
      </c>
      <c r="G97" s="109" t="s">
        <v>517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701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>
        <v>1</v>
      </c>
      <c r="C98" s="7" t="s">
        <v>196</v>
      </c>
      <c r="D98" s="7" t="s">
        <v>64</v>
      </c>
      <c r="E98" s="8" t="s">
        <v>197</v>
      </c>
      <c r="F98" s="55">
        <v>4084722020</v>
      </c>
      <c r="G98" s="109" t="s">
        <v>518</v>
      </c>
      <c r="H98" s="49">
        <v>1</v>
      </c>
      <c r="I98" s="47">
        <v>1</v>
      </c>
      <c r="J98" s="47">
        <v>1</v>
      </c>
      <c r="K98" s="47">
        <v>1</v>
      </c>
      <c r="L98" s="47"/>
      <c r="M98" s="47"/>
      <c r="N98" s="47"/>
      <c r="O98" s="94">
        <f>T98*N98</f>
        <v>0</v>
      </c>
      <c r="P98" s="47" t="s">
        <v>701</v>
      </c>
      <c r="Q98" s="47">
        <v>5206</v>
      </c>
      <c r="R98" s="95">
        <f>IF(OR(P98="c",P98="C"),+T98,"")</f>
        <v>160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160</v>
      </c>
      <c r="U98" s="51"/>
    </row>
    <row r="99" spans="1:21" x14ac:dyDescent="0.25">
      <c r="A99" s="46">
        <f t="shared" si="2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701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701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9" t="s">
        <v>521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701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701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701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15" t="s">
        <v>664</v>
      </c>
      <c r="D104" s="15" t="s">
        <v>39</v>
      </c>
      <c r="E104" s="10" t="s">
        <v>665</v>
      </c>
      <c r="F104" s="113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701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701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701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701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9" t="s">
        <v>525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701</v>
      </c>
      <c r="Q108" s="47">
        <v>1059</v>
      </c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>
        <v>1</v>
      </c>
      <c r="C109" s="5" t="s">
        <v>228</v>
      </c>
      <c r="D109" s="5" t="s">
        <v>229</v>
      </c>
      <c r="E109" s="6" t="s">
        <v>230</v>
      </c>
      <c r="F109" s="137"/>
      <c r="G109" s="12" t="s">
        <v>526</v>
      </c>
      <c r="H109" s="49">
        <v>1</v>
      </c>
      <c r="I109" s="47"/>
      <c r="J109" s="47"/>
      <c r="K109" s="47"/>
      <c r="L109" s="47">
        <v>1</v>
      </c>
      <c r="M109" s="47"/>
      <c r="N109" s="47"/>
      <c r="O109" s="94">
        <f>T109*N109</f>
        <v>0</v>
      </c>
      <c r="P109" s="47" t="s">
        <v>701</v>
      </c>
      <c r="Q109" s="47">
        <v>4900</v>
      </c>
      <c r="R109" s="95">
        <f>IF(OR(P109="c",P109="C"),+T109,"")</f>
        <v>80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80</v>
      </c>
      <c r="U109" s="51"/>
    </row>
    <row r="110" spans="1:21" x14ac:dyDescent="0.25">
      <c r="A110" s="46">
        <f t="shared" si="2"/>
        <v>99</v>
      </c>
      <c r="B110" s="47">
        <v>1</v>
      </c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>
        <v>1</v>
      </c>
      <c r="I110" s="47"/>
      <c r="J110" s="47"/>
      <c r="K110" s="47"/>
      <c r="L110" s="47">
        <v>1</v>
      </c>
      <c r="M110" s="47"/>
      <c r="N110" s="47"/>
      <c r="O110" s="94">
        <f>T110*N110</f>
        <v>0</v>
      </c>
      <c r="P110" s="47" t="s">
        <v>713</v>
      </c>
      <c r="Q110" s="47"/>
      <c r="R110" s="95" t="str">
        <f>IF(OR(P110="c",P110="C"),+T110,"")</f>
        <v/>
      </c>
      <c r="S110" s="95">
        <f>IF(OR(P110="$",N110=1),+T110,"")</f>
        <v>80</v>
      </c>
      <c r="T110" s="96">
        <f>H110*[1]!FMainPool1Fee+I110*[1]!FMainPool2Fee+J110*[1]!FMainPool3Fee+K110*[1]!FMainPool4Fee+B110*[1]!FMainEntryFee</f>
        <v>80</v>
      </c>
      <c r="U110" s="51">
        <v>1</v>
      </c>
    </row>
    <row r="111" spans="1:21" x14ac:dyDescent="0.25">
      <c r="A111" s="46">
        <f t="shared" si="2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701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>
        <v>1</v>
      </c>
      <c r="C112" s="15" t="s">
        <v>666</v>
      </c>
      <c r="D112" s="15" t="s">
        <v>667</v>
      </c>
      <c r="E112" s="10" t="s">
        <v>668</v>
      </c>
      <c r="F112" s="113">
        <v>8315959920</v>
      </c>
      <c r="G112" s="111" t="s">
        <v>738</v>
      </c>
      <c r="H112" s="49">
        <v>1</v>
      </c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701</v>
      </c>
      <c r="Q112" s="47">
        <v>16285</v>
      </c>
      <c r="R112" s="95">
        <f>IF(OR(P112="c",P112="C"),+T112,"")</f>
        <v>80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80</v>
      </c>
      <c r="U112" s="51"/>
    </row>
    <row r="113" spans="1:21" x14ac:dyDescent="0.25">
      <c r="A113" s="46">
        <f t="shared" si="2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701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701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701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>
        <v>1</v>
      </c>
      <c r="C116" s="15" t="s">
        <v>669</v>
      </c>
      <c r="D116" s="15" t="s">
        <v>159</v>
      </c>
      <c r="E116" s="10" t="s">
        <v>670</v>
      </c>
      <c r="F116" s="113">
        <v>5104930824</v>
      </c>
      <c r="G116" s="111" t="s">
        <v>671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>T116*N116</f>
        <v>80</v>
      </c>
      <c r="P116" s="47" t="s">
        <v>713</v>
      </c>
      <c r="Q116" s="47"/>
      <c r="R116" s="95" t="str">
        <f>IF(OR(P116="c",P116="C"),+T116,"")</f>
        <v/>
      </c>
      <c r="S116" s="95">
        <f>IF(OR(P116="$",N116=1),+T116,"")</f>
        <v>80</v>
      </c>
      <c r="T116" s="96">
        <f>H116*[1]!FMainPool1Fee+I116*[1]!FMainPool2Fee+J116*[1]!FMainPool3Fee+K116*[1]!FMainPool4Fee+B116*[1]!FMainEntryFee</f>
        <v>80</v>
      </c>
      <c r="U116" s="51"/>
    </row>
    <row r="117" spans="1:21" x14ac:dyDescent="0.25">
      <c r="A117" s="46">
        <f t="shared" si="2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701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701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>
        <v>1</v>
      </c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>
        <v>1</v>
      </c>
      <c r="I119" s="47">
        <v>1</v>
      </c>
      <c r="J119" s="47">
        <v>1</v>
      </c>
      <c r="K119" s="47">
        <v>1</v>
      </c>
      <c r="L119" s="47">
        <v>1</v>
      </c>
      <c r="M119" s="47"/>
      <c r="N119" s="47"/>
      <c r="O119" s="94">
        <f>T119*N119</f>
        <v>0</v>
      </c>
      <c r="P119" s="47" t="s">
        <v>701</v>
      </c>
      <c r="Q119" s="47">
        <v>5878</v>
      </c>
      <c r="R119" s="95">
        <f>IF(OR(P119="c",P119="C"),+T119,"")</f>
        <v>160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160</v>
      </c>
      <c r="U119" s="51"/>
    </row>
    <row r="120" spans="1:21" x14ac:dyDescent="0.25">
      <c r="A120" s="46">
        <f t="shared" si="2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701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254</v>
      </c>
      <c r="D121" s="5" t="s">
        <v>255</v>
      </c>
      <c r="E121" s="6" t="s">
        <v>256</v>
      </c>
      <c r="F121" s="114" t="s">
        <v>535</v>
      </c>
      <c r="G121" s="109" t="s">
        <v>536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701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257</v>
      </c>
      <c r="D122" s="135" t="s">
        <v>255</v>
      </c>
      <c r="E122" s="6" t="s">
        <v>258</v>
      </c>
      <c r="F122" s="113" t="s">
        <v>535</v>
      </c>
      <c r="G122" s="109" t="s">
        <v>537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701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>
        <v>1</v>
      </c>
      <c r="C123" s="5" t="s">
        <v>739</v>
      </c>
      <c r="D123" s="135" t="s">
        <v>45</v>
      </c>
      <c r="E123" s="6" t="s">
        <v>740</v>
      </c>
      <c r="F123" s="113">
        <v>7072279891</v>
      </c>
      <c r="G123" s="109" t="s">
        <v>741</v>
      </c>
      <c r="H123" s="49">
        <v>1</v>
      </c>
      <c r="I123" s="47">
        <v>1</v>
      </c>
      <c r="J123" s="47">
        <v>1</v>
      </c>
      <c r="K123" s="47">
        <v>1</v>
      </c>
      <c r="L123" s="47"/>
      <c r="M123" s="47"/>
      <c r="N123" s="47"/>
      <c r="O123" s="94">
        <f>T123*N123</f>
        <v>0</v>
      </c>
      <c r="P123" s="47" t="s">
        <v>713</v>
      </c>
      <c r="Q123" s="47"/>
      <c r="R123" s="95" t="str">
        <f>IF(OR(P123="c",P123="C"),+T123,"")</f>
        <v/>
      </c>
      <c r="S123" s="95">
        <f>IF(OR(P123="$",N123=1),+T123,"")</f>
        <v>160</v>
      </c>
      <c r="T123" s="96">
        <f>H123*[1]!FMainPool1Fee+I123*[1]!FMainPool2Fee+J123*[1]!FMainPool3Fee+K123*[1]!FMainPool4Fee+B123*[1]!FMainEntryFee</f>
        <v>160</v>
      </c>
      <c r="U123" s="51"/>
    </row>
    <row r="124" spans="1:21" x14ac:dyDescent="0.25">
      <c r="A124" s="46">
        <f t="shared" si="2"/>
        <v>113</v>
      </c>
      <c r="B124" s="47"/>
      <c r="C124" s="5" t="s">
        <v>261</v>
      </c>
      <c r="D124" s="5" t="s">
        <v>262</v>
      </c>
      <c r="E124" s="6" t="s">
        <v>263</v>
      </c>
      <c r="F124" s="113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701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701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701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>
        <v>1</v>
      </c>
      <c r="C127" s="15" t="s">
        <v>672</v>
      </c>
      <c r="D127" s="15" t="s">
        <v>350</v>
      </c>
      <c r="E127" s="10" t="s">
        <v>673</v>
      </c>
      <c r="F127" s="113">
        <v>7078892101</v>
      </c>
      <c r="G127" s="15"/>
      <c r="H127" s="49">
        <v>1</v>
      </c>
      <c r="I127" s="47">
        <v>1</v>
      </c>
      <c r="J127" s="47">
        <v>1</v>
      </c>
      <c r="K127" s="47"/>
      <c r="L127" s="47"/>
      <c r="M127" s="47"/>
      <c r="N127" s="47">
        <v>1</v>
      </c>
      <c r="O127" s="94">
        <v>110</v>
      </c>
      <c r="P127" s="47" t="s">
        <v>713</v>
      </c>
      <c r="Q127" s="47"/>
      <c r="R127" s="95" t="str">
        <f>IF(OR(P127="c",P127="C"),+T127,"")</f>
        <v/>
      </c>
      <c r="S127" s="95">
        <f>IF(OR(P127="$",N127=1),+T127,"")</f>
        <v>110</v>
      </c>
      <c r="T127" s="96">
        <f>H127*[1]!FMainPool1Fee+I127*[1]!FMainPool2Fee+J127*[1]!FMainPool3Fee+K127*[1]!FMainPool4Fee+B127*[1]!FMainEntryFee</f>
        <v>110</v>
      </c>
      <c r="U127" s="51">
        <v>1</v>
      </c>
    </row>
    <row r="128" spans="1:21" x14ac:dyDescent="0.25">
      <c r="A128" s="46">
        <f t="shared" si="2"/>
        <v>117</v>
      </c>
      <c r="B128" s="47">
        <v>1</v>
      </c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>T128*N128</f>
        <v>0</v>
      </c>
      <c r="P128" s="47" t="s">
        <v>701</v>
      </c>
      <c r="Q128" s="47">
        <v>2491</v>
      </c>
      <c r="R128" s="95">
        <f>IF(OR(P128="c",P128="C"),+T128,"")</f>
        <v>160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2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701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701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>
        <v>1</v>
      </c>
      <c r="C131" s="7" t="s">
        <v>742</v>
      </c>
      <c r="D131" s="7"/>
      <c r="E131" s="8" t="s">
        <v>743</v>
      </c>
      <c r="F131" s="55"/>
      <c r="G131" s="109" t="s">
        <v>744</v>
      </c>
      <c r="H131" s="49"/>
      <c r="I131" s="47"/>
      <c r="J131" s="47">
        <v>1</v>
      </c>
      <c r="K131" s="47"/>
      <c r="L131" s="47"/>
      <c r="M131" s="47"/>
      <c r="N131" s="47">
        <v>1</v>
      </c>
      <c r="O131" s="94">
        <v>90</v>
      </c>
      <c r="P131" s="47" t="s">
        <v>713</v>
      </c>
      <c r="Q131" s="47"/>
      <c r="R131" s="95" t="str">
        <f>IF(OR(P131="c",P131="C"),+T131,"")</f>
        <v/>
      </c>
      <c r="S131" s="95">
        <f>IF(OR(P131="$",N131=1),+T131,"")</f>
        <v>90</v>
      </c>
      <c r="T131" s="96">
        <f>H131*[1]!FMainPool1Fee+I131*[1]!FMainPool2Fee+J131*[1]!FMainPool3Fee+K131*[1]!FMainPool4Fee+B131*[1]!FMainEntryFee</f>
        <v>90</v>
      </c>
      <c r="U131" s="51"/>
    </row>
    <row r="132" spans="1:21" x14ac:dyDescent="0.25">
      <c r="A132" s="46">
        <f t="shared" si="2"/>
        <v>121</v>
      </c>
      <c r="B132" s="47"/>
      <c r="C132" s="15" t="s">
        <v>674</v>
      </c>
      <c r="D132" s="15" t="s">
        <v>159</v>
      </c>
      <c r="E132" s="10" t="s">
        <v>675</v>
      </c>
      <c r="F132" s="113"/>
      <c r="G132" s="111" t="s">
        <v>676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701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>
        <v>1</v>
      </c>
      <c r="C133" s="15" t="s">
        <v>745</v>
      </c>
      <c r="D133" s="15" t="s">
        <v>232</v>
      </c>
      <c r="E133" s="10" t="s">
        <v>746</v>
      </c>
      <c r="F133" s="113">
        <v>9254081849</v>
      </c>
      <c r="G133" s="111" t="s">
        <v>747</v>
      </c>
      <c r="H133" s="49">
        <v>1</v>
      </c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701</v>
      </c>
      <c r="Q133" s="47">
        <v>776</v>
      </c>
      <c r="R133" s="95">
        <f>IF(OR(P133="c",P133="C"),+T133,"")</f>
        <v>80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80</v>
      </c>
      <c r="U133" s="51"/>
    </row>
    <row r="134" spans="1:21" x14ac:dyDescent="0.25">
      <c r="A134" s="46">
        <f t="shared" si="2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701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281</v>
      </c>
      <c r="D135" s="5" t="s">
        <v>282</v>
      </c>
      <c r="E135" s="6"/>
      <c r="F135" s="137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701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>
        <v>1</v>
      </c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>
        <v>1</v>
      </c>
      <c r="I136" s="47">
        <v>1</v>
      </c>
      <c r="J136" s="47">
        <v>1</v>
      </c>
      <c r="K136" s="47"/>
      <c r="L136" s="47"/>
      <c r="M136" s="47">
        <v>1</v>
      </c>
      <c r="N136" s="47"/>
      <c r="O136" s="94">
        <f>T136*N136</f>
        <v>0</v>
      </c>
      <c r="P136" s="47" t="s">
        <v>701</v>
      </c>
      <c r="Q136" s="47">
        <v>16285</v>
      </c>
      <c r="R136" s="95">
        <f>IF(OR(P136="c",P136="C"),+T136,"")</f>
        <v>110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110</v>
      </c>
      <c r="U136" s="51"/>
    </row>
    <row r="137" spans="1:21" x14ac:dyDescent="0.25">
      <c r="A137" s="46">
        <f t="shared" si="2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701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 t="s">
        <v>701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15" t="s">
        <v>677</v>
      </c>
      <c r="D139" s="15" t="s">
        <v>678</v>
      </c>
      <c r="E139" s="10" t="s">
        <v>662</v>
      </c>
      <c r="F139" s="113"/>
      <c r="G139" s="109" t="s">
        <v>679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701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701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>
        <v>1</v>
      </c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>
        <v>1</v>
      </c>
      <c r="I141" s="47">
        <v>1</v>
      </c>
      <c r="J141" s="47">
        <v>1</v>
      </c>
      <c r="K141" s="47"/>
      <c r="L141" s="47"/>
      <c r="M141" s="47"/>
      <c r="N141" s="47"/>
      <c r="O141" s="94">
        <f>T141*N141</f>
        <v>0</v>
      </c>
      <c r="P141" s="47" t="s">
        <v>701</v>
      </c>
      <c r="Q141" s="47">
        <v>5196</v>
      </c>
      <c r="R141" s="95">
        <f>IF(OR(P141="c",P141="C"),+T141,"")</f>
        <v>110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110</v>
      </c>
      <c r="U141" s="51">
        <v>1</v>
      </c>
    </row>
    <row r="142" spans="1:21" x14ac:dyDescent="0.25">
      <c r="A142" s="46">
        <f t="shared" si="3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701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701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701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701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701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701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>
        <v>1</v>
      </c>
      <c r="C148" s="5" t="s">
        <v>309</v>
      </c>
      <c r="D148" s="5" t="s">
        <v>72</v>
      </c>
      <c r="E148" s="6" t="s">
        <v>310</v>
      </c>
      <c r="F148" s="137">
        <v>7074845031</v>
      </c>
      <c r="G148" s="12" t="s">
        <v>560</v>
      </c>
      <c r="H148" s="49">
        <v>1</v>
      </c>
      <c r="I148" s="47">
        <v>1</v>
      </c>
      <c r="J148" s="47">
        <v>1</v>
      </c>
      <c r="K148" s="47"/>
      <c r="L148" s="47"/>
      <c r="M148" s="47"/>
      <c r="N148" s="47"/>
      <c r="O148" s="94">
        <f>T148*N148</f>
        <v>0</v>
      </c>
      <c r="P148" s="47" t="s">
        <v>701</v>
      </c>
      <c r="Q148" s="47">
        <v>7346</v>
      </c>
      <c r="R148" s="95">
        <f>IF(OR(P148="c",P148="C"),+T148,"")</f>
        <v>110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110</v>
      </c>
      <c r="U148" s="51"/>
    </row>
    <row r="149" spans="1:21" x14ac:dyDescent="0.25">
      <c r="A149" s="46">
        <f t="shared" si="3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701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701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>
        <v>1</v>
      </c>
      <c r="C151" s="15" t="s">
        <v>680</v>
      </c>
      <c r="D151" s="15" t="s">
        <v>91</v>
      </c>
      <c r="E151" s="10" t="s">
        <v>681</v>
      </c>
      <c r="F151" s="113"/>
      <c r="G151" s="15"/>
      <c r="H151" s="49">
        <v>1</v>
      </c>
      <c r="I151" s="47"/>
      <c r="J151" s="47">
        <v>1</v>
      </c>
      <c r="K151" s="47"/>
      <c r="L151" s="47"/>
      <c r="M151" s="47"/>
      <c r="N151" s="47">
        <v>1</v>
      </c>
      <c r="O151" s="94">
        <f>T151*N151</f>
        <v>100</v>
      </c>
      <c r="P151" s="47" t="s">
        <v>713</v>
      </c>
      <c r="Q151" s="47"/>
      <c r="R151" s="95" t="str">
        <f>IF(OR(P151="c",P151="C"),+T151,"")</f>
        <v/>
      </c>
      <c r="S151" s="95">
        <f>IF(OR(P151="$",N151=1),+T151,"")</f>
        <v>100</v>
      </c>
      <c r="T151" s="96">
        <f>H151*[1]!FMainPool1Fee+I151*[1]!FMainPool2Fee+J151*[1]!FMainPool3Fee+K151*[1]!FMainPool4Fee+B151*[1]!FMainEntryFee</f>
        <v>100</v>
      </c>
      <c r="U151" s="51"/>
    </row>
    <row r="152" spans="1:21" x14ac:dyDescent="0.25">
      <c r="A152" s="46">
        <f t="shared" si="3"/>
        <v>141</v>
      </c>
      <c r="B152" s="47">
        <v>1</v>
      </c>
      <c r="C152" s="7" t="s">
        <v>316</v>
      </c>
      <c r="D152" s="7" t="s">
        <v>45</v>
      </c>
      <c r="E152" s="8" t="s">
        <v>317</v>
      </c>
      <c r="F152" s="55">
        <v>5105046905</v>
      </c>
      <c r="G152" s="109" t="s">
        <v>562</v>
      </c>
      <c r="H152" s="49">
        <v>1</v>
      </c>
      <c r="I152" s="47">
        <v>1</v>
      </c>
      <c r="J152" s="47">
        <v>1</v>
      </c>
      <c r="K152" s="47">
        <v>1</v>
      </c>
      <c r="L152" s="47">
        <v>1</v>
      </c>
      <c r="M152" s="47"/>
      <c r="N152" s="47"/>
      <c r="O152" s="94">
        <f>T152*N152</f>
        <v>0</v>
      </c>
      <c r="P152" s="47" t="s">
        <v>701</v>
      </c>
      <c r="Q152" s="47">
        <v>4939</v>
      </c>
      <c r="R152" s="95">
        <f>IF(OR(P152="c",P152="C"),+T152,"")</f>
        <v>160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160</v>
      </c>
      <c r="U152" s="51">
        <v>1</v>
      </c>
    </row>
    <row r="153" spans="1:21" x14ac:dyDescent="0.25">
      <c r="A153" s="46">
        <f t="shared" si="3"/>
        <v>142</v>
      </c>
      <c r="B153" s="47">
        <v>1</v>
      </c>
      <c r="C153" s="5" t="s">
        <v>318</v>
      </c>
      <c r="D153" s="5" t="s">
        <v>148</v>
      </c>
      <c r="E153" s="6" t="s">
        <v>319</v>
      </c>
      <c r="F153" s="113" t="s">
        <v>563</v>
      </c>
      <c r="G153" s="12" t="s">
        <v>564</v>
      </c>
      <c r="H153" s="49">
        <v>1</v>
      </c>
      <c r="I153" s="47">
        <v>1</v>
      </c>
      <c r="J153" s="47">
        <v>1</v>
      </c>
      <c r="K153" s="47">
        <v>1</v>
      </c>
      <c r="L153" s="47"/>
      <c r="M153" s="47"/>
      <c r="N153" s="47"/>
      <c r="O153" s="94">
        <f>T153*N153</f>
        <v>0</v>
      </c>
      <c r="P153" s="47" t="s">
        <v>701</v>
      </c>
      <c r="Q153" s="47">
        <v>141</v>
      </c>
      <c r="R153" s="95">
        <f>IF(OR(P153="c",P153="C"),+T153,"")</f>
        <v>160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160</v>
      </c>
      <c r="U153" s="51"/>
    </row>
    <row r="154" spans="1:21" x14ac:dyDescent="0.25">
      <c r="A154" s="46">
        <f t="shared" si="3"/>
        <v>143</v>
      </c>
      <c r="B154" s="47">
        <v>1</v>
      </c>
      <c r="C154" s="5" t="s">
        <v>748</v>
      </c>
      <c r="D154" s="5" t="s">
        <v>211</v>
      </c>
      <c r="E154" s="6" t="s">
        <v>749</v>
      </c>
      <c r="F154" s="113">
        <v>4086670073</v>
      </c>
      <c r="G154" s="115" t="s">
        <v>750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701</v>
      </c>
      <c r="Q154" s="47">
        <v>1034</v>
      </c>
      <c r="R154" s="95">
        <f>IF(OR(P154="c",P154="C"),+T154,"")</f>
        <v>70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70</v>
      </c>
      <c r="U154" s="51"/>
    </row>
    <row r="155" spans="1:21" x14ac:dyDescent="0.25">
      <c r="A155" s="46">
        <f t="shared" si="3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701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701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>
        <v>1</v>
      </c>
      <c r="C157" s="7" t="s">
        <v>751</v>
      </c>
      <c r="D157" s="7" t="s">
        <v>45</v>
      </c>
      <c r="E157" s="8" t="s">
        <v>752</v>
      </c>
      <c r="F157" s="58">
        <v>7072944291</v>
      </c>
      <c r="G157" s="109" t="s">
        <v>753</v>
      </c>
      <c r="H157" s="49">
        <v>1</v>
      </c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701</v>
      </c>
      <c r="Q157" s="47">
        <v>1376</v>
      </c>
      <c r="R157" s="95">
        <f>IF(OR(P157="c",P157="C"),+T157,"")</f>
        <v>80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80</v>
      </c>
      <c r="U157" s="51"/>
    </row>
    <row r="158" spans="1:21" x14ac:dyDescent="0.25">
      <c r="A158" s="46">
        <f t="shared" si="3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701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9" t="s">
        <v>568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701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701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682</v>
      </c>
      <c r="D161" s="15" t="s">
        <v>81</v>
      </c>
      <c r="E161" s="10" t="s">
        <v>683</v>
      </c>
      <c r="F161" s="113"/>
      <c r="G161" s="109" t="s">
        <v>684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701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>
        <v>1</v>
      </c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>
        <v>1</v>
      </c>
      <c r="I162" s="47">
        <v>1</v>
      </c>
      <c r="J162" s="47">
        <v>1</v>
      </c>
      <c r="K162" s="47">
        <v>1</v>
      </c>
      <c r="L162" s="47">
        <v>1</v>
      </c>
      <c r="M162" s="47"/>
      <c r="N162" s="47"/>
      <c r="O162" s="94">
        <f>T162*N162</f>
        <v>0</v>
      </c>
      <c r="P162" s="47" t="s">
        <v>701</v>
      </c>
      <c r="Q162" s="47">
        <v>1508</v>
      </c>
      <c r="R162" s="95">
        <f>IF(OR(P162="c",P162="C"),+T162,"")</f>
        <v>160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160</v>
      </c>
      <c r="U162" s="51"/>
    </row>
    <row r="163" spans="1:21" x14ac:dyDescent="0.25">
      <c r="A163" s="46">
        <f t="shared" si="3"/>
        <v>152</v>
      </c>
      <c r="B163" s="47">
        <v>1</v>
      </c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>
        <v>1</v>
      </c>
      <c r="I163" s="47">
        <v>1</v>
      </c>
      <c r="J163" s="47">
        <v>1</v>
      </c>
      <c r="K163" s="47">
        <v>1</v>
      </c>
      <c r="L163" s="47">
        <v>1</v>
      </c>
      <c r="M163" s="47"/>
      <c r="N163" s="47"/>
      <c r="O163" s="94">
        <f>T163*N163</f>
        <v>0</v>
      </c>
      <c r="P163" s="47" t="s">
        <v>701</v>
      </c>
      <c r="Q163" s="47">
        <v>1508</v>
      </c>
      <c r="R163" s="95">
        <v>160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160</v>
      </c>
      <c r="U163" s="51"/>
    </row>
    <row r="164" spans="1:21" x14ac:dyDescent="0.25">
      <c r="A164" s="46">
        <f t="shared" si="3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701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>
        <v>1</v>
      </c>
      <c r="C165" s="14" t="s">
        <v>754</v>
      </c>
      <c r="D165" s="14" t="s">
        <v>755</v>
      </c>
      <c r="E165" s="6" t="s">
        <v>756</v>
      </c>
      <c r="F165" s="48">
        <v>7752876408</v>
      </c>
      <c r="G165" s="109" t="s">
        <v>757</v>
      </c>
      <c r="H165" s="49">
        <v>1</v>
      </c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713</v>
      </c>
      <c r="Q165" s="47"/>
      <c r="R165" s="95" t="str">
        <f>IF(OR(P165="c",P165="C"),+T165,"")</f>
        <v/>
      </c>
      <c r="S165" s="95">
        <f>IF(OR(P165="$",N165=1),+T165,"")</f>
        <v>80</v>
      </c>
      <c r="T165" s="96">
        <f>H165*[1]!FMainPool1Fee+I165*[1]!FMainPool2Fee+J165*[1]!FMainPool3Fee+K165*[1]!FMainPool4Fee+B165*[1]!FMainEntryFee</f>
        <v>80</v>
      </c>
      <c r="U165" s="51"/>
    </row>
    <row r="166" spans="1:21" x14ac:dyDescent="0.25">
      <c r="A166" s="46">
        <f t="shared" si="3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9" t="s">
        <v>573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701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15" t="s">
        <v>685</v>
      </c>
      <c r="D167" s="15" t="s">
        <v>45</v>
      </c>
      <c r="E167" s="10" t="s">
        <v>686</v>
      </c>
      <c r="F167" s="113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701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701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9" t="s">
        <v>575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701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>
        <v>1</v>
      </c>
      <c r="C170" s="5" t="s">
        <v>349</v>
      </c>
      <c r="D170" s="5" t="s">
        <v>350</v>
      </c>
      <c r="E170" s="6" t="s">
        <v>351</v>
      </c>
      <c r="F170" s="48">
        <v>7076641532</v>
      </c>
      <c r="G170" s="109" t="s">
        <v>576</v>
      </c>
      <c r="H170" s="49"/>
      <c r="I170" s="47">
        <v>1</v>
      </c>
      <c r="J170" s="47">
        <v>1</v>
      </c>
      <c r="K170" s="47"/>
      <c r="L170" s="47"/>
      <c r="M170" s="47"/>
      <c r="N170" s="47"/>
      <c r="O170" s="94">
        <f>T170*N170</f>
        <v>0</v>
      </c>
      <c r="P170" s="47" t="s">
        <v>701</v>
      </c>
      <c r="Q170" s="47">
        <v>204</v>
      </c>
      <c r="R170" s="95">
        <f>IF(OR(P170="c",P170="C"),+T170,"")</f>
        <v>100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100</v>
      </c>
      <c r="U170" s="51"/>
    </row>
    <row r="171" spans="1:21" x14ac:dyDescent="0.25">
      <c r="A171" s="46">
        <f t="shared" si="3"/>
        <v>160</v>
      </c>
      <c r="B171" s="47">
        <v>1</v>
      </c>
      <c r="C171" s="5" t="s">
        <v>352</v>
      </c>
      <c r="D171" s="5" t="s">
        <v>45</v>
      </c>
      <c r="E171" s="6" t="s">
        <v>353</v>
      </c>
      <c r="F171" s="113" t="s">
        <v>577</v>
      </c>
      <c r="G171" s="12" t="s">
        <v>578</v>
      </c>
      <c r="H171" s="49">
        <v>1</v>
      </c>
      <c r="I171" s="47">
        <v>1</v>
      </c>
      <c r="J171" s="47">
        <v>1</v>
      </c>
      <c r="K171" s="47"/>
      <c r="L171" s="47"/>
      <c r="M171" s="47"/>
      <c r="N171" s="47"/>
      <c r="O171" s="94">
        <f>T171*N171</f>
        <v>0</v>
      </c>
      <c r="P171" s="47" t="s">
        <v>713</v>
      </c>
      <c r="Q171" s="47"/>
      <c r="R171" s="95" t="str">
        <f>IF(OR(P171="c",P171="C"),+T171,"")</f>
        <v/>
      </c>
      <c r="S171" s="95">
        <f>IF(OR(P171="$",N171=1),+T171,"")</f>
        <v>110</v>
      </c>
      <c r="T171" s="96">
        <f>H171*[1]!FMainPool1Fee+I171*[1]!FMainPool2Fee+J171*[1]!FMainPool3Fee+K171*[1]!FMainPool4Fee+B171*[1]!FMainEntryFee</f>
        <v>110</v>
      </c>
      <c r="U171" s="51"/>
    </row>
    <row r="172" spans="1:21" x14ac:dyDescent="0.25">
      <c r="A172" s="46">
        <f t="shared" si="3"/>
        <v>161</v>
      </c>
      <c r="B172" s="47">
        <v>1</v>
      </c>
      <c r="C172" s="5" t="s">
        <v>758</v>
      </c>
      <c r="D172" s="5" t="s">
        <v>45</v>
      </c>
      <c r="E172" s="6" t="s">
        <v>759</v>
      </c>
      <c r="F172" s="113">
        <v>7074804517</v>
      </c>
      <c r="G172" s="109" t="s">
        <v>760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713</v>
      </c>
      <c r="Q172" s="47"/>
      <c r="R172" s="95" t="str">
        <f>IF(OR(P172="c",P172="C"),+T172,"")</f>
        <v/>
      </c>
      <c r="S172" s="95">
        <f>IF(OR(P172="$",N172=1),+T172,"")</f>
        <v>70</v>
      </c>
      <c r="T172" s="96">
        <f>H172*[1]!FMainPool1Fee+I172*[1]!FMainPool2Fee+J172*[1]!FMainPool3Fee+K172*[1]!FMainPool4Fee+B172*[1]!FMainEntryFee</f>
        <v>70</v>
      </c>
      <c r="U172" s="51"/>
    </row>
    <row r="173" spans="1:21" x14ac:dyDescent="0.25">
      <c r="A173" s="46">
        <f t="shared" si="3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701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701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701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3"/>
        <v>165</v>
      </c>
      <c r="B176" s="47">
        <v>1</v>
      </c>
      <c r="C176" s="5" t="s">
        <v>361</v>
      </c>
      <c r="D176" s="5" t="s">
        <v>45</v>
      </c>
      <c r="E176" s="6" t="s">
        <v>362</v>
      </c>
      <c r="F176" s="48">
        <v>5303666465</v>
      </c>
      <c r="G176" s="109" t="s">
        <v>582</v>
      </c>
      <c r="H176" s="49"/>
      <c r="I176" s="47">
        <v>1</v>
      </c>
      <c r="J176" s="47">
        <v>1</v>
      </c>
      <c r="K176" s="47"/>
      <c r="L176" s="47"/>
      <c r="M176" s="47"/>
      <c r="N176" s="47"/>
      <c r="O176" s="94">
        <f>T176*N176</f>
        <v>0</v>
      </c>
      <c r="P176" s="47" t="s">
        <v>701</v>
      </c>
      <c r="Q176" s="47">
        <v>8223</v>
      </c>
      <c r="R176" s="95">
        <f>IF(OR(P176="c",P176="C"),+T176,"")</f>
        <v>100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100</v>
      </c>
      <c r="U176" s="51"/>
    </row>
    <row r="177" spans="1:21" x14ac:dyDescent="0.25">
      <c r="A177" s="46">
        <f t="shared" si="3"/>
        <v>166</v>
      </c>
      <c r="B177" s="47"/>
      <c r="C177" s="15" t="s">
        <v>687</v>
      </c>
      <c r="D177" s="15" t="s">
        <v>199</v>
      </c>
      <c r="E177" s="10" t="s">
        <v>662</v>
      </c>
      <c r="F177" s="113"/>
      <c r="G177" s="109" t="s">
        <v>688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701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701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3"/>
        <v>168</v>
      </c>
      <c r="B179" s="47">
        <v>1</v>
      </c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/>
      <c r="O179" s="94">
        <f>T179*N179</f>
        <v>0</v>
      </c>
      <c r="P179" s="47" t="s">
        <v>701</v>
      </c>
      <c r="Q179" s="47">
        <v>677</v>
      </c>
      <c r="R179" s="95">
        <f>IF(OR(P179="c",P179="C"),+T179,"")</f>
        <v>110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3"/>
        <v>169</v>
      </c>
      <c r="B180" s="47">
        <v>1</v>
      </c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>
        <v>1</v>
      </c>
      <c r="I180" s="47"/>
      <c r="J180" s="47"/>
      <c r="K180" s="47"/>
      <c r="L180" s="47"/>
      <c r="M180" s="47">
        <v>1</v>
      </c>
      <c r="N180" s="47"/>
      <c r="O180" s="94">
        <f>T180*N180</f>
        <v>0</v>
      </c>
      <c r="P180" s="47" t="s">
        <v>701</v>
      </c>
      <c r="Q180" s="47">
        <v>677</v>
      </c>
      <c r="R180" s="95">
        <f>IF(OR(P180="c",P180="C"),+T180,"")</f>
        <v>80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80</v>
      </c>
      <c r="U180" s="51"/>
    </row>
    <row r="181" spans="1:21" x14ac:dyDescent="0.25">
      <c r="A181" s="46">
        <f t="shared" si="3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701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701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701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>
        <v>1</v>
      </c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>
        <v>1</v>
      </c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701</v>
      </c>
      <c r="Q184" s="47">
        <v>2480</v>
      </c>
      <c r="R184" s="95">
        <f>IF(OR(P184="c",P184="C"),+T184,"")</f>
        <v>80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80</v>
      </c>
      <c r="U184" s="51"/>
    </row>
    <row r="185" spans="1:21" x14ac:dyDescent="0.25">
      <c r="A185" s="46">
        <f t="shared" si="3"/>
        <v>174</v>
      </c>
      <c r="B185" s="47"/>
      <c r="C185" s="5" t="s">
        <v>383</v>
      </c>
      <c r="D185" s="5" t="s">
        <v>185</v>
      </c>
      <c r="E185" s="6" t="s">
        <v>384</v>
      </c>
      <c r="F185" s="113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701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701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701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701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701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701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>
        <v>1</v>
      </c>
      <c r="C191" s="5" t="s">
        <v>396</v>
      </c>
      <c r="D191" s="5" t="s">
        <v>72</v>
      </c>
      <c r="E191" s="6" t="s">
        <v>397</v>
      </c>
      <c r="F191" s="48">
        <v>7075290228</v>
      </c>
      <c r="G191" s="109" t="s">
        <v>597</v>
      </c>
      <c r="H191" s="49"/>
      <c r="I191" s="47"/>
      <c r="J191" s="47"/>
      <c r="K191" s="47"/>
      <c r="L191" s="47"/>
      <c r="M191" s="47"/>
      <c r="N191" s="47">
        <v>1</v>
      </c>
      <c r="O191" s="94">
        <f>T191*N191</f>
        <v>70</v>
      </c>
      <c r="P191" s="47" t="s">
        <v>713</v>
      </c>
      <c r="Q191" s="47"/>
      <c r="R191" s="95" t="str">
        <f>IF(OR(P191="c",P191="C"),+T191,"")</f>
        <v/>
      </c>
      <c r="S191" s="95">
        <f>IF(OR(P191="$",N191=1),+T191,"")</f>
        <v>70</v>
      </c>
      <c r="T191" s="96">
        <f>H191*[1]!FMainPool1Fee+I191*[1]!FMainPool2Fee+J191*[1]!FMainPool3Fee+K191*[1]!FMainPool4Fee+B191*[1]!FMainEntryFee</f>
        <v>70</v>
      </c>
      <c r="U191" s="51"/>
    </row>
    <row r="192" spans="1:21" x14ac:dyDescent="0.25">
      <c r="A192" s="46">
        <f t="shared" si="3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701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>
        <v>1</v>
      </c>
      <c r="C193" s="7" t="s">
        <v>761</v>
      </c>
      <c r="D193" s="7" t="s">
        <v>409</v>
      </c>
      <c r="E193" s="8" t="s">
        <v>762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>
        <v>1</v>
      </c>
      <c r="O193" s="94">
        <f>T193*N193</f>
        <v>70</v>
      </c>
      <c r="P193" s="47" t="s">
        <v>713</v>
      </c>
      <c r="Q193" s="47"/>
      <c r="R193" s="95" t="str">
        <f>IF(OR(P193="c",P193="C"),+T193,"")</f>
        <v/>
      </c>
      <c r="S193" s="95">
        <f>IF(OR(P193="$",N193=1),+T193,"")</f>
        <v>70</v>
      </c>
      <c r="T193" s="96">
        <f>H193*[1]!FMainPool1Fee+I193*[1]!FMainPool2Fee+J193*[1]!FMainPool3Fee+K193*[1]!FMainPool4Fee+B193*[1]!FMainEntryFee</f>
        <v>70</v>
      </c>
      <c r="U193" s="51"/>
    </row>
    <row r="194" spans="1:21" x14ac:dyDescent="0.25">
      <c r="A194" s="46">
        <f t="shared" si="3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701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701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>
        <v>1</v>
      </c>
      <c r="C196" s="5" t="s">
        <v>406</v>
      </c>
      <c r="D196" s="5" t="s">
        <v>45</v>
      </c>
      <c r="E196" s="6" t="s">
        <v>407</v>
      </c>
      <c r="F196" s="48">
        <v>7078150886</v>
      </c>
      <c r="G196" s="109" t="s">
        <v>600</v>
      </c>
      <c r="H196" s="49"/>
      <c r="I196" s="47">
        <v>1</v>
      </c>
      <c r="J196" s="47">
        <v>1</v>
      </c>
      <c r="K196" s="47"/>
      <c r="L196" s="47"/>
      <c r="M196" s="47"/>
      <c r="N196" s="47"/>
      <c r="O196" s="94">
        <f>T196*N196</f>
        <v>0</v>
      </c>
      <c r="P196" s="47" t="s">
        <v>701</v>
      </c>
      <c r="Q196" s="47">
        <v>3948</v>
      </c>
      <c r="R196" s="95">
        <f>IF(OR(P196="c",P196="C"),+T196,"")</f>
        <v>100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100</v>
      </c>
      <c r="U196" s="51"/>
    </row>
    <row r="197" spans="1:21" x14ac:dyDescent="0.25">
      <c r="A197" s="46">
        <f t="shared" si="3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9" t="s">
        <v>601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701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701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414</v>
      </c>
      <c r="D199" s="5" t="s">
        <v>412</v>
      </c>
      <c r="E199" s="6" t="s">
        <v>415</v>
      </c>
      <c r="F199" s="113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701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15" t="s">
        <v>689</v>
      </c>
      <c r="D200" s="15" t="s">
        <v>690</v>
      </c>
      <c r="E200" s="10" t="s">
        <v>691</v>
      </c>
      <c r="F200" s="113"/>
      <c r="G200" s="15"/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701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>
        <v>1</v>
      </c>
      <c r="C201" s="15" t="s">
        <v>692</v>
      </c>
      <c r="D201" s="15" t="s">
        <v>159</v>
      </c>
      <c r="E201" s="10" t="s">
        <v>693</v>
      </c>
      <c r="F201" s="113">
        <v>5103661378</v>
      </c>
      <c r="G201" s="109" t="s">
        <v>694</v>
      </c>
      <c r="H201" s="49">
        <v>1</v>
      </c>
      <c r="I201" s="47">
        <v>1</v>
      </c>
      <c r="J201" s="47"/>
      <c r="K201" s="47"/>
      <c r="L201" s="47"/>
      <c r="M201" s="47"/>
      <c r="N201" s="47"/>
      <c r="O201" s="94">
        <f>T201*N201</f>
        <v>0</v>
      </c>
      <c r="P201" s="47" t="s">
        <v>701</v>
      </c>
      <c r="Q201" s="47">
        <v>317</v>
      </c>
      <c r="R201" s="95">
        <f>IF(OR(P201="c",P201="C"),+T201,"")</f>
        <v>90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90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4">T202*N202</f>
        <v>0</v>
      </c>
      <c r="P202" s="50"/>
      <c r="Q202" s="50"/>
      <c r="R202" s="95" t="str">
        <f t="shared" ref="R202:R203" si="5">IF(OR(P202="c",P202="C"),+T202,"")</f>
        <v/>
      </c>
      <c r="S202" s="95" t="str">
        <f t="shared" ref="S202:S203" si="6">IF(OR(P202="$",N202=1),+T202,"")</f>
        <v/>
      </c>
      <c r="T202" s="96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4"/>
        <v>0</v>
      </c>
      <c r="P203" s="50"/>
      <c r="Q203" s="50"/>
      <c r="R203" s="95" t="str">
        <f t="shared" si="5"/>
        <v/>
      </c>
      <c r="S203" s="95" t="str">
        <f t="shared" si="6"/>
        <v/>
      </c>
      <c r="T203" s="96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9">T204*N204</f>
        <v>0</v>
      </c>
      <c r="P204" s="50"/>
      <c r="Q204" s="50"/>
      <c r="R204" s="95" t="str">
        <f t="shared" ref="R204:R267" si="10">IF(OR(P204="c",P204="C"),+T204,"")</f>
        <v/>
      </c>
      <c r="S204" s="95" t="str">
        <f t="shared" ref="S204:S267" si="11">IF(OR(P204="$",N204=1),+T204,"")</f>
        <v/>
      </c>
      <c r="T204" s="96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9"/>
        <v>0</v>
      </c>
      <c r="P205" s="50"/>
      <c r="Q205" s="50"/>
      <c r="R205" s="95" t="str">
        <f t="shared" si="10"/>
        <v/>
      </c>
      <c r="S205" s="95" t="str">
        <f t="shared" si="11"/>
        <v/>
      </c>
      <c r="T205" s="96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9"/>
        <v>0</v>
      </c>
      <c r="P206" s="50"/>
      <c r="Q206" s="50"/>
      <c r="R206" s="95" t="str">
        <f t="shared" si="10"/>
        <v/>
      </c>
      <c r="S206" s="95" t="str">
        <f t="shared" si="11"/>
        <v/>
      </c>
      <c r="T206" s="96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9"/>
        <v>0</v>
      </c>
      <c r="P207" s="50"/>
      <c r="Q207" s="50"/>
      <c r="R207" s="95" t="str">
        <f t="shared" si="10"/>
        <v/>
      </c>
      <c r="S207" s="95" t="str">
        <f t="shared" si="11"/>
        <v/>
      </c>
      <c r="T207" s="96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9"/>
        <v>0</v>
      </c>
      <c r="P208" s="50"/>
      <c r="Q208" s="50"/>
      <c r="R208" s="95" t="str">
        <f t="shared" si="10"/>
        <v/>
      </c>
      <c r="S208" s="95" t="str">
        <f t="shared" si="11"/>
        <v/>
      </c>
      <c r="T208" s="96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9"/>
        <v>0</v>
      </c>
      <c r="P209" s="50"/>
      <c r="Q209" s="50"/>
      <c r="R209" s="95" t="str">
        <f t="shared" si="10"/>
        <v/>
      </c>
      <c r="S209" s="95" t="str">
        <f t="shared" si="11"/>
        <v/>
      </c>
      <c r="T209" s="96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9"/>
        <v>0</v>
      </c>
      <c r="P210" s="50"/>
      <c r="Q210" s="50"/>
      <c r="R210" s="95" t="str">
        <f t="shared" si="10"/>
        <v/>
      </c>
      <c r="S210" s="95" t="str">
        <f t="shared" si="11"/>
        <v/>
      </c>
      <c r="T210" s="96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9"/>
        <v>0</v>
      </c>
      <c r="P211" s="50"/>
      <c r="Q211" s="50"/>
      <c r="R211" s="95" t="str">
        <f t="shared" si="10"/>
        <v/>
      </c>
      <c r="S211" s="95" t="str">
        <f t="shared" si="11"/>
        <v/>
      </c>
      <c r="T211" s="96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9"/>
        <v>0</v>
      </c>
      <c r="P212" s="50"/>
      <c r="Q212" s="50"/>
      <c r="R212" s="95" t="str">
        <f t="shared" si="10"/>
        <v/>
      </c>
      <c r="S212" s="95" t="str">
        <f t="shared" si="11"/>
        <v/>
      </c>
      <c r="T212" s="96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9"/>
        <v>0</v>
      </c>
      <c r="P213" s="50"/>
      <c r="Q213" s="50"/>
      <c r="R213" s="95" t="str">
        <f t="shared" si="10"/>
        <v/>
      </c>
      <c r="S213" s="95" t="str">
        <f t="shared" si="11"/>
        <v/>
      </c>
      <c r="T213" s="96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9"/>
        <v>0</v>
      </c>
      <c r="P214" s="50"/>
      <c r="Q214" s="50"/>
      <c r="R214" s="95" t="str">
        <f t="shared" si="10"/>
        <v/>
      </c>
      <c r="S214" s="95" t="str">
        <f t="shared" si="11"/>
        <v/>
      </c>
      <c r="T214" s="96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9"/>
        <v>0</v>
      </c>
      <c r="P215" s="50"/>
      <c r="Q215" s="50"/>
      <c r="R215" s="95" t="str">
        <f t="shared" si="10"/>
        <v/>
      </c>
      <c r="S215" s="95" t="str">
        <f t="shared" si="11"/>
        <v/>
      </c>
      <c r="T215" s="96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9"/>
        <v>0</v>
      </c>
      <c r="P216" s="50"/>
      <c r="Q216" s="50"/>
      <c r="R216" s="95" t="str">
        <f t="shared" si="10"/>
        <v/>
      </c>
      <c r="S216" s="95" t="str">
        <f t="shared" si="11"/>
        <v/>
      </c>
      <c r="T216" s="96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9"/>
        <v>0</v>
      </c>
      <c r="P217" s="50"/>
      <c r="Q217" s="50"/>
      <c r="R217" s="95" t="str">
        <f t="shared" si="10"/>
        <v/>
      </c>
      <c r="S217" s="95" t="str">
        <f t="shared" si="11"/>
        <v/>
      </c>
      <c r="T217" s="96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9"/>
        <v>0</v>
      </c>
      <c r="P218" s="50"/>
      <c r="Q218" s="50"/>
      <c r="R218" s="95" t="str">
        <f t="shared" si="10"/>
        <v/>
      </c>
      <c r="S218" s="95" t="str">
        <f t="shared" si="11"/>
        <v/>
      </c>
      <c r="T218" s="96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9"/>
        <v>0</v>
      </c>
      <c r="P219" s="50"/>
      <c r="Q219" s="50"/>
      <c r="R219" s="95" t="str">
        <f t="shared" si="10"/>
        <v/>
      </c>
      <c r="S219" s="95" t="str">
        <f t="shared" si="11"/>
        <v/>
      </c>
      <c r="T219" s="96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9"/>
        <v>0</v>
      </c>
      <c r="P220" s="50"/>
      <c r="Q220" s="50"/>
      <c r="R220" s="95" t="str">
        <f t="shared" si="10"/>
        <v/>
      </c>
      <c r="S220" s="95" t="str">
        <f t="shared" si="11"/>
        <v/>
      </c>
      <c r="T220" s="96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9"/>
        <v>0</v>
      </c>
      <c r="P221" s="50"/>
      <c r="Q221" s="50"/>
      <c r="R221" s="95" t="str">
        <f t="shared" si="10"/>
        <v/>
      </c>
      <c r="S221" s="95" t="str">
        <f t="shared" si="11"/>
        <v/>
      </c>
      <c r="T221" s="96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PlayerLabels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FRegEntriesSortUnpaid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FRegEntriesSortUnpaid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WhereAmI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ClearAll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720</v>
      </c>
      <c r="D7" s="5" t="s">
        <v>235</v>
      </c>
      <c r="E7" s="6" t="s">
        <v>721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2025-03-06T04:45:14Z</dcterms:modified>
</cp:coreProperties>
</file>