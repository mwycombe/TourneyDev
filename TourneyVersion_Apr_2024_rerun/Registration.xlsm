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2864720B-B08C-4171-9839-C8CFAF9420DB}" xr6:coauthVersionLast="47" xr6:coauthVersionMax="47" xr10:uidLastSave="{00000000-0000-0000-0000-000000000000}"/>
  <bookViews>
    <workbookView minimized="1" xWindow="-28020" yWindow="765" windowWidth="26370" windowHeight="1417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3" i="1" l="1"/>
  <c r="R13" i="1" s="1"/>
  <c r="T201" i="1"/>
  <c r="R201" i="1" s="1"/>
  <c r="T200" i="1"/>
  <c r="R200" i="1" s="1"/>
  <c r="T199" i="1"/>
  <c r="R199" i="1" s="1"/>
  <c r="T198" i="1"/>
  <c r="O198" i="1" s="1"/>
  <c r="T197" i="1"/>
  <c r="R197" i="1" s="1"/>
  <c r="T196" i="1"/>
  <c r="R196" i="1" s="1"/>
  <c r="T195" i="1"/>
  <c r="O195" i="1" s="1"/>
  <c r="T194" i="1"/>
  <c r="R194" i="1" s="1"/>
  <c r="T193" i="1"/>
  <c r="O193" i="1" s="1"/>
  <c r="T192" i="1"/>
  <c r="O192" i="1" s="1"/>
  <c r="T191" i="1"/>
  <c r="O191" i="1" s="1"/>
  <c r="T190" i="1"/>
  <c r="O190" i="1" s="1"/>
  <c r="T189" i="1"/>
  <c r="O189" i="1" s="1"/>
  <c r="T188" i="1"/>
  <c r="O188" i="1" s="1"/>
  <c r="T187" i="1"/>
  <c r="R187" i="1" s="1"/>
  <c r="T186" i="1"/>
  <c r="O186" i="1" s="1"/>
  <c r="T185" i="1"/>
  <c r="O185" i="1" s="1"/>
  <c r="T184" i="1"/>
  <c r="O184" i="1" s="1"/>
  <c r="T183" i="1"/>
  <c r="O183" i="1" s="1"/>
  <c r="T182" i="1"/>
  <c r="O182" i="1" s="1"/>
  <c r="T181" i="1"/>
  <c r="O181" i="1" s="1"/>
  <c r="T180" i="1"/>
  <c r="O180" i="1" s="1"/>
  <c r="T179" i="1"/>
  <c r="O179" i="1" s="1"/>
  <c r="T178" i="1"/>
  <c r="O178" i="1" s="1"/>
  <c r="T177" i="1"/>
  <c r="O177" i="1" s="1"/>
  <c r="T176" i="1"/>
  <c r="O176" i="1" s="1"/>
  <c r="T175" i="1"/>
  <c r="O175" i="1" s="1"/>
  <c r="T174" i="1"/>
  <c r="O174" i="1" s="1"/>
  <c r="T173" i="1"/>
  <c r="O173" i="1" s="1"/>
  <c r="T172" i="1"/>
  <c r="R172" i="1" s="1"/>
  <c r="T171" i="1"/>
  <c r="O171" i="1" s="1"/>
  <c r="T170" i="1"/>
  <c r="R170" i="1" s="1"/>
  <c r="T169" i="1"/>
  <c r="O169" i="1" s="1"/>
  <c r="T168" i="1"/>
  <c r="R168" i="1" s="1"/>
  <c r="T167" i="1"/>
  <c r="O167" i="1" s="1"/>
  <c r="T166" i="1"/>
  <c r="O166" i="1" s="1"/>
  <c r="T165" i="1"/>
  <c r="O165" i="1" s="1"/>
  <c r="T164" i="1"/>
  <c r="O164" i="1" s="1"/>
  <c r="T163" i="1"/>
  <c r="R163" i="1" s="1"/>
  <c r="T162" i="1"/>
  <c r="O162" i="1" s="1"/>
  <c r="T161" i="1"/>
  <c r="O161" i="1" s="1"/>
  <c r="T160" i="1"/>
  <c r="R160" i="1" s="1"/>
  <c r="T159" i="1"/>
  <c r="O159" i="1" s="1"/>
  <c r="T158" i="1"/>
  <c r="O158" i="1" s="1"/>
  <c r="T157" i="1"/>
  <c r="O157" i="1" s="1"/>
  <c r="T156" i="1"/>
  <c r="O156" i="1" s="1"/>
  <c r="T155" i="1"/>
  <c r="O155" i="1" s="1"/>
  <c r="T154" i="1"/>
  <c r="O154" i="1" s="1"/>
  <c r="T153" i="1"/>
  <c r="R153" i="1" s="1"/>
  <c r="T152" i="1"/>
  <c r="O152" i="1" s="1"/>
  <c r="T151" i="1"/>
  <c r="O151" i="1" s="1"/>
  <c r="T150" i="1"/>
  <c r="O150" i="1" s="1"/>
  <c r="T149" i="1"/>
  <c r="O149" i="1" s="1"/>
  <c r="T148" i="1"/>
  <c r="O148" i="1" s="1"/>
  <c r="T147" i="1"/>
  <c r="O147" i="1" s="1"/>
  <c r="T146" i="1"/>
  <c r="O146" i="1" s="1"/>
  <c r="T145" i="1"/>
  <c r="O145" i="1" s="1"/>
  <c r="T144" i="1"/>
  <c r="R144" i="1" s="1"/>
  <c r="T143" i="1"/>
  <c r="O143" i="1" s="1"/>
  <c r="T142" i="1"/>
  <c r="O142" i="1" s="1"/>
  <c r="T141" i="1"/>
  <c r="R141" i="1" s="1"/>
  <c r="T140" i="1"/>
  <c r="T139" i="1"/>
  <c r="O139" i="1" s="1"/>
  <c r="T138" i="1"/>
  <c r="O138" i="1" s="1"/>
  <c r="T137" i="1"/>
  <c r="O137" i="1" s="1"/>
  <c r="T136" i="1"/>
  <c r="O136" i="1" s="1"/>
  <c r="T135" i="1"/>
  <c r="O135" i="1" s="1"/>
  <c r="T134" i="1"/>
  <c r="O134" i="1" s="1"/>
  <c r="T133" i="1"/>
  <c r="O133" i="1" s="1"/>
  <c r="T132" i="1"/>
  <c r="R132" i="1" s="1"/>
  <c r="T131" i="1"/>
  <c r="R131" i="1" s="1"/>
  <c r="T130" i="1"/>
  <c r="R130" i="1" s="1"/>
  <c r="T129" i="1"/>
  <c r="R129" i="1" s="1"/>
  <c r="T128" i="1"/>
  <c r="O128" i="1" s="1"/>
  <c r="T127" i="1"/>
  <c r="O127" i="1" s="1"/>
  <c r="T126" i="1"/>
  <c r="O126" i="1" s="1"/>
  <c r="T125" i="1"/>
  <c r="O125" i="1" s="1"/>
  <c r="T124" i="1"/>
  <c r="O124" i="1" s="1"/>
  <c r="T123" i="1"/>
  <c r="R123" i="1" s="1"/>
  <c r="T122" i="1"/>
  <c r="O122" i="1" s="1"/>
  <c r="T121" i="1"/>
  <c r="O121" i="1" s="1"/>
  <c r="T120" i="1"/>
  <c r="O120" i="1" s="1"/>
  <c r="T119" i="1"/>
  <c r="O119" i="1" s="1"/>
  <c r="T118" i="1"/>
  <c r="O118" i="1" s="1"/>
  <c r="T117" i="1"/>
  <c r="O117" i="1" s="1"/>
  <c r="T116" i="1"/>
  <c r="R116" i="1" s="1"/>
  <c r="T115" i="1"/>
  <c r="O115" i="1" s="1"/>
  <c r="T114" i="1"/>
  <c r="O114" i="1" s="1"/>
  <c r="T113" i="1"/>
  <c r="R113" i="1" s="1"/>
  <c r="T112" i="1"/>
  <c r="R112" i="1" s="1"/>
  <c r="T111" i="1"/>
  <c r="R111" i="1" s="1"/>
  <c r="T110" i="1"/>
  <c r="O110" i="1" s="1"/>
  <c r="T109" i="1"/>
  <c r="O109" i="1" s="1"/>
  <c r="T108" i="1"/>
  <c r="O108" i="1" s="1"/>
  <c r="T107" i="1"/>
  <c r="O107" i="1" s="1"/>
  <c r="T106" i="1"/>
  <c r="O106" i="1" s="1"/>
  <c r="T105" i="1"/>
  <c r="R105" i="1" s="1"/>
  <c r="T104" i="1"/>
  <c r="R104" i="1" s="1"/>
  <c r="T103" i="1"/>
  <c r="O103" i="1" s="1"/>
  <c r="T102" i="1"/>
  <c r="O102" i="1" s="1"/>
  <c r="T101" i="1"/>
  <c r="O101" i="1" s="1"/>
  <c r="T100" i="1"/>
  <c r="O100" i="1" s="1"/>
  <c r="T99" i="1"/>
  <c r="O99" i="1" s="1"/>
  <c r="T98" i="1"/>
  <c r="O98" i="1" s="1"/>
  <c r="T97" i="1"/>
  <c r="O97" i="1" s="1"/>
  <c r="T96" i="1"/>
  <c r="O96" i="1" s="1"/>
  <c r="T95" i="1"/>
  <c r="O95" i="1" s="1"/>
  <c r="T94" i="1"/>
  <c r="O94" i="1" s="1"/>
  <c r="T93" i="1"/>
  <c r="O93" i="1" s="1"/>
  <c r="T92" i="1"/>
  <c r="O92" i="1" s="1"/>
  <c r="T91" i="1"/>
  <c r="O91" i="1" s="1"/>
  <c r="T90" i="1"/>
  <c r="O90" i="1" s="1"/>
  <c r="T89" i="1"/>
  <c r="O89" i="1" s="1"/>
  <c r="T88" i="1"/>
  <c r="O88" i="1" s="1"/>
  <c r="T87" i="1"/>
  <c r="O87" i="1" s="1"/>
  <c r="T86" i="1"/>
  <c r="R86" i="1" s="1"/>
  <c r="T85" i="1"/>
  <c r="R85" i="1" s="1"/>
  <c r="T84" i="1"/>
  <c r="O84" i="1" s="1"/>
  <c r="T83" i="1"/>
  <c r="R83" i="1" s="1"/>
  <c r="T82" i="1"/>
  <c r="R82" i="1" s="1"/>
  <c r="T81" i="1"/>
  <c r="R81" i="1" s="1"/>
  <c r="T80" i="1"/>
  <c r="O80" i="1" s="1"/>
  <c r="T79" i="1"/>
  <c r="R79" i="1" s="1"/>
  <c r="T78" i="1"/>
  <c r="O78" i="1" s="1"/>
  <c r="T77" i="1"/>
  <c r="O77" i="1" s="1"/>
  <c r="T76" i="1"/>
  <c r="O76" i="1" s="1"/>
  <c r="T75" i="1"/>
  <c r="O75" i="1" s="1"/>
  <c r="T74" i="1"/>
  <c r="O74" i="1" s="1"/>
  <c r="T73" i="1"/>
  <c r="R73" i="1" s="1"/>
  <c r="T72" i="1"/>
  <c r="O72" i="1" s="1"/>
  <c r="T71" i="1"/>
  <c r="R71" i="1" s="1"/>
  <c r="T70" i="1"/>
  <c r="R70" i="1" s="1"/>
  <c r="T69" i="1"/>
  <c r="S69" i="1" s="1"/>
  <c r="T68" i="1"/>
  <c r="O68" i="1" s="1"/>
  <c r="T67" i="1"/>
  <c r="O67" i="1" s="1"/>
  <c r="T66" i="1"/>
  <c r="R66" i="1" s="1"/>
  <c r="T65" i="1"/>
  <c r="R65" i="1" s="1"/>
  <c r="T64" i="1"/>
  <c r="R64" i="1" s="1"/>
  <c r="T63" i="1"/>
  <c r="S63" i="1" s="1"/>
  <c r="T62" i="1"/>
  <c r="S62" i="1" s="1"/>
  <c r="T61" i="1"/>
  <c r="O61" i="1" s="1"/>
  <c r="T60" i="1"/>
  <c r="O60" i="1" s="1"/>
  <c r="T59" i="1"/>
  <c r="O59" i="1" s="1"/>
  <c r="T58" i="1"/>
  <c r="R58" i="1" s="1"/>
  <c r="T57" i="1"/>
  <c r="O57" i="1" s="1"/>
  <c r="T56" i="1"/>
  <c r="T55" i="1"/>
  <c r="T54" i="1"/>
  <c r="T53" i="1"/>
  <c r="S53" i="1" s="1"/>
  <c r="T52" i="1"/>
  <c r="R52" i="1" s="1"/>
  <c r="T51" i="1"/>
  <c r="R51" i="1" s="1"/>
  <c r="T50" i="1"/>
  <c r="R50" i="1" s="1"/>
  <c r="T49" i="1"/>
  <c r="R49" i="1" s="1"/>
  <c r="T48" i="1"/>
  <c r="S48" i="1" s="1"/>
  <c r="T47" i="1"/>
  <c r="R47" i="1" s="1"/>
  <c r="T46" i="1"/>
  <c r="S46" i="1" s="1"/>
  <c r="T45" i="1"/>
  <c r="S45" i="1" s="1"/>
  <c r="T44" i="1"/>
  <c r="R44" i="1" s="1"/>
  <c r="T43" i="1"/>
  <c r="S43" i="1" s="1"/>
  <c r="T42" i="1"/>
  <c r="O42" i="1" s="1"/>
  <c r="T41" i="1"/>
  <c r="O41" i="1" s="1"/>
  <c r="T40" i="1"/>
  <c r="O40" i="1" s="1"/>
  <c r="T39" i="1"/>
  <c r="O39" i="1" s="1"/>
  <c r="T38" i="1"/>
  <c r="S38" i="1" s="1"/>
  <c r="T37" i="1"/>
  <c r="R37" i="1" s="1"/>
  <c r="T36" i="1"/>
  <c r="O36" i="1" s="1"/>
  <c r="T35" i="1"/>
  <c r="R35" i="1" s="1"/>
  <c r="T34" i="1"/>
  <c r="R34" i="1" s="1"/>
  <c r="T33" i="1"/>
  <c r="T32" i="1"/>
  <c r="T31" i="1"/>
  <c r="O31" i="1" s="1"/>
  <c r="T30" i="1"/>
  <c r="S30" i="1" s="1"/>
  <c r="T29" i="1"/>
  <c r="O29" i="1" s="1"/>
  <c r="T28" i="1"/>
  <c r="O28" i="1" s="1"/>
  <c r="T27" i="1"/>
  <c r="R27" i="1" s="1"/>
  <c r="T26" i="1"/>
  <c r="R26" i="1" s="1"/>
  <c r="T25" i="1"/>
  <c r="R25" i="1" s="1"/>
  <c r="T24" i="1"/>
  <c r="O24" i="1" s="1"/>
  <c r="T23" i="1"/>
  <c r="R23" i="1" s="1"/>
  <c r="T22" i="1"/>
  <c r="S22" i="1" s="1"/>
  <c r="T21" i="1"/>
  <c r="S21" i="1" s="1"/>
  <c r="T20" i="1"/>
  <c r="O20" i="1" s="1"/>
  <c r="T19" i="1"/>
  <c r="O19" i="1" s="1"/>
  <c r="T18" i="1"/>
  <c r="T17" i="1"/>
  <c r="R17" i="1" s="1"/>
  <c r="T16" i="1"/>
  <c r="R16" i="1" s="1"/>
  <c r="T15" i="1"/>
  <c r="R15" i="1" s="1"/>
  <c r="T14" i="1"/>
  <c r="S14" i="1" s="1"/>
  <c r="T12" i="1"/>
  <c r="R12" i="1" s="1"/>
  <c r="R21" i="1"/>
  <c r="S71" i="1"/>
  <c r="S201" i="1"/>
  <c r="S200" i="1"/>
  <c r="S199" i="1"/>
  <c r="S198" i="1"/>
  <c r="S70" i="1"/>
  <c r="S197" i="1"/>
  <c r="S196" i="1"/>
  <c r="R69" i="1"/>
  <c r="S195" i="1"/>
  <c r="R68" i="1"/>
  <c r="S194" i="1"/>
  <c r="S193" i="1"/>
  <c r="S192" i="1"/>
  <c r="S191" i="1"/>
  <c r="S190" i="1"/>
  <c r="S189" i="1"/>
  <c r="S67" i="1"/>
  <c r="S188" i="1"/>
  <c r="S187" i="1"/>
  <c r="S186" i="1"/>
  <c r="S66" i="1"/>
  <c r="S65" i="1"/>
  <c r="S185" i="1"/>
  <c r="S184" i="1"/>
  <c r="S64" i="1"/>
  <c r="S183" i="1"/>
  <c r="S182" i="1"/>
  <c r="S181" i="1"/>
  <c r="R63" i="1"/>
  <c r="R62" i="1"/>
  <c r="S61" i="1"/>
  <c r="S180" i="1"/>
  <c r="S179" i="1"/>
  <c r="S178" i="1"/>
  <c r="S177" i="1"/>
  <c r="R60" i="1"/>
  <c r="S176" i="1"/>
  <c r="S59" i="1"/>
  <c r="S58" i="1"/>
  <c r="S175" i="1"/>
  <c r="S174" i="1"/>
  <c r="S173" i="1"/>
  <c r="S172" i="1"/>
  <c r="S57" i="1"/>
  <c r="S171" i="1"/>
  <c r="S170" i="1"/>
  <c r="O56" i="1"/>
  <c r="S56" i="1"/>
  <c r="R55" i="1"/>
  <c r="S55" i="1"/>
  <c r="R54" i="1"/>
  <c r="S54" i="1"/>
  <c r="R53" i="1"/>
  <c r="S169" i="1"/>
  <c r="S168" i="1"/>
  <c r="S52" i="1"/>
  <c r="S167" i="1"/>
  <c r="S166" i="1"/>
  <c r="S165" i="1"/>
  <c r="S164" i="1"/>
  <c r="S163" i="1"/>
  <c r="S162" i="1"/>
  <c r="S51" i="1"/>
  <c r="S161" i="1"/>
  <c r="S160" i="1"/>
  <c r="S159" i="1"/>
  <c r="S158" i="1"/>
  <c r="S50" i="1"/>
  <c r="S157" i="1"/>
  <c r="S156" i="1"/>
  <c r="S49" i="1"/>
  <c r="S155" i="1"/>
  <c r="R48" i="1"/>
  <c r="S154" i="1"/>
  <c r="S153" i="1"/>
  <c r="S47" i="1"/>
  <c r="R46" i="1"/>
  <c r="S152" i="1"/>
  <c r="S151" i="1"/>
  <c r="S150" i="1"/>
  <c r="R45" i="1"/>
  <c r="S149" i="1"/>
  <c r="S148" i="1"/>
  <c r="S147" i="1"/>
  <c r="S44" i="1"/>
  <c r="S146" i="1"/>
  <c r="S145" i="1"/>
  <c r="R43" i="1"/>
  <c r="S144" i="1"/>
  <c r="S143" i="1"/>
  <c r="S142" i="1"/>
  <c r="S42" i="1"/>
  <c r="S141" i="1"/>
  <c r="R41" i="1"/>
  <c r="S40" i="1"/>
  <c r="R140" i="1"/>
  <c r="S140" i="1"/>
  <c r="S139" i="1"/>
  <c r="S138" i="1"/>
  <c r="S137" i="1"/>
  <c r="S136" i="1"/>
  <c r="S135" i="1"/>
  <c r="S134" i="1"/>
  <c r="S133" i="1"/>
  <c r="S132" i="1"/>
  <c r="S131" i="1"/>
  <c r="S39" i="1"/>
  <c r="S130" i="1"/>
  <c r="S129" i="1"/>
  <c r="S128" i="1"/>
  <c r="R38" i="1"/>
  <c r="S127" i="1"/>
  <c r="S126" i="1"/>
  <c r="S125" i="1"/>
  <c r="S37" i="1"/>
  <c r="S36" i="1"/>
  <c r="S124" i="1"/>
  <c r="S123" i="1"/>
  <c r="S122" i="1"/>
  <c r="S35" i="1"/>
  <c r="S34" i="1"/>
  <c r="S121" i="1"/>
  <c r="S120" i="1"/>
  <c r="S119" i="1"/>
  <c r="S118" i="1"/>
  <c r="S117" i="1"/>
  <c r="S116" i="1"/>
  <c r="R31" i="1"/>
  <c r="R30" i="1"/>
  <c r="S115" i="1"/>
  <c r="S114" i="1"/>
  <c r="O113" i="1"/>
  <c r="S113" i="1"/>
  <c r="O112" i="1"/>
  <c r="S112" i="1"/>
  <c r="S111" i="1"/>
  <c r="S110" i="1"/>
  <c r="S109" i="1"/>
  <c r="R29" i="1"/>
  <c r="S28" i="1"/>
  <c r="S27" i="1"/>
  <c r="S108" i="1"/>
  <c r="S26" i="1"/>
  <c r="S107" i="1"/>
  <c r="S25" i="1"/>
  <c r="S106" i="1"/>
  <c r="S105" i="1"/>
  <c r="S24" i="1"/>
  <c r="S104" i="1"/>
  <c r="S103" i="1"/>
  <c r="S102" i="1"/>
  <c r="S101" i="1"/>
  <c r="S100" i="1"/>
  <c r="S23" i="1"/>
  <c r="S99" i="1"/>
  <c r="R22" i="1"/>
  <c r="S98" i="1"/>
  <c r="S97" i="1"/>
  <c r="S20" i="1"/>
  <c r="S96" i="1"/>
  <c r="S95" i="1"/>
  <c r="S19" i="1"/>
  <c r="S94" i="1"/>
  <c r="S93" i="1"/>
  <c r="S92" i="1"/>
  <c r="S91" i="1"/>
  <c r="S90" i="1"/>
  <c r="S89" i="1"/>
  <c r="S88" i="1"/>
  <c r="S87" i="1"/>
  <c r="S86" i="1"/>
  <c r="R18" i="1"/>
  <c r="S85" i="1"/>
  <c r="S84" i="1"/>
  <c r="S83" i="1"/>
  <c r="S82" i="1"/>
  <c r="S81" i="1"/>
  <c r="S17" i="1"/>
  <c r="S80" i="1"/>
  <c r="S79" i="1"/>
  <c r="S16" i="1"/>
  <c r="S15" i="1"/>
  <c r="S78" i="1"/>
  <c r="S77" i="1"/>
  <c r="S76" i="1"/>
  <c r="S75" i="1"/>
  <c r="S74" i="1"/>
  <c r="S73" i="1"/>
  <c r="S72" i="1"/>
  <c r="R14" i="1"/>
  <c r="S12" i="1"/>
  <c r="S13" i="1"/>
  <c r="R84" i="1" l="1"/>
  <c r="O168" i="1"/>
  <c r="R169" i="1"/>
  <c r="R195" i="1"/>
  <c r="O196" i="1"/>
  <c r="R167" i="1"/>
  <c r="O27" i="1"/>
  <c r="O85" i="1"/>
  <c r="O141" i="1"/>
  <c r="O111" i="1"/>
  <c r="O194" i="1"/>
  <c r="O197" i="1"/>
  <c r="R174" i="1"/>
  <c r="R114" i="1"/>
  <c r="R192" i="1"/>
  <c r="R193" i="1"/>
  <c r="R142" i="1"/>
  <c r="O199" i="1"/>
  <c r="R173" i="1"/>
  <c r="O163" i="1"/>
  <c r="O201" i="1"/>
  <c r="O30" i="1"/>
  <c r="R136" i="1"/>
  <c r="O170" i="1"/>
  <c r="R107" i="1"/>
  <c r="O86" i="1"/>
  <c r="R137" i="1"/>
  <c r="O200" i="1"/>
  <c r="R138" i="1"/>
  <c r="R108" i="1"/>
  <c r="R139" i="1"/>
  <c r="O81" i="1"/>
  <c r="O79" i="1"/>
  <c r="R80" i="1"/>
  <c r="O82" i="1"/>
  <c r="O83" i="1"/>
  <c r="O160" i="1"/>
  <c r="R161" i="1"/>
  <c r="O105" i="1"/>
  <c r="R106" i="1"/>
  <c r="R198" i="1"/>
  <c r="R162" i="1"/>
  <c r="R78" i="1"/>
  <c r="R134" i="1"/>
  <c r="R143" i="1"/>
  <c r="R115" i="1"/>
  <c r="R87" i="1"/>
  <c r="R171" i="1"/>
  <c r="R164" i="1"/>
  <c r="O172" i="1"/>
  <c r="R152" i="1"/>
  <c r="R184" i="1"/>
  <c r="R181" i="1"/>
  <c r="O130" i="1"/>
  <c r="R97" i="1"/>
  <c r="O131" i="1"/>
  <c r="R183" i="1"/>
  <c r="R96" i="1"/>
  <c r="R185" i="1"/>
  <c r="O132" i="1"/>
  <c r="R133" i="1"/>
  <c r="R158" i="1"/>
  <c r="R182" i="1"/>
  <c r="R159" i="1"/>
  <c r="R151" i="1"/>
  <c r="O129" i="1"/>
  <c r="R121" i="1"/>
  <c r="R77" i="1"/>
  <c r="R110" i="1"/>
  <c r="R150" i="1"/>
  <c r="R98" i="1"/>
  <c r="R76" i="1"/>
  <c r="R135" i="1"/>
  <c r="R191" i="1"/>
  <c r="O123" i="1"/>
  <c r="R99" i="1"/>
  <c r="O144" i="1"/>
  <c r="R90" i="1"/>
  <c r="R154" i="1"/>
  <c r="S60" i="1"/>
  <c r="R72" i="1"/>
  <c r="R126" i="1"/>
  <c r="O187" i="1"/>
  <c r="R88" i="1"/>
  <c r="R124" i="1"/>
  <c r="R101" i="1"/>
  <c r="R145" i="1"/>
  <c r="R177" i="1"/>
  <c r="R102" i="1"/>
  <c r="R155" i="1"/>
  <c r="R188" i="1"/>
  <c r="R93" i="1"/>
  <c r="R109" i="1"/>
  <c r="O116" i="1"/>
  <c r="R179" i="1"/>
  <c r="O73" i="1"/>
  <c r="R103" i="1"/>
  <c r="R117" i="1"/>
  <c r="R165" i="1"/>
  <c r="R74" i="1"/>
  <c r="R94" i="1"/>
  <c r="R128" i="1"/>
  <c r="R147" i="1"/>
  <c r="R156" i="1"/>
  <c r="R180" i="1"/>
  <c r="R189" i="1"/>
  <c r="R175" i="1"/>
  <c r="O153" i="1"/>
  <c r="R176" i="1"/>
  <c r="R186" i="1"/>
  <c r="R100" i="1"/>
  <c r="R125" i="1"/>
  <c r="R91" i="1"/>
  <c r="R92" i="1"/>
  <c r="R146" i="1"/>
  <c r="R178" i="1"/>
  <c r="R127" i="1"/>
  <c r="R118" i="1"/>
  <c r="R75" i="1"/>
  <c r="O104" i="1"/>
  <c r="R148" i="1"/>
  <c r="R157" i="1"/>
  <c r="R166" i="1"/>
  <c r="R190" i="1"/>
  <c r="R95" i="1"/>
  <c r="R119" i="1"/>
  <c r="R149" i="1"/>
  <c r="R120" i="1"/>
  <c r="R122" i="1"/>
  <c r="R67" i="1"/>
  <c r="O69" i="1"/>
  <c r="R36" i="1"/>
  <c r="O35" i="1"/>
  <c r="O22" i="1"/>
  <c r="O70" i="1"/>
  <c r="R40" i="1"/>
  <c r="O65" i="1"/>
  <c r="R42" i="1"/>
  <c r="O62" i="1"/>
  <c r="R56" i="1"/>
  <c r="R89" i="1"/>
  <c r="S29" i="1"/>
  <c r="S31" i="1"/>
  <c r="O45" i="1"/>
  <c r="O53" i="1"/>
  <c r="R39" i="1"/>
  <c r="O55" i="1"/>
  <c r="O66" i="1"/>
  <c r="S68" i="1"/>
  <c r="O44" i="1"/>
  <c r="O23" i="1"/>
  <c r="O25" i="1"/>
  <c r="O71" i="1"/>
  <c r="R20" i="1"/>
  <c r="R28" i="1"/>
  <c r="O64" i="1"/>
  <c r="O43" i="1"/>
  <c r="O49" i="1"/>
  <c r="O34" i="1"/>
  <c r="O140" i="1"/>
  <c r="O14" i="1"/>
  <c r="O15" i="1"/>
  <c r="R61" i="1"/>
  <c r="O63" i="1"/>
  <c r="R24" i="1"/>
  <c r="R57" i="1"/>
  <c r="O37" i="1"/>
  <c r="O47" i="1"/>
  <c r="O12" i="1"/>
  <c r="O50" i="1"/>
  <c r="S41" i="1"/>
  <c r="O13" i="1"/>
  <c r="O17" i="1"/>
  <c r="O51" i="1"/>
  <c r="O52" i="1"/>
  <c r="O58" i="1"/>
  <c r="O26" i="1"/>
  <c r="O16" i="1"/>
  <c r="O54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S10" i="1" l="1"/>
  <c r="O10" i="1"/>
  <c r="U10" i="1"/>
  <c r="T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<sst xmlns="http://schemas.openxmlformats.org/spreadsheetml/2006/main" count="1770" uniqueCount="763">
  <si>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</si>
  <si>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</si>
  <si>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</si>
  <si>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</si>
  <si>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</si>
  <si>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</si>
  <si>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</si>
  <si>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</si>
  <si>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</si>
  <si>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</si>
  <si>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</si>
  <si>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</si>
  <si>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</si>
  <si>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</si>
  <si>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</si>
  <si>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</si>
  <si>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</si>
  <si>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</si>
  <si>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</si>
  <si>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</si>
  <si>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</si>
  <si>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</si>
  <si>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</si>
  <si>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</si>
  <si>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</si>
  <si>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</si>
  <si>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</si>
  <si>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</si>
  <si>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</si>
  <si>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</si>
  <si>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</si>
  <si>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</si>
  <si>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</si>
  <si>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</si>
  <si>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</si>
  <si>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</si>
  <si>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</si>
  <si>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</si>
  <si>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</si>
  <si>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</si>
  <si>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</si>
  <si>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</si>
  <si>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</si>
  <si>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</si>
  <si>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</si>
  <si>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</si>
  <si>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</si>
  <si>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</si>
  <si>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</si>
  <si>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</si>
  <si>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</si>
  <si>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</si>
  <si>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</si>
  <si>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</si>
  <si>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</si>
  <si>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</si>
  <si>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</si>
  <si>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</si>
  <si>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</si>
  <si>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</si>
  <si>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</si>
  <si>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</si>
  <si>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</si>
  <si>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</si>
  <si>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</si>
  <si>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</si>
  <si>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</si>
  <si>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</si>
  <si>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</si>
  <si>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</si>
  <si>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</si>
  <si>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</si>
  <si>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</si>
  <si>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</si>
  <si>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</si>
  <si>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</si>
  <si>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</si>
  <si>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</si>
  <si>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</si>
  <si>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</si>
  <si>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</si>
  <si>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</si>
  <si>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</si>
  <si>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</si>
  <si>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</si>
  <si>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</si>
  <si>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</si>
  <si>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</si>
  <si>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</si>
  <si>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</si>
  <si>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</si>
  <si>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</si>
  <si>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</si>
  <si>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</si>
  <si>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</si>
  <si>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</si>
  <si>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</si>
  <si>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</si>
  <si>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</si>
  <si>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</si>
  <si>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</si>
  <si>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</si>
  <si>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</si>
  <si>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</si>
  <si>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</si>
  <si>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</si>
  <si>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</si>
  <si>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</si>
  <si>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</si>
  <si>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</si>
  <si>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</si>
  <si>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</si>
  <si>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</si>
  <si>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</si>
  <si>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</si>
  <si>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</si>
  <si>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</si>
  <si>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</si>
  <si>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</si>
  <si>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</si>
  <si>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</si>
  <si>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</si>
  <si>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</si>
  <si>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</si>
  <si>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</si>
  <si>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</si>
  <si>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</si>
  <si>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</si>
  <si>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</si>
  <si>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</si>
  <si>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</si>
  <si>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</si>
  <si>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</si>
  <si>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</si>
  <si>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</si>
  <si>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</si>
  <si>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</si>
  <si>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</si>
  <si>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</si>
  <si>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</si>
  <si>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</si>
  <si>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</si>
  <si>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</si>
  <si>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</si>
  <si>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</si>
  <si>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</si>
  <si>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</si>
  <si>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</si>
  <si>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</si>
  <si>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</si>
  <si>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</si>
  <si>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</si>
  <si>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</si>
  <si>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</si>
  <si>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</si>
  <si>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</si>
  <si>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</si>
  <si>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</si>
  <si>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</si>
  <si>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</si>
  <si>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</si>
  <si>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</si>
  <si>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</si>
  <si>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</si>
  <si>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</si>
  <si>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</si>
  <si>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</si>
  <si>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</si>
  <si>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</si>
  <si>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</si>
  <si>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</si>
  <si>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</si>
  <si>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</si>
  <si>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</si>
  <si>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</si>
  <si>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</si>
  <si>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</si>
  <si>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</si>
  <si>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</si>
  <si>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</si>
  <si>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</si>
  <si>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</si>
  <si>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</si>
  <si>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</si>
  <si>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</si>
  <si>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</si>
  <si>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</si>
  <si>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</si>
  <si>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</si>
  <si>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</si>
  <si>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</si>
  <si>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</si>
  <si>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</si>
  <si>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</si>
  <si>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</si>
  <si>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</si>
  <si>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</si>
  <si>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</si>
  <si>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</si>
  <si>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</si>
  <si>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</si>
  <si>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</si>
  <si>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</si>
  <si>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</si>
  <si>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</si>
  <si>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</si>
  <si>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</si>
  <si>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</si>
  <si>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</si>
  <si>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</si>
  <si>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</si>
  <si>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</si>
  <si>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</si>
  <si>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</si>
  <si>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</si>
  <si>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</si>
  <si>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</si>
  <si>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</si>
  <si>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</si>
  <si>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</si>
  <si>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</si>
  <si>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</si>
  <si>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</si>
  <si>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</si>
  <si>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</si>
  <si>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</si>
  <si>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</si>
  <si>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</si>
  <si>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</si>
  <si>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</si>
  <si>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</si>
  <si>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</si>
  <si>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</si>
  <si>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</si>
  <si>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</si>
  <si>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</si>
  <si>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</si>
  <si>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</si>
  <si>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</si>
  <si>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</si>
  <si>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</si>
  <si>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</si>
  <si>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</si>
  <si>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</si>
  <si>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</si>
  <si>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</si>
  <si>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</si>
  <si>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</si>
  <si>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</si>
  <si>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</si>
  <si>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</si>
  <si>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</si>
  <si>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</si>
  <si>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</si>
  <si>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</si>
  <si>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</si>
  <si>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</si>
  <si>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</si>
  <si>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</si>
  <si>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</si>
  <si>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</si>
  <si>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</si>
  <si>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</si>
  <si>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</si>
  <si>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</si>
  <si>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</si>
  <si>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</si>
  <si>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</si>
  <si>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</si>
  <si>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</si>
  <si>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</si>
  <si>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</si>
  <si>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</si>
  <si>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</si>
  <si>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</si>
  <si>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</si>
  <si>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</si>
  <si>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</si>
  <si>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</si>
  <si>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</si>
  <si>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</si>
  <si>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</si>
  <si>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</si>
  <si>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</si>
  <si>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</si>
  <si>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</si>
  <si>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</si>
  <si>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</si>
  <si>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</si>
  <si>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</si>
  <si>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</si>
  <si>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</si>
  <si>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</si>
  <si>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</si>
  <si>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</si>
  <si>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</si>
  <si>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</si>
  <si>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</si>
  <si>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</si>
  <si>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</si>
  <si>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</si>
  <si>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</si>
  <si>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</si>
  <si>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</si>
  <si>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</si>
  <si>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</si>
  <si>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</si>
  <si>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</si>
  <si>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</si>
  <si>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</si>
  <si>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</si>
  <si>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</si>
  <si>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</si>
  <si>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</si>
  <si>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</si>
  <si>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</si>
  <si>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</si>
  <si>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</si>
  <si>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</si>
  <si>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</si>
  <si>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</si>
  <si>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</si>
  <si>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</si>
  <si>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</si>
  <si>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</si>
  <si>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</si>
  <si>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</si>
  <si>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</si>
  <si>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</si>
  <si>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</si>
  <si>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</si>
  <si>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</si>
  <si>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</si>
  <si>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</si>
  <si>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</si>
  <si>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</si>
  <si>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</si>
  <si>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</si>
  <si>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</si>
  <si>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</si>
  <si>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</si>
  <si>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</si>
  <si>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</si>
  <si>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</si>
  <si>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</si>
  <si>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</si>
  <si>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</si>
  <si>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</si>
  <si>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</si>
  <si>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</si>
  <si>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</si>
  <si>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</si>
  <si>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</si>
  <si>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</si>
  <si>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</si>
  <si>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</si>
  <si>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</si>
  <si>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</si>
  <si>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</si>
  <si>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</si>
  <si>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</si>
  <si>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</si>
  <si>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</si>
  <si>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</si>
  <si>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</si>
  <si>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</si>
  <si>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</si>
  <si>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</si>
  <si>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</si>
  <si>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</si>
  <si>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</si>
  <si>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</si>
  <si>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</si>
  <si>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</si>
  <si>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</si>
  <si>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</si>
  <si>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</si>
  <si>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</si>
  <si>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</si>
  <si>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</si>
  <si>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</si>
  <si>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</si>
  <si>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</si>
  <si>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</si>
  <si>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</si>
  <si>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</si>
  <si>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</si>
  <si>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</si>
  <si>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</si>
  <si>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</si>
  <si>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</si>
  <si>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</si>
  <si>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</si>
  <si>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</si>
  <si>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</si>
  <si>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</si>
  <si>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</si>
  <si>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</si>
  <si>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</si>
  <si>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</si>
  <si>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</si>
  <si>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</si>
  <si>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</si>
  <si>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</si>
  <si>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</si>
  <si>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</si>
  <si>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</si>
  <si>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</si>
  <si>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</si>
  <si>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</si>
  <si>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</si>
  <si>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</si>
  <si>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</si>
  <si>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</si>
  <si>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</si>
  <si>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</si>
  <si>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</si>
  <si>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</si>
  <si>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</si>
  <si>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</si>
  <si>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</si>
  <si>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</si>
  <si>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</si>
  <si>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</si>
  <si>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</si>
  <si>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</si>
  <si>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</si>
  <si>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</si>
  <si>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</si>
  <si>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</si>
  <si>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</si>
  <si>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</si>
  <si>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</si>
  <si>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</si>
  <si>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</si>
  <si>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</si>
  <si>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</si>
  <si>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</si>
  <si>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</si>
  <si>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</si>
  <si>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</si>
  <si>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</si>
  <si>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</si>
  <si>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</si>
  <si>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</si>
  <si>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</si>
  <si>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</si>
  <si>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</si>
  <si>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</si>
  <si>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</si>
  <si>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</si>
  <si>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</si>
  <si>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</si>
  <si>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</si>
  <si>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</si>
  <si>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</si>
  <si>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</si>
  <si>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</si>
  <si>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</si>
  <si>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</si>
  <si>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</si>
  <si>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</si>
  <si>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</si>
  <si>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</si>
  <si>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</si>
  <si>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</si>
  <si>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</si>
  <si>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</si>
  <si>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</si>
  <si>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</si>
  <si>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</si>
  <si>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</si>
  <si>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</si>
  <si>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</si>
  <si>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</si>
  <si>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</si>
  <si>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</si>
  <si>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</si>
  <si>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</si>
  <si>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</si>
  <si>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</si>
  <si>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</si>
  <si>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</si>
  <si>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</si>
  <si>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</si>
  <si>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</si>
  <si>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</si>
  <si>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</si>
  <si>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</si>
  <si>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</si>
  <si>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</si>
  <si>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</si>
  <si>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</si>
  <si>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</si>
  <si>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</si>
  <si>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</si>
  <si>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</si>
  <si>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</si>
  <si>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</si>
  <si>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</si>
  <si>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</si>
  <si>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</si>
  <si>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</si>
  <si>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</si>
  <si>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</si>
  <si>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</si>
  <si>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</si>
  <si>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</si>
  <si>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</si>
  <si>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</si>
  <si>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</si>
  <si>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</si>
  <si>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</si>
  <si>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</si>
  <si>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</si>
  <si>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</si>
  <si>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</si>
  <si>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</si>
  <si>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</si>
  <si>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</si>
  <si>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</si>
  <si>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</si>
  <si>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</si>
  <si>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</si>
  <si>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</si>
  <si>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</si>
  <si>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</si>
  <si>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</si>
  <si>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</si>
  <si>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</si>
  <si>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</si>
  <si>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</si>
  <si>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</si>
  <si>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</si>
  <si>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</si>
  <si>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</si>
  <si>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</si>
  <si>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</si>
  <si>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</si>
  <si>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</si>
  <si>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</si>
  <si>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</si>
  <si>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</si>
  <si>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</si>
  <si>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</si>
  <si>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</si>
  <si>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</si>
  <si>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</si>
  <si>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</si>
  <si>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</si>
  <si>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</si>
  <si>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</si>
  <si>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</si>
  <si>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</si>
  <si>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</si>
  <si>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</si>
  <si>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</si>
  <si>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</si>
  <si>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</si>
  <si>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</si>
  <si>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</si>
  <si>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</si>
  <si>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</si>
  <si>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</si>
  <si>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</si>
  <si>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</si>
  <si>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</si>
  <si>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</si>
  <si>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</si>
  <si>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</si>
  <si>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</si>
  <si>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</si>
  <si>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</si>
  <si>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</si>
  <si>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</si>
  <si>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</si>
  <si>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</si>
  <si>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</si>
  <si>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</si>
  <si>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</si>
  <si>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</si>
  <si>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</si>
  <si>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</si>
  <si>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</si>
  <si>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</si>
  <si>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</si>
  <si>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</si>
  <si>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</si>
  <si>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</si>
  <si>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</si>
  <si>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</si>
  <si>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</si>
  <si>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</si>
  <si>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</si>
  <si>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</si>
  <si>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</si>
  <si>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</si>
  <si>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</si>
  <si>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</si>
  <si>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</si>
  <si>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</si>
  <si>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</si>
  <si>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</si>
  <si>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</si>
  <si>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</si>
  <si>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</si>
  <si>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</si>
  <si>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</si>
  <si>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</si>
  <si>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</si>
  <si>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</si>
  <si>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</si>
  <si>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</si>
  <si>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</si>
  <si>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</si>
  <si>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</si>
  <si>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</si>
  <si>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</si>
  <si>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</si>
  <si>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</si>
  <si>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</si>
  <si>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</si>
  <si>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</si>
  <si>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</si>
  <si>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</si>
  <si>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</si>
  <si>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</si>
  <si>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</si>
  <si>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</si>
  <si>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</si>
  <si>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</si>
  <si>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</si>
  <si>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</si>
  <si>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</si>
  <si>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</si>
  <si>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</si>
  <si>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</si>
  <si>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</si>
  <si>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</si>
  <si>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</si>
  <si>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</si>
  <si>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</si>
  <si>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</si>
  <si>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</si>
  <si>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</si>
  <si>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</si>
  <si>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</si>
  <si>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</si>
  <si>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</si>
  <si>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</si>
  <si>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</si>
  <si>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</si>
  <si>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</si>
  <si>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</si>
  <si>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</si>
  <si>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</si>
  <si>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</si>
  <si>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</si>
  <si>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</si>
  <si>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</si>
  <si>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</si>
  <si>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</si>
  <si>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</si>
  <si>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</si>
  <si>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</si>
  <si>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</si>
  <si>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</si>
  <si>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</si>
  <si>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</si>
  <si>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</si>
  <si>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</si>
  <si>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</si>
  <si>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</si>
  <si>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</si>
  <si>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</si>
  <si>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</si>
  <si>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</si>
  <si>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</si>
  <si>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</si>
  <si>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</si>
  <si>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</si>
  <si>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</si>
  <si>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</si>
  <si>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</si>
  <si>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</si>
  <si>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</si>
  <si>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</si>
  <si>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</si>
  <si>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</si>
  <si>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</si>
  <si>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</si>
  <si>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</si>
  <si>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</si>
  <si>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</si>
  <si>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</si>
  <si>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</si>
  <si>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</si>
  <si>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</si>
  <si>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</si>
  <si>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Napa Wine Country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</si>
  <si>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</si>
  <si>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</si>
  <si>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</si>
  <si>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</si>
  <si>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</si>
  <si>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</si>
  <si>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</si>
  <si>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roland26h@yahoo.com</t>
  </si>
  <si>
    <t>Alechus Sr., James</t>
  </si>
  <si>
    <t>CA3773L</t>
  </si>
  <si>
    <t>jim.carmen71@outlook.com</t>
  </si>
  <si>
    <t>C</t>
  </si>
  <si>
    <t>Alechus Jr., James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</si>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</sst>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P11" sqref="P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 t="s">
        <v>699</v>
      </c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 t="s">
        <v>700</v>
      </c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 t="s">
        <v>701</v>
      </c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25" t="s">
        <v>702</v>
      </c>
      <c r="D11" s="126"/>
      <c r="E11" s="125" t="s">
        <v>703</v>
      </c>
      <c r="F11" s="126"/>
      <c r="G11" s="125" t="s">
        <v>704</v>
      </c>
      <c r="H11" s="126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5" t="s">
        <v>705</v>
      </c>
      <c r="D13" s="126"/>
      <c r="E13" s="125"/>
      <c r="F13" s="126"/>
      <c r="G13" s="125" t="s">
        <v>706</v>
      </c>
      <c r="H13" s="126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5" t="s">
        <v>707</v>
      </c>
      <c r="D15" s="126"/>
      <c r="E15" s="125"/>
      <c r="F15" s="126"/>
      <c r="G15" s="125"/>
      <c r="H15" s="126"/>
    </row>
  </sheetData>
  <sheetProtection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699</v>
      </c>
      <c r="C4" s="130"/>
      <c r="D4" s="130"/>
      <c r="E4" s="130"/>
      <c r="F4" s="130"/>
    </row>
    <row r="5" spans="1:7" x14ac:dyDescent="0.25">
      <c r="A5" s="4" t="s">
        <v>616</v>
      </c>
      <c r="B5" s="131" t="s">
        <v>700</v>
      </c>
      <c r="C5" s="131"/>
      <c r="D5" s="131"/>
      <c r="E5" s="131"/>
      <c r="F5" s="131"/>
    </row>
    <row r="6" spans="1:7" x14ac:dyDescent="0.25">
      <c r="A6" s="4" t="s">
        <v>617</v>
      </c>
      <c r="B6" s="131" t="s">
        <v>701</v>
      </c>
      <c r="C6" s="131"/>
      <c r="D6" s="131"/>
      <c r="E6" s="131"/>
      <c r="F6" s="131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6" sqref="B26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 t="s">
        <v>699</v>
      </c>
      <c r="C4" s="130"/>
      <c r="D4" s="130"/>
      <c r="E4" s="130"/>
      <c r="F4" s="130"/>
    </row>
    <row r="5" spans="1:7" x14ac:dyDescent="0.25">
      <c r="A5" s="4" t="s">
        <v>616</v>
      </c>
      <c r="B5" s="79" t="s">
        <v>700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701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C12" sqref="C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6" t="s">
        <v>699</v>
      </c>
      <c r="L2" s="136"/>
      <c r="M2" s="136"/>
      <c r="N2" s="136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6" t="s">
        <v>700</v>
      </c>
      <c r="L3" s="136"/>
      <c r="M3" s="136"/>
      <c r="N3" s="136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6" t="s">
        <v>701</v>
      </c>
      <c r="L4" s="136"/>
      <c r="M4" s="136"/>
      <c r="N4" s="136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7">
        <v>45402</v>
      </c>
      <c r="L5" s="137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13</v>
      </c>
      <c r="M10" s="100">
        <f t="shared" si="0"/>
        <v>3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712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 t="shared" ref="O12:O17" si="2">T12*N12</f>
        <v>0</v>
      </c>
      <c r="P12" s="47" t="s">
        <v>711</v>
      </c>
      <c r="Q12" s="47">
        <v>909</v>
      </c>
      <c r="R12" s="95">
        <f t="shared" ref="R12:R18" si="3">IF(OR(P12="c",P12="C"),+T12,"")</f>
        <v>100</v>
      </c>
      <c r="S12" s="95" t="str">
        <f t="shared" ref="S12:S17" si="4">IF(OR(P12="$",N12=1),+T12,"")</f>
        <v/>
      </c>
      <c r="T12" s="96">
        <f t="shared" ref="T12:T43" si="5">B12*FRegMainSetUpEntryFee + H12*FRegMainSetUpPool1Fee + I12*FRegMainSetUpPool2Fee + J12*FRegMainSetUpPool3Fee + K12*FRegMainSetUpPool4Fee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708</v>
      </c>
      <c r="D13" s="5" t="s">
        <v>103</v>
      </c>
      <c r="E13" s="6" t="s">
        <v>709</v>
      </c>
      <c r="F13" s="48">
        <v>9169894301</v>
      </c>
      <c r="G13" s="109" t="s">
        <v>710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711</v>
      </c>
      <c r="Q13" s="47">
        <v>909</v>
      </c>
      <c r="R13" s="95">
        <f t="shared" si="3"/>
        <v>100</v>
      </c>
      <c r="S13" s="95" t="str">
        <f t="shared" si="4"/>
        <v/>
      </c>
      <c r="T13" s="96">
        <f t="shared" si="5"/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6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 t="shared" si="2"/>
        <v>80</v>
      </c>
      <c r="P14" s="47" t="s">
        <v>713</v>
      </c>
      <c r="Q14" s="47"/>
      <c r="R14" s="95" t="str">
        <f t="shared" si="3"/>
        <v/>
      </c>
      <c r="S14" s="95">
        <f t="shared" si="4"/>
        <v>80</v>
      </c>
      <c r="T14" s="96">
        <f t="shared" si="5"/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714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 t="shared" si="2"/>
        <v>0</v>
      </c>
      <c r="P15" s="47" t="s">
        <v>711</v>
      </c>
      <c r="Q15" s="47">
        <v>1015</v>
      </c>
      <c r="R15" s="95">
        <f t="shared" si="3"/>
        <v>160</v>
      </c>
      <c r="S15" s="95" t="str">
        <f t="shared" si="4"/>
        <v/>
      </c>
      <c r="T15" s="96">
        <f t="shared" si="5"/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 t="shared" si="2"/>
        <v>0</v>
      </c>
      <c r="P16" s="47" t="s">
        <v>711</v>
      </c>
      <c r="Q16" s="47">
        <v>3403</v>
      </c>
      <c r="R16" s="95">
        <f t="shared" si="3"/>
        <v>160</v>
      </c>
      <c r="S16" s="95" t="str">
        <f t="shared" si="4"/>
        <v/>
      </c>
      <c r="T16" s="96">
        <f t="shared" si="5"/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3">
        <v>5305666454</v>
      </c>
      <c r="G17" s="111" t="s">
        <v>715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 t="shared" si="2"/>
        <v>0</v>
      </c>
      <c r="P17" s="47" t="s">
        <v>711</v>
      </c>
      <c r="Q17" s="112" t="s">
        <v>716</v>
      </c>
      <c r="R17" s="95">
        <f t="shared" si="3"/>
        <v>80</v>
      </c>
      <c r="S17" s="95" t="str">
        <f t="shared" si="4"/>
        <v/>
      </c>
      <c r="T17" s="96">
        <f t="shared" si="5"/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717</v>
      </c>
      <c r="D18" s="7" t="s">
        <v>67</v>
      </c>
      <c r="E18" s="8" t="s">
        <v>718</v>
      </c>
      <c r="F18" s="55">
        <v>7075994896</v>
      </c>
      <c r="G18" s="111" t="s">
        <v>719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713</v>
      </c>
      <c r="Q18" s="47"/>
      <c r="R18" s="95" t="str">
        <f t="shared" si="3"/>
        <v/>
      </c>
      <c r="S18" s="95">
        <v>110</v>
      </c>
      <c r="T18" s="96">
        <f t="shared" si="5"/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/>
      <c r="M19" s="47">
        <v>1</v>
      </c>
      <c r="N19" s="47"/>
      <c r="O19" s="94">
        <f>T19*N19</f>
        <v>0</v>
      </c>
      <c r="P19" s="47" t="s">
        <v>711</v>
      </c>
      <c r="Q19" s="47">
        <v>171</v>
      </c>
      <c r="R19" s="95">
        <v>80</v>
      </c>
      <c r="S19" s="95" t="str">
        <f t="shared" ref="S19:S31" si="6">IF(OR(P19="$",N19=1),+T19,"")</f>
        <v/>
      </c>
      <c r="T19" s="96">
        <f t="shared" si="5"/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10">
        <v>7079744711</v>
      </c>
      <c r="G20" s="111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711</v>
      </c>
      <c r="Q20" s="47">
        <v>1075</v>
      </c>
      <c r="R20" s="95">
        <f t="shared" ref="R20:R31" si="7">IF(OR(P20="c",P20="C"),+T20,"")</f>
        <v>70</v>
      </c>
      <c r="S20" s="95" t="str">
        <f t="shared" si="6"/>
        <v/>
      </c>
      <c r="T20" s="96">
        <f t="shared" si="5"/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722</v>
      </c>
      <c r="D21" s="15" t="s">
        <v>67</v>
      </c>
      <c r="E21" s="10" t="s">
        <v>723</v>
      </c>
      <c r="F21" s="110">
        <v>7075027980</v>
      </c>
      <c r="G21" s="111" t="s">
        <v>724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713</v>
      </c>
      <c r="Q21" s="47"/>
      <c r="R21" s="95" t="str">
        <f t="shared" si="7"/>
        <v/>
      </c>
      <c r="S21" s="95">
        <f t="shared" si="6"/>
        <v>110</v>
      </c>
      <c r="T21" s="96">
        <f t="shared" si="5"/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9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 t="shared" ref="O22:O31" si="8">T22*N22</f>
        <v>0</v>
      </c>
      <c r="P22" s="47" t="s">
        <v>713</v>
      </c>
      <c r="Q22" s="47"/>
      <c r="R22" s="95" t="str">
        <f t="shared" si="7"/>
        <v/>
      </c>
      <c r="S22" s="95">
        <f t="shared" si="6"/>
        <v>100</v>
      </c>
      <c r="T22" s="96">
        <f t="shared" si="5"/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10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 t="shared" si="8"/>
        <v>0</v>
      </c>
      <c r="P23" s="47" t="s">
        <v>711</v>
      </c>
      <c r="Q23" s="47">
        <v>1299</v>
      </c>
      <c r="R23" s="95">
        <f t="shared" si="7"/>
        <v>110</v>
      </c>
      <c r="S23" s="95" t="str">
        <f t="shared" si="6"/>
        <v/>
      </c>
      <c r="T23" s="96">
        <f t="shared" si="5"/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10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8"/>
        <v>0</v>
      </c>
      <c r="P24" s="47" t="s">
        <v>711</v>
      </c>
      <c r="Q24" s="47">
        <v>1974</v>
      </c>
      <c r="R24" s="95">
        <f t="shared" si="7"/>
        <v>110</v>
      </c>
      <c r="S24" s="95" t="str">
        <f t="shared" si="6"/>
        <v/>
      </c>
      <c r="T24" s="96">
        <f t="shared" si="5"/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 t="shared" si="8"/>
        <v>0</v>
      </c>
      <c r="P25" s="47" t="s">
        <v>711</v>
      </c>
      <c r="Q25" s="47">
        <v>2213</v>
      </c>
      <c r="R25" s="95">
        <f t="shared" si="7"/>
        <v>160</v>
      </c>
      <c r="S25" s="95" t="str">
        <f t="shared" si="6"/>
        <v/>
      </c>
      <c r="T25" s="96">
        <f t="shared" si="5"/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 t="shared" si="8"/>
        <v>0</v>
      </c>
      <c r="P26" s="47" t="s">
        <v>711</v>
      </c>
      <c r="Q26" s="47">
        <v>4008</v>
      </c>
      <c r="R26" s="95">
        <f t="shared" si="7"/>
        <v>160</v>
      </c>
      <c r="S26" s="95" t="str">
        <f t="shared" si="6"/>
        <v/>
      </c>
      <c r="T26" s="96">
        <f t="shared" si="5"/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9" t="s">
        <v>491</v>
      </c>
      <c r="H27" s="49"/>
      <c r="I27" s="47"/>
      <c r="J27" s="47"/>
      <c r="K27" s="47"/>
      <c r="L27" s="47"/>
      <c r="M27" s="47"/>
      <c r="N27" s="47"/>
      <c r="O27" s="94">
        <f t="shared" si="8"/>
        <v>0</v>
      </c>
      <c r="P27" s="47" t="s">
        <v>711</v>
      </c>
      <c r="Q27" s="47">
        <v>1795</v>
      </c>
      <c r="R27" s="95">
        <f t="shared" si="7"/>
        <v>70</v>
      </c>
      <c r="S27" s="95" t="str">
        <f t="shared" si="6"/>
        <v/>
      </c>
      <c r="T27" s="96">
        <f t="shared" si="5"/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725</v>
      </c>
      <c r="D28" s="5" t="s">
        <v>185</v>
      </c>
      <c r="E28" s="6" t="s">
        <v>726</v>
      </c>
      <c r="F28" s="59">
        <v>9258406622</v>
      </c>
      <c r="G28" s="109" t="s">
        <v>727</v>
      </c>
      <c r="H28" s="49">
        <v>1</v>
      </c>
      <c r="I28" s="47"/>
      <c r="J28" s="47"/>
      <c r="K28" s="47"/>
      <c r="L28" s="47"/>
      <c r="M28" s="47"/>
      <c r="N28" s="47"/>
      <c r="O28" s="94">
        <f t="shared" si="8"/>
        <v>0</v>
      </c>
      <c r="P28" s="47" t="s">
        <v>711</v>
      </c>
      <c r="Q28" s="47">
        <v>1208</v>
      </c>
      <c r="R28" s="95">
        <f t="shared" si="7"/>
        <v>80</v>
      </c>
      <c r="S28" s="95" t="str">
        <f t="shared" si="6"/>
        <v/>
      </c>
      <c r="T28" s="96">
        <f t="shared" si="5"/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10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8"/>
        <v>160</v>
      </c>
      <c r="P29" s="47" t="s">
        <v>713</v>
      </c>
      <c r="Q29" s="47"/>
      <c r="R29" s="95" t="str">
        <f t="shared" si="7"/>
        <v/>
      </c>
      <c r="S29" s="95">
        <f t="shared" si="6"/>
        <v>160</v>
      </c>
      <c r="T29" s="96">
        <f t="shared" si="5"/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 t="shared" si="8"/>
        <v>0</v>
      </c>
      <c r="P30" s="47" t="s">
        <v>713</v>
      </c>
      <c r="Q30" s="47"/>
      <c r="R30" s="95" t="str">
        <f t="shared" si="7"/>
        <v/>
      </c>
      <c r="S30" s="95">
        <f t="shared" si="6"/>
        <v>160</v>
      </c>
      <c r="T30" s="96">
        <f t="shared" si="5"/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10">
        <v>5103043540</v>
      </c>
      <c r="G31" s="111" t="s">
        <v>728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 t="shared" si="8"/>
        <v>80</v>
      </c>
      <c r="P31" s="47" t="s">
        <v>713</v>
      </c>
      <c r="Q31" s="47"/>
      <c r="R31" s="95" t="str">
        <f t="shared" si="7"/>
        <v/>
      </c>
      <c r="S31" s="95">
        <f t="shared" si="6"/>
        <v>80</v>
      </c>
      <c r="T31" s="96">
        <f t="shared" si="5"/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729</v>
      </c>
      <c r="D32" s="15" t="s">
        <v>730</v>
      </c>
      <c r="E32" s="10" t="s">
        <v>731</v>
      </c>
      <c r="F32" s="110">
        <v>5309277047</v>
      </c>
      <c r="G32" s="118" t="s">
        <v>732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711</v>
      </c>
      <c r="Q32" s="47">
        <v>6681</v>
      </c>
      <c r="R32" s="95">
        <v>160</v>
      </c>
      <c r="S32" s="95"/>
      <c r="T32" s="96">
        <f t="shared" si="5"/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733</v>
      </c>
      <c r="D33" s="15" t="s">
        <v>730</v>
      </c>
      <c r="E33" s="10" t="s">
        <v>734</v>
      </c>
      <c r="F33" s="110">
        <v>5309277048</v>
      </c>
      <c r="G33" s="111" t="s">
        <v>735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711</v>
      </c>
      <c r="Q33" s="47">
        <v>6681</v>
      </c>
      <c r="R33" s="95">
        <v>160</v>
      </c>
      <c r="S33" s="95"/>
      <c r="T33" s="96">
        <f t="shared" si="5"/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10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711</v>
      </c>
      <c r="Q34" s="47">
        <v>8899</v>
      </c>
      <c r="R34" s="95">
        <f t="shared" ref="R34:R58" si="9">IF(OR(P34="c",P34="C"),+T34,"")</f>
        <v>110</v>
      </c>
      <c r="S34" s="95" t="str">
        <f t="shared" ref="S34:S65" si="10">IF(OR(P34="$",N34=1),+T34,"")</f>
        <v/>
      </c>
      <c r="T34" s="96">
        <f t="shared" si="5"/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711</v>
      </c>
      <c r="Q35" s="47">
        <v>2548</v>
      </c>
      <c r="R35" s="95">
        <f t="shared" si="9"/>
        <v>80</v>
      </c>
      <c r="S35" s="95" t="str">
        <f t="shared" si="10"/>
        <v/>
      </c>
      <c r="T35" s="96">
        <f t="shared" si="5"/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711</v>
      </c>
      <c r="Q36" s="47">
        <v>7240</v>
      </c>
      <c r="R36" s="95">
        <f t="shared" si="9"/>
        <v>110</v>
      </c>
      <c r="S36" s="95" t="str">
        <f t="shared" si="10"/>
        <v/>
      </c>
      <c r="T36" s="96">
        <f t="shared" si="5"/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9" t="s">
        <v>736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711</v>
      </c>
      <c r="Q37" s="47">
        <v>170</v>
      </c>
      <c r="R37" s="95">
        <f t="shared" si="9"/>
        <v>80</v>
      </c>
      <c r="S37" s="95" t="str">
        <f t="shared" si="10"/>
        <v/>
      </c>
      <c r="T37" s="96">
        <f t="shared" si="5"/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3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713</v>
      </c>
      <c r="Q38" s="47"/>
      <c r="R38" s="95" t="str">
        <f t="shared" si="9"/>
        <v/>
      </c>
      <c r="S38" s="95">
        <f t="shared" si="10"/>
        <v>80</v>
      </c>
      <c r="T38" s="96">
        <f t="shared" si="5"/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9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ref="O39:O45" si="11">T39*N39</f>
        <v>0</v>
      </c>
      <c r="P39" s="47" t="s">
        <v>711</v>
      </c>
      <c r="Q39" s="47">
        <v>5206</v>
      </c>
      <c r="R39" s="95">
        <f t="shared" si="9"/>
        <v>160</v>
      </c>
      <c r="S39" s="95" t="str">
        <f t="shared" si="10"/>
        <v/>
      </c>
      <c r="T39" s="96">
        <f t="shared" si="5"/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 t="shared" si="11"/>
        <v>0</v>
      </c>
      <c r="P40" s="47" t="s">
        <v>711</v>
      </c>
      <c r="Q40" s="47">
        <v>4900</v>
      </c>
      <c r="R40" s="95">
        <f t="shared" si="9"/>
        <v>80</v>
      </c>
      <c r="S40" s="95" t="str">
        <f t="shared" si="10"/>
        <v/>
      </c>
      <c r="T40" s="96">
        <f t="shared" si="5"/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 t="shared" si="11"/>
        <v>0</v>
      </c>
      <c r="P41" s="47" t="s">
        <v>713</v>
      </c>
      <c r="Q41" s="47"/>
      <c r="R41" s="95" t="str">
        <f t="shared" si="9"/>
        <v/>
      </c>
      <c r="S41" s="95">
        <f t="shared" si="10"/>
        <v>80</v>
      </c>
      <c r="T41" s="96">
        <f t="shared" si="5"/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3">
        <v>8315959920</v>
      </c>
      <c r="G42" s="111" t="s">
        <v>738</v>
      </c>
      <c r="H42" s="49">
        <v>1</v>
      </c>
      <c r="I42" s="47"/>
      <c r="J42" s="47"/>
      <c r="K42" s="47"/>
      <c r="L42" s="47"/>
      <c r="M42" s="47"/>
      <c r="N42" s="47"/>
      <c r="O42" s="94">
        <f t="shared" si="11"/>
        <v>0</v>
      </c>
      <c r="P42" s="47" t="s">
        <v>711</v>
      </c>
      <c r="Q42" s="47">
        <v>16285</v>
      </c>
      <c r="R42" s="95">
        <f t="shared" si="9"/>
        <v>80</v>
      </c>
      <c r="S42" s="95" t="str">
        <f t="shared" si="10"/>
        <v/>
      </c>
      <c r="T42" s="96">
        <f t="shared" si="5"/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3">
        <v>5104930824</v>
      </c>
      <c r="G43" s="111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 t="shared" si="11"/>
        <v>80</v>
      </c>
      <c r="P43" s="47" t="s">
        <v>713</v>
      </c>
      <c r="Q43" s="47"/>
      <c r="R43" s="95" t="str">
        <f t="shared" si="9"/>
        <v/>
      </c>
      <c r="S43" s="95">
        <f t="shared" si="10"/>
        <v>80</v>
      </c>
      <c r="T43" s="96">
        <f t="shared" si="5"/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 t="shared" si="11"/>
        <v>0</v>
      </c>
      <c r="P44" s="47" t="s">
        <v>711</v>
      </c>
      <c r="Q44" s="47">
        <v>5878</v>
      </c>
      <c r="R44" s="95">
        <f t="shared" si="9"/>
        <v>160</v>
      </c>
      <c r="S44" s="95" t="str">
        <f t="shared" si="10"/>
        <v/>
      </c>
      <c r="T44" s="96">
        <f t="shared" ref="T44:T75" si="12">B44*FRegMainSetUpEntryFee + H44*FRegMainSetUpPool1Fee + I44*FRegMainSetUpPool2Fee + J44*FRegMainSetUpPool3Fee + K44*FRegMainSetUpPool4Fee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739</v>
      </c>
      <c r="D45" s="5" t="s">
        <v>45</v>
      </c>
      <c r="E45" s="6" t="s">
        <v>740</v>
      </c>
      <c r="F45" s="113">
        <v>7072279891</v>
      </c>
      <c r="G45" s="109" t="s">
        <v>741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 t="shared" si="11"/>
        <v>0</v>
      </c>
      <c r="P45" s="47" t="s">
        <v>713</v>
      </c>
      <c r="Q45" s="47"/>
      <c r="R45" s="95" t="str">
        <f t="shared" si="9"/>
        <v/>
      </c>
      <c r="S45" s="95">
        <f t="shared" si="10"/>
        <v>160</v>
      </c>
      <c r="T45" s="96">
        <f t="shared" si="12"/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3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713</v>
      </c>
      <c r="Q46" s="47"/>
      <c r="R46" s="95" t="str">
        <f t="shared" si="9"/>
        <v/>
      </c>
      <c r="S46" s="95">
        <f t="shared" si="10"/>
        <v>110</v>
      </c>
      <c r="T46" s="96">
        <f t="shared" si="12"/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711</v>
      </c>
      <c r="Q47" s="47">
        <v>2491</v>
      </c>
      <c r="R47" s="95">
        <f t="shared" si="9"/>
        <v>160</v>
      </c>
      <c r="S47" s="95" t="str">
        <f t="shared" si="10"/>
        <v/>
      </c>
      <c r="T47" s="96">
        <f t="shared" si="12"/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742</v>
      </c>
      <c r="D48" s="7"/>
      <c r="E48" s="8" t="s">
        <v>743</v>
      </c>
      <c r="F48" s="55"/>
      <c r="G48" s="109" t="s">
        <v>744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713</v>
      </c>
      <c r="Q48" s="47"/>
      <c r="R48" s="95" t="str">
        <f t="shared" si="9"/>
        <v/>
      </c>
      <c r="S48" s="95">
        <f t="shared" si="10"/>
        <v>90</v>
      </c>
      <c r="T48" s="96">
        <f t="shared" si="12"/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745</v>
      </c>
      <c r="D49" s="15" t="s">
        <v>232</v>
      </c>
      <c r="E49" s="10" t="s">
        <v>746</v>
      </c>
      <c r="F49" s="113">
        <v>9254081849</v>
      </c>
      <c r="G49" s="111" t="s">
        <v>747</v>
      </c>
      <c r="H49" s="49">
        <v>1</v>
      </c>
      <c r="I49" s="47"/>
      <c r="J49" s="47"/>
      <c r="K49" s="47"/>
      <c r="L49" s="47"/>
      <c r="M49" s="47"/>
      <c r="N49" s="47"/>
      <c r="O49" s="94">
        <f t="shared" ref="O49:O80" si="13">T49*N49</f>
        <v>0</v>
      </c>
      <c r="P49" s="47" t="s">
        <v>711</v>
      </c>
      <c r="Q49" s="47">
        <v>776</v>
      </c>
      <c r="R49" s="95">
        <f t="shared" si="9"/>
        <v>80</v>
      </c>
      <c r="S49" s="95" t="str">
        <f t="shared" si="10"/>
        <v/>
      </c>
      <c r="T49" s="96">
        <f t="shared" si="12"/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 t="shared" si="13"/>
        <v>0</v>
      </c>
      <c r="P50" s="47" t="s">
        <v>711</v>
      </c>
      <c r="Q50" s="47">
        <v>16285</v>
      </c>
      <c r="R50" s="95">
        <f t="shared" si="9"/>
        <v>110</v>
      </c>
      <c r="S50" s="95" t="str">
        <f t="shared" si="10"/>
        <v/>
      </c>
      <c r="T50" s="96">
        <f t="shared" si="12"/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 t="shared" si="13"/>
        <v>0</v>
      </c>
      <c r="P51" s="47" t="s">
        <v>711</v>
      </c>
      <c r="Q51" s="47">
        <v>5196</v>
      </c>
      <c r="R51" s="95">
        <f t="shared" si="9"/>
        <v>110</v>
      </c>
      <c r="S51" s="95" t="str">
        <f t="shared" si="10"/>
        <v/>
      </c>
      <c r="T51" s="96">
        <f t="shared" si="12"/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 t="shared" si="13"/>
        <v>0</v>
      </c>
      <c r="P52" s="47" t="s">
        <v>711</v>
      </c>
      <c r="Q52" s="47">
        <v>7346</v>
      </c>
      <c r="R52" s="95">
        <f t="shared" si="9"/>
        <v>110</v>
      </c>
      <c r="S52" s="95" t="str">
        <f t="shared" si="10"/>
        <v/>
      </c>
      <c r="T52" s="96">
        <f t="shared" si="12"/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3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 t="shared" si="13"/>
        <v>100</v>
      </c>
      <c r="P53" s="47" t="s">
        <v>713</v>
      </c>
      <c r="Q53" s="47"/>
      <c r="R53" s="95" t="str">
        <f t="shared" si="9"/>
        <v/>
      </c>
      <c r="S53" s="95">
        <f t="shared" si="10"/>
        <v>100</v>
      </c>
      <c r="T53" s="96">
        <f t="shared" si="12"/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9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 t="shared" si="13"/>
        <v>0</v>
      </c>
      <c r="P54" s="47" t="s">
        <v>711</v>
      </c>
      <c r="Q54" s="47">
        <v>4939</v>
      </c>
      <c r="R54" s="95">
        <f t="shared" si="9"/>
        <v>160</v>
      </c>
      <c r="S54" s="95" t="str">
        <f t="shared" si="10"/>
        <v/>
      </c>
      <c r="T54" s="96">
        <f t="shared" si="12"/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3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 t="shared" si="13"/>
        <v>0</v>
      </c>
      <c r="P55" s="47" t="s">
        <v>711</v>
      </c>
      <c r="Q55" s="47">
        <v>141</v>
      </c>
      <c r="R55" s="95">
        <f t="shared" si="9"/>
        <v>160</v>
      </c>
      <c r="S55" s="95" t="str">
        <f t="shared" si="10"/>
        <v/>
      </c>
      <c r="T55" s="96">
        <f t="shared" si="12"/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748</v>
      </c>
      <c r="D56" s="5" t="s">
        <v>211</v>
      </c>
      <c r="E56" s="6" t="s">
        <v>749</v>
      </c>
      <c r="F56" s="113">
        <v>4086670073</v>
      </c>
      <c r="G56" s="111" t="s">
        <v>750</v>
      </c>
      <c r="H56" s="49"/>
      <c r="I56" s="47"/>
      <c r="J56" s="47"/>
      <c r="K56" s="47"/>
      <c r="L56" s="47"/>
      <c r="M56" s="47"/>
      <c r="N56" s="47"/>
      <c r="O56" s="94">
        <f t="shared" si="13"/>
        <v>0</v>
      </c>
      <c r="P56" s="47" t="s">
        <v>711</v>
      </c>
      <c r="Q56" s="47">
        <v>1034</v>
      </c>
      <c r="R56" s="95">
        <f t="shared" si="9"/>
        <v>70</v>
      </c>
      <c r="S56" s="95" t="str">
        <f t="shared" si="10"/>
        <v/>
      </c>
      <c r="T56" s="96">
        <f t="shared" si="12"/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751</v>
      </c>
      <c r="D57" s="7" t="s">
        <v>45</v>
      </c>
      <c r="E57" s="8" t="s">
        <v>752</v>
      </c>
      <c r="F57" s="58">
        <v>7072944291</v>
      </c>
      <c r="G57" s="109" t="s">
        <v>753</v>
      </c>
      <c r="H57" s="49">
        <v>1</v>
      </c>
      <c r="I57" s="47"/>
      <c r="J57" s="47"/>
      <c r="K57" s="47"/>
      <c r="L57" s="47"/>
      <c r="M57" s="47"/>
      <c r="N57" s="47"/>
      <c r="O57" s="94">
        <f t="shared" si="13"/>
        <v>0</v>
      </c>
      <c r="P57" s="47" t="s">
        <v>711</v>
      </c>
      <c r="Q57" s="47">
        <v>1376</v>
      </c>
      <c r="R57" s="95">
        <f t="shared" si="9"/>
        <v>80</v>
      </c>
      <c r="S57" s="95" t="str">
        <f t="shared" si="10"/>
        <v/>
      </c>
      <c r="T57" s="96">
        <f t="shared" si="12"/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 t="shared" si="13"/>
        <v>0</v>
      </c>
      <c r="P58" s="47" t="s">
        <v>711</v>
      </c>
      <c r="Q58" s="47">
        <v>1508</v>
      </c>
      <c r="R58" s="95">
        <f t="shared" si="9"/>
        <v>160</v>
      </c>
      <c r="S58" s="95" t="str">
        <f t="shared" si="10"/>
        <v/>
      </c>
      <c r="T58" s="96">
        <f t="shared" si="12"/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 t="shared" si="13"/>
        <v>0</v>
      </c>
      <c r="P59" s="47" t="s">
        <v>711</v>
      </c>
      <c r="Q59" s="47">
        <v>1508</v>
      </c>
      <c r="R59" s="95">
        <v>160</v>
      </c>
      <c r="S59" s="95" t="str">
        <f t="shared" si="10"/>
        <v/>
      </c>
      <c r="T59" s="96">
        <f t="shared" si="12"/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754</v>
      </c>
      <c r="D60" s="14" t="s">
        <v>755</v>
      </c>
      <c r="E60" s="6" t="s">
        <v>756</v>
      </c>
      <c r="F60" s="48">
        <v>7752876408</v>
      </c>
      <c r="G60" s="109" t="s">
        <v>757</v>
      </c>
      <c r="H60" s="49">
        <v>1</v>
      </c>
      <c r="I60" s="47"/>
      <c r="J60" s="47"/>
      <c r="K60" s="47"/>
      <c r="L60" s="47"/>
      <c r="M60" s="47"/>
      <c r="N60" s="47"/>
      <c r="O60" s="94">
        <f t="shared" si="13"/>
        <v>0</v>
      </c>
      <c r="P60" s="47" t="s">
        <v>713</v>
      </c>
      <c r="Q60" s="47"/>
      <c r="R60" s="95" t="str">
        <f t="shared" ref="R60:R91" si="14">IF(OR(P60="c",P60="C"),+T60,"")</f>
        <v/>
      </c>
      <c r="S60" s="95">
        <f t="shared" si="10"/>
        <v>80</v>
      </c>
      <c r="T60" s="96">
        <f t="shared" si="12"/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61">
        <v>7076641532</v>
      </c>
      <c r="G61" s="109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 t="shared" si="13"/>
        <v>0</v>
      </c>
      <c r="P61" s="47" t="s">
        <v>711</v>
      </c>
      <c r="Q61" s="47">
        <v>204</v>
      </c>
      <c r="R61" s="95">
        <f t="shared" si="14"/>
        <v>100</v>
      </c>
      <c r="S61" s="95" t="str">
        <f t="shared" si="10"/>
        <v/>
      </c>
      <c r="T61" s="96">
        <f t="shared" si="12"/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16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 t="shared" si="13"/>
        <v>0</v>
      </c>
      <c r="P62" s="47" t="s">
        <v>713</v>
      </c>
      <c r="Q62" s="47"/>
      <c r="R62" s="95" t="str">
        <f t="shared" si="14"/>
        <v/>
      </c>
      <c r="S62" s="95">
        <f t="shared" si="10"/>
        <v>110</v>
      </c>
      <c r="T62" s="96">
        <f t="shared" si="12"/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758</v>
      </c>
      <c r="D63" s="5" t="s">
        <v>45</v>
      </c>
      <c r="E63" s="6" t="s">
        <v>759</v>
      </c>
      <c r="F63" s="113">
        <v>7074804517</v>
      </c>
      <c r="G63" s="109" t="s">
        <v>760</v>
      </c>
      <c r="H63" s="49"/>
      <c r="I63" s="47"/>
      <c r="J63" s="47"/>
      <c r="K63" s="47"/>
      <c r="L63" s="47"/>
      <c r="M63" s="47"/>
      <c r="N63" s="47"/>
      <c r="O63" s="94">
        <f t="shared" si="13"/>
        <v>0</v>
      </c>
      <c r="P63" s="47" t="s">
        <v>713</v>
      </c>
      <c r="Q63" s="47"/>
      <c r="R63" s="95" t="str">
        <f t="shared" si="14"/>
        <v/>
      </c>
      <c r="S63" s="95">
        <f t="shared" si="10"/>
        <v>70</v>
      </c>
      <c r="T63" s="96">
        <f t="shared" si="12"/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9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 t="shared" si="13"/>
        <v>0</v>
      </c>
      <c r="P64" s="47" t="s">
        <v>711</v>
      </c>
      <c r="Q64" s="47">
        <v>8223</v>
      </c>
      <c r="R64" s="95">
        <f t="shared" si="14"/>
        <v>100</v>
      </c>
      <c r="S64" s="95" t="str">
        <f t="shared" si="10"/>
        <v/>
      </c>
      <c r="T64" s="96">
        <f t="shared" si="12"/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 t="shared" si="13"/>
        <v>0</v>
      </c>
      <c r="P65" s="47" t="s">
        <v>711</v>
      </c>
      <c r="Q65" s="47">
        <v>677</v>
      </c>
      <c r="R65" s="95">
        <f t="shared" si="14"/>
        <v>110</v>
      </c>
      <c r="S65" s="95" t="str">
        <f t="shared" si="10"/>
        <v/>
      </c>
      <c r="T65" s="96">
        <f t="shared" si="12"/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 t="shared" si="13"/>
        <v>0</v>
      </c>
      <c r="P66" s="47" t="s">
        <v>711</v>
      </c>
      <c r="Q66" s="47">
        <v>677</v>
      </c>
      <c r="R66" s="95">
        <f t="shared" si="14"/>
        <v>80</v>
      </c>
      <c r="S66" s="95" t="str">
        <f t="shared" ref="S66:S97" si="15">IF(OR(P66="$",N66=1),+T66,"")</f>
        <v/>
      </c>
      <c r="T66" s="96">
        <f t="shared" si="12"/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 t="shared" si="13"/>
        <v>0</v>
      </c>
      <c r="P67" s="47" t="s">
        <v>711</v>
      </c>
      <c r="Q67" s="47">
        <v>2480</v>
      </c>
      <c r="R67" s="95">
        <f t="shared" si="14"/>
        <v>80</v>
      </c>
      <c r="S67" s="95" t="str">
        <f t="shared" si="15"/>
        <v/>
      </c>
      <c r="T67" s="96">
        <f t="shared" si="12"/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9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 t="shared" si="13"/>
        <v>70</v>
      </c>
      <c r="P68" s="47" t="s">
        <v>713</v>
      </c>
      <c r="Q68" s="47"/>
      <c r="R68" s="95" t="str">
        <f t="shared" si="14"/>
        <v/>
      </c>
      <c r="S68" s="95">
        <f t="shared" si="15"/>
        <v>70</v>
      </c>
      <c r="T68" s="96">
        <f t="shared" si="12"/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761</v>
      </c>
      <c r="D69" s="7" t="s">
        <v>409</v>
      </c>
      <c r="E69" s="8" t="s">
        <v>762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 t="shared" si="13"/>
        <v>70</v>
      </c>
      <c r="P69" s="47" t="s">
        <v>713</v>
      </c>
      <c r="Q69" s="47"/>
      <c r="R69" s="95" t="str">
        <f t="shared" si="14"/>
        <v/>
      </c>
      <c r="S69" s="95">
        <f t="shared" si="15"/>
        <v>70</v>
      </c>
      <c r="T69" s="96">
        <f t="shared" si="12"/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9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 t="shared" si="13"/>
        <v>0</v>
      </c>
      <c r="P70" s="47" t="s">
        <v>711</v>
      </c>
      <c r="Q70" s="47">
        <v>3948</v>
      </c>
      <c r="R70" s="95">
        <f t="shared" si="14"/>
        <v>100</v>
      </c>
      <c r="S70" s="95" t="str">
        <f t="shared" si="15"/>
        <v/>
      </c>
      <c r="T70" s="96">
        <f t="shared" si="12"/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3">
        <v>5103661378</v>
      </c>
      <c r="G71" s="109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 t="shared" si="13"/>
        <v>0</v>
      </c>
      <c r="P71" s="47" t="s">
        <v>711</v>
      </c>
      <c r="Q71" s="47">
        <v>317</v>
      </c>
      <c r="R71" s="95">
        <f t="shared" si="14"/>
        <v>90</v>
      </c>
      <c r="S71" s="95" t="str">
        <f t="shared" si="15"/>
        <v/>
      </c>
      <c r="T71" s="96">
        <f t="shared" si="12"/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3"/>
        <v>0</v>
      </c>
      <c r="P72" s="47" t="s">
        <v>711</v>
      </c>
      <c r="Q72" s="47"/>
      <c r="R72" s="95">
        <f t="shared" si="14"/>
        <v>0</v>
      </c>
      <c r="S72" s="95" t="str">
        <f t="shared" si="15"/>
        <v/>
      </c>
      <c r="T72" s="96">
        <f t="shared" si="12"/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9" t="s">
        <v>448</v>
      </c>
      <c r="H73" s="49"/>
      <c r="I73" s="47"/>
      <c r="J73" s="47"/>
      <c r="K73" s="47"/>
      <c r="L73" s="47"/>
      <c r="M73" s="47"/>
      <c r="N73" s="47"/>
      <c r="O73" s="94">
        <f t="shared" si="13"/>
        <v>0</v>
      </c>
      <c r="P73" s="47" t="s">
        <v>711</v>
      </c>
      <c r="Q73" s="47"/>
      <c r="R73" s="95">
        <f t="shared" si="14"/>
        <v>0</v>
      </c>
      <c r="S73" s="95" t="str">
        <f t="shared" si="15"/>
        <v/>
      </c>
      <c r="T73" s="96">
        <f t="shared" si="12"/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3"/>
        <v>0</v>
      </c>
      <c r="P74" s="47" t="s">
        <v>711</v>
      </c>
      <c r="Q74" s="47"/>
      <c r="R74" s="95">
        <f t="shared" si="14"/>
        <v>0</v>
      </c>
      <c r="S74" s="95" t="str">
        <f t="shared" si="15"/>
        <v/>
      </c>
      <c r="T74" s="96">
        <f t="shared" si="12"/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3"/>
        <v>0</v>
      </c>
      <c r="P75" s="47" t="s">
        <v>711</v>
      </c>
      <c r="Q75" s="47"/>
      <c r="R75" s="95">
        <f t="shared" si="14"/>
        <v>0</v>
      </c>
      <c r="S75" s="95" t="str">
        <f t="shared" si="15"/>
        <v/>
      </c>
      <c r="T75" s="96">
        <f t="shared" si="12"/>
        <v>0</v>
      </c>
      <c r="U75" s="51"/>
    </row>
    <row r="76" spans="1:21" x14ac:dyDescent="0.25">
      <c r="A76" s="46">
        <f t="shared" ref="A76:A139" si="16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9" t="s">
        <v>451</v>
      </c>
      <c r="H76" s="49"/>
      <c r="I76" s="47"/>
      <c r="J76" s="47"/>
      <c r="K76" s="47"/>
      <c r="L76" s="47"/>
      <c r="M76" s="47"/>
      <c r="N76" s="47"/>
      <c r="O76" s="94">
        <f t="shared" si="13"/>
        <v>0</v>
      </c>
      <c r="P76" s="47" t="s">
        <v>711</v>
      </c>
      <c r="Q76" s="47"/>
      <c r="R76" s="95">
        <f t="shared" si="14"/>
        <v>0</v>
      </c>
      <c r="S76" s="95" t="str">
        <f t="shared" si="15"/>
        <v/>
      </c>
      <c r="T76" s="96">
        <f t="shared" ref="T76:T107" si="17">B76*FRegMainSetUpEntryFee + H76*FRegMainSetUpPool1Fee + I76*FRegMainSetUpPool2Fee + J76*FRegMainSetUpPool3Fee + K76*FRegMainSetUpPool4Fee</f>
        <v>0</v>
      </c>
      <c r="U76" s="51"/>
    </row>
    <row r="77" spans="1:21" x14ac:dyDescent="0.25">
      <c r="A77" s="46">
        <f t="shared" si="16"/>
        <v>66</v>
      </c>
      <c r="B77" s="47"/>
      <c r="C77" s="15" t="s">
        <v>697</v>
      </c>
      <c r="D77" s="103"/>
      <c r="E77" s="30" t="s">
        <v>698</v>
      </c>
      <c r="F77" s="117"/>
      <c r="G77" s="103"/>
      <c r="H77" s="49"/>
      <c r="I77" s="47"/>
      <c r="J77" s="47"/>
      <c r="K77" s="47"/>
      <c r="L77" s="47"/>
      <c r="M77" s="47"/>
      <c r="N77" s="47"/>
      <c r="O77" s="94">
        <f t="shared" si="13"/>
        <v>0</v>
      </c>
      <c r="P77" s="47" t="s">
        <v>711</v>
      </c>
      <c r="Q77" s="47"/>
      <c r="R77" s="95">
        <f t="shared" si="14"/>
        <v>0</v>
      </c>
      <c r="S77" s="95" t="str">
        <f t="shared" si="15"/>
        <v/>
      </c>
      <c r="T77" s="96">
        <f t="shared" si="17"/>
        <v>0</v>
      </c>
      <c r="U77" s="51"/>
    </row>
    <row r="78" spans="1:21" x14ac:dyDescent="0.25">
      <c r="A78" s="46">
        <f t="shared" si="16"/>
        <v>67</v>
      </c>
      <c r="B78" s="47"/>
      <c r="C78" s="15" t="s">
        <v>640</v>
      </c>
      <c r="D78" s="15" t="s">
        <v>641</v>
      </c>
      <c r="E78" s="10" t="s">
        <v>642</v>
      </c>
      <c r="F78" s="113"/>
      <c r="G78" s="15"/>
      <c r="H78" s="49"/>
      <c r="I78" s="47"/>
      <c r="J78" s="47"/>
      <c r="K78" s="47"/>
      <c r="L78" s="47"/>
      <c r="M78" s="47"/>
      <c r="N78" s="47"/>
      <c r="O78" s="94">
        <f t="shared" si="13"/>
        <v>0</v>
      </c>
      <c r="P78" s="47" t="s">
        <v>711</v>
      </c>
      <c r="Q78" s="47"/>
      <c r="R78" s="95">
        <f t="shared" si="14"/>
        <v>0</v>
      </c>
      <c r="S78" s="95" t="str">
        <f t="shared" si="15"/>
        <v/>
      </c>
      <c r="T78" s="96">
        <f t="shared" si="17"/>
        <v>0</v>
      </c>
      <c r="U78" s="51"/>
    </row>
    <row r="79" spans="1:21" x14ac:dyDescent="0.25">
      <c r="A79" s="46">
        <f t="shared" si="16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9" t="s">
        <v>454</v>
      </c>
      <c r="H79" s="49"/>
      <c r="I79" s="47"/>
      <c r="J79" s="47"/>
      <c r="K79" s="47"/>
      <c r="L79" s="47"/>
      <c r="M79" s="47"/>
      <c r="N79" s="47"/>
      <c r="O79" s="94">
        <f t="shared" si="13"/>
        <v>0</v>
      </c>
      <c r="P79" s="47" t="s">
        <v>711</v>
      </c>
      <c r="Q79" s="47"/>
      <c r="R79" s="95">
        <f t="shared" si="14"/>
        <v>0</v>
      </c>
      <c r="S79" s="95" t="str">
        <f t="shared" si="15"/>
        <v/>
      </c>
      <c r="T79" s="96">
        <f t="shared" si="17"/>
        <v>0</v>
      </c>
      <c r="U79" s="51"/>
    </row>
    <row r="80" spans="1:21" x14ac:dyDescent="0.25">
      <c r="A80" s="46">
        <f t="shared" si="16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3"/>
        <v>0</v>
      </c>
      <c r="P80" s="47" t="s">
        <v>711</v>
      </c>
      <c r="Q80" s="47"/>
      <c r="R80" s="95">
        <f t="shared" si="14"/>
        <v>0</v>
      </c>
      <c r="S80" s="95" t="str">
        <f t="shared" si="15"/>
        <v/>
      </c>
      <c r="T80" s="96">
        <f t="shared" si="17"/>
        <v>0</v>
      </c>
      <c r="U80" s="51"/>
    </row>
    <row r="81" spans="1:21" x14ac:dyDescent="0.25">
      <c r="A81" s="46">
        <f t="shared" si="16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8">T81*N81</f>
        <v>0</v>
      </c>
      <c r="P81" s="47" t="s">
        <v>711</v>
      </c>
      <c r="Q81" s="47"/>
      <c r="R81" s="95">
        <f t="shared" si="14"/>
        <v>0</v>
      </c>
      <c r="S81" s="95" t="str">
        <f t="shared" si="15"/>
        <v/>
      </c>
      <c r="T81" s="96">
        <f t="shared" si="17"/>
        <v>0</v>
      </c>
      <c r="U81" s="51"/>
    </row>
    <row r="82" spans="1:21" x14ac:dyDescent="0.25">
      <c r="A82" s="46">
        <f t="shared" si="16"/>
        <v>71</v>
      </c>
      <c r="B82" s="47"/>
      <c r="C82" s="15" t="s">
        <v>645</v>
      </c>
      <c r="D82" s="15" t="s">
        <v>39</v>
      </c>
      <c r="E82" s="10" t="s">
        <v>646</v>
      </c>
      <c r="F82" s="113"/>
      <c r="G82" s="15"/>
      <c r="H82" s="49"/>
      <c r="I82" s="47"/>
      <c r="J82" s="47"/>
      <c r="K82" s="47"/>
      <c r="L82" s="47"/>
      <c r="M82" s="47"/>
      <c r="N82" s="47"/>
      <c r="O82" s="94">
        <f t="shared" si="18"/>
        <v>0</v>
      </c>
      <c r="P82" s="47" t="s">
        <v>711</v>
      </c>
      <c r="Q82" s="47"/>
      <c r="R82" s="95">
        <f t="shared" si="14"/>
        <v>0</v>
      </c>
      <c r="S82" s="95" t="str">
        <f t="shared" si="15"/>
        <v/>
      </c>
      <c r="T82" s="96">
        <f t="shared" si="17"/>
        <v>0</v>
      </c>
      <c r="U82" s="51"/>
    </row>
    <row r="83" spans="1:21" x14ac:dyDescent="0.25">
      <c r="A83" s="46">
        <f t="shared" si="16"/>
        <v>72</v>
      </c>
      <c r="B83" s="47"/>
      <c r="C83" s="5" t="s">
        <v>41</v>
      </c>
      <c r="D83" s="5" t="s">
        <v>42</v>
      </c>
      <c r="E83" s="6" t="s">
        <v>43</v>
      </c>
      <c r="F83" s="113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8"/>
        <v>0</v>
      </c>
      <c r="P83" s="47" t="s">
        <v>711</v>
      </c>
      <c r="Q83" s="47"/>
      <c r="R83" s="95">
        <f t="shared" si="14"/>
        <v>0</v>
      </c>
      <c r="S83" s="95" t="str">
        <f t="shared" si="15"/>
        <v/>
      </c>
      <c r="T83" s="96">
        <f t="shared" si="17"/>
        <v>0</v>
      </c>
      <c r="U83" s="51"/>
    </row>
    <row r="84" spans="1:21" x14ac:dyDescent="0.25">
      <c r="A84" s="46">
        <f t="shared" si="16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8"/>
        <v>0</v>
      </c>
      <c r="P84" s="47" t="s">
        <v>711</v>
      </c>
      <c r="Q84" s="47"/>
      <c r="R84" s="95">
        <f t="shared" si="14"/>
        <v>0</v>
      </c>
      <c r="S84" s="95" t="str">
        <f t="shared" si="15"/>
        <v/>
      </c>
      <c r="T84" s="96">
        <f t="shared" si="17"/>
        <v>0</v>
      </c>
      <c r="U84" s="51"/>
    </row>
    <row r="85" spans="1:21" x14ac:dyDescent="0.25">
      <c r="A85" s="46">
        <f t="shared" si="16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8"/>
        <v>0</v>
      </c>
      <c r="P85" s="47" t="s">
        <v>711</v>
      </c>
      <c r="Q85" s="47"/>
      <c r="R85" s="95">
        <f t="shared" si="14"/>
        <v>0</v>
      </c>
      <c r="S85" s="95" t="str">
        <f t="shared" si="15"/>
        <v/>
      </c>
      <c r="T85" s="96">
        <f t="shared" si="17"/>
        <v>0</v>
      </c>
      <c r="U85" s="51"/>
    </row>
    <row r="86" spans="1:21" x14ac:dyDescent="0.25">
      <c r="A86" s="46">
        <f t="shared" si="16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8"/>
        <v>0</v>
      </c>
      <c r="P86" s="47" t="s">
        <v>711</v>
      </c>
      <c r="Q86" s="47"/>
      <c r="R86" s="95">
        <f t="shared" si="14"/>
        <v>0</v>
      </c>
      <c r="S86" s="95" t="str">
        <f t="shared" si="15"/>
        <v/>
      </c>
      <c r="T86" s="96">
        <f t="shared" si="17"/>
        <v>0</v>
      </c>
      <c r="U86" s="51"/>
    </row>
    <row r="87" spans="1:21" x14ac:dyDescent="0.25">
      <c r="A87" s="46">
        <f t="shared" si="16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8"/>
        <v>0</v>
      </c>
      <c r="P87" s="47" t="s">
        <v>711</v>
      </c>
      <c r="Q87" s="47"/>
      <c r="R87" s="95">
        <f t="shared" si="14"/>
        <v>0</v>
      </c>
      <c r="S87" s="95" t="str">
        <f t="shared" si="15"/>
        <v/>
      </c>
      <c r="T87" s="96">
        <f t="shared" si="17"/>
        <v>0</v>
      </c>
      <c r="U87" s="51"/>
    </row>
    <row r="88" spans="1:21" x14ac:dyDescent="0.25">
      <c r="A88" s="46">
        <f t="shared" si="16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8"/>
        <v>0</v>
      </c>
      <c r="P88" s="47" t="s">
        <v>711</v>
      </c>
      <c r="Q88" s="47"/>
      <c r="R88" s="95">
        <f t="shared" si="14"/>
        <v>0</v>
      </c>
      <c r="S88" s="95" t="str">
        <f t="shared" si="15"/>
        <v/>
      </c>
      <c r="T88" s="96">
        <f t="shared" si="17"/>
        <v>0</v>
      </c>
      <c r="U88" s="51"/>
    </row>
    <row r="89" spans="1:21" x14ac:dyDescent="0.25">
      <c r="A89" s="46">
        <f t="shared" si="16"/>
        <v>78</v>
      </c>
      <c r="B89" s="47"/>
      <c r="C89" s="5" t="s">
        <v>720</v>
      </c>
      <c r="D89" s="5" t="s">
        <v>235</v>
      </c>
      <c r="E89" s="6" t="s">
        <v>721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8"/>
        <v>0</v>
      </c>
      <c r="P89" s="47" t="s">
        <v>711</v>
      </c>
      <c r="Q89" s="47">
        <v>4818</v>
      </c>
      <c r="R89" s="95">
        <f t="shared" si="14"/>
        <v>0</v>
      </c>
      <c r="S89" s="95" t="str">
        <f t="shared" si="15"/>
        <v/>
      </c>
      <c r="T89" s="96">
        <f t="shared" si="17"/>
        <v>0</v>
      </c>
      <c r="U89" s="51"/>
    </row>
    <row r="90" spans="1:21" x14ac:dyDescent="0.25">
      <c r="A90" s="46">
        <f t="shared" si="16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8"/>
        <v>0</v>
      </c>
      <c r="P90" s="47" t="s">
        <v>711</v>
      </c>
      <c r="Q90" s="47"/>
      <c r="R90" s="95">
        <f t="shared" si="14"/>
        <v>0</v>
      </c>
      <c r="S90" s="95" t="str">
        <f t="shared" si="15"/>
        <v/>
      </c>
      <c r="T90" s="96">
        <f t="shared" si="17"/>
        <v>0</v>
      </c>
      <c r="U90" s="51"/>
    </row>
    <row r="91" spans="1:21" x14ac:dyDescent="0.25">
      <c r="A91" s="46">
        <f t="shared" si="16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8"/>
        <v>0</v>
      </c>
      <c r="P91" s="47" t="s">
        <v>711</v>
      </c>
      <c r="Q91" s="47"/>
      <c r="R91" s="95">
        <f t="shared" si="14"/>
        <v>0</v>
      </c>
      <c r="S91" s="95" t="str">
        <f t="shared" si="15"/>
        <v/>
      </c>
      <c r="T91" s="96">
        <f t="shared" si="17"/>
        <v>0</v>
      </c>
      <c r="U91" s="51"/>
    </row>
    <row r="92" spans="1:21" x14ac:dyDescent="0.25">
      <c r="A92" s="46">
        <f t="shared" si="16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8"/>
        <v>0</v>
      </c>
      <c r="P92" s="47" t="s">
        <v>711</v>
      </c>
      <c r="Q92" s="47"/>
      <c r="R92" s="95">
        <f t="shared" ref="R92:R123" si="19">IF(OR(P92="c",P92="C"),+T92,"")</f>
        <v>0</v>
      </c>
      <c r="S92" s="95" t="str">
        <f t="shared" si="15"/>
        <v/>
      </c>
      <c r="T92" s="96">
        <f t="shared" si="17"/>
        <v>0</v>
      </c>
      <c r="U92" s="51"/>
    </row>
    <row r="93" spans="1:21" x14ac:dyDescent="0.25">
      <c r="A93" s="46">
        <f t="shared" si="16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8"/>
        <v>0</v>
      </c>
      <c r="P93" s="47" t="s">
        <v>711</v>
      </c>
      <c r="Q93" s="47"/>
      <c r="R93" s="95">
        <f t="shared" si="19"/>
        <v>0</v>
      </c>
      <c r="S93" s="95" t="str">
        <f t="shared" si="15"/>
        <v/>
      </c>
      <c r="T93" s="96">
        <f t="shared" si="17"/>
        <v>0</v>
      </c>
      <c r="U93" s="51"/>
    </row>
    <row r="94" spans="1:21" x14ac:dyDescent="0.25">
      <c r="A94" s="46">
        <f t="shared" si="16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9" t="s">
        <v>467</v>
      </c>
      <c r="H94" s="49"/>
      <c r="I94" s="47"/>
      <c r="J94" s="47"/>
      <c r="K94" s="47"/>
      <c r="L94" s="47"/>
      <c r="M94" s="47"/>
      <c r="N94" s="47"/>
      <c r="O94" s="94">
        <f t="shared" si="18"/>
        <v>0</v>
      </c>
      <c r="P94" s="47" t="s">
        <v>711</v>
      </c>
      <c r="Q94" s="47"/>
      <c r="R94" s="95">
        <f t="shared" si="19"/>
        <v>0</v>
      </c>
      <c r="S94" s="95" t="str">
        <f t="shared" si="15"/>
        <v/>
      </c>
      <c r="T94" s="96">
        <f t="shared" si="17"/>
        <v>0</v>
      </c>
      <c r="U94" s="51"/>
    </row>
    <row r="95" spans="1:21" x14ac:dyDescent="0.25">
      <c r="A95" s="46">
        <f t="shared" si="16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8"/>
        <v>0</v>
      </c>
      <c r="P95" s="47" t="s">
        <v>711</v>
      </c>
      <c r="Q95" s="47"/>
      <c r="R95" s="95">
        <f t="shared" si="19"/>
        <v>0</v>
      </c>
      <c r="S95" s="95" t="str">
        <f t="shared" si="15"/>
        <v/>
      </c>
      <c r="T95" s="96">
        <f t="shared" si="17"/>
        <v>0</v>
      </c>
      <c r="U95" s="51"/>
    </row>
    <row r="96" spans="1:21" ht="15.75" x14ac:dyDescent="0.25">
      <c r="A96" s="46">
        <f t="shared" si="16"/>
        <v>85</v>
      </c>
      <c r="B96" s="47"/>
      <c r="C96" s="7" t="s">
        <v>77</v>
      </c>
      <c r="D96" s="7" t="s">
        <v>78</v>
      </c>
      <c r="E96" s="9" t="s">
        <v>79</v>
      </c>
      <c r="F96" s="113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8"/>
        <v>0</v>
      </c>
      <c r="P96" s="47" t="s">
        <v>711</v>
      </c>
      <c r="Q96" s="47"/>
      <c r="R96" s="95">
        <f t="shared" si="19"/>
        <v>0</v>
      </c>
      <c r="S96" s="95" t="str">
        <f t="shared" si="15"/>
        <v/>
      </c>
      <c r="T96" s="96">
        <f t="shared" si="17"/>
        <v>0</v>
      </c>
      <c r="U96" s="51"/>
    </row>
    <row r="97" spans="1:21" x14ac:dyDescent="0.25">
      <c r="A97" s="46">
        <f t="shared" si="16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8"/>
        <v>0</v>
      </c>
      <c r="P97" s="47" t="s">
        <v>711</v>
      </c>
      <c r="Q97" s="47"/>
      <c r="R97" s="95">
        <f t="shared" si="19"/>
        <v>0</v>
      </c>
      <c r="S97" s="95" t="str">
        <f t="shared" si="15"/>
        <v/>
      </c>
      <c r="T97" s="96">
        <f t="shared" si="17"/>
        <v>0</v>
      </c>
      <c r="U97" s="51"/>
    </row>
    <row r="98" spans="1:21" x14ac:dyDescent="0.25">
      <c r="A98" s="46">
        <f t="shared" si="16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8"/>
        <v>0</v>
      </c>
      <c r="P98" s="47" t="s">
        <v>711</v>
      </c>
      <c r="Q98" s="47"/>
      <c r="R98" s="95">
        <f t="shared" si="19"/>
        <v>0</v>
      </c>
      <c r="S98" s="95" t="str">
        <f t="shared" ref="S98:S129" si="20">IF(OR(P98="$",N98=1),+T98,"")</f>
        <v/>
      </c>
      <c r="T98" s="96">
        <f t="shared" si="17"/>
        <v>0</v>
      </c>
      <c r="U98" s="51"/>
    </row>
    <row r="99" spans="1:21" x14ac:dyDescent="0.25">
      <c r="A99" s="46">
        <f t="shared" si="16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8"/>
        <v>0</v>
      </c>
      <c r="P99" s="47" t="s">
        <v>711</v>
      </c>
      <c r="Q99" s="47"/>
      <c r="R99" s="95">
        <f t="shared" si="19"/>
        <v>0</v>
      </c>
      <c r="S99" s="95" t="str">
        <f t="shared" si="20"/>
        <v/>
      </c>
      <c r="T99" s="96">
        <f t="shared" si="17"/>
        <v>0</v>
      </c>
      <c r="U99" s="51"/>
    </row>
    <row r="100" spans="1:21" x14ac:dyDescent="0.25">
      <c r="A100" s="46">
        <f t="shared" si="16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8"/>
        <v>0</v>
      </c>
      <c r="P100" s="47" t="s">
        <v>711</v>
      </c>
      <c r="Q100" s="47"/>
      <c r="R100" s="95">
        <f t="shared" si="19"/>
        <v>0</v>
      </c>
      <c r="S100" s="95" t="str">
        <f t="shared" si="20"/>
        <v/>
      </c>
      <c r="T100" s="96">
        <f t="shared" si="17"/>
        <v>0</v>
      </c>
      <c r="U100" s="51"/>
    </row>
    <row r="101" spans="1:21" x14ac:dyDescent="0.25">
      <c r="A101" s="46">
        <f t="shared" si="16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8"/>
        <v>0</v>
      </c>
      <c r="P101" s="47" t="s">
        <v>711</v>
      </c>
      <c r="Q101" s="47"/>
      <c r="R101" s="95">
        <f t="shared" si="19"/>
        <v>0</v>
      </c>
      <c r="S101" s="95" t="str">
        <f t="shared" si="20"/>
        <v/>
      </c>
      <c r="T101" s="96">
        <f t="shared" si="17"/>
        <v>0</v>
      </c>
      <c r="U101" s="51"/>
    </row>
    <row r="102" spans="1:21" x14ac:dyDescent="0.25">
      <c r="A102" s="46">
        <f t="shared" si="16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8"/>
        <v>0</v>
      </c>
      <c r="P102" s="47" t="s">
        <v>711</v>
      </c>
      <c r="Q102" s="47"/>
      <c r="R102" s="95">
        <f t="shared" si="19"/>
        <v>0</v>
      </c>
      <c r="S102" s="95" t="str">
        <f t="shared" si="20"/>
        <v/>
      </c>
      <c r="T102" s="96">
        <f t="shared" si="17"/>
        <v>0</v>
      </c>
      <c r="U102" s="51"/>
    </row>
    <row r="103" spans="1:21" x14ac:dyDescent="0.25">
      <c r="A103" s="46">
        <f t="shared" si="16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8"/>
        <v>0</v>
      </c>
      <c r="P103" s="47" t="s">
        <v>711</v>
      </c>
      <c r="Q103" s="47"/>
      <c r="R103" s="95">
        <f t="shared" si="19"/>
        <v>0</v>
      </c>
      <c r="S103" s="95" t="str">
        <f t="shared" si="20"/>
        <v/>
      </c>
      <c r="T103" s="96">
        <f t="shared" si="17"/>
        <v>0</v>
      </c>
      <c r="U103" s="51"/>
    </row>
    <row r="104" spans="1:21" x14ac:dyDescent="0.25">
      <c r="A104" s="46">
        <f t="shared" si="16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8"/>
        <v>0</v>
      </c>
      <c r="P104" s="47" t="s">
        <v>711</v>
      </c>
      <c r="Q104" s="47"/>
      <c r="R104" s="95">
        <f t="shared" si="19"/>
        <v>0</v>
      </c>
      <c r="S104" s="95" t="str">
        <f t="shared" si="20"/>
        <v/>
      </c>
      <c r="T104" s="96">
        <f t="shared" si="17"/>
        <v>0</v>
      </c>
      <c r="U104" s="51"/>
    </row>
    <row r="105" spans="1:21" x14ac:dyDescent="0.25">
      <c r="A105" s="46">
        <f t="shared" si="16"/>
        <v>94</v>
      </c>
      <c r="B105" s="47"/>
      <c r="C105" s="7" t="s">
        <v>110</v>
      </c>
      <c r="D105" s="7" t="s">
        <v>20</v>
      </c>
      <c r="E105" s="8" t="s">
        <v>111</v>
      </c>
      <c r="F105" s="113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8"/>
        <v>0</v>
      </c>
      <c r="P105" s="47" t="s">
        <v>711</v>
      </c>
      <c r="Q105" s="47"/>
      <c r="R105" s="95">
        <f t="shared" si="19"/>
        <v>0</v>
      </c>
      <c r="S105" s="95" t="str">
        <f t="shared" si="20"/>
        <v/>
      </c>
      <c r="T105" s="96">
        <f t="shared" si="17"/>
        <v>0</v>
      </c>
      <c r="U105" s="51"/>
    </row>
    <row r="106" spans="1:21" x14ac:dyDescent="0.25">
      <c r="A106" s="46">
        <f t="shared" si="16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8"/>
        <v>0</v>
      </c>
      <c r="P106" s="47" t="s">
        <v>711</v>
      </c>
      <c r="Q106" s="47"/>
      <c r="R106" s="95">
        <f t="shared" si="19"/>
        <v>0</v>
      </c>
      <c r="S106" s="95" t="str">
        <f t="shared" si="20"/>
        <v/>
      </c>
      <c r="T106" s="96">
        <f t="shared" si="17"/>
        <v>0</v>
      </c>
      <c r="U106" s="51"/>
    </row>
    <row r="107" spans="1:21" x14ac:dyDescent="0.25">
      <c r="A107" s="46">
        <f t="shared" si="16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8"/>
        <v>0</v>
      </c>
      <c r="P107" s="47" t="s">
        <v>711</v>
      </c>
      <c r="Q107" s="47"/>
      <c r="R107" s="95">
        <f t="shared" si="19"/>
        <v>0</v>
      </c>
      <c r="S107" s="95" t="str">
        <f t="shared" si="20"/>
        <v/>
      </c>
      <c r="T107" s="96">
        <f t="shared" si="17"/>
        <v>0</v>
      </c>
      <c r="U107" s="51"/>
    </row>
    <row r="108" spans="1:21" x14ac:dyDescent="0.25">
      <c r="A108" s="46">
        <f t="shared" si="16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8"/>
        <v>0</v>
      </c>
      <c r="P108" s="47" t="s">
        <v>711</v>
      </c>
      <c r="Q108" s="47"/>
      <c r="R108" s="95">
        <f t="shared" si="19"/>
        <v>0</v>
      </c>
      <c r="S108" s="95" t="str">
        <f t="shared" si="20"/>
        <v/>
      </c>
      <c r="T108" s="96">
        <f t="shared" ref="T108:T139" si="21">B108*FRegMainSetUpEntryFee + H108*FRegMainSetUpPool1Fee + I108*FRegMainSetUpPool2Fee + J108*FRegMainSetUpPool3Fee + K108*FRegMainSetUpPool4Fee</f>
        <v>0</v>
      </c>
      <c r="U108" s="51"/>
    </row>
    <row r="109" spans="1:21" x14ac:dyDescent="0.25">
      <c r="A109" s="46">
        <f t="shared" si="16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8"/>
        <v>0</v>
      </c>
      <c r="P109" s="47" t="s">
        <v>711</v>
      </c>
      <c r="Q109" s="47"/>
      <c r="R109" s="95">
        <f t="shared" si="19"/>
        <v>0</v>
      </c>
      <c r="S109" s="95" t="str">
        <f t="shared" si="20"/>
        <v/>
      </c>
      <c r="T109" s="96">
        <f t="shared" si="21"/>
        <v>0</v>
      </c>
      <c r="U109" s="51"/>
    </row>
    <row r="110" spans="1:21" x14ac:dyDescent="0.25">
      <c r="A110" s="46">
        <f t="shared" si="16"/>
        <v>99</v>
      </c>
      <c r="B110" s="47"/>
      <c r="C110" s="15" t="s">
        <v>652</v>
      </c>
      <c r="D110" s="15" t="s">
        <v>45</v>
      </c>
      <c r="E110" s="10" t="s">
        <v>653</v>
      </c>
      <c r="F110" s="110"/>
      <c r="G110" s="15"/>
      <c r="H110" s="49"/>
      <c r="I110" s="47"/>
      <c r="J110" s="47"/>
      <c r="K110" s="47"/>
      <c r="L110" s="47"/>
      <c r="M110" s="47"/>
      <c r="N110" s="47"/>
      <c r="O110" s="94">
        <f t="shared" si="18"/>
        <v>0</v>
      </c>
      <c r="P110" s="47" t="s">
        <v>711</v>
      </c>
      <c r="Q110" s="47"/>
      <c r="R110" s="95">
        <f t="shared" si="19"/>
        <v>0</v>
      </c>
      <c r="S110" s="95" t="str">
        <f t="shared" si="20"/>
        <v/>
      </c>
      <c r="T110" s="96">
        <f t="shared" si="21"/>
        <v>0</v>
      </c>
      <c r="U110" s="51"/>
    </row>
    <row r="111" spans="1:21" x14ac:dyDescent="0.25">
      <c r="A111" s="46">
        <f t="shared" si="16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8"/>
        <v>0</v>
      </c>
      <c r="P111" s="47" t="s">
        <v>711</v>
      </c>
      <c r="Q111" s="47"/>
      <c r="R111" s="95">
        <f t="shared" si="19"/>
        <v>0</v>
      </c>
      <c r="S111" s="95" t="str">
        <f t="shared" si="20"/>
        <v/>
      </c>
      <c r="T111" s="96">
        <f t="shared" si="21"/>
        <v>0</v>
      </c>
      <c r="U111" s="51"/>
    </row>
    <row r="112" spans="1:21" x14ac:dyDescent="0.25">
      <c r="A112" s="46">
        <f t="shared" si="16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9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8"/>
        <v>0</v>
      </c>
      <c r="P112" s="47" t="s">
        <v>711</v>
      </c>
      <c r="Q112" s="47"/>
      <c r="R112" s="95">
        <f t="shared" si="19"/>
        <v>0</v>
      </c>
      <c r="S112" s="95" t="str">
        <f t="shared" si="20"/>
        <v/>
      </c>
      <c r="T112" s="96">
        <f t="shared" si="21"/>
        <v>0</v>
      </c>
      <c r="U112" s="51"/>
    </row>
    <row r="113" spans="1:21" x14ac:dyDescent="0.25">
      <c r="A113" s="46">
        <f t="shared" si="16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9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22">T113*N113</f>
        <v>0</v>
      </c>
      <c r="P113" s="47" t="s">
        <v>711</v>
      </c>
      <c r="Q113" s="47"/>
      <c r="R113" s="95">
        <f t="shared" si="19"/>
        <v>0</v>
      </c>
      <c r="S113" s="95" t="str">
        <f t="shared" si="20"/>
        <v/>
      </c>
      <c r="T113" s="96">
        <f t="shared" si="21"/>
        <v>0</v>
      </c>
      <c r="U113" s="51"/>
    </row>
    <row r="114" spans="1:21" x14ac:dyDescent="0.25">
      <c r="A114" s="46">
        <f t="shared" si="16"/>
        <v>103</v>
      </c>
      <c r="B114" s="47"/>
      <c r="C114" s="15" t="s">
        <v>654</v>
      </c>
      <c r="D114" s="15" t="s">
        <v>45</v>
      </c>
      <c r="E114" s="10" t="s">
        <v>655</v>
      </c>
      <c r="F114" s="113"/>
      <c r="G114" s="15"/>
      <c r="H114" s="49"/>
      <c r="I114" s="47"/>
      <c r="J114" s="47"/>
      <c r="K114" s="47"/>
      <c r="L114" s="47"/>
      <c r="M114" s="47"/>
      <c r="N114" s="47"/>
      <c r="O114" s="94">
        <f t="shared" si="22"/>
        <v>0</v>
      </c>
      <c r="P114" s="47" t="s">
        <v>711</v>
      </c>
      <c r="Q114" s="47"/>
      <c r="R114" s="95">
        <f t="shared" si="19"/>
        <v>0</v>
      </c>
      <c r="S114" s="95" t="str">
        <f t="shared" si="20"/>
        <v/>
      </c>
      <c r="T114" s="96">
        <f t="shared" si="21"/>
        <v>0</v>
      </c>
      <c r="U114" s="51"/>
    </row>
    <row r="115" spans="1:21" x14ac:dyDescent="0.25">
      <c r="A115" s="46">
        <f t="shared" si="16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22"/>
        <v>0</v>
      </c>
      <c r="P115" s="47" t="s">
        <v>711</v>
      </c>
      <c r="Q115" s="47"/>
      <c r="R115" s="95">
        <f t="shared" si="19"/>
        <v>0</v>
      </c>
      <c r="S115" s="95" t="str">
        <f t="shared" si="20"/>
        <v/>
      </c>
      <c r="T115" s="96">
        <f t="shared" si="21"/>
        <v>0</v>
      </c>
      <c r="U115" s="51"/>
    </row>
    <row r="116" spans="1:21" x14ac:dyDescent="0.25">
      <c r="A116" s="46">
        <f t="shared" si="16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22"/>
        <v>0</v>
      </c>
      <c r="P116" s="47" t="s">
        <v>711</v>
      </c>
      <c r="Q116" s="47"/>
      <c r="R116" s="95">
        <f t="shared" si="19"/>
        <v>0</v>
      </c>
      <c r="S116" s="95" t="str">
        <f t="shared" si="20"/>
        <v/>
      </c>
      <c r="T116" s="96">
        <f t="shared" si="21"/>
        <v>0</v>
      </c>
      <c r="U116" s="51"/>
    </row>
    <row r="117" spans="1:21" x14ac:dyDescent="0.25">
      <c r="A117" s="46">
        <f t="shared" si="16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9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22"/>
        <v>0</v>
      </c>
      <c r="P117" s="47" t="s">
        <v>711</v>
      </c>
      <c r="Q117" s="47"/>
      <c r="R117" s="95">
        <f t="shared" si="19"/>
        <v>0</v>
      </c>
      <c r="S117" s="95" t="str">
        <f t="shared" si="20"/>
        <v/>
      </c>
      <c r="T117" s="96">
        <f t="shared" si="21"/>
        <v>0</v>
      </c>
      <c r="U117" s="51"/>
    </row>
    <row r="118" spans="1:21" x14ac:dyDescent="0.25">
      <c r="A118" s="46">
        <f t="shared" si="16"/>
        <v>107</v>
      </c>
      <c r="B118" s="47"/>
      <c r="C118" s="15" t="s">
        <v>658</v>
      </c>
      <c r="D118" s="15" t="s">
        <v>191</v>
      </c>
      <c r="E118" s="10" t="s">
        <v>659</v>
      </c>
      <c r="F118" s="113"/>
      <c r="G118" s="109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22"/>
        <v>0</v>
      </c>
      <c r="P118" s="47" t="s">
        <v>711</v>
      </c>
      <c r="Q118" s="47"/>
      <c r="R118" s="95">
        <f t="shared" si="19"/>
        <v>0</v>
      </c>
      <c r="S118" s="95" t="str">
        <f t="shared" si="20"/>
        <v/>
      </c>
      <c r="T118" s="96">
        <f t="shared" si="21"/>
        <v>0</v>
      </c>
      <c r="U118" s="51"/>
    </row>
    <row r="119" spans="1:21" x14ac:dyDescent="0.25">
      <c r="A119" s="46">
        <f t="shared" si="16"/>
        <v>108</v>
      </c>
      <c r="B119" s="47"/>
      <c r="C119" s="15" t="s">
        <v>661</v>
      </c>
      <c r="D119" s="15" t="s">
        <v>33</v>
      </c>
      <c r="E119" s="10" t="s">
        <v>662</v>
      </c>
      <c r="F119" s="113"/>
      <c r="G119" s="109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22"/>
        <v>0</v>
      </c>
      <c r="P119" s="47" t="s">
        <v>711</v>
      </c>
      <c r="Q119" s="47"/>
      <c r="R119" s="95">
        <f t="shared" si="19"/>
        <v>0</v>
      </c>
      <c r="S119" s="95" t="str">
        <f t="shared" si="20"/>
        <v/>
      </c>
      <c r="T119" s="96">
        <f t="shared" si="21"/>
        <v>0</v>
      </c>
      <c r="U119" s="51"/>
    </row>
    <row r="120" spans="1:21" x14ac:dyDescent="0.25">
      <c r="A120" s="46">
        <f t="shared" si="16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9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22"/>
        <v>0</v>
      </c>
      <c r="P120" s="47" t="s">
        <v>711</v>
      </c>
      <c r="Q120" s="47"/>
      <c r="R120" s="95">
        <f t="shared" si="19"/>
        <v>0</v>
      </c>
      <c r="S120" s="95" t="str">
        <f t="shared" si="20"/>
        <v/>
      </c>
      <c r="T120" s="96">
        <f t="shared" si="21"/>
        <v>0</v>
      </c>
      <c r="U120" s="51"/>
    </row>
    <row r="121" spans="1:21" x14ac:dyDescent="0.25">
      <c r="A121" s="46">
        <f t="shared" si="16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22"/>
        <v>0</v>
      </c>
      <c r="P121" s="47" t="s">
        <v>711</v>
      </c>
      <c r="Q121" s="47"/>
      <c r="R121" s="95">
        <f t="shared" si="19"/>
        <v>0</v>
      </c>
      <c r="S121" s="95" t="str">
        <f t="shared" si="20"/>
        <v/>
      </c>
      <c r="T121" s="96">
        <f t="shared" si="21"/>
        <v>0</v>
      </c>
      <c r="U121" s="51"/>
    </row>
    <row r="122" spans="1:21" x14ac:dyDescent="0.25">
      <c r="A122" s="46">
        <f t="shared" si="16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22"/>
        <v>0</v>
      </c>
      <c r="P122" s="47" t="s">
        <v>711</v>
      </c>
      <c r="Q122" s="47"/>
      <c r="R122" s="95">
        <f t="shared" si="19"/>
        <v>0</v>
      </c>
      <c r="S122" s="95" t="str">
        <f t="shared" si="20"/>
        <v/>
      </c>
      <c r="T122" s="96">
        <f t="shared" si="21"/>
        <v>0</v>
      </c>
      <c r="U122" s="51"/>
    </row>
    <row r="123" spans="1:21" x14ac:dyDescent="0.25">
      <c r="A123" s="46">
        <f t="shared" si="16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22"/>
        <v>0</v>
      </c>
      <c r="P123" s="47" t="s">
        <v>711</v>
      </c>
      <c r="Q123" s="47"/>
      <c r="R123" s="95">
        <f t="shared" si="19"/>
        <v>0</v>
      </c>
      <c r="S123" s="95" t="str">
        <f t="shared" si="20"/>
        <v/>
      </c>
      <c r="T123" s="96">
        <f t="shared" si="21"/>
        <v>0</v>
      </c>
      <c r="U123" s="51"/>
    </row>
    <row r="124" spans="1:21" x14ac:dyDescent="0.25">
      <c r="A124" s="46">
        <f t="shared" si="16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22"/>
        <v>0</v>
      </c>
      <c r="P124" s="47" t="s">
        <v>711</v>
      </c>
      <c r="Q124" s="47"/>
      <c r="R124" s="95">
        <f t="shared" ref="R124:R155" si="23">IF(OR(P124="c",P124="C"),+T124,"")</f>
        <v>0</v>
      </c>
      <c r="S124" s="95" t="str">
        <f t="shared" si="20"/>
        <v/>
      </c>
      <c r="T124" s="96">
        <f t="shared" si="21"/>
        <v>0</v>
      </c>
      <c r="U124" s="51"/>
    </row>
    <row r="125" spans="1:21" x14ac:dyDescent="0.25">
      <c r="A125" s="46">
        <f t="shared" si="16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22"/>
        <v>0</v>
      </c>
      <c r="P125" s="47" t="s">
        <v>711</v>
      </c>
      <c r="Q125" s="47"/>
      <c r="R125" s="95">
        <f t="shared" si="23"/>
        <v>0</v>
      </c>
      <c r="S125" s="95" t="str">
        <f t="shared" si="20"/>
        <v/>
      </c>
      <c r="T125" s="96">
        <f t="shared" si="21"/>
        <v>0</v>
      </c>
      <c r="U125" s="51"/>
    </row>
    <row r="126" spans="1:21" x14ac:dyDescent="0.25">
      <c r="A126" s="46">
        <f t="shared" si="16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22"/>
        <v>0</v>
      </c>
      <c r="P126" s="47" t="s">
        <v>711</v>
      </c>
      <c r="Q126" s="47"/>
      <c r="R126" s="95">
        <f t="shared" si="23"/>
        <v>0</v>
      </c>
      <c r="S126" s="95" t="str">
        <f t="shared" si="20"/>
        <v/>
      </c>
      <c r="T126" s="96">
        <f t="shared" si="21"/>
        <v>0</v>
      </c>
      <c r="U126" s="51"/>
    </row>
    <row r="127" spans="1:21" x14ac:dyDescent="0.25">
      <c r="A127" s="46">
        <f t="shared" si="16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22"/>
        <v>0</v>
      </c>
      <c r="P127" s="47" t="s">
        <v>711</v>
      </c>
      <c r="Q127" s="47"/>
      <c r="R127" s="95">
        <f t="shared" si="23"/>
        <v>0</v>
      </c>
      <c r="S127" s="95" t="str">
        <f t="shared" si="20"/>
        <v/>
      </c>
      <c r="T127" s="96">
        <f t="shared" si="21"/>
        <v>0</v>
      </c>
      <c r="U127" s="51"/>
    </row>
    <row r="128" spans="1:21" x14ac:dyDescent="0.25">
      <c r="A128" s="46">
        <f t="shared" si="16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22"/>
        <v>0</v>
      </c>
      <c r="P128" s="47" t="s">
        <v>711</v>
      </c>
      <c r="Q128" s="47"/>
      <c r="R128" s="95">
        <f t="shared" si="23"/>
        <v>0</v>
      </c>
      <c r="S128" s="95" t="str">
        <f t="shared" si="20"/>
        <v/>
      </c>
      <c r="T128" s="96">
        <f t="shared" si="21"/>
        <v>0</v>
      </c>
      <c r="U128" s="51"/>
    </row>
    <row r="129" spans="1:21" x14ac:dyDescent="0.25">
      <c r="A129" s="46">
        <f t="shared" si="16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22"/>
        <v>0</v>
      </c>
      <c r="P129" s="47" t="s">
        <v>711</v>
      </c>
      <c r="Q129" s="47"/>
      <c r="R129" s="95">
        <f t="shared" si="23"/>
        <v>0</v>
      </c>
      <c r="S129" s="95" t="str">
        <f t="shared" si="20"/>
        <v/>
      </c>
      <c r="T129" s="96">
        <f t="shared" si="21"/>
        <v>0</v>
      </c>
      <c r="U129" s="51"/>
    </row>
    <row r="130" spans="1:21" x14ac:dyDescent="0.25">
      <c r="A130" s="46">
        <f t="shared" si="16"/>
        <v>119</v>
      </c>
      <c r="B130" s="47"/>
      <c r="C130" s="5" t="s">
        <v>193</v>
      </c>
      <c r="D130" s="5" t="s">
        <v>194</v>
      </c>
      <c r="E130" s="6" t="s">
        <v>195</v>
      </c>
      <c r="F130" s="113" t="s">
        <v>737</v>
      </c>
      <c r="G130" s="109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22"/>
        <v>0</v>
      </c>
      <c r="P130" s="47" t="s">
        <v>711</v>
      </c>
      <c r="Q130" s="47"/>
      <c r="R130" s="95">
        <f t="shared" si="23"/>
        <v>0</v>
      </c>
      <c r="S130" s="95" t="str">
        <f t="shared" ref="S130:S161" si="24">IF(OR(P130="$",N130=1),+T130,"")</f>
        <v/>
      </c>
      <c r="T130" s="96">
        <f t="shared" si="21"/>
        <v>0</v>
      </c>
      <c r="U130" s="51"/>
    </row>
    <row r="131" spans="1:21" x14ac:dyDescent="0.25">
      <c r="A131" s="46">
        <f t="shared" si="16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22"/>
        <v>0</v>
      </c>
      <c r="P131" s="47" t="s">
        <v>711</v>
      </c>
      <c r="Q131" s="47"/>
      <c r="R131" s="95">
        <f t="shared" si="23"/>
        <v>0</v>
      </c>
      <c r="S131" s="95" t="str">
        <f t="shared" si="24"/>
        <v/>
      </c>
      <c r="T131" s="96">
        <f t="shared" si="21"/>
        <v>0</v>
      </c>
      <c r="U131" s="51"/>
    </row>
    <row r="132" spans="1:21" x14ac:dyDescent="0.25">
      <c r="A132" s="46">
        <f t="shared" si="16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22"/>
        <v>0</v>
      </c>
      <c r="P132" s="47" t="s">
        <v>711</v>
      </c>
      <c r="Q132" s="47"/>
      <c r="R132" s="95">
        <f t="shared" si="23"/>
        <v>0</v>
      </c>
      <c r="S132" s="95" t="str">
        <f t="shared" si="24"/>
        <v/>
      </c>
      <c r="T132" s="96">
        <f t="shared" si="21"/>
        <v>0</v>
      </c>
      <c r="U132" s="51"/>
    </row>
    <row r="133" spans="1:21" x14ac:dyDescent="0.25">
      <c r="A133" s="46">
        <f t="shared" si="16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9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22"/>
        <v>0</v>
      </c>
      <c r="P133" s="47" t="s">
        <v>711</v>
      </c>
      <c r="Q133" s="47"/>
      <c r="R133" s="95">
        <f t="shared" si="23"/>
        <v>0</v>
      </c>
      <c r="S133" s="95" t="str">
        <f t="shared" si="24"/>
        <v/>
      </c>
      <c r="T133" s="96">
        <f t="shared" si="21"/>
        <v>0</v>
      </c>
      <c r="U133" s="51"/>
    </row>
    <row r="134" spans="1:21" x14ac:dyDescent="0.25">
      <c r="A134" s="46">
        <f t="shared" si="16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22"/>
        <v>0</v>
      </c>
      <c r="P134" s="47" t="s">
        <v>711</v>
      </c>
      <c r="Q134" s="47"/>
      <c r="R134" s="95">
        <f t="shared" si="23"/>
        <v>0</v>
      </c>
      <c r="S134" s="95" t="str">
        <f t="shared" si="24"/>
        <v/>
      </c>
      <c r="T134" s="96">
        <f t="shared" si="21"/>
        <v>0</v>
      </c>
      <c r="U134" s="51"/>
    </row>
    <row r="135" spans="1:21" x14ac:dyDescent="0.25">
      <c r="A135" s="46">
        <f t="shared" si="16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22"/>
        <v>0</v>
      </c>
      <c r="P135" s="47" t="s">
        <v>711</v>
      </c>
      <c r="Q135" s="47"/>
      <c r="R135" s="95">
        <f t="shared" si="23"/>
        <v>0</v>
      </c>
      <c r="S135" s="95" t="str">
        <f t="shared" si="24"/>
        <v/>
      </c>
      <c r="T135" s="96">
        <f t="shared" si="21"/>
        <v>0</v>
      </c>
      <c r="U135" s="51"/>
    </row>
    <row r="136" spans="1:21" x14ac:dyDescent="0.25">
      <c r="A136" s="46">
        <f t="shared" si="16"/>
        <v>125</v>
      </c>
      <c r="B136" s="47"/>
      <c r="C136" s="15" t="s">
        <v>664</v>
      </c>
      <c r="D136" s="15" t="s">
        <v>39</v>
      </c>
      <c r="E136" s="10" t="s">
        <v>665</v>
      </c>
      <c r="F136" s="113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22"/>
        <v>0</v>
      </c>
      <c r="P136" s="47" t="s">
        <v>711</v>
      </c>
      <c r="Q136" s="47"/>
      <c r="R136" s="95">
        <f t="shared" si="23"/>
        <v>0</v>
      </c>
      <c r="S136" s="95" t="str">
        <f t="shared" si="24"/>
        <v/>
      </c>
      <c r="T136" s="96">
        <f t="shared" si="21"/>
        <v>0</v>
      </c>
      <c r="U136" s="51"/>
    </row>
    <row r="137" spans="1:21" x14ac:dyDescent="0.25">
      <c r="A137" s="46">
        <f t="shared" si="16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22"/>
        <v>0</v>
      </c>
      <c r="P137" s="47" t="s">
        <v>711</v>
      </c>
      <c r="Q137" s="47"/>
      <c r="R137" s="95">
        <f t="shared" si="23"/>
        <v>0</v>
      </c>
      <c r="S137" s="95" t="str">
        <f t="shared" si="24"/>
        <v/>
      </c>
      <c r="T137" s="96">
        <f t="shared" si="21"/>
        <v>0</v>
      </c>
      <c r="U137" s="51"/>
    </row>
    <row r="138" spans="1:21" x14ac:dyDescent="0.25">
      <c r="A138" s="46">
        <f t="shared" si="16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22"/>
        <v>0</v>
      </c>
      <c r="P138" s="47" t="s">
        <v>711</v>
      </c>
      <c r="Q138" s="47"/>
      <c r="R138" s="95">
        <f t="shared" si="23"/>
        <v>0</v>
      </c>
      <c r="S138" s="95" t="str">
        <f t="shared" si="24"/>
        <v/>
      </c>
      <c r="T138" s="96">
        <f t="shared" si="21"/>
        <v>0</v>
      </c>
      <c r="U138" s="51"/>
    </row>
    <row r="139" spans="1:21" x14ac:dyDescent="0.25">
      <c r="A139" s="46">
        <f t="shared" si="16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22"/>
        <v>0</v>
      </c>
      <c r="P139" s="47" t="s">
        <v>711</v>
      </c>
      <c r="Q139" s="47"/>
      <c r="R139" s="95">
        <f t="shared" si="23"/>
        <v>0</v>
      </c>
      <c r="S139" s="95" t="str">
        <f t="shared" si="24"/>
        <v/>
      </c>
      <c r="T139" s="96">
        <f t="shared" si="21"/>
        <v>0</v>
      </c>
      <c r="U139" s="51"/>
    </row>
    <row r="140" spans="1:21" x14ac:dyDescent="0.25">
      <c r="A140" s="46">
        <f t="shared" ref="A140:A203" si="25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9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22"/>
        <v>0</v>
      </c>
      <c r="P140" s="47" t="s">
        <v>711</v>
      </c>
      <c r="Q140" s="47"/>
      <c r="R140" s="95">
        <f t="shared" si="23"/>
        <v>0</v>
      </c>
      <c r="S140" s="95" t="str">
        <f t="shared" si="24"/>
        <v/>
      </c>
      <c r="T140" s="96">
        <f t="shared" ref="T140:T171" si="26">B140*FRegMainSetUpEntryFee + H140*FRegMainSetUpPool1Fee + I140*FRegMainSetUpPool2Fee + J140*FRegMainSetUpPool3Fee + K140*FRegMainSetUpPool4Fee</f>
        <v>0</v>
      </c>
      <c r="U140" s="51"/>
    </row>
    <row r="141" spans="1:21" x14ac:dyDescent="0.25">
      <c r="A141" s="46">
        <f t="shared" si="25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22"/>
        <v>0</v>
      </c>
      <c r="P141" s="47" t="s">
        <v>711</v>
      </c>
      <c r="Q141" s="47"/>
      <c r="R141" s="95">
        <f t="shared" si="23"/>
        <v>0</v>
      </c>
      <c r="S141" s="95" t="str">
        <f t="shared" si="24"/>
        <v/>
      </c>
      <c r="T141" s="96">
        <f t="shared" si="26"/>
        <v>0</v>
      </c>
      <c r="U141" s="51"/>
    </row>
    <row r="142" spans="1:21" x14ac:dyDescent="0.25">
      <c r="A142" s="46">
        <f t="shared" si="25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22"/>
        <v>0</v>
      </c>
      <c r="P142" s="47" t="s">
        <v>711</v>
      </c>
      <c r="Q142" s="47"/>
      <c r="R142" s="95">
        <f t="shared" si="23"/>
        <v>0</v>
      </c>
      <c r="S142" s="95" t="str">
        <f t="shared" si="24"/>
        <v/>
      </c>
      <c r="T142" s="96">
        <f t="shared" si="26"/>
        <v>0</v>
      </c>
      <c r="U142" s="51"/>
    </row>
    <row r="143" spans="1:21" x14ac:dyDescent="0.25">
      <c r="A143" s="46">
        <f t="shared" si="25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22"/>
        <v>0</v>
      </c>
      <c r="P143" s="47" t="s">
        <v>711</v>
      </c>
      <c r="Q143" s="47"/>
      <c r="R143" s="95">
        <f t="shared" si="23"/>
        <v>0</v>
      </c>
      <c r="S143" s="95" t="str">
        <f t="shared" si="24"/>
        <v/>
      </c>
      <c r="T143" s="96">
        <f t="shared" si="26"/>
        <v>0</v>
      </c>
      <c r="U143" s="51"/>
    </row>
    <row r="144" spans="1:21" x14ac:dyDescent="0.25">
      <c r="A144" s="46">
        <f t="shared" si="25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22"/>
        <v>0</v>
      </c>
      <c r="P144" s="47" t="s">
        <v>711</v>
      </c>
      <c r="Q144" s="47"/>
      <c r="R144" s="95">
        <f t="shared" si="23"/>
        <v>0</v>
      </c>
      <c r="S144" s="95" t="str">
        <f t="shared" si="24"/>
        <v/>
      </c>
      <c r="T144" s="96">
        <f t="shared" si="26"/>
        <v>0</v>
      </c>
      <c r="U144" s="51"/>
    </row>
    <row r="145" spans="1:21" x14ac:dyDescent="0.25">
      <c r="A145" s="46">
        <f t="shared" si="25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7">T145*N145</f>
        <v>0</v>
      </c>
      <c r="P145" s="47" t="s">
        <v>711</v>
      </c>
      <c r="Q145" s="47"/>
      <c r="R145" s="95">
        <f t="shared" si="23"/>
        <v>0</v>
      </c>
      <c r="S145" s="95" t="str">
        <f t="shared" si="24"/>
        <v/>
      </c>
      <c r="T145" s="96">
        <f t="shared" si="26"/>
        <v>0</v>
      </c>
      <c r="U145" s="51"/>
    </row>
    <row r="146" spans="1:21" x14ac:dyDescent="0.25">
      <c r="A146" s="46">
        <f t="shared" si="25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7"/>
        <v>0</v>
      </c>
      <c r="P146" s="47" t="s">
        <v>711</v>
      </c>
      <c r="Q146" s="47"/>
      <c r="R146" s="95">
        <f t="shared" si="23"/>
        <v>0</v>
      </c>
      <c r="S146" s="95" t="str">
        <f t="shared" si="24"/>
        <v/>
      </c>
      <c r="T146" s="96">
        <f t="shared" si="26"/>
        <v>0</v>
      </c>
      <c r="U146" s="51"/>
    </row>
    <row r="147" spans="1:21" x14ac:dyDescent="0.25">
      <c r="A147" s="46">
        <f t="shared" si="25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7"/>
        <v>0</v>
      </c>
      <c r="P147" s="47" t="s">
        <v>711</v>
      </c>
      <c r="Q147" s="47"/>
      <c r="R147" s="95">
        <f t="shared" si="23"/>
        <v>0</v>
      </c>
      <c r="S147" s="95" t="str">
        <f t="shared" si="24"/>
        <v/>
      </c>
      <c r="T147" s="96">
        <f t="shared" si="26"/>
        <v>0</v>
      </c>
      <c r="U147" s="51"/>
    </row>
    <row r="148" spans="1:21" x14ac:dyDescent="0.25">
      <c r="A148" s="46">
        <f t="shared" si="25"/>
        <v>137</v>
      </c>
      <c r="B148" s="47"/>
      <c r="C148" s="5" t="s">
        <v>254</v>
      </c>
      <c r="D148" s="5" t="s">
        <v>255</v>
      </c>
      <c r="E148" s="6" t="s">
        <v>256</v>
      </c>
      <c r="F148" s="116" t="s">
        <v>535</v>
      </c>
      <c r="G148" s="109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7"/>
        <v>0</v>
      </c>
      <c r="P148" s="47" t="s">
        <v>711</v>
      </c>
      <c r="Q148" s="47"/>
      <c r="R148" s="95">
        <f t="shared" si="23"/>
        <v>0</v>
      </c>
      <c r="S148" s="95" t="str">
        <f t="shared" si="24"/>
        <v/>
      </c>
      <c r="T148" s="96">
        <f t="shared" si="26"/>
        <v>0</v>
      </c>
      <c r="U148" s="51"/>
    </row>
    <row r="149" spans="1:21" x14ac:dyDescent="0.25">
      <c r="A149" s="46">
        <f t="shared" si="25"/>
        <v>138</v>
      </c>
      <c r="B149" s="47"/>
      <c r="C149" s="5" t="s">
        <v>257</v>
      </c>
      <c r="D149" s="5" t="s">
        <v>255</v>
      </c>
      <c r="E149" s="6" t="s">
        <v>258</v>
      </c>
      <c r="F149" s="113" t="s">
        <v>535</v>
      </c>
      <c r="G149" s="109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7"/>
        <v>0</v>
      </c>
      <c r="P149" s="47" t="s">
        <v>711</v>
      </c>
      <c r="Q149" s="47"/>
      <c r="R149" s="95">
        <f t="shared" si="23"/>
        <v>0</v>
      </c>
      <c r="S149" s="95" t="str">
        <f t="shared" si="24"/>
        <v/>
      </c>
      <c r="T149" s="96">
        <f t="shared" si="26"/>
        <v>0</v>
      </c>
      <c r="U149" s="51"/>
    </row>
    <row r="150" spans="1:21" x14ac:dyDescent="0.25">
      <c r="A150" s="46">
        <f t="shared" si="25"/>
        <v>139</v>
      </c>
      <c r="B150" s="47"/>
      <c r="C150" s="5" t="s">
        <v>261</v>
      </c>
      <c r="D150" s="5" t="s">
        <v>262</v>
      </c>
      <c r="E150" s="6" t="s">
        <v>263</v>
      </c>
      <c r="F150" s="113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7"/>
        <v>0</v>
      </c>
      <c r="P150" s="47" t="s">
        <v>711</v>
      </c>
      <c r="Q150" s="47"/>
      <c r="R150" s="95">
        <f t="shared" si="23"/>
        <v>0</v>
      </c>
      <c r="S150" s="95" t="str">
        <f t="shared" si="24"/>
        <v/>
      </c>
      <c r="T150" s="96">
        <f t="shared" si="26"/>
        <v>0</v>
      </c>
      <c r="U150" s="51"/>
    </row>
    <row r="151" spans="1:21" x14ac:dyDescent="0.25">
      <c r="A151" s="46">
        <f t="shared" si="25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7"/>
        <v>0</v>
      </c>
      <c r="P151" s="47" t="s">
        <v>711</v>
      </c>
      <c r="Q151" s="47"/>
      <c r="R151" s="95">
        <f t="shared" si="23"/>
        <v>0</v>
      </c>
      <c r="S151" s="95" t="str">
        <f t="shared" si="24"/>
        <v/>
      </c>
      <c r="T151" s="96">
        <f t="shared" si="26"/>
        <v>0</v>
      </c>
      <c r="U151" s="51"/>
    </row>
    <row r="152" spans="1:21" x14ac:dyDescent="0.25">
      <c r="A152" s="46">
        <f t="shared" si="25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7"/>
        <v>0</v>
      </c>
      <c r="P152" s="47" t="s">
        <v>711</v>
      </c>
      <c r="Q152" s="47"/>
      <c r="R152" s="95">
        <f t="shared" si="23"/>
        <v>0</v>
      </c>
      <c r="S152" s="95" t="str">
        <f t="shared" si="24"/>
        <v/>
      </c>
      <c r="T152" s="96">
        <f t="shared" si="26"/>
        <v>0</v>
      </c>
      <c r="U152" s="51"/>
    </row>
    <row r="153" spans="1:21" x14ac:dyDescent="0.25">
      <c r="A153" s="46">
        <f t="shared" si="25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7"/>
        <v>0</v>
      </c>
      <c r="P153" s="47" t="s">
        <v>711</v>
      </c>
      <c r="Q153" s="47"/>
      <c r="R153" s="95">
        <f t="shared" si="23"/>
        <v>0</v>
      </c>
      <c r="S153" s="95" t="str">
        <f t="shared" si="24"/>
        <v/>
      </c>
      <c r="T153" s="96">
        <f t="shared" si="26"/>
        <v>0</v>
      </c>
      <c r="U153" s="51"/>
    </row>
    <row r="154" spans="1:21" x14ac:dyDescent="0.25">
      <c r="A154" s="46">
        <f t="shared" si="25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7"/>
        <v>0</v>
      </c>
      <c r="P154" s="47" t="s">
        <v>711</v>
      </c>
      <c r="Q154" s="47"/>
      <c r="R154" s="95">
        <f t="shared" si="23"/>
        <v>0</v>
      </c>
      <c r="S154" s="95" t="str">
        <f t="shared" si="24"/>
        <v/>
      </c>
      <c r="T154" s="96">
        <f t="shared" si="26"/>
        <v>0</v>
      </c>
      <c r="U154" s="51"/>
    </row>
    <row r="155" spans="1:21" x14ac:dyDescent="0.25">
      <c r="A155" s="46">
        <f t="shared" si="25"/>
        <v>144</v>
      </c>
      <c r="B155" s="47"/>
      <c r="C155" s="15" t="s">
        <v>674</v>
      </c>
      <c r="D155" s="15" t="s">
        <v>159</v>
      </c>
      <c r="E155" s="10" t="s">
        <v>675</v>
      </c>
      <c r="F155" s="113"/>
      <c r="G155" s="111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7"/>
        <v>0</v>
      </c>
      <c r="P155" s="47" t="s">
        <v>711</v>
      </c>
      <c r="Q155" s="47"/>
      <c r="R155" s="95">
        <f t="shared" si="23"/>
        <v>0</v>
      </c>
      <c r="S155" s="95" t="str">
        <f t="shared" si="24"/>
        <v/>
      </c>
      <c r="T155" s="96">
        <f t="shared" si="26"/>
        <v>0</v>
      </c>
      <c r="U155" s="51"/>
    </row>
    <row r="156" spans="1:21" x14ac:dyDescent="0.25">
      <c r="A156" s="46">
        <f t="shared" si="25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7"/>
        <v>0</v>
      </c>
      <c r="P156" s="47" t="s">
        <v>711</v>
      </c>
      <c r="Q156" s="47"/>
      <c r="R156" s="95">
        <f t="shared" ref="R156:R187" si="28">IF(OR(P156="c",P156="C"),+T156,"")</f>
        <v>0</v>
      </c>
      <c r="S156" s="95" t="str">
        <f t="shared" si="24"/>
        <v/>
      </c>
      <c r="T156" s="96">
        <f t="shared" si="26"/>
        <v>0</v>
      </c>
      <c r="U156" s="51"/>
    </row>
    <row r="157" spans="1:21" x14ac:dyDescent="0.25">
      <c r="A157" s="46">
        <f t="shared" si="25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7"/>
        <v>0</v>
      </c>
      <c r="P157" s="47" t="s">
        <v>711</v>
      </c>
      <c r="Q157" s="47"/>
      <c r="R157" s="95">
        <f t="shared" si="28"/>
        <v>0</v>
      </c>
      <c r="S157" s="95" t="str">
        <f t="shared" si="24"/>
        <v/>
      </c>
      <c r="T157" s="96">
        <f t="shared" si="26"/>
        <v>0</v>
      </c>
      <c r="U157" s="51"/>
    </row>
    <row r="158" spans="1:21" x14ac:dyDescent="0.25">
      <c r="A158" s="46">
        <f t="shared" si="25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7"/>
        <v>0</v>
      </c>
      <c r="P158" s="47" t="s">
        <v>711</v>
      </c>
      <c r="Q158" s="47"/>
      <c r="R158" s="95">
        <f t="shared" si="28"/>
        <v>0</v>
      </c>
      <c r="S158" s="95" t="str">
        <f t="shared" si="24"/>
        <v/>
      </c>
      <c r="T158" s="96">
        <f t="shared" si="26"/>
        <v>0</v>
      </c>
      <c r="U158" s="51"/>
    </row>
    <row r="159" spans="1:21" x14ac:dyDescent="0.25">
      <c r="A159" s="46">
        <f t="shared" si="25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7"/>
        <v>0</v>
      </c>
      <c r="P159" s="47" t="s">
        <v>711</v>
      </c>
      <c r="Q159" s="47"/>
      <c r="R159" s="95">
        <f t="shared" si="28"/>
        <v>0</v>
      </c>
      <c r="S159" s="95" t="str">
        <f t="shared" si="24"/>
        <v/>
      </c>
      <c r="T159" s="96">
        <f t="shared" si="26"/>
        <v>0</v>
      </c>
      <c r="U159" s="51"/>
    </row>
    <row r="160" spans="1:21" x14ac:dyDescent="0.25">
      <c r="A160" s="46">
        <f t="shared" si="25"/>
        <v>149</v>
      </c>
      <c r="B160" s="47"/>
      <c r="C160" s="15" t="s">
        <v>677</v>
      </c>
      <c r="D160" s="15" t="s">
        <v>678</v>
      </c>
      <c r="E160" s="10" t="s">
        <v>662</v>
      </c>
      <c r="F160" s="113"/>
      <c r="G160" s="109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7"/>
        <v>0</v>
      </c>
      <c r="P160" s="47" t="s">
        <v>711</v>
      </c>
      <c r="Q160" s="47"/>
      <c r="R160" s="95">
        <f t="shared" si="28"/>
        <v>0</v>
      </c>
      <c r="S160" s="95" t="str">
        <f t="shared" si="24"/>
        <v/>
      </c>
      <c r="T160" s="96">
        <f t="shared" si="26"/>
        <v>0</v>
      </c>
      <c r="U160" s="51"/>
    </row>
    <row r="161" spans="1:21" x14ac:dyDescent="0.25">
      <c r="A161" s="46">
        <f t="shared" si="25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7"/>
        <v>0</v>
      </c>
      <c r="P161" s="47" t="s">
        <v>711</v>
      </c>
      <c r="Q161" s="47"/>
      <c r="R161" s="95">
        <f t="shared" si="28"/>
        <v>0</v>
      </c>
      <c r="S161" s="95" t="str">
        <f t="shared" si="24"/>
        <v/>
      </c>
      <c r="T161" s="96">
        <f t="shared" si="26"/>
        <v>0</v>
      </c>
      <c r="U161" s="51"/>
    </row>
    <row r="162" spans="1:21" x14ac:dyDescent="0.25">
      <c r="A162" s="46">
        <f t="shared" si="25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7"/>
        <v>0</v>
      </c>
      <c r="P162" s="47" t="s">
        <v>711</v>
      </c>
      <c r="Q162" s="47"/>
      <c r="R162" s="95">
        <f t="shared" si="28"/>
        <v>0</v>
      </c>
      <c r="S162" s="95" t="str">
        <f t="shared" ref="S162:S193" si="29">IF(OR(P162="$",N162=1),+T162,"")</f>
        <v/>
      </c>
      <c r="T162" s="96">
        <f t="shared" si="26"/>
        <v>0</v>
      </c>
      <c r="U162" s="51"/>
    </row>
    <row r="163" spans="1:21" x14ac:dyDescent="0.25">
      <c r="A163" s="46">
        <f t="shared" si="25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7"/>
        <v>0</v>
      </c>
      <c r="P163" s="47" t="s">
        <v>711</v>
      </c>
      <c r="Q163" s="47"/>
      <c r="R163" s="95">
        <f t="shared" si="28"/>
        <v>0</v>
      </c>
      <c r="S163" s="95" t="str">
        <f t="shared" si="29"/>
        <v/>
      </c>
      <c r="T163" s="96">
        <f t="shared" si="26"/>
        <v>0</v>
      </c>
      <c r="U163" s="51"/>
    </row>
    <row r="164" spans="1:21" x14ac:dyDescent="0.25">
      <c r="A164" s="46">
        <f t="shared" si="25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7"/>
        <v>0</v>
      </c>
      <c r="P164" s="47" t="s">
        <v>711</v>
      </c>
      <c r="Q164" s="47"/>
      <c r="R164" s="95">
        <f t="shared" si="28"/>
        <v>0</v>
      </c>
      <c r="S164" s="95" t="str">
        <f t="shared" si="29"/>
        <v/>
      </c>
      <c r="T164" s="96">
        <f t="shared" si="26"/>
        <v>0</v>
      </c>
      <c r="U164" s="51"/>
    </row>
    <row r="165" spans="1:21" x14ac:dyDescent="0.25">
      <c r="A165" s="46">
        <f t="shared" si="25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7"/>
        <v>0</v>
      </c>
      <c r="P165" s="47" t="s">
        <v>711</v>
      </c>
      <c r="Q165" s="47"/>
      <c r="R165" s="95">
        <f t="shared" si="28"/>
        <v>0</v>
      </c>
      <c r="S165" s="95" t="str">
        <f t="shared" si="29"/>
        <v/>
      </c>
      <c r="T165" s="96">
        <f t="shared" si="26"/>
        <v>0</v>
      </c>
      <c r="U165" s="51"/>
    </row>
    <row r="166" spans="1:21" x14ac:dyDescent="0.25">
      <c r="A166" s="46">
        <f t="shared" si="25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7"/>
        <v>0</v>
      </c>
      <c r="P166" s="47" t="s">
        <v>711</v>
      </c>
      <c r="Q166" s="47"/>
      <c r="R166" s="95">
        <f t="shared" si="28"/>
        <v>0</v>
      </c>
      <c r="S166" s="95" t="str">
        <f t="shared" si="29"/>
        <v/>
      </c>
      <c r="T166" s="96">
        <f t="shared" si="26"/>
        <v>0</v>
      </c>
      <c r="U166" s="51"/>
    </row>
    <row r="167" spans="1:21" x14ac:dyDescent="0.25">
      <c r="A167" s="46">
        <f t="shared" si="25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7"/>
        <v>0</v>
      </c>
      <c r="P167" s="47" t="s">
        <v>711</v>
      </c>
      <c r="Q167" s="47"/>
      <c r="R167" s="95">
        <f t="shared" si="28"/>
        <v>0</v>
      </c>
      <c r="S167" s="95" t="str">
        <f t="shared" si="29"/>
        <v/>
      </c>
      <c r="T167" s="96">
        <f t="shared" si="26"/>
        <v>0</v>
      </c>
      <c r="U167" s="51"/>
    </row>
    <row r="168" spans="1:21" x14ac:dyDescent="0.25">
      <c r="A168" s="46">
        <f t="shared" si="25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7"/>
        <v>0</v>
      </c>
      <c r="P168" s="47" t="s">
        <v>711</v>
      </c>
      <c r="Q168" s="47"/>
      <c r="R168" s="95">
        <f t="shared" si="28"/>
        <v>0</v>
      </c>
      <c r="S168" s="95" t="str">
        <f t="shared" si="29"/>
        <v/>
      </c>
      <c r="T168" s="96">
        <f t="shared" si="26"/>
        <v>0</v>
      </c>
      <c r="U168" s="51"/>
    </row>
    <row r="169" spans="1:21" x14ac:dyDescent="0.25">
      <c r="A169" s="46">
        <f t="shared" si="25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7"/>
        <v>0</v>
      </c>
      <c r="P169" s="47" t="s">
        <v>711</v>
      </c>
      <c r="Q169" s="47"/>
      <c r="R169" s="95">
        <f t="shared" si="28"/>
        <v>0</v>
      </c>
      <c r="S169" s="95" t="str">
        <f t="shared" si="29"/>
        <v/>
      </c>
      <c r="T169" s="96">
        <f t="shared" si="26"/>
        <v>0</v>
      </c>
      <c r="U169" s="51"/>
    </row>
    <row r="170" spans="1:21" x14ac:dyDescent="0.25">
      <c r="A170" s="46">
        <f t="shared" si="25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7"/>
        <v>0</v>
      </c>
      <c r="P170" s="47" t="s">
        <v>711</v>
      </c>
      <c r="Q170" s="47"/>
      <c r="R170" s="95">
        <f t="shared" si="28"/>
        <v>0</v>
      </c>
      <c r="S170" s="95" t="str">
        <f t="shared" si="29"/>
        <v/>
      </c>
      <c r="T170" s="96">
        <f t="shared" si="26"/>
        <v>0</v>
      </c>
      <c r="U170" s="51"/>
    </row>
    <row r="171" spans="1:21" x14ac:dyDescent="0.25">
      <c r="A171" s="46">
        <f t="shared" si="25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7"/>
        <v>0</v>
      </c>
      <c r="P171" s="47" t="s">
        <v>711</v>
      </c>
      <c r="Q171" s="47"/>
      <c r="R171" s="95">
        <f t="shared" si="28"/>
        <v>0</v>
      </c>
      <c r="S171" s="95" t="str">
        <f t="shared" si="29"/>
        <v/>
      </c>
      <c r="T171" s="96">
        <f t="shared" si="26"/>
        <v>0</v>
      </c>
      <c r="U171" s="51"/>
    </row>
    <row r="172" spans="1:21" x14ac:dyDescent="0.25">
      <c r="A172" s="46">
        <f t="shared" si="25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7"/>
        <v>0</v>
      </c>
      <c r="P172" s="47" t="s">
        <v>711</v>
      </c>
      <c r="Q172" s="47"/>
      <c r="R172" s="95">
        <f t="shared" si="28"/>
        <v>0</v>
      </c>
      <c r="S172" s="95" t="str">
        <f t="shared" si="29"/>
        <v/>
      </c>
      <c r="T172" s="96">
        <f t="shared" ref="T172:T201" si="30">B172*FRegMainSetUpEntryFee + H172*FRegMainSetUpPool1Fee + I172*FRegMainSetUpPool2Fee + J172*FRegMainSetUpPool3Fee + K172*FRegMainSetUpPool4Fee</f>
        <v>0</v>
      </c>
      <c r="U172" s="51"/>
    </row>
    <row r="173" spans="1:21" x14ac:dyDescent="0.25">
      <c r="A173" s="46">
        <f t="shared" si="25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9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7"/>
        <v>0</v>
      </c>
      <c r="P173" s="47" t="s">
        <v>711</v>
      </c>
      <c r="Q173" s="47"/>
      <c r="R173" s="95">
        <f t="shared" si="28"/>
        <v>0</v>
      </c>
      <c r="S173" s="95" t="str">
        <f t="shared" si="29"/>
        <v/>
      </c>
      <c r="T173" s="96">
        <f t="shared" si="30"/>
        <v>0</v>
      </c>
      <c r="U173" s="51"/>
    </row>
    <row r="174" spans="1:21" x14ac:dyDescent="0.25">
      <c r="A174" s="46">
        <f t="shared" si="25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7"/>
        <v>0</v>
      </c>
      <c r="P174" s="47" t="s">
        <v>711</v>
      </c>
      <c r="Q174" s="47"/>
      <c r="R174" s="95">
        <f t="shared" si="28"/>
        <v>0</v>
      </c>
      <c r="S174" s="95" t="str">
        <f t="shared" si="29"/>
        <v/>
      </c>
      <c r="T174" s="96">
        <f t="shared" si="30"/>
        <v>0</v>
      </c>
      <c r="U174" s="51"/>
    </row>
    <row r="175" spans="1:21" x14ac:dyDescent="0.25">
      <c r="A175" s="46">
        <f t="shared" si="25"/>
        <v>164</v>
      </c>
      <c r="B175" s="47"/>
      <c r="C175" s="15" t="s">
        <v>682</v>
      </c>
      <c r="D175" s="15" t="s">
        <v>81</v>
      </c>
      <c r="E175" s="10" t="s">
        <v>683</v>
      </c>
      <c r="F175" s="113"/>
      <c r="G175" s="109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7"/>
        <v>0</v>
      </c>
      <c r="P175" s="47" t="s">
        <v>711</v>
      </c>
      <c r="Q175" s="47"/>
      <c r="R175" s="95">
        <f t="shared" si="28"/>
        <v>0</v>
      </c>
      <c r="S175" s="95" t="str">
        <f t="shared" si="29"/>
        <v/>
      </c>
      <c r="T175" s="96">
        <f t="shared" si="30"/>
        <v>0</v>
      </c>
      <c r="U175" s="51"/>
    </row>
    <row r="176" spans="1:21" ht="15.75" x14ac:dyDescent="0.25">
      <c r="A176" s="46">
        <f t="shared" si="25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7"/>
        <v>0</v>
      </c>
      <c r="P176" s="47" t="s">
        <v>711</v>
      </c>
      <c r="Q176" s="47"/>
      <c r="R176" s="95">
        <f t="shared" si="28"/>
        <v>0</v>
      </c>
      <c r="S176" s="95" t="str">
        <f t="shared" si="29"/>
        <v/>
      </c>
      <c r="T176" s="96">
        <f t="shared" si="30"/>
        <v>0</v>
      </c>
      <c r="U176" s="51"/>
    </row>
    <row r="177" spans="1:21" x14ac:dyDescent="0.25">
      <c r="A177" s="46">
        <f t="shared" si="25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9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8" si="31">T177*N177</f>
        <v>0</v>
      </c>
      <c r="P177" s="47" t="s">
        <v>711</v>
      </c>
      <c r="Q177" s="47"/>
      <c r="R177" s="95">
        <f t="shared" si="28"/>
        <v>0</v>
      </c>
      <c r="S177" s="95" t="str">
        <f t="shared" si="29"/>
        <v/>
      </c>
      <c r="T177" s="96">
        <f t="shared" si="30"/>
        <v>0</v>
      </c>
      <c r="U177" s="51"/>
    </row>
    <row r="178" spans="1:21" x14ac:dyDescent="0.25">
      <c r="A178" s="46">
        <f t="shared" si="25"/>
        <v>167</v>
      </c>
      <c r="B178" s="47"/>
      <c r="C178" s="15" t="s">
        <v>685</v>
      </c>
      <c r="D178" s="15" t="s">
        <v>45</v>
      </c>
      <c r="E178" s="10" t="s">
        <v>686</v>
      </c>
      <c r="F178" s="113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31"/>
        <v>0</v>
      </c>
      <c r="P178" s="47" t="s">
        <v>711</v>
      </c>
      <c r="Q178" s="47"/>
      <c r="R178" s="95">
        <f t="shared" si="28"/>
        <v>0</v>
      </c>
      <c r="S178" s="95" t="str">
        <f t="shared" si="29"/>
        <v/>
      </c>
      <c r="T178" s="96">
        <f t="shared" si="30"/>
        <v>0</v>
      </c>
      <c r="U178" s="51"/>
    </row>
    <row r="179" spans="1:21" ht="15.75" x14ac:dyDescent="0.25">
      <c r="A179" s="46">
        <f t="shared" si="25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31"/>
        <v>0</v>
      </c>
      <c r="P179" s="47" t="s">
        <v>711</v>
      </c>
      <c r="Q179" s="47"/>
      <c r="R179" s="95">
        <f t="shared" si="28"/>
        <v>0</v>
      </c>
      <c r="S179" s="95" t="str">
        <f t="shared" si="29"/>
        <v/>
      </c>
      <c r="T179" s="96">
        <f t="shared" si="30"/>
        <v>0</v>
      </c>
      <c r="U179" s="51"/>
    </row>
    <row r="180" spans="1:21" x14ac:dyDescent="0.25">
      <c r="A180" s="46">
        <f t="shared" si="25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9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31"/>
        <v>0</v>
      </c>
      <c r="P180" s="47" t="s">
        <v>711</v>
      </c>
      <c r="Q180" s="47"/>
      <c r="R180" s="95">
        <f t="shared" si="28"/>
        <v>0</v>
      </c>
      <c r="S180" s="95" t="str">
        <f t="shared" si="29"/>
        <v/>
      </c>
      <c r="T180" s="96">
        <f t="shared" si="30"/>
        <v>0</v>
      </c>
      <c r="U180" s="51"/>
    </row>
    <row r="181" spans="1:21" x14ac:dyDescent="0.25">
      <c r="A181" s="46">
        <f t="shared" si="25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31"/>
        <v>0</v>
      </c>
      <c r="P181" s="47" t="s">
        <v>711</v>
      </c>
      <c r="Q181" s="47"/>
      <c r="R181" s="95">
        <f t="shared" si="28"/>
        <v>0</v>
      </c>
      <c r="S181" s="95" t="str">
        <f t="shared" si="29"/>
        <v/>
      </c>
      <c r="T181" s="96">
        <f t="shared" si="30"/>
        <v>0</v>
      </c>
      <c r="U181" s="51"/>
    </row>
    <row r="182" spans="1:21" x14ac:dyDescent="0.25">
      <c r="A182" s="46">
        <f t="shared" si="25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31"/>
        <v>0</v>
      </c>
      <c r="P182" s="47" t="s">
        <v>711</v>
      </c>
      <c r="Q182" s="47"/>
      <c r="R182" s="95">
        <f t="shared" si="28"/>
        <v>0</v>
      </c>
      <c r="S182" s="95" t="str">
        <f t="shared" si="29"/>
        <v/>
      </c>
      <c r="T182" s="96">
        <f t="shared" si="30"/>
        <v>0</v>
      </c>
      <c r="U182" s="51"/>
    </row>
    <row r="183" spans="1:21" x14ac:dyDescent="0.25">
      <c r="A183" s="46">
        <f t="shared" si="25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31"/>
        <v>0</v>
      </c>
      <c r="P183" s="47" t="s">
        <v>711</v>
      </c>
      <c r="Q183" s="47"/>
      <c r="R183" s="95">
        <f t="shared" si="28"/>
        <v>0</v>
      </c>
      <c r="S183" s="95" t="str">
        <f t="shared" si="29"/>
        <v/>
      </c>
      <c r="T183" s="96">
        <f t="shared" si="30"/>
        <v>0</v>
      </c>
      <c r="U183" s="51"/>
    </row>
    <row r="184" spans="1:21" x14ac:dyDescent="0.25">
      <c r="A184" s="46">
        <f t="shared" si="25"/>
        <v>173</v>
      </c>
      <c r="B184" s="47"/>
      <c r="C184" s="15" t="s">
        <v>687</v>
      </c>
      <c r="D184" s="15" t="s">
        <v>199</v>
      </c>
      <c r="E184" s="10" t="s">
        <v>662</v>
      </c>
      <c r="F184" s="113"/>
      <c r="G184" s="109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31"/>
        <v>0</v>
      </c>
      <c r="P184" s="47" t="s">
        <v>711</v>
      </c>
      <c r="Q184" s="47"/>
      <c r="R184" s="95">
        <f t="shared" si="28"/>
        <v>0</v>
      </c>
      <c r="S184" s="95" t="str">
        <f t="shared" si="29"/>
        <v/>
      </c>
      <c r="T184" s="96">
        <f t="shared" si="30"/>
        <v>0</v>
      </c>
      <c r="U184" s="51"/>
    </row>
    <row r="185" spans="1:21" x14ac:dyDescent="0.25">
      <c r="A185" s="46">
        <f t="shared" si="25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31"/>
        <v>0</v>
      </c>
      <c r="P185" s="47" t="s">
        <v>711</v>
      </c>
      <c r="Q185" s="47"/>
      <c r="R185" s="95">
        <f t="shared" si="28"/>
        <v>0</v>
      </c>
      <c r="S185" s="95" t="str">
        <f t="shared" si="29"/>
        <v/>
      </c>
      <c r="T185" s="96">
        <f t="shared" si="30"/>
        <v>0</v>
      </c>
      <c r="U185" s="51"/>
    </row>
    <row r="186" spans="1:21" x14ac:dyDescent="0.25">
      <c r="A186" s="46">
        <f t="shared" si="25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31"/>
        <v>0</v>
      </c>
      <c r="P186" s="47" t="s">
        <v>711</v>
      </c>
      <c r="Q186" s="47"/>
      <c r="R186" s="95">
        <f t="shared" si="28"/>
        <v>0</v>
      </c>
      <c r="S186" s="95" t="str">
        <f t="shared" si="29"/>
        <v/>
      </c>
      <c r="T186" s="96">
        <f t="shared" si="30"/>
        <v>0</v>
      </c>
      <c r="U186" s="51"/>
    </row>
    <row r="187" spans="1:21" x14ac:dyDescent="0.25">
      <c r="A187" s="46">
        <f t="shared" si="25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31"/>
        <v>0</v>
      </c>
      <c r="P187" s="47" t="s">
        <v>711</v>
      </c>
      <c r="Q187" s="47"/>
      <c r="R187" s="95">
        <f t="shared" si="28"/>
        <v>0</v>
      </c>
      <c r="S187" s="95" t="str">
        <f t="shared" si="29"/>
        <v/>
      </c>
      <c r="T187" s="96">
        <f t="shared" si="30"/>
        <v>0</v>
      </c>
      <c r="U187" s="51"/>
    </row>
    <row r="188" spans="1:21" x14ac:dyDescent="0.25">
      <c r="A188" s="46">
        <f t="shared" si="25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31"/>
        <v>0</v>
      </c>
      <c r="P188" s="47" t="s">
        <v>711</v>
      </c>
      <c r="Q188" s="47"/>
      <c r="R188" s="95">
        <f t="shared" ref="R188:R201" si="32">IF(OR(P188="c",P188="C"),+T188,"")</f>
        <v>0</v>
      </c>
      <c r="S188" s="95" t="str">
        <f t="shared" si="29"/>
        <v/>
      </c>
      <c r="T188" s="96">
        <f t="shared" si="30"/>
        <v>0</v>
      </c>
      <c r="U188" s="51"/>
    </row>
    <row r="189" spans="1:21" x14ac:dyDescent="0.25">
      <c r="A189" s="46">
        <f t="shared" si="25"/>
        <v>178</v>
      </c>
      <c r="B189" s="47"/>
      <c r="C189" s="5" t="s">
        <v>383</v>
      </c>
      <c r="D189" s="5" t="s">
        <v>185</v>
      </c>
      <c r="E189" s="6" t="s">
        <v>384</v>
      </c>
      <c r="F189" s="113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31"/>
        <v>0</v>
      </c>
      <c r="P189" s="47" t="s">
        <v>711</v>
      </c>
      <c r="Q189" s="47"/>
      <c r="R189" s="95">
        <f t="shared" si="32"/>
        <v>0</v>
      </c>
      <c r="S189" s="95" t="str">
        <f t="shared" si="29"/>
        <v/>
      </c>
      <c r="T189" s="96">
        <f t="shared" si="30"/>
        <v>0</v>
      </c>
      <c r="U189" s="51"/>
    </row>
    <row r="190" spans="1:21" x14ac:dyDescent="0.25">
      <c r="A190" s="46">
        <f t="shared" si="25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31"/>
        <v>0</v>
      </c>
      <c r="P190" s="47" t="s">
        <v>711</v>
      </c>
      <c r="Q190" s="47"/>
      <c r="R190" s="95">
        <f t="shared" si="32"/>
        <v>0</v>
      </c>
      <c r="S190" s="95" t="str">
        <f t="shared" si="29"/>
        <v/>
      </c>
      <c r="T190" s="96">
        <f t="shared" si="30"/>
        <v>0</v>
      </c>
      <c r="U190" s="51"/>
    </row>
    <row r="191" spans="1:21" x14ac:dyDescent="0.25">
      <c r="A191" s="46">
        <f t="shared" si="25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31"/>
        <v>0</v>
      </c>
      <c r="P191" s="47" t="s">
        <v>711</v>
      </c>
      <c r="Q191" s="47"/>
      <c r="R191" s="95">
        <f t="shared" si="32"/>
        <v>0</v>
      </c>
      <c r="S191" s="95" t="str">
        <f t="shared" si="29"/>
        <v/>
      </c>
      <c r="T191" s="96">
        <f t="shared" si="30"/>
        <v>0</v>
      </c>
      <c r="U191" s="51"/>
    </row>
    <row r="192" spans="1:21" x14ac:dyDescent="0.25">
      <c r="A192" s="46">
        <f t="shared" si="25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31"/>
        <v>0</v>
      </c>
      <c r="P192" s="47" t="s">
        <v>711</v>
      </c>
      <c r="Q192" s="47"/>
      <c r="R192" s="95">
        <f t="shared" si="32"/>
        <v>0</v>
      </c>
      <c r="S192" s="95" t="str">
        <f t="shared" si="29"/>
        <v/>
      </c>
      <c r="T192" s="96">
        <f t="shared" si="30"/>
        <v>0</v>
      </c>
      <c r="U192" s="51"/>
    </row>
    <row r="193" spans="1:21" x14ac:dyDescent="0.25">
      <c r="A193" s="46">
        <f t="shared" si="25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31"/>
        <v>0</v>
      </c>
      <c r="P193" s="47" t="s">
        <v>711</v>
      </c>
      <c r="Q193" s="47"/>
      <c r="R193" s="95">
        <f t="shared" si="32"/>
        <v>0</v>
      </c>
      <c r="S193" s="95" t="str">
        <f t="shared" si="29"/>
        <v/>
      </c>
      <c r="T193" s="96">
        <f t="shared" si="30"/>
        <v>0</v>
      </c>
      <c r="U193" s="51"/>
    </row>
    <row r="194" spans="1:21" x14ac:dyDescent="0.25">
      <c r="A194" s="46">
        <f t="shared" si="25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31"/>
        <v>0</v>
      </c>
      <c r="P194" s="47" t="s">
        <v>711</v>
      </c>
      <c r="Q194" s="47"/>
      <c r="R194" s="95">
        <f t="shared" si="32"/>
        <v>0</v>
      </c>
      <c r="S194" s="95" t="str">
        <f t="shared" ref="S194:S225" si="33">IF(OR(P194="$",N194=1),+T194,"")</f>
        <v/>
      </c>
      <c r="T194" s="96">
        <f t="shared" si="30"/>
        <v>0</v>
      </c>
      <c r="U194" s="51"/>
    </row>
    <row r="195" spans="1:21" x14ac:dyDescent="0.25">
      <c r="A195" s="46">
        <f t="shared" si="25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31"/>
        <v>0</v>
      </c>
      <c r="P195" s="47" t="s">
        <v>711</v>
      </c>
      <c r="Q195" s="47"/>
      <c r="R195" s="95">
        <f t="shared" si="32"/>
        <v>0</v>
      </c>
      <c r="S195" s="95" t="str">
        <f t="shared" si="33"/>
        <v/>
      </c>
      <c r="T195" s="96">
        <f t="shared" si="30"/>
        <v>0</v>
      </c>
      <c r="U195" s="51"/>
    </row>
    <row r="196" spans="1:21" x14ac:dyDescent="0.25">
      <c r="A196" s="46">
        <f t="shared" si="25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31"/>
        <v>0</v>
      </c>
      <c r="P196" s="47" t="s">
        <v>711</v>
      </c>
      <c r="Q196" s="47"/>
      <c r="R196" s="95">
        <f t="shared" si="32"/>
        <v>0</v>
      </c>
      <c r="S196" s="95" t="str">
        <f t="shared" si="33"/>
        <v/>
      </c>
      <c r="T196" s="96">
        <f t="shared" si="30"/>
        <v>0</v>
      </c>
      <c r="U196" s="51"/>
    </row>
    <row r="197" spans="1:21" x14ac:dyDescent="0.25">
      <c r="A197" s="46">
        <f t="shared" si="25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31"/>
        <v>0</v>
      </c>
      <c r="P197" s="47" t="s">
        <v>711</v>
      </c>
      <c r="Q197" s="47"/>
      <c r="R197" s="95">
        <f t="shared" si="32"/>
        <v>0</v>
      </c>
      <c r="S197" s="95" t="str">
        <f t="shared" si="33"/>
        <v/>
      </c>
      <c r="T197" s="96">
        <f t="shared" si="30"/>
        <v>0</v>
      </c>
      <c r="U197" s="51"/>
    </row>
    <row r="198" spans="1:21" x14ac:dyDescent="0.25">
      <c r="A198" s="46">
        <f t="shared" si="25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9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31"/>
        <v>0</v>
      </c>
      <c r="P198" s="47" t="s">
        <v>711</v>
      </c>
      <c r="Q198" s="47"/>
      <c r="R198" s="95">
        <f t="shared" si="32"/>
        <v>0</v>
      </c>
      <c r="S198" s="95" t="str">
        <f t="shared" si="33"/>
        <v/>
      </c>
      <c r="T198" s="96">
        <f t="shared" si="30"/>
        <v>0</v>
      </c>
      <c r="U198" s="51"/>
    </row>
    <row r="199" spans="1:21" x14ac:dyDescent="0.25">
      <c r="A199" s="46">
        <f t="shared" si="25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31"/>
        <v>0</v>
      </c>
      <c r="P199" s="47" t="s">
        <v>711</v>
      </c>
      <c r="Q199" s="47"/>
      <c r="R199" s="95">
        <f t="shared" si="32"/>
        <v>0</v>
      </c>
      <c r="S199" s="95" t="str">
        <f t="shared" si="33"/>
        <v/>
      </c>
      <c r="T199" s="96">
        <f t="shared" si="30"/>
        <v>0</v>
      </c>
      <c r="U199" s="51"/>
    </row>
    <row r="200" spans="1:21" x14ac:dyDescent="0.25">
      <c r="A200" s="46">
        <f t="shared" si="25"/>
        <v>189</v>
      </c>
      <c r="B200" s="47"/>
      <c r="C200" s="5" t="s">
        <v>414</v>
      </c>
      <c r="D200" s="5" t="s">
        <v>412</v>
      </c>
      <c r="E200" s="6" t="s">
        <v>415</v>
      </c>
      <c r="F200" s="113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31"/>
        <v>0</v>
      </c>
      <c r="P200" s="47" t="s">
        <v>711</v>
      </c>
      <c r="Q200" s="47"/>
      <c r="R200" s="95">
        <f t="shared" si="32"/>
        <v>0</v>
      </c>
      <c r="S200" s="95" t="str">
        <f t="shared" si="33"/>
        <v/>
      </c>
      <c r="T200" s="96">
        <f t="shared" si="30"/>
        <v>0</v>
      </c>
      <c r="U200" s="51"/>
    </row>
    <row r="201" spans="1:21" x14ac:dyDescent="0.25">
      <c r="A201" s="46">
        <f t="shared" si="25"/>
        <v>190</v>
      </c>
      <c r="B201" s="47"/>
      <c r="C201" s="15" t="s">
        <v>689</v>
      </c>
      <c r="D201" s="15" t="s">
        <v>690</v>
      </c>
      <c r="E201" s="10" t="s">
        <v>691</v>
      </c>
      <c r="F201" s="113"/>
      <c r="G201" s="15"/>
      <c r="H201" s="49"/>
      <c r="I201" s="47"/>
      <c r="J201" s="47"/>
      <c r="K201" s="47"/>
      <c r="L201" s="47"/>
      <c r="M201" s="47"/>
      <c r="N201" s="47"/>
      <c r="O201" s="94">
        <f t="shared" si="31"/>
        <v>0</v>
      </c>
      <c r="P201" s="47" t="s">
        <v>711</v>
      </c>
      <c r="Q201" s="47"/>
      <c r="R201" s="95">
        <f t="shared" si="32"/>
        <v>0</v>
      </c>
      <c r="S201" s="95" t="str">
        <f t="shared" si="33"/>
        <v/>
      </c>
      <c r="T201" s="96">
        <f t="shared" si="30"/>
        <v>0</v>
      </c>
      <c r="U201" s="51"/>
    </row>
    <row r="202" spans="1:21" x14ac:dyDescent="0.25">
      <c r="A202" s="46">
        <f t="shared" si="25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34">T202*N202</f>
        <v>0</v>
      </c>
      <c r="P202" s="50"/>
      <c r="Q202" s="50"/>
      <c r="R202" s="95" t="str">
        <f t="shared" ref="R202:R203" si="35">IF(OR(P202="c",P202="C"),+T202,"")</f>
        <v/>
      </c>
      <c r="S202" s="95" t="str">
        <f t="shared" ref="S202:S203" si="36">IF(OR(P202="$",N202=1),+T202,"")</f>
        <v/>
      </c>
      <c r="T202" s="96">
        <f t="shared" ref="T202:T203" si="3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5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34"/>
        <v>0</v>
      </c>
      <c r="P203" s="50"/>
      <c r="Q203" s="50"/>
      <c r="R203" s="95" t="str">
        <f t="shared" si="35"/>
        <v/>
      </c>
      <c r="S203" s="95" t="str">
        <f t="shared" si="36"/>
        <v/>
      </c>
      <c r="T203" s="96">
        <f t="shared" si="37"/>
        <v>0</v>
      </c>
      <c r="U203" s="51"/>
    </row>
    <row r="204" spans="1:21" x14ac:dyDescent="0.25">
      <c r="A204" s="46">
        <f t="shared" ref="A204:A267" si="3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9">T204*N204</f>
        <v>0</v>
      </c>
      <c r="P204" s="50"/>
      <c r="Q204" s="50"/>
      <c r="R204" s="95" t="str">
        <f t="shared" ref="R204:R267" si="40">IF(OR(P204="c",P204="C"),+T204,"")</f>
        <v/>
      </c>
      <c r="S204" s="95" t="str">
        <f t="shared" ref="S204:S267" si="41">IF(OR(P204="$",N204=1),+T204,"")</f>
        <v/>
      </c>
      <c r="T204" s="96">
        <f t="shared" ref="T204:T267" si="4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9"/>
        <v>0</v>
      </c>
      <c r="P205" s="50"/>
      <c r="Q205" s="50"/>
      <c r="R205" s="95" t="str">
        <f t="shared" si="40"/>
        <v/>
      </c>
      <c r="S205" s="95" t="str">
        <f t="shared" si="41"/>
        <v/>
      </c>
      <c r="T205" s="96">
        <f t="shared" si="42"/>
        <v>0</v>
      </c>
      <c r="U205" s="51"/>
    </row>
    <row r="206" spans="1:21" x14ac:dyDescent="0.25">
      <c r="A206" s="46">
        <f t="shared" si="3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9"/>
        <v>0</v>
      </c>
      <c r="P206" s="50"/>
      <c r="Q206" s="50"/>
      <c r="R206" s="95" t="str">
        <f t="shared" si="40"/>
        <v/>
      </c>
      <c r="S206" s="95" t="str">
        <f t="shared" si="41"/>
        <v/>
      </c>
      <c r="T206" s="96">
        <f t="shared" si="42"/>
        <v>0</v>
      </c>
      <c r="U206" s="51"/>
    </row>
    <row r="207" spans="1:21" x14ac:dyDescent="0.25">
      <c r="A207" s="46">
        <f t="shared" si="3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9"/>
        <v>0</v>
      </c>
      <c r="P207" s="50"/>
      <c r="Q207" s="50"/>
      <c r="R207" s="95" t="str">
        <f t="shared" si="40"/>
        <v/>
      </c>
      <c r="S207" s="95" t="str">
        <f t="shared" si="41"/>
        <v/>
      </c>
      <c r="T207" s="96">
        <f t="shared" si="42"/>
        <v>0</v>
      </c>
      <c r="U207" s="51"/>
    </row>
    <row r="208" spans="1:21" x14ac:dyDescent="0.25">
      <c r="A208" s="46">
        <f t="shared" si="3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9"/>
        <v>0</v>
      </c>
      <c r="P208" s="50"/>
      <c r="Q208" s="50"/>
      <c r="R208" s="95" t="str">
        <f t="shared" si="40"/>
        <v/>
      </c>
      <c r="S208" s="95" t="str">
        <f t="shared" si="41"/>
        <v/>
      </c>
      <c r="T208" s="96">
        <f t="shared" si="42"/>
        <v>0</v>
      </c>
      <c r="U208" s="51"/>
    </row>
    <row r="209" spans="1:21" x14ac:dyDescent="0.25">
      <c r="A209" s="46">
        <f t="shared" si="3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9"/>
        <v>0</v>
      </c>
      <c r="P209" s="50"/>
      <c r="Q209" s="50"/>
      <c r="R209" s="95" t="str">
        <f t="shared" si="40"/>
        <v/>
      </c>
      <c r="S209" s="95" t="str">
        <f t="shared" si="41"/>
        <v/>
      </c>
      <c r="T209" s="96">
        <f t="shared" si="42"/>
        <v>0</v>
      </c>
      <c r="U209" s="51"/>
    </row>
    <row r="210" spans="1:21" x14ac:dyDescent="0.25">
      <c r="A210" s="46">
        <f t="shared" si="3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9"/>
        <v>0</v>
      </c>
      <c r="P210" s="50"/>
      <c r="Q210" s="50"/>
      <c r="R210" s="95" t="str">
        <f t="shared" si="40"/>
        <v/>
      </c>
      <c r="S210" s="95" t="str">
        <f t="shared" si="41"/>
        <v/>
      </c>
      <c r="T210" s="96">
        <f t="shared" si="42"/>
        <v>0</v>
      </c>
      <c r="U210" s="51"/>
    </row>
    <row r="211" spans="1:21" x14ac:dyDescent="0.25">
      <c r="A211" s="46">
        <f t="shared" si="3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9"/>
        <v>0</v>
      </c>
      <c r="P211" s="50"/>
      <c r="Q211" s="50"/>
      <c r="R211" s="95" t="str">
        <f t="shared" si="40"/>
        <v/>
      </c>
      <c r="S211" s="95" t="str">
        <f t="shared" si="41"/>
        <v/>
      </c>
      <c r="T211" s="96">
        <f t="shared" si="42"/>
        <v>0</v>
      </c>
      <c r="U211" s="51"/>
    </row>
    <row r="212" spans="1:21" x14ac:dyDescent="0.25">
      <c r="A212" s="46">
        <f t="shared" si="3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9"/>
        <v>0</v>
      </c>
      <c r="P212" s="50"/>
      <c r="Q212" s="50"/>
      <c r="R212" s="95" t="str">
        <f t="shared" si="40"/>
        <v/>
      </c>
      <c r="S212" s="95" t="str">
        <f t="shared" si="41"/>
        <v/>
      </c>
      <c r="T212" s="96">
        <f t="shared" si="42"/>
        <v>0</v>
      </c>
      <c r="U212" s="51"/>
    </row>
    <row r="213" spans="1:21" x14ac:dyDescent="0.25">
      <c r="A213" s="46">
        <f t="shared" si="3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9"/>
        <v>0</v>
      </c>
      <c r="P213" s="50"/>
      <c r="Q213" s="50"/>
      <c r="R213" s="95" t="str">
        <f t="shared" si="40"/>
        <v/>
      </c>
      <c r="S213" s="95" t="str">
        <f t="shared" si="41"/>
        <v/>
      </c>
      <c r="T213" s="96">
        <f t="shared" si="42"/>
        <v>0</v>
      </c>
      <c r="U213" s="51"/>
    </row>
    <row r="214" spans="1:21" x14ac:dyDescent="0.25">
      <c r="A214" s="46">
        <f t="shared" si="3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9"/>
        <v>0</v>
      </c>
      <c r="P214" s="50"/>
      <c r="Q214" s="50"/>
      <c r="R214" s="95" t="str">
        <f t="shared" si="40"/>
        <v/>
      </c>
      <c r="S214" s="95" t="str">
        <f t="shared" si="41"/>
        <v/>
      </c>
      <c r="T214" s="96">
        <f t="shared" si="42"/>
        <v>0</v>
      </c>
      <c r="U214" s="51"/>
    </row>
    <row r="215" spans="1:21" x14ac:dyDescent="0.25">
      <c r="A215" s="46">
        <f t="shared" si="3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9"/>
        <v>0</v>
      </c>
      <c r="P215" s="50"/>
      <c r="Q215" s="50"/>
      <c r="R215" s="95" t="str">
        <f t="shared" si="40"/>
        <v/>
      </c>
      <c r="S215" s="95" t="str">
        <f t="shared" si="41"/>
        <v/>
      </c>
      <c r="T215" s="96">
        <f t="shared" si="42"/>
        <v>0</v>
      </c>
      <c r="U215" s="51"/>
    </row>
    <row r="216" spans="1:21" x14ac:dyDescent="0.25">
      <c r="A216" s="46">
        <f t="shared" si="3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9"/>
        <v>0</v>
      </c>
      <c r="P216" s="50"/>
      <c r="Q216" s="50"/>
      <c r="R216" s="95" t="str">
        <f t="shared" si="40"/>
        <v/>
      </c>
      <c r="S216" s="95" t="str">
        <f t="shared" si="41"/>
        <v/>
      </c>
      <c r="T216" s="96">
        <f t="shared" si="42"/>
        <v>0</v>
      </c>
      <c r="U216" s="51"/>
    </row>
    <row r="217" spans="1:21" x14ac:dyDescent="0.25">
      <c r="A217" s="46">
        <f t="shared" si="3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9"/>
        <v>0</v>
      </c>
      <c r="P217" s="50"/>
      <c r="Q217" s="50"/>
      <c r="R217" s="95" t="str">
        <f t="shared" si="40"/>
        <v/>
      </c>
      <c r="S217" s="95" t="str">
        <f t="shared" si="41"/>
        <v/>
      </c>
      <c r="T217" s="96">
        <f t="shared" si="42"/>
        <v>0</v>
      </c>
      <c r="U217" s="51"/>
    </row>
    <row r="218" spans="1:21" x14ac:dyDescent="0.25">
      <c r="A218" s="46">
        <f t="shared" si="3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9"/>
        <v>0</v>
      </c>
      <c r="P218" s="50"/>
      <c r="Q218" s="50"/>
      <c r="R218" s="95" t="str">
        <f t="shared" si="40"/>
        <v/>
      </c>
      <c r="S218" s="95" t="str">
        <f t="shared" si="41"/>
        <v/>
      </c>
      <c r="T218" s="96">
        <f t="shared" si="42"/>
        <v>0</v>
      </c>
      <c r="U218" s="51"/>
    </row>
    <row r="219" spans="1:21" x14ac:dyDescent="0.25">
      <c r="A219" s="46">
        <f t="shared" si="3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9"/>
        <v>0</v>
      </c>
      <c r="P219" s="50"/>
      <c r="Q219" s="50"/>
      <c r="R219" s="95" t="str">
        <f t="shared" si="40"/>
        <v/>
      </c>
      <c r="S219" s="95" t="str">
        <f t="shared" si="41"/>
        <v/>
      </c>
      <c r="T219" s="96">
        <f t="shared" si="42"/>
        <v>0</v>
      </c>
      <c r="U219" s="51"/>
    </row>
    <row r="220" spans="1:21" x14ac:dyDescent="0.25">
      <c r="A220" s="46">
        <f t="shared" si="3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9"/>
        <v>0</v>
      </c>
      <c r="P220" s="50"/>
      <c r="Q220" s="50"/>
      <c r="R220" s="95" t="str">
        <f t="shared" si="40"/>
        <v/>
      </c>
      <c r="S220" s="95" t="str">
        <f t="shared" si="41"/>
        <v/>
      </c>
      <c r="T220" s="96">
        <f t="shared" si="42"/>
        <v>0</v>
      </c>
      <c r="U220" s="51"/>
    </row>
    <row r="221" spans="1:21" x14ac:dyDescent="0.25">
      <c r="A221" s="46">
        <f t="shared" si="3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9"/>
        <v>0</v>
      </c>
      <c r="P221" s="50"/>
      <c r="Q221" s="50"/>
      <c r="R221" s="95" t="str">
        <f t="shared" si="40"/>
        <v/>
      </c>
      <c r="S221" s="95" t="str">
        <f t="shared" si="41"/>
        <v/>
      </c>
      <c r="T221" s="96">
        <f t="shared" si="42"/>
        <v>0</v>
      </c>
      <c r="U221" s="51"/>
    </row>
    <row r="222" spans="1:21" x14ac:dyDescent="0.25">
      <c r="A222" s="46">
        <f t="shared" si="3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9"/>
        <v>0</v>
      </c>
      <c r="P222" s="50"/>
      <c r="Q222" s="50"/>
      <c r="R222" s="95" t="str">
        <f t="shared" si="40"/>
        <v/>
      </c>
      <c r="S222" s="95" t="str">
        <f t="shared" si="41"/>
        <v/>
      </c>
      <c r="T222" s="96">
        <f t="shared" si="42"/>
        <v>0</v>
      </c>
      <c r="U222" s="51"/>
    </row>
    <row r="223" spans="1:21" x14ac:dyDescent="0.25">
      <c r="A223" s="46">
        <f t="shared" si="3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9"/>
        <v>0</v>
      </c>
      <c r="P223" s="50"/>
      <c r="Q223" s="50"/>
      <c r="R223" s="95" t="str">
        <f t="shared" si="40"/>
        <v/>
      </c>
      <c r="S223" s="95" t="str">
        <f t="shared" si="41"/>
        <v/>
      </c>
      <c r="T223" s="96">
        <f t="shared" si="42"/>
        <v>0</v>
      </c>
      <c r="U223" s="51"/>
    </row>
    <row r="224" spans="1:21" x14ac:dyDescent="0.25">
      <c r="A224" s="46">
        <f t="shared" si="3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9"/>
        <v>0</v>
      </c>
      <c r="P224" s="50"/>
      <c r="Q224" s="50"/>
      <c r="R224" s="95" t="str">
        <f t="shared" si="40"/>
        <v/>
      </c>
      <c r="S224" s="95" t="str">
        <f t="shared" si="41"/>
        <v/>
      </c>
      <c r="T224" s="96">
        <f t="shared" si="42"/>
        <v>0</v>
      </c>
      <c r="U224" s="51"/>
    </row>
    <row r="225" spans="1:21" x14ac:dyDescent="0.25">
      <c r="A225" s="46">
        <f t="shared" si="3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9"/>
        <v>0</v>
      </c>
      <c r="P225" s="50"/>
      <c r="Q225" s="50"/>
      <c r="R225" s="95" t="str">
        <f t="shared" si="40"/>
        <v/>
      </c>
      <c r="S225" s="95" t="str">
        <f t="shared" si="41"/>
        <v/>
      </c>
      <c r="T225" s="96">
        <f t="shared" si="42"/>
        <v>0</v>
      </c>
      <c r="U225" s="51"/>
    </row>
    <row r="226" spans="1:21" x14ac:dyDescent="0.25">
      <c r="A226" s="46">
        <f t="shared" si="3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9"/>
        <v>0</v>
      </c>
      <c r="P226" s="50"/>
      <c r="Q226" s="50"/>
      <c r="R226" s="95" t="str">
        <f t="shared" si="40"/>
        <v/>
      </c>
      <c r="S226" s="95" t="str">
        <f t="shared" si="41"/>
        <v/>
      </c>
      <c r="T226" s="96">
        <f t="shared" si="42"/>
        <v>0</v>
      </c>
      <c r="U226" s="51"/>
    </row>
    <row r="227" spans="1:21" x14ac:dyDescent="0.25">
      <c r="A227" s="46">
        <f t="shared" si="3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9"/>
        <v>0</v>
      </c>
      <c r="P227" s="50"/>
      <c r="Q227" s="50"/>
      <c r="R227" s="95" t="str">
        <f t="shared" si="40"/>
        <v/>
      </c>
      <c r="S227" s="95" t="str">
        <f t="shared" si="41"/>
        <v/>
      </c>
      <c r="T227" s="96">
        <f t="shared" si="42"/>
        <v>0</v>
      </c>
      <c r="U227" s="51"/>
    </row>
    <row r="228" spans="1:21" x14ac:dyDescent="0.25">
      <c r="A228" s="46">
        <f t="shared" si="3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9"/>
        <v>0</v>
      </c>
      <c r="P228" s="50"/>
      <c r="Q228" s="50"/>
      <c r="R228" s="95" t="str">
        <f t="shared" si="40"/>
        <v/>
      </c>
      <c r="S228" s="95" t="str">
        <f t="shared" si="41"/>
        <v/>
      </c>
      <c r="T228" s="96">
        <f t="shared" si="42"/>
        <v>0</v>
      </c>
      <c r="U228" s="51"/>
    </row>
    <row r="229" spans="1:21" x14ac:dyDescent="0.25">
      <c r="A229" s="46">
        <f t="shared" si="3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9"/>
        <v>0</v>
      </c>
      <c r="P229" s="50"/>
      <c r="Q229" s="50"/>
      <c r="R229" s="95" t="str">
        <f t="shared" si="40"/>
        <v/>
      </c>
      <c r="S229" s="95" t="str">
        <f t="shared" si="41"/>
        <v/>
      </c>
      <c r="T229" s="96">
        <f t="shared" si="42"/>
        <v>0</v>
      </c>
      <c r="U229" s="51"/>
    </row>
    <row r="230" spans="1:21" x14ac:dyDescent="0.25">
      <c r="A230" s="46">
        <f t="shared" si="3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9"/>
        <v>0</v>
      </c>
      <c r="P230" s="50"/>
      <c r="Q230" s="50"/>
      <c r="R230" s="95" t="str">
        <f t="shared" si="40"/>
        <v/>
      </c>
      <c r="S230" s="95" t="str">
        <f t="shared" si="41"/>
        <v/>
      </c>
      <c r="T230" s="96">
        <f t="shared" si="42"/>
        <v>0</v>
      </c>
      <c r="U230" s="51"/>
    </row>
    <row r="231" spans="1:21" x14ac:dyDescent="0.25">
      <c r="A231" s="46">
        <f t="shared" si="3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9"/>
        <v>0</v>
      </c>
      <c r="P231" s="50"/>
      <c r="Q231" s="50"/>
      <c r="R231" s="95" t="str">
        <f t="shared" si="40"/>
        <v/>
      </c>
      <c r="S231" s="95" t="str">
        <f t="shared" si="41"/>
        <v/>
      </c>
      <c r="T231" s="96">
        <f t="shared" si="42"/>
        <v>0</v>
      </c>
      <c r="U231" s="51"/>
    </row>
    <row r="232" spans="1:21" x14ac:dyDescent="0.25">
      <c r="A232" s="46">
        <f t="shared" si="3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9"/>
        <v>0</v>
      </c>
      <c r="P232" s="50"/>
      <c r="Q232" s="50"/>
      <c r="R232" s="95" t="str">
        <f t="shared" si="40"/>
        <v/>
      </c>
      <c r="S232" s="95" t="str">
        <f t="shared" si="41"/>
        <v/>
      </c>
      <c r="T232" s="96">
        <f t="shared" si="42"/>
        <v>0</v>
      </c>
      <c r="U232" s="51"/>
    </row>
    <row r="233" spans="1:21" x14ac:dyDescent="0.25">
      <c r="A233" s="46">
        <f t="shared" si="3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9"/>
        <v>0</v>
      </c>
      <c r="P233" s="50"/>
      <c r="Q233" s="50"/>
      <c r="R233" s="95" t="str">
        <f t="shared" si="40"/>
        <v/>
      </c>
      <c r="S233" s="95" t="str">
        <f t="shared" si="41"/>
        <v/>
      </c>
      <c r="T233" s="96">
        <f t="shared" si="42"/>
        <v>0</v>
      </c>
      <c r="U233" s="51"/>
    </row>
    <row r="234" spans="1:21" x14ac:dyDescent="0.25">
      <c r="A234" s="46">
        <f t="shared" si="3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9"/>
        <v>0</v>
      </c>
      <c r="P234" s="50"/>
      <c r="Q234" s="50"/>
      <c r="R234" s="95" t="str">
        <f t="shared" si="40"/>
        <v/>
      </c>
      <c r="S234" s="95" t="str">
        <f t="shared" si="41"/>
        <v/>
      </c>
      <c r="T234" s="96">
        <f t="shared" si="42"/>
        <v>0</v>
      </c>
      <c r="U234" s="51"/>
    </row>
    <row r="235" spans="1:21" x14ac:dyDescent="0.25">
      <c r="A235" s="46">
        <f t="shared" si="3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9"/>
        <v>0</v>
      </c>
      <c r="P235" s="50"/>
      <c r="Q235" s="50"/>
      <c r="R235" s="95" t="str">
        <f t="shared" si="40"/>
        <v/>
      </c>
      <c r="S235" s="95" t="str">
        <f t="shared" si="41"/>
        <v/>
      </c>
      <c r="T235" s="96">
        <f t="shared" si="42"/>
        <v>0</v>
      </c>
      <c r="U235" s="51"/>
    </row>
    <row r="236" spans="1:21" x14ac:dyDescent="0.25">
      <c r="A236" s="46">
        <f t="shared" si="3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9"/>
        <v>0</v>
      </c>
      <c r="P236" s="50"/>
      <c r="Q236" s="50"/>
      <c r="R236" s="95" t="str">
        <f t="shared" si="40"/>
        <v/>
      </c>
      <c r="S236" s="95" t="str">
        <f t="shared" si="41"/>
        <v/>
      </c>
      <c r="T236" s="96">
        <f t="shared" si="42"/>
        <v>0</v>
      </c>
      <c r="U236" s="51"/>
    </row>
    <row r="237" spans="1:21" x14ac:dyDescent="0.25">
      <c r="A237" s="46">
        <f t="shared" si="3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9"/>
        <v>0</v>
      </c>
      <c r="P237" s="50"/>
      <c r="Q237" s="50"/>
      <c r="R237" s="95" t="str">
        <f t="shared" si="40"/>
        <v/>
      </c>
      <c r="S237" s="95" t="str">
        <f t="shared" si="41"/>
        <v/>
      </c>
      <c r="T237" s="96">
        <f t="shared" si="42"/>
        <v>0</v>
      </c>
      <c r="U237" s="51"/>
    </row>
    <row r="238" spans="1:21" x14ac:dyDescent="0.25">
      <c r="A238" s="46">
        <f t="shared" si="3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9"/>
        <v>0</v>
      </c>
      <c r="P238" s="50"/>
      <c r="Q238" s="50"/>
      <c r="R238" s="95" t="str">
        <f t="shared" si="40"/>
        <v/>
      </c>
      <c r="S238" s="95" t="str">
        <f t="shared" si="41"/>
        <v/>
      </c>
      <c r="T238" s="96">
        <f t="shared" si="42"/>
        <v>0</v>
      </c>
      <c r="U238" s="51"/>
    </row>
    <row r="239" spans="1:21" x14ac:dyDescent="0.25">
      <c r="A239" s="46">
        <f t="shared" si="3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9"/>
        <v>0</v>
      </c>
      <c r="P239" s="50"/>
      <c r="Q239" s="50"/>
      <c r="R239" s="95" t="str">
        <f t="shared" si="40"/>
        <v/>
      </c>
      <c r="S239" s="95" t="str">
        <f t="shared" si="41"/>
        <v/>
      </c>
      <c r="T239" s="96">
        <f t="shared" si="42"/>
        <v>0</v>
      </c>
      <c r="U239" s="51"/>
    </row>
    <row r="240" spans="1:21" x14ac:dyDescent="0.25">
      <c r="A240" s="46">
        <f t="shared" si="3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9"/>
        <v>0</v>
      </c>
      <c r="P240" s="50"/>
      <c r="Q240" s="50"/>
      <c r="R240" s="95" t="str">
        <f t="shared" si="40"/>
        <v/>
      </c>
      <c r="S240" s="95" t="str">
        <f t="shared" si="41"/>
        <v/>
      </c>
      <c r="T240" s="96">
        <f t="shared" si="42"/>
        <v>0</v>
      </c>
      <c r="U240" s="51"/>
    </row>
    <row r="241" spans="1:21" x14ac:dyDescent="0.25">
      <c r="A241" s="46">
        <f t="shared" si="3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9"/>
        <v>0</v>
      </c>
      <c r="P241" s="50"/>
      <c r="Q241" s="50"/>
      <c r="R241" s="95" t="str">
        <f t="shared" si="40"/>
        <v/>
      </c>
      <c r="S241" s="95" t="str">
        <f t="shared" si="41"/>
        <v/>
      </c>
      <c r="T241" s="96">
        <f t="shared" si="42"/>
        <v>0</v>
      </c>
      <c r="U241" s="51"/>
    </row>
    <row r="242" spans="1:21" x14ac:dyDescent="0.25">
      <c r="A242" s="46">
        <f t="shared" si="3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9"/>
        <v>0</v>
      </c>
      <c r="P242" s="50"/>
      <c r="Q242" s="50"/>
      <c r="R242" s="95" t="str">
        <f t="shared" si="40"/>
        <v/>
      </c>
      <c r="S242" s="95" t="str">
        <f t="shared" si="41"/>
        <v/>
      </c>
      <c r="T242" s="96">
        <f t="shared" si="42"/>
        <v>0</v>
      </c>
      <c r="U242" s="51"/>
    </row>
    <row r="243" spans="1:21" x14ac:dyDescent="0.25">
      <c r="A243" s="46">
        <f t="shared" si="3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9"/>
        <v>0</v>
      </c>
      <c r="P243" s="50"/>
      <c r="Q243" s="50"/>
      <c r="R243" s="95" t="str">
        <f t="shared" si="40"/>
        <v/>
      </c>
      <c r="S243" s="95" t="str">
        <f t="shared" si="41"/>
        <v/>
      </c>
      <c r="T243" s="96">
        <f t="shared" si="42"/>
        <v>0</v>
      </c>
      <c r="U243" s="51"/>
    </row>
    <row r="244" spans="1:21" x14ac:dyDescent="0.25">
      <c r="A244" s="46">
        <f t="shared" si="3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9"/>
        <v>0</v>
      </c>
      <c r="P244" s="50"/>
      <c r="Q244" s="50"/>
      <c r="R244" s="95" t="str">
        <f t="shared" si="40"/>
        <v/>
      </c>
      <c r="S244" s="95" t="str">
        <f t="shared" si="41"/>
        <v/>
      </c>
      <c r="T244" s="96">
        <f t="shared" si="42"/>
        <v>0</v>
      </c>
      <c r="U244" s="51"/>
    </row>
    <row r="245" spans="1:21" x14ac:dyDescent="0.25">
      <c r="A245" s="46">
        <f t="shared" si="3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9"/>
        <v>0</v>
      </c>
      <c r="P245" s="50"/>
      <c r="Q245" s="50"/>
      <c r="R245" s="95" t="str">
        <f t="shared" si="40"/>
        <v/>
      </c>
      <c r="S245" s="95" t="str">
        <f t="shared" si="41"/>
        <v/>
      </c>
      <c r="T245" s="96">
        <f t="shared" si="42"/>
        <v>0</v>
      </c>
      <c r="U245" s="51"/>
    </row>
    <row r="246" spans="1:21" x14ac:dyDescent="0.25">
      <c r="A246" s="46">
        <f t="shared" si="3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9"/>
        <v>0</v>
      </c>
      <c r="P246" s="50"/>
      <c r="Q246" s="50"/>
      <c r="R246" s="95" t="str">
        <f t="shared" si="40"/>
        <v/>
      </c>
      <c r="S246" s="95" t="str">
        <f t="shared" si="41"/>
        <v/>
      </c>
      <c r="T246" s="96">
        <f t="shared" si="42"/>
        <v>0</v>
      </c>
      <c r="U246" s="51"/>
    </row>
    <row r="247" spans="1:21" x14ac:dyDescent="0.25">
      <c r="A247" s="46">
        <f t="shared" si="3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9"/>
        <v>0</v>
      </c>
      <c r="P247" s="50"/>
      <c r="Q247" s="50"/>
      <c r="R247" s="95" t="str">
        <f t="shared" si="40"/>
        <v/>
      </c>
      <c r="S247" s="95" t="str">
        <f t="shared" si="41"/>
        <v/>
      </c>
      <c r="T247" s="96">
        <f t="shared" si="42"/>
        <v>0</v>
      </c>
      <c r="U247" s="51"/>
    </row>
    <row r="248" spans="1:21" x14ac:dyDescent="0.25">
      <c r="A248" s="46">
        <f t="shared" si="3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9"/>
        <v>0</v>
      </c>
      <c r="P248" s="50"/>
      <c r="Q248" s="50"/>
      <c r="R248" s="95" t="str">
        <f t="shared" si="40"/>
        <v/>
      </c>
      <c r="S248" s="95" t="str">
        <f t="shared" si="41"/>
        <v/>
      </c>
      <c r="T248" s="96">
        <f t="shared" si="42"/>
        <v>0</v>
      </c>
      <c r="U248" s="51"/>
    </row>
    <row r="249" spans="1:21" x14ac:dyDescent="0.25">
      <c r="A249" s="46">
        <f t="shared" si="3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9"/>
        <v>0</v>
      </c>
      <c r="P249" s="50"/>
      <c r="Q249" s="50"/>
      <c r="R249" s="95" t="str">
        <f t="shared" si="40"/>
        <v/>
      </c>
      <c r="S249" s="95" t="str">
        <f t="shared" si="41"/>
        <v/>
      </c>
      <c r="T249" s="96">
        <f t="shared" si="42"/>
        <v>0</v>
      </c>
      <c r="U249" s="51"/>
    </row>
    <row r="250" spans="1:21" x14ac:dyDescent="0.25">
      <c r="A250" s="46">
        <f t="shared" si="3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9"/>
        <v>0</v>
      </c>
      <c r="P250" s="50"/>
      <c r="Q250" s="50"/>
      <c r="R250" s="95" t="str">
        <f t="shared" si="40"/>
        <v/>
      </c>
      <c r="S250" s="95" t="str">
        <f t="shared" si="41"/>
        <v/>
      </c>
      <c r="T250" s="96">
        <f t="shared" si="42"/>
        <v>0</v>
      </c>
      <c r="U250" s="51"/>
    </row>
    <row r="251" spans="1:21" x14ac:dyDescent="0.25">
      <c r="A251" s="46">
        <f t="shared" si="3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9"/>
        <v>0</v>
      </c>
      <c r="P251" s="50"/>
      <c r="Q251" s="50"/>
      <c r="R251" s="95" t="str">
        <f t="shared" si="40"/>
        <v/>
      </c>
      <c r="S251" s="95" t="str">
        <f t="shared" si="41"/>
        <v/>
      </c>
      <c r="T251" s="96">
        <f t="shared" si="42"/>
        <v>0</v>
      </c>
      <c r="U251" s="51"/>
    </row>
    <row r="252" spans="1:21" x14ac:dyDescent="0.25">
      <c r="A252" s="46">
        <f t="shared" si="3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9"/>
        <v>0</v>
      </c>
      <c r="P252" s="50"/>
      <c r="Q252" s="50"/>
      <c r="R252" s="95" t="str">
        <f t="shared" si="40"/>
        <v/>
      </c>
      <c r="S252" s="95" t="str">
        <f t="shared" si="41"/>
        <v/>
      </c>
      <c r="T252" s="96">
        <f t="shared" si="42"/>
        <v>0</v>
      </c>
      <c r="U252" s="51"/>
    </row>
    <row r="253" spans="1:21" x14ac:dyDescent="0.25">
      <c r="A253" s="46">
        <f t="shared" si="3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9"/>
        <v>0</v>
      </c>
      <c r="P253" s="50"/>
      <c r="Q253" s="50"/>
      <c r="R253" s="95" t="str">
        <f t="shared" si="40"/>
        <v/>
      </c>
      <c r="S253" s="95" t="str">
        <f t="shared" si="41"/>
        <v/>
      </c>
      <c r="T253" s="96">
        <f t="shared" si="42"/>
        <v>0</v>
      </c>
      <c r="U253" s="51"/>
    </row>
    <row r="254" spans="1:21" x14ac:dyDescent="0.25">
      <c r="A254" s="46">
        <f t="shared" si="3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9"/>
        <v>0</v>
      </c>
      <c r="P254" s="50"/>
      <c r="Q254" s="50"/>
      <c r="R254" s="95" t="str">
        <f t="shared" si="40"/>
        <v/>
      </c>
      <c r="S254" s="95" t="str">
        <f t="shared" si="41"/>
        <v/>
      </c>
      <c r="T254" s="96">
        <f t="shared" si="42"/>
        <v>0</v>
      </c>
      <c r="U254" s="51"/>
    </row>
    <row r="255" spans="1:21" x14ac:dyDescent="0.25">
      <c r="A255" s="46">
        <f t="shared" si="3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9"/>
        <v>0</v>
      </c>
      <c r="P255" s="50"/>
      <c r="Q255" s="50"/>
      <c r="R255" s="95" t="str">
        <f t="shared" si="40"/>
        <v/>
      </c>
      <c r="S255" s="95" t="str">
        <f t="shared" si="41"/>
        <v/>
      </c>
      <c r="T255" s="96">
        <f t="shared" si="42"/>
        <v>0</v>
      </c>
      <c r="U255" s="51"/>
    </row>
    <row r="256" spans="1:21" x14ac:dyDescent="0.25">
      <c r="A256" s="46">
        <f t="shared" si="3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9"/>
        <v>0</v>
      </c>
      <c r="P256" s="50"/>
      <c r="Q256" s="50"/>
      <c r="R256" s="95" t="str">
        <f t="shared" si="40"/>
        <v/>
      </c>
      <c r="S256" s="95" t="str">
        <f t="shared" si="41"/>
        <v/>
      </c>
      <c r="T256" s="96">
        <f t="shared" si="42"/>
        <v>0</v>
      </c>
      <c r="U256" s="51"/>
    </row>
    <row r="257" spans="1:21" x14ac:dyDescent="0.25">
      <c r="A257" s="46">
        <f t="shared" si="3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9"/>
        <v>0</v>
      </c>
      <c r="P257" s="50"/>
      <c r="Q257" s="50"/>
      <c r="R257" s="95" t="str">
        <f t="shared" si="40"/>
        <v/>
      </c>
      <c r="S257" s="95" t="str">
        <f t="shared" si="41"/>
        <v/>
      </c>
      <c r="T257" s="96">
        <f t="shared" si="42"/>
        <v>0</v>
      </c>
      <c r="U257" s="51"/>
    </row>
    <row r="258" spans="1:21" x14ac:dyDescent="0.25">
      <c r="A258" s="46">
        <f t="shared" si="3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9"/>
        <v>0</v>
      </c>
      <c r="P258" s="50"/>
      <c r="Q258" s="50"/>
      <c r="R258" s="95" t="str">
        <f t="shared" si="40"/>
        <v/>
      </c>
      <c r="S258" s="95" t="str">
        <f t="shared" si="41"/>
        <v/>
      </c>
      <c r="T258" s="96">
        <f t="shared" si="42"/>
        <v>0</v>
      </c>
      <c r="U258" s="51"/>
    </row>
    <row r="259" spans="1:21" x14ac:dyDescent="0.25">
      <c r="A259" s="46">
        <f t="shared" si="3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9"/>
        <v>0</v>
      </c>
      <c r="P259" s="50"/>
      <c r="Q259" s="50"/>
      <c r="R259" s="95" t="str">
        <f t="shared" si="40"/>
        <v/>
      </c>
      <c r="S259" s="95" t="str">
        <f t="shared" si="41"/>
        <v/>
      </c>
      <c r="T259" s="96">
        <f t="shared" si="42"/>
        <v>0</v>
      </c>
      <c r="U259" s="51"/>
    </row>
    <row r="260" spans="1:21" x14ac:dyDescent="0.25">
      <c r="A260" s="46">
        <f t="shared" si="3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9"/>
        <v>0</v>
      </c>
      <c r="P260" s="50"/>
      <c r="Q260" s="50"/>
      <c r="R260" s="95" t="str">
        <f t="shared" si="40"/>
        <v/>
      </c>
      <c r="S260" s="95" t="str">
        <f t="shared" si="41"/>
        <v/>
      </c>
      <c r="T260" s="96">
        <f t="shared" si="42"/>
        <v>0</v>
      </c>
      <c r="U260" s="51"/>
    </row>
    <row r="261" spans="1:21" x14ac:dyDescent="0.25">
      <c r="A261" s="46">
        <f t="shared" si="3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9"/>
        <v>0</v>
      </c>
      <c r="P261" s="50"/>
      <c r="Q261" s="50"/>
      <c r="R261" s="95" t="str">
        <f t="shared" si="40"/>
        <v/>
      </c>
      <c r="S261" s="95" t="str">
        <f t="shared" si="41"/>
        <v/>
      </c>
      <c r="T261" s="96">
        <f t="shared" si="42"/>
        <v>0</v>
      </c>
      <c r="U261" s="51"/>
    </row>
    <row r="262" spans="1:21" x14ac:dyDescent="0.25">
      <c r="A262" s="46">
        <f t="shared" si="3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9"/>
        <v>0</v>
      </c>
      <c r="P262" s="50"/>
      <c r="Q262" s="50"/>
      <c r="R262" s="95" t="str">
        <f t="shared" si="40"/>
        <v/>
      </c>
      <c r="S262" s="95" t="str">
        <f t="shared" si="41"/>
        <v/>
      </c>
      <c r="T262" s="96">
        <f t="shared" si="42"/>
        <v>0</v>
      </c>
      <c r="U262" s="51"/>
    </row>
    <row r="263" spans="1:21" x14ac:dyDescent="0.25">
      <c r="A263" s="46">
        <f t="shared" si="3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9"/>
        <v>0</v>
      </c>
      <c r="P263" s="50"/>
      <c r="Q263" s="50"/>
      <c r="R263" s="95" t="str">
        <f t="shared" si="40"/>
        <v/>
      </c>
      <c r="S263" s="95" t="str">
        <f t="shared" si="41"/>
        <v/>
      </c>
      <c r="T263" s="96">
        <f t="shared" si="42"/>
        <v>0</v>
      </c>
      <c r="U263" s="51"/>
    </row>
    <row r="264" spans="1:21" x14ac:dyDescent="0.25">
      <c r="A264" s="46">
        <f t="shared" si="3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9"/>
        <v>0</v>
      </c>
      <c r="P264" s="50"/>
      <c r="Q264" s="50"/>
      <c r="R264" s="95" t="str">
        <f t="shared" si="40"/>
        <v/>
      </c>
      <c r="S264" s="95" t="str">
        <f t="shared" si="41"/>
        <v/>
      </c>
      <c r="T264" s="96">
        <f t="shared" si="42"/>
        <v>0</v>
      </c>
      <c r="U264" s="51"/>
    </row>
    <row r="265" spans="1:21" x14ac:dyDescent="0.25">
      <c r="A265" s="46">
        <f t="shared" si="3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9"/>
        <v>0</v>
      </c>
      <c r="P265" s="50"/>
      <c r="Q265" s="50"/>
      <c r="R265" s="95" t="str">
        <f t="shared" si="40"/>
        <v/>
      </c>
      <c r="S265" s="95" t="str">
        <f t="shared" si="41"/>
        <v/>
      </c>
      <c r="T265" s="96">
        <f t="shared" si="42"/>
        <v>0</v>
      </c>
      <c r="U265" s="51"/>
    </row>
    <row r="266" spans="1:21" x14ac:dyDescent="0.25">
      <c r="A266" s="46">
        <f t="shared" si="3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9"/>
        <v>0</v>
      </c>
      <c r="P266" s="50"/>
      <c r="Q266" s="50"/>
      <c r="R266" s="95" t="str">
        <f t="shared" si="40"/>
        <v/>
      </c>
      <c r="S266" s="95" t="str">
        <f t="shared" si="41"/>
        <v/>
      </c>
      <c r="T266" s="96">
        <f t="shared" si="42"/>
        <v>0</v>
      </c>
      <c r="U266" s="51"/>
    </row>
    <row r="267" spans="1:21" x14ac:dyDescent="0.25">
      <c r="A267" s="46">
        <f t="shared" si="3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9"/>
        <v>0</v>
      </c>
      <c r="P267" s="50"/>
      <c r="Q267" s="50"/>
      <c r="R267" s="95" t="str">
        <f t="shared" si="40"/>
        <v/>
      </c>
      <c r="S267" s="95" t="str">
        <f t="shared" si="41"/>
        <v/>
      </c>
      <c r="T267" s="96">
        <f t="shared" si="42"/>
        <v>0</v>
      </c>
      <c r="U267" s="51"/>
    </row>
    <row r="268" spans="1:21" x14ac:dyDescent="0.25">
      <c r="A268" s="46">
        <f t="shared" ref="A268:A331" si="4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44">T268*N268</f>
        <v>0</v>
      </c>
      <c r="P268" s="50"/>
      <c r="Q268" s="50"/>
      <c r="R268" s="95" t="str">
        <f t="shared" ref="R268:R331" si="45">IF(OR(P268="c",P268="C"),+T268,"")</f>
        <v/>
      </c>
      <c r="S268" s="95" t="str">
        <f t="shared" ref="S268:S331" si="46">IF(OR(P268="$",N268=1),+T268,"")</f>
        <v/>
      </c>
      <c r="T268" s="96">
        <f t="shared" ref="T268:T331" si="4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4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44"/>
        <v>0</v>
      </c>
      <c r="P269" s="50"/>
      <c r="Q269" s="50"/>
      <c r="R269" s="95" t="str">
        <f t="shared" si="45"/>
        <v/>
      </c>
      <c r="S269" s="95" t="str">
        <f t="shared" si="46"/>
        <v/>
      </c>
      <c r="T269" s="96">
        <f t="shared" si="47"/>
        <v>0</v>
      </c>
      <c r="U269" s="51"/>
    </row>
    <row r="270" spans="1:21" x14ac:dyDescent="0.25">
      <c r="A270" s="46">
        <f t="shared" si="4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44"/>
        <v>0</v>
      </c>
      <c r="P270" s="50"/>
      <c r="Q270" s="50"/>
      <c r="R270" s="95" t="str">
        <f t="shared" si="45"/>
        <v/>
      </c>
      <c r="S270" s="95" t="str">
        <f t="shared" si="46"/>
        <v/>
      </c>
      <c r="T270" s="96">
        <f t="shared" si="47"/>
        <v>0</v>
      </c>
      <c r="U270" s="51"/>
    </row>
    <row r="271" spans="1:21" x14ac:dyDescent="0.25">
      <c r="A271" s="46">
        <f t="shared" si="4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44"/>
        <v>0</v>
      </c>
      <c r="P271" s="50"/>
      <c r="Q271" s="50"/>
      <c r="R271" s="95" t="str">
        <f t="shared" si="45"/>
        <v/>
      </c>
      <c r="S271" s="95" t="str">
        <f t="shared" si="46"/>
        <v/>
      </c>
      <c r="T271" s="96">
        <f t="shared" si="47"/>
        <v>0</v>
      </c>
      <c r="U271" s="51"/>
    </row>
    <row r="272" spans="1:21" x14ac:dyDescent="0.25">
      <c r="A272" s="46">
        <f t="shared" si="4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44"/>
        <v>0</v>
      </c>
      <c r="P272" s="50"/>
      <c r="Q272" s="50"/>
      <c r="R272" s="95" t="str">
        <f t="shared" si="45"/>
        <v/>
      </c>
      <c r="S272" s="95" t="str">
        <f t="shared" si="46"/>
        <v/>
      </c>
      <c r="T272" s="96">
        <f t="shared" si="47"/>
        <v>0</v>
      </c>
      <c r="U272" s="51"/>
    </row>
    <row r="273" spans="1:21" x14ac:dyDescent="0.25">
      <c r="A273" s="46">
        <f t="shared" si="4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44"/>
        <v>0</v>
      </c>
      <c r="P273" s="50"/>
      <c r="Q273" s="50"/>
      <c r="R273" s="95" t="str">
        <f t="shared" si="45"/>
        <v/>
      </c>
      <c r="S273" s="95" t="str">
        <f t="shared" si="46"/>
        <v/>
      </c>
      <c r="T273" s="96">
        <f t="shared" si="47"/>
        <v>0</v>
      </c>
      <c r="U273" s="51"/>
    </row>
    <row r="274" spans="1:21" x14ac:dyDescent="0.25">
      <c r="A274" s="46">
        <f t="shared" si="4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44"/>
        <v>0</v>
      </c>
      <c r="P274" s="50"/>
      <c r="Q274" s="50"/>
      <c r="R274" s="95" t="str">
        <f t="shared" si="45"/>
        <v/>
      </c>
      <c r="S274" s="95" t="str">
        <f t="shared" si="46"/>
        <v/>
      </c>
      <c r="T274" s="96">
        <f t="shared" si="47"/>
        <v>0</v>
      </c>
      <c r="U274" s="51"/>
    </row>
    <row r="275" spans="1:21" x14ac:dyDescent="0.25">
      <c r="A275" s="46">
        <f t="shared" si="4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44"/>
        <v>0</v>
      </c>
      <c r="P275" s="50"/>
      <c r="Q275" s="50"/>
      <c r="R275" s="95" t="str">
        <f t="shared" si="45"/>
        <v/>
      </c>
      <c r="S275" s="95" t="str">
        <f t="shared" si="46"/>
        <v/>
      </c>
      <c r="T275" s="96">
        <f t="shared" si="47"/>
        <v>0</v>
      </c>
      <c r="U275" s="51"/>
    </row>
    <row r="276" spans="1:21" x14ac:dyDescent="0.25">
      <c r="A276" s="46">
        <f t="shared" si="4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44"/>
        <v>0</v>
      </c>
      <c r="P276" s="50"/>
      <c r="Q276" s="50"/>
      <c r="R276" s="95" t="str">
        <f t="shared" si="45"/>
        <v/>
      </c>
      <c r="S276" s="95" t="str">
        <f t="shared" si="46"/>
        <v/>
      </c>
      <c r="T276" s="96">
        <f t="shared" si="47"/>
        <v>0</v>
      </c>
      <c r="U276" s="51"/>
    </row>
    <row r="277" spans="1:21" x14ac:dyDescent="0.25">
      <c r="A277" s="46">
        <f t="shared" si="4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44"/>
        <v>0</v>
      </c>
      <c r="P277" s="50"/>
      <c r="Q277" s="50"/>
      <c r="R277" s="95" t="str">
        <f t="shared" si="45"/>
        <v/>
      </c>
      <c r="S277" s="95" t="str">
        <f t="shared" si="46"/>
        <v/>
      </c>
      <c r="T277" s="96">
        <f t="shared" si="47"/>
        <v>0</v>
      </c>
      <c r="U277" s="51"/>
    </row>
    <row r="278" spans="1:21" x14ac:dyDescent="0.25">
      <c r="A278" s="46">
        <f t="shared" si="4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44"/>
        <v>0</v>
      </c>
      <c r="P278" s="50"/>
      <c r="Q278" s="50"/>
      <c r="R278" s="95" t="str">
        <f t="shared" si="45"/>
        <v/>
      </c>
      <c r="S278" s="95" t="str">
        <f t="shared" si="46"/>
        <v/>
      </c>
      <c r="T278" s="96">
        <f t="shared" si="47"/>
        <v>0</v>
      </c>
      <c r="U278" s="51"/>
    </row>
    <row r="279" spans="1:21" x14ac:dyDescent="0.25">
      <c r="A279" s="46">
        <f t="shared" si="4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44"/>
        <v>0</v>
      </c>
      <c r="P279" s="50"/>
      <c r="Q279" s="50"/>
      <c r="R279" s="95" t="str">
        <f t="shared" si="45"/>
        <v/>
      </c>
      <c r="S279" s="95" t="str">
        <f t="shared" si="46"/>
        <v/>
      </c>
      <c r="T279" s="96">
        <f t="shared" si="47"/>
        <v>0</v>
      </c>
      <c r="U279" s="51"/>
    </row>
    <row r="280" spans="1:21" x14ac:dyDescent="0.25">
      <c r="A280" s="46">
        <f t="shared" si="4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44"/>
        <v>0</v>
      </c>
      <c r="P280" s="50"/>
      <c r="Q280" s="50"/>
      <c r="R280" s="95" t="str">
        <f t="shared" si="45"/>
        <v/>
      </c>
      <c r="S280" s="95" t="str">
        <f t="shared" si="46"/>
        <v/>
      </c>
      <c r="T280" s="96">
        <f t="shared" si="47"/>
        <v>0</v>
      </c>
      <c r="U280" s="51"/>
    </row>
    <row r="281" spans="1:21" x14ac:dyDescent="0.25">
      <c r="A281" s="46">
        <f t="shared" si="4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44"/>
        <v>0</v>
      </c>
      <c r="P281" s="50"/>
      <c r="Q281" s="50"/>
      <c r="R281" s="95" t="str">
        <f t="shared" si="45"/>
        <v/>
      </c>
      <c r="S281" s="95" t="str">
        <f t="shared" si="46"/>
        <v/>
      </c>
      <c r="T281" s="96">
        <f t="shared" si="47"/>
        <v>0</v>
      </c>
      <c r="U281" s="51"/>
    </row>
    <row r="282" spans="1:21" x14ac:dyDescent="0.25">
      <c r="A282" s="46">
        <f t="shared" si="4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44"/>
        <v>0</v>
      </c>
      <c r="P282" s="50"/>
      <c r="Q282" s="50"/>
      <c r="R282" s="95" t="str">
        <f t="shared" si="45"/>
        <v/>
      </c>
      <c r="S282" s="95" t="str">
        <f t="shared" si="46"/>
        <v/>
      </c>
      <c r="T282" s="96">
        <f t="shared" si="47"/>
        <v>0</v>
      </c>
      <c r="U282" s="51"/>
    </row>
    <row r="283" spans="1:21" x14ac:dyDescent="0.25">
      <c r="A283" s="46">
        <f t="shared" si="4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44"/>
        <v>0</v>
      </c>
      <c r="P283" s="50"/>
      <c r="Q283" s="50"/>
      <c r="R283" s="95" t="str">
        <f t="shared" si="45"/>
        <v/>
      </c>
      <c r="S283" s="95" t="str">
        <f t="shared" si="46"/>
        <v/>
      </c>
      <c r="T283" s="96">
        <f t="shared" si="47"/>
        <v>0</v>
      </c>
      <c r="U283" s="51"/>
    </row>
    <row r="284" spans="1:21" x14ac:dyDescent="0.25">
      <c r="A284" s="46">
        <f t="shared" si="4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44"/>
        <v>0</v>
      </c>
      <c r="P284" s="50"/>
      <c r="Q284" s="50"/>
      <c r="R284" s="95" t="str">
        <f t="shared" si="45"/>
        <v/>
      </c>
      <c r="S284" s="95" t="str">
        <f t="shared" si="46"/>
        <v/>
      </c>
      <c r="T284" s="96">
        <f t="shared" si="47"/>
        <v>0</v>
      </c>
      <c r="U284" s="51"/>
    </row>
    <row r="285" spans="1:21" x14ac:dyDescent="0.25">
      <c r="A285" s="46">
        <f t="shared" si="4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44"/>
        <v>0</v>
      </c>
      <c r="P285" s="50"/>
      <c r="Q285" s="50"/>
      <c r="R285" s="95" t="str">
        <f t="shared" si="45"/>
        <v/>
      </c>
      <c r="S285" s="95" t="str">
        <f t="shared" si="46"/>
        <v/>
      </c>
      <c r="T285" s="96">
        <f t="shared" si="47"/>
        <v>0</v>
      </c>
      <c r="U285" s="51"/>
    </row>
    <row r="286" spans="1:21" x14ac:dyDescent="0.25">
      <c r="A286" s="46">
        <f t="shared" si="4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44"/>
        <v>0</v>
      </c>
      <c r="P286" s="50"/>
      <c r="Q286" s="50"/>
      <c r="R286" s="95" t="str">
        <f t="shared" si="45"/>
        <v/>
      </c>
      <c r="S286" s="95" t="str">
        <f t="shared" si="46"/>
        <v/>
      </c>
      <c r="T286" s="96">
        <f t="shared" si="47"/>
        <v>0</v>
      </c>
      <c r="U286" s="51"/>
    </row>
    <row r="287" spans="1:21" x14ac:dyDescent="0.25">
      <c r="A287" s="46">
        <f t="shared" si="4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44"/>
        <v>0</v>
      </c>
      <c r="P287" s="50"/>
      <c r="Q287" s="50"/>
      <c r="R287" s="95" t="str">
        <f t="shared" si="45"/>
        <v/>
      </c>
      <c r="S287" s="95" t="str">
        <f t="shared" si="46"/>
        <v/>
      </c>
      <c r="T287" s="96">
        <f t="shared" si="47"/>
        <v>0</v>
      </c>
      <c r="U287" s="51"/>
    </row>
    <row r="288" spans="1:21" x14ac:dyDescent="0.25">
      <c r="A288" s="46">
        <f t="shared" si="4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44"/>
        <v>0</v>
      </c>
      <c r="P288" s="50"/>
      <c r="Q288" s="50"/>
      <c r="R288" s="95" t="str">
        <f t="shared" si="45"/>
        <v/>
      </c>
      <c r="S288" s="95" t="str">
        <f t="shared" si="46"/>
        <v/>
      </c>
      <c r="T288" s="96">
        <f t="shared" si="47"/>
        <v>0</v>
      </c>
      <c r="U288" s="51"/>
    </row>
    <row r="289" spans="1:21" x14ac:dyDescent="0.25">
      <c r="A289" s="46">
        <f t="shared" si="4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44"/>
        <v>0</v>
      </c>
      <c r="P289" s="50"/>
      <c r="Q289" s="50"/>
      <c r="R289" s="95" t="str">
        <f t="shared" si="45"/>
        <v/>
      </c>
      <c r="S289" s="95" t="str">
        <f t="shared" si="46"/>
        <v/>
      </c>
      <c r="T289" s="96">
        <f t="shared" si="47"/>
        <v>0</v>
      </c>
      <c r="U289" s="51"/>
    </row>
    <row r="290" spans="1:21" x14ac:dyDescent="0.25">
      <c r="A290" s="46">
        <f t="shared" si="4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44"/>
        <v>0</v>
      </c>
      <c r="P290" s="50"/>
      <c r="Q290" s="50"/>
      <c r="R290" s="95" t="str">
        <f t="shared" si="45"/>
        <v/>
      </c>
      <c r="S290" s="95" t="str">
        <f t="shared" si="46"/>
        <v/>
      </c>
      <c r="T290" s="96">
        <f t="shared" si="47"/>
        <v>0</v>
      </c>
      <c r="U290" s="51"/>
    </row>
    <row r="291" spans="1:21" x14ac:dyDescent="0.25">
      <c r="A291" s="46">
        <f t="shared" si="4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44"/>
        <v>0</v>
      </c>
      <c r="P291" s="50"/>
      <c r="Q291" s="50"/>
      <c r="R291" s="95" t="str">
        <f t="shared" si="45"/>
        <v/>
      </c>
      <c r="S291" s="95" t="str">
        <f t="shared" si="46"/>
        <v/>
      </c>
      <c r="T291" s="96">
        <f t="shared" si="47"/>
        <v>0</v>
      </c>
      <c r="U291" s="51"/>
    </row>
    <row r="292" spans="1:21" x14ac:dyDescent="0.25">
      <c r="A292" s="46">
        <f t="shared" si="4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44"/>
        <v>0</v>
      </c>
      <c r="P292" s="50"/>
      <c r="Q292" s="50"/>
      <c r="R292" s="95" t="str">
        <f t="shared" si="45"/>
        <v/>
      </c>
      <c r="S292" s="95" t="str">
        <f t="shared" si="46"/>
        <v/>
      </c>
      <c r="T292" s="96">
        <f t="shared" si="47"/>
        <v>0</v>
      </c>
      <c r="U292" s="51"/>
    </row>
    <row r="293" spans="1:21" x14ac:dyDescent="0.25">
      <c r="A293" s="46">
        <f t="shared" si="4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44"/>
        <v>0</v>
      </c>
      <c r="P293" s="50"/>
      <c r="Q293" s="50"/>
      <c r="R293" s="95" t="str">
        <f t="shared" si="45"/>
        <v/>
      </c>
      <c r="S293" s="95" t="str">
        <f t="shared" si="46"/>
        <v/>
      </c>
      <c r="T293" s="96">
        <f t="shared" si="47"/>
        <v>0</v>
      </c>
      <c r="U293" s="51"/>
    </row>
    <row r="294" spans="1:21" x14ac:dyDescent="0.25">
      <c r="A294" s="46">
        <f t="shared" si="4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44"/>
        <v>0</v>
      </c>
      <c r="P294" s="50"/>
      <c r="Q294" s="50"/>
      <c r="R294" s="95" t="str">
        <f t="shared" si="45"/>
        <v/>
      </c>
      <c r="S294" s="95" t="str">
        <f t="shared" si="46"/>
        <v/>
      </c>
      <c r="T294" s="96">
        <f t="shared" si="47"/>
        <v>0</v>
      </c>
      <c r="U294" s="51"/>
    </row>
    <row r="295" spans="1:21" x14ac:dyDescent="0.25">
      <c r="A295" s="46">
        <f t="shared" si="4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44"/>
        <v>0</v>
      </c>
      <c r="P295" s="50"/>
      <c r="Q295" s="50"/>
      <c r="R295" s="95" t="str">
        <f t="shared" si="45"/>
        <v/>
      </c>
      <c r="S295" s="95" t="str">
        <f t="shared" si="46"/>
        <v/>
      </c>
      <c r="T295" s="96">
        <f t="shared" si="47"/>
        <v>0</v>
      </c>
      <c r="U295" s="51"/>
    </row>
    <row r="296" spans="1:21" x14ac:dyDescent="0.25">
      <c r="A296" s="46">
        <f t="shared" si="4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44"/>
        <v>0</v>
      </c>
      <c r="P296" s="50"/>
      <c r="Q296" s="50"/>
      <c r="R296" s="95" t="str">
        <f t="shared" si="45"/>
        <v/>
      </c>
      <c r="S296" s="95" t="str">
        <f t="shared" si="46"/>
        <v/>
      </c>
      <c r="T296" s="96">
        <f t="shared" si="47"/>
        <v>0</v>
      </c>
      <c r="U296" s="51"/>
    </row>
    <row r="297" spans="1:21" x14ac:dyDescent="0.25">
      <c r="A297" s="46">
        <f t="shared" si="4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44"/>
        <v>0</v>
      </c>
      <c r="P297" s="50"/>
      <c r="Q297" s="50"/>
      <c r="R297" s="95" t="str">
        <f t="shared" si="45"/>
        <v/>
      </c>
      <c r="S297" s="95" t="str">
        <f t="shared" si="46"/>
        <v/>
      </c>
      <c r="T297" s="96">
        <f t="shared" si="47"/>
        <v>0</v>
      </c>
      <c r="U297" s="51"/>
    </row>
    <row r="298" spans="1:21" x14ac:dyDescent="0.25">
      <c r="A298" s="46">
        <f t="shared" si="4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44"/>
        <v>0</v>
      </c>
      <c r="P298" s="50"/>
      <c r="Q298" s="50"/>
      <c r="R298" s="95" t="str">
        <f t="shared" si="45"/>
        <v/>
      </c>
      <c r="S298" s="95" t="str">
        <f t="shared" si="46"/>
        <v/>
      </c>
      <c r="T298" s="96">
        <f t="shared" si="47"/>
        <v>0</v>
      </c>
      <c r="U298" s="51"/>
    </row>
    <row r="299" spans="1:21" x14ac:dyDescent="0.25">
      <c r="A299" s="46">
        <f t="shared" si="4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44"/>
        <v>0</v>
      </c>
      <c r="P299" s="50"/>
      <c r="Q299" s="50"/>
      <c r="R299" s="95" t="str">
        <f t="shared" si="45"/>
        <v/>
      </c>
      <c r="S299" s="95" t="str">
        <f t="shared" si="46"/>
        <v/>
      </c>
      <c r="T299" s="96">
        <f t="shared" si="47"/>
        <v>0</v>
      </c>
      <c r="U299" s="51"/>
    </row>
    <row r="300" spans="1:21" x14ac:dyDescent="0.25">
      <c r="A300" s="46">
        <f t="shared" si="4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44"/>
        <v>0</v>
      </c>
      <c r="P300" s="50"/>
      <c r="Q300" s="50"/>
      <c r="R300" s="95" t="str">
        <f t="shared" si="45"/>
        <v/>
      </c>
      <c r="S300" s="95" t="str">
        <f t="shared" si="46"/>
        <v/>
      </c>
      <c r="T300" s="96">
        <f t="shared" si="47"/>
        <v>0</v>
      </c>
      <c r="U300" s="51"/>
    </row>
    <row r="301" spans="1:21" x14ac:dyDescent="0.25">
      <c r="A301" s="46">
        <f t="shared" si="4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44"/>
        <v>0</v>
      </c>
      <c r="P301" s="50"/>
      <c r="Q301" s="50"/>
      <c r="R301" s="95" t="str">
        <f t="shared" si="45"/>
        <v/>
      </c>
      <c r="S301" s="95" t="str">
        <f t="shared" si="46"/>
        <v/>
      </c>
      <c r="T301" s="96">
        <f t="shared" si="47"/>
        <v>0</v>
      </c>
      <c r="U301" s="51"/>
    </row>
    <row r="302" spans="1:21" x14ac:dyDescent="0.25">
      <c r="A302" s="46">
        <f t="shared" si="4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44"/>
        <v>0</v>
      </c>
      <c r="P302" s="50"/>
      <c r="Q302" s="50"/>
      <c r="R302" s="95" t="str">
        <f t="shared" si="45"/>
        <v/>
      </c>
      <c r="S302" s="95" t="str">
        <f t="shared" si="46"/>
        <v/>
      </c>
      <c r="T302" s="96">
        <f t="shared" si="47"/>
        <v>0</v>
      </c>
      <c r="U302" s="51"/>
    </row>
    <row r="303" spans="1:21" x14ac:dyDescent="0.25">
      <c r="A303" s="46">
        <f t="shared" si="4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44"/>
        <v>0</v>
      </c>
      <c r="P303" s="50"/>
      <c r="Q303" s="50"/>
      <c r="R303" s="95" t="str">
        <f t="shared" si="45"/>
        <v/>
      </c>
      <c r="S303" s="95" t="str">
        <f t="shared" si="46"/>
        <v/>
      </c>
      <c r="T303" s="96">
        <f t="shared" si="47"/>
        <v>0</v>
      </c>
      <c r="U303" s="51"/>
    </row>
    <row r="304" spans="1:21" x14ac:dyDescent="0.25">
      <c r="A304" s="46">
        <f t="shared" si="4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44"/>
        <v>0</v>
      </c>
      <c r="P304" s="50"/>
      <c r="Q304" s="50"/>
      <c r="R304" s="95" t="str">
        <f t="shared" si="45"/>
        <v/>
      </c>
      <c r="S304" s="95" t="str">
        <f t="shared" si="46"/>
        <v/>
      </c>
      <c r="T304" s="96">
        <f t="shared" si="47"/>
        <v>0</v>
      </c>
      <c r="U304" s="51"/>
    </row>
    <row r="305" spans="1:21" x14ac:dyDescent="0.25">
      <c r="A305" s="46">
        <f t="shared" si="4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44"/>
        <v>0</v>
      </c>
      <c r="P305" s="50"/>
      <c r="Q305" s="50"/>
      <c r="R305" s="95" t="str">
        <f t="shared" si="45"/>
        <v/>
      </c>
      <c r="S305" s="95" t="str">
        <f t="shared" si="46"/>
        <v/>
      </c>
      <c r="T305" s="96">
        <f t="shared" si="47"/>
        <v>0</v>
      </c>
      <c r="U305" s="51"/>
    </row>
    <row r="306" spans="1:21" x14ac:dyDescent="0.25">
      <c r="A306" s="46">
        <f t="shared" si="4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44"/>
        <v>0</v>
      </c>
      <c r="P306" s="50"/>
      <c r="Q306" s="50"/>
      <c r="R306" s="95" t="str">
        <f t="shared" si="45"/>
        <v/>
      </c>
      <c r="S306" s="95" t="str">
        <f t="shared" si="46"/>
        <v/>
      </c>
      <c r="T306" s="96">
        <f t="shared" si="47"/>
        <v>0</v>
      </c>
      <c r="U306" s="51"/>
    </row>
    <row r="307" spans="1:21" x14ac:dyDescent="0.25">
      <c r="A307" s="46">
        <f t="shared" si="4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44"/>
        <v>0</v>
      </c>
      <c r="P307" s="50"/>
      <c r="Q307" s="50"/>
      <c r="R307" s="95" t="str">
        <f t="shared" si="45"/>
        <v/>
      </c>
      <c r="S307" s="95" t="str">
        <f t="shared" si="46"/>
        <v/>
      </c>
      <c r="T307" s="96">
        <f t="shared" si="47"/>
        <v>0</v>
      </c>
      <c r="U307" s="51"/>
    </row>
    <row r="308" spans="1:21" x14ac:dyDescent="0.25">
      <c r="A308" s="46">
        <f t="shared" si="4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44"/>
        <v>0</v>
      </c>
      <c r="P308" s="50"/>
      <c r="Q308" s="50"/>
      <c r="R308" s="95" t="str">
        <f t="shared" si="45"/>
        <v/>
      </c>
      <c r="S308" s="95" t="str">
        <f t="shared" si="46"/>
        <v/>
      </c>
      <c r="T308" s="96">
        <f t="shared" si="47"/>
        <v>0</v>
      </c>
      <c r="U308" s="51"/>
    </row>
    <row r="309" spans="1:21" x14ac:dyDescent="0.25">
      <c r="A309" s="46">
        <f t="shared" si="4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44"/>
        <v>0</v>
      </c>
      <c r="P309" s="50"/>
      <c r="Q309" s="50"/>
      <c r="R309" s="95" t="str">
        <f t="shared" si="45"/>
        <v/>
      </c>
      <c r="S309" s="95" t="str">
        <f t="shared" si="46"/>
        <v/>
      </c>
      <c r="T309" s="96">
        <f t="shared" si="47"/>
        <v>0</v>
      </c>
      <c r="U309" s="51"/>
    </row>
    <row r="310" spans="1:21" x14ac:dyDescent="0.25">
      <c r="A310" s="46">
        <f t="shared" si="4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44"/>
        <v>0</v>
      </c>
      <c r="P310" s="50"/>
      <c r="Q310" s="50"/>
      <c r="R310" s="95" t="str">
        <f t="shared" si="45"/>
        <v/>
      </c>
      <c r="S310" s="95" t="str">
        <f t="shared" si="46"/>
        <v/>
      </c>
      <c r="T310" s="96">
        <f t="shared" si="47"/>
        <v>0</v>
      </c>
      <c r="U310" s="51"/>
    </row>
    <row r="311" spans="1:21" x14ac:dyDescent="0.25">
      <c r="A311" s="46">
        <f t="shared" si="4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44"/>
        <v>0</v>
      </c>
      <c r="P311" s="50"/>
      <c r="Q311" s="50"/>
      <c r="R311" s="95" t="str">
        <f t="shared" si="45"/>
        <v/>
      </c>
      <c r="S311" s="95" t="str">
        <f t="shared" si="46"/>
        <v/>
      </c>
      <c r="T311" s="96">
        <f t="shared" si="47"/>
        <v>0</v>
      </c>
      <c r="U311" s="51"/>
    </row>
    <row r="312" spans="1:21" x14ac:dyDescent="0.25">
      <c r="A312" s="46">
        <f t="shared" si="4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44"/>
        <v>0</v>
      </c>
      <c r="P312" s="50"/>
      <c r="Q312" s="50"/>
      <c r="R312" s="95" t="str">
        <f t="shared" si="45"/>
        <v/>
      </c>
      <c r="S312" s="95" t="str">
        <f t="shared" si="46"/>
        <v/>
      </c>
      <c r="T312" s="96">
        <f t="shared" si="47"/>
        <v>0</v>
      </c>
      <c r="U312" s="51"/>
    </row>
    <row r="313" spans="1:21" x14ac:dyDescent="0.25">
      <c r="A313" s="46">
        <f t="shared" si="4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44"/>
        <v>0</v>
      </c>
      <c r="P313" s="50"/>
      <c r="Q313" s="50"/>
      <c r="R313" s="95" t="str">
        <f t="shared" si="45"/>
        <v/>
      </c>
      <c r="S313" s="95" t="str">
        <f t="shared" si="46"/>
        <v/>
      </c>
      <c r="T313" s="96">
        <f t="shared" si="47"/>
        <v>0</v>
      </c>
      <c r="U313" s="51"/>
    </row>
    <row r="314" spans="1:21" x14ac:dyDescent="0.25">
      <c r="A314" s="46">
        <f t="shared" si="4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44"/>
        <v>0</v>
      </c>
      <c r="P314" s="50"/>
      <c r="Q314" s="50"/>
      <c r="R314" s="95" t="str">
        <f t="shared" si="45"/>
        <v/>
      </c>
      <c r="S314" s="95" t="str">
        <f t="shared" si="46"/>
        <v/>
      </c>
      <c r="T314" s="96">
        <f t="shared" si="47"/>
        <v>0</v>
      </c>
      <c r="U314" s="51"/>
    </row>
    <row r="315" spans="1:21" x14ac:dyDescent="0.25">
      <c r="A315" s="46">
        <f t="shared" si="4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44"/>
        <v>0</v>
      </c>
      <c r="P315" s="50"/>
      <c r="Q315" s="50"/>
      <c r="R315" s="95" t="str">
        <f t="shared" si="45"/>
        <v/>
      </c>
      <c r="S315" s="95" t="str">
        <f t="shared" si="46"/>
        <v/>
      </c>
      <c r="T315" s="96">
        <f t="shared" si="47"/>
        <v>0</v>
      </c>
      <c r="U315" s="51"/>
    </row>
    <row r="316" spans="1:21" x14ac:dyDescent="0.25">
      <c r="A316" s="46">
        <f t="shared" si="4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44"/>
        <v>0</v>
      </c>
      <c r="P316" s="50"/>
      <c r="Q316" s="50"/>
      <c r="R316" s="95" t="str">
        <f t="shared" si="45"/>
        <v/>
      </c>
      <c r="S316" s="95" t="str">
        <f t="shared" si="46"/>
        <v/>
      </c>
      <c r="T316" s="96">
        <f t="shared" si="47"/>
        <v>0</v>
      </c>
      <c r="U316" s="51"/>
    </row>
    <row r="317" spans="1:21" x14ac:dyDescent="0.25">
      <c r="A317" s="46">
        <f t="shared" si="4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44"/>
        <v>0</v>
      </c>
      <c r="P317" s="50"/>
      <c r="Q317" s="50"/>
      <c r="R317" s="95" t="str">
        <f t="shared" si="45"/>
        <v/>
      </c>
      <c r="S317" s="95" t="str">
        <f t="shared" si="46"/>
        <v/>
      </c>
      <c r="T317" s="96">
        <f t="shared" si="47"/>
        <v>0</v>
      </c>
      <c r="U317" s="51"/>
    </row>
    <row r="318" spans="1:21" x14ac:dyDescent="0.25">
      <c r="A318" s="46">
        <f t="shared" si="4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44"/>
        <v>0</v>
      </c>
      <c r="P318" s="50"/>
      <c r="Q318" s="50"/>
      <c r="R318" s="95" t="str">
        <f t="shared" si="45"/>
        <v/>
      </c>
      <c r="S318" s="95" t="str">
        <f t="shared" si="46"/>
        <v/>
      </c>
      <c r="T318" s="96">
        <f t="shared" si="47"/>
        <v>0</v>
      </c>
      <c r="U318" s="51"/>
    </row>
    <row r="319" spans="1:21" x14ac:dyDescent="0.25">
      <c r="A319" s="46">
        <f t="shared" si="4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44"/>
        <v>0</v>
      </c>
      <c r="P319" s="50"/>
      <c r="Q319" s="50"/>
      <c r="R319" s="95" t="str">
        <f t="shared" si="45"/>
        <v/>
      </c>
      <c r="S319" s="95" t="str">
        <f t="shared" si="46"/>
        <v/>
      </c>
      <c r="T319" s="96">
        <f t="shared" si="47"/>
        <v>0</v>
      </c>
      <c r="U319" s="51"/>
    </row>
    <row r="320" spans="1:21" x14ac:dyDescent="0.25">
      <c r="A320" s="46">
        <f t="shared" si="4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44"/>
        <v>0</v>
      </c>
      <c r="P320" s="50"/>
      <c r="Q320" s="50"/>
      <c r="R320" s="95" t="str">
        <f t="shared" si="45"/>
        <v/>
      </c>
      <c r="S320" s="95" t="str">
        <f t="shared" si="46"/>
        <v/>
      </c>
      <c r="T320" s="96">
        <f t="shared" si="47"/>
        <v>0</v>
      </c>
      <c r="U320" s="51"/>
    </row>
    <row r="321" spans="1:21" x14ac:dyDescent="0.25">
      <c r="A321" s="46">
        <f t="shared" si="4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44"/>
        <v>0</v>
      </c>
      <c r="P321" s="50"/>
      <c r="Q321" s="50"/>
      <c r="R321" s="95" t="str">
        <f t="shared" si="45"/>
        <v/>
      </c>
      <c r="S321" s="95" t="str">
        <f t="shared" si="46"/>
        <v/>
      </c>
      <c r="T321" s="96">
        <f t="shared" si="47"/>
        <v>0</v>
      </c>
      <c r="U321" s="51"/>
    </row>
    <row r="322" spans="1:21" x14ac:dyDescent="0.25">
      <c r="A322" s="46">
        <f t="shared" si="4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44"/>
        <v>0</v>
      </c>
      <c r="P322" s="50"/>
      <c r="Q322" s="50"/>
      <c r="R322" s="95" t="str">
        <f t="shared" si="45"/>
        <v/>
      </c>
      <c r="S322" s="95" t="str">
        <f t="shared" si="46"/>
        <v/>
      </c>
      <c r="T322" s="96">
        <f t="shared" si="47"/>
        <v>0</v>
      </c>
      <c r="U322" s="51"/>
    </row>
    <row r="323" spans="1:21" x14ac:dyDescent="0.25">
      <c r="A323" s="46">
        <f t="shared" si="4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44"/>
        <v>0</v>
      </c>
      <c r="P323" s="50"/>
      <c r="Q323" s="50"/>
      <c r="R323" s="95" t="str">
        <f t="shared" si="45"/>
        <v/>
      </c>
      <c r="S323" s="95" t="str">
        <f t="shared" si="46"/>
        <v/>
      </c>
      <c r="T323" s="96">
        <f t="shared" si="47"/>
        <v>0</v>
      </c>
      <c r="U323" s="51"/>
    </row>
    <row r="324" spans="1:21" x14ac:dyDescent="0.25">
      <c r="A324" s="46">
        <f t="shared" si="4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44"/>
        <v>0</v>
      </c>
      <c r="P324" s="50"/>
      <c r="Q324" s="50"/>
      <c r="R324" s="95" t="str">
        <f t="shared" si="45"/>
        <v/>
      </c>
      <c r="S324" s="95" t="str">
        <f t="shared" si="46"/>
        <v/>
      </c>
      <c r="T324" s="96">
        <f t="shared" si="47"/>
        <v>0</v>
      </c>
      <c r="U324" s="51"/>
    </row>
    <row r="325" spans="1:21" x14ac:dyDescent="0.25">
      <c r="A325" s="46">
        <f t="shared" si="4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44"/>
        <v>0</v>
      </c>
      <c r="P325" s="50"/>
      <c r="Q325" s="50"/>
      <c r="R325" s="95" t="str">
        <f t="shared" si="45"/>
        <v/>
      </c>
      <c r="S325" s="95" t="str">
        <f t="shared" si="46"/>
        <v/>
      </c>
      <c r="T325" s="96">
        <f t="shared" si="47"/>
        <v>0</v>
      </c>
      <c r="U325" s="51"/>
    </row>
    <row r="326" spans="1:21" x14ac:dyDescent="0.25">
      <c r="A326" s="46">
        <f t="shared" si="4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44"/>
        <v>0</v>
      </c>
      <c r="P326" s="50"/>
      <c r="Q326" s="50"/>
      <c r="R326" s="95" t="str">
        <f t="shared" si="45"/>
        <v/>
      </c>
      <c r="S326" s="95" t="str">
        <f t="shared" si="46"/>
        <v/>
      </c>
      <c r="T326" s="96">
        <f t="shared" si="47"/>
        <v>0</v>
      </c>
      <c r="U326" s="51"/>
    </row>
    <row r="327" spans="1:21" x14ac:dyDescent="0.25">
      <c r="A327" s="46">
        <f t="shared" si="4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44"/>
        <v>0</v>
      </c>
      <c r="P327" s="50"/>
      <c r="Q327" s="50"/>
      <c r="R327" s="95" t="str">
        <f t="shared" si="45"/>
        <v/>
      </c>
      <c r="S327" s="95" t="str">
        <f t="shared" si="46"/>
        <v/>
      </c>
      <c r="T327" s="96">
        <f t="shared" si="47"/>
        <v>0</v>
      </c>
      <c r="U327" s="51"/>
    </row>
    <row r="328" spans="1:21" x14ac:dyDescent="0.25">
      <c r="A328" s="46">
        <f t="shared" si="4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44"/>
        <v>0</v>
      </c>
      <c r="P328" s="50"/>
      <c r="Q328" s="50"/>
      <c r="R328" s="95" t="str">
        <f t="shared" si="45"/>
        <v/>
      </c>
      <c r="S328" s="95" t="str">
        <f t="shared" si="46"/>
        <v/>
      </c>
      <c r="T328" s="96">
        <f t="shared" si="47"/>
        <v>0</v>
      </c>
      <c r="U328" s="51"/>
    </row>
    <row r="329" spans="1:21" x14ac:dyDescent="0.25">
      <c r="A329" s="46">
        <f t="shared" si="4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44"/>
        <v>0</v>
      </c>
      <c r="P329" s="50"/>
      <c r="Q329" s="50"/>
      <c r="R329" s="95" t="str">
        <f t="shared" si="45"/>
        <v/>
      </c>
      <c r="S329" s="95" t="str">
        <f t="shared" si="46"/>
        <v/>
      </c>
      <c r="T329" s="96">
        <f t="shared" si="47"/>
        <v>0</v>
      </c>
      <c r="U329" s="51"/>
    </row>
    <row r="330" spans="1:21" x14ac:dyDescent="0.25">
      <c r="A330" s="46">
        <f t="shared" si="4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44"/>
        <v>0</v>
      </c>
      <c r="P330" s="50"/>
      <c r="Q330" s="50"/>
      <c r="R330" s="95" t="str">
        <f t="shared" si="45"/>
        <v/>
      </c>
      <c r="S330" s="95" t="str">
        <f t="shared" si="46"/>
        <v/>
      </c>
      <c r="T330" s="96">
        <f t="shared" si="47"/>
        <v>0</v>
      </c>
      <c r="U330" s="51"/>
    </row>
    <row r="331" spans="1:21" x14ac:dyDescent="0.25">
      <c r="A331" s="46">
        <f t="shared" si="4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44"/>
        <v>0</v>
      </c>
      <c r="P331" s="50"/>
      <c r="Q331" s="50"/>
      <c r="R331" s="95" t="str">
        <f t="shared" si="45"/>
        <v/>
      </c>
      <c r="S331" s="95" t="str">
        <f t="shared" si="46"/>
        <v/>
      </c>
      <c r="T331" s="96">
        <f t="shared" si="47"/>
        <v>0</v>
      </c>
      <c r="U331" s="51"/>
    </row>
    <row r="332" spans="1:21" x14ac:dyDescent="0.25">
      <c r="A332" s="46">
        <f t="shared" ref="A332:A395" si="4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9">T332*N332</f>
        <v>0</v>
      </c>
      <c r="P332" s="50"/>
      <c r="Q332" s="50"/>
      <c r="R332" s="95" t="str">
        <f t="shared" ref="R332:R395" si="50">IF(OR(P332="c",P332="C"),+T332,"")</f>
        <v/>
      </c>
      <c r="S332" s="95" t="str">
        <f t="shared" ref="S332:S395" si="51">IF(OR(P332="$",N332=1),+T332,"")</f>
        <v/>
      </c>
      <c r="T332" s="96">
        <f t="shared" ref="T332:T395" si="5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9"/>
        <v>0</v>
      </c>
      <c r="P333" s="50"/>
      <c r="Q333" s="50"/>
      <c r="R333" s="95" t="str">
        <f t="shared" si="50"/>
        <v/>
      </c>
      <c r="S333" s="95" t="str">
        <f t="shared" si="51"/>
        <v/>
      </c>
      <c r="T333" s="96">
        <f t="shared" si="52"/>
        <v>0</v>
      </c>
      <c r="U333" s="51"/>
    </row>
    <row r="334" spans="1:21" x14ac:dyDescent="0.25">
      <c r="A334" s="46">
        <f t="shared" si="4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9"/>
        <v>0</v>
      </c>
      <c r="P334" s="50"/>
      <c r="Q334" s="50"/>
      <c r="R334" s="95" t="str">
        <f t="shared" si="50"/>
        <v/>
      </c>
      <c r="S334" s="95" t="str">
        <f t="shared" si="51"/>
        <v/>
      </c>
      <c r="T334" s="96">
        <f t="shared" si="52"/>
        <v>0</v>
      </c>
      <c r="U334" s="51"/>
    </row>
    <row r="335" spans="1:21" x14ac:dyDescent="0.25">
      <c r="A335" s="46">
        <f t="shared" si="4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9"/>
        <v>0</v>
      </c>
      <c r="P335" s="50"/>
      <c r="Q335" s="50"/>
      <c r="R335" s="95" t="str">
        <f t="shared" si="50"/>
        <v/>
      </c>
      <c r="S335" s="95" t="str">
        <f t="shared" si="51"/>
        <v/>
      </c>
      <c r="T335" s="96">
        <f t="shared" si="52"/>
        <v>0</v>
      </c>
      <c r="U335" s="51"/>
    </row>
    <row r="336" spans="1:21" x14ac:dyDescent="0.25">
      <c r="A336" s="46">
        <f t="shared" si="4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9"/>
        <v>0</v>
      </c>
      <c r="P336" s="50"/>
      <c r="Q336" s="50"/>
      <c r="R336" s="95" t="str">
        <f t="shared" si="50"/>
        <v/>
      </c>
      <c r="S336" s="95" t="str">
        <f t="shared" si="51"/>
        <v/>
      </c>
      <c r="T336" s="96">
        <f t="shared" si="52"/>
        <v>0</v>
      </c>
      <c r="U336" s="51"/>
    </row>
    <row r="337" spans="1:21" x14ac:dyDescent="0.25">
      <c r="A337" s="46">
        <f t="shared" si="4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9"/>
        <v>0</v>
      </c>
      <c r="P337" s="50"/>
      <c r="Q337" s="50"/>
      <c r="R337" s="95" t="str">
        <f t="shared" si="50"/>
        <v/>
      </c>
      <c r="S337" s="95" t="str">
        <f t="shared" si="51"/>
        <v/>
      </c>
      <c r="T337" s="96">
        <f t="shared" si="52"/>
        <v>0</v>
      </c>
      <c r="U337" s="51"/>
    </row>
    <row r="338" spans="1:21" x14ac:dyDescent="0.25">
      <c r="A338" s="46">
        <f t="shared" si="4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9"/>
        <v>0</v>
      </c>
      <c r="P338" s="50"/>
      <c r="Q338" s="50"/>
      <c r="R338" s="95" t="str">
        <f t="shared" si="50"/>
        <v/>
      </c>
      <c r="S338" s="95" t="str">
        <f t="shared" si="51"/>
        <v/>
      </c>
      <c r="T338" s="96">
        <f t="shared" si="52"/>
        <v>0</v>
      </c>
      <c r="U338" s="51"/>
    </row>
    <row r="339" spans="1:21" x14ac:dyDescent="0.25">
      <c r="A339" s="46">
        <f t="shared" si="4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9"/>
        <v>0</v>
      </c>
      <c r="P339" s="50"/>
      <c r="Q339" s="50"/>
      <c r="R339" s="95" t="str">
        <f t="shared" si="50"/>
        <v/>
      </c>
      <c r="S339" s="95" t="str">
        <f t="shared" si="51"/>
        <v/>
      </c>
      <c r="T339" s="96">
        <f t="shared" si="52"/>
        <v>0</v>
      </c>
      <c r="U339" s="51"/>
    </row>
    <row r="340" spans="1:21" x14ac:dyDescent="0.25">
      <c r="A340" s="46">
        <f t="shared" si="4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9"/>
        <v>0</v>
      </c>
      <c r="P340" s="50"/>
      <c r="Q340" s="50"/>
      <c r="R340" s="95" t="str">
        <f t="shared" si="50"/>
        <v/>
      </c>
      <c r="S340" s="95" t="str">
        <f t="shared" si="51"/>
        <v/>
      </c>
      <c r="T340" s="96">
        <f t="shared" si="52"/>
        <v>0</v>
      </c>
      <c r="U340" s="51"/>
    </row>
    <row r="341" spans="1:21" x14ac:dyDescent="0.25">
      <c r="A341" s="46">
        <f t="shared" si="4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9"/>
        <v>0</v>
      </c>
      <c r="P341" s="50"/>
      <c r="Q341" s="50"/>
      <c r="R341" s="95" t="str">
        <f t="shared" si="50"/>
        <v/>
      </c>
      <c r="S341" s="95" t="str">
        <f t="shared" si="51"/>
        <v/>
      </c>
      <c r="T341" s="96">
        <f t="shared" si="52"/>
        <v>0</v>
      </c>
      <c r="U341" s="51"/>
    </row>
    <row r="342" spans="1:21" x14ac:dyDescent="0.25">
      <c r="A342" s="46">
        <f t="shared" si="4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9"/>
        <v>0</v>
      </c>
      <c r="P342" s="50"/>
      <c r="Q342" s="50"/>
      <c r="R342" s="95" t="str">
        <f t="shared" si="50"/>
        <v/>
      </c>
      <c r="S342" s="95" t="str">
        <f t="shared" si="51"/>
        <v/>
      </c>
      <c r="T342" s="96">
        <f t="shared" si="52"/>
        <v>0</v>
      </c>
      <c r="U342" s="51"/>
    </row>
    <row r="343" spans="1:21" x14ac:dyDescent="0.25">
      <c r="A343" s="46">
        <f t="shared" si="4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9"/>
        <v>0</v>
      </c>
      <c r="P343" s="50"/>
      <c r="Q343" s="50"/>
      <c r="R343" s="95" t="str">
        <f t="shared" si="50"/>
        <v/>
      </c>
      <c r="S343" s="95" t="str">
        <f t="shared" si="51"/>
        <v/>
      </c>
      <c r="T343" s="96">
        <f t="shared" si="52"/>
        <v>0</v>
      </c>
      <c r="U343" s="51"/>
    </row>
    <row r="344" spans="1:21" x14ac:dyDescent="0.25">
      <c r="A344" s="46">
        <f t="shared" si="4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9"/>
        <v>0</v>
      </c>
      <c r="P344" s="50"/>
      <c r="Q344" s="50"/>
      <c r="R344" s="95" t="str">
        <f t="shared" si="50"/>
        <v/>
      </c>
      <c r="S344" s="95" t="str">
        <f t="shared" si="51"/>
        <v/>
      </c>
      <c r="T344" s="96">
        <f t="shared" si="52"/>
        <v>0</v>
      </c>
      <c r="U344" s="51"/>
    </row>
    <row r="345" spans="1:21" x14ac:dyDescent="0.25">
      <c r="A345" s="46">
        <f t="shared" si="4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9"/>
        <v>0</v>
      </c>
      <c r="P345" s="50"/>
      <c r="Q345" s="50"/>
      <c r="R345" s="95" t="str">
        <f t="shared" si="50"/>
        <v/>
      </c>
      <c r="S345" s="95" t="str">
        <f t="shared" si="51"/>
        <v/>
      </c>
      <c r="T345" s="96">
        <f t="shared" si="52"/>
        <v>0</v>
      </c>
      <c r="U345" s="51"/>
    </row>
    <row r="346" spans="1:21" x14ac:dyDescent="0.25">
      <c r="A346" s="46">
        <f t="shared" si="4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9"/>
        <v>0</v>
      </c>
      <c r="P346" s="50"/>
      <c r="Q346" s="50"/>
      <c r="R346" s="95" t="str">
        <f t="shared" si="50"/>
        <v/>
      </c>
      <c r="S346" s="95" t="str">
        <f t="shared" si="51"/>
        <v/>
      </c>
      <c r="T346" s="96">
        <f t="shared" si="52"/>
        <v>0</v>
      </c>
      <c r="U346" s="51"/>
    </row>
    <row r="347" spans="1:21" x14ac:dyDescent="0.25">
      <c r="A347" s="46">
        <f t="shared" si="4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9"/>
        <v>0</v>
      </c>
      <c r="P347" s="50"/>
      <c r="Q347" s="50"/>
      <c r="R347" s="95" t="str">
        <f t="shared" si="50"/>
        <v/>
      </c>
      <c r="S347" s="95" t="str">
        <f t="shared" si="51"/>
        <v/>
      </c>
      <c r="T347" s="96">
        <f t="shared" si="52"/>
        <v>0</v>
      </c>
      <c r="U347" s="51"/>
    </row>
    <row r="348" spans="1:21" x14ac:dyDescent="0.25">
      <c r="A348" s="46">
        <f t="shared" si="4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9"/>
        <v>0</v>
      </c>
      <c r="P348" s="50"/>
      <c r="Q348" s="50"/>
      <c r="R348" s="95" t="str">
        <f t="shared" si="50"/>
        <v/>
      </c>
      <c r="S348" s="95" t="str">
        <f t="shared" si="51"/>
        <v/>
      </c>
      <c r="T348" s="96">
        <f t="shared" si="52"/>
        <v>0</v>
      </c>
      <c r="U348" s="51"/>
    </row>
    <row r="349" spans="1:21" x14ac:dyDescent="0.25">
      <c r="A349" s="46">
        <f t="shared" si="4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9"/>
        <v>0</v>
      </c>
      <c r="P349" s="50"/>
      <c r="Q349" s="50"/>
      <c r="R349" s="95" t="str">
        <f t="shared" si="50"/>
        <v/>
      </c>
      <c r="S349" s="95" t="str">
        <f t="shared" si="51"/>
        <v/>
      </c>
      <c r="T349" s="96">
        <f t="shared" si="52"/>
        <v>0</v>
      </c>
      <c r="U349" s="51"/>
    </row>
    <row r="350" spans="1:21" x14ac:dyDescent="0.25">
      <c r="A350" s="46">
        <f t="shared" si="4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9"/>
        <v>0</v>
      </c>
      <c r="P350" s="50"/>
      <c r="Q350" s="50"/>
      <c r="R350" s="95" t="str">
        <f t="shared" si="50"/>
        <v/>
      </c>
      <c r="S350" s="95" t="str">
        <f t="shared" si="51"/>
        <v/>
      </c>
      <c r="T350" s="96">
        <f t="shared" si="52"/>
        <v>0</v>
      </c>
      <c r="U350" s="51"/>
    </row>
    <row r="351" spans="1:21" x14ac:dyDescent="0.25">
      <c r="A351" s="46">
        <f t="shared" si="4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9"/>
        <v>0</v>
      </c>
      <c r="P351" s="50"/>
      <c r="Q351" s="50"/>
      <c r="R351" s="95" t="str">
        <f t="shared" si="50"/>
        <v/>
      </c>
      <c r="S351" s="95" t="str">
        <f t="shared" si="51"/>
        <v/>
      </c>
      <c r="T351" s="96">
        <f t="shared" si="52"/>
        <v>0</v>
      </c>
      <c r="U351" s="51"/>
    </row>
    <row r="352" spans="1:21" x14ac:dyDescent="0.25">
      <c r="A352" s="46">
        <f t="shared" si="4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9"/>
        <v>0</v>
      </c>
      <c r="P352" s="50"/>
      <c r="Q352" s="50"/>
      <c r="R352" s="95" t="str">
        <f t="shared" si="50"/>
        <v/>
      </c>
      <c r="S352" s="95" t="str">
        <f t="shared" si="51"/>
        <v/>
      </c>
      <c r="T352" s="96">
        <f t="shared" si="52"/>
        <v>0</v>
      </c>
      <c r="U352" s="51"/>
    </row>
    <row r="353" spans="1:21" x14ac:dyDescent="0.25">
      <c r="A353" s="46">
        <f t="shared" si="4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9"/>
        <v>0</v>
      </c>
      <c r="P353" s="50"/>
      <c r="Q353" s="50"/>
      <c r="R353" s="95" t="str">
        <f t="shared" si="50"/>
        <v/>
      </c>
      <c r="S353" s="95" t="str">
        <f t="shared" si="51"/>
        <v/>
      </c>
      <c r="T353" s="96">
        <f t="shared" si="52"/>
        <v>0</v>
      </c>
      <c r="U353" s="51"/>
    </row>
    <row r="354" spans="1:21" x14ac:dyDescent="0.25">
      <c r="A354" s="46">
        <f t="shared" si="4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9"/>
        <v>0</v>
      </c>
      <c r="P354" s="50"/>
      <c r="Q354" s="50"/>
      <c r="R354" s="95" t="str">
        <f t="shared" si="50"/>
        <v/>
      </c>
      <c r="S354" s="95" t="str">
        <f t="shared" si="51"/>
        <v/>
      </c>
      <c r="T354" s="96">
        <f t="shared" si="52"/>
        <v>0</v>
      </c>
      <c r="U354" s="51"/>
    </row>
    <row r="355" spans="1:21" x14ac:dyDescent="0.25">
      <c r="A355" s="46">
        <f t="shared" si="4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9"/>
        <v>0</v>
      </c>
      <c r="P355" s="50"/>
      <c r="Q355" s="50"/>
      <c r="R355" s="95" t="str">
        <f t="shared" si="50"/>
        <v/>
      </c>
      <c r="S355" s="95" t="str">
        <f t="shared" si="51"/>
        <v/>
      </c>
      <c r="T355" s="96">
        <f t="shared" si="52"/>
        <v>0</v>
      </c>
      <c r="U355" s="51"/>
    </row>
    <row r="356" spans="1:21" x14ac:dyDescent="0.25">
      <c r="A356" s="46">
        <f t="shared" si="4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9"/>
        <v>0</v>
      </c>
      <c r="P356" s="50"/>
      <c r="Q356" s="50"/>
      <c r="R356" s="95" t="str">
        <f t="shared" si="50"/>
        <v/>
      </c>
      <c r="S356" s="95" t="str">
        <f t="shared" si="51"/>
        <v/>
      </c>
      <c r="T356" s="96">
        <f t="shared" si="52"/>
        <v>0</v>
      </c>
      <c r="U356" s="51"/>
    </row>
    <row r="357" spans="1:21" x14ac:dyDescent="0.25">
      <c r="A357" s="46">
        <f t="shared" si="4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9"/>
        <v>0</v>
      </c>
      <c r="P357" s="50"/>
      <c r="Q357" s="50"/>
      <c r="R357" s="95" t="str">
        <f t="shared" si="50"/>
        <v/>
      </c>
      <c r="S357" s="95" t="str">
        <f t="shared" si="51"/>
        <v/>
      </c>
      <c r="T357" s="96">
        <f t="shared" si="52"/>
        <v>0</v>
      </c>
      <c r="U357" s="51"/>
    </row>
    <row r="358" spans="1:21" x14ac:dyDescent="0.25">
      <c r="A358" s="46">
        <f t="shared" si="4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9"/>
        <v>0</v>
      </c>
      <c r="P358" s="50"/>
      <c r="Q358" s="50"/>
      <c r="R358" s="95" t="str">
        <f t="shared" si="50"/>
        <v/>
      </c>
      <c r="S358" s="95" t="str">
        <f t="shared" si="51"/>
        <v/>
      </c>
      <c r="T358" s="96">
        <f t="shared" si="52"/>
        <v>0</v>
      </c>
      <c r="U358" s="51"/>
    </row>
    <row r="359" spans="1:21" x14ac:dyDescent="0.25">
      <c r="A359" s="46">
        <f t="shared" si="4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9"/>
        <v>0</v>
      </c>
      <c r="P359" s="50"/>
      <c r="Q359" s="50"/>
      <c r="R359" s="95" t="str">
        <f t="shared" si="50"/>
        <v/>
      </c>
      <c r="S359" s="95" t="str">
        <f t="shared" si="51"/>
        <v/>
      </c>
      <c r="T359" s="96">
        <f t="shared" si="52"/>
        <v>0</v>
      </c>
      <c r="U359" s="51"/>
    </row>
    <row r="360" spans="1:21" x14ac:dyDescent="0.25">
      <c r="A360" s="46">
        <f t="shared" si="4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9"/>
        <v>0</v>
      </c>
      <c r="P360" s="50"/>
      <c r="Q360" s="50"/>
      <c r="R360" s="95" t="str">
        <f t="shared" si="50"/>
        <v/>
      </c>
      <c r="S360" s="95" t="str">
        <f t="shared" si="51"/>
        <v/>
      </c>
      <c r="T360" s="96">
        <f t="shared" si="52"/>
        <v>0</v>
      </c>
      <c r="U360" s="51"/>
    </row>
    <row r="361" spans="1:21" x14ac:dyDescent="0.25">
      <c r="A361" s="46">
        <f t="shared" si="4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9"/>
        <v>0</v>
      </c>
      <c r="P361" s="50"/>
      <c r="Q361" s="50"/>
      <c r="R361" s="95" t="str">
        <f t="shared" si="50"/>
        <v/>
      </c>
      <c r="S361" s="95" t="str">
        <f t="shared" si="51"/>
        <v/>
      </c>
      <c r="T361" s="96">
        <f t="shared" si="52"/>
        <v>0</v>
      </c>
      <c r="U361" s="51"/>
    </row>
    <row r="362" spans="1:21" x14ac:dyDescent="0.25">
      <c r="A362" s="46">
        <f t="shared" si="4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9"/>
        <v>0</v>
      </c>
      <c r="P362" s="50"/>
      <c r="Q362" s="50"/>
      <c r="R362" s="95" t="str">
        <f t="shared" si="50"/>
        <v/>
      </c>
      <c r="S362" s="95" t="str">
        <f t="shared" si="51"/>
        <v/>
      </c>
      <c r="T362" s="96">
        <f t="shared" si="52"/>
        <v>0</v>
      </c>
      <c r="U362" s="51"/>
    </row>
    <row r="363" spans="1:21" x14ac:dyDescent="0.25">
      <c r="A363" s="46">
        <f t="shared" si="4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9"/>
        <v>0</v>
      </c>
      <c r="P363" s="50"/>
      <c r="Q363" s="50"/>
      <c r="R363" s="95" t="str">
        <f t="shared" si="50"/>
        <v/>
      </c>
      <c r="S363" s="95" t="str">
        <f t="shared" si="51"/>
        <v/>
      </c>
      <c r="T363" s="96">
        <f t="shared" si="52"/>
        <v>0</v>
      </c>
      <c r="U363" s="51"/>
    </row>
    <row r="364" spans="1:21" x14ac:dyDescent="0.25">
      <c r="A364" s="46">
        <f t="shared" si="4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9"/>
        <v>0</v>
      </c>
      <c r="P364" s="50"/>
      <c r="Q364" s="50"/>
      <c r="R364" s="95" t="str">
        <f t="shared" si="50"/>
        <v/>
      </c>
      <c r="S364" s="95" t="str">
        <f t="shared" si="51"/>
        <v/>
      </c>
      <c r="T364" s="96">
        <f t="shared" si="52"/>
        <v>0</v>
      </c>
      <c r="U364" s="51"/>
    </row>
    <row r="365" spans="1:21" x14ac:dyDescent="0.25">
      <c r="A365" s="46">
        <f t="shared" si="4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9"/>
        <v>0</v>
      </c>
      <c r="P365" s="50"/>
      <c r="Q365" s="50"/>
      <c r="R365" s="95" t="str">
        <f t="shared" si="50"/>
        <v/>
      </c>
      <c r="S365" s="95" t="str">
        <f t="shared" si="51"/>
        <v/>
      </c>
      <c r="T365" s="96">
        <f t="shared" si="52"/>
        <v>0</v>
      </c>
      <c r="U365" s="51"/>
    </row>
    <row r="366" spans="1:21" x14ac:dyDescent="0.25">
      <c r="A366" s="46">
        <f t="shared" si="4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9"/>
        <v>0</v>
      </c>
      <c r="P366" s="50"/>
      <c r="Q366" s="50"/>
      <c r="R366" s="95" t="str">
        <f t="shared" si="50"/>
        <v/>
      </c>
      <c r="S366" s="95" t="str">
        <f t="shared" si="51"/>
        <v/>
      </c>
      <c r="T366" s="96">
        <f t="shared" si="52"/>
        <v>0</v>
      </c>
      <c r="U366" s="51"/>
    </row>
    <row r="367" spans="1:21" x14ac:dyDescent="0.25">
      <c r="A367" s="46">
        <f t="shared" si="4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9"/>
        <v>0</v>
      </c>
      <c r="P367" s="50"/>
      <c r="Q367" s="50"/>
      <c r="R367" s="95" t="str">
        <f t="shared" si="50"/>
        <v/>
      </c>
      <c r="S367" s="95" t="str">
        <f t="shared" si="51"/>
        <v/>
      </c>
      <c r="T367" s="96">
        <f t="shared" si="52"/>
        <v>0</v>
      </c>
      <c r="U367" s="51"/>
    </row>
    <row r="368" spans="1:21" x14ac:dyDescent="0.25">
      <c r="A368" s="46">
        <f t="shared" si="4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9"/>
        <v>0</v>
      </c>
      <c r="P368" s="50"/>
      <c r="Q368" s="50"/>
      <c r="R368" s="95" t="str">
        <f t="shared" si="50"/>
        <v/>
      </c>
      <c r="S368" s="95" t="str">
        <f t="shared" si="51"/>
        <v/>
      </c>
      <c r="T368" s="96">
        <f t="shared" si="52"/>
        <v>0</v>
      </c>
      <c r="U368" s="51"/>
    </row>
    <row r="369" spans="1:21" x14ac:dyDescent="0.25">
      <c r="A369" s="46">
        <f t="shared" si="4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9"/>
        <v>0</v>
      </c>
      <c r="P369" s="50"/>
      <c r="Q369" s="50"/>
      <c r="R369" s="95" t="str">
        <f t="shared" si="50"/>
        <v/>
      </c>
      <c r="S369" s="95" t="str">
        <f t="shared" si="51"/>
        <v/>
      </c>
      <c r="T369" s="96">
        <f t="shared" si="52"/>
        <v>0</v>
      </c>
      <c r="U369" s="51"/>
    </row>
    <row r="370" spans="1:21" x14ac:dyDescent="0.25">
      <c r="A370" s="46">
        <f t="shared" si="4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9"/>
        <v>0</v>
      </c>
      <c r="P370" s="50"/>
      <c r="Q370" s="50"/>
      <c r="R370" s="95" t="str">
        <f t="shared" si="50"/>
        <v/>
      </c>
      <c r="S370" s="95" t="str">
        <f t="shared" si="51"/>
        <v/>
      </c>
      <c r="T370" s="96">
        <f t="shared" si="52"/>
        <v>0</v>
      </c>
      <c r="U370" s="51"/>
    </row>
    <row r="371" spans="1:21" x14ac:dyDescent="0.25">
      <c r="A371" s="46">
        <f t="shared" si="4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9"/>
        <v>0</v>
      </c>
      <c r="P371" s="50"/>
      <c r="Q371" s="50"/>
      <c r="R371" s="95" t="str">
        <f t="shared" si="50"/>
        <v/>
      </c>
      <c r="S371" s="95" t="str">
        <f t="shared" si="51"/>
        <v/>
      </c>
      <c r="T371" s="96">
        <f t="shared" si="52"/>
        <v>0</v>
      </c>
      <c r="U371" s="51"/>
    </row>
    <row r="372" spans="1:21" x14ac:dyDescent="0.25">
      <c r="A372" s="46">
        <f t="shared" si="4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9"/>
        <v>0</v>
      </c>
      <c r="P372" s="50"/>
      <c r="Q372" s="50"/>
      <c r="R372" s="95" t="str">
        <f t="shared" si="50"/>
        <v/>
      </c>
      <c r="S372" s="95" t="str">
        <f t="shared" si="51"/>
        <v/>
      </c>
      <c r="T372" s="96">
        <f t="shared" si="52"/>
        <v>0</v>
      </c>
      <c r="U372" s="51"/>
    </row>
    <row r="373" spans="1:21" x14ac:dyDescent="0.25">
      <c r="A373" s="46">
        <f t="shared" si="4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9"/>
        <v>0</v>
      </c>
      <c r="P373" s="50"/>
      <c r="Q373" s="50"/>
      <c r="R373" s="95" t="str">
        <f t="shared" si="50"/>
        <v/>
      </c>
      <c r="S373" s="95" t="str">
        <f t="shared" si="51"/>
        <v/>
      </c>
      <c r="T373" s="96">
        <f t="shared" si="52"/>
        <v>0</v>
      </c>
      <c r="U373" s="51"/>
    </row>
    <row r="374" spans="1:21" x14ac:dyDescent="0.25">
      <c r="A374" s="46">
        <f t="shared" si="4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9"/>
        <v>0</v>
      </c>
      <c r="P374" s="50"/>
      <c r="Q374" s="50"/>
      <c r="R374" s="95" t="str">
        <f t="shared" si="50"/>
        <v/>
      </c>
      <c r="S374" s="95" t="str">
        <f t="shared" si="51"/>
        <v/>
      </c>
      <c r="T374" s="96">
        <f t="shared" si="52"/>
        <v>0</v>
      </c>
      <c r="U374" s="51"/>
    </row>
    <row r="375" spans="1:21" x14ac:dyDescent="0.25">
      <c r="A375" s="46">
        <f t="shared" si="4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9"/>
        <v>0</v>
      </c>
      <c r="P375" s="50"/>
      <c r="Q375" s="50"/>
      <c r="R375" s="95" t="str">
        <f t="shared" si="50"/>
        <v/>
      </c>
      <c r="S375" s="95" t="str">
        <f t="shared" si="51"/>
        <v/>
      </c>
      <c r="T375" s="96">
        <f t="shared" si="52"/>
        <v>0</v>
      </c>
      <c r="U375" s="51"/>
    </row>
    <row r="376" spans="1:21" x14ac:dyDescent="0.25">
      <c r="A376" s="46">
        <f t="shared" si="4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9"/>
        <v>0</v>
      </c>
      <c r="P376" s="50"/>
      <c r="Q376" s="50"/>
      <c r="R376" s="95" t="str">
        <f t="shared" si="50"/>
        <v/>
      </c>
      <c r="S376" s="95" t="str">
        <f t="shared" si="51"/>
        <v/>
      </c>
      <c r="T376" s="96">
        <f t="shared" si="52"/>
        <v>0</v>
      </c>
      <c r="U376" s="51"/>
    </row>
    <row r="377" spans="1:21" x14ac:dyDescent="0.25">
      <c r="A377" s="46">
        <f t="shared" si="4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9"/>
        <v>0</v>
      </c>
      <c r="P377" s="50"/>
      <c r="Q377" s="50"/>
      <c r="R377" s="95" t="str">
        <f t="shared" si="50"/>
        <v/>
      </c>
      <c r="S377" s="95" t="str">
        <f t="shared" si="51"/>
        <v/>
      </c>
      <c r="T377" s="96">
        <f t="shared" si="52"/>
        <v>0</v>
      </c>
      <c r="U377" s="51"/>
    </row>
    <row r="378" spans="1:21" x14ac:dyDescent="0.25">
      <c r="A378" s="46">
        <f t="shared" si="4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9"/>
        <v>0</v>
      </c>
      <c r="P378" s="50"/>
      <c r="Q378" s="50"/>
      <c r="R378" s="95" t="str">
        <f t="shared" si="50"/>
        <v/>
      </c>
      <c r="S378" s="95" t="str">
        <f t="shared" si="51"/>
        <v/>
      </c>
      <c r="T378" s="96">
        <f t="shared" si="52"/>
        <v>0</v>
      </c>
      <c r="U378" s="51"/>
    </row>
    <row r="379" spans="1:21" x14ac:dyDescent="0.25">
      <c r="A379" s="46">
        <f t="shared" si="4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9"/>
        <v>0</v>
      </c>
      <c r="P379" s="50"/>
      <c r="Q379" s="50"/>
      <c r="R379" s="95" t="str">
        <f t="shared" si="50"/>
        <v/>
      </c>
      <c r="S379" s="95" t="str">
        <f t="shared" si="51"/>
        <v/>
      </c>
      <c r="T379" s="96">
        <f t="shared" si="52"/>
        <v>0</v>
      </c>
      <c r="U379" s="51"/>
    </row>
    <row r="380" spans="1:21" x14ac:dyDescent="0.25">
      <c r="A380" s="46">
        <f t="shared" si="4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9"/>
        <v>0</v>
      </c>
      <c r="P380" s="50"/>
      <c r="Q380" s="50"/>
      <c r="R380" s="95" t="str">
        <f t="shared" si="50"/>
        <v/>
      </c>
      <c r="S380" s="95" t="str">
        <f t="shared" si="51"/>
        <v/>
      </c>
      <c r="T380" s="96">
        <f t="shared" si="52"/>
        <v>0</v>
      </c>
      <c r="U380" s="51"/>
    </row>
    <row r="381" spans="1:21" x14ac:dyDescent="0.25">
      <c r="A381" s="46">
        <f t="shared" si="4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9"/>
        <v>0</v>
      </c>
      <c r="P381" s="50"/>
      <c r="Q381" s="50"/>
      <c r="R381" s="95" t="str">
        <f t="shared" si="50"/>
        <v/>
      </c>
      <c r="S381" s="95" t="str">
        <f t="shared" si="51"/>
        <v/>
      </c>
      <c r="T381" s="96">
        <f t="shared" si="52"/>
        <v>0</v>
      </c>
      <c r="U381" s="51"/>
    </row>
    <row r="382" spans="1:21" x14ac:dyDescent="0.25">
      <c r="A382" s="46">
        <f t="shared" si="4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9"/>
        <v>0</v>
      </c>
      <c r="P382" s="50"/>
      <c r="Q382" s="50"/>
      <c r="R382" s="95" t="str">
        <f t="shared" si="50"/>
        <v/>
      </c>
      <c r="S382" s="95" t="str">
        <f t="shared" si="51"/>
        <v/>
      </c>
      <c r="T382" s="96">
        <f t="shared" si="52"/>
        <v>0</v>
      </c>
      <c r="U382" s="51"/>
    </row>
    <row r="383" spans="1:21" x14ac:dyDescent="0.25">
      <c r="A383" s="46">
        <f t="shared" si="4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9"/>
        <v>0</v>
      </c>
      <c r="P383" s="50"/>
      <c r="Q383" s="50"/>
      <c r="R383" s="95" t="str">
        <f t="shared" si="50"/>
        <v/>
      </c>
      <c r="S383" s="95" t="str">
        <f t="shared" si="51"/>
        <v/>
      </c>
      <c r="T383" s="96">
        <f t="shared" si="52"/>
        <v>0</v>
      </c>
      <c r="U383" s="51"/>
    </row>
    <row r="384" spans="1:21" x14ac:dyDescent="0.25">
      <c r="A384" s="46">
        <f t="shared" si="4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9"/>
        <v>0</v>
      </c>
      <c r="P384" s="50"/>
      <c r="Q384" s="50"/>
      <c r="R384" s="95" t="str">
        <f t="shared" si="50"/>
        <v/>
      </c>
      <c r="S384" s="95" t="str">
        <f t="shared" si="51"/>
        <v/>
      </c>
      <c r="T384" s="96">
        <f t="shared" si="52"/>
        <v>0</v>
      </c>
      <c r="U384" s="51"/>
    </row>
    <row r="385" spans="1:21" x14ac:dyDescent="0.25">
      <c r="A385" s="46">
        <f t="shared" si="4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9"/>
        <v>0</v>
      </c>
      <c r="P385" s="50"/>
      <c r="Q385" s="50"/>
      <c r="R385" s="95" t="str">
        <f t="shared" si="50"/>
        <v/>
      </c>
      <c r="S385" s="95" t="str">
        <f t="shared" si="51"/>
        <v/>
      </c>
      <c r="T385" s="96">
        <f t="shared" si="52"/>
        <v>0</v>
      </c>
      <c r="U385" s="51"/>
    </row>
    <row r="386" spans="1:21" x14ac:dyDescent="0.25">
      <c r="A386" s="46">
        <f t="shared" si="4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9"/>
        <v>0</v>
      </c>
      <c r="P386" s="50"/>
      <c r="Q386" s="50"/>
      <c r="R386" s="95" t="str">
        <f t="shared" si="50"/>
        <v/>
      </c>
      <c r="S386" s="95" t="str">
        <f t="shared" si="51"/>
        <v/>
      </c>
      <c r="T386" s="96">
        <f t="shared" si="52"/>
        <v>0</v>
      </c>
      <c r="U386" s="51"/>
    </row>
    <row r="387" spans="1:21" x14ac:dyDescent="0.25">
      <c r="A387" s="46">
        <f t="shared" si="4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9"/>
        <v>0</v>
      </c>
      <c r="P387" s="50"/>
      <c r="Q387" s="50"/>
      <c r="R387" s="95" t="str">
        <f t="shared" si="50"/>
        <v/>
      </c>
      <c r="S387" s="95" t="str">
        <f t="shared" si="51"/>
        <v/>
      </c>
      <c r="T387" s="96">
        <f t="shared" si="52"/>
        <v>0</v>
      </c>
      <c r="U387" s="51"/>
    </row>
    <row r="388" spans="1:21" x14ac:dyDescent="0.25">
      <c r="A388" s="46">
        <f t="shared" si="4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9"/>
        <v>0</v>
      </c>
      <c r="P388" s="50"/>
      <c r="Q388" s="50"/>
      <c r="R388" s="95" t="str">
        <f t="shared" si="50"/>
        <v/>
      </c>
      <c r="S388" s="95" t="str">
        <f t="shared" si="51"/>
        <v/>
      </c>
      <c r="T388" s="96">
        <f t="shared" si="52"/>
        <v>0</v>
      </c>
      <c r="U388" s="51"/>
    </row>
    <row r="389" spans="1:21" x14ac:dyDescent="0.25">
      <c r="A389" s="46">
        <f t="shared" si="4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9"/>
        <v>0</v>
      </c>
      <c r="P389" s="50"/>
      <c r="Q389" s="50"/>
      <c r="R389" s="95" t="str">
        <f t="shared" si="50"/>
        <v/>
      </c>
      <c r="S389" s="95" t="str">
        <f t="shared" si="51"/>
        <v/>
      </c>
      <c r="T389" s="96">
        <f t="shared" si="52"/>
        <v>0</v>
      </c>
      <c r="U389" s="51"/>
    </row>
    <row r="390" spans="1:21" x14ac:dyDescent="0.25">
      <c r="A390" s="46">
        <f t="shared" si="4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9"/>
        <v>0</v>
      </c>
      <c r="P390" s="50"/>
      <c r="Q390" s="50"/>
      <c r="R390" s="95" t="str">
        <f t="shared" si="50"/>
        <v/>
      </c>
      <c r="S390" s="95" t="str">
        <f t="shared" si="51"/>
        <v/>
      </c>
      <c r="T390" s="96">
        <f t="shared" si="52"/>
        <v>0</v>
      </c>
      <c r="U390" s="51"/>
    </row>
    <row r="391" spans="1:21" x14ac:dyDescent="0.25">
      <c r="A391" s="46">
        <f t="shared" si="4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9"/>
        <v>0</v>
      </c>
      <c r="P391" s="50"/>
      <c r="Q391" s="50"/>
      <c r="R391" s="95" t="str">
        <f t="shared" si="50"/>
        <v/>
      </c>
      <c r="S391" s="95" t="str">
        <f t="shared" si="51"/>
        <v/>
      </c>
      <c r="T391" s="96">
        <f t="shared" si="52"/>
        <v>0</v>
      </c>
      <c r="U391" s="51"/>
    </row>
    <row r="392" spans="1:21" x14ac:dyDescent="0.25">
      <c r="A392" s="46">
        <f t="shared" si="4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9"/>
        <v>0</v>
      </c>
      <c r="P392" s="50"/>
      <c r="Q392" s="50"/>
      <c r="R392" s="95" t="str">
        <f t="shared" si="50"/>
        <v/>
      </c>
      <c r="S392" s="95" t="str">
        <f t="shared" si="51"/>
        <v/>
      </c>
      <c r="T392" s="96">
        <f t="shared" si="52"/>
        <v>0</v>
      </c>
      <c r="U392" s="51"/>
    </row>
    <row r="393" spans="1:21" x14ac:dyDescent="0.25">
      <c r="A393" s="46">
        <f t="shared" si="4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9"/>
        <v>0</v>
      </c>
      <c r="P393" s="50"/>
      <c r="Q393" s="50"/>
      <c r="R393" s="95" t="str">
        <f t="shared" si="50"/>
        <v/>
      </c>
      <c r="S393" s="95" t="str">
        <f t="shared" si="51"/>
        <v/>
      </c>
      <c r="T393" s="96">
        <f t="shared" si="52"/>
        <v>0</v>
      </c>
      <c r="U393" s="51"/>
    </row>
    <row r="394" spans="1:21" x14ac:dyDescent="0.25">
      <c r="A394" s="46">
        <f t="shared" si="4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9"/>
        <v>0</v>
      </c>
      <c r="P394" s="50"/>
      <c r="Q394" s="50"/>
      <c r="R394" s="95" t="str">
        <f t="shared" si="50"/>
        <v/>
      </c>
      <c r="S394" s="95" t="str">
        <f t="shared" si="51"/>
        <v/>
      </c>
      <c r="T394" s="96">
        <f t="shared" si="52"/>
        <v>0</v>
      </c>
      <c r="U394" s="51"/>
    </row>
    <row r="395" spans="1:21" x14ac:dyDescent="0.25">
      <c r="A395" s="46">
        <f t="shared" si="4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9"/>
        <v>0</v>
      </c>
      <c r="P395" s="50"/>
      <c r="Q395" s="50"/>
      <c r="R395" s="95" t="str">
        <f t="shared" si="50"/>
        <v/>
      </c>
      <c r="S395" s="95" t="str">
        <f t="shared" si="51"/>
        <v/>
      </c>
      <c r="T395" s="96">
        <f t="shared" si="52"/>
        <v>0</v>
      </c>
      <c r="U395" s="51"/>
    </row>
    <row r="396" spans="1:21" x14ac:dyDescent="0.25">
      <c r="A396" s="46">
        <f t="shared" ref="A396:A411" si="5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54">T396*N396</f>
        <v>0</v>
      </c>
      <c r="P396" s="50"/>
      <c r="Q396" s="50"/>
      <c r="R396" s="95" t="str">
        <f t="shared" ref="R396:R411" si="55">IF(OR(P396="c",P396="C"),+T396,"")</f>
        <v/>
      </c>
      <c r="S396" s="95" t="str">
        <f t="shared" ref="S396:S411" si="56">IF(OR(P396="$",N396=1),+T396,"")</f>
        <v/>
      </c>
      <c r="T396" s="96">
        <f t="shared" ref="T396:T411" si="5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5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54"/>
        <v>0</v>
      </c>
      <c r="P397" s="50"/>
      <c r="Q397" s="50"/>
      <c r="R397" s="95" t="str">
        <f t="shared" si="55"/>
        <v/>
      </c>
      <c r="S397" s="95" t="str">
        <f t="shared" si="56"/>
        <v/>
      </c>
      <c r="T397" s="96">
        <f t="shared" si="57"/>
        <v>0</v>
      </c>
      <c r="U397" s="51"/>
    </row>
    <row r="398" spans="1:21" x14ac:dyDescent="0.25">
      <c r="A398" s="46">
        <f t="shared" si="5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54"/>
        <v>0</v>
      </c>
      <c r="P398" s="50"/>
      <c r="Q398" s="50"/>
      <c r="R398" s="95" t="str">
        <f t="shared" si="55"/>
        <v/>
      </c>
      <c r="S398" s="95" t="str">
        <f t="shared" si="56"/>
        <v/>
      </c>
      <c r="T398" s="96">
        <f t="shared" si="57"/>
        <v>0</v>
      </c>
      <c r="U398" s="51"/>
    </row>
    <row r="399" spans="1:21" x14ac:dyDescent="0.25">
      <c r="A399" s="46">
        <f t="shared" si="5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54"/>
        <v>0</v>
      </c>
      <c r="P399" s="50"/>
      <c r="Q399" s="50"/>
      <c r="R399" s="95" t="str">
        <f t="shared" si="55"/>
        <v/>
      </c>
      <c r="S399" s="95" t="str">
        <f t="shared" si="56"/>
        <v/>
      </c>
      <c r="T399" s="96">
        <f t="shared" si="57"/>
        <v>0</v>
      </c>
      <c r="U399" s="51"/>
    </row>
    <row r="400" spans="1:21" x14ac:dyDescent="0.25">
      <c r="A400" s="46">
        <f t="shared" si="5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54"/>
        <v>0</v>
      </c>
      <c r="P400" s="50"/>
      <c r="Q400" s="50"/>
      <c r="R400" s="95" t="str">
        <f t="shared" si="55"/>
        <v/>
      </c>
      <c r="S400" s="95" t="str">
        <f t="shared" si="56"/>
        <v/>
      </c>
      <c r="T400" s="96">
        <f t="shared" si="57"/>
        <v>0</v>
      </c>
      <c r="U400" s="51"/>
    </row>
    <row r="401" spans="1:21" x14ac:dyDescent="0.25">
      <c r="A401" s="46">
        <f t="shared" si="5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54"/>
        <v>0</v>
      </c>
      <c r="P401" s="50"/>
      <c r="Q401" s="50"/>
      <c r="R401" s="95" t="str">
        <f t="shared" si="55"/>
        <v/>
      </c>
      <c r="S401" s="95" t="str">
        <f t="shared" si="56"/>
        <v/>
      </c>
      <c r="T401" s="96">
        <f t="shared" si="57"/>
        <v>0</v>
      </c>
      <c r="U401" s="51"/>
    </row>
    <row r="402" spans="1:21" x14ac:dyDescent="0.25">
      <c r="A402" s="46">
        <f t="shared" si="5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54"/>
        <v>0</v>
      </c>
      <c r="P402" s="50"/>
      <c r="Q402" s="50"/>
      <c r="R402" s="95" t="str">
        <f t="shared" si="55"/>
        <v/>
      </c>
      <c r="S402" s="95" t="str">
        <f t="shared" si="56"/>
        <v/>
      </c>
      <c r="T402" s="96">
        <f t="shared" si="57"/>
        <v>0</v>
      </c>
      <c r="U402" s="51"/>
    </row>
    <row r="403" spans="1:21" x14ac:dyDescent="0.25">
      <c r="A403" s="46">
        <f t="shared" si="5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54"/>
        <v>0</v>
      </c>
      <c r="P403" s="50"/>
      <c r="Q403" s="50"/>
      <c r="R403" s="95" t="str">
        <f t="shared" si="55"/>
        <v/>
      </c>
      <c r="S403" s="95" t="str">
        <f t="shared" si="56"/>
        <v/>
      </c>
      <c r="T403" s="96">
        <f t="shared" si="57"/>
        <v>0</v>
      </c>
      <c r="U403" s="51"/>
    </row>
    <row r="404" spans="1:21" x14ac:dyDescent="0.25">
      <c r="A404" s="46">
        <f t="shared" si="5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54"/>
        <v>0</v>
      </c>
      <c r="P404" s="50"/>
      <c r="Q404" s="50"/>
      <c r="R404" s="95" t="str">
        <f t="shared" si="55"/>
        <v/>
      </c>
      <c r="S404" s="95" t="str">
        <f t="shared" si="56"/>
        <v/>
      </c>
      <c r="T404" s="96">
        <f t="shared" si="57"/>
        <v>0</v>
      </c>
      <c r="U404" s="51"/>
    </row>
    <row r="405" spans="1:21" x14ac:dyDescent="0.25">
      <c r="A405" s="46">
        <f t="shared" si="5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54"/>
        <v>0</v>
      </c>
      <c r="P405" s="50"/>
      <c r="Q405" s="50"/>
      <c r="R405" s="95" t="str">
        <f t="shared" si="55"/>
        <v/>
      </c>
      <c r="S405" s="95" t="str">
        <f t="shared" si="56"/>
        <v/>
      </c>
      <c r="T405" s="96">
        <f t="shared" si="57"/>
        <v>0</v>
      </c>
      <c r="U405" s="51"/>
    </row>
    <row r="406" spans="1:21" x14ac:dyDescent="0.25">
      <c r="A406" s="46">
        <f t="shared" si="5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54"/>
        <v>0</v>
      </c>
      <c r="P406" s="50"/>
      <c r="Q406" s="50"/>
      <c r="R406" s="95" t="str">
        <f t="shared" si="55"/>
        <v/>
      </c>
      <c r="S406" s="95" t="str">
        <f t="shared" si="56"/>
        <v/>
      </c>
      <c r="T406" s="96">
        <f t="shared" si="57"/>
        <v>0</v>
      </c>
      <c r="U406" s="51"/>
    </row>
    <row r="407" spans="1:21" x14ac:dyDescent="0.25">
      <c r="A407" s="46">
        <f t="shared" si="5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54"/>
        <v>0</v>
      </c>
      <c r="P407" s="50"/>
      <c r="Q407" s="50"/>
      <c r="R407" s="95" t="str">
        <f t="shared" si="55"/>
        <v/>
      </c>
      <c r="S407" s="95" t="str">
        <f t="shared" si="56"/>
        <v/>
      </c>
      <c r="T407" s="96">
        <f t="shared" si="57"/>
        <v>0</v>
      </c>
      <c r="U407" s="51"/>
    </row>
    <row r="408" spans="1:21" x14ac:dyDescent="0.25">
      <c r="A408" s="46">
        <f t="shared" si="5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54"/>
        <v>0</v>
      </c>
      <c r="P408" s="50"/>
      <c r="Q408" s="50"/>
      <c r="R408" s="95" t="str">
        <f t="shared" si="55"/>
        <v/>
      </c>
      <c r="S408" s="95" t="str">
        <f t="shared" si="56"/>
        <v/>
      </c>
      <c r="T408" s="96">
        <f t="shared" si="57"/>
        <v>0</v>
      </c>
      <c r="U408" s="51"/>
    </row>
    <row r="409" spans="1:21" x14ac:dyDescent="0.25">
      <c r="A409" s="46">
        <f t="shared" si="5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54"/>
        <v>0</v>
      </c>
      <c r="P409" s="50"/>
      <c r="Q409" s="50"/>
      <c r="R409" s="95" t="str">
        <f t="shared" si="55"/>
        <v/>
      </c>
      <c r="S409" s="95" t="str">
        <f t="shared" si="56"/>
        <v/>
      </c>
      <c r="T409" s="96">
        <f t="shared" si="57"/>
        <v>0</v>
      </c>
      <c r="U409" s="51"/>
    </row>
    <row r="410" spans="1:21" x14ac:dyDescent="0.25">
      <c r="A410" s="46">
        <f t="shared" si="5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54"/>
        <v>0</v>
      </c>
      <c r="P410" s="50"/>
      <c r="Q410" s="50"/>
      <c r="R410" s="95" t="str">
        <f t="shared" si="55"/>
        <v/>
      </c>
      <c r="S410" s="95" t="str">
        <f t="shared" si="56"/>
        <v/>
      </c>
      <c r="T410" s="96">
        <f t="shared" si="57"/>
        <v>0</v>
      </c>
      <c r="U410" s="51"/>
    </row>
    <row r="411" spans="1:21" x14ac:dyDescent="0.25">
      <c r="A411" s="46">
        <f t="shared" si="5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54"/>
        <v>0</v>
      </c>
      <c r="P411" s="50"/>
      <c r="Q411" s="50"/>
      <c r="R411" s="95" t="str">
        <f t="shared" si="55"/>
        <v/>
      </c>
      <c r="S411" s="95" t="str">
        <f t="shared" si="56"/>
        <v/>
      </c>
      <c r="T411" s="96">
        <f t="shared" si="57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D96FFED-3A1D-4D35-90BC-35CE371520F0}"/>
    <hyperlink ref="G61" r:id="rId2" xr:uid="{ACF81A0F-AE18-4381-93C6-CA01F0D9C691}"/>
    <hyperlink ref="G73" r:id="rId3" xr:uid="{0DD0142F-1AE3-419E-B6F4-0918C3C899BE}"/>
    <hyperlink ref="G76" r:id="rId4" xr:uid="{ED9ED146-5533-4EDC-A821-B2FF0D1BE20E}"/>
    <hyperlink ref="G79" r:id="rId5" xr:uid="{AB6181D7-8648-44B6-BBB9-D35E49F9CDB2}"/>
    <hyperlink ref="G22" r:id="rId6" xr:uid="{C4C65FCC-7C81-4D27-96DC-B7148F9C94F4}"/>
    <hyperlink ref="G27" r:id="rId7" xr:uid="{E1309A3F-8160-4ADB-BAFD-F4732300C936}"/>
    <hyperlink ref="G113" r:id="rId8" xr:uid="{D9EB7DCA-A3DF-4B1A-A2C7-2608556BC70B}"/>
    <hyperlink ref="G117" r:id="rId9" xr:uid="{16E183EB-378D-43B2-9BE1-0081BCCC8A1C}"/>
    <hyperlink ref="G120" r:id="rId10" xr:uid="{F67F6BF2-9FAA-4D8E-9B12-DABE11AEAA8B}"/>
    <hyperlink ref="G130" r:id="rId11" xr:uid="{E9777FC3-3E72-40C1-9C28-06F00CD4D8B0}"/>
    <hyperlink ref="G39" r:id="rId12" xr:uid="{2C96F898-1359-4FD3-A332-8D72D2D69C86}"/>
    <hyperlink ref="G133" r:id="rId13" xr:uid="{C77B9FC9-7885-4D8C-9A78-27BBA898857F}"/>
    <hyperlink ref="G140" r:id="rId14" xr:uid="{91391152-8C51-4E9C-83FC-C1807F261D64}"/>
    <hyperlink ref="G54" r:id="rId15" xr:uid="{06BEE87F-4300-4731-BDE3-C7BA82F8C7C1}"/>
    <hyperlink ref="G173" r:id="rId16" xr:uid="{6D3A5286-0BFA-4F07-9EAC-72DC13D7A681}"/>
    <hyperlink ref="G177" r:id="rId17" xr:uid="{C738E2A2-B2BD-4696-A0A2-B2FF28A0EE00}"/>
    <hyperlink ref="G180" r:id="rId18" xr:uid="{F2512885-7EA8-4AAB-AAEF-977E07866B71}"/>
    <hyperlink ref="G64" r:id="rId19" xr:uid="{CD088142-3B54-4A65-BCCA-FBA8B1713269}"/>
    <hyperlink ref="G68" r:id="rId20" xr:uid="{3828C41C-F72E-44ED-9C7F-8D015A02F3C4}"/>
    <hyperlink ref="G70" r:id="rId21" xr:uid="{44F84393-919A-41E2-94F2-5C8982A82164}"/>
    <hyperlink ref="G198" r:id="rId22" xr:uid="{258812E1-91D4-44F0-96E5-66622C19946C}"/>
    <hyperlink ref="G148" r:id="rId23" xr:uid="{C012699E-66AE-4E69-981E-2E42C56F706E}"/>
    <hyperlink ref="G149" r:id="rId24" xr:uid="{0A314F37-6083-4C25-A3AF-23E75F03F260}"/>
    <hyperlink ref="G20" r:id="rId25" xr:uid="{2CFE0844-CC2F-4CD8-9B38-8B7D97B216A1}"/>
    <hyperlink ref="G42" r:id="rId26" xr:uid="{AA9C34DF-9063-4EBE-AAC5-65EDDABC02E7}"/>
    <hyperlink ref="G118" r:id="rId27" xr:uid="{E8AE7212-CABF-43FC-A9A9-488D58E73D56}"/>
    <hyperlink ref="G160" r:id="rId28" xr:uid="{5984DF10-83DB-4A9B-918B-BD83DB9A5CE5}"/>
    <hyperlink ref="G155" r:id="rId29" xr:uid="{B05AED0F-0E70-49A0-8571-493B91E268AB}"/>
    <hyperlink ref="G43" r:id="rId30" xr:uid="{9BFC5CBE-27EE-48BC-956D-368BCA38BA54}"/>
    <hyperlink ref="G119" r:id="rId31" xr:uid="{E1B47D96-34D8-40C6-BDAA-3BAFFF68CC53}"/>
    <hyperlink ref="G175" r:id="rId32" xr:uid="{971DFE60-BB82-49C1-BAF9-9E41920463DA}"/>
    <hyperlink ref="G184" r:id="rId33" xr:uid="{73BBA906-5ED1-4FFB-B7B4-CDD40FCF27AA}"/>
    <hyperlink ref="G71" r:id="rId34" xr:uid="{961ED862-2BAB-4D6A-98F0-DE68C511EC3B}"/>
    <hyperlink ref="G60" r:id="rId35" xr:uid="{A5DA5647-8522-42A5-8920-52B7E9BAA9D5}"/>
    <hyperlink ref="G48" r:id="rId36" xr:uid="{36B7DC31-1532-4632-B022-C2FBF849BA06}"/>
    <hyperlink ref="G63" r:id="rId37" xr:uid="{FEE769A2-69B1-4595-A77D-08164C8B4164}"/>
    <hyperlink ref="G18" r:id="rId38" xr:uid="{F79C9170-9BC4-411F-935F-786EAE0B71CB}"/>
    <hyperlink ref="G57" r:id="rId39" xr:uid="{5C13F707-E1E4-47D1-BB66-2236C157B867}"/>
    <hyperlink ref="G56" r:id="rId40" xr:uid="{E0E39CB5-7EDB-4C23-B1FC-2A6A15D24E0C}"/>
    <hyperlink ref="G37" r:id="rId41" xr:uid="{69734465-8F77-4E97-A325-B9A27F2C20E2}"/>
    <hyperlink ref="G32" r:id="rId42" xr:uid="{5D465071-B616-4170-B03E-FC2CDF6B811A}"/>
    <hyperlink ref="G33" r:id="rId43" xr:uid="{30FFEADA-D002-4E36-9B1E-1AC3A406006C}"/>
    <hyperlink ref="G21" r:id="rId44" xr:uid="{9C4B5707-21E4-4B2F-929A-FA7C10408CCB}"/>
    <hyperlink ref="G13" r:id="rId45" xr:uid="{F24BBBA9-7A3E-47D8-98D3-DD68E3D10E00}"/>
    <hyperlink ref="G45" r:id="rId46" xr:uid="{F08CB2DA-2324-4E3A-8D24-E080C49078FE}"/>
    <hyperlink ref="G17" r:id="rId47" xr:uid="{75623A92-49BA-47E5-A250-D50C6A1A8906}"/>
    <hyperlink ref="G31" r:id="rId48" xr:uid="{0B49D480-28BE-4BB7-B108-80E52557F2E0}"/>
    <hyperlink ref="G28" r:id="rId49" xr:uid="{1A854EAD-26AC-4EFE-85DC-F503F3E1FD54}"/>
    <hyperlink ref="G49" r:id="rId50" xr:uid="{4CBAD01F-D7DF-4727-9D81-5FFB0103C601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R45"/>
  <sheetViews>
    <sheetView showZeros="0" workbookViewId="0">
      <selection activeCell="A5" sqref="A5"/>
    </sheetView>
  </sheetViews>
  <sheetFormatPr defaultRowHeight="15" x14ac:dyDescent="0.25"/>
  <cols>
    <col min="1" max="1" width="19.85546875" customWidth="1"/>
    <col min="2" max="2" width="19.7109375" customWidth="1"/>
    <col min="3" max="3" width="10.7109375" customWidth="1"/>
    <col min="4" max="7" width="4.85546875" customWidth="1"/>
    <col min="8" max="9" width="0" hidden="1" customWidth="1"/>
    <col min="10" max="10" width="7" customWidth="1"/>
  </cols>
  <sheetData>
    <row r="2" spans="1:18" ht="21" x14ac:dyDescent="0.35">
      <c r="A2" s="63" t="s">
        <v>604</v>
      </c>
    </row>
    <row r="3" spans="1:18" x14ac:dyDescent="0.25">
      <c r="K3" s="64"/>
    </row>
    <row r="4" spans="1:18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8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47"/>
      <c r="M5" s="114"/>
      <c r="N5" s="114"/>
      <c r="O5" s="114"/>
      <c r="P5" s="114"/>
      <c r="Q5" s="114"/>
      <c r="R5" s="115"/>
    </row>
    <row r="6" spans="1:18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47"/>
      <c r="M6" s="114"/>
      <c r="N6" s="114"/>
      <c r="O6" s="114"/>
      <c r="P6" s="114"/>
      <c r="Q6" s="114"/>
      <c r="R6" s="115"/>
    </row>
    <row r="7" spans="1:18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47"/>
      <c r="M7" s="114"/>
      <c r="N7" s="114"/>
      <c r="O7" s="114"/>
      <c r="P7" s="114"/>
      <c r="Q7" s="114"/>
      <c r="R7" s="115"/>
    </row>
    <row r="8" spans="1:18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47"/>
      <c r="M8" s="114"/>
      <c r="N8" s="114"/>
      <c r="O8" s="114"/>
      <c r="P8" s="114"/>
      <c r="Q8" s="114"/>
      <c r="R8" s="115"/>
    </row>
    <row r="9" spans="1:18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47"/>
      <c r="M9" s="114"/>
      <c r="N9" s="114"/>
      <c r="O9" s="114"/>
      <c r="P9" s="114"/>
      <c r="Q9" s="114"/>
      <c r="R9" s="115"/>
    </row>
    <row r="10" spans="1:18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47"/>
      <c r="M10" s="114"/>
      <c r="N10" s="114"/>
      <c r="O10" s="114"/>
      <c r="P10" s="114"/>
      <c r="Q10" s="114"/>
      <c r="R10" s="115"/>
    </row>
    <row r="11" spans="1:18" x14ac:dyDescent="0.25">
      <c r="A11" s="7" t="s">
        <v>742</v>
      </c>
      <c r="B11" s="7"/>
      <c r="C11" s="8" t="s">
        <v>743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47"/>
      <c r="M11" s="114"/>
      <c r="N11" s="114"/>
      <c r="O11" s="114"/>
      <c r="P11" s="114"/>
      <c r="Q11" s="114"/>
      <c r="R11" s="115"/>
    </row>
    <row r="12" spans="1:18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47"/>
      <c r="M12" s="114"/>
      <c r="N12" s="114"/>
      <c r="O12" s="114"/>
      <c r="P12" s="114"/>
      <c r="Q12" s="114"/>
      <c r="R12" s="115"/>
    </row>
    <row r="13" spans="1:18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47"/>
      <c r="M13" s="114"/>
      <c r="N13" s="114"/>
      <c r="O13" s="114"/>
      <c r="P13" s="114"/>
      <c r="Q13" s="114"/>
      <c r="R13" s="115"/>
    </row>
    <row r="14" spans="1:18" x14ac:dyDescent="0.25">
      <c r="A14" s="7" t="s">
        <v>761</v>
      </c>
      <c r="B14" s="7" t="s">
        <v>409</v>
      </c>
      <c r="C14" s="8" t="s">
        <v>762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47"/>
      <c r="M14" s="114"/>
      <c r="N14" s="114"/>
      <c r="O14" s="114"/>
      <c r="P14" s="114"/>
      <c r="Q14" s="114"/>
      <c r="R14" s="115"/>
    </row>
    <row r="15" spans="1:18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8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7" t="s">
        <v>71</v>
      </c>
      <c r="D7" s="7" t="s">
        <v>72</v>
      </c>
      <c r="E7" s="8" t="s">
        <v>73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2025-03-11T21:27:12Z</cp:lastPrinted>
  <dcterms:created xsi:type="dcterms:W3CDTF">2024-01-08T00:50:15Z</dcterms:created>
  <dcterms:modified xsi:type="dcterms:W3CDTF">2025-10-14T15:19:14Z</dcterms:modified>
</cp:coreProperties>
</file>