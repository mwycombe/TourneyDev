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Preliminary\"/>
    </mc:Choice>
  </mc:AlternateContent>
  <xr:revisionPtr revIDLastSave="0" documentId="13_ncr:1_{146DC42B-6878-48F0-A256-4BD0C483A2DB}" xr6:coauthVersionLast="47" xr6:coauthVersionMax="47" xr10:uidLastSave="{00000000-0000-0000-0000-000000000000}"/>
  <bookViews>
    <workbookView xWindow="-23670" yWindow="780" windowWidth="19620" windowHeight="14910" activeTab="1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4" l="1"/>
  <c r="B6" i="14"/>
  <c r="B5" i="14"/>
  <c r="B4" i="14"/>
  <c r="K5" i="1"/>
  <c r="K4" i="1"/>
  <c r="K3" i="1"/>
  <c r="K2" i="1"/>
  <c r="A71" i="1"/>
  <c r="R71" i="1"/>
  <c r="T71" i="1"/>
  <c r="O71" i="1" s="1"/>
  <c r="A70" i="1"/>
  <c r="R70" i="1"/>
  <c r="T70" i="1"/>
  <c r="O70" i="1" s="1"/>
  <c r="S71" i="1" l="1"/>
  <c r="S70" i="1"/>
  <c r="A32" i="1"/>
  <c r="R32" i="1"/>
  <c r="T32" i="1"/>
  <c r="O32" i="1" s="1"/>
  <c r="A45" i="1"/>
  <c r="R45" i="1"/>
  <c r="T45" i="1"/>
  <c r="O45" i="1" s="1"/>
  <c r="A29" i="1"/>
  <c r="T29" i="1"/>
  <c r="S29" i="1" s="1"/>
  <c r="R51" i="1"/>
  <c r="S51" i="1"/>
  <c r="S45" i="1" l="1"/>
  <c r="S32" i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<sst xmlns="http://schemas.openxmlformats.org/spreadsheetml/2006/main" count="448" uniqueCount="302">
  <si>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</si>
  <si>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</si>
  <si>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</si>
  <si>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</si>
  <si>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</si>
  <si>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</si>
  <si>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</si>
  <si>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</si>
  <si>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</si>
  <si>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</si>
  <si>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</si>
  <si>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</si>
  <si>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</si>
  <si>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</si>
  <si>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</si>
  <si>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</si>
  <si>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</si>
  <si>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</si>
  <si>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</si>
  <si>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</si>
  <si>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</si>
  <si>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</si>
  <si>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</si>
  <si>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</si>
  <si>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</si>
  <si>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</si>
  <si>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</si>
  <si>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</si>
  <si>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</si>
  <si>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</si>
  <si>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</si>
  <si>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</si>
  <si>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</si>
  <si>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</si>
  <si>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</si>
  <si>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</si>
  <si>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</si>
  <si>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</si>
  <si>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</si>
  <si>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</si>
  <si>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</si>
  <si>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</si>
  <si>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</si>
  <si>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</si>
  <si>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</si>
  <si>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</si>
  <si>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</si>
  <si>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</si>
  <si>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</si>
  <si>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</si>
  <si>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</si>
  <si>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</si>
  <si>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</si>
  <si>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</si>
  <si>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</si>
  <si>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</si>
  <si>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</si>
  <si>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</si>
  <si>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</si>
  <si>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</si>
  <si>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</si>
  <si>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</si>
  <si>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</si>
  <si>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</si>
  <si>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</si>
  <si>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</si>
  <si>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</si>
  <si>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</si>
  <si>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</si>
  <si>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</si>
  <si>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</si>
  <si>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</si>
  <si>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</si>
  <si>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</si>
  <si>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</si>
  <si>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</si>
  <si>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</si>
  <si>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</si>
  <si>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</si>
  <si>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</si>
  <si>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</si>
  <si>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</si>
  <si>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</si>
  <si>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</si>
  <si>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</si>
  <si>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</si>
  <si>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</si>
  <si>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</si>
  <si>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</si>
  <si>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</si>
  <si>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</si>
  <si>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</si>
  <si>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</si>
  <si>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</si>
  <si>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</si>
  <si>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</si>
  <si>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</si>
  <si>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</si>
  <si>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</si>
  <si>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</si>
  <si>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</si>
  <si>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</si>
  <si>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</si>
  <si>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</si>
  <si>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</si>
  <si>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</si>
  <si>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</si>
  <si>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</si>
  <si>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</si>
  <si>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</si>
  <si>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</si>
  <si>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</si>
  <si>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</si>
  <si>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</si>
  <si>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</si>
  <si>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</si>
  <si>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</si>
  <si>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</si>
  <si>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</si>
  <si>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</si>
  <si>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</si>
  <si>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</si>
  <si>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</si>
  <si>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</si>
  <si>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</si>
  <si>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</si>
  <si>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</si>
  <si>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</si>
  <si>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</si>
  <si>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</si>
  <si>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</si>
  <si>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</si>
  <si>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</si>
  <si>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</si>
  <si>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</si>
  <si>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</si>
  <si>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</si>
  <si>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</si>
  <si>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</si>
  <si>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</si>
  <si>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</si>
  <si>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</si>
  <si>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</si>
  <si>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</si>
  <si>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</si>
  <si>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</si>
  <si>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</si>
  <si>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</si>
  <si>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</si>
  <si>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</si>
  <si>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</si>
  <si>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</si>
  <si>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</si>
  <si>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</si>
  <si>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</si>
  <si>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</si>
  <si>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</si>
  <si>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</si>
  <si>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</si>
  <si>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</si>
  <si>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</si>
  <si>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</si>
  <si>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</si>
  <si>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</si>
  <si>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</si>
  <si>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</si>
  <si>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</si>
  <si>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</si>
  <si>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</si>
  <si>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</si>
  <si>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</si>
  <si>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</si>
  <si>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</si>
  <si>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</si>
  <si>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</si>
  <si>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</si>
  <si>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</si>
  <si>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</si>
  <si>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</si>
  <si>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</si>
  <si>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</si>
  <si>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</si>
  <si>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</si>
  <si>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</si>
  <si>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</si>
  <si>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</si>
  <si>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</si>
  <si>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</si>
  <si>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</si>
  <si>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</si>
  <si>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</si>
  <si>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</si>
  <si>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</si>
  <si>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</si>
  <si>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</si>
  <si>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</si>
  <si>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</si>
  <si>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</si>
  <si>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</si>
  <si>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</si>
  <si>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</si>
  <si>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</si>
  <si>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</si>
  <si>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</si>
  <si>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</si>
  <si>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</si>
  <si>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</si>
  <si>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</si>
  <si>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</si>
  <si>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</si>
  <si>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</si>
  <si>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</si>
  <si>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</si>
  <si>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</si>
  <si>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</si>
  <si>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</si>
  <si>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</si>
  <si>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</si>
  <si>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</si>
  <si>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</si>
  <si>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</si>
  <si>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</si>
  <si>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</si>
  <si>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</si>
  <si>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</si>
  <si>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</si>
  <si>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</si>
  <si>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</si>
  <si>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</si>
  <si>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</si>
  <si>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</si>
  <si>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</si>
  <si>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</si>
  <si>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</si>
  <si>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</si>
  <si>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</si>
  <si>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</si>
  <si>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</si>
  <si>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</si>
  <si>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</si>
  <si>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</si>
  <si>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</si>
  <si>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</si>
  <si>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</si>
  <si>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</si>
  <si>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</si>
  <si>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</si>
  <si>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</si>
  <si>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</si>
  <si>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</si>
  <si>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</si>
  <si>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</si>
  <si>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</si>
  <si>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</si>
  <si>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</si>
  <si>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</si>
  <si>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</si>
  <si>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</si>
  <si>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</si>
  <si>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</si>
  <si>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</si>
  <si>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</si>
  <si>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</si>
  <si>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</si>
  <si>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</si>
  <si>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</si>
  <si>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</si>
  <si>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</si>
  <si>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</si>
  <si>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</si>
  <si>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</si>
  <si>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</si>
  <si>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</si>
  <si>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</si>
  <si>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</si>
  <si>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</si>
  <si>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</si>
  <si>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</si>
  <si>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</si>
  <si>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</si>
  <si>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</si>
  <si>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</si>
  <si>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</si>
  <si>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</si>
  <si>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</si>
  <si>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</si>
  <si>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</si>
  <si>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</si>
  <si>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</si>
  <si>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</si>
  <si>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</si>
  <si>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</si>
  <si>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</si>
  <si>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</si>
  <si>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</si>
  <si>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</si>
  <si>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</si>
  <si>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</si>
  <si>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</si>
  <si>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</si>
  <si>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</si>
  <si>
    <t>joycieb28@gmail.com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</si>
</sst>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6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1.xml"/><Relationship Id="rId42" Type="http://schemas.openxmlformats.org/officeDocument/2006/relationships/ctrlProp" Target="../ctrlProps/ctrlProp19.xml"/><Relationship Id="rId47" Type="http://schemas.openxmlformats.org/officeDocument/2006/relationships/ctrlProp" Target="../ctrlProps/ctrlProp24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9.xml"/><Relationship Id="rId37" Type="http://schemas.openxmlformats.org/officeDocument/2006/relationships/ctrlProp" Target="../ctrlProps/ctrlProp14.xml"/><Relationship Id="rId40" Type="http://schemas.openxmlformats.org/officeDocument/2006/relationships/ctrlProp" Target="../ctrlProps/ctrlProp17.xml"/><Relationship Id="rId45" Type="http://schemas.openxmlformats.org/officeDocument/2006/relationships/ctrlProp" Target="../ctrlProps/ctrlProp22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hyperlink" Target="mailto:joycieb28@gmail.com" TargetMode="External"/><Relationship Id="rId36" Type="http://schemas.openxmlformats.org/officeDocument/2006/relationships/ctrlProp" Target="../ctrlProps/ctrlProp13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vmlDrawing" Target="../drawings/vmlDrawing3.vml"/><Relationship Id="rId44" Type="http://schemas.openxmlformats.org/officeDocument/2006/relationships/ctrlProp" Target="../ctrlProps/ctrlProp21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drawing" Target="../drawings/drawing3.xml"/><Relationship Id="rId35" Type="http://schemas.openxmlformats.org/officeDocument/2006/relationships/ctrlProp" Target="../ctrlProps/ctrlProp12.xml"/><Relationship Id="rId43" Type="http://schemas.openxmlformats.org/officeDocument/2006/relationships/ctrlProp" Target="../ctrlProps/ctrlProp20.xml"/><Relationship Id="rId48" Type="http://schemas.openxmlformats.org/officeDocument/2006/relationships/ctrlProp" Target="../ctrlProps/ctrlProp25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0.xml"/><Relationship Id="rId38" Type="http://schemas.openxmlformats.org/officeDocument/2006/relationships/ctrlProp" Target="../ctrlProps/ctrlProp15.xml"/><Relationship Id="rId46" Type="http://schemas.openxmlformats.org/officeDocument/2006/relationships/ctrlProp" Target="../ctrlProps/ctrlProp23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29" t="s">
        <v>179</v>
      </c>
      <c r="D1" s="130"/>
      <c r="E1" s="131"/>
      <c r="F1" s="45"/>
      <c r="G1" s="45"/>
      <c r="H1" s="45"/>
    </row>
    <row r="2" spans="1:8" ht="15.75" thickBot="1"/>
    <row r="3" spans="1:8" ht="16.5" thickBot="1">
      <c r="A3" s="37" t="s">
        <v>161</v>
      </c>
      <c r="C3" s="134" t="s">
        <v>215</v>
      </c>
      <c r="D3" s="135"/>
      <c r="E3" s="135"/>
      <c r="F3" s="135"/>
      <c r="G3" s="136"/>
    </row>
    <row r="4" spans="1:8" ht="15.75" thickBot="1"/>
    <row r="5" spans="1:8" ht="16.5" thickBot="1">
      <c r="A5" s="37" t="s">
        <v>162</v>
      </c>
      <c r="C5" s="134" t="s">
        <v>216</v>
      </c>
      <c r="D5" s="135"/>
      <c r="E5" s="135"/>
      <c r="F5" s="135"/>
      <c r="G5" s="136"/>
    </row>
    <row r="6" spans="1:8" ht="15.75" thickBot="1"/>
    <row r="7" spans="1:8" ht="16.5" thickBot="1">
      <c r="A7" s="37" t="s">
        <v>163</v>
      </c>
      <c r="C7" s="134" t="s">
        <v>217</v>
      </c>
      <c r="D7" s="135"/>
      <c r="E7" s="135"/>
      <c r="F7" s="135"/>
      <c r="G7" s="136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2" t="s">
        <v>218</v>
      </c>
      <c r="D11" s="133"/>
      <c r="E11" s="132" t="s">
        <v>219</v>
      </c>
      <c r="F11" s="133"/>
      <c r="G11" s="132" t="s">
        <v>220</v>
      </c>
      <c r="H11" s="133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2" t="s">
        <v>221</v>
      </c>
      <c r="D13" s="133"/>
      <c r="E13" s="132" t="s">
        <v>222</v>
      </c>
      <c r="F13" s="133"/>
      <c r="G13" s="132" t="s">
        <v>223</v>
      </c>
      <c r="H13" s="133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2" t="s">
        <v>106</v>
      </c>
      <c r="D15" s="133"/>
      <c r="E15" s="132" t="s">
        <v>224</v>
      </c>
      <c r="F15" s="133"/>
      <c r="G15" s="132" t="s">
        <v>141</v>
      </c>
      <c r="H15" s="133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abSelected="1"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8" t="s">
        <v>179</v>
      </c>
      <c r="D2" s="139"/>
      <c r="E2" s="139"/>
      <c r="F2" s="139"/>
      <c r="G2" s="140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7" t="str">
        <f>Tourney!$C$3</f>
        <v>Napa Wine Country Open</v>
      </c>
      <c r="C4" s="137"/>
      <c r="D4" s="137"/>
      <c r="E4" s="137"/>
      <c r="F4" s="137"/>
    </row>
    <row r="5" spans="1:7">
      <c r="A5" s="23" t="s">
        <v>181</v>
      </c>
      <c r="B5" s="142" t="str">
        <f>Tourney!$C$5</f>
        <v>The Moose Lodge</v>
      </c>
      <c r="C5" s="142"/>
      <c r="D5" s="142"/>
      <c r="E5" s="142"/>
      <c r="F5" s="142"/>
    </row>
    <row r="6" spans="1:7">
      <c r="A6" s="23" t="s">
        <v>183</v>
      </c>
      <c r="B6" s="142" t="str">
        <f>Tourney!$C$7</f>
        <v>Napa, Ca, 94558</v>
      </c>
      <c r="C6" s="142"/>
      <c r="D6" s="142"/>
      <c r="E6" s="142"/>
      <c r="F6" s="142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1" t="s">
        <v>180</v>
      </c>
      <c r="D15" s="141"/>
      <c r="E15" s="141"/>
      <c r="F15" s="141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3" t="str">
        <f>Tourney!$C$3</f>
        <v>Napa Wine Country Open</v>
      </c>
      <c r="L2" s="143"/>
      <c r="M2" s="143"/>
      <c r="N2" s="143"/>
    </row>
    <row r="3" spans="1:25" ht="16.5" customHeight="1">
      <c r="A3" s="61" t="s">
        <v>155</v>
      </c>
      <c r="B3"/>
      <c r="C3"/>
      <c r="H3" s="8" t="s">
        <v>173</v>
      </c>
      <c r="I3" s="8"/>
      <c r="K3" s="143" t="str">
        <f>Tourney!$C$5</f>
        <v>The Moose Lodge</v>
      </c>
      <c r="L3" s="143"/>
      <c r="M3" s="143"/>
      <c r="N3" s="143"/>
    </row>
    <row r="4" spans="1:25" ht="16.5" customHeight="1">
      <c r="A4" s="6"/>
      <c r="H4" s="8" t="s">
        <v>172</v>
      </c>
      <c r="I4" s="8"/>
      <c r="K4" s="143" t="str">
        <f>Tourney!$C$7</f>
        <v>Napa, Ca, 94558</v>
      </c>
      <c r="L4" s="143"/>
      <c r="M4" s="143"/>
      <c r="N4" s="143"/>
    </row>
    <row r="5" spans="1:25" ht="16.5" customHeight="1">
      <c r="A5" s="6"/>
      <c r="H5" s="8" t="s">
        <v>164</v>
      </c>
      <c r="I5" s="8"/>
      <c r="K5" s="144">
        <f>Tourney!$C$9</f>
        <v>45402</v>
      </c>
      <c r="L5" s="144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10</v>
      </c>
      <c r="O10" s="72">
        <f>SUM(O12:O73)</f>
        <v>920</v>
      </c>
      <c r="P10" s="25"/>
      <c r="Q10" s="10"/>
      <c r="R10" s="11">
        <f>SUM(R12:R73)</f>
        <v>4870</v>
      </c>
      <c r="S10" s="11">
        <f>SUM(S12:S73)</f>
        <v>1900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>T12*N12</f>
        <v>0</v>
      </c>
      <c r="P12" s="76" t="s">
        <v>225</v>
      </c>
      <c r="Q12" s="76">
        <v>909</v>
      </c>
      <c r="R12" s="81">
        <f>IF(OR(P12="c",P12="C"),+T12,"")</f>
        <v>100</v>
      </c>
      <c r="S12" s="81" t="str">
        <f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>T13*N13</f>
        <v>0</v>
      </c>
      <c r="P13" s="76" t="s">
        <v>225</v>
      </c>
      <c r="Q13" s="76">
        <v>909</v>
      </c>
      <c r="R13" s="81">
        <f>IF(OR(P13="c",P13="C"),+T13,"")</f>
        <v>100</v>
      </c>
      <c r="S13" s="81" t="str">
        <f>IF(OR(P13="$",N13=1),+T13,"")</f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7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>T14*N14</f>
        <v>80</v>
      </c>
      <c r="P14" s="76" t="s">
        <v>230</v>
      </c>
      <c r="Q14" s="76"/>
      <c r="R14" s="81" t="str">
        <f>IF(OR(P14="c",P14="C"),+T14,"")</f>
        <v/>
      </c>
      <c r="S14" s="81">
        <f>IF(OR(P14="$",N14=1),+T14,"")</f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>T15*N15</f>
        <v>0</v>
      </c>
      <c r="P15" s="76" t="s">
        <v>225</v>
      </c>
      <c r="Q15" s="76">
        <v>1015</v>
      </c>
      <c r="R15" s="81">
        <f>IF(OR(P15="c",P15="C"),+T15,"")</f>
        <v>160</v>
      </c>
      <c r="S15" s="81" t="str">
        <f>IF(OR(P15="$",N15=1),+T15,"")</f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>T16*N16</f>
        <v>0</v>
      </c>
      <c r="P16" s="76" t="s">
        <v>225</v>
      </c>
      <c r="Q16" s="76">
        <v>3403</v>
      </c>
      <c r="R16" s="81">
        <f>IF(OR(P16="c",P16="C"),+T16,"")</f>
        <v>160</v>
      </c>
      <c r="S16" s="81" t="str">
        <f>IF(OR(P16="$",N16=1),+T16,"")</f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>T17*N17</f>
        <v>0</v>
      </c>
      <c r="P17" s="76" t="s">
        <v>225</v>
      </c>
      <c r="Q17" s="99" t="s">
        <v>274</v>
      </c>
      <c r="R17" s="81">
        <f>IF(OR(P17="c",P17="C"),+T17,"")</f>
        <v>80</v>
      </c>
      <c r="S17" s="81" t="str">
        <f>IF(OR(P17="$",N17=1),+T17,"")</f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>IF(OR(P18="c",P18="C"),+T18,"")</f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>IF(OR(P19="c",P19="C"),+T19,"")</f>
        <v>160</v>
      </c>
      <c r="S19" s="81" t="str">
        <f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>IF(OR(P20="c",P20="C"),+T20,"")</f>
        <v>80</v>
      </c>
      <c r="S20" s="81" t="str">
        <f>IF(OR(P20="$",N20=1),+T20,"")</f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>IF(OR(P21="c",P21="C"),+T21,"")</f>
        <v>70</v>
      </c>
      <c r="S21" s="81" t="str">
        <f>IF(OR(P21="$",N21=1),+T21,"")</f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>IF(OR(P22="c",P22="C"),+T22,"")</f>
        <v/>
      </c>
      <c r="S22" s="81">
        <f>IF(OR(P22="$",N22=1),+T22,"")</f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>T23*N23</f>
        <v>0</v>
      </c>
      <c r="P23" s="76" t="s">
        <v>230</v>
      </c>
      <c r="Q23" s="76"/>
      <c r="R23" s="81" t="str">
        <f>IF(OR(P23="c",P23="C"),+T23,"")</f>
        <v/>
      </c>
      <c r="S23" s="81">
        <f>IF(OR(P23="$",N23=1),+T23,"")</f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>T24*N24</f>
        <v>0</v>
      </c>
      <c r="P24" s="76" t="s">
        <v>225</v>
      </c>
      <c r="Q24" s="76">
        <v>1299</v>
      </c>
      <c r="R24" s="81">
        <f>IF(OR(P24="c",P24="C"),+T24,"")</f>
        <v>110</v>
      </c>
      <c r="S24" s="81" t="str">
        <f>IF(OR(P24="$",N24=1),+T24,"")</f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7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>T25*N25</f>
        <v>0</v>
      </c>
      <c r="P25" s="76" t="s">
        <v>225</v>
      </c>
      <c r="Q25" s="76">
        <v>1974</v>
      </c>
      <c r="R25" s="81">
        <f>IF(OR(P25="c",P25="C"),+T25,"")</f>
        <v>110</v>
      </c>
      <c r="S25" s="81" t="str">
        <f>IF(OR(P25="$",N25=1),+T25,"")</f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>T26*N26</f>
        <v>0</v>
      </c>
      <c r="P26" s="76" t="s">
        <v>225</v>
      </c>
      <c r="Q26" s="76">
        <v>2213</v>
      </c>
      <c r="R26" s="81">
        <f>IF(OR(P26="c",P26="C"),+T26,"")</f>
        <v>160</v>
      </c>
      <c r="S26" s="81" t="str">
        <f>IF(OR(P26="$",N26=1),+T26,"")</f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>T27*N27</f>
        <v>0</v>
      </c>
      <c r="P27" s="76" t="s">
        <v>225</v>
      </c>
      <c r="Q27" s="76">
        <v>4008</v>
      </c>
      <c r="R27" s="81">
        <f>IF(OR(P27="c",P27="C"),+T27,"")</f>
        <v>160</v>
      </c>
      <c r="S27" s="81" t="str">
        <f>IF(OR(P27="$",N27=1),+T27,"")</f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>T28*N28</f>
        <v>0</v>
      </c>
      <c r="P28" s="76" t="s">
        <v>225</v>
      </c>
      <c r="Q28" s="76">
        <v>1795</v>
      </c>
      <c r="R28" s="81">
        <f>IF(OR(P28="c",P28="C"),+T28,"")</f>
        <v>70</v>
      </c>
      <c r="S28" s="81" t="str">
        <f>IF(OR(P28="$",N28=1),+T28,"")</f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 t="s">
        <v>301</v>
      </c>
      <c r="H29" s="79">
        <v>1</v>
      </c>
      <c r="I29" s="76"/>
      <c r="J29" s="76"/>
      <c r="K29" s="76"/>
      <c r="L29" s="76"/>
      <c r="M29" s="76"/>
      <c r="N29" s="76"/>
      <c r="O29" s="80"/>
      <c r="P29" s="76" t="s">
        <v>225</v>
      </c>
      <c r="Q29" s="76">
        <v>1208</v>
      </c>
      <c r="R29" s="81">
        <f>IF(OR(P29="c",P29="C"),+T29,"")</f>
        <v>80</v>
      </c>
      <c r="S29" s="81" t="str">
        <f>IF(OR(P29="$",N29=1),+T29,"")</f>
        <v/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>IF(OR(P30="c",P30="C"),+T30,"")</f>
        <v/>
      </c>
      <c r="S30" s="81">
        <f>IF(OR(P30="$",N30=1),+T30,"")</f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>IF(OR(P31="c",P31="C"),+T31,"")</f>
        <v/>
      </c>
      <c r="S31" s="81">
        <f>IF(OR(P31="$",N31=1),+T31,"")</f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5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>IF(OR(P32="c",P32="C"),+T32,"")</f>
        <v/>
      </c>
      <c r="S32" s="81">
        <f>IF(OR(P32="$",N32=1),+T32,"")</f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2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>IF(OR(P35="c",P35="C"),+T35,"")</f>
        <v>110</v>
      </c>
      <c r="S35" s="81" t="str">
        <f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2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>IF(OR(P36="c",P36="C"),+T36,"")</f>
        <v>80</v>
      </c>
      <c r="S36" s="81" t="str">
        <f>IF(OR(P36="$",N36=1),+T36,"")</f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2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>IF(OR(P37="c",P37="C"),+T37,"")</f>
        <v>110</v>
      </c>
      <c r="S37" s="81" t="str">
        <f>IF(OR(P37="$",N37=1),+T37,"")</f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2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>IF(OR(P38="c",P38="C"),+T38,"")</f>
        <v>80</v>
      </c>
      <c r="S38" s="81" t="str">
        <f>IF(OR(P38="$",N38=1),+T38,"")</f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2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>IF(OR(P39="c",P39="C"),+T39,"")</f>
        <v/>
      </c>
      <c r="S39" s="81">
        <f>IF(OR(P39="$",N39=1),+T39,"")</f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2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>T40*N40</f>
        <v>0</v>
      </c>
      <c r="P40" s="76" t="s">
        <v>225</v>
      </c>
      <c r="Q40" s="76">
        <v>5206</v>
      </c>
      <c r="R40" s="81">
        <f>IF(OR(P40="c",P40="C"),+T40,"")</f>
        <v>160</v>
      </c>
      <c r="S40" s="81" t="str">
        <f>IF(OR(P40="$",N40=1),+T40,"")</f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2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>T41*N41</f>
        <v>0</v>
      </c>
      <c r="P41" s="76" t="s">
        <v>225</v>
      </c>
      <c r="Q41" s="76">
        <v>1059</v>
      </c>
      <c r="R41" s="81">
        <f>IF(OR(P41="c",P41="C"),+T41,"")</f>
        <v>70</v>
      </c>
      <c r="S41" s="81" t="str">
        <f>IF(OR(P41="$",N41=1),+T41,"")</f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2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>T42*N42</f>
        <v>0</v>
      </c>
      <c r="P42" s="76" t="s">
        <v>225</v>
      </c>
      <c r="Q42" s="76">
        <v>4900</v>
      </c>
      <c r="R42" s="81">
        <f>IF(OR(P42="c",P42="C"),+T42,"")</f>
        <v>80</v>
      </c>
      <c r="S42" s="81" t="str">
        <f>IF(OR(P42="$",N42=1),+T42,"")</f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2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>T43*N43</f>
        <v>0</v>
      </c>
      <c r="P43" s="76" t="s">
        <v>230</v>
      </c>
      <c r="Q43" s="76"/>
      <c r="R43" s="81" t="str">
        <f>IF(OR(P43="c",P43="C"),+T43,"")</f>
        <v/>
      </c>
      <c r="S43" s="81">
        <f>IF(OR(P43="$",N43=1),+T43,"")</f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2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>T44*N44</f>
        <v>0</v>
      </c>
      <c r="P44" s="76" t="s">
        <v>225</v>
      </c>
      <c r="Q44" s="76">
        <v>16285</v>
      </c>
      <c r="R44" s="81">
        <f>IF(OR(P44="c",P44="C"),+T44,"")</f>
        <v>80</v>
      </c>
      <c r="S44" s="81" t="str">
        <f>IF(OR(P44="$",N44=1),+T44,"")</f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2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>T45*N45</f>
        <v>80</v>
      </c>
      <c r="P45" s="76" t="s">
        <v>230</v>
      </c>
      <c r="Q45" s="76"/>
      <c r="R45" s="81" t="str">
        <f>IF(OR(P45="c",P45="C"),+T45,"")</f>
        <v/>
      </c>
      <c r="S45" s="81">
        <f>IF(OR(P45="$",N45=1),+T45,"")</f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2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>T46*N46</f>
        <v>0</v>
      </c>
      <c r="P46" s="76" t="s">
        <v>225</v>
      </c>
      <c r="Q46" s="76">
        <v>5878</v>
      </c>
      <c r="R46" s="81">
        <f>IF(OR(P46="c",P46="C"),+T46,"")</f>
        <v>160</v>
      </c>
      <c r="S46" s="81" t="str">
        <f>IF(OR(P46="$",N46=1),+T46,"")</f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2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>T47*N47</f>
        <v>0</v>
      </c>
      <c r="P47" s="76" t="s">
        <v>230</v>
      </c>
      <c r="Q47" s="76"/>
      <c r="R47" s="81" t="str">
        <f>IF(OR(P47="c",P47="C"),+T47,"")</f>
        <v/>
      </c>
      <c r="S47" s="81">
        <f>IF(OR(P47="$",N47=1),+T47,"")</f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2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>IF(OR(P48="c",P48="C"),+T48,"")</f>
        <v/>
      </c>
      <c r="S48" s="81">
        <f>IF(OR(P48="$",N48=1),+T48,"")</f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2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>IF(OR(P49="c",P49="C"),+T49,"")</f>
        <v>160</v>
      </c>
      <c r="S49" s="81" t="str">
        <f>IF(OR(P49="$",N49=1),+T49,"")</f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2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>IF(OR(P50="c",P50="C"),+T50,"")</f>
        <v/>
      </c>
      <c r="S50" s="81">
        <f>IF(OR(P50="$",N50=1),+T50,"")</f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2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/>
      <c r="O51" s="80"/>
      <c r="P51" s="76" t="s">
        <v>225</v>
      </c>
      <c r="Q51" s="76">
        <v>776</v>
      </c>
      <c r="R51" s="81">
        <f>IF(OR(P51="c",P51="C"),+T51,"")</f>
        <v>80</v>
      </c>
      <c r="S51" s="81" t="str">
        <f>IF(OR(P51="$",N51=1),+T51,"")</f>
        <v/>
      </c>
      <c r="T51" s="82">
        <v>80</v>
      </c>
      <c r="U51" s="83"/>
      <c r="V51" s="84"/>
      <c r="X51" s="88"/>
      <c r="Y51" s="88"/>
    </row>
    <row r="52" spans="1:25">
      <c r="A52" s="75">
        <f t="shared" si="2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>T52*N52</f>
        <v>0</v>
      </c>
      <c r="P52" s="76" t="s">
        <v>225</v>
      </c>
      <c r="Q52" s="76">
        <v>16285</v>
      </c>
      <c r="R52" s="81">
        <f>IF(OR(P52="c",P52="C"),+T52,"")</f>
        <v>110</v>
      </c>
      <c r="S52" s="81" t="str">
        <f>IF(OR(P52="$",N52=1),+T52,"")</f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2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>T53*N53</f>
        <v>0</v>
      </c>
      <c r="P53" s="76" t="s">
        <v>225</v>
      </c>
      <c r="Q53" s="76">
        <v>5196</v>
      </c>
      <c r="R53" s="81">
        <f>IF(OR(P53="c",P53="C"),+T53,"")</f>
        <v>110</v>
      </c>
      <c r="S53" s="81" t="str">
        <f>IF(OR(P53="$",N53=1),+T53,"")</f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2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>T54*N54</f>
        <v>0</v>
      </c>
      <c r="P54" s="76" t="s">
        <v>225</v>
      </c>
      <c r="Q54" s="76">
        <v>7346</v>
      </c>
      <c r="R54" s="81">
        <f>IF(OR(P54="c",P54="C"),+T54,"")</f>
        <v>110</v>
      </c>
      <c r="S54" s="81" t="str">
        <f>IF(OR(P54="$",N54=1),+T54,"")</f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2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7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>T55*N55</f>
        <v>100</v>
      </c>
      <c r="P55" s="76" t="s">
        <v>230</v>
      </c>
      <c r="Q55" s="76"/>
      <c r="R55" s="81" t="str">
        <f>IF(OR(P55="c",P55="C"),+T55,"")</f>
        <v/>
      </c>
      <c r="S55" s="81">
        <f>IF(OR(P55="$",N55=1),+T55,"")</f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2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>T56*N56</f>
        <v>0</v>
      </c>
      <c r="P56" s="76" t="s">
        <v>225</v>
      </c>
      <c r="Q56" s="76">
        <v>4939</v>
      </c>
      <c r="R56" s="81">
        <f>IF(OR(P56="c",P56="C"),+T56,"")</f>
        <v>160</v>
      </c>
      <c r="S56" s="81" t="str">
        <f>IF(OR(P56="$",N56=1),+T56,"")</f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2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>T57*N57</f>
        <v>0</v>
      </c>
      <c r="P57" s="76" t="s">
        <v>225</v>
      </c>
      <c r="Q57" s="76">
        <v>141</v>
      </c>
      <c r="R57" s="81">
        <f>IF(OR(P57="c",P57="C"),+T57,"")</f>
        <v>160</v>
      </c>
      <c r="S57" s="81" t="str">
        <f>IF(OR(P57="$",N57=1),+T57,"")</f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2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>T58*N58</f>
        <v>0</v>
      </c>
      <c r="P58" s="76" t="s">
        <v>225</v>
      </c>
      <c r="Q58" s="76">
        <v>1034</v>
      </c>
      <c r="R58" s="81">
        <f>IF(OR(P58="c",P58="C"),+T58,"")</f>
        <v>70</v>
      </c>
      <c r="S58" s="81" t="str">
        <f>IF(OR(P58="$",N58=1),+T58,"")</f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2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>T59*N59</f>
        <v>0</v>
      </c>
      <c r="P59" s="76" t="s">
        <v>225</v>
      </c>
      <c r="Q59" s="76">
        <v>1376</v>
      </c>
      <c r="R59" s="81">
        <f>IF(OR(P59="c",P59="C"),+T59,"")</f>
        <v>80</v>
      </c>
      <c r="S59" s="81" t="str">
        <f>IF(OR(P59="$",N59=1),+T59,"")</f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2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>T60*N60</f>
        <v>0</v>
      </c>
      <c r="P60" s="76" t="s">
        <v>225</v>
      </c>
      <c r="Q60" s="76">
        <v>1508</v>
      </c>
      <c r="R60" s="81">
        <f>IF(OR(P60="c",P60="C"),+T60,"")</f>
        <v>160</v>
      </c>
      <c r="S60" s="81" t="str">
        <f>IF(OR(P60="$",N60=1),+T60,"")</f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2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>T61*N61</f>
        <v>0</v>
      </c>
      <c r="P61" s="76" t="s">
        <v>225</v>
      </c>
      <c r="Q61" s="76">
        <v>1508</v>
      </c>
      <c r="R61" s="81">
        <v>160</v>
      </c>
      <c r="S61" s="81" t="str">
        <f>IF(OR(P61="$",N61=1),+T61,"")</f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2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8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>T62*N62</f>
        <v>0</v>
      </c>
      <c r="P62" s="76" t="s">
        <v>230</v>
      </c>
      <c r="Q62" s="76"/>
      <c r="R62" s="81" t="str">
        <f>IF(OR(P62="c",P62="C"),+T62,"")</f>
        <v/>
      </c>
      <c r="S62" s="81">
        <f>IF(OR(P62="$",N62=1),+T62,"")</f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2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>T63*N63</f>
        <v>0</v>
      </c>
      <c r="P63" s="76" t="s">
        <v>225</v>
      </c>
      <c r="Q63" s="76">
        <v>204</v>
      </c>
      <c r="R63" s="81">
        <f>IF(OR(P63="c",P63="C"),+T63,"")</f>
        <v>100</v>
      </c>
      <c r="S63" s="81" t="str">
        <f>IF(OR(P63="$",N63=1),+T63,"")</f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2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>T64*N64</f>
        <v>0</v>
      </c>
      <c r="P64" s="76" t="s">
        <v>230</v>
      </c>
      <c r="Q64" s="76"/>
      <c r="R64" s="81" t="str">
        <f>IF(OR(P64="c",P64="C"),+T64,"")</f>
        <v/>
      </c>
      <c r="S64" s="81">
        <f>IF(OR(P64="$",N64=1),+T64,"")</f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2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7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>T65*N65</f>
        <v>0</v>
      </c>
      <c r="P65" s="76" t="s">
        <v>230</v>
      </c>
      <c r="Q65" s="76"/>
      <c r="R65" s="81" t="str">
        <f>IF(OR(P65="c",P65="C"),+T65,"")</f>
        <v/>
      </c>
      <c r="S65" s="81">
        <f>IF(OR(P65="$",N65=1),+T65,"")</f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2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8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>T66*N66</f>
        <v>0</v>
      </c>
      <c r="P66" s="76" t="s">
        <v>225</v>
      </c>
      <c r="Q66" s="76">
        <v>8223</v>
      </c>
      <c r="R66" s="81">
        <f>IF(OR(P66="c",P66="C"),+T66,"")</f>
        <v>100</v>
      </c>
      <c r="S66" s="81" t="str">
        <f>IF(OR(P66="$",N66=1),+T66,"")</f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2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>T67*N67</f>
        <v>0</v>
      </c>
      <c r="P67" s="76" t="s">
        <v>225</v>
      </c>
      <c r="Q67" s="76">
        <v>677</v>
      </c>
      <c r="R67" s="81">
        <f>IF(OR(P67="c",P67="C"),+T67,"")</f>
        <v>110</v>
      </c>
      <c r="S67" s="81" t="str">
        <f>IF(OR(P67="$",N67=1),+T67,"")</f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2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>T68*N68</f>
        <v>0</v>
      </c>
      <c r="P68" s="76" t="s">
        <v>225</v>
      </c>
      <c r="Q68" s="76">
        <v>677</v>
      </c>
      <c r="R68" s="81">
        <f>IF(OR(P68="c",P68="C"),+T68,"")</f>
        <v>80</v>
      </c>
      <c r="S68" s="81" t="str">
        <f>IF(OR(P68="$",N68=1),+T68,"")</f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2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>T69*N69</f>
        <v>0</v>
      </c>
      <c r="P69" s="76" t="s">
        <v>225</v>
      </c>
      <c r="Q69" s="76">
        <v>2480</v>
      </c>
      <c r="R69" s="81">
        <f>IF(OR(P69="c",P69="C"),+T69,"")</f>
        <v>80</v>
      </c>
      <c r="S69" s="81" t="str">
        <f>IF(OR(P69="$",N69=1),+T69,"")</f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2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>T70*N70</f>
        <v>70</v>
      </c>
      <c r="P70" s="76" t="s">
        <v>230</v>
      </c>
      <c r="Q70" s="76"/>
      <c r="R70" s="81" t="str">
        <f>IF(OR(P70="c",P70="C"),+T70,"")</f>
        <v/>
      </c>
      <c r="S70" s="81">
        <f>IF(OR(P70="$",N70=1),+T70,"")</f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2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>T71*N71</f>
        <v>70</v>
      </c>
      <c r="P71" s="76" t="s">
        <v>230</v>
      </c>
      <c r="Q71" s="76"/>
      <c r="R71" s="81" t="str">
        <f>IF(OR(P71="c",P71="C"),+T71,"")</f>
        <v/>
      </c>
      <c r="S71" s="81">
        <f>IF(OR(P71="$",N71=1),+T71,"")</f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2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>T72*N72</f>
        <v>0</v>
      </c>
      <c r="P72" s="76" t="s">
        <v>225</v>
      </c>
      <c r="Q72" s="76">
        <v>3948</v>
      </c>
      <c r="R72" s="81">
        <f>IF(OR(P72="c",P72="C"),+T72,"")</f>
        <v>100</v>
      </c>
      <c r="S72" s="81" t="str">
        <f>IF(OR(P72="$",N72=1),+T72,"")</f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2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>T73*N73</f>
        <v>0</v>
      </c>
      <c r="P73" s="76" t="s">
        <v>225</v>
      </c>
      <c r="Q73" s="76">
        <v>317</v>
      </c>
      <c r="R73" s="81">
        <f>IF(OR(P73="c",P73="C"),+T73,"")</f>
        <v>90</v>
      </c>
      <c r="S73" s="81" t="str">
        <f>IF(OR(P73="$",N73=1),+T73,"")</f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xmlns:xlrd2="http://schemas.microsoft.com/office/spreadsheetml/2017/richdata2" ref="B12:U73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  <hyperlink ref="G29" r:id="rId28" xr:uid="{6ECF9D50-3BEE-D84A-8F0F-0F5E6D859CD1}"/>
  </hyperlinks>
  <pageMargins left="0.25" right="0.25" top="0.75" bottom="0.75" header="0.3" footer="0.3"/>
  <pageSetup scale="51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6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2025-03-11T00:10:18Z</dcterms:modified>
</cp:coreProperties>
</file>